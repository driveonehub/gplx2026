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F:\SOFT\OBS\"/>
    </mc:Choice>
  </mc:AlternateContent>
  <xr:revisionPtr revIDLastSave="0" documentId="13_ncr:1_{F2AE62EA-BB45-4C4F-8365-42B3C6E1F59F}" xr6:coauthVersionLast="47" xr6:coauthVersionMax="47" xr10:uidLastSave="{00000000-0000-0000-0000-000000000000}"/>
  <bookViews>
    <workbookView xWindow="-120" yWindow="-120" windowWidth="20730" windowHeight="11160" xr2:uid="{00000000-000D-0000-FFFF-FFFF00000000}"/>
  </bookViews>
  <sheets>
    <sheet name="upload" sheetId="2" r:id="rId1"/>
    <sheet name="dapan" sheetId="5" r:id="rId2"/>
    <sheet name="Sheet1" sheetId="4" r:id="rId3"/>
  </sheets>
  <definedNames>
    <definedName name="_xlnm._FilterDatabase" localSheetId="1" hidden="1">dapan!$A$1:$B$2470</definedName>
    <definedName name="_xlnm._FilterDatabase" localSheetId="0" hidden="1">upload!$A$1:$Q$2465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2465" i="2" l="1"/>
  <c r="I2465" i="2"/>
  <c r="H2465" i="2"/>
  <c r="G2465" i="2"/>
  <c r="E2465" i="2"/>
  <c r="J2464" i="2"/>
  <c r="I2464" i="2"/>
  <c r="H2464" i="2"/>
  <c r="G2464" i="2"/>
  <c r="E2464" i="2"/>
  <c r="I2463" i="2"/>
  <c r="J2463" i="2" s="1"/>
  <c r="H2463" i="2"/>
  <c r="G2463" i="2"/>
  <c r="E2463" i="2"/>
  <c r="J2462" i="2"/>
  <c r="I2462" i="2"/>
  <c r="H2462" i="2"/>
  <c r="G2462" i="2"/>
  <c r="E2462" i="2"/>
  <c r="I2461" i="2"/>
  <c r="J2461" i="2" s="1"/>
  <c r="H2461" i="2"/>
  <c r="G2461" i="2"/>
  <c r="E2461" i="2"/>
  <c r="J2460" i="2"/>
  <c r="I2460" i="2"/>
  <c r="H2460" i="2"/>
  <c r="G2460" i="2"/>
  <c r="E2460" i="2"/>
  <c r="I2459" i="2"/>
  <c r="J2459" i="2" s="1"/>
  <c r="H2459" i="2"/>
  <c r="G2459" i="2"/>
  <c r="E2459" i="2"/>
  <c r="I2458" i="2"/>
  <c r="J2458" i="2" s="1"/>
  <c r="H2458" i="2"/>
  <c r="G2458" i="2"/>
  <c r="E2458" i="2"/>
  <c r="I2457" i="2"/>
  <c r="J2457" i="2" s="1"/>
  <c r="H2457" i="2"/>
  <c r="G2457" i="2"/>
  <c r="E2457" i="2"/>
  <c r="J2456" i="2"/>
  <c r="I2456" i="2"/>
  <c r="H2456" i="2"/>
  <c r="G2456" i="2"/>
  <c r="E2456" i="2"/>
  <c r="I2455" i="2"/>
  <c r="J2455" i="2" s="1"/>
  <c r="H2455" i="2"/>
  <c r="G2455" i="2"/>
  <c r="E2455" i="2"/>
  <c r="I2454" i="2"/>
  <c r="J2454" i="2" s="1"/>
  <c r="H2454" i="2"/>
  <c r="G2454" i="2"/>
  <c r="E2454" i="2"/>
  <c r="J2453" i="2"/>
  <c r="I2453" i="2"/>
  <c r="H2453" i="2"/>
  <c r="G2453" i="2"/>
  <c r="E2453" i="2"/>
  <c r="I2452" i="2"/>
  <c r="J2452" i="2" s="1"/>
  <c r="H2452" i="2"/>
  <c r="G2452" i="2"/>
  <c r="E2452" i="2"/>
  <c r="I2451" i="2"/>
  <c r="J2451" i="2" s="1"/>
  <c r="H2451" i="2"/>
  <c r="G2451" i="2"/>
  <c r="E2451" i="2"/>
  <c r="I2450" i="2"/>
  <c r="J2450" i="2" s="1"/>
  <c r="H2450" i="2"/>
  <c r="G2450" i="2"/>
  <c r="E2450" i="2"/>
  <c r="I2449" i="2"/>
  <c r="J2449" i="2" s="1"/>
  <c r="H2449" i="2"/>
  <c r="G2449" i="2"/>
  <c r="E2449" i="2"/>
  <c r="I2448" i="2"/>
  <c r="J2448" i="2" s="1"/>
  <c r="H2448" i="2"/>
  <c r="G2448" i="2"/>
  <c r="E2448" i="2"/>
  <c r="J2447" i="2"/>
  <c r="I2447" i="2"/>
  <c r="H2447" i="2"/>
  <c r="G2447" i="2"/>
  <c r="E2447" i="2"/>
  <c r="J2446" i="2"/>
  <c r="I2446" i="2"/>
  <c r="H2446" i="2"/>
  <c r="G2446" i="2"/>
  <c r="E2446" i="2"/>
  <c r="I2445" i="2"/>
  <c r="J2445" i="2" s="1"/>
  <c r="H2445" i="2"/>
  <c r="G2445" i="2"/>
  <c r="E2445" i="2"/>
  <c r="J2444" i="2"/>
  <c r="I2444" i="2"/>
  <c r="H2444" i="2"/>
  <c r="G2444" i="2"/>
  <c r="E2444" i="2"/>
  <c r="I2443" i="2"/>
  <c r="J2443" i="2" s="1"/>
  <c r="H2443" i="2"/>
  <c r="G2443" i="2"/>
  <c r="E2443" i="2"/>
  <c r="J2442" i="2"/>
  <c r="I2442" i="2"/>
  <c r="H2442" i="2"/>
  <c r="G2442" i="2"/>
  <c r="E2442" i="2"/>
  <c r="I2441" i="2"/>
  <c r="J2441" i="2" s="1"/>
  <c r="H2441" i="2"/>
  <c r="G2441" i="2"/>
  <c r="E2441" i="2"/>
  <c r="I2440" i="2"/>
  <c r="J2440" i="2" s="1"/>
  <c r="H2440" i="2"/>
  <c r="G2440" i="2"/>
  <c r="E2440" i="2"/>
  <c r="I2439" i="2"/>
  <c r="J2439" i="2" s="1"/>
  <c r="H2439" i="2"/>
  <c r="G2439" i="2"/>
  <c r="E2439" i="2"/>
  <c r="J2438" i="2"/>
  <c r="I2438" i="2"/>
  <c r="H2438" i="2"/>
  <c r="G2438" i="2"/>
  <c r="E2438" i="2"/>
  <c r="I2437" i="2"/>
  <c r="J2437" i="2" s="1"/>
  <c r="H2437" i="2"/>
  <c r="G2437" i="2"/>
  <c r="E2437" i="2"/>
  <c r="I2436" i="2"/>
  <c r="J2436" i="2" s="1"/>
  <c r="H2436" i="2"/>
  <c r="G2436" i="2"/>
  <c r="E2436" i="2"/>
  <c r="J2435" i="2"/>
  <c r="I2435" i="2"/>
  <c r="H2435" i="2"/>
  <c r="G2435" i="2"/>
  <c r="E2435" i="2"/>
  <c r="I2434" i="2"/>
  <c r="J2434" i="2" s="1"/>
  <c r="H2434" i="2"/>
  <c r="G2434" i="2"/>
  <c r="E2434" i="2"/>
  <c r="I2433" i="2"/>
  <c r="J2433" i="2" s="1"/>
  <c r="H2433" i="2"/>
  <c r="G2433" i="2"/>
  <c r="E2433" i="2"/>
  <c r="I2432" i="2"/>
  <c r="J2432" i="2" s="1"/>
  <c r="H2432" i="2"/>
  <c r="G2432" i="2"/>
  <c r="E2432" i="2"/>
  <c r="I2431" i="2"/>
  <c r="J2431" i="2" s="1"/>
  <c r="H2431" i="2"/>
  <c r="G2431" i="2"/>
  <c r="E2431" i="2"/>
  <c r="I2430" i="2"/>
  <c r="J2430" i="2" s="1"/>
  <c r="H2430" i="2"/>
  <c r="G2430" i="2"/>
  <c r="E2430" i="2"/>
  <c r="J2429" i="2"/>
  <c r="I2429" i="2"/>
  <c r="H2429" i="2"/>
  <c r="G2429" i="2"/>
  <c r="E2429" i="2"/>
  <c r="J2428" i="2"/>
  <c r="I2428" i="2"/>
  <c r="H2428" i="2"/>
  <c r="G2428" i="2"/>
  <c r="E2428" i="2"/>
  <c r="I2427" i="2"/>
  <c r="J2427" i="2" s="1"/>
  <c r="H2427" i="2"/>
  <c r="G2427" i="2"/>
  <c r="E2427" i="2"/>
  <c r="J2426" i="2"/>
  <c r="I2426" i="2"/>
  <c r="H2426" i="2"/>
  <c r="G2426" i="2"/>
  <c r="E2426" i="2"/>
  <c r="I2425" i="2"/>
  <c r="J2425" i="2" s="1"/>
  <c r="H2425" i="2"/>
  <c r="G2425" i="2"/>
  <c r="E2425" i="2"/>
  <c r="J2424" i="2"/>
  <c r="I2424" i="2"/>
  <c r="H2424" i="2"/>
  <c r="G2424" i="2"/>
  <c r="E2424" i="2"/>
  <c r="I2423" i="2"/>
  <c r="J2423" i="2" s="1"/>
  <c r="H2423" i="2"/>
  <c r="G2423" i="2"/>
  <c r="E2423" i="2"/>
  <c r="I2422" i="2"/>
  <c r="J2422" i="2" s="1"/>
  <c r="H2422" i="2"/>
  <c r="G2422" i="2"/>
  <c r="E2422" i="2"/>
  <c r="I2421" i="2"/>
  <c r="J2421" i="2" s="1"/>
  <c r="H2421" i="2"/>
  <c r="G2421" i="2"/>
  <c r="E2421" i="2"/>
  <c r="J2420" i="2"/>
  <c r="I2420" i="2"/>
  <c r="H2420" i="2"/>
  <c r="G2420" i="2"/>
  <c r="E2420" i="2"/>
  <c r="I2419" i="2"/>
  <c r="J2419" i="2" s="1"/>
  <c r="H2419" i="2"/>
  <c r="G2419" i="2"/>
  <c r="E2419" i="2"/>
  <c r="I2418" i="2"/>
  <c r="J2418" i="2" s="1"/>
  <c r="H2418" i="2"/>
  <c r="G2418" i="2"/>
  <c r="E2418" i="2"/>
  <c r="J2417" i="2"/>
  <c r="I2417" i="2"/>
  <c r="H2417" i="2"/>
  <c r="G2417" i="2"/>
  <c r="E2417" i="2"/>
  <c r="I2416" i="2"/>
  <c r="J2416" i="2" s="1"/>
  <c r="H2416" i="2"/>
  <c r="G2416" i="2"/>
  <c r="E2416" i="2"/>
  <c r="I2415" i="2"/>
  <c r="J2415" i="2" s="1"/>
  <c r="H2415" i="2"/>
  <c r="G2415" i="2"/>
  <c r="E2415" i="2"/>
  <c r="I2414" i="2"/>
  <c r="J2414" i="2" s="1"/>
  <c r="H2414" i="2"/>
  <c r="G2414" i="2"/>
  <c r="E2414" i="2"/>
  <c r="I2413" i="2"/>
  <c r="J2413" i="2" s="1"/>
  <c r="H2413" i="2"/>
  <c r="G2413" i="2"/>
  <c r="E2413" i="2"/>
  <c r="I2412" i="2"/>
  <c r="J2412" i="2" s="1"/>
  <c r="H2412" i="2"/>
  <c r="G2412" i="2"/>
  <c r="E2412" i="2"/>
  <c r="J2411" i="2"/>
  <c r="I2411" i="2"/>
  <c r="H2411" i="2"/>
  <c r="G2411" i="2"/>
  <c r="E2411" i="2"/>
  <c r="J2410" i="2"/>
  <c r="I2410" i="2"/>
  <c r="H2410" i="2"/>
  <c r="G2410" i="2"/>
  <c r="E2410" i="2"/>
  <c r="I2409" i="2"/>
  <c r="J2409" i="2" s="1"/>
  <c r="H2409" i="2"/>
  <c r="G2409" i="2"/>
  <c r="E2409" i="2"/>
  <c r="J2408" i="2"/>
  <c r="I2408" i="2"/>
  <c r="H2408" i="2"/>
  <c r="G2408" i="2"/>
  <c r="E2408" i="2"/>
  <c r="I2407" i="2"/>
  <c r="J2407" i="2" s="1"/>
  <c r="H2407" i="2"/>
  <c r="G2407" i="2"/>
  <c r="E2407" i="2"/>
  <c r="J2406" i="2"/>
  <c r="I2406" i="2"/>
  <c r="H2406" i="2"/>
  <c r="G2406" i="2"/>
  <c r="E2406" i="2"/>
  <c r="I2405" i="2"/>
  <c r="J2405" i="2" s="1"/>
  <c r="H2405" i="2"/>
  <c r="G2405" i="2"/>
  <c r="E2405" i="2"/>
  <c r="I2404" i="2"/>
  <c r="J2404" i="2" s="1"/>
  <c r="H2404" i="2"/>
  <c r="G2404" i="2"/>
  <c r="E2404" i="2"/>
  <c r="I2403" i="2"/>
  <c r="J2403" i="2" s="1"/>
  <c r="H2403" i="2"/>
  <c r="G2403" i="2"/>
  <c r="E2403" i="2"/>
  <c r="J2402" i="2"/>
  <c r="I2402" i="2"/>
  <c r="H2402" i="2"/>
  <c r="G2402" i="2"/>
  <c r="E2402" i="2"/>
  <c r="I2401" i="2"/>
  <c r="J2401" i="2" s="1"/>
  <c r="H2401" i="2"/>
  <c r="G2401" i="2"/>
  <c r="E2401" i="2"/>
  <c r="I2400" i="2"/>
  <c r="J2400" i="2" s="1"/>
  <c r="H2400" i="2"/>
  <c r="G2400" i="2"/>
  <c r="E2400" i="2"/>
  <c r="J2399" i="2"/>
  <c r="I2399" i="2"/>
  <c r="H2399" i="2"/>
  <c r="G2399" i="2"/>
  <c r="E2399" i="2"/>
  <c r="I2398" i="2"/>
  <c r="J2398" i="2" s="1"/>
  <c r="H2398" i="2"/>
  <c r="G2398" i="2"/>
  <c r="E2398" i="2"/>
  <c r="I2397" i="2"/>
  <c r="J2397" i="2" s="1"/>
  <c r="H2397" i="2"/>
  <c r="G2397" i="2"/>
  <c r="E2397" i="2"/>
  <c r="I2396" i="2"/>
  <c r="J2396" i="2" s="1"/>
  <c r="H2396" i="2"/>
  <c r="G2396" i="2"/>
  <c r="E2396" i="2"/>
  <c r="I2395" i="2"/>
  <c r="J2395" i="2" s="1"/>
  <c r="H2395" i="2"/>
  <c r="G2395" i="2"/>
  <c r="E2395" i="2"/>
  <c r="I2394" i="2"/>
  <c r="J2394" i="2" s="1"/>
  <c r="H2394" i="2"/>
  <c r="G2394" i="2"/>
  <c r="E2394" i="2"/>
  <c r="J2393" i="2"/>
  <c r="I2393" i="2"/>
  <c r="H2393" i="2"/>
  <c r="G2393" i="2"/>
  <c r="E2393" i="2"/>
  <c r="J2392" i="2"/>
  <c r="I2392" i="2"/>
  <c r="H2392" i="2"/>
  <c r="G2392" i="2"/>
  <c r="E2392" i="2"/>
  <c r="I2391" i="2"/>
  <c r="J2391" i="2" s="1"/>
  <c r="H2391" i="2"/>
  <c r="G2391" i="2"/>
  <c r="E2391" i="2"/>
  <c r="J2390" i="2"/>
  <c r="I2390" i="2"/>
  <c r="H2390" i="2"/>
  <c r="G2390" i="2"/>
  <c r="E2390" i="2"/>
  <c r="I2389" i="2"/>
  <c r="J2389" i="2" s="1"/>
  <c r="H2389" i="2"/>
  <c r="G2389" i="2"/>
  <c r="E2389" i="2"/>
  <c r="J2388" i="2"/>
  <c r="I2388" i="2"/>
  <c r="H2388" i="2"/>
  <c r="G2388" i="2"/>
  <c r="E2388" i="2"/>
  <c r="I2387" i="2"/>
  <c r="J2387" i="2" s="1"/>
  <c r="H2387" i="2"/>
  <c r="G2387" i="2"/>
  <c r="E2387" i="2"/>
  <c r="I2386" i="2"/>
  <c r="J2386" i="2" s="1"/>
  <c r="H2386" i="2"/>
  <c r="G2386" i="2"/>
  <c r="E2386" i="2"/>
  <c r="I2385" i="2"/>
  <c r="J2385" i="2" s="1"/>
  <c r="H2385" i="2"/>
  <c r="G2385" i="2"/>
  <c r="E2385" i="2"/>
  <c r="J2384" i="2"/>
  <c r="I2384" i="2"/>
  <c r="H2384" i="2"/>
  <c r="G2384" i="2"/>
  <c r="E2384" i="2"/>
  <c r="I2383" i="2"/>
  <c r="J2383" i="2" s="1"/>
  <c r="H2383" i="2"/>
  <c r="G2383" i="2"/>
  <c r="E2383" i="2"/>
  <c r="I2382" i="2"/>
  <c r="J2382" i="2" s="1"/>
  <c r="H2382" i="2"/>
  <c r="G2382" i="2"/>
  <c r="E2382" i="2"/>
  <c r="J2381" i="2"/>
  <c r="I2381" i="2"/>
  <c r="H2381" i="2"/>
  <c r="G2381" i="2"/>
  <c r="E2381" i="2"/>
  <c r="I2380" i="2"/>
  <c r="J2380" i="2" s="1"/>
  <c r="H2380" i="2"/>
  <c r="G2380" i="2"/>
  <c r="E2380" i="2"/>
  <c r="I2379" i="2"/>
  <c r="J2379" i="2" s="1"/>
  <c r="H2379" i="2"/>
  <c r="G2379" i="2"/>
  <c r="E2379" i="2"/>
  <c r="I2378" i="2"/>
  <c r="J2378" i="2" s="1"/>
  <c r="H2378" i="2"/>
  <c r="G2378" i="2"/>
  <c r="E2378" i="2"/>
  <c r="I2377" i="2"/>
  <c r="J2377" i="2" s="1"/>
  <c r="H2377" i="2"/>
  <c r="G2377" i="2"/>
  <c r="E2377" i="2"/>
  <c r="I2376" i="2"/>
  <c r="J2376" i="2" s="1"/>
  <c r="H2376" i="2"/>
  <c r="G2376" i="2"/>
  <c r="E2376" i="2"/>
  <c r="J2375" i="2"/>
  <c r="I2375" i="2"/>
  <c r="H2375" i="2"/>
  <c r="G2375" i="2"/>
  <c r="E2375" i="2"/>
  <c r="J2374" i="2"/>
  <c r="I2374" i="2"/>
  <c r="H2374" i="2"/>
  <c r="G2374" i="2"/>
  <c r="E2374" i="2"/>
  <c r="I2373" i="2"/>
  <c r="J2373" i="2" s="1"/>
  <c r="H2373" i="2"/>
  <c r="G2373" i="2"/>
  <c r="E2373" i="2"/>
  <c r="J2372" i="2"/>
  <c r="I2372" i="2"/>
  <c r="H2372" i="2"/>
  <c r="G2372" i="2"/>
  <c r="E2372" i="2"/>
  <c r="I2371" i="2"/>
  <c r="J2371" i="2" s="1"/>
  <c r="H2371" i="2"/>
  <c r="G2371" i="2"/>
  <c r="E2371" i="2"/>
  <c r="J2370" i="2"/>
  <c r="I2370" i="2"/>
  <c r="H2370" i="2"/>
  <c r="G2370" i="2"/>
  <c r="E2370" i="2"/>
  <c r="I2369" i="2"/>
  <c r="J2369" i="2" s="1"/>
  <c r="H2369" i="2"/>
  <c r="G2369" i="2"/>
  <c r="E2369" i="2"/>
  <c r="I2368" i="2"/>
  <c r="J2368" i="2" s="1"/>
  <c r="H2368" i="2"/>
  <c r="G2368" i="2"/>
  <c r="E2368" i="2"/>
  <c r="I2367" i="2"/>
  <c r="J2367" i="2" s="1"/>
  <c r="H2367" i="2"/>
  <c r="G2367" i="2"/>
  <c r="E2367" i="2"/>
  <c r="J2366" i="2"/>
  <c r="I2366" i="2"/>
  <c r="H2366" i="2"/>
  <c r="G2366" i="2"/>
  <c r="E2366" i="2"/>
  <c r="I2365" i="2"/>
  <c r="J2365" i="2" s="1"/>
  <c r="H2365" i="2"/>
  <c r="G2365" i="2"/>
  <c r="E2365" i="2"/>
  <c r="I2364" i="2"/>
  <c r="J2364" i="2" s="1"/>
  <c r="H2364" i="2"/>
  <c r="G2364" i="2"/>
  <c r="E2364" i="2"/>
  <c r="J2363" i="2"/>
  <c r="I2363" i="2"/>
  <c r="H2363" i="2"/>
  <c r="G2363" i="2"/>
  <c r="E2363" i="2"/>
  <c r="I2362" i="2"/>
  <c r="J2362" i="2" s="1"/>
  <c r="H2362" i="2"/>
  <c r="G2362" i="2"/>
  <c r="E2362" i="2"/>
  <c r="I2361" i="2"/>
  <c r="J2361" i="2" s="1"/>
  <c r="H2361" i="2"/>
  <c r="G2361" i="2"/>
  <c r="E2361" i="2"/>
  <c r="I2360" i="2"/>
  <c r="J2360" i="2" s="1"/>
  <c r="H2360" i="2"/>
  <c r="G2360" i="2"/>
  <c r="E2360" i="2"/>
  <c r="I2359" i="2"/>
  <c r="J2359" i="2" s="1"/>
  <c r="H2359" i="2"/>
  <c r="G2359" i="2"/>
  <c r="E2359" i="2"/>
  <c r="I2358" i="2"/>
  <c r="J2358" i="2" s="1"/>
  <c r="H2358" i="2"/>
  <c r="G2358" i="2"/>
  <c r="E2358" i="2"/>
  <c r="J2357" i="2"/>
  <c r="I2357" i="2"/>
  <c r="H2357" i="2"/>
  <c r="G2357" i="2"/>
  <c r="E2357" i="2"/>
  <c r="J2356" i="2"/>
  <c r="I2356" i="2"/>
  <c r="H2356" i="2"/>
  <c r="G2356" i="2"/>
  <c r="E2356" i="2"/>
  <c r="I2355" i="2"/>
  <c r="J2355" i="2" s="1"/>
  <c r="H2355" i="2"/>
  <c r="G2355" i="2"/>
  <c r="E2355" i="2"/>
  <c r="J2354" i="2"/>
  <c r="I2354" i="2"/>
  <c r="H2354" i="2"/>
  <c r="G2354" i="2"/>
  <c r="E2354" i="2"/>
  <c r="I2353" i="2"/>
  <c r="J2353" i="2" s="1"/>
  <c r="H2353" i="2"/>
  <c r="G2353" i="2"/>
  <c r="E2353" i="2"/>
  <c r="J2352" i="2"/>
  <c r="I2352" i="2"/>
  <c r="H2352" i="2"/>
  <c r="G2352" i="2"/>
  <c r="E2352" i="2"/>
  <c r="I2351" i="2"/>
  <c r="J2351" i="2" s="1"/>
  <c r="H2351" i="2"/>
  <c r="G2351" i="2"/>
  <c r="E2351" i="2"/>
  <c r="J2350" i="2"/>
  <c r="I2350" i="2"/>
  <c r="H2350" i="2"/>
  <c r="G2350" i="2"/>
  <c r="E2350" i="2"/>
  <c r="I2349" i="2"/>
  <c r="J2349" i="2" s="1"/>
  <c r="H2349" i="2"/>
  <c r="G2349" i="2"/>
  <c r="E2349" i="2"/>
  <c r="J2348" i="2"/>
  <c r="I2348" i="2"/>
  <c r="H2348" i="2"/>
  <c r="G2348" i="2"/>
  <c r="E2348" i="2"/>
  <c r="I2347" i="2"/>
  <c r="J2347" i="2" s="1"/>
  <c r="H2347" i="2"/>
  <c r="G2347" i="2"/>
  <c r="E2347" i="2"/>
  <c r="J2346" i="2"/>
  <c r="I2346" i="2"/>
  <c r="H2346" i="2"/>
  <c r="G2346" i="2"/>
  <c r="E2346" i="2"/>
  <c r="I2345" i="2"/>
  <c r="J2345" i="2" s="1"/>
  <c r="H2345" i="2"/>
  <c r="G2345" i="2"/>
  <c r="E2345" i="2"/>
  <c r="J2344" i="2"/>
  <c r="I2344" i="2"/>
  <c r="H2344" i="2"/>
  <c r="G2344" i="2"/>
  <c r="E2344" i="2"/>
  <c r="I2343" i="2"/>
  <c r="J2343" i="2" s="1"/>
  <c r="H2343" i="2"/>
  <c r="G2343" i="2"/>
  <c r="E2343" i="2"/>
  <c r="J2342" i="2"/>
  <c r="I2342" i="2"/>
  <c r="H2342" i="2"/>
  <c r="G2342" i="2"/>
  <c r="E2342" i="2"/>
  <c r="I2341" i="2"/>
  <c r="J2341" i="2" s="1"/>
  <c r="H2341" i="2"/>
  <c r="G2341" i="2"/>
  <c r="E2341" i="2"/>
  <c r="J2340" i="2"/>
  <c r="I2340" i="2"/>
  <c r="H2340" i="2"/>
  <c r="G2340" i="2"/>
  <c r="E2340" i="2"/>
  <c r="I2339" i="2"/>
  <c r="J2339" i="2" s="1"/>
  <c r="H2339" i="2"/>
  <c r="G2339" i="2"/>
  <c r="E2339" i="2"/>
  <c r="J2338" i="2"/>
  <c r="I2338" i="2"/>
  <c r="H2338" i="2"/>
  <c r="G2338" i="2"/>
  <c r="E2338" i="2"/>
  <c r="I2337" i="2"/>
  <c r="J2337" i="2" s="1"/>
  <c r="H2337" i="2"/>
  <c r="G2337" i="2"/>
  <c r="E2337" i="2"/>
  <c r="J2336" i="2"/>
  <c r="I2336" i="2"/>
  <c r="H2336" i="2"/>
  <c r="G2336" i="2"/>
  <c r="E2336" i="2"/>
  <c r="I2335" i="2"/>
  <c r="J2335" i="2" s="1"/>
  <c r="H2335" i="2"/>
  <c r="G2335" i="2"/>
  <c r="E2335" i="2"/>
  <c r="J2334" i="2"/>
  <c r="I2334" i="2"/>
  <c r="H2334" i="2"/>
  <c r="G2334" i="2"/>
  <c r="E2334" i="2"/>
  <c r="I2333" i="2"/>
  <c r="J2333" i="2" s="1"/>
  <c r="H2333" i="2"/>
  <c r="G2333" i="2"/>
  <c r="E2333" i="2"/>
  <c r="J2332" i="2"/>
  <c r="I2332" i="2"/>
  <c r="H2332" i="2"/>
  <c r="G2332" i="2"/>
  <c r="E2332" i="2"/>
  <c r="I2331" i="2"/>
  <c r="J2331" i="2" s="1"/>
  <c r="H2331" i="2"/>
  <c r="G2331" i="2"/>
  <c r="E2331" i="2"/>
  <c r="J2330" i="2"/>
  <c r="I2330" i="2"/>
  <c r="H2330" i="2"/>
  <c r="G2330" i="2"/>
  <c r="E2330" i="2"/>
  <c r="I2329" i="2"/>
  <c r="J2329" i="2" s="1"/>
  <c r="H2329" i="2"/>
  <c r="G2329" i="2"/>
  <c r="E2329" i="2"/>
  <c r="J2328" i="2"/>
  <c r="I2328" i="2"/>
  <c r="H2328" i="2"/>
  <c r="G2328" i="2"/>
  <c r="E2328" i="2"/>
  <c r="I2327" i="2"/>
  <c r="J2327" i="2" s="1"/>
  <c r="H2327" i="2"/>
  <c r="G2327" i="2"/>
  <c r="E2327" i="2"/>
  <c r="J2326" i="2"/>
  <c r="I2326" i="2"/>
  <c r="H2326" i="2"/>
  <c r="G2326" i="2"/>
  <c r="E2326" i="2"/>
  <c r="I2325" i="2"/>
  <c r="J2325" i="2" s="1"/>
  <c r="H2325" i="2"/>
  <c r="G2325" i="2"/>
  <c r="E2325" i="2"/>
  <c r="J2324" i="2"/>
  <c r="I2324" i="2"/>
  <c r="H2324" i="2"/>
  <c r="G2324" i="2"/>
  <c r="E2324" i="2"/>
  <c r="I2323" i="2"/>
  <c r="J2323" i="2" s="1"/>
  <c r="H2323" i="2"/>
  <c r="G2323" i="2"/>
  <c r="E2323" i="2"/>
  <c r="J2322" i="2"/>
  <c r="I2322" i="2"/>
  <c r="H2322" i="2"/>
  <c r="G2322" i="2"/>
  <c r="E2322" i="2"/>
  <c r="I2321" i="2"/>
  <c r="J2321" i="2" s="1"/>
  <c r="H2321" i="2"/>
  <c r="G2321" i="2"/>
  <c r="E2321" i="2"/>
  <c r="J2320" i="2"/>
  <c r="I2320" i="2"/>
  <c r="H2320" i="2"/>
  <c r="G2320" i="2"/>
  <c r="E2320" i="2"/>
  <c r="I2319" i="2"/>
  <c r="J2319" i="2" s="1"/>
  <c r="H2319" i="2"/>
  <c r="G2319" i="2"/>
  <c r="E2319" i="2"/>
  <c r="J2318" i="2"/>
  <c r="I2318" i="2"/>
  <c r="H2318" i="2"/>
  <c r="G2318" i="2"/>
  <c r="E2318" i="2"/>
  <c r="I2317" i="2"/>
  <c r="J2317" i="2" s="1"/>
  <c r="H2317" i="2"/>
  <c r="G2317" i="2"/>
  <c r="E2317" i="2"/>
  <c r="J2316" i="2"/>
  <c r="I2316" i="2"/>
  <c r="H2316" i="2"/>
  <c r="G2316" i="2"/>
  <c r="E2316" i="2"/>
  <c r="I2315" i="2"/>
  <c r="J2315" i="2" s="1"/>
  <c r="H2315" i="2"/>
  <c r="G2315" i="2"/>
  <c r="E2315" i="2"/>
  <c r="J2314" i="2"/>
  <c r="I2314" i="2"/>
  <c r="H2314" i="2"/>
  <c r="G2314" i="2"/>
  <c r="E2314" i="2"/>
  <c r="I2313" i="2"/>
  <c r="J2313" i="2" s="1"/>
  <c r="H2313" i="2"/>
  <c r="G2313" i="2"/>
  <c r="E2313" i="2"/>
  <c r="J2312" i="2"/>
  <c r="I2312" i="2"/>
  <c r="H2312" i="2"/>
  <c r="G2312" i="2"/>
  <c r="E2312" i="2"/>
  <c r="I2311" i="2"/>
  <c r="J2311" i="2" s="1"/>
  <c r="H2311" i="2"/>
  <c r="G2311" i="2"/>
  <c r="E2311" i="2"/>
  <c r="J2310" i="2"/>
  <c r="I2310" i="2"/>
  <c r="H2310" i="2"/>
  <c r="G2310" i="2"/>
  <c r="E2310" i="2"/>
  <c r="I2309" i="2"/>
  <c r="J2309" i="2" s="1"/>
  <c r="H2309" i="2"/>
  <c r="G2309" i="2"/>
  <c r="E2309" i="2"/>
  <c r="J2308" i="2"/>
  <c r="I2308" i="2"/>
  <c r="H2308" i="2"/>
  <c r="G2308" i="2"/>
  <c r="E2308" i="2"/>
  <c r="I2307" i="2"/>
  <c r="J2307" i="2" s="1"/>
  <c r="H2307" i="2"/>
  <c r="G2307" i="2"/>
  <c r="E2307" i="2"/>
  <c r="J2306" i="2"/>
  <c r="I2306" i="2"/>
  <c r="H2306" i="2"/>
  <c r="G2306" i="2"/>
  <c r="E2306" i="2"/>
  <c r="I2305" i="2"/>
  <c r="J2305" i="2" s="1"/>
  <c r="H2305" i="2"/>
  <c r="G2305" i="2"/>
  <c r="E2305" i="2"/>
  <c r="J2304" i="2"/>
  <c r="I2304" i="2"/>
  <c r="H2304" i="2"/>
  <c r="G2304" i="2"/>
  <c r="E2304" i="2"/>
  <c r="I2303" i="2"/>
  <c r="J2303" i="2" s="1"/>
  <c r="H2303" i="2"/>
  <c r="G2303" i="2"/>
  <c r="E2303" i="2"/>
  <c r="I2302" i="2"/>
  <c r="J2302" i="2" s="1"/>
  <c r="H2302" i="2"/>
  <c r="G2302" i="2"/>
  <c r="E2302" i="2"/>
  <c r="I2301" i="2"/>
  <c r="J2301" i="2" s="1"/>
  <c r="H2301" i="2"/>
  <c r="G2301" i="2"/>
  <c r="E2301" i="2"/>
  <c r="J2300" i="2"/>
  <c r="I2300" i="2"/>
  <c r="H2300" i="2"/>
  <c r="G2300" i="2"/>
  <c r="E2300" i="2"/>
  <c r="I2299" i="2"/>
  <c r="J2299" i="2" s="1"/>
  <c r="H2299" i="2"/>
  <c r="G2299" i="2"/>
  <c r="E2299" i="2"/>
  <c r="I2298" i="2"/>
  <c r="J2298" i="2" s="1"/>
  <c r="H2298" i="2"/>
  <c r="G2298" i="2"/>
  <c r="E2298" i="2"/>
  <c r="I2297" i="2"/>
  <c r="J2297" i="2" s="1"/>
  <c r="H2297" i="2"/>
  <c r="G2297" i="2"/>
  <c r="E2297" i="2"/>
  <c r="J2296" i="2"/>
  <c r="I2296" i="2"/>
  <c r="H2296" i="2"/>
  <c r="G2296" i="2"/>
  <c r="E2296" i="2"/>
  <c r="I2295" i="2"/>
  <c r="J2295" i="2" s="1"/>
  <c r="H2295" i="2"/>
  <c r="G2295" i="2"/>
  <c r="E2295" i="2"/>
  <c r="I2294" i="2"/>
  <c r="J2294" i="2" s="1"/>
  <c r="H2294" i="2"/>
  <c r="G2294" i="2"/>
  <c r="E2294" i="2"/>
  <c r="I2293" i="2"/>
  <c r="J2293" i="2" s="1"/>
  <c r="H2293" i="2"/>
  <c r="G2293" i="2"/>
  <c r="E2293" i="2"/>
  <c r="J2292" i="2"/>
  <c r="I2292" i="2"/>
  <c r="H2292" i="2"/>
  <c r="G2292" i="2"/>
  <c r="E2292" i="2"/>
  <c r="I2291" i="2"/>
  <c r="J2291" i="2" s="1"/>
  <c r="H2291" i="2"/>
  <c r="G2291" i="2"/>
  <c r="E2291" i="2"/>
  <c r="I2290" i="2"/>
  <c r="J2290" i="2" s="1"/>
  <c r="H2290" i="2"/>
  <c r="G2290" i="2"/>
  <c r="E2290" i="2"/>
  <c r="I2289" i="2"/>
  <c r="J2289" i="2" s="1"/>
  <c r="H2289" i="2"/>
  <c r="G2289" i="2"/>
  <c r="E2289" i="2"/>
  <c r="J2288" i="2"/>
  <c r="I2288" i="2"/>
  <c r="H2288" i="2"/>
  <c r="G2288" i="2"/>
  <c r="E2288" i="2"/>
  <c r="I2287" i="2"/>
  <c r="J2287" i="2" s="1"/>
  <c r="H2287" i="2"/>
  <c r="G2287" i="2"/>
  <c r="E2287" i="2"/>
  <c r="I2286" i="2"/>
  <c r="J2286" i="2" s="1"/>
  <c r="H2286" i="2"/>
  <c r="G2286" i="2"/>
  <c r="E2286" i="2"/>
  <c r="I2285" i="2"/>
  <c r="J2285" i="2" s="1"/>
  <c r="H2285" i="2"/>
  <c r="G2285" i="2"/>
  <c r="E2285" i="2"/>
  <c r="J2284" i="2"/>
  <c r="I2284" i="2"/>
  <c r="H2284" i="2"/>
  <c r="G2284" i="2"/>
  <c r="E2284" i="2"/>
  <c r="I2283" i="2"/>
  <c r="J2283" i="2" s="1"/>
  <c r="H2283" i="2"/>
  <c r="G2283" i="2"/>
  <c r="E2283" i="2"/>
  <c r="I2282" i="2"/>
  <c r="J2282" i="2" s="1"/>
  <c r="H2282" i="2"/>
  <c r="G2282" i="2"/>
  <c r="E2282" i="2"/>
  <c r="I2281" i="2"/>
  <c r="J2281" i="2" s="1"/>
  <c r="H2281" i="2"/>
  <c r="G2281" i="2"/>
  <c r="E2281" i="2"/>
  <c r="J2280" i="2"/>
  <c r="I2280" i="2"/>
  <c r="H2280" i="2"/>
  <c r="G2280" i="2"/>
  <c r="E2280" i="2"/>
  <c r="I2279" i="2"/>
  <c r="J2279" i="2" s="1"/>
  <c r="H2279" i="2"/>
  <c r="G2279" i="2"/>
  <c r="E2279" i="2"/>
  <c r="I2278" i="2"/>
  <c r="J2278" i="2" s="1"/>
  <c r="H2278" i="2"/>
  <c r="G2278" i="2"/>
  <c r="E2278" i="2"/>
  <c r="I2277" i="2"/>
  <c r="J2277" i="2" s="1"/>
  <c r="H2277" i="2"/>
  <c r="G2277" i="2"/>
  <c r="E2277" i="2"/>
  <c r="J2276" i="2"/>
  <c r="I2276" i="2"/>
  <c r="H2276" i="2"/>
  <c r="G2276" i="2"/>
  <c r="E2276" i="2"/>
  <c r="I2275" i="2"/>
  <c r="J2275" i="2" s="1"/>
  <c r="H2275" i="2"/>
  <c r="G2275" i="2"/>
  <c r="E2275" i="2"/>
  <c r="I2274" i="2"/>
  <c r="J2274" i="2" s="1"/>
  <c r="H2274" i="2"/>
  <c r="G2274" i="2"/>
  <c r="E2274" i="2"/>
  <c r="I2273" i="2"/>
  <c r="J2273" i="2" s="1"/>
  <c r="H2273" i="2"/>
  <c r="G2273" i="2"/>
  <c r="E2273" i="2"/>
  <c r="J2272" i="2"/>
  <c r="I2272" i="2"/>
  <c r="H2272" i="2"/>
  <c r="G2272" i="2"/>
  <c r="E2272" i="2"/>
  <c r="I2271" i="2"/>
  <c r="J2271" i="2" s="1"/>
  <c r="H2271" i="2"/>
  <c r="G2271" i="2"/>
  <c r="E2271" i="2"/>
  <c r="I2270" i="2"/>
  <c r="J2270" i="2" s="1"/>
  <c r="H2270" i="2"/>
  <c r="G2270" i="2"/>
  <c r="E2270" i="2"/>
  <c r="I2269" i="2"/>
  <c r="J2269" i="2" s="1"/>
  <c r="H2269" i="2"/>
  <c r="G2269" i="2"/>
  <c r="E2269" i="2"/>
  <c r="J2268" i="2"/>
  <c r="I2268" i="2"/>
  <c r="H2268" i="2"/>
  <c r="G2268" i="2"/>
  <c r="E2268" i="2"/>
  <c r="I2267" i="2"/>
  <c r="J2267" i="2" s="1"/>
  <c r="H2267" i="2"/>
  <c r="G2267" i="2"/>
  <c r="E2267" i="2"/>
  <c r="I2266" i="2"/>
  <c r="J2266" i="2" s="1"/>
  <c r="H2266" i="2"/>
  <c r="G2266" i="2"/>
  <c r="E2266" i="2"/>
  <c r="I2265" i="2"/>
  <c r="J2265" i="2" s="1"/>
  <c r="H2265" i="2"/>
  <c r="G2265" i="2"/>
  <c r="E2265" i="2"/>
  <c r="J2264" i="2"/>
  <c r="I2264" i="2"/>
  <c r="H2264" i="2"/>
  <c r="G2264" i="2"/>
  <c r="E2264" i="2"/>
  <c r="I2263" i="2"/>
  <c r="J2263" i="2" s="1"/>
  <c r="H2263" i="2"/>
  <c r="G2263" i="2"/>
  <c r="E2263" i="2"/>
  <c r="I2262" i="2"/>
  <c r="J2262" i="2" s="1"/>
  <c r="H2262" i="2"/>
  <c r="G2262" i="2"/>
  <c r="E2262" i="2"/>
  <c r="I2261" i="2"/>
  <c r="J2261" i="2" s="1"/>
  <c r="H2261" i="2"/>
  <c r="G2261" i="2"/>
  <c r="E2261" i="2"/>
  <c r="J2260" i="2"/>
  <c r="I2260" i="2"/>
  <c r="H2260" i="2"/>
  <c r="G2260" i="2"/>
  <c r="E2260" i="2"/>
  <c r="I2259" i="2"/>
  <c r="J2259" i="2" s="1"/>
  <c r="H2259" i="2"/>
  <c r="G2259" i="2"/>
  <c r="E2259" i="2"/>
  <c r="I2258" i="2"/>
  <c r="J2258" i="2" s="1"/>
  <c r="H2258" i="2"/>
  <c r="G2258" i="2"/>
  <c r="E2258" i="2"/>
  <c r="I2257" i="2"/>
  <c r="J2257" i="2" s="1"/>
  <c r="H2257" i="2"/>
  <c r="G2257" i="2"/>
  <c r="E2257" i="2"/>
  <c r="J2256" i="2"/>
  <c r="I2256" i="2"/>
  <c r="H2256" i="2"/>
  <c r="G2256" i="2"/>
  <c r="E2256" i="2"/>
  <c r="I2255" i="2"/>
  <c r="J2255" i="2" s="1"/>
  <c r="H2255" i="2"/>
  <c r="G2255" i="2"/>
  <c r="E2255" i="2"/>
  <c r="I2254" i="2"/>
  <c r="J2254" i="2" s="1"/>
  <c r="H2254" i="2"/>
  <c r="G2254" i="2"/>
  <c r="E2254" i="2"/>
  <c r="I2253" i="2"/>
  <c r="J2253" i="2" s="1"/>
  <c r="H2253" i="2"/>
  <c r="G2253" i="2"/>
  <c r="E2253" i="2"/>
  <c r="J2252" i="2"/>
  <c r="I2252" i="2"/>
  <c r="H2252" i="2"/>
  <c r="G2252" i="2"/>
  <c r="E2252" i="2"/>
  <c r="I2251" i="2"/>
  <c r="J2251" i="2" s="1"/>
  <c r="H2251" i="2"/>
  <c r="G2251" i="2"/>
  <c r="E2251" i="2"/>
  <c r="I2250" i="2"/>
  <c r="J2250" i="2" s="1"/>
  <c r="H2250" i="2"/>
  <c r="G2250" i="2"/>
  <c r="E2250" i="2"/>
  <c r="I2249" i="2"/>
  <c r="J2249" i="2" s="1"/>
  <c r="H2249" i="2"/>
  <c r="G2249" i="2"/>
  <c r="E2249" i="2"/>
  <c r="J2248" i="2"/>
  <c r="I2248" i="2"/>
  <c r="H2248" i="2"/>
  <c r="G2248" i="2"/>
  <c r="E2248" i="2"/>
  <c r="I2247" i="2"/>
  <c r="J2247" i="2" s="1"/>
  <c r="H2247" i="2"/>
  <c r="G2247" i="2"/>
  <c r="E2247" i="2"/>
  <c r="I2246" i="2"/>
  <c r="J2246" i="2" s="1"/>
  <c r="H2246" i="2"/>
  <c r="G2246" i="2"/>
  <c r="E2246" i="2"/>
  <c r="I2245" i="2"/>
  <c r="J2245" i="2" s="1"/>
  <c r="H2245" i="2"/>
  <c r="G2245" i="2"/>
  <c r="E2245" i="2"/>
  <c r="J2244" i="2"/>
  <c r="I2244" i="2"/>
  <c r="H2244" i="2"/>
  <c r="G2244" i="2"/>
  <c r="E2244" i="2"/>
  <c r="I2243" i="2"/>
  <c r="J2243" i="2" s="1"/>
  <c r="H2243" i="2"/>
  <c r="G2243" i="2"/>
  <c r="E2243" i="2"/>
  <c r="I2242" i="2"/>
  <c r="J2242" i="2" s="1"/>
  <c r="H2242" i="2"/>
  <c r="G2242" i="2"/>
  <c r="E2242" i="2"/>
  <c r="I2241" i="2"/>
  <c r="J2241" i="2" s="1"/>
  <c r="H2241" i="2"/>
  <c r="G2241" i="2"/>
  <c r="E2241" i="2"/>
  <c r="J2240" i="2"/>
  <c r="I2240" i="2"/>
  <c r="H2240" i="2"/>
  <c r="G2240" i="2"/>
  <c r="E2240" i="2"/>
  <c r="I2239" i="2"/>
  <c r="J2239" i="2" s="1"/>
  <c r="H2239" i="2"/>
  <c r="G2239" i="2"/>
  <c r="E2239" i="2"/>
  <c r="I2238" i="2"/>
  <c r="J2238" i="2" s="1"/>
  <c r="H2238" i="2"/>
  <c r="G2238" i="2"/>
  <c r="E2238" i="2"/>
  <c r="I2237" i="2"/>
  <c r="J2237" i="2" s="1"/>
  <c r="H2237" i="2"/>
  <c r="G2237" i="2"/>
  <c r="E2237" i="2"/>
  <c r="J2236" i="2"/>
  <c r="I2236" i="2"/>
  <c r="H2236" i="2"/>
  <c r="G2236" i="2"/>
  <c r="E2236" i="2"/>
  <c r="I2235" i="2"/>
  <c r="J2235" i="2" s="1"/>
  <c r="H2235" i="2"/>
  <c r="G2235" i="2"/>
  <c r="E2235" i="2"/>
  <c r="I2234" i="2"/>
  <c r="J2234" i="2" s="1"/>
  <c r="H2234" i="2"/>
  <c r="G2234" i="2"/>
  <c r="E2234" i="2"/>
  <c r="I2233" i="2"/>
  <c r="J2233" i="2" s="1"/>
  <c r="H2233" i="2"/>
  <c r="G2233" i="2"/>
  <c r="E2233" i="2"/>
  <c r="J2232" i="2"/>
  <c r="I2232" i="2"/>
  <c r="H2232" i="2"/>
  <c r="G2232" i="2"/>
  <c r="E2232" i="2"/>
  <c r="I2231" i="2"/>
  <c r="J2231" i="2" s="1"/>
  <c r="H2231" i="2"/>
  <c r="G2231" i="2"/>
  <c r="E2231" i="2"/>
  <c r="I2230" i="2"/>
  <c r="J2230" i="2" s="1"/>
  <c r="H2230" i="2"/>
  <c r="G2230" i="2"/>
  <c r="E2230" i="2"/>
  <c r="I2229" i="2"/>
  <c r="J2229" i="2" s="1"/>
  <c r="H2229" i="2"/>
  <c r="G2229" i="2"/>
  <c r="E2229" i="2"/>
  <c r="J2228" i="2"/>
  <c r="I2228" i="2"/>
  <c r="H2228" i="2"/>
  <c r="G2228" i="2"/>
  <c r="E2228" i="2"/>
  <c r="I2227" i="2"/>
  <c r="J2227" i="2" s="1"/>
  <c r="H2227" i="2"/>
  <c r="G2227" i="2"/>
  <c r="E2227" i="2"/>
  <c r="I2226" i="2"/>
  <c r="J2226" i="2" s="1"/>
  <c r="H2226" i="2"/>
  <c r="G2226" i="2"/>
  <c r="E2226" i="2"/>
  <c r="I2225" i="2"/>
  <c r="J2225" i="2" s="1"/>
  <c r="H2225" i="2"/>
  <c r="G2225" i="2"/>
  <c r="E2225" i="2"/>
  <c r="J2224" i="2"/>
  <c r="I2224" i="2"/>
  <c r="H2224" i="2"/>
  <c r="G2224" i="2"/>
  <c r="E2224" i="2"/>
  <c r="I2223" i="2"/>
  <c r="J2223" i="2" s="1"/>
  <c r="H2223" i="2"/>
  <c r="G2223" i="2"/>
  <c r="E2223" i="2"/>
  <c r="I2222" i="2"/>
  <c r="J2222" i="2" s="1"/>
  <c r="H2222" i="2"/>
  <c r="G2222" i="2"/>
  <c r="E2222" i="2"/>
  <c r="I2221" i="2"/>
  <c r="J2221" i="2" s="1"/>
  <c r="H2221" i="2"/>
  <c r="G2221" i="2"/>
  <c r="E2221" i="2"/>
  <c r="J2220" i="2"/>
  <c r="I2220" i="2"/>
  <c r="H2220" i="2"/>
  <c r="G2220" i="2"/>
  <c r="E2220" i="2"/>
  <c r="I2219" i="2"/>
  <c r="J2219" i="2" s="1"/>
  <c r="H2219" i="2"/>
  <c r="G2219" i="2"/>
  <c r="E2219" i="2"/>
  <c r="I2218" i="2"/>
  <c r="J2218" i="2" s="1"/>
  <c r="H2218" i="2"/>
  <c r="G2218" i="2"/>
  <c r="E2218" i="2"/>
  <c r="I2217" i="2"/>
  <c r="J2217" i="2" s="1"/>
  <c r="H2217" i="2"/>
  <c r="G2217" i="2"/>
  <c r="E2217" i="2"/>
  <c r="J2216" i="2"/>
  <c r="I2216" i="2"/>
  <c r="H2216" i="2"/>
  <c r="G2216" i="2"/>
  <c r="E2216" i="2"/>
  <c r="I2215" i="2"/>
  <c r="J2215" i="2" s="1"/>
  <c r="H2215" i="2"/>
  <c r="G2215" i="2"/>
  <c r="E2215" i="2"/>
  <c r="I2214" i="2"/>
  <c r="J2214" i="2" s="1"/>
  <c r="H2214" i="2"/>
  <c r="G2214" i="2"/>
  <c r="E2214" i="2"/>
  <c r="I2213" i="2"/>
  <c r="J2213" i="2" s="1"/>
  <c r="H2213" i="2"/>
  <c r="G2213" i="2"/>
  <c r="E2213" i="2"/>
  <c r="J2212" i="2"/>
  <c r="I2212" i="2"/>
  <c r="H2212" i="2"/>
  <c r="G2212" i="2"/>
  <c r="E2212" i="2"/>
  <c r="I2211" i="2"/>
  <c r="J2211" i="2" s="1"/>
  <c r="H2211" i="2"/>
  <c r="G2211" i="2"/>
  <c r="E2211" i="2"/>
  <c r="I2210" i="2"/>
  <c r="J2210" i="2" s="1"/>
  <c r="H2210" i="2"/>
  <c r="G2210" i="2"/>
  <c r="E2210" i="2"/>
  <c r="I2209" i="2"/>
  <c r="J2209" i="2" s="1"/>
  <c r="H2209" i="2"/>
  <c r="G2209" i="2"/>
  <c r="E2209" i="2"/>
  <c r="J2208" i="2"/>
  <c r="I2208" i="2"/>
  <c r="H2208" i="2"/>
  <c r="G2208" i="2"/>
  <c r="E2208" i="2"/>
  <c r="I2207" i="2"/>
  <c r="J2207" i="2" s="1"/>
  <c r="H2207" i="2"/>
  <c r="G2207" i="2"/>
  <c r="E2207" i="2"/>
  <c r="I2206" i="2"/>
  <c r="J2206" i="2" s="1"/>
  <c r="H2206" i="2"/>
  <c r="G2206" i="2"/>
  <c r="E2206" i="2"/>
  <c r="I2205" i="2"/>
  <c r="J2205" i="2" s="1"/>
  <c r="H2205" i="2"/>
  <c r="G2205" i="2"/>
  <c r="E2205" i="2"/>
  <c r="J2204" i="2"/>
  <c r="I2204" i="2"/>
  <c r="H2204" i="2"/>
  <c r="G2204" i="2"/>
  <c r="E2204" i="2"/>
  <c r="I2203" i="2"/>
  <c r="J2203" i="2" s="1"/>
  <c r="H2203" i="2"/>
  <c r="G2203" i="2"/>
  <c r="E2203" i="2"/>
  <c r="I2202" i="2"/>
  <c r="J2202" i="2" s="1"/>
  <c r="H2202" i="2"/>
  <c r="G2202" i="2"/>
  <c r="E2202" i="2"/>
  <c r="I2201" i="2"/>
  <c r="J2201" i="2" s="1"/>
  <c r="H2201" i="2"/>
  <c r="G2201" i="2"/>
  <c r="E2201" i="2"/>
  <c r="J2200" i="2"/>
  <c r="I2200" i="2"/>
  <c r="H2200" i="2"/>
  <c r="G2200" i="2"/>
  <c r="E2200" i="2"/>
  <c r="I2199" i="2"/>
  <c r="J2199" i="2" s="1"/>
  <c r="H2199" i="2"/>
  <c r="G2199" i="2"/>
  <c r="E2199" i="2"/>
  <c r="I2198" i="2"/>
  <c r="J2198" i="2" s="1"/>
  <c r="H2198" i="2"/>
  <c r="G2198" i="2"/>
  <c r="E2198" i="2"/>
  <c r="I2197" i="2"/>
  <c r="J2197" i="2" s="1"/>
  <c r="H2197" i="2"/>
  <c r="G2197" i="2"/>
  <c r="E2197" i="2"/>
  <c r="J2196" i="2"/>
  <c r="I2196" i="2"/>
  <c r="H2196" i="2"/>
  <c r="G2196" i="2"/>
  <c r="E2196" i="2"/>
  <c r="I2195" i="2"/>
  <c r="J2195" i="2" s="1"/>
  <c r="H2195" i="2"/>
  <c r="G2195" i="2"/>
  <c r="E2195" i="2"/>
  <c r="I2194" i="2"/>
  <c r="J2194" i="2" s="1"/>
  <c r="H2194" i="2"/>
  <c r="G2194" i="2"/>
  <c r="E2194" i="2"/>
  <c r="I2193" i="2"/>
  <c r="J2193" i="2" s="1"/>
  <c r="H2193" i="2"/>
  <c r="G2193" i="2"/>
  <c r="E2193" i="2"/>
  <c r="J2192" i="2"/>
  <c r="I2192" i="2"/>
  <c r="H2192" i="2"/>
  <c r="G2192" i="2"/>
  <c r="E2192" i="2"/>
  <c r="I2191" i="2"/>
  <c r="J2191" i="2" s="1"/>
  <c r="H2191" i="2"/>
  <c r="G2191" i="2"/>
  <c r="E2191" i="2"/>
  <c r="I2190" i="2"/>
  <c r="J2190" i="2" s="1"/>
  <c r="H2190" i="2"/>
  <c r="G2190" i="2"/>
  <c r="E2190" i="2"/>
  <c r="I2189" i="2"/>
  <c r="J2189" i="2" s="1"/>
  <c r="H2189" i="2"/>
  <c r="G2189" i="2"/>
  <c r="E2189" i="2"/>
  <c r="J2188" i="2"/>
  <c r="I2188" i="2"/>
  <c r="H2188" i="2"/>
  <c r="G2188" i="2"/>
  <c r="E2188" i="2"/>
  <c r="I2187" i="2"/>
  <c r="J2187" i="2" s="1"/>
  <c r="H2187" i="2"/>
  <c r="G2187" i="2"/>
  <c r="E2187" i="2"/>
  <c r="I2186" i="2"/>
  <c r="J2186" i="2" s="1"/>
  <c r="H2186" i="2"/>
  <c r="G2186" i="2"/>
  <c r="E2186" i="2"/>
  <c r="I2185" i="2"/>
  <c r="J2185" i="2" s="1"/>
  <c r="H2185" i="2"/>
  <c r="G2185" i="2"/>
  <c r="E2185" i="2"/>
  <c r="J2184" i="2"/>
  <c r="I2184" i="2"/>
  <c r="H2184" i="2"/>
  <c r="G2184" i="2"/>
  <c r="E2184" i="2"/>
  <c r="I2183" i="2"/>
  <c r="J2183" i="2" s="1"/>
  <c r="H2183" i="2"/>
  <c r="G2183" i="2"/>
  <c r="E2183" i="2"/>
  <c r="I2182" i="2"/>
  <c r="J2182" i="2" s="1"/>
  <c r="H2182" i="2"/>
  <c r="G2182" i="2"/>
  <c r="E2182" i="2"/>
  <c r="I2181" i="2"/>
  <c r="J2181" i="2" s="1"/>
  <c r="H2181" i="2"/>
  <c r="G2181" i="2"/>
  <c r="E2181" i="2"/>
  <c r="J2180" i="2"/>
  <c r="I2180" i="2"/>
  <c r="H2180" i="2"/>
  <c r="G2180" i="2"/>
  <c r="E2180" i="2"/>
  <c r="I2179" i="2"/>
  <c r="J2179" i="2" s="1"/>
  <c r="H2179" i="2"/>
  <c r="G2179" i="2"/>
  <c r="E2179" i="2"/>
  <c r="I2178" i="2"/>
  <c r="J2178" i="2" s="1"/>
  <c r="H2178" i="2"/>
  <c r="G2178" i="2"/>
  <c r="E2178" i="2"/>
  <c r="I2177" i="2"/>
  <c r="J2177" i="2" s="1"/>
  <c r="H2177" i="2"/>
  <c r="G2177" i="2"/>
  <c r="E2177" i="2"/>
  <c r="J2176" i="2"/>
  <c r="I2176" i="2"/>
  <c r="H2176" i="2"/>
  <c r="G2176" i="2"/>
  <c r="E2176" i="2"/>
  <c r="I2175" i="2"/>
  <c r="J2175" i="2" s="1"/>
  <c r="H2175" i="2"/>
  <c r="G2175" i="2"/>
  <c r="E2175" i="2"/>
  <c r="I2174" i="2"/>
  <c r="J2174" i="2" s="1"/>
  <c r="H2174" i="2"/>
  <c r="G2174" i="2"/>
  <c r="E2174" i="2"/>
  <c r="I2173" i="2"/>
  <c r="J2173" i="2" s="1"/>
  <c r="H2173" i="2"/>
  <c r="G2173" i="2"/>
  <c r="E2173" i="2"/>
  <c r="J2172" i="2"/>
  <c r="I2172" i="2"/>
  <c r="H2172" i="2"/>
  <c r="G2172" i="2"/>
  <c r="E2172" i="2"/>
  <c r="I2171" i="2"/>
  <c r="J2171" i="2" s="1"/>
  <c r="H2171" i="2"/>
  <c r="G2171" i="2"/>
  <c r="E2171" i="2"/>
  <c r="I2170" i="2"/>
  <c r="J2170" i="2" s="1"/>
  <c r="H2170" i="2"/>
  <c r="G2170" i="2"/>
  <c r="E2170" i="2"/>
  <c r="I2169" i="2"/>
  <c r="J2169" i="2" s="1"/>
  <c r="H2169" i="2"/>
  <c r="G2169" i="2"/>
  <c r="E2169" i="2"/>
  <c r="J2168" i="2"/>
  <c r="I2168" i="2"/>
  <c r="H2168" i="2"/>
  <c r="G2168" i="2"/>
  <c r="E2168" i="2"/>
  <c r="I2167" i="2"/>
  <c r="J2167" i="2" s="1"/>
  <c r="H2167" i="2"/>
  <c r="G2167" i="2"/>
  <c r="E2167" i="2"/>
  <c r="I2166" i="2"/>
  <c r="J2166" i="2" s="1"/>
  <c r="H2166" i="2"/>
  <c r="G2166" i="2"/>
  <c r="E2166" i="2"/>
  <c r="I2165" i="2"/>
  <c r="J2165" i="2" s="1"/>
  <c r="H2165" i="2"/>
  <c r="G2165" i="2"/>
  <c r="E2165" i="2"/>
  <c r="J2164" i="2"/>
  <c r="I2164" i="2"/>
  <c r="H2164" i="2"/>
  <c r="G2164" i="2"/>
  <c r="E2164" i="2"/>
  <c r="I2163" i="2"/>
  <c r="J2163" i="2" s="1"/>
  <c r="H2163" i="2"/>
  <c r="G2163" i="2"/>
  <c r="E2163" i="2"/>
  <c r="I2162" i="2"/>
  <c r="J2162" i="2" s="1"/>
  <c r="H2162" i="2"/>
  <c r="G2162" i="2"/>
  <c r="E2162" i="2"/>
  <c r="I2161" i="2"/>
  <c r="J2161" i="2" s="1"/>
  <c r="H2161" i="2"/>
  <c r="G2161" i="2"/>
  <c r="E2161" i="2"/>
  <c r="J2160" i="2"/>
  <c r="I2160" i="2"/>
  <c r="H2160" i="2"/>
  <c r="G2160" i="2"/>
  <c r="E2160" i="2"/>
  <c r="I2159" i="2"/>
  <c r="J2159" i="2" s="1"/>
  <c r="H2159" i="2"/>
  <c r="G2159" i="2"/>
  <c r="E2159" i="2"/>
  <c r="I2158" i="2"/>
  <c r="J2158" i="2" s="1"/>
  <c r="H2158" i="2"/>
  <c r="G2158" i="2"/>
  <c r="E2158" i="2"/>
  <c r="I2157" i="2"/>
  <c r="J2157" i="2" s="1"/>
  <c r="H2157" i="2"/>
  <c r="G2157" i="2"/>
  <c r="E2157" i="2"/>
  <c r="J2156" i="2"/>
  <c r="I2156" i="2"/>
  <c r="H2156" i="2"/>
  <c r="G2156" i="2"/>
  <c r="E2156" i="2"/>
  <c r="I2155" i="2"/>
  <c r="J2155" i="2" s="1"/>
  <c r="H2155" i="2"/>
  <c r="G2155" i="2"/>
  <c r="E2155" i="2"/>
  <c r="I2154" i="2"/>
  <c r="J2154" i="2" s="1"/>
  <c r="H2154" i="2"/>
  <c r="G2154" i="2"/>
  <c r="E2154" i="2"/>
  <c r="I2153" i="2"/>
  <c r="J2153" i="2" s="1"/>
  <c r="H2153" i="2"/>
  <c r="G2153" i="2"/>
  <c r="E2153" i="2"/>
  <c r="J2152" i="2"/>
  <c r="I2152" i="2"/>
  <c r="H2152" i="2"/>
  <c r="G2152" i="2"/>
  <c r="E2152" i="2"/>
  <c r="I2151" i="2"/>
  <c r="J2151" i="2" s="1"/>
  <c r="H2151" i="2"/>
  <c r="G2151" i="2"/>
  <c r="E2151" i="2"/>
  <c r="I2150" i="2"/>
  <c r="J2150" i="2" s="1"/>
  <c r="H2150" i="2"/>
  <c r="G2150" i="2"/>
  <c r="E2150" i="2"/>
  <c r="I2149" i="2"/>
  <c r="J2149" i="2" s="1"/>
  <c r="H2149" i="2"/>
  <c r="G2149" i="2"/>
  <c r="E2149" i="2"/>
  <c r="J2148" i="2"/>
  <c r="I2148" i="2"/>
  <c r="H2148" i="2"/>
  <c r="G2148" i="2"/>
  <c r="E2148" i="2"/>
  <c r="I2147" i="2"/>
  <c r="J2147" i="2" s="1"/>
  <c r="H2147" i="2"/>
  <c r="G2147" i="2"/>
  <c r="E2147" i="2"/>
  <c r="I2146" i="2"/>
  <c r="J2146" i="2" s="1"/>
  <c r="H2146" i="2"/>
  <c r="G2146" i="2"/>
  <c r="E2146" i="2"/>
  <c r="I2145" i="2"/>
  <c r="J2145" i="2" s="1"/>
  <c r="H2145" i="2"/>
  <c r="G2145" i="2"/>
  <c r="E2145" i="2"/>
  <c r="J2144" i="2"/>
  <c r="I2144" i="2"/>
  <c r="H2144" i="2"/>
  <c r="G2144" i="2"/>
  <c r="E2144" i="2"/>
  <c r="I2143" i="2"/>
  <c r="J2143" i="2" s="1"/>
  <c r="H2143" i="2"/>
  <c r="G2143" i="2"/>
  <c r="E2143" i="2"/>
  <c r="I2142" i="2"/>
  <c r="J2142" i="2" s="1"/>
  <c r="H2142" i="2"/>
  <c r="G2142" i="2"/>
  <c r="E2142" i="2"/>
  <c r="I2141" i="2"/>
  <c r="J2141" i="2" s="1"/>
  <c r="H2141" i="2"/>
  <c r="G2141" i="2"/>
  <c r="E2141" i="2"/>
  <c r="J2140" i="2"/>
  <c r="I2140" i="2"/>
  <c r="H2140" i="2"/>
  <c r="G2140" i="2"/>
  <c r="E2140" i="2"/>
  <c r="I2139" i="2"/>
  <c r="J2139" i="2" s="1"/>
  <c r="H2139" i="2"/>
  <c r="G2139" i="2"/>
  <c r="E2139" i="2"/>
  <c r="I2138" i="2"/>
  <c r="J2138" i="2" s="1"/>
  <c r="H2138" i="2"/>
  <c r="G2138" i="2"/>
  <c r="E2138" i="2"/>
  <c r="I2137" i="2"/>
  <c r="J2137" i="2" s="1"/>
  <c r="H2137" i="2"/>
  <c r="G2137" i="2"/>
  <c r="E2137" i="2"/>
  <c r="J2136" i="2"/>
  <c r="I2136" i="2"/>
  <c r="H2136" i="2"/>
  <c r="G2136" i="2"/>
  <c r="E2136" i="2"/>
  <c r="I2135" i="2"/>
  <c r="J2135" i="2" s="1"/>
  <c r="H2135" i="2"/>
  <c r="G2135" i="2"/>
  <c r="E2135" i="2"/>
  <c r="I2134" i="2"/>
  <c r="J2134" i="2" s="1"/>
  <c r="H2134" i="2"/>
  <c r="G2134" i="2"/>
  <c r="E2134" i="2"/>
  <c r="I2133" i="2"/>
  <c r="J2133" i="2" s="1"/>
  <c r="H2133" i="2"/>
  <c r="G2133" i="2"/>
  <c r="E2133" i="2"/>
  <c r="J2132" i="2"/>
  <c r="I2132" i="2"/>
  <c r="H2132" i="2"/>
  <c r="G2132" i="2"/>
  <c r="E2132" i="2"/>
  <c r="I2131" i="2"/>
  <c r="J2131" i="2" s="1"/>
  <c r="H2131" i="2"/>
  <c r="G2131" i="2"/>
  <c r="E2131" i="2"/>
  <c r="I2130" i="2"/>
  <c r="J2130" i="2" s="1"/>
  <c r="H2130" i="2"/>
  <c r="G2130" i="2"/>
  <c r="E2130" i="2"/>
  <c r="I2129" i="2"/>
  <c r="J2129" i="2" s="1"/>
  <c r="H2129" i="2"/>
  <c r="G2129" i="2"/>
  <c r="E2129" i="2"/>
  <c r="J2128" i="2"/>
  <c r="I2128" i="2"/>
  <c r="H2128" i="2"/>
  <c r="G2128" i="2"/>
  <c r="E2128" i="2"/>
  <c r="I2127" i="2"/>
  <c r="J2127" i="2" s="1"/>
  <c r="H2127" i="2"/>
  <c r="G2127" i="2"/>
  <c r="E2127" i="2"/>
  <c r="I2126" i="2"/>
  <c r="J2126" i="2" s="1"/>
  <c r="H2126" i="2"/>
  <c r="G2126" i="2"/>
  <c r="E2126" i="2"/>
  <c r="I2125" i="2"/>
  <c r="J2125" i="2" s="1"/>
  <c r="H2125" i="2"/>
  <c r="G2125" i="2"/>
  <c r="E2125" i="2"/>
  <c r="J2124" i="2"/>
  <c r="I2124" i="2"/>
  <c r="H2124" i="2"/>
  <c r="G2124" i="2"/>
  <c r="E2124" i="2"/>
  <c r="I2123" i="2"/>
  <c r="J2123" i="2" s="1"/>
  <c r="H2123" i="2"/>
  <c r="G2123" i="2"/>
  <c r="E2123" i="2"/>
  <c r="I2122" i="2"/>
  <c r="J2122" i="2" s="1"/>
  <c r="H2122" i="2"/>
  <c r="G2122" i="2"/>
  <c r="E2122" i="2"/>
  <c r="I2121" i="2"/>
  <c r="J2121" i="2" s="1"/>
  <c r="H2121" i="2"/>
  <c r="G2121" i="2"/>
  <c r="E2121" i="2"/>
  <c r="J2120" i="2"/>
  <c r="I2120" i="2"/>
  <c r="H2120" i="2"/>
  <c r="G2120" i="2"/>
  <c r="E2120" i="2"/>
  <c r="I2119" i="2"/>
  <c r="J2119" i="2" s="1"/>
  <c r="H2119" i="2"/>
  <c r="G2119" i="2"/>
  <c r="E2119" i="2"/>
  <c r="I2118" i="2"/>
  <c r="J2118" i="2" s="1"/>
  <c r="H2118" i="2"/>
  <c r="G2118" i="2"/>
  <c r="E2118" i="2"/>
  <c r="I2117" i="2"/>
  <c r="J2117" i="2" s="1"/>
  <c r="H2117" i="2"/>
  <c r="G2117" i="2"/>
  <c r="E2117" i="2"/>
  <c r="J2116" i="2"/>
  <c r="I2116" i="2"/>
  <c r="H2116" i="2"/>
  <c r="G2116" i="2"/>
  <c r="E2116" i="2"/>
  <c r="I2115" i="2"/>
  <c r="J2115" i="2" s="1"/>
  <c r="H2115" i="2"/>
  <c r="G2115" i="2"/>
  <c r="E2115" i="2"/>
  <c r="I2114" i="2"/>
  <c r="J2114" i="2" s="1"/>
  <c r="H2114" i="2"/>
  <c r="G2114" i="2"/>
  <c r="E2114" i="2"/>
  <c r="I2113" i="2"/>
  <c r="J2113" i="2" s="1"/>
  <c r="H2113" i="2"/>
  <c r="G2113" i="2"/>
  <c r="E2113" i="2"/>
  <c r="J2112" i="2"/>
  <c r="I2112" i="2"/>
  <c r="H2112" i="2"/>
  <c r="G2112" i="2"/>
  <c r="E2112" i="2"/>
  <c r="I2111" i="2"/>
  <c r="J2111" i="2" s="1"/>
  <c r="H2111" i="2"/>
  <c r="G2111" i="2"/>
  <c r="E2111" i="2"/>
  <c r="I2110" i="2"/>
  <c r="J2110" i="2" s="1"/>
  <c r="H2110" i="2"/>
  <c r="G2110" i="2"/>
  <c r="E2110" i="2"/>
  <c r="I2109" i="2"/>
  <c r="J2109" i="2" s="1"/>
  <c r="H2109" i="2"/>
  <c r="G2109" i="2"/>
  <c r="E2109" i="2"/>
  <c r="J2108" i="2"/>
  <c r="I2108" i="2"/>
  <c r="H2108" i="2"/>
  <c r="G2108" i="2"/>
  <c r="E2108" i="2"/>
  <c r="I2107" i="2"/>
  <c r="J2107" i="2" s="1"/>
  <c r="H2107" i="2"/>
  <c r="G2107" i="2"/>
  <c r="E2107" i="2"/>
  <c r="I2106" i="2"/>
  <c r="J2106" i="2" s="1"/>
  <c r="H2106" i="2"/>
  <c r="G2106" i="2"/>
  <c r="E2106" i="2"/>
  <c r="I2105" i="2"/>
  <c r="J2105" i="2" s="1"/>
  <c r="H2105" i="2"/>
  <c r="G2105" i="2"/>
  <c r="E2105" i="2"/>
  <c r="J2104" i="2"/>
  <c r="I2104" i="2"/>
  <c r="H2104" i="2"/>
  <c r="G2104" i="2"/>
  <c r="E2104" i="2"/>
  <c r="I2103" i="2"/>
  <c r="J2103" i="2" s="1"/>
  <c r="H2103" i="2"/>
  <c r="G2103" i="2"/>
  <c r="E2103" i="2"/>
  <c r="I2102" i="2"/>
  <c r="J2102" i="2" s="1"/>
  <c r="H2102" i="2"/>
  <c r="G2102" i="2"/>
  <c r="E2102" i="2"/>
  <c r="I2101" i="2"/>
  <c r="J2101" i="2" s="1"/>
  <c r="H2101" i="2"/>
  <c r="G2101" i="2"/>
  <c r="E2101" i="2"/>
  <c r="J2100" i="2"/>
  <c r="I2100" i="2"/>
  <c r="H2100" i="2"/>
  <c r="G2100" i="2"/>
  <c r="E2100" i="2"/>
  <c r="I2099" i="2"/>
  <c r="J2099" i="2" s="1"/>
  <c r="H2099" i="2"/>
  <c r="G2099" i="2"/>
  <c r="E2099" i="2"/>
  <c r="I2098" i="2"/>
  <c r="J2098" i="2" s="1"/>
  <c r="H2098" i="2"/>
  <c r="G2098" i="2"/>
  <c r="E2098" i="2"/>
  <c r="I2097" i="2"/>
  <c r="J2097" i="2" s="1"/>
  <c r="H2097" i="2"/>
  <c r="G2097" i="2"/>
  <c r="E2097" i="2"/>
  <c r="J2096" i="2"/>
  <c r="I2096" i="2"/>
  <c r="H2096" i="2"/>
  <c r="G2096" i="2"/>
  <c r="E2096" i="2"/>
  <c r="I2095" i="2"/>
  <c r="J2095" i="2" s="1"/>
  <c r="H2095" i="2"/>
  <c r="G2095" i="2"/>
  <c r="E2095" i="2"/>
  <c r="I2094" i="2"/>
  <c r="J2094" i="2" s="1"/>
  <c r="H2094" i="2"/>
  <c r="G2094" i="2"/>
  <c r="E2094" i="2"/>
  <c r="I2093" i="2"/>
  <c r="J2093" i="2" s="1"/>
  <c r="H2093" i="2"/>
  <c r="G2093" i="2"/>
  <c r="E2093" i="2"/>
  <c r="J2092" i="2"/>
  <c r="I2092" i="2"/>
  <c r="H2092" i="2"/>
  <c r="G2092" i="2"/>
  <c r="E2092" i="2"/>
  <c r="I2091" i="2"/>
  <c r="J2091" i="2" s="1"/>
  <c r="H2091" i="2"/>
  <c r="G2091" i="2"/>
  <c r="E2091" i="2"/>
  <c r="I2090" i="2"/>
  <c r="J2090" i="2" s="1"/>
  <c r="H2090" i="2"/>
  <c r="G2090" i="2"/>
  <c r="E2090" i="2"/>
  <c r="I2089" i="2"/>
  <c r="J2089" i="2" s="1"/>
  <c r="H2089" i="2"/>
  <c r="G2089" i="2"/>
  <c r="E2089" i="2"/>
  <c r="J2088" i="2"/>
  <c r="I2088" i="2"/>
  <c r="H2088" i="2"/>
  <c r="G2088" i="2"/>
  <c r="E2088" i="2"/>
  <c r="I2087" i="2"/>
  <c r="J2087" i="2" s="1"/>
  <c r="H2087" i="2"/>
  <c r="G2087" i="2"/>
  <c r="E2087" i="2"/>
  <c r="I2086" i="2"/>
  <c r="J2086" i="2" s="1"/>
  <c r="H2086" i="2"/>
  <c r="G2086" i="2"/>
  <c r="E2086" i="2"/>
  <c r="I2085" i="2"/>
  <c r="J2085" i="2" s="1"/>
  <c r="H2085" i="2"/>
  <c r="G2085" i="2"/>
  <c r="E2085" i="2"/>
  <c r="J2084" i="2"/>
  <c r="I2084" i="2"/>
  <c r="H2084" i="2"/>
  <c r="G2084" i="2"/>
  <c r="E2084" i="2"/>
  <c r="I2083" i="2"/>
  <c r="J2083" i="2" s="1"/>
  <c r="H2083" i="2"/>
  <c r="G2083" i="2"/>
  <c r="E2083" i="2"/>
  <c r="I2082" i="2"/>
  <c r="J2082" i="2" s="1"/>
  <c r="H2082" i="2"/>
  <c r="G2082" i="2"/>
  <c r="E2082" i="2"/>
  <c r="I2081" i="2"/>
  <c r="J2081" i="2" s="1"/>
  <c r="H2081" i="2"/>
  <c r="G2081" i="2"/>
  <c r="E2081" i="2"/>
  <c r="J2080" i="2"/>
  <c r="I2080" i="2"/>
  <c r="H2080" i="2"/>
  <c r="G2080" i="2"/>
  <c r="E2080" i="2"/>
  <c r="I2079" i="2"/>
  <c r="J2079" i="2" s="1"/>
  <c r="H2079" i="2"/>
  <c r="G2079" i="2"/>
  <c r="E2079" i="2"/>
  <c r="I2078" i="2"/>
  <c r="J2078" i="2" s="1"/>
  <c r="H2078" i="2"/>
  <c r="G2078" i="2"/>
  <c r="E2078" i="2"/>
  <c r="I2077" i="2"/>
  <c r="J2077" i="2" s="1"/>
  <c r="H2077" i="2"/>
  <c r="G2077" i="2"/>
  <c r="E2077" i="2"/>
  <c r="J2076" i="2"/>
  <c r="I2076" i="2"/>
  <c r="H2076" i="2"/>
  <c r="G2076" i="2"/>
  <c r="E2076" i="2"/>
  <c r="I2075" i="2"/>
  <c r="J2075" i="2" s="1"/>
  <c r="H2075" i="2"/>
  <c r="G2075" i="2"/>
  <c r="E2075" i="2"/>
  <c r="I2074" i="2"/>
  <c r="J2074" i="2" s="1"/>
  <c r="H2074" i="2"/>
  <c r="G2074" i="2"/>
  <c r="E2074" i="2"/>
  <c r="I2073" i="2"/>
  <c r="J2073" i="2" s="1"/>
  <c r="H2073" i="2"/>
  <c r="G2073" i="2"/>
  <c r="E2073" i="2"/>
  <c r="J2072" i="2"/>
  <c r="I2072" i="2"/>
  <c r="H2072" i="2"/>
  <c r="G2072" i="2"/>
  <c r="E2072" i="2"/>
  <c r="I2071" i="2"/>
  <c r="J2071" i="2" s="1"/>
  <c r="H2071" i="2"/>
  <c r="G2071" i="2"/>
  <c r="E2071" i="2"/>
  <c r="I2070" i="2"/>
  <c r="J2070" i="2" s="1"/>
  <c r="H2070" i="2"/>
  <c r="G2070" i="2"/>
  <c r="E2070" i="2"/>
  <c r="I2069" i="2"/>
  <c r="J2069" i="2" s="1"/>
  <c r="H2069" i="2"/>
  <c r="G2069" i="2"/>
  <c r="E2069" i="2"/>
  <c r="J2068" i="2"/>
  <c r="I2068" i="2"/>
  <c r="H2068" i="2"/>
  <c r="G2068" i="2"/>
  <c r="E2068" i="2"/>
  <c r="I2067" i="2"/>
  <c r="J2067" i="2" s="1"/>
  <c r="H2067" i="2"/>
  <c r="G2067" i="2"/>
  <c r="E2067" i="2"/>
  <c r="I2066" i="2"/>
  <c r="J2066" i="2" s="1"/>
  <c r="H2066" i="2"/>
  <c r="G2066" i="2"/>
  <c r="E2066" i="2"/>
  <c r="I2065" i="2"/>
  <c r="J2065" i="2" s="1"/>
  <c r="H2065" i="2"/>
  <c r="G2065" i="2"/>
  <c r="E2065" i="2"/>
  <c r="J2064" i="2"/>
  <c r="I2064" i="2"/>
  <c r="H2064" i="2"/>
  <c r="G2064" i="2"/>
  <c r="E2064" i="2"/>
  <c r="I2063" i="2"/>
  <c r="J2063" i="2" s="1"/>
  <c r="H2063" i="2"/>
  <c r="G2063" i="2"/>
  <c r="E2063" i="2"/>
  <c r="I2062" i="2"/>
  <c r="J2062" i="2" s="1"/>
  <c r="H2062" i="2"/>
  <c r="G2062" i="2"/>
  <c r="E2062" i="2"/>
  <c r="I2061" i="2"/>
  <c r="J2061" i="2" s="1"/>
  <c r="H2061" i="2"/>
  <c r="G2061" i="2"/>
  <c r="E2061" i="2"/>
  <c r="J2060" i="2"/>
  <c r="I2060" i="2"/>
  <c r="H2060" i="2"/>
  <c r="G2060" i="2"/>
  <c r="E2060" i="2"/>
  <c r="I2059" i="2"/>
  <c r="J2059" i="2" s="1"/>
  <c r="H2059" i="2"/>
  <c r="G2059" i="2"/>
  <c r="E2059" i="2"/>
  <c r="I2058" i="2"/>
  <c r="J2058" i="2" s="1"/>
  <c r="H2058" i="2"/>
  <c r="G2058" i="2"/>
  <c r="E2058" i="2"/>
  <c r="I2057" i="2"/>
  <c r="J2057" i="2" s="1"/>
  <c r="H2057" i="2"/>
  <c r="G2057" i="2"/>
  <c r="E2057" i="2"/>
  <c r="J2056" i="2"/>
  <c r="I2056" i="2"/>
  <c r="H2056" i="2"/>
  <c r="G2056" i="2"/>
  <c r="E2056" i="2"/>
  <c r="I2055" i="2"/>
  <c r="J2055" i="2" s="1"/>
  <c r="H2055" i="2"/>
  <c r="G2055" i="2"/>
  <c r="E2055" i="2"/>
  <c r="I2054" i="2"/>
  <c r="J2054" i="2" s="1"/>
  <c r="H2054" i="2"/>
  <c r="G2054" i="2"/>
  <c r="E2054" i="2"/>
  <c r="I2053" i="2"/>
  <c r="J2053" i="2" s="1"/>
  <c r="H2053" i="2"/>
  <c r="G2053" i="2"/>
  <c r="E2053" i="2"/>
  <c r="J2052" i="2"/>
  <c r="I2052" i="2"/>
  <c r="H2052" i="2"/>
  <c r="G2052" i="2"/>
  <c r="E2052" i="2"/>
  <c r="I2051" i="2"/>
  <c r="J2051" i="2" s="1"/>
  <c r="H2051" i="2"/>
  <c r="G2051" i="2"/>
  <c r="E2051" i="2"/>
  <c r="I2050" i="2"/>
  <c r="J2050" i="2" s="1"/>
  <c r="H2050" i="2"/>
  <c r="G2050" i="2"/>
  <c r="E2050" i="2"/>
  <c r="I2049" i="2"/>
  <c r="J2049" i="2" s="1"/>
  <c r="H2049" i="2"/>
  <c r="G2049" i="2"/>
  <c r="E2049" i="2"/>
  <c r="J2048" i="2"/>
  <c r="I2048" i="2"/>
  <c r="H2048" i="2"/>
  <c r="G2048" i="2"/>
  <c r="E2048" i="2"/>
  <c r="I2047" i="2"/>
  <c r="J2047" i="2" s="1"/>
  <c r="H2047" i="2"/>
  <c r="G2047" i="2"/>
  <c r="E2047" i="2"/>
  <c r="I2046" i="2"/>
  <c r="J2046" i="2" s="1"/>
  <c r="H2046" i="2"/>
  <c r="G2046" i="2"/>
  <c r="E2046" i="2"/>
  <c r="I2045" i="2"/>
  <c r="J2045" i="2" s="1"/>
  <c r="H2045" i="2"/>
  <c r="G2045" i="2"/>
  <c r="E2045" i="2"/>
  <c r="J2044" i="2"/>
  <c r="I2044" i="2"/>
  <c r="H2044" i="2"/>
  <c r="G2044" i="2"/>
  <c r="E2044" i="2"/>
  <c r="I2043" i="2"/>
  <c r="J2043" i="2" s="1"/>
  <c r="H2043" i="2"/>
  <c r="G2043" i="2"/>
  <c r="E2043" i="2"/>
  <c r="I2042" i="2"/>
  <c r="J2042" i="2" s="1"/>
  <c r="H2042" i="2"/>
  <c r="G2042" i="2"/>
  <c r="E2042" i="2"/>
  <c r="I2041" i="2"/>
  <c r="J2041" i="2" s="1"/>
  <c r="H2041" i="2"/>
  <c r="G2041" i="2"/>
  <c r="E2041" i="2"/>
  <c r="J2040" i="2"/>
  <c r="I2040" i="2"/>
  <c r="H2040" i="2"/>
  <c r="G2040" i="2"/>
  <c r="E2040" i="2"/>
  <c r="I2039" i="2"/>
  <c r="J2039" i="2" s="1"/>
  <c r="H2039" i="2"/>
  <c r="G2039" i="2"/>
  <c r="E2039" i="2"/>
  <c r="I2038" i="2"/>
  <c r="J2038" i="2" s="1"/>
  <c r="H2038" i="2"/>
  <c r="G2038" i="2"/>
  <c r="E2038" i="2"/>
  <c r="I2037" i="2"/>
  <c r="J2037" i="2" s="1"/>
  <c r="H2037" i="2"/>
  <c r="G2037" i="2"/>
  <c r="E2037" i="2"/>
  <c r="J2036" i="2"/>
  <c r="I2036" i="2"/>
  <c r="H2036" i="2"/>
  <c r="G2036" i="2"/>
  <c r="E2036" i="2"/>
  <c r="I2035" i="2"/>
  <c r="J2035" i="2" s="1"/>
  <c r="H2035" i="2"/>
  <c r="G2035" i="2"/>
  <c r="E2035" i="2"/>
  <c r="I2034" i="2"/>
  <c r="J2034" i="2" s="1"/>
  <c r="H2034" i="2"/>
  <c r="G2034" i="2"/>
  <c r="E2034" i="2"/>
  <c r="I2033" i="2"/>
  <c r="J2033" i="2" s="1"/>
  <c r="H2033" i="2"/>
  <c r="G2033" i="2"/>
  <c r="E2033" i="2"/>
  <c r="J2032" i="2"/>
  <c r="I2032" i="2"/>
  <c r="H2032" i="2"/>
  <c r="G2032" i="2"/>
  <c r="E2032" i="2"/>
  <c r="I2031" i="2"/>
  <c r="J2031" i="2" s="1"/>
  <c r="H2031" i="2"/>
  <c r="G2031" i="2"/>
  <c r="E2031" i="2"/>
  <c r="I2030" i="2"/>
  <c r="J2030" i="2" s="1"/>
  <c r="H2030" i="2"/>
  <c r="G2030" i="2"/>
  <c r="E2030" i="2"/>
  <c r="I2029" i="2"/>
  <c r="J2029" i="2" s="1"/>
  <c r="H2029" i="2"/>
  <c r="G2029" i="2"/>
  <c r="E2029" i="2"/>
  <c r="J2028" i="2"/>
  <c r="I2028" i="2"/>
  <c r="H2028" i="2"/>
  <c r="G2028" i="2"/>
  <c r="E2028" i="2"/>
  <c r="I2027" i="2"/>
  <c r="J2027" i="2" s="1"/>
  <c r="H2027" i="2"/>
  <c r="G2027" i="2"/>
  <c r="E2027" i="2"/>
  <c r="I2026" i="2"/>
  <c r="J2026" i="2" s="1"/>
  <c r="H2026" i="2"/>
  <c r="G2026" i="2"/>
  <c r="E2026" i="2"/>
  <c r="I2025" i="2"/>
  <c r="J2025" i="2" s="1"/>
  <c r="H2025" i="2"/>
  <c r="G2025" i="2"/>
  <c r="E2025" i="2"/>
  <c r="J2024" i="2"/>
  <c r="I2024" i="2"/>
  <c r="H2024" i="2"/>
  <c r="G2024" i="2"/>
  <c r="E2024" i="2"/>
  <c r="I2023" i="2"/>
  <c r="J2023" i="2" s="1"/>
  <c r="H2023" i="2"/>
  <c r="G2023" i="2"/>
  <c r="E2023" i="2"/>
  <c r="I2022" i="2"/>
  <c r="J2022" i="2" s="1"/>
  <c r="H2022" i="2"/>
  <c r="G2022" i="2"/>
  <c r="E2022" i="2"/>
  <c r="I2021" i="2"/>
  <c r="J2021" i="2" s="1"/>
  <c r="H2021" i="2"/>
  <c r="G2021" i="2"/>
  <c r="E2021" i="2"/>
  <c r="J2020" i="2"/>
  <c r="I2020" i="2"/>
  <c r="H2020" i="2"/>
  <c r="G2020" i="2"/>
  <c r="E2020" i="2"/>
  <c r="I2019" i="2"/>
  <c r="J2019" i="2" s="1"/>
  <c r="H2019" i="2"/>
  <c r="G2019" i="2"/>
  <c r="E2019" i="2"/>
  <c r="I2018" i="2"/>
  <c r="J2018" i="2" s="1"/>
  <c r="H2018" i="2"/>
  <c r="G2018" i="2"/>
  <c r="E2018" i="2"/>
  <c r="I2017" i="2"/>
  <c r="J2017" i="2" s="1"/>
  <c r="H2017" i="2"/>
  <c r="G2017" i="2"/>
  <c r="E2017" i="2"/>
  <c r="J2016" i="2"/>
  <c r="I2016" i="2"/>
  <c r="H2016" i="2"/>
  <c r="G2016" i="2"/>
  <c r="E2016" i="2"/>
  <c r="I2015" i="2"/>
  <c r="J2015" i="2" s="1"/>
  <c r="H2015" i="2"/>
  <c r="G2015" i="2"/>
  <c r="E2015" i="2"/>
  <c r="I2014" i="2"/>
  <c r="J2014" i="2" s="1"/>
  <c r="H2014" i="2"/>
  <c r="G2014" i="2"/>
  <c r="E2014" i="2"/>
  <c r="I2013" i="2"/>
  <c r="J2013" i="2" s="1"/>
  <c r="H2013" i="2"/>
  <c r="G2013" i="2"/>
  <c r="E2013" i="2"/>
  <c r="I2012" i="2"/>
  <c r="J2012" i="2" s="1"/>
  <c r="H2012" i="2"/>
  <c r="G2012" i="2"/>
  <c r="E2012" i="2"/>
  <c r="I2011" i="2"/>
  <c r="J2011" i="2" s="1"/>
  <c r="H2011" i="2"/>
  <c r="G2011" i="2"/>
  <c r="E2011" i="2"/>
  <c r="J2010" i="2"/>
  <c r="I2010" i="2"/>
  <c r="H2010" i="2"/>
  <c r="G2010" i="2"/>
  <c r="E2010" i="2"/>
  <c r="I2009" i="2"/>
  <c r="J2009" i="2" s="1"/>
  <c r="H2009" i="2"/>
  <c r="G2009" i="2"/>
  <c r="E2009" i="2"/>
  <c r="I2008" i="2"/>
  <c r="J2008" i="2" s="1"/>
  <c r="H2008" i="2"/>
  <c r="G2008" i="2"/>
  <c r="E2008" i="2"/>
  <c r="I2007" i="2"/>
  <c r="J2007" i="2" s="1"/>
  <c r="H2007" i="2"/>
  <c r="G2007" i="2"/>
  <c r="E2007" i="2"/>
  <c r="J2006" i="2"/>
  <c r="I2006" i="2"/>
  <c r="H2006" i="2"/>
  <c r="G2006" i="2"/>
  <c r="E2006" i="2"/>
  <c r="I2005" i="2"/>
  <c r="J2005" i="2" s="1"/>
  <c r="H2005" i="2"/>
  <c r="G2005" i="2"/>
  <c r="E2005" i="2"/>
  <c r="I2004" i="2"/>
  <c r="J2004" i="2" s="1"/>
  <c r="H2004" i="2"/>
  <c r="G2004" i="2"/>
  <c r="E2004" i="2"/>
  <c r="I2003" i="2"/>
  <c r="J2003" i="2" s="1"/>
  <c r="H2003" i="2"/>
  <c r="G2003" i="2"/>
  <c r="E2003" i="2"/>
  <c r="J2002" i="2"/>
  <c r="I2002" i="2"/>
  <c r="H2002" i="2"/>
  <c r="G2002" i="2"/>
  <c r="E2002" i="2"/>
  <c r="I2001" i="2"/>
  <c r="J2001" i="2" s="1"/>
  <c r="H2001" i="2"/>
  <c r="G2001" i="2"/>
  <c r="E2001" i="2"/>
  <c r="I2000" i="2"/>
  <c r="J2000" i="2" s="1"/>
  <c r="H2000" i="2"/>
  <c r="G2000" i="2"/>
  <c r="E2000" i="2"/>
  <c r="I1999" i="2"/>
  <c r="J1999" i="2" s="1"/>
  <c r="H1999" i="2"/>
  <c r="G1999" i="2"/>
  <c r="E1999" i="2"/>
  <c r="J1998" i="2"/>
  <c r="I1998" i="2"/>
  <c r="H1998" i="2"/>
  <c r="G1998" i="2"/>
  <c r="E1998" i="2"/>
  <c r="I1997" i="2"/>
  <c r="J1997" i="2" s="1"/>
  <c r="H1997" i="2"/>
  <c r="G1997" i="2"/>
  <c r="E1997" i="2"/>
  <c r="I1996" i="2"/>
  <c r="J1996" i="2" s="1"/>
  <c r="H1996" i="2"/>
  <c r="G1996" i="2"/>
  <c r="E1996" i="2"/>
  <c r="I1995" i="2"/>
  <c r="J1995" i="2" s="1"/>
  <c r="H1995" i="2"/>
  <c r="G1995" i="2"/>
  <c r="E1995" i="2"/>
  <c r="I1994" i="2"/>
  <c r="J1994" i="2" s="1"/>
  <c r="H1994" i="2"/>
  <c r="G1994" i="2"/>
  <c r="E1994" i="2"/>
  <c r="I1993" i="2"/>
  <c r="J1993" i="2" s="1"/>
  <c r="H1993" i="2"/>
  <c r="G1993" i="2"/>
  <c r="E1993" i="2"/>
  <c r="I1992" i="2"/>
  <c r="J1992" i="2" s="1"/>
  <c r="H1992" i="2"/>
  <c r="G1992" i="2"/>
  <c r="E1992" i="2"/>
  <c r="I1991" i="2"/>
  <c r="J1991" i="2" s="1"/>
  <c r="H1991" i="2"/>
  <c r="G1991" i="2"/>
  <c r="E1991" i="2"/>
  <c r="I1990" i="2"/>
  <c r="J1990" i="2" s="1"/>
  <c r="H1990" i="2"/>
  <c r="G1990" i="2"/>
  <c r="E1990" i="2"/>
  <c r="I1989" i="2"/>
  <c r="J1989" i="2" s="1"/>
  <c r="H1989" i="2"/>
  <c r="G1989" i="2"/>
  <c r="E1989" i="2"/>
  <c r="I1988" i="2"/>
  <c r="J1988" i="2" s="1"/>
  <c r="H1988" i="2"/>
  <c r="G1988" i="2"/>
  <c r="E1988" i="2"/>
  <c r="I1987" i="2"/>
  <c r="J1987" i="2" s="1"/>
  <c r="H1987" i="2"/>
  <c r="G1987" i="2"/>
  <c r="E1987" i="2"/>
  <c r="I1986" i="2"/>
  <c r="J1986" i="2" s="1"/>
  <c r="H1986" i="2"/>
  <c r="G1986" i="2"/>
  <c r="E1986" i="2"/>
  <c r="I1985" i="2"/>
  <c r="J1985" i="2" s="1"/>
  <c r="H1985" i="2"/>
  <c r="G1985" i="2"/>
  <c r="E1985" i="2"/>
  <c r="I1984" i="2"/>
  <c r="J1984" i="2" s="1"/>
  <c r="H1984" i="2"/>
  <c r="G1984" i="2"/>
  <c r="E1984" i="2"/>
  <c r="I1983" i="2"/>
  <c r="J1983" i="2" s="1"/>
  <c r="H1983" i="2"/>
  <c r="G1983" i="2"/>
  <c r="E1983" i="2"/>
  <c r="I1982" i="2"/>
  <c r="J1982" i="2" s="1"/>
  <c r="H1982" i="2"/>
  <c r="G1982" i="2"/>
  <c r="E1982" i="2"/>
  <c r="I1981" i="2"/>
  <c r="J1981" i="2" s="1"/>
  <c r="H1981" i="2"/>
  <c r="G1981" i="2"/>
  <c r="E1981" i="2"/>
  <c r="I1980" i="2"/>
  <c r="J1980" i="2" s="1"/>
  <c r="H1980" i="2"/>
  <c r="G1980" i="2"/>
  <c r="E1980" i="2"/>
  <c r="I1979" i="2"/>
  <c r="J1979" i="2" s="1"/>
  <c r="H1979" i="2"/>
  <c r="G1979" i="2"/>
  <c r="E1979" i="2"/>
  <c r="I1978" i="2"/>
  <c r="J1978" i="2" s="1"/>
  <c r="H1978" i="2"/>
  <c r="G1978" i="2"/>
  <c r="E1978" i="2"/>
  <c r="I1977" i="2"/>
  <c r="J1977" i="2" s="1"/>
  <c r="H1977" i="2"/>
  <c r="G1977" i="2"/>
  <c r="E1977" i="2"/>
  <c r="I1976" i="2"/>
  <c r="J1976" i="2" s="1"/>
  <c r="H1976" i="2"/>
  <c r="G1976" i="2"/>
  <c r="E1976" i="2"/>
  <c r="I1975" i="2"/>
  <c r="J1975" i="2" s="1"/>
  <c r="H1975" i="2"/>
  <c r="G1975" i="2"/>
  <c r="E1975" i="2"/>
  <c r="J1974" i="2"/>
  <c r="I1974" i="2"/>
  <c r="H1974" i="2"/>
  <c r="G1974" i="2"/>
  <c r="E1974" i="2"/>
  <c r="I1973" i="2"/>
  <c r="J1973" i="2" s="1"/>
  <c r="H1973" i="2"/>
  <c r="G1973" i="2"/>
  <c r="E1973" i="2"/>
  <c r="I1972" i="2"/>
  <c r="J1972" i="2" s="1"/>
  <c r="H1972" i="2"/>
  <c r="G1972" i="2"/>
  <c r="E1972" i="2"/>
  <c r="I1971" i="2"/>
  <c r="J1971" i="2" s="1"/>
  <c r="H1971" i="2"/>
  <c r="G1971" i="2"/>
  <c r="E1971" i="2"/>
  <c r="I1970" i="2"/>
  <c r="J1970" i="2" s="1"/>
  <c r="H1970" i="2"/>
  <c r="G1970" i="2"/>
  <c r="E1970" i="2"/>
  <c r="I1969" i="2"/>
  <c r="J1969" i="2" s="1"/>
  <c r="H1969" i="2"/>
  <c r="G1969" i="2"/>
  <c r="E1969" i="2"/>
  <c r="J1968" i="2"/>
  <c r="I1968" i="2"/>
  <c r="H1968" i="2"/>
  <c r="G1968" i="2"/>
  <c r="E1968" i="2"/>
  <c r="I1967" i="2"/>
  <c r="J1967" i="2" s="1"/>
  <c r="H1967" i="2"/>
  <c r="G1967" i="2"/>
  <c r="E1967" i="2"/>
  <c r="J1966" i="2"/>
  <c r="I1966" i="2"/>
  <c r="H1966" i="2"/>
  <c r="G1966" i="2"/>
  <c r="E1966" i="2"/>
  <c r="I1965" i="2"/>
  <c r="J1965" i="2" s="1"/>
  <c r="H1965" i="2"/>
  <c r="G1965" i="2"/>
  <c r="E1965" i="2"/>
  <c r="J1964" i="2"/>
  <c r="I1964" i="2"/>
  <c r="H1964" i="2"/>
  <c r="G1964" i="2"/>
  <c r="E1964" i="2"/>
  <c r="I1963" i="2"/>
  <c r="J1963" i="2" s="1"/>
  <c r="H1963" i="2"/>
  <c r="G1963" i="2"/>
  <c r="E1963" i="2"/>
  <c r="J1962" i="2"/>
  <c r="I1962" i="2"/>
  <c r="H1962" i="2"/>
  <c r="G1962" i="2"/>
  <c r="E1962" i="2"/>
  <c r="I1961" i="2"/>
  <c r="J1961" i="2" s="1"/>
  <c r="H1961" i="2"/>
  <c r="G1961" i="2"/>
  <c r="E1961" i="2"/>
  <c r="I1960" i="2"/>
  <c r="J1960" i="2" s="1"/>
  <c r="H1960" i="2"/>
  <c r="G1960" i="2"/>
  <c r="E1960" i="2"/>
  <c r="I1959" i="2"/>
  <c r="J1959" i="2" s="1"/>
  <c r="H1959" i="2"/>
  <c r="G1959" i="2"/>
  <c r="E1959" i="2"/>
  <c r="I1958" i="2"/>
  <c r="J1958" i="2" s="1"/>
  <c r="H1958" i="2"/>
  <c r="G1958" i="2"/>
  <c r="E1958" i="2"/>
  <c r="I1957" i="2"/>
  <c r="J1957" i="2" s="1"/>
  <c r="H1957" i="2"/>
  <c r="G1957" i="2"/>
  <c r="E1957" i="2"/>
  <c r="J1956" i="2"/>
  <c r="I1956" i="2"/>
  <c r="H1956" i="2"/>
  <c r="G1956" i="2"/>
  <c r="E1956" i="2"/>
  <c r="I1955" i="2"/>
  <c r="J1955" i="2" s="1"/>
  <c r="H1955" i="2"/>
  <c r="G1955" i="2"/>
  <c r="E1955" i="2"/>
  <c r="I1954" i="2"/>
  <c r="J1954" i="2" s="1"/>
  <c r="H1954" i="2"/>
  <c r="G1954" i="2"/>
  <c r="E1954" i="2"/>
  <c r="I1953" i="2"/>
  <c r="J1953" i="2" s="1"/>
  <c r="H1953" i="2"/>
  <c r="G1953" i="2"/>
  <c r="E1953" i="2"/>
  <c r="I1952" i="2"/>
  <c r="J1952" i="2" s="1"/>
  <c r="H1952" i="2"/>
  <c r="G1952" i="2"/>
  <c r="E1952" i="2"/>
  <c r="I1951" i="2"/>
  <c r="J1951" i="2" s="1"/>
  <c r="H1951" i="2"/>
  <c r="G1951" i="2"/>
  <c r="E1951" i="2"/>
  <c r="I1950" i="2"/>
  <c r="J1950" i="2" s="1"/>
  <c r="H1950" i="2"/>
  <c r="G1950" i="2"/>
  <c r="E1950" i="2"/>
  <c r="I1949" i="2"/>
  <c r="J1949" i="2" s="1"/>
  <c r="H1949" i="2"/>
  <c r="G1949" i="2"/>
  <c r="E1949" i="2"/>
  <c r="I1948" i="2"/>
  <c r="J1948" i="2" s="1"/>
  <c r="H1948" i="2"/>
  <c r="G1948" i="2"/>
  <c r="E1948" i="2"/>
  <c r="I1947" i="2"/>
  <c r="J1947" i="2" s="1"/>
  <c r="H1947" i="2"/>
  <c r="G1947" i="2"/>
  <c r="E1947" i="2"/>
  <c r="I1946" i="2"/>
  <c r="J1946" i="2" s="1"/>
  <c r="H1946" i="2"/>
  <c r="G1946" i="2"/>
  <c r="E1946" i="2"/>
  <c r="I1945" i="2"/>
  <c r="J1945" i="2" s="1"/>
  <c r="H1945" i="2"/>
  <c r="G1945" i="2"/>
  <c r="E1945" i="2"/>
  <c r="J1944" i="2"/>
  <c r="I1944" i="2"/>
  <c r="H1944" i="2"/>
  <c r="G1944" i="2"/>
  <c r="E1944" i="2"/>
  <c r="I1943" i="2"/>
  <c r="J1943" i="2" s="1"/>
  <c r="H1943" i="2"/>
  <c r="G1943" i="2"/>
  <c r="E1943" i="2"/>
  <c r="I1942" i="2"/>
  <c r="J1942" i="2" s="1"/>
  <c r="H1942" i="2"/>
  <c r="G1942" i="2"/>
  <c r="E1942" i="2"/>
  <c r="I1941" i="2"/>
  <c r="J1941" i="2" s="1"/>
  <c r="H1941" i="2"/>
  <c r="G1941" i="2"/>
  <c r="E1941" i="2"/>
  <c r="I1940" i="2"/>
  <c r="J1940" i="2" s="1"/>
  <c r="H1940" i="2"/>
  <c r="G1940" i="2"/>
  <c r="E1940" i="2"/>
  <c r="I1939" i="2"/>
  <c r="J1939" i="2" s="1"/>
  <c r="H1939" i="2"/>
  <c r="G1939" i="2"/>
  <c r="E1939" i="2"/>
  <c r="J1938" i="2"/>
  <c r="I1938" i="2"/>
  <c r="H1938" i="2"/>
  <c r="G1938" i="2"/>
  <c r="E1938" i="2"/>
  <c r="I1937" i="2"/>
  <c r="J1937" i="2" s="1"/>
  <c r="H1937" i="2"/>
  <c r="G1937" i="2"/>
  <c r="E1937" i="2"/>
  <c r="I1936" i="2"/>
  <c r="J1936" i="2" s="1"/>
  <c r="H1936" i="2"/>
  <c r="G1936" i="2"/>
  <c r="E1936" i="2"/>
  <c r="I1935" i="2"/>
  <c r="J1935" i="2" s="1"/>
  <c r="H1935" i="2"/>
  <c r="G1935" i="2"/>
  <c r="E1935" i="2"/>
  <c r="I1934" i="2"/>
  <c r="J1934" i="2" s="1"/>
  <c r="H1934" i="2"/>
  <c r="G1934" i="2"/>
  <c r="E1934" i="2"/>
  <c r="I1933" i="2"/>
  <c r="J1933" i="2" s="1"/>
  <c r="H1933" i="2"/>
  <c r="G1933" i="2"/>
  <c r="E1933" i="2"/>
  <c r="I1932" i="2"/>
  <c r="J1932" i="2" s="1"/>
  <c r="H1932" i="2"/>
  <c r="G1932" i="2"/>
  <c r="E1932" i="2"/>
  <c r="I1931" i="2"/>
  <c r="J1931" i="2" s="1"/>
  <c r="H1931" i="2"/>
  <c r="G1931" i="2"/>
  <c r="E1931" i="2"/>
  <c r="I1930" i="2"/>
  <c r="J1930" i="2" s="1"/>
  <c r="H1930" i="2"/>
  <c r="G1930" i="2"/>
  <c r="E1930" i="2"/>
  <c r="I1929" i="2"/>
  <c r="J1929" i="2" s="1"/>
  <c r="H1929" i="2"/>
  <c r="G1929" i="2"/>
  <c r="E1929" i="2"/>
  <c r="I1928" i="2"/>
  <c r="J1928" i="2" s="1"/>
  <c r="H1928" i="2"/>
  <c r="G1928" i="2"/>
  <c r="E1928" i="2"/>
  <c r="I1927" i="2"/>
  <c r="J1927" i="2" s="1"/>
  <c r="H1927" i="2"/>
  <c r="G1927" i="2"/>
  <c r="E1927" i="2"/>
  <c r="J1926" i="2"/>
  <c r="I1926" i="2"/>
  <c r="H1926" i="2"/>
  <c r="G1926" i="2"/>
  <c r="E1926" i="2"/>
  <c r="I1925" i="2"/>
  <c r="J1925" i="2" s="1"/>
  <c r="H1925" i="2"/>
  <c r="G1925" i="2"/>
  <c r="E1925" i="2"/>
  <c r="I1924" i="2"/>
  <c r="J1924" i="2" s="1"/>
  <c r="H1924" i="2"/>
  <c r="G1924" i="2"/>
  <c r="E1924" i="2"/>
  <c r="I1923" i="2"/>
  <c r="J1923" i="2" s="1"/>
  <c r="H1923" i="2"/>
  <c r="G1923" i="2"/>
  <c r="E1923" i="2"/>
  <c r="I1922" i="2"/>
  <c r="J1922" i="2" s="1"/>
  <c r="H1922" i="2"/>
  <c r="G1922" i="2"/>
  <c r="E1922" i="2"/>
  <c r="I1921" i="2"/>
  <c r="J1921" i="2" s="1"/>
  <c r="H1921" i="2"/>
  <c r="G1921" i="2"/>
  <c r="E1921" i="2"/>
  <c r="J1920" i="2"/>
  <c r="I1920" i="2"/>
  <c r="H1920" i="2"/>
  <c r="G1920" i="2"/>
  <c r="E1920" i="2"/>
  <c r="I1919" i="2"/>
  <c r="J1919" i="2" s="1"/>
  <c r="H1919" i="2"/>
  <c r="G1919" i="2"/>
  <c r="E1919" i="2"/>
  <c r="I1918" i="2"/>
  <c r="J1918" i="2" s="1"/>
  <c r="H1918" i="2"/>
  <c r="G1918" i="2"/>
  <c r="E1918" i="2"/>
  <c r="I1917" i="2"/>
  <c r="J1917" i="2" s="1"/>
  <c r="H1917" i="2"/>
  <c r="G1917" i="2"/>
  <c r="E1917" i="2"/>
  <c r="I1916" i="2"/>
  <c r="J1916" i="2" s="1"/>
  <c r="H1916" i="2"/>
  <c r="G1916" i="2"/>
  <c r="E1916" i="2"/>
  <c r="I1915" i="2"/>
  <c r="J1915" i="2" s="1"/>
  <c r="H1915" i="2"/>
  <c r="G1915" i="2"/>
  <c r="E1915" i="2"/>
  <c r="I1914" i="2"/>
  <c r="J1914" i="2" s="1"/>
  <c r="H1914" i="2"/>
  <c r="G1914" i="2"/>
  <c r="E1914" i="2"/>
  <c r="I1913" i="2"/>
  <c r="J1913" i="2" s="1"/>
  <c r="H1913" i="2"/>
  <c r="G1913" i="2"/>
  <c r="E1913" i="2"/>
  <c r="I1912" i="2"/>
  <c r="J1912" i="2" s="1"/>
  <c r="H1912" i="2"/>
  <c r="G1912" i="2"/>
  <c r="E1912" i="2"/>
  <c r="I1911" i="2"/>
  <c r="J1911" i="2" s="1"/>
  <c r="H1911" i="2"/>
  <c r="G1911" i="2"/>
  <c r="E1911" i="2"/>
  <c r="I1910" i="2"/>
  <c r="J1910" i="2" s="1"/>
  <c r="H1910" i="2"/>
  <c r="G1910" i="2"/>
  <c r="E1910" i="2"/>
  <c r="I1909" i="2"/>
  <c r="J1909" i="2" s="1"/>
  <c r="H1909" i="2"/>
  <c r="G1909" i="2"/>
  <c r="E1909" i="2"/>
  <c r="J1908" i="2"/>
  <c r="I1908" i="2"/>
  <c r="H1908" i="2"/>
  <c r="G1908" i="2"/>
  <c r="E1908" i="2"/>
  <c r="I1907" i="2"/>
  <c r="J1907" i="2" s="1"/>
  <c r="H1907" i="2"/>
  <c r="G1907" i="2"/>
  <c r="E1907" i="2"/>
  <c r="I1906" i="2"/>
  <c r="J1906" i="2" s="1"/>
  <c r="H1906" i="2"/>
  <c r="G1906" i="2"/>
  <c r="E1906" i="2"/>
  <c r="I1905" i="2"/>
  <c r="J1905" i="2" s="1"/>
  <c r="H1905" i="2"/>
  <c r="G1905" i="2"/>
  <c r="E1905" i="2"/>
  <c r="I1904" i="2"/>
  <c r="J1904" i="2" s="1"/>
  <c r="H1904" i="2"/>
  <c r="G1904" i="2"/>
  <c r="E1904" i="2"/>
  <c r="I1903" i="2"/>
  <c r="J1903" i="2" s="1"/>
  <c r="H1903" i="2"/>
  <c r="G1903" i="2"/>
  <c r="E1903" i="2"/>
  <c r="J1902" i="2"/>
  <c r="I1902" i="2"/>
  <c r="H1902" i="2"/>
  <c r="G1902" i="2"/>
  <c r="E1902" i="2"/>
  <c r="I1901" i="2"/>
  <c r="J1901" i="2" s="1"/>
  <c r="H1901" i="2"/>
  <c r="G1901" i="2"/>
  <c r="E1901" i="2"/>
  <c r="I1900" i="2"/>
  <c r="J1900" i="2" s="1"/>
  <c r="H1900" i="2"/>
  <c r="G1900" i="2"/>
  <c r="E1900" i="2"/>
  <c r="I1899" i="2"/>
  <c r="J1899" i="2" s="1"/>
  <c r="H1899" i="2"/>
  <c r="G1899" i="2"/>
  <c r="E1899" i="2"/>
  <c r="I1898" i="2"/>
  <c r="J1898" i="2" s="1"/>
  <c r="H1898" i="2"/>
  <c r="G1898" i="2"/>
  <c r="E1898" i="2"/>
  <c r="I1897" i="2"/>
  <c r="J1897" i="2" s="1"/>
  <c r="H1897" i="2"/>
  <c r="G1897" i="2"/>
  <c r="E1897" i="2"/>
  <c r="I1896" i="2"/>
  <c r="J1896" i="2" s="1"/>
  <c r="H1896" i="2"/>
  <c r="G1896" i="2"/>
  <c r="E1896" i="2"/>
  <c r="I1895" i="2"/>
  <c r="J1895" i="2" s="1"/>
  <c r="H1895" i="2"/>
  <c r="G1895" i="2"/>
  <c r="E1895" i="2"/>
  <c r="I1894" i="2"/>
  <c r="J1894" i="2" s="1"/>
  <c r="H1894" i="2"/>
  <c r="G1894" i="2"/>
  <c r="E1894" i="2"/>
  <c r="I1893" i="2"/>
  <c r="J1893" i="2" s="1"/>
  <c r="H1893" i="2"/>
  <c r="G1893" i="2"/>
  <c r="E1893" i="2"/>
  <c r="I1892" i="2"/>
  <c r="J1892" i="2" s="1"/>
  <c r="H1892" i="2"/>
  <c r="G1892" i="2"/>
  <c r="E1892" i="2"/>
  <c r="I1891" i="2"/>
  <c r="J1891" i="2" s="1"/>
  <c r="H1891" i="2"/>
  <c r="G1891" i="2"/>
  <c r="E1891" i="2"/>
  <c r="J1890" i="2"/>
  <c r="I1890" i="2"/>
  <c r="H1890" i="2"/>
  <c r="G1890" i="2"/>
  <c r="E1890" i="2"/>
  <c r="I1889" i="2"/>
  <c r="J1889" i="2" s="1"/>
  <c r="H1889" i="2"/>
  <c r="G1889" i="2"/>
  <c r="E1889" i="2"/>
  <c r="I1888" i="2"/>
  <c r="J1888" i="2" s="1"/>
  <c r="H1888" i="2"/>
  <c r="G1888" i="2"/>
  <c r="E1888" i="2"/>
  <c r="I1887" i="2"/>
  <c r="J1887" i="2" s="1"/>
  <c r="H1887" i="2"/>
  <c r="G1887" i="2"/>
  <c r="E1887" i="2"/>
  <c r="I1886" i="2"/>
  <c r="J1886" i="2" s="1"/>
  <c r="H1886" i="2"/>
  <c r="G1886" i="2"/>
  <c r="E1886" i="2"/>
  <c r="I1885" i="2"/>
  <c r="J1885" i="2" s="1"/>
  <c r="H1885" i="2"/>
  <c r="G1885" i="2"/>
  <c r="E1885" i="2"/>
  <c r="J1884" i="2"/>
  <c r="I1884" i="2"/>
  <c r="H1884" i="2"/>
  <c r="G1884" i="2"/>
  <c r="E1884" i="2"/>
  <c r="I1883" i="2"/>
  <c r="J1883" i="2" s="1"/>
  <c r="H1883" i="2"/>
  <c r="G1883" i="2"/>
  <c r="E1883" i="2"/>
  <c r="I1882" i="2"/>
  <c r="J1882" i="2" s="1"/>
  <c r="H1882" i="2"/>
  <c r="G1882" i="2"/>
  <c r="E1882" i="2"/>
  <c r="I1881" i="2"/>
  <c r="J1881" i="2" s="1"/>
  <c r="H1881" i="2"/>
  <c r="G1881" i="2"/>
  <c r="E1881" i="2"/>
  <c r="I1880" i="2"/>
  <c r="J1880" i="2" s="1"/>
  <c r="H1880" i="2"/>
  <c r="G1880" i="2"/>
  <c r="E1880" i="2"/>
  <c r="I1879" i="2"/>
  <c r="J1879" i="2" s="1"/>
  <c r="H1879" i="2"/>
  <c r="G1879" i="2"/>
  <c r="E1879" i="2"/>
  <c r="I1878" i="2"/>
  <c r="J1878" i="2" s="1"/>
  <c r="H1878" i="2"/>
  <c r="G1878" i="2"/>
  <c r="E1878" i="2"/>
  <c r="I1877" i="2"/>
  <c r="J1877" i="2" s="1"/>
  <c r="H1877" i="2"/>
  <c r="G1877" i="2"/>
  <c r="E1877" i="2"/>
  <c r="I1876" i="2"/>
  <c r="J1876" i="2" s="1"/>
  <c r="H1876" i="2"/>
  <c r="G1876" i="2"/>
  <c r="E1876" i="2"/>
  <c r="I1875" i="2"/>
  <c r="J1875" i="2" s="1"/>
  <c r="H1875" i="2"/>
  <c r="G1875" i="2"/>
  <c r="E1875" i="2"/>
  <c r="I1874" i="2"/>
  <c r="J1874" i="2" s="1"/>
  <c r="H1874" i="2"/>
  <c r="G1874" i="2"/>
  <c r="E1874" i="2"/>
  <c r="I1873" i="2"/>
  <c r="J1873" i="2" s="1"/>
  <c r="H1873" i="2"/>
  <c r="G1873" i="2"/>
  <c r="E1873" i="2"/>
  <c r="J1872" i="2"/>
  <c r="I1872" i="2"/>
  <c r="H1872" i="2"/>
  <c r="G1872" i="2"/>
  <c r="E1872" i="2"/>
  <c r="I1871" i="2"/>
  <c r="J1871" i="2" s="1"/>
  <c r="H1871" i="2"/>
  <c r="G1871" i="2"/>
  <c r="E1871" i="2"/>
  <c r="I1870" i="2"/>
  <c r="J1870" i="2" s="1"/>
  <c r="H1870" i="2"/>
  <c r="G1870" i="2"/>
  <c r="E1870" i="2"/>
  <c r="I1869" i="2"/>
  <c r="J1869" i="2" s="1"/>
  <c r="H1869" i="2"/>
  <c r="G1869" i="2"/>
  <c r="E1869" i="2"/>
  <c r="I1868" i="2"/>
  <c r="J1868" i="2" s="1"/>
  <c r="H1868" i="2"/>
  <c r="G1868" i="2"/>
  <c r="E1868" i="2"/>
  <c r="I1867" i="2"/>
  <c r="J1867" i="2" s="1"/>
  <c r="H1867" i="2"/>
  <c r="G1867" i="2"/>
  <c r="E1867" i="2"/>
  <c r="J1866" i="2"/>
  <c r="I1866" i="2"/>
  <c r="H1866" i="2"/>
  <c r="G1866" i="2"/>
  <c r="E1866" i="2"/>
  <c r="I1865" i="2"/>
  <c r="J1865" i="2" s="1"/>
  <c r="H1865" i="2"/>
  <c r="G1865" i="2"/>
  <c r="E1865" i="2"/>
  <c r="I1864" i="2"/>
  <c r="J1864" i="2" s="1"/>
  <c r="H1864" i="2"/>
  <c r="G1864" i="2"/>
  <c r="E1864" i="2"/>
  <c r="I1863" i="2"/>
  <c r="J1863" i="2" s="1"/>
  <c r="H1863" i="2"/>
  <c r="G1863" i="2"/>
  <c r="E1863" i="2"/>
  <c r="I1862" i="2"/>
  <c r="J1862" i="2" s="1"/>
  <c r="H1862" i="2"/>
  <c r="G1862" i="2"/>
  <c r="E1862" i="2"/>
  <c r="I1861" i="2"/>
  <c r="J1861" i="2" s="1"/>
  <c r="H1861" i="2"/>
  <c r="G1861" i="2"/>
  <c r="E1861" i="2"/>
  <c r="I1860" i="2"/>
  <c r="J1860" i="2" s="1"/>
  <c r="H1860" i="2"/>
  <c r="G1860" i="2"/>
  <c r="E1860" i="2"/>
  <c r="I1859" i="2"/>
  <c r="J1859" i="2" s="1"/>
  <c r="H1859" i="2"/>
  <c r="G1859" i="2"/>
  <c r="E1859" i="2"/>
  <c r="I1858" i="2"/>
  <c r="J1858" i="2" s="1"/>
  <c r="H1858" i="2"/>
  <c r="G1858" i="2"/>
  <c r="E1858" i="2"/>
  <c r="I1857" i="2"/>
  <c r="J1857" i="2" s="1"/>
  <c r="H1857" i="2"/>
  <c r="G1857" i="2"/>
  <c r="E1857" i="2"/>
  <c r="I1856" i="2"/>
  <c r="J1856" i="2" s="1"/>
  <c r="H1856" i="2"/>
  <c r="G1856" i="2"/>
  <c r="E1856" i="2"/>
  <c r="I1855" i="2"/>
  <c r="J1855" i="2" s="1"/>
  <c r="H1855" i="2"/>
  <c r="G1855" i="2"/>
  <c r="E1855" i="2"/>
  <c r="J1854" i="2"/>
  <c r="I1854" i="2"/>
  <c r="H1854" i="2"/>
  <c r="G1854" i="2"/>
  <c r="E1854" i="2"/>
  <c r="I1853" i="2"/>
  <c r="J1853" i="2" s="1"/>
  <c r="H1853" i="2"/>
  <c r="G1853" i="2"/>
  <c r="E1853" i="2"/>
  <c r="I1852" i="2"/>
  <c r="J1852" i="2" s="1"/>
  <c r="H1852" i="2"/>
  <c r="G1852" i="2"/>
  <c r="E1852" i="2"/>
  <c r="I1851" i="2"/>
  <c r="J1851" i="2" s="1"/>
  <c r="H1851" i="2"/>
  <c r="G1851" i="2"/>
  <c r="E1851" i="2"/>
  <c r="I1850" i="2"/>
  <c r="J1850" i="2" s="1"/>
  <c r="H1850" i="2"/>
  <c r="G1850" i="2"/>
  <c r="E1850" i="2"/>
  <c r="I1849" i="2"/>
  <c r="J1849" i="2" s="1"/>
  <c r="H1849" i="2"/>
  <c r="G1849" i="2"/>
  <c r="E1849" i="2"/>
  <c r="J1848" i="2"/>
  <c r="I1848" i="2"/>
  <c r="H1848" i="2"/>
  <c r="G1848" i="2"/>
  <c r="E1848" i="2"/>
  <c r="I1847" i="2"/>
  <c r="J1847" i="2" s="1"/>
  <c r="H1847" i="2"/>
  <c r="G1847" i="2"/>
  <c r="E1847" i="2"/>
  <c r="I1846" i="2"/>
  <c r="J1846" i="2" s="1"/>
  <c r="H1846" i="2"/>
  <c r="G1846" i="2"/>
  <c r="E1846" i="2"/>
  <c r="I1845" i="2"/>
  <c r="J1845" i="2" s="1"/>
  <c r="H1845" i="2"/>
  <c r="G1845" i="2"/>
  <c r="E1845" i="2"/>
  <c r="I1844" i="2"/>
  <c r="J1844" i="2" s="1"/>
  <c r="H1844" i="2"/>
  <c r="G1844" i="2"/>
  <c r="E1844" i="2"/>
  <c r="J1843" i="2"/>
  <c r="I1843" i="2"/>
  <c r="H1843" i="2"/>
  <c r="G1843" i="2"/>
  <c r="E1843" i="2"/>
  <c r="I1842" i="2"/>
  <c r="J1842" i="2" s="1"/>
  <c r="H1842" i="2"/>
  <c r="G1842" i="2"/>
  <c r="E1842" i="2"/>
  <c r="I1841" i="2"/>
  <c r="J1841" i="2" s="1"/>
  <c r="H1841" i="2"/>
  <c r="G1841" i="2"/>
  <c r="E1841" i="2"/>
  <c r="J1840" i="2"/>
  <c r="I1840" i="2"/>
  <c r="H1840" i="2"/>
  <c r="G1840" i="2"/>
  <c r="E1840" i="2"/>
  <c r="I1839" i="2"/>
  <c r="J1839" i="2" s="1"/>
  <c r="H1839" i="2"/>
  <c r="G1839" i="2"/>
  <c r="E1839" i="2"/>
  <c r="I1838" i="2"/>
  <c r="J1838" i="2" s="1"/>
  <c r="H1838" i="2"/>
  <c r="G1838" i="2"/>
  <c r="E1838" i="2"/>
  <c r="I1837" i="2"/>
  <c r="J1837" i="2" s="1"/>
  <c r="H1837" i="2"/>
  <c r="G1837" i="2"/>
  <c r="E1837" i="2"/>
  <c r="I1836" i="2"/>
  <c r="J1836" i="2" s="1"/>
  <c r="H1836" i="2"/>
  <c r="G1836" i="2"/>
  <c r="E1836" i="2"/>
  <c r="I1835" i="2"/>
  <c r="J1835" i="2" s="1"/>
  <c r="H1835" i="2"/>
  <c r="G1835" i="2"/>
  <c r="E1835" i="2"/>
  <c r="I1834" i="2"/>
  <c r="J1834" i="2" s="1"/>
  <c r="H1834" i="2"/>
  <c r="G1834" i="2"/>
  <c r="E1834" i="2"/>
  <c r="I1833" i="2"/>
  <c r="J1833" i="2" s="1"/>
  <c r="H1833" i="2"/>
  <c r="G1833" i="2"/>
  <c r="E1833" i="2"/>
  <c r="I1832" i="2"/>
  <c r="J1832" i="2" s="1"/>
  <c r="H1832" i="2"/>
  <c r="G1832" i="2"/>
  <c r="E1832" i="2"/>
  <c r="I1831" i="2"/>
  <c r="J1831" i="2" s="1"/>
  <c r="H1831" i="2"/>
  <c r="G1831" i="2"/>
  <c r="E1831" i="2"/>
  <c r="I1830" i="2"/>
  <c r="J1830" i="2" s="1"/>
  <c r="H1830" i="2"/>
  <c r="G1830" i="2"/>
  <c r="E1830" i="2"/>
  <c r="I1829" i="2"/>
  <c r="J1829" i="2" s="1"/>
  <c r="H1829" i="2"/>
  <c r="G1829" i="2"/>
  <c r="E1829" i="2"/>
  <c r="J1828" i="2"/>
  <c r="I1828" i="2"/>
  <c r="H1828" i="2"/>
  <c r="G1828" i="2"/>
  <c r="E1828" i="2"/>
  <c r="I1827" i="2"/>
  <c r="J1827" i="2" s="1"/>
  <c r="H1827" i="2"/>
  <c r="G1827" i="2"/>
  <c r="E1827" i="2"/>
  <c r="I1826" i="2"/>
  <c r="J1826" i="2" s="1"/>
  <c r="H1826" i="2"/>
  <c r="G1826" i="2"/>
  <c r="E1826" i="2"/>
  <c r="I1825" i="2"/>
  <c r="J1825" i="2" s="1"/>
  <c r="H1825" i="2"/>
  <c r="G1825" i="2"/>
  <c r="E1825" i="2"/>
  <c r="J1824" i="2"/>
  <c r="I1824" i="2"/>
  <c r="H1824" i="2"/>
  <c r="G1824" i="2"/>
  <c r="E1824" i="2"/>
  <c r="I1823" i="2"/>
  <c r="J1823" i="2" s="1"/>
  <c r="H1823" i="2"/>
  <c r="G1823" i="2"/>
  <c r="E1823" i="2"/>
  <c r="I1822" i="2"/>
  <c r="J1822" i="2" s="1"/>
  <c r="H1822" i="2"/>
  <c r="G1822" i="2"/>
  <c r="E1822" i="2"/>
  <c r="I1821" i="2"/>
  <c r="J1821" i="2" s="1"/>
  <c r="H1821" i="2"/>
  <c r="G1821" i="2"/>
  <c r="E1821" i="2"/>
  <c r="I1820" i="2"/>
  <c r="J1820" i="2" s="1"/>
  <c r="H1820" i="2"/>
  <c r="G1820" i="2"/>
  <c r="E1820" i="2"/>
  <c r="I1819" i="2"/>
  <c r="J1819" i="2" s="1"/>
  <c r="H1819" i="2"/>
  <c r="G1819" i="2"/>
  <c r="E1819" i="2"/>
  <c r="I1818" i="2"/>
  <c r="J1818" i="2" s="1"/>
  <c r="H1818" i="2"/>
  <c r="G1818" i="2"/>
  <c r="E1818" i="2"/>
  <c r="I1817" i="2"/>
  <c r="J1817" i="2" s="1"/>
  <c r="H1817" i="2"/>
  <c r="G1817" i="2"/>
  <c r="E1817" i="2"/>
  <c r="I1816" i="2"/>
  <c r="J1816" i="2" s="1"/>
  <c r="H1816" i="2"/>
  <c r="G1816" i="2"/>
  <c r="E1816" i="2"/>
  <c r="I1815" i="2"/>
  <c r="J1815" i="2" s="1"/>
  <c r="H1815" i="2"/>
  <c r="G1815" i="2"/>
  <c r="E1815" i="2"/>
  <c r="I1814" i="2"/>
  <c r="J1814" i="2" s="1"/>
  <c r="H1814" i="2"/>
  <c r="G1814" i="2"/>
  <c r="E1814" i="2"/>
  <c r="J1813" i="2"/>
  <c r="I1813" i="2"/>
  <c r="H1813" i="2"/>
  <c r="G1813" i="2"/>
  <c r="E1813" i="2"/>
  <c r="I1812" i="2"/>
  <c r="J1812" i="2" s="1"/>
  <c r="H1812" i="2"/>
  <c r="G1812" i="2"/>
  <c r="E1812" i="2"/>
  <c r="I1811" i="2"/>
  <c r="J1811" i="2" s="1"/>
  <c r="H1811" i="2"/>
  <c r="G1811" i="2"/>
  <c r="E1811" i="2"/>
  <c r="I1810" i="2"/>
  <c r="J1810" i="2" s="1"/>
  <c r="H1810" i="2"/>
  <c r="G1810" i="2"/>
  <c r="E1810" i="2"/>
  <c r="I1809" i="2"/>
  <c r="J1809" i="2" s="1"/>
  <c r="H1809" i="2"/>
  <c r="G1809" i="2"/>
  <c r="E1809" i="2"/>
  <c r="I1808" i="2"/>
  <c r="J1808" i="2" s="1"/>
  <c r="H1808" i="2"/>
  <c r="G1808" i="2"/>
  <c r="E1808" i="2"/>
  <c r="I1807" i="2"/>
  <c r="J1807" i="2" s="1"/>
  <c r="H1807" i="2"/>
  <c r="G1807" i="2"/>
  <c r="E1807" i="2"/>
  <c r="I1806" i="2"/>
  <c r="J1806" i="2" s="1"/>
  <c r="H1806" i="2"/>
  <c r="G1806" i="2"/>
  <c r="E1806" i="2"/>
  <c r="I1805" i="2"/>
  <c r="J1805" i="2" s="1"/>
  <c r="H1805" i="2"/>
  <c r="G1805" i="2"/>
  <c r="E1805" i="2"/>
  <c r="I1804" i="2"/>
  <c r="J1804" i="2" s="1"/>
  <c r="H1804" i="2"/>
  <c r="G1804" i="2"/>
  <c r="E1804" i="2"/>
  <c r="I1803" i="2"/>
  <c r="J1803" i="2" s="1"/>
  <c r="H1803" i="2"/>
  <c r="G1803" i="2"/>
  <c r="E1803" i="2"/>
  <c r="I1802" i="2"/>
  <c r="J1802" i="2" s="1"/>
  <c r="H1802" i="2"/>
  <c r="G1802" i="2"/>
  <c r="E1802" i="2"/>
  <c r="J1801" i="2"/>
  <c r="I1801" i="2"/>
  <c r="H1801" i="2"/>
  <c r="G1801" i="2"/>
  <c r="E1801" i="2"/>
  <c r="I1800" i="2"/>
  <c r="J1800" i="2" s="1"/>
  <c r="H1800" i="2"/>
  <c r="G1800" i="2"/>
  <c r="E1800" i="2"/>
  <c r="I1799" i="2"/>
  <c r="J1799" i="2" s="1"/>
  <c r="H1799" i="2"/>
  <c r="G1799" i="2"/>
  <c r="E1799" i="2"/>
  <c r="I1798" i="2"/>
  <c r="J1798" i="2" s="1"/>
  <c r="H1798" i="2"/>
  <c r="G1798" i="2"/>
  <c r="E1798" i="2"/>
  <c r="I1797" i="2"/>
  <c r="J1797" i="2" s="1"/>
  <c r="H1797" i="2"/>
  <c r="G1797" i="2"/>
  <c r="E1797" i="2"/>
  <c r="I1796" i="2"/>
  <c r="J1796" i="2" s="1"/>
  <c r="H1796" i="2"/>
  <c r="G1796" i="2"/>
  <c r="E1796" i="2"/>
  <c r="J1795" i="2"/>
  <c r="I1795" i="2"/>
  <c r="H1795" i="2"/>
  <c r="G1795" i="2"/>
  <c r="E1795" i="2"/>
  <c r="I1794" i="2"/>
  <c r="J1794" i="2" s="1"/>
  <c r="H1794" i="2"/>
  <c r="G1794" i="2"/>
  <c r="E1794" i="2"/>
  <c r="I1793" i="2"/>
  <c r="J1793" i="2" s="1"/>
  <c r="H1793" i="2"/>
  <c r="G1793" i="2"/>
  <c r="E1793" i="2"/>
  <c r="J1792" i="2"/>
  <c r="I1792" i="2"/>
  <c r="H1792" i="2"/>
  <c r="G1792" i="2"/>
  <c r="E1792" i="2"/>
  <c r="I1791" i="2"/>
  <c r="J1791" i="2" s="1"/>
  <c r="H1791" i="2"/>
  <c r="G1791" i="2"/>
  <c r="E1791" i="2"/>
  <c r="I1790" i="2"/>
  <c r="J1790" i="2" s="1"/>
  <c r="H1790" i="2"/>
  <c r="G1790" i="2"/>
  <c r="E1790" i="2"/>
  <c r="I1789" i="2"/>
  <c r="J1789" i="2" s="1"/>
  <c r="H1789" i="2"/>
  <c r="G1789" i="2"/>
  <c r="E1789" i="2"/>
  <c r="J1788" i="2"/>
  <c r="I1788" i="2"/>
  <c r="H1788" i="2"/>
  <c r="G1788" i="2"/>
  <c r="E1788" i="2"/>
  <c r="I1787" i="2"/>
  <c r="J1787" i="2" s="1"/>
  <c r="H1787" i="2"/>
  <c r="G1787" i="2"/>
  <c r="E1787" i="2"/>
  <c r="I1786" i="2"/>
  <c r="J1786" i="2" s="1"/>
  <c r="H1786" i="2"/>
  <c r="G1786" i="2"/>
  <c r="E1786" i="2"/>
  <c r="I1785" i="2"/>
  <c r="J1785" i="2" s="1"/>
  <c r="H1785" i="2"/>
  <c r="G1785" i="2"/>
  <c r="E1785" i="2"/>
  <c r="I1784" i="2"/>
  <c r="J1784" i="2" s="1"/>
  <c r="H1784" i="2"/>
  <c r="G1784" i="2"/>
  <c r="E1784" i="2"/>
  <c r="I1783" i="2"/>
  <c r="J1783" i="2" s="1"/>
  <c r="H1783" i="2"/>
  <c r="G1783" i="2"/>
  <c r="E1783" i="2"/>
  <c r="I1782" i="2"/>
  <c r="J1782" i="2" s="1"/>
  <c r="H1782" i="2"/>
  <c r="G1782" i="2"/>
  <c r="E1782" i="2"/>
  <c r="I1781" i="2"/>
  <c r="J1781" i="2" s="1"/>
  <c r="H1781" i="2"/>
  <c r="G1781" i="2"/>
  <c r="E1781" i="2"/>
  <c r="J1780" i="2"/>
  <c r="I1780" i="2"/>
  <c r="H1780" i="2"/>
  <c r="G1780" i="2"/>
  <c r="E1780" i="2"/>
  <c r="I1779" i="2"/>
  <c r="J1779" i="2" s="1"/>
  <c r="H1779" i="2"/>
  <c r="G1779" i="2"/>
  <c r="E1779" i="2"/>
  <c r="I1778" i="2"/>
  <c r="J1778" i="2" s="1"/>
  <c r="H1778" i="2"/>
  <c r="G1778" i="2"/>
  <c r="E1778" i="2"/>
  <c r="I1777" i="2"/>
  <c r="J1777" i="2" s="1"/>
  <c r="H1777" i="2"/>
  <c r="G1777" i="2"/>
  <c r="E1777" i="2"/>
  <c r="J1776" i="2"/>
  <c r="I1776" i="2"/>
  <c r="H1776" i="2"/>
  <c r="G1776" i="2"/>
  <c r="E1776" i="2"/>
  <c r="I1775" i="2"/>
  <c r="J1775" i="2" s="1"/>
  <c r="H1775" i="2"/>
  <c r="G1775" i="2"/>
  <c r="E1775" i="2"/>
  <c r="I1774" i="2"/>
  <c r="J1774" i="2" s="1"/>
  <c r="H1774" i="2"/>
  <c r="G1774" i="2"/>
  <c r="E1774" i="2"/>
  <c r="I1773" i="2"/>
  <c r="J1773" i="2" s="1"/>
  <c r="H1773" i="2"/>
  <c r="G1773" i="2"/>
  <c r="E1773" i="2"/>
  <c r="I1772" i="2"/>
  <c r="J1772" i="2" s="1"/>
  <c r="H1772" i="2"/>
  <c r="G1772" i="2"/>
  <c r="E1772" i="2"/>
  <c r="J1771" i="2"/>
  <c r="I1771" i="2"/>
  <c r="H1771" i="2"/>
  <c r="G1771" i="2"/>
  <c r="E1771" i="2"/>
  <c r="I1770" i="2"/>
  <c r="J1770" i="2" s="1"/>
  <c r="H1770" i="2"/>
  <c r="G1770" i="2"/>
  <c r="E1770" i="2"/>
  <c r="I1769" i="2"/>
  <c r="J1769" i="2" s="1"/>
  <c r="H1769" i="2"/>
  <c r="G1769" i="2"/>
  <c r="E1769" i="2"/>
  <c r="J1768" i="2"/>
  <c r="I1768" i="2"/>
  <c r="H1768" i="2"/>
  <c r="G1768" i="2"/>
  <c r="E1768" i="2"/>
  <c r="I1767" i="2"/>
  <c r="J1767" i="2" s="1"/>
  <c r="H1767" i="2"/>
  <c r="G1767" i="2"/>
  <c r="E1767" i="2"/>
  <c r="I1766" i="2"/>
  <c r="J1766" i="2" s="1"/>
  <c r="H1766" i="2"/>
  <c r="G1766" i="2"/>
  <c r="E1766" i="2"/>
  <c r="I1765" i="2"/>
  <c r="J1765" i="2" s="1"/>
  <c r="H1765" i="2"/>
  <c r="G1765" i="2"/>
  <c r="E1765" i="2"/>
  <c r="J1764" i="2"/>
  <c r="I1764" i="2"/>
  <c r="H1764" i="2"/>
  <c r="G1764" i="2"/>
  <c r="E1764" i="2"/>
  <c r="I1763" i="2"/>
  <c r="J1763" i="2" s="1"/>
  <c r="H1763" i="2"/>
  <c r="G1763" i="2"/>
  <c r="E1763" i="2"/>
  <c r="I1762" i="2"/>
  <c r="J1762" i="2" s="1"/>
  <c r="H1762" i="2"/>
  <c r="G1762" i="2"/>
  <c r="E1762" i="2"/>
  <c r="I1761" i="2"/>
  <c r="J1761" i="2" s="1"/>
  <c r="H1761" i="2"/>
  <c r="G1761" i="2"/>
  <c r="E1761" i="2"/>
  <c r="I1760" i="2"/>
  <c r="J1760" i="2" s="1"/>
  <c r="H1760" i="2"/>
  <c r="G1760" i="2"/>
  <c r="E1760" i="2"/>
  <c r="J1759" i="2"/>
  <c r="I1759" i="2"/>
  <c r="H1759" i="2"/>
  <c r="G1759" i="2"/>
  <c r="E1759" i="2"/>
  <c r="I1758" i="2"/>
  <c r="J1758" i="2" s="1"/>
  <c r="H1758" i="2"/>
  <c r="G1758" i="2"/>
  <c r="E1758" i="2"/>
  <c r="I1757" i="2"/>
  <c r="J1757" i="2" s="1"/>
  <c r="H1757" i="2"/>
  <c r="G1757" i="2"/>
  <c r="E1757" i="2"/>
  <c r="J1756" i="2"/>
  <c r="I1756" i="2"/>
  <c r="H1756" i="2"/>
  <c r="G1756" i="2"/>
  <c r="E1756" i="2"/>
  <c r="I1755" i="2"/>
  <c r="J1755" i="2" s="1"/>
  <c r="H1755" i="2"/>
  <c r="G1755" i="2"/>
  <c r="E1755" i="2"/>
  <c r="I1754" i="2"/>
  <c r="J1754" i="2" s="1"/>
  <c r="H1754" i="2"/>
  <c r="G1754" i="2"/>
  <c r="E1754" i="2"/>
  <c r="I1753" i="2"/>
  <c r="J1753" i="2" s="1"/>
  <c r="H1753" i="2"/>
  <c r="G1753" i="2"/>
  <c r="E1753" i="2"/>
  <c r="J1752" i="2"/>
  <c r="I1752" i="2"/>
  <c r="H1752" i="2"/>
  <c r="G1752" i="2"/>
  <c r="E1752" i="2"/>
  <c r="I1751" i="2"/>
  <c r="J1751" i="2" s="1"/>
  <c r="H1751" i="2"/>
  <c r="G1751" i="2"/>
  <c r="E1751" i="2"/>
  <c r="I1750" i="2"/>
  <c r="J1750" i="2" s="1"/>
  <c r="H1750" i="2"/>
  <c r="G1750" i="2"/>
  <c r="E1750" i="2"/>
  <c r="I1749" i="2"/>
  <c r="J1749" i="2" s="1"/>
  <c r="H1749" i="2"/>
  <c r="G1749" i="2"/>
  <c r="E1749" i="2"/>
  <c r="I1748" i="2"/>
  <c r="J1748" i="2" s="1"/>
  <c r="H1748" i="2"/>
  <c r="G1748" i="2"/>
  <c r="E1748" i="2"/>
  <c r="J1747" i="2"/>
  <c r="I1747" i="2"/>
  <c r="H1747" i="2"/>
  <c r="G1747" i="2"/>
  <c r="E1747" i="2"/>
  <c r="I1746" i="2"/>
  <c r="J1746" i="2" s="1"/>
  <c r="H1746" i="2"/>
  <c r="G1746" i="2"/>
  <c r="E1746" i="2"/>
  <c r="I1745" i="2"/>
  <c r="J1745" i="2" s="1"/>
  <c r="H1745" i="2"/>
  <c r="G1745" i="2"/>
  <c r="E1745" i="2"/>
  <c r="J1744" i="2"/>
  <c r="I1744" i="2"/>
  <c r="H1744" i="2"/>
  <c r="G1744" i="2"/>
  <c r="E1744" i="2"/>
  <c r="I1743" i="2"/>
  <c r="J1743" i="2" s="1"/>
  <c r="H1743" i="2"/>
  <c r="G1743" i="2"/>
  <c r="E1743" i="2"/>
  <c r="I1742" i="2"/>
  <c r="J1742" i="2" s="1"/>
  <c r="H1742" i="2"/>
  <c r="G1742" i="2"/>
  <c r="E1742" i="2"/>
  <c r="I1741" i="2"/>
  <c r="J1741" i="2" s="1"/>
  <c r="H1741" i="2"/>
  <c r="G1741" i="2"/>
  <c r="E1741" i="2"/>
  <c r="J1740" i="2"/>
  <c r="I1740" i="2"/>
  <c r="H1740" i="2"/>
  <c r="G1740" i="2"/>
  <c r="E1740" i="2"/>
  <c r="I1739" i="2"/>
  <c r="J1739" i="2" s="1"/>
  <c r="H1739" i="2"/>
  <c r="G1739" i="2"/>
  <c r="E1739" i="2"/>
  <c r="I1738" i="2"/>
  <c r="J1738" i="2" s="1"/>
  <c r="H1738" i="2"/>
  <c r="G1738" i="2"/>
  <c r="E1738" i="2"/>
  <c r="I1737" i="2"/>
  <c r="J1737" i="2" s="1"/>
  <c r="H1737" i="2"/>
  <c r="G1737" i="2"/>
  <c r="E1737" i="2"/>
  <c r="I1736" i="2"/>
  <c r="J1736" i="2" s="1"/>
  <c r="H1736" i="2"/>
  <c r="G1736" i="2"/>
  <c r="E1736" i="2"/>
  <c r="J1735" i="2"/>
  <c r="I1735" i="2"/>
  <c r="H1735" i="2"/>
  <c r="G1735" i="2"/>
  <c r="E1735" i="2"/>
  <c r="I1734" i="2"/>
  <c r="J1734" i="2" s="1"/>
  <c r="H1734" i="2"/>
  <c r="G1734" i="2"/>
  <c r="E1734" i="2"/>
  <c r="I1733" i="2"/>
  <c r="J1733" i="2" s="1"/>
  <c r="H1733" i="2"/>
  <c r="G1733" i="2"/>
  <c r="E1733" i="2"/>
  <c r="J1732" i="2"/>
  <c r="I1732" i="2"/>
  <c r="H1732" i="2"/>
  <c r="G1732" i="2"/>
  <c r="E1732" i="2"/>
  <c r="I1731" i="2"/>
  <c r="J1731" i="2" s="1"/>
  <c r="H1731" i="2"/>
  <c r="G1731" i="2"/>
  <c r="E1731" i="2"/>
  <c r="I1730" i="2"/>
  <c r="J1730" i="2" s="1"/>
  <c r="H1730" i="2"/>
  <c r="G1730" i="2"/>
  <c r="E1730" i="2"/>
  <c r="I1729" i="2"/>
  <c r="J1729" i="2" s="1"/>
  <c r="H1729" i="2"/>
  <c r="G1729" i="2"/>
  <c r="E1729" i="2"/>
  <c r="J1728" i="2"/>
  <c r="I1728" i="2"/>
  <c r="H1728" i="2"/>
  <c r="G1728" i="2"/>
  <c r="E1728" i="2"/>
  <c r="I1727" i="2"/>
  <c r="J1727" i="2" s="1"/>
  <c r="H1727" i="2"/>
  <c r="G1727" i="2"/>
  <c r="E1727" i="2"/>
  <c r="I1726" i="2"/>
  <c r="J1726" i="2" s="1"/>
  <c r="H1726" i="2"/>
  <c r="G1726" i="2"/>
  <c r="E1726" i="2"/>
  <c r="I1725" i="2"/>
  <c r="J1725" i="2" s="1"/>
  <c r="H1725" i="2"/>
  <c r="G1725" i="2"/>
  <c r="E1725" i="2"/>
  <c r="I1724" i="2"/>
  <c r="J1724" i="2" s="1"/>
  <c r="H1724" i="2"/>
  <c r="G1724" i="2"/>
  <c r="E1724" i="2"/>
  <c r="J1723" i="2"/>
  <c r="I1723" i="2"/>
  <c r="H1723" i="2"/>
  <c r="G1723" i="2"/>
  <c r="E1723" i="2"/>
  <c r="I1722" i="2"/>
  <c r="J1722" i="2" s="1"/>
  <c r="H1722" i="2"/>
  <c r="G1722" i="2"/>
  <c r="E1722" i="2"/>
  <c r="I1721" i="2"/>
  <c r="J1721" i="2" s="1"/>
  <c r="H1721" i="2"/>
  <c r="G1721" i="2"/>
  <c r="E1721" i="2"/>
  <c r="J1720" i="2"/>
  <c r="I1720" i="2"/>
  <c r="H1720" i="2"/>
  <c r="G1720" i="2"/>
  <c r="E1720" i="2"/>
  <c r="I1719" i="2"/>
  <c r="J1719" i="2" s="1"/>
  <c r="H1719" i="2"/>
  <c r="G1719" i="2"/>
  <c r="E1719" i="2"/>
  <c r="I1718" i="2"/>
  <c r="J1718" i="2" s="1"/>
  <c r="H1718" i="2"/>
  <c r="G1718" i="2"/>
  <c r="E1718" i="2"/>
  <c r="I1717" i="2"/>
  <c r="J1717" i="2" s="1"/>
  <c r="H1717" i="2"/>
  <c r="G1717" i="2"/>
  <c r="E1717" i="2"/>
  <c r="J1716" i="2"/>
  <c r="I1716" i="2"/>
  <c r="H1716" i="2"/>
  <c r="G1716" i="2"/>
  <c r="E1716" i="2"/>
  <c r="I1715" i="2"/>
  <c r="J1715" i="2" s="1"/>
  <c r="H1715" i="2"/>
  <c r="G1715" i="2"/>
  <c r="E1715" i="2"/>
  <c r="I1714" i="2"/>
  <c r="J1714" i="2" s="1"/>
  <c r="H1714" i="2"/>
  <c r="G1714" i="2"/>
  <c r="E1714" i="2"/>
  <c r="I1713" i="2"/>
  <c r="J1713" i="2" s="1"/>
  <c r="H1713" i="2"/>
  <c r="G1713" i="2"/>
  <c r="E1713" i="2"/>
  <c r="I1712" i="2"/>
  <c r="J1712" i="2" s="1"/>
  <c r="H1712" i="2"/>
  <c r="G1712" i="2"/>
  <c r="E1712" i="2"/>
  <c r="J1711" i="2"/>
  <c r="I1711" i="2"/>
  <c r="H1711" i="2"/>
  <c r="G1711" i="2"/>
  <c r="E1711" i="2"/>
  <c r="I1710" i="2"/>
  <c r="J1710" i="2" s="1"/>
  <c r="H1710" i="2"/>
  <c r="G1710" i="2"/>
  <c r="E1710" i="2"/>
  <c r="I1709" i="2"/>
  <c r="J1709" i="2" s="1"/>
  <c r="H1709" i="2"/>
  <c r="G1709" i="2"/>
  <c r="E1709" i="2"/>
  <c r="J1708" i="2"/>
  <c r="I1708" i="2"/>
  <c r="H1708" i="2"/>
  <c r="G1708" i="2"/>
  <c r="E1708" i="2"/>
  <c r="I1707" i="2"/>
  <c r="J1707" i="2" s="1"/>
  <c r="H1707" i="2"/>
  <c r="G1707" i="2"/>
  <c r="E1707" i="2"/>
  <c r="I1706" i="2"/>
  <c r="J1706" i="2" s="1"/>
  <c r="H1706" i="2"/>
  <c r="G1706" i="2"/>
  <c r="E1706" i="2"/>
  <c r="I1705" i="2"/>
  <c r="J1705" i="2" s="1"/>
  <c r="H1705" i="2"/>
  <c r="G1705" i="2"/>
  <c r="E1705" i="2"/>
  <c r="J1704" i="2"/>
  <c r="I1704" i="2"/>
  <c r="H1704" i="2"/>
  <c r="G1704" i="2"/>
  <c r="E1704" i="2"/>
  <c r="I1703" i="2"/>
  <c r="J1703" i="2" s="1"/>
  <c r="H1703" i="2"/>
  <c r="G1703" i="2"/>
  <c r="E1703" i="2"/>
  <c r="I1702" i="2"/>
  <c r="J1702" i="2" s="1"/>
  <c r="H1702" i="2"/>
  <c r="G1702" i="2"/>
  <c r="E1702" i="2"/>
  <c r="I1701" i="2"/>
  <c r="J1701" i="2" s="1"/>
  <c r="H1701" i="2"/>
  <c r="G1701" i="2"/>
  <c r="E1701" i="2"/>
  <c r="I1700" i="2"/>
  <c r="J1700" i="2" s="1"/>
  <c r="H1700" i="2"/>
  <c r="G1700" i="2"/>
  <c r="E1700" i="2"/>
  <c r="J1699" i="2"/>
  <c r="I1699" i="2"/>
  <c r="H1699" i="2"/>
  <c r="G1699" i="2"/>
  <c r="E1699" i="2"/>
  <c r="I1698" i="2"/>
  <c r="J1698" i="2" s="1"/>
  <c r="H1698" i="2"/>
  <c r="G1698" i="2"/>
  <c r="E1698" i="2"/>
  <c r="I1697" i="2"/>
  <c r="J1697" i="2" s="1"/>
  <c r="H1697" i="2"/>
  <c r="G1697" i="2"/>
  <c r="E1697" i="2"/>
  <c r="J1696" i="2"/>
  <c r="I1696" i="2"/>
  <c r="H1696" i="2"/>
  <c r="G1696" i="2"/>
  <c r="E1696" i="2"/>
  <c r="I1695" i="2"/>
  <c r="J1695" i="2" s="1"/>
  <c r="H1695" i="2"/>
  <c r="G1695" i="2"/>
  <c r="E1695" i="2"/>
  <c r="I1694" i="2"/>
  <c r="J1694" i="2" s="1"/>
  <c r="H1694" i="2"/>
  <c r="G1694" i="2"/>
  <c r="E1694" i="2"/>
  <c r="I1693" i="2"/>
  <c r="J1693" i="2" s="1"/>
  <c r="H1693" i="2"/>
  <c r="G1693" i="2"/>
  <c r="E1693" i="2"/>
  <c r="J1692" i="2"/>
  <c r="I1692" i="2"/>
  <c r="H1692" i="2"/>
  <c r="G1692" i="2"/>
  <c r="E1692" i="2"/>
  <c r="I1691" i="2"/>
  <c r="J1691" i="2" s="1"/>
  <c r="H1691" i="2"/>
  <c r="G1691" i="2"/>
  <c r="E1691" i="2"/>
  <c r="I1690" i="2"/>
  <c r="J1690" i="2" s="1"/>
  <c r="H1690" i="2"/>
  <c r="G1690" i="2"/>
  <c r="E1690" i="2"/>
  <c r="I1689" i="2"/>
  <c r="J1689" i="2" s="1"/>
  <c r="H1689" i="2"/>
  <c r="G1689" i="2"/>
  <c r="E1689" i="2"/>
  <c r="I1688" i="2"/>
  <c r="J1688" i="2" s="1"/>
  <c r="H1688" i="2"/>
  <c r="G1688" i="2"/>
  <c r="E1688" i="2"/>
  <c r="J1687" i="2"/>
  <c r="I1687" i="2"/>
  <c r="H1687" i="2"/>
  <c r="G1687" i="2"/>
  <c r="E1687" i="2"/>
  <c r="I1686" i="2"/>
  <c r="J1686" i="2" s="1"/>
  <c r="H1686" i="2"/>
  <c r="G1686" i="2"/>
  <c r="E1686" i="2"/>
  <c r="I1685" i="2"/>
  <c r="J1685" i="2" s="1"/>
  <c r="H1685" i="2"/>
  <c r="G1685" i="2"/>
  <c r="E1685" i="2"/>
  <c r="J1684" i="2"/>
  <c r="I1684" i="2"/>
  <c r="H1684" i="2"/>
  <c r="G1684" i="2"/>
  <c r="E1684" i="2"/>
  <c r="I1683" i="2"/>
  <c r="J1683" i="2" s="1"/>
  <c r="H1683" i="2"/>
  <c r="G1683" i="2"/>
  <c r="E1683" i="2"/>
  <c r="I1682" i="2"/>
  <c r="J1682" i="2" s="1"/>
  <c r="H1682" i="2"/>
  <c r="G1682" i="2"/>
  <c r="E1682" i="2"/>
  <c r="I1681" i="2"/>
  <c r="J1681" i="2" s="1"/>
  <c r="H1681" i="2"/>
  <c r="G1681" i="2"/>
  <c r="E1681" i="2"/>
  <c r="J1680" i="2"/>
  <c r="I1680" i="2"/>
  <c r="H1680" i="2"/>
  <c r="G1680" i="2"/>
  <c r="E1680" i="2"/>
  <c r="I1679" i="2"/>
  <c r="J1679" i="2" s="1"/>
  <c r="H1679" i="2"/>
  <c r="G1679" i="2"/>
  <c r="E1679" i="2"/>
  <c r="I1678" i="2"/>
  <c r="J1678" i="2" s="1"/>
  <c r="H1678" i="2"/>
  <c r="G1678" i="2"/>
  <c r="E1678" i="2"/>
  <c r="I1677" i="2"/>
  <c r="J1677" i="2" s="1"/>
  <c r="H1677" i="2"/>
  <c r="G1677" i="2"/>
  <c r="E1677" i="2"/>
  <c r="I1676" i="2"/>
  <c r="J1676" i="2" s="1"/>
  <c r="H1676" i="2"/>
  <c r="G1676" i="2"/>
  <c r="E1676" i="2"/>
  <c r="J1675" i="2"/>
  <c r="I1675" i="2"/>
  <c r="H1675" i="2"/>
  <c r="G1675" i="2"/>
  <c r="E1675" i="2"/>
  <c r="I1674" i="2"/>
  <c r="J1674" i="2" s="1"/>
  <c r="H1674" i="2"/>
  <c r="G1674" i="2"/>
  <c r="E1674" i="2"/>
  <c r="I1673" i="2"/>
  <c r="J1673" i="2" s="1"/>
  <c r="H1673" i="2"/>
  <c r="G1673" i="2"/>
  <c r="E1673" i="2"/>
  <c r="J1672" i="2"/>
  <c r="I1672" i="2"/>
  <c r="H1672" i="2"/>
  <c r="G1672" i="2"/>
  <c r="E1672" i="2"/>
  <c r="I1671" i="2"/>
  <c r="J1671" i="2" s="1"/>
  <c r="H1671" i="2"/>
  <c r="G1671" i="2"/>
  <c r="E1671" i="2"/>
  <c r="I1670" i="2"/>
  <c r="J1670" i="2" s="1"/>
  <c r="H1670" i="2"/>
  <c r="G1670" i="2"/>
  <c r="E1670" i="2"/>
  <c r="I1669" i="2"/>
  <c r="J1669" i="2" s="1"/>
  <c r="H1669" i="2"/>
  <c r="G1669" i="2"/>
  <c r="E1669" i="2"/>
  <c r="J1668" i="2"/>
  <c r="I1668" i="2"/>
  <c r="H1668" i="2"/>
  <c r="G1668" i="2"/>
  <c r="E1668" i="2"/>
  <c r="I1667" i="2"/>
  <c r="J1667" i="2" s="1"/>
  <c r="H1667" i="2"/>
  <c r="G1667" i="2"/>
  <c r="E1667" i="2"/>
  <c r="I1666" i="2"/>
  <c r="J1666" i="2" s="1"/>
  <c r="H1666" i="2"/>
  <c r="G1666" i="2"/>
  <c r="E1666" i="2"/>
  <c r="I1665" i="2"/>
  <c r="J1665" i="2" s="1"/>
  <c r="H1665" i="2"/>
  <c r="G1665" i="2"/>
  <c r="E1665" i="2"/>
  <c r="I1664" i="2"/>
  <c r="J1664" i="2" s="1"/>
  <c r="H1664" i="2"/>
  <c r="G1664" i="2"/>
  <c r="E1664" i="2"/>
  <c r="J1663" i="2"/>
  <c r="I1663" i="2"/>
  <c r="H1663" i="2"/>
  <c r="G1663" i="2"/>
  <c r="E1663" i="2"/>
  <c r="I1662" i="2"/>
  <c r="J1662" i="2" s="1"/>
  <c r="H1662" i="2"/>
  <c r="G1662" i="2"/>
  <c r="E1662" i="2"/>
  <c r="I1661" i="2"/>
  <c r="J1661" i="2" s="1"/>
  <c r="H1661" i="2"/>
  <c r="G1661" i="2"/>
  <c r="E1661" i="2"/>
  <c r="J1660" i="2"/>
  <c r="I1660" i="2"/>
  <c r="H1660" i="2"/>
  <c r="G1660" i="2"/>
  <c r="E1660" i="2"/>
  <c r="I1659" i="2"/>
  <c r="J1659" i="2" s="1"/>
  <c r="H1659" i="2"/>
  <c r="G1659" i="2"/>
  <c r="E1659" i="2"/>
  <c r="I1658" i="2"/>
  <c r="J1658" i="2" s="1"/>
  <c r="H1658" i="2"/>
  <c r="G1658" i="2"/>
  <c r="E1658" i="2"/>
  <c r="I1657" i="2"/>
  <c r="J1657" i="2" s="1"/>
  <c r="H1657" i="2"/>
  <c r="G1657" i="2"/>
  <c r="E1657" i="2"/>
  <c r="J1656" i="2"/>
  <c r="I1656" i="2"/>
  <c r="H1656" i="2"/>
  <c r="G1656" i="2"/>
  <c r="E1656" i="2"/>
  <c r="I1655" i="2"/>
  <c r="J1655" i="2" s="1"/>
  <c r="H1655" i="2"/>
  <c r="G1655" i="2"/>
  <c r="E1655" i="2"/>
  <c r="I1654" i="2"/>
  <c r="J1654" i="2" s="1"/>
  <c r="H1654" i="2"/>
  <c r="G1654" i="2"/>
  <c r="E1654" i="2"/>
  <c r="J1653" i="2"/>
  <c r="I1653" i="2"/>
  <c r="H1653" i="2"/>
  <c r="G1653" i="2"/>
  <c r="E1653" i="2"/>
  <c r="I1652" i="2"/>
  <c r="J1652" i="2" s="1"/>
  <c r="H1652" i="2"/>
  <c r="G1652" i="2"/>
  <c r="E1652" i="2"/>
  <c r="J1651" i="2"/>
  <c r="I1651" i="2"/>
  <c r="H1651" i="2"/>
  <c r="G1651" i="2"/>
  <c r="E1651" i="2"/>
  <c r="J1650" i="2"/>
  <c r="I1650" i="2"/>
  <c r="H1650" i="2"/>
  <c r="G1650" i="2"/>
  <c r="E1650" i="2"/>
  <c r="I1649" i="2"/>
  <c r="J1649" i="2" s="1"/>
  <c r="H1649" i="2"/>
  <c r="G1649" i="2"/>
  <c r="E1649" i="2"/>
  <c r="I1648" i="2"/>
  <c r="J1648" i="2" s="1"/>
  <c r="H1648" i="2"/>
  <c r="G1648" i="2"/>
  <c r="E1648" i="2"/>
  <c r="J1647" i="2"/>
  <c r="I1647" i="2"/>
  <c r="H1647" i="2"/>
  <c r="G1647" i="2"/>
  <c r="E1647" i="2"/>
  <c r="I1646" i="2"/>
  <c r="J1646" i="2" s="1"/>
  <c r="H1646" i="2"/>
  <c r="G1646" i="2"/>
  <c r="E1646" i="2"/>
  <c r="I1645" i="2"/>
  <c r="J1645" i="2" s="1"/>
  <c r="H1645" i="2"/>
  <c r="G1645" i="2"/>
  <c r="E1645" i="2"/>
  <c r="J1644" i="2"/>
  <c r="I1644" i="2"/>
  <c r="H1644" i="2"/>
  <c r="G1644" i="2"/>
  <c r="E1644" i="2"/>
  <c r="I1643" i="2"/>
  <c r="J1643" i="2" s="1"/>
  <c r="H1643" i="2"/>
  <c r="G1643" i="2"/>
  <c r="E1643" i="2"/>
  <c r="J1642" i="2"/>
  <c r="I1642" i="2"/>
  <c r="H1642" i="2"/>
  <c r="G1642" i="2"/>
  <c r="E1642" i="2"/>
  <c r="I1641" i="2"/>
  <c r="J1641" i="2" s="1"/>
  <c r="H1641" i="2"/>
  <c r="G1641" i="2"/>
  <c r="E1641" i="2"/>
  <c r="I1640" i="2"/>
  <c r="J1640" i="2" s="1"/>
  <c r="H1640" i="2"/>
  <c r="G1640" i="2"/>
  <c r="E1640" i="2"/>
  <c r="I1639" i="2"/>
  <c r="J1639" i="2" s="1"/>
  <c r="H1639" i="2"/>
  <c r="G1639" i="2"/>
  <c r="E1639" i="2"/>
  <c r="J1638" i="2"/>
  <c r="I1638" i="2"/>
  <c r="H1638" i="2"/>
  <c r="G1638" i="2"/>
  <c r="E1638" i="2"/>
  <c r="I1637" i="2"/>
  <c r="J1637" i="2" s="1"/>
  <c r="H1637" i="2"/>
  <c r="G1637" i="2"/>
  <c r="E1637" i="2"/>
  <c r="I1636" i="2"/>
  <c r="J1636" i="2" s="1"/>
  <c r="H1636" i="2"/>
  <c r="G1636" i="2"/>
  <c r="E1636" i="2"/>
  <c r="J1635" i="2"/>
  <c r="I1635" i="2"/>
  <c r="H1635" i="2"/>
  <c r="G1635" i="2"/>
  <c r="E1635" i="2"/>
  <c r="I1634" i="2"/>
  <c r="J1634" i="2" s="1"/>
  <c r="H1634" i="2"/>
  <c r="G1634" i="2"/>
  <c r="E1634" i="2"/>
  <c r="J1633" i="2"/>
  <c r="I1633" i="2"/>
  <c r="H1633" i="2"/>
  <c r="G1633" i="2"/>
  <c r="E1633" i="2"/>
  <c r="I1632" i="2"/>
  <c r="J1632" i="2" s="1"/>
  <c r="H1632" i="2"/>
  <c r="G1632" i="2"/>
  <c r="E1632" i="2"/>
  <c r="I1631" i="2"/>
  <c r="J1631" i="2" s="1"/>
  <c r="H1631" i="2"/>
  <c r="G1631" i="2"/>
  <c r="E1631" i="2"/>
  <c r="I1630" i="2"/>
  <c r="J1630" i="2" s="1"/>
  <c r="H1630" i="2"/>
  <c r="G1630" i="2"/>
  <c r="E1630" i="2"/>
  <c r="J1629" i="2"/>
  <c r="I1629" i="2"/>
  <c r="H1629" i="2"/>
  <c r="G1629" i="2"/>
  <c r="E1629" i="2"/>
  <c r="I1628" i="2"/>
  <c r="J1628" i="2" s="1"/>
  <c r="H1628" i="2"/>
  <c r="G1628" i="2"/>
  <c r="E1628" i="2"/>
  <c r="I1627" i="2"/>
  <c r="J1627" i="2" s="1"/>
  <c r="H1627" i="2"/>
  <c r="G1627" i="2"/>
  <c r="E1627" i="2"/>
  <c r="J1626" i="2"/>
  <c r="I1626" i="2"/>
  <c r="H1626" i="2"/>
  <c r="G1626" i="2"/>
  <c r="E1626" i="2"/>
  <c r="I1625" i="2"/>
  <c r="J1625" i="2" s="1"/>
  <c r="H1625" i="2"/>
  <c r="G1625" i="2"/>
  <c r="E1625" i="2"/>
  <c r="J1624" i="2"/>
  <c r="I1624" i="2"/>
  <c r="H1624" i="2"/>
  <c r="G1624" i="2"/>
  <c r="E1624" i="2"/>
  <c r="J1623" i="2"/>
  <c r="I1623" i="2"/>
  <c r="H1623" i="2"/>
  <c r="G1623" i="2"/>
  <c r="E1623" i="2"/>
  <c r="I1622" i="2"/>
  <c r="J1622" i="2" s="1"/>
  <c r="H1622" i="2"/>
  <c r="G1622" i="2"/>
  <c r="E1622" i="2"/>
  <c r="I1621" i="2"/>
  <c r="J1621" i="2" s="1"/>
  <c r="H1621" i="2"/>
  <c r="G1621" i="2"/>
  <c r="E1621" i="2"/>
  <c r="J1620" i="2"/>
  <c r="I1620" i="2"/>
  <c r="H1620" i="2"/>
  <c r="G1620" i="2"/>
  <c r="E1620" i="2"/>
  <c r="I1619" i="2"/>
  <c r="J1619" i="2" s="1"/>
  <c r="H1619" i="2"/>
  <c r="G1619" i="2"/>
  <c r="E1619" i="2"/>
  <c r="I1618" i="2"/>
  <c r="J1618" i="2" s="1"/>
  <c r="H1618" i="2"/>
  <c r="G1618" i="2"/>
  <c r="E1618" i="2"/>
  <c r="J1617" i="2"/>
  <c r="I1617" i="2"/>
  <c r="H1617" i="2"/>
  <c r="G1617" i="2"/>
  <c r="E1617" i="2"/>
  <c r="I1616" i="2"/>
  <c r="J1616" i="2" s="1"/>
  <c r="H1616" i="2"/>
  <c r="G1616" i="2"/>
  <c r="E1616" i="2"/>
  <c r="J1615" i="2"/>
  <c r="I1615" i="2"/>
  <c r="H1615" i="2"/>
  <c r="G1615" i="2"/>
  <c r="E1615" i="2"/>
  <c r="I1614" i="2"/>
  <c r="J1614" i="2" s="1"/>
  <c r="H1614" i="2"/>
  <c r="G1614" i="2"/>
  <c r="E1614" i="2"/>
  <c r="I1613" i="2"/>
  <c r="J1613" i="2" s="1"/>
  <c r="H1613" i="2"/>
  <c r="G1613" i="2"/>
  <c r="E1613" i="2"/>
  <c r="I1612" i="2"/>
  <c r="J1612" i="2" s="1"/>
  <c r="H1612" i="2"/>
  <c r="G1612" i="2"/>
  <c r="E1612" i="2"/>
  <c r="J1611" i="2"/>
  <c r="I1611" i="2"/>
  <c r="H1611" i="2"/>
  <c r="G1611" i="2"/>
  <c r="E1611" i="2"/>
  <c r="I1610" i="2"/>
  <c r="J1610" i="2" s="1"/>
  <c r="H1610" i="2"/>
  <c r="G1610" i="2"/>
  <c r="E1610" i="2"/>
  <c r="I1609" i="2"/>
  <c r="J1609" i="2" s="1"/>
  <c r="H1609" i="2"/>
  <c r="G1609" i="2"/>
  <c r="E1609" i="2"/>
  <c r="J1608" i="2"/>
  <c r="I1608" i="2"/>
  <c r="H1608" i="2"/>
  <c r="G1608" i="2"/>
  <c r="E1608" i="2"/>
  <c r="I1607" i="2"/>
  <c r="J1607" i="2" s="1"/>
  <c r="H1607" i="2"/>
  <c r="G1607" i="2"/>
  <c r="E1607" i="2"/>
  <c r="J1606" i="2"/>
  <c r="I1606" i="2"/>
  <c r="H1606" i="2"/>
  <c r="G1606" i="2"/>
  <c r="E1606" i="2"/>
  <c r="I1605" i="2"/>
  <c r="J1605" i="2" s="1"/>
  <c r="H1605" i="2"/>
  <c r="G1605" i="2"/>
  <c r="E1605" i="2"/>
  <c r="I1604" i="2"/>
  <c r="J1604" i="2" s="1"/>
  <c r="H1604" i="2"/>
  <c r="G1604" i="2"/>
  <c r="E1604" i="2"/>
  <c r="I1603" i="2"/>
  <c r="J1603" i="2" s="1"/>
  <c r="H1603" i="2"/>
  <c r="G1603" i="2"/>
  <c r="E1603" i="2"/>
  <c r="J1602" i="2"/>
  <c r="I1602" i="2"/>
  <c r="H1602" i="2"/>
  <c r="G1602" i="2"/>
  <c r="E1602" i="2"/>
  <c r="I1601" i="2"/>
  <c r="J1601" i="2" s="1"/>
  <c r="H1601" i="2"/>
  <c r="G1601" i="2"/>
  <c r="E1601" i="2"/>
  <c r="I1600" i="2"/>
  <c r="J1600" i="2" s="1"/>
  <c r="H1600" i="2"/>
  <c r="G1600" i="2"/>
  <c r="E1600" i="2"/>
  <c r="J1599" i="2"/>
  <c r="I1599" i="2"/>
  <c r="H1599" i="2"/>
  <c r="G1599" i="2"/>
  <c r="E1599" i="2"/>
  <c r="I1598" i="2"/>
  <c r="J1598" i="2" s="1"/>
  <c r="H1598" i="2"/>
  <c r="G1598" i="2"/>
  <c r="E1598" i="2"/>
  <c r="J1597" i="2"/>
  <c r="I1597" i="2"/>
  <c r="H1597" i="2"/>
  <c r="G1597" i="2"/>
  <c r="E1597" i="2"/>
  <c r="J1596" i="2"/>
  <c r="I1596" i="2"/>
  <c r="H1596" i="2"/>
  <c r="G1596" i="2"/>
  <c r="E1596" i="2"/>
  <c r="I1595" i="2"/>
  <c r="J1595" i="2" s="1"/>
  <c r="H1595" i="2"/>
  <c r="G1595" i="2"/>
  <c r="E1595" i="2"/>
  <c r="I1594" i="2"/>
  <c r="J1594" i="2" s="1"/>
  <c r="H1594" i="2"/>
  <c r="G1594" i="2"/>
  <c r="E1594" i="2"/>
  <c r="J1593" i="2"/>
  <c r="I1593" i="2"/>
  <c r="H1593" i="2"/>
  <c r="G1593" i="2"/>
  <c r="E1593" i="2"/>
  <c r="I1592" i="2"/>
  <c r="J1592" i="2" s="1"/>
  <c r="H1592" i="2"/>
  <c r="G1592" i="2"/>
  <c r="E1592" i="2"/>
  <c r="I1591" i="2"/>
  <c r="J1591" i="2" s="1"/>
  <c r="H1591" i="2"/>
  <c r="G1591" i="2"/>
  <c r="E1591" i="2"/>
  <c r="J1590" i="2"/>
  <c r="I1590" i="2"/>
  <c r="H1590" i="2"/>
  <c r="G1590" i="2"/>
  <c r="E1590" i="2"/>
  <c r="I1589" i="2"/>
  <c r="J1589" i="2" s="1"/>
  <c r="H1589" i="2"/>
  <c r="G1589" i="2"/>
  <c r="E1589" i="2"/>
  <c r="J1588" i="2"/>
  <c r="I1588" i="2"/>
  <c r="H1588" i="2"/>
  <c r="G1588" i="2"/>
  <c r="E1588" i="2"/>
  <c r="I1587" i="2"/>
  <c r="J1587" i="2" s="1"/>
  <c r="H1587" i="2"/>
  <c r="G1587" i="2"/>
  <c r="E1587" i="2"/>
  <c r="I1586" i="2"/>
  <c r="J1586" i="2" s="1"/>
  <c r="H1586" i="2"/>
  <c r="G1586" i="2"/>
  <c r="E1586" i="2"/>
  <c r="I1585" i="2"/>
  <c r="J1585" i="2" s="1"/>
  <c r="H1585" i="2"/>
  <c r="G1585" i="2"/>
  <c r="E1585" i="2"/>
  <c r="J1584" i="2"/>
  <c r="I1584" i="2"/>
  <c r="H1584" i="2"/>
  <c r="G1584" i="2"/>
  <c r="E1584" i="2"/>
  <c r="I1583" i="2"/>
  <c r="J1583" i="2" s="1"/>
  <c r="H1583" i="2"/>
  <c r="G1583" i="2"/>
  <c r="E1583" i="2"/>
  <c r="I1582" i="2"/>
  <c r="J1582" i="2" s="1"/>
  <c r="H1582" i="2"/>
  <c r="G1582" i="2"/>
  <c r="E1582" i="2"/>
  <c r="J1581" i="2"/>
  <c r="I1581" i="2"/>
  <c r="H1581" i="2"/>
  <c r="G1581" i="2"/>
  <c r="E1581" i="2"/>
  <c r="I1580" i="2"/>
  <c r="J1580" i="2" s="1"/>
  <c r="H1580" i="2"/>
  <c r="G1580" i="2"/>
  <c r="E1580" i="2"/>
  <c r="J1579" i="2"/>
  <c r="I1579" i="2"/>
  <c r="H1579" i="2"/>
  <c r="G1579" i="2"/>
  <c r="E1579" i="2"/>
  <c r="I1578" i="2"/>
  <c r="J1578" i="2" s="1"/>
  <c r="H1578" i="2"/>
  <c r="G1578" i="2"/>
  <c r="E1578" i="2"/>
  <c r="I1577" i="2"/>
  <c r="J1577" i="2" s="1"/>
  <c r="H1577" i="2"/>
  <c r="G1577" i="2"/>
  <c r="E1577" i="2"/>
  <c r="I1576" i="2"/>
  <c r="J1576" i="2" s="1"/>
  <c r="H1576" i="2"/>
  <c r="G1576" i="2"/>
  <c r="E1576" i="2"/>
  <c r="J1575" i="2"/>
  <c r="I1575" i="2"/>
  <c r="H1575" i="2"/>
  <c r="G1575" i="2"/>
  <c r="E1575" i="2"/>
  <c r="I1574" i="2"/>
  <c r="J1574" i="2" s="1"/>
  <c r="H1574" i="2"/>
  <c r="G1574" i="2"/>
  <c r="E1574" i="2"/>
  <c r="I1573" i="2"/>
  <c r="J1573" i="2" s="1"/>
  <c r="H1573" i="2"/>
  <c r="G1573" i="2"/>
  <c r="E1573" i="2"/>
  <c r="J1572" i="2"/>
  <c r="I1572" i="2"/>
  <c r="H1572" i="2"/>
  <c r="G1572" i="2"/>
  <c r="E1572" i="2"/>
  <c r="I1571" i="2"/>
  <c r="J1571" i="2" s="1"/>
  <c r="H1571" i="2"/>
  <c r="G1571" i="2"/>
  <c r="E1571" i="2"/>
  <c r="J1570" i="2"/>
  <c r="I1570" i="2"/>
  <c r="H1570" i="2"/>
  <c r="G1570" i="2"/>
  <c r="E1570" i="2"/>
  <c r="I1569" i="2"/>
  <c r="J1569" i="2" s="1"/>
  <c r="H1569" i="2"/>
  <c r="G1569" i="2"/>
  <c r="E1569" i="2"/>
  <c r="I1568" i="2"/>
  <c r="J1568" i="2" s="1"/>
  <c r="H1568" i="2"/>
  <c r="G1568" i="2"/>
  <c r="E1568" i="2"/>
  <c r="J1567" i="2"/>
  <c r="I1567" i="2"/>
  <c r="H1567" i="2"/>
  <c r="G1567" i="2"/>
  <c r="E1567" i="2"/>
  <c r="J1566" i="2"/>
  <c r="I1566" i="2"/>
  <c r="H1566" i="2"/>
  <c r="G1566" i="2"/>
  <c r="E1566" i="2"/>
  <c r="I1565" i="2"/>
  <c r="J1565" i="2" s="1"/>
  <c r="H1565" i="2"/>
  <c r="G1565" i="2"/>
  <c r="E1565" i="2"/>
  <c r="J1564" i="2"/>
  <c r="I1564" i="2"/>
  <c r="H1564" i="2"/>
  <c r="G1564" i="2"/>
  <c r="E1564" i="2"/>
  <c r="I1563" i="2"/>
  <c r="J1563" i="2" s="1"/>
  <c r="H1563" i="2"/>
  <c r="G1563" i="2"/>
  <c r="E1563" i="2"/>
  <c r="I1562" i="2"/>
  <c r="J1562" i="2" s="1"/>
  <c r="H1562" i="2"/>
  <c r="G1562" i="2"/>
  <c r="E1562" i="2"/>
  <c r="I1561" i="2"/>
  <c r="J1561" i="2" s="1"/>
  <c r="H1561" i="2"/>
  <c r="G1561" i="2"/>
  <c r="E1561" i="2"/>
  <c r="I1560" i="2"/>
  <c r="J1560" i="2" s="1"/>
  <c r="H1560" i="2"/>
  <c r="G1560" i="2"/>
  <c r="E1560" i="2"/>
  <c r="I1559" i="2"/>
  <c r="J1559" i="2" s="1"/>
  <c r="H1559" i="2"/>
  <c r="G1559" i="2"/>
  <c r="E1559" i="2"/>
  <c r="J1558" i="2"/>
  <c r="I1558" i="2"/>
  <c r="H1558" i="2"/>
  <c r="G1558" i="2"/>
  <c r="E1558" i="2"/>
  <c r="J1557" i="2"/>
  <c r="I1557" i="2"/>
  <c r="H1557" i="2"/>
  <c r="G1557" i="2"/>
  <c r="E1557" i="2"/>
  <c r="I1556" i="2"/>
  <c r="J1556" i="2" s="1"/>
  <c r="H1556" i="2"/>
  <c r="G1556" i="2"/>
  <c r="E1556" i="2"/>
  <c r="J1555" i="2"/>
  <c r="I1555" i="2"/>
  <c r="H1555" i="2"/>
  <c r="G1555" i="2"/>
  <c r="E1555" i="2"/>
  <c r="I1554" i="2"/>
  <c r="J1554" i="2" s="1"/>
  <c r="H1554" i="2"/>
  <c r="G1554" i="2"/>
  <c r="E1554" i="2"/>
  <c r="I1553" i="2"/>
  <c r="J1553" i="2" s="1"/>
  <c r="H1553" i="2"/>
  <c r="G1553" i="2"/>
  <c r="E1553" i="2"/>
  <c r="J1552" i="2"/>
  <c r="I1552" i="2"/>
  <c r="H1552" i="2"/>
  <c r="G1552" i="2"/>
  <c r="E1552" i="2"/>
  <c r="I1551" i="2"/>
  <c r="J1551" i="2" s="1"/>
  <c r="H1551" i="2"/>
  <c r="G1551" i="2"/>
  <c r="E1551" i="2"/>
  <c r="I1550" i="2"/>
  <c r="J1550" i="2" s="1"/>
  <c r="H1550" i="2"/>
  <c r="G1550" i="2"/>
  <c r="E1550" i="2"/>
  <c r="J1549" i="2"/>
  <c r="I1549" i="2"/>
  <c r="H1549" i="2"/>
  <c r="G1549" i="2"/>
  <c r="E1549" i="2"/>
  <c r="J1548" i="2"/>
  <c r="I1548" i="2"/>
  <c r="H1548" i="2"/>
  <c r="G1548" i="2"/>
  <c r="E1548" i="2"/>
  <c r="I1547" i="2"/>
  <c r="J1547" i="2" s="1"/>
  <c r="H1547" i="2"/>
  <c r="G1547" i="2"/>
  <c r="E1547" i="2"/>
  <c r="I1546" i="2"/>
  <c r="J1546" i="2" s="1"/>
  <c r="H1546" i="2"/>
  <c r="G1546" i="2"/>
  <c r="E1546" i="2"/>
  <c r="J1545" i="2"/>
  <c r="I1545" i="2"/>
  <c r="H1545" i="2"/>
  <c r="G1545" i="2"/>
  <c r="E1545" i="2"/>
  <c r="I1544" i="2"/>
  <c r="J1544" i="2" s="1"/>
  <c r="H1544" i="2"/>
  <c r="G1544" i="2"/>
  <c r="E1544" i="2"/>
  <c r="I1543" i="2"/>
  <c r="J1543" i="2" s="1"/>
  <c r="H1543" i="2"/>
  <c r="G1543" i="2"/>
  <c r="E1543" i="2"/>
  <c r="J1542" i="2"/>
  <c r="I1542" i="2"/>
  <c r="H1542" i="2"/>
  <c r="G1542" i="2"/>
  <c r="E1542" i="2"/>
  <c r="I1541" i="2"/>
  <c r="J1541" i="2" s="1"/>
  <c r="H1541" i="2"/>
  <c r="G1541" i="2"/>
  <c r="E1541" i="2"/>
  <c r="J1540" i="2"/>
  <c r="I1540" i="2"/>
  <c r="H1540" i="2"/>
  <c r="G1540" i="2"/>
  <c r="E1540" i="2"/>
  <c r="I1539" i="2"/>
  <c r="J1539" i="2" s="1"/>
  <c r="H1539" i="2"/>
  <c r="G1539" i="2"/>
  <c r="E1539" i="2"/>
  <c r="I1538" i="2"/>
  <c r="J1538" i="2" s="1"/>
  <c r="H1538" i="2"/>
  <c r="G1538" i="2"/>
  <c r="E1538" i="2"/>
  <c r="I1537" i="2"/>
  <c r="J1537" i="2" s="1"/>
  <c r="H1537" i="2"/>
  <c r="G1537" i="2"/>
  <c r="E1537" i="2"/>
  <c r="J1536" i="2"/>
  <c r="I1536" i="2"/>
  <c r="H1536" i="2"/>
  <c r="G1536" i="2"/>
  <c r="E1536" i="2"/>
  <c r="I1535" i="2"/>
  <c r="J1535" i="2" s="1"/>
  <c r="H1535" i="2"/>
  <c r="G1535" i="2"/>
  <c r="E1535" i="2"/>
  <c r="I1534" i="2"/>
  <c r="J1534" i="2" s="1"/>
  <c r="H1534" i="2"/>
  <c r="G1534" i="2"/>
  <c r="E1534" i="2"/>
  <c r="I1533" i="2"/>
  <c r="J1533" i="2" s="1"/>
  <c r="H1533" i="2"/>
  <c r="G1533" i="2"/>
  <c r="E1533" i="2"/>
  <c r="I1532" i="2"/>
  <c r="J1532" i="2" s="1"/>
  <c r="H1532" i="2"/>
  <c r="G1532" i="2"/>
  <c r="E1532" i="2"/>
  <c r="I1531" i="2"/>
  <c r="J1531" i="2" s="1"/>
  <c r="H1531" i="2"/>
  <c r="G1531" i="2"/>
  <c r="E1531" i="2"/>
  <c r="I1530" i="2"/>
  <c r="J1530" i="2" s="1"/>
  <c r="H1530" i="2"/>
  <c r="G1530" i="2"/>
  <c r="E1530" i="2"/>
  <c r="I1529" i="2"/>
  <c r="J1529" i="2" s="1"/>
  <c r="H1529" i="2"/>
  <c r="G1529" i="2"/>
  <c r="E1529" i="2"/>
  <c r="J1528" i="2"/>
  <c r="I1528" i="2"/>
  <c r="H1528" i="2"/>
  <c r="G1528" i="2"/>
  <c r="E1528" i="2"/>
  <c r="J1527" i="2"/>
  <c r="I1527" i="2"/>
  <c r="H1527" i="2"/>
  <c r="G1527" i="2"/>
  <c r="E1527" i="2"/>
  <c r="I1526" i="2"/>
  <c r="J1526" i="2" s="1"/>
  <c r="H1526" i="2"/>
  <c r="G1526" i="2"/>
  <c r="E1526" i="2"/>
  <c r="J1525" i="2"/>
  <c r="I1525" i="2"/>
  <c r="H1525" i="2"/>
  <c r="G1525" i="2"/>
  <c r="E1525" i="2"/>
  <c r="I1524" i="2"/>
  <c r="J1524" i="2" s="1"/>
  <c r="H1524" i="2"/>
  <c r="G1524" i="2"/>
  <c r="E1524" i="2"/>
  <c r="J1523" i="2"/>
  <c r="I1523" i="2"/>
  <c r="H1523" i="2"/>
  <c r="G1523" i="2"/>
  <c r="E1523" i="2"/>
  <c r="I1522" i="2"/>
  <c r="J1522" i="2" s="1"/>
  <c r="H1522" i="2"/>
  <c r="G1522" i="2"/>
  <c r="E1522" i="2"/>
  <c r="I1521" i="2"/>
  <c r="J1521" i="2" s="1"/>
  <c r="H1521" i="2"/>
  <c r="G1521" i="2"/>
  <c r="E1521" i="2"/>
  <c r="I1520" i="2"/>
  <c r="J1520" i="2" s="1"/>
  <c r="H1520" i="2"/>
  <c r="G1520" i="2"/>
  <c r="E1520" i="2"/>
  <c r="J1519" i="2"/>
  <c r="I1519" i="2"/>
  <c r="H1519" i="2"/>
  <c r="G1519" i="2"/>
  <c r="E1519" i="2"/>
  <c r="I1518" i="2"/>
  <c r="J1518" i="2" s="1"/>
  <c r="H1518" i="2"/>
  <c r="G1518" i="2"/>
  <c r="E1518" i="2"/>
  <c r="I1517" i="2"/>
  <c r="J1517" i="2" s="1"/>
  <c r="H1517" i="2"/>
  <c r="G1517" i="2"/>
  <c r="E1517" i="2"/>
  <c r="I1516" i="2"/>
  <c r="J1516" i="2" s="1"/>
  <c r="H1516" i="2"/>
  <c r="G1516" i="2"/>
  <c r="E1516" i="2"/>
  <c r="J1515" i="2"/>
  <c r="I1515" i="2"/>
  <c r="H1515" i="2"/>
  <c r="G1515" i="2"/>
  <c r="E1515" i="2"/>
  <c r="I1514" i="2"/>
  <c r="J1514" i="2" s="1"/>
  <c r="H1514" i="2"/>
  <c r="G1514" i="2"/>
  <c r="E1514" i="2"/>
  <c r="I1513" i="2"/>
  <c r="J1513" i="2" s="1"/>
  <c r="H1513" i="2"/>
  <c r="G1513" i="2"/>
  <c r="E1513" i="2"/>
  <c r="J1512" i="2"/>
  <c r="I1512" i="2"/>
  <c r="H1512" i="2"/>
  <c r="G1512" i="2"/>
  <c r="E1512" i="2"/>
  <c r="I1511" i="2"/>
  <c r="J1511" i="2" s="1"/>
  <c r="H1511" i="2"/>
  <c r="G1511" i="2"/>
  <c r="E1511" i="2"/>
  <c r="J1510" i="2"/>
  <c r="I1510" i="2"/>
  <c r="H1510" i="2"/>
  <c r="G1510" i="2"/>
  <c r="E1510" i="2"/>
  <c r="I1509" i="2"/>
  <c r="J1509" i="2" s="1"/>
  <c r="H1509" i="2"/>
  <c r="G1509" i="2"/>
  <c r="E1509" i="2"/>
  <c r="I1508" i="2"/>
  <c r="J1508" i="2" s="1"/>
  <c r="H1508" i="2"/>
  <c r="G1508" i="2"/>
  <c r="E1508" i="2"/>
  <c r="J1507" i="2"/>
  <c r="I1507" i="2"/>
  <c r="H1507" i="2"/>
  <c r="G1507" i="2"/>
  <c r="E1507" i="2"/>
  <c r="I1506" i="2"/>
  <c r="J1506" i="2" s="1"/>
  <c r="H1506" i="2"/>
  <c r="G1506" i="2"/>
  <c r="E1506" i="2"/>
  <c r="I1505" i="2"/>
  <c r="J1505" i="2" s="1"/>
  <c r="H1505" i="2"/>
  <c r="G1505" i="2"/>
  <c r="E1505" i="2"/>
  <c r="I1504" i="2"/>
  <c r="J1504" i="2" s="1"/>
  <c r="H1504" i="2"/>
  <c r="G1504" i="2"/>
  <c r="E1504" i="2"/>
  <c r="I1503" i="2"/>
  <c r="J1503" i="2" s="1"/>
  <c r="H1503" i="2"/>
  <c r="G1503" i="2"/>
  <c r="E1503" i="2"/>
  <c r="I1502" i="2"/>
  <c r="J1502" i="2" s="1"/>
  <c r="H1502" i="2"/>
  <c r="G1502" i="2"/>
  <c r="E1502" i="2"/>
  <c r="J1501" i="2"/>
  <c r="I1501" i="2"/>
  <c r="H1501" i="2"/>
  <c r="G1501" i="2"/>
  <c r="E1501" i="2"/>
  <c r="I1500" i="2"/>
  <c r="J1500" i="2" s="1"/>
  <c r="H1500" i="2"/>
  <c r="G1500" i="2"/>
  <c r="E1500" i="2"/>
  <c r="I1499" i="2"/>
  <c r="J1499" i="2" s="1"/>
  <c r="H1499" i="2"/>
  <c r="G1499" i="2"/>
  <c r="E1499" i="2"/>
  <c r="I1498" i="2"/>
  <c r="J1498" i="2" s="1"/>
  <c r="H1498" i="2"/>
  <c r="G1498" i="2"/>
  <c r="E1498" i="2"/>
  <c r="J1497" i="2"/>
  <c r="I1497" i="2"/>
  <c r="H1497" i="2"/>
  <c r="G1497" i="2"/>
  <c r="E1497" i="2"/>
  <c r="I1496" i="2"/>
  <c r="J1496" i="2" s="1"/>
  <c r="H1496" i="2"/>
  <c r="G1496" i="2"/>
  <c r="E1496" i="2"/>
  <c r="J1495" i="2"/>
  <c r="I1495" i="2"/>
  <c r="H1495" i="2"/>
  <c r="G1495" i="2"/>
  <c r="E1495" i="2"/>
  <c r="I1494" i="2"/>
  <c r="J1494" i="2" s="1"/>
  <c r="H1494" i="2"/>
  <c r="G1494" i="2"/>
  <c r="E1494" i="2"/>
  <c r="I1493" i="2"/>
  <c r="J1493" i="2" s="1"/>
  <c r="H1493" i="2"/>
  <c r="G1493" i="2"/>
  <c r="E1493" i="2"/>
  <c r="J1492" i="2"/>
  <c r="I1492" i="2"/>
  <c r="H1492" i="2"/>
  <c r="G1492" i="2"/>
  <c r="E1492" i="2"/>
  <c r="J1491" i="2"/>
  <c r="I1491" i="2"/>
  <c r="H1491" i="2"/>
  <c r="G1491" i="2"/>
  <c r="E1491" i="2"/>
  <c r="I1490" i="2"/>
  <c r="J1490" i="2" s="1"/>
  <c r="H1490" i="2"/>
  <c r="G1490" i="2"/>
  <c r="E1490" i="2"/>
  <c r="J1489" i="2"/>
  <c r="I1489" i="2"/>
  <c r="H1489" i="2"/>
  <c r="G1489" i="2"/>
  <c r="E1489" i="2"/>
  <c r="I1488" i="2"/>
  <c r="J1488" i="2" s="1"/>
  <c r="H1488" i="2"/>
  <c r="G1488" i="2"/>
  <c r="E1488" i="2"/>
  <c r="J1487" i="2"/>
  <c r="I1487" i="2"/>
  <c r="H1487" i="2"/>
  <c r="G1487" i="2"/>
  <c r="E1487" i="2"/>
  <c r="J1486" i="2"/>
  <c r="I1486" i="2"/>
  <c r="H1486" i="2"/>
  <c r="G1486" i="2"/>
  <c r="E1486" i="2"/>
  <c r="I1485" i="2"/>
  <c r="J1485" i="2" s="1"/>
  <c r="H1485" i="2"/>
  <c r="G1485" i="2"/>
  <c r="E1485" i="2"/>
  <c r="I1484" i="2"/>
  <c r="J1484" i="2" s="1"/>
  <c r="H1484" i="2"/>
  <c r="G1484" i="2"/>
  <c r="E1484" i="2"/>
  <c r="J1483" i="2"/>
  <c r="I1483" i="2"/>
  <c r="H1483" i="2"/>
  <c r="G1483" i="2"/>
  <c r="E1483" i="2"/>
  <c r="J1482" i="2"/>
  <c r="I1482" i="2"/>
  <c r="H1482" i="2"/>
  <c r="G1482" i="2"/>
  <c r="E1482" i="2"/>
  <c r="I1481" i="2"/>
  <c r="J1481" i="2" s="1"/>
  <c r="H1481" i="2"/>
  <c r="G1481" i="2"/>
  <c r="E1481" i="2"/>
  <c r="I1480" i="2"/>
  <c r="J1480" i="2" s="1"/>
  <c r="H1480" i="2"/>
  <c r="G1480" i="2"/>
  <c r="E1480" i="2"/>
  <c r="J1479" i="2"/>
  <c r="I1479" i="2"/>
  <c r="H1479" i="2"/>
  <c r="G1479" i="2"/>
  <c r="E1479" i="2"/>
  <c r="I1478" i="2"/>
  <c r="J1478" i="2" s="1"/>
  <c r="H1478" i="2"/>
  <c r="G1478" i="2"/>
  <c r="E1478" i="2"/>
  <c r="I1477" i="2"/>
  <c r="J1477" i="2" s="1"/>
  <c r="H1477" i="2"/>
  <c r="G1477" i="2"/>
  <c r="E1477" i="2"/>
  <c r="J1476" i="2"/>
  <c r="I1476" i="2"/>
  <c r="H1476" i="2"/>
  <c r="G1476" i="2"/>
  <c r="E1476" i="2"/>
  <c r="I1475" i="2"/>
  <c r="J1475" i="2" s="1"/>
  <c r="H1475" i="2"/>
  <c r="G1475" i="2"/>
  <c r="E1475" i="2"/>
  <c r="J1474" i="2"/>
  <c r="I1474" i="2"/>
  <c r="H1474" i="2"/>
  <c r="G1474" i="2"/>
  <c r="E1474" i="2"/>
  <c r="I1473" i="2"/>
  <c r="J1473" i="2" s="1"/>
  <c r="H1473" i="2"/>
  <c r="G1473" i="2"/>
  <c r="E1473" i="2"/>
  <c r="I1472" i="2"/>
  <c r="J1472" i="2" s="1"/>
  <c r="H1472" i="2"/>
  <c r="G1472" i="2"/>
  <c r="E1472" i="2"/>
  <c r="I1471" i="2"/>
  <c r="J1471" i="2" s="1"/>
  <c r="H1471" i="2"/>
  <c r="G1471" i="2"/>
  <c r="E1471" i="2"/>
  <c r="I1470" i="2"/>
  <c r="J1470" i="2" s="1"/>
  <c r="H1470" i="2"/>
  <c r="G1470" i="2"/>
  <c r="E1470" i="2"/>
  <c r="I1469" i="2"/>
  <c r="J1469" i="2" s="1"/>
  <c r="H1469" i="2"/>
  <c r="G1469" i="2"/>
  <c r="E1469" i="2"/>
  <c r="I1468" i="2"/>
  <c r="J1468" i="2" s="1"/>
  <c r="H1468" i="2"/>
  <c r="G1468" i="2"/>
  <c r="E1468" i="2"/>
  <c r="I1467" i="2"/>
  <c r="J1467" i="2" s="1"/>
  <c r="H1467" i="2"/>
  <c r="G1467" i="2"/>
  <c r="E1467" i="2"/>
  <c r="I1466" i="2"/>
  <c r="J1466" i="2" s="1"/>
  <c r="H1466" i="2"/>
  <c r="G1466" i="2"/>
  <c r="E1466" i="2"/>
  <c r="I1465" i="2"/>
  <c r="J1465" i="2" s="1"/>
  <c r="H1465" i="2"/>
  <c r="G1465" i="2"/>
  <c r="E1465" i="2"/>
  <c r="I1464" i="2"/>
  <c r="J1464" i="2" s="1"/>
  <c r="H1464" i="2"/>
  <c r="G1464" i="2"/>
  <c r="E1464" i="2"/>
  <c r="I1463" i="2"/>
  <c r="J1463" i="2" s="1"/>
  <c r="H1463" i="2"/>
  <c r="G1463" i="2"/>
  <c r="E1463" i="2"/>
  <c r="I1462" i="2"/>
  <c r="J1462" i="2" s="1"/>
  <c r="H1462" i="2"/>
  <c r="G1462" i="2"/>
  <c r="E1462" i="2"/>
  <c r="I1461" i="2"/>
  <c r="J1461" i="2" s="1"/>
  <c r="H1461" i="2"/>
  <c r="G1461" i="2"/>
  <c r="E1461" i="2"/>
  <c r="I1460" i="2"/>
  <c r="J1460" i="2" s="1"/>
  <c r="H1460" i="2"/>
  <c r="G1460" i="2"/>
  <c r="E1460" i="2"/>
  <c r="I1459" i="2"/>
  <c r="J1459" i="2" s="1"/>
  <c r="H1459" i="2"/>
  <c r="G1459" i="2"/>
  <c r="E1459" i="2"/>
  <c r="I1458" i="2"/>
  <c r="J1458" i="2" s="1"/>
  <c r="H1458" i="2"/>
  <c r="G1458" i="2"/>
  <c r="E1458" i="2"/>
  <c r="I1457" i="2"/>
  <c r="J1457" i="2" s="1"/>
  <c r="H1457" i="2"/>
  <c r="G1457" i="2"/>
  <c r="E1457" i="2"/>
  <c r="I1456" i="2"/>
  <c r="J1456" i="2" s="1"/>
  <c r="H1456" i="2"/>
  <c r="G1456" i="2"/>
  <c r="E1456" i="2"/>
  <c r="I1455" i="2"/>
  <c r="J1455" i="2" s="1"/>
  <c r="H1455" i="2"/>
  <c r="G1455" i="2"/>
  <c r="E1455" i="2"/>
  <c r="J1454" i="2"/>
  <c r="I1454" i="2"/>
  <c r="H1454" i="2"/>
  <c r="G1454" i="2"/>
  <c r="E1454" i="2"/>
  <c r="I1453" i="2"/>
  <c r="J1453" i="2" s="1"/>
  <c r="H1453" i="2"/>
  <c r="G1453" i="2"/>
  <c r="E1453" i="2"/>
  <c r="I1452" i="2"/>
  <c r="J1452" i="2" s="1"/>
  <c r="H1452" i="2"/>
  <c r="G1452" i="2"/>
  <c r="E1452" i="2"/>
  <c r="I1451" i="2"/>
  <c r="J1451" i="2" s="1"/>
  <c r="H1451" i="2"/>
  <c r="G1451" i="2"/>
  <c r="E1451" i="2"/>
  <c r="I1450" i="2"/>
  <c r="J1450" i="2" s="1"/>
  <c r="H1450" i="2"/>
  <c r="G1450" i="2"/>
  <c r="E1450" i="2"/>
  <c r="I1449" i="2"/>
  <c r="J1449" i="2" s="1"/>
  <c r="H1449" i="2"/>
  <c r="G1449" i="2"/>
  <c r="E1449" i="2"/>
  <c r="I1448" i="2"/>
  <c r="J1448" i="2" s="1"/>
  <c r="H1448" i="2"/>
  <c r="G1448" i="2"/>
  <c r="E1448" i="2"/>
  <c r="I1447" i="2"/>
  <c r="J1447" i="2" s="1"/>
  <c r="H1447" i="2"/>
  <c r="G1447" i="2"/>
  <c r="E1447" i="2"/>
  <c r="I1446" i="2"/>
  <c r="J1446" i="2" s="1"/>
  <c r="H1446" i="2"/>
  <c r="G1446" i="2"/>
  <c r="E1446" i="2"/>
  <c r="I1445" i="2"/>
  <c r="J1445" i="2" s="1"/>
  <c r="H1445" i="2"/>
  <c r="G1445" i="2"/>
  <c r="E1445" i="2"/>
  <c r="I1444" i="2"/>
  <c r="J1444" i="2" s="1"/>
  <c r="H1444" i="2"/>
  <c r="G1444" i="2"/>
  <c r="E1444" i="2"/>
  <c r="I1443" i="2"/>
  <c r="J1443" i="2" s="1"/>
  <c r="H1443" i="2"/>
  <c r="G1443" i="2"/>
  <c r="E1443" i="2"/>
  <c r="I1442" i="2"/>
  <c r="J1442" i="2" s="1"/>
  <c r="H1442" i="2"/>
  <c r="G1442" i="2"/>
  <c r="E1442" i="2"/>
  <c r="I1441" i="2"/>
  <c r="J1441" i="2" s="1"/>
  <c r="H1441" i="2"/>
  <c r="G1441" i="2"/>
  <c r="E1441" i="2"/>
  <c r="I1440" i="2"/>
  <c r="J1440" i="2" s="1"/>
  <c r="H1440" i="2"/>
  <c r="G1440" i="2"/>
  <c r="E1440" i="2"/>
  <c r="J1439" i="2"/>
  <c r="I1439" i="2"/>
  <c r="H1439" i="2"/>
  <c r="G1439" i="2"/>
  <c r="E1439" i="2"/>
  <c r="I1438" i="2"/>
  <c r="J1438" i="2" s="1"/>
  <c r="H1438" i="2"/>
  <c r="G1438" i="2"/>
  <c r="E1438" i="2"/>
  <c r="I1437" i="2"/>
  <c r="J1437" i="2" s="1"/>
  <c r="H1437" i="2"/>
  <c r="G1437" i="2"/>
  <c r="E1437" i="2"/>
  <c r="I1436" i="2"/>
  <c r="J1436" i="2" s="1"/>
  <c r="H1436" i="2"/>
  <c r="G1436" i="2"/>
  <c r="E1436" i="2"/>
  <c r="J1435" i="2"/>
  <c r="I1435" i="2"/>
  <c r="H1435" i="2"/>
  <c r="G1435" i="2"/>
  <c r="E1435" i="2"/>
  <c r="I1434" i="2"/>
  <c r="J1434" i="2" s="1"/>
  <c r="H1434" i="2"/>
  <c r="G1434" i="2"/>
  <c r="E1434" i="2"/>
  <c r="I1433" i="2"/>
  <c r="J1433" i="2" s="1"/>
  <c r="H1433" i="2"/>
  <c r="G1433" i="2"/>
  <c r="E1433" i="2"/>
  <c r="I1432" i="2"/>
  <c r="J1432" i="2" s="1"/>
  <c r="H1432" i="2"/>
  <c r="G1432" i="2"/>
  <c r="E1432" i="2"/>
  <c r="I1431" i="2"/>
  <c r="J1431" i="2" s="1"/>
  <c r="H1431" i="2"/>
  <c r="G1431" i="2"/>
  <c r="E1431" i="2"/>
  <c r="J1430" i="2"/>
  <c r="I1430" i="2"/>
  <c r="H1430" i="2"/>
  <c r="G1430" i="2"/>
  <c r="E1430" i="2"/>
  <c r="I1429" i="2"/>
  <c r="J1429" i="2" s="1"/>
  <c r="H1429" i="2"/>
  <c r="G1429" i="2"/>
  <c r="E1429" i="2"/>
  <c r="I1428" i="2"/>
  <c r="J1428" i="2" s="1"/>
  <c r="H1428" i="2"/>
  <c r="G1428" i="2"/>
  <c r="E1428" i="2"/>
  <c r="J1427" i="2"/>
  <c r="I1427" i="2"/>
  <c r="H1427" i="2"/>
  <c r="G1427" i="2"/>
  <c r="E1427" i="2"/>
  <c r="I1426" i="2"/>
  <c r="J1426" i="2" s="1"/>
  <c r="H1426" i="2"/>
  <c r="G1426" i="2"/>
  <c r="E1426" i="2"/>
  <c r="I1425" i="2"/>
  <c r="J1425" i="2" s="1"/>
  <c r="H1425" i="2"/>
  <c r="G1425" i="2"/>
  <c r="E1425" i="2"/>
  <c r="I1424" i="2"/>
  <c r="J1424" i="2" s="1"/>
  <c r="H1424" i="2"/>
  <c r="G1424" i="2"/>
  <c r="E1424" i="2"/>
  <c r="J1423" i="2"/>
  <c r="I1423" i="2"/>
  <c r="H1423" i="2"/>
  <c r="G1423" i="2"/>
  <c r="E1423" i="2"/>
  <c r="I1422" i="2"/>
  <c r="J1422" i="2" s="1"/>
  <c r="H1422" i="2"/>
  <c r="G1422" i="2"/>
  <c r="E1422" i="2"/>
  <c r="I1421" i="2"/>
  <c r="J1421" i="2" s="1"/>
  <c r="H1421" i="2"/>
  <c r="G1421" i="2"/>
  <c r="E1421" i="2"/>
  <c r="I1420" i="2"/>
  <c r="J1420" i="2" s="1"/>
  <c r="H1420" i="2"/>
  <c r="G1420" i="2"/>
  <c r="E1420" i="2"/>
  <c r="I1419" i="2"/>
  <c r="J1419" i="2" s="1"/>
  <c r="H1419" i="2"/>
  <c r="G1419" i="2"/>
  <c r="E1419" i="2"/>
  <c r="I1418" i="2"/>
  <c r="J1418" i="2" s="1"/>
  <c r="H1418" i="2"/>
  <c r="G1418" i="2"/>
  <c r="E1418" i="2"/>
  <c r="I1417" i="2"/>
  <c r="J1417" i="2" s="1"/>
  <c r="H1417" i="2"/>
  <c r="G1417" i="2"/>
  <c r="E1417" i="2"/>
  <c r="I1416" i="2"/>
  <c r="J1416" i="2" s="1"/>
  <c r="H1416" i="2"/>
  <c r="G1416" i="2"/>
  <c r="E1416" i="2"/>
  <c r="J1415" i="2"/>
  <c r="I1415" i="2"/>
  <c r="H1415" i="2"/>
  <c r="G1415" i="2"/>
  <c r="E1415" i="2"/>
  <c r="I1414" i="2"/>
  <c r="J1414" i="2" s="1"/>
  <c r="H1414" i="2"/>
  <c r="G1414" i="2"/>
  <c r="E1414" i="2"/>
  <c r="I1413" i="2"/>
  <c r="J1413" i="2" s="1"/>
  <c r="H1413" i="2"/>
  <c r="G1413" i="2"/>
  <c r="E1413" i="2"/>
  <c r="I1412" i="2"/>
  <c r="J1412" i="2" s="1"/>
  <c r="H1412" i="2"/>
  <c r="G1412" i="2"/>
  <c r="E1412" i="2"/>
  <c r="J1411" i="2"/>
  <c r="I1411" i="2"/>
  <c r="H1411" i="2"/>
  <c r="G1411" i="2"/>
  <c r="E1411" i="2"/>
  <c r="I1410" i="2"/>
  <c r="J1410" i="2" s="1"/>
  <c r="H1410" i="2"/>
  <c r="G1410" i="2"/>
  <c r="E1410" i="2"/>
  <c r="I1409" i="2"/>
  <c r="J1409" i="2" s="1"/>
  <c r="H1409" i="2"/>
  <c r="G1409" i="2"/>
  <c r="E1409" i="2"/>
  <c r="I1408" i="2"/>
  <c r="J1408" i="2" s="1"/>
  <c r="H1408" i="2"/>
  <c r="G1408" i="2"/>
  <c r="E1408" i="2"/>
  <c r="I1407" i="2"/>
  <c r="J1407" i="2" s="1"/>
  <c r="H1407" i="2"/>
  <c r="G1407" i="2"/>
  <c r="E1407" i="2"/>
  <c r="J1406" i="2"/>
  <c r="I1406" i="2"/>
  <c r="H1406" i="2"/>
  <c r="G1406" i="2"/>
  <c r="E1406" i="2"/>
  <c r="I1405" i="2"/>
  <c r="J1405" i="2" s="1"/>
  <c r="H1405" i="2"/>
  <c r="G1405" i="2"/>
  <c r="E1405" i="2"/>
  <c r="I1404" i="2"/>
  <c r="J1404" i="2" s="1"/>
  <c r="H1404" i="2"/>
  <c r="G1404" i="2"/>
  <c r="E1404" i="2"/>
  <c r="J1403" i="2"/>
  <c r="I1403" i="2"/>
  <c r="H1403" i="2"/>
  <c r="G1403" i="2"/>
  <c r="E1403" i="2"/>
  <c r="I1402" i="2"/>
  <c r="J1402" i="2" s="1"/>
  <c r="H1402" i="2"/>
  <c r="G1402" i="2"/>
  <c r="E1402" i="2"/>
  <c r="I1401" i="2"/>
  <c r="J1401" i="2" s="1"/>
  <c r="H1401" i="2"/>
  <c r="G1401" i="2"/>
  <c r="E1401" i="2"/>
  <c r="I1400" i="2"/>
  <c r="J1400" i="2" s="1"/>
  <c r="H1400" i="2"/>
  <c r="G1400" i="2"/>
  <c r="E1400" i="2"/>
  <c r="J1399" i="2"/>
  <c r="I1399" i="2"/>
  <c r="H1399" i="2"/>
  <c r="G1399" i="2"/>
  <c r="E1399" i="2"/>
  <c r="I1398" i="2"/>
  <c r="J1398" i="2" s="1"/>
  <c r="H1398" i="2"/>
  <c r="G1398" i="2"/>
  <c r="E1398" i="2"/>
  <c r="I1397" i="2"/>
  <c r="J1397" i="2" s="1"/>
  <c r="H1397" i="2"/>
  <c r="G1397" i="2"/>
  <c r="E1397" i="2"/>
  <c r="I1396" i="2"/>
  <c r="J1396" i="2" s="1"/>
  <c r="H1396" i="2"/>
  <c r="G1396" i="2"/>
  <c r="E1396" i="2"/>
  <c r="I1395" i="2"/>
  <c r="J1395" i="2" s="1"/>
  <c r="H1395" i="2"/>
  <c r="G1395" i="2"/>
  <c r="E1395" i="2"/>
  <c r="I1394" i="2"/>
  <c r="J1394" i="2" s="1"/>
  <c r="H1394" i="2"/>
  <c r="G1394" i="2"/>
  <c r="E1394" i="2"/>
  <c r="I1393" i="2"/>
  <c r="J1393" i="2" s="1"/>
  <c r="H1393" i="2"/>
  <c r="G1393" i="2"/>
  <c r="E1393" i="2"/>
  <c r="I1392" i="2"/>
  <c r="J1392" i="2" s="1"/>
  <c r="H1392" i="2"/>
  <c r="G1392" i="2"/>
  <c r="E1392" i="2"/>
  <c r="J1391" i="2"/>
  <c r="I1391" i="2"/>
  <c r="H1391" i="2"/>
  <c r="G1391" i="2"/>
  <c r="E1391" i="2"/>
  <c r="I1390" i="2"/>
  <c r="J1390" i="2" s="1"/>
  <c r="H1390" i="2"/>
  <c r="G1390" i="2"/>
  <c r="E1390" i="2"/>
  <c r="I1389" i="2"/>
  <c r="J1389" i="2" s="1"/>
  <c r="H1389" i="2"/>
  <c r="G1389" i="2"/>
  <c r="E1389" i="2"/>
  <c r="I1388" i="2"/>
  <c r="J1388" i="2" s="1"/>
  <c r="H1388" i="2"/>
  <c r="G1388" i="2"/>
  <c r="E1388" i="2"/>
  <c r="J1387" i="2"/>
  <c r="I1387" i="2"/>
  <c r="H1387" i="2"/>
  <c r="G1387" i="2"/>
  <c r="E1387" i="2"/>
  <c r="I1386" i="2"/>
  <c r="J1386" i="2" s="1"/>
  <c r="H1386" i="2"/>
  <c r="G1386" i="2"/>
  <c r="E1386" i="2"/>
  <c r="I1385" i="2"/>
  <c r="J1385" i="2" s="1"/>
  <c r="H1385" i="2"/>
  <c r="G1385" i="2"/>
  <c r="E1385" i="2"/>
  <c r="I1384" i="2"/>
  <c r="J1384" i="2" s="1"/>
  <c r="H1384" i="2"/>
  <c r="G1384" i="2"/>
  <c r="E1384" i="2"/>
  <c r="I1383" i="2"/>
  <c r="J1383" i="2" s="1"/>
  <c r="H1383" i="2"/>
  <c r="G1383" i="2"/>
  <c r="E1383" i="2"/>
  <c r="J1382" i="2"/>
  <c r="I1382" i="2"/>
  <c r="H1382" i="2"/>
  <c r="G1382" i="2"/>
  <c r="E1382" i="2"/>
  <c r="I1381" i="2"/>
  <c r="J1381" i="2" s="1"/>
  <c r="H1381" i="2"/>
  <c r="G1381" i="2"/>
  <c r="E1381" i="2"/>
  <c r="I1380" i="2"/>
  <c r="J1380" i="2" s="1"/>
  <c r="H1380" i="2"/>
  <c r="G1380" i="2"/>
  <c r="E1380" i="2"/>
  <c r="J1379" i="2"/>
  <c r="I1379" i="2"/>
  <c r="H1379" i="2"/>
  <c r="G1379" i="2"/>
  <c r="E1379" i="2"/>
  <c r="I1378" i="2"/>
  <c r="J1378" i="2" s="1"/>
  <c r="H1378" i="2"/>
  <c r="G1378" i="2"/>
  <c r="E1378" i="2"/>
  <c r="I1377" i="2"/>
  <c r="J1377" i="2" s="1"/>
  <c r="H1377" i="2"/>
  <c r="G1377" i="2"/>
  <c r="E1377" i="2"/>
  <c r="I1376" i="2"/>
  <c r="J1376" i="2" s="1"/>
  <c r="H1376" i="2"/>
  <c r="G1376" i="2"/>
  <c r="E1376" i="2"/>
  <c r="J1375" i="2"/>
  <c r="I1375" i="2"/>
  <c r="H1375" i="2"/>
  <c r="G1375" i="2"/>
  <c r="E1375" i="2"/>
  <c r="I1374" i="2"/>
  <c r="J1374" i="2" s="1"/>
  <c r="H1374" i="2"/>
  <c r="G1374" i="2"/>
  <c r="E1374" i="2"/>
  <c r="I1373" i="2"/>
  <c r="J1373" i="2" s="1"/>
  <c r="H1373" i="2"/>
  <c r="G1373" i="2"/>
  <c r="E1373" i="2"/>
  <c r="I1372" i="2"/>
  <c r="J1372" i="2" s="1"/>
  <c r="H1372" i="2"/>
  <c r="G1372" i="2"/>
  <c r="E1372" i="2"/>
  <c r="I1371" i="2"/>
  <c r="J1371" i="2" s="1"/>
  <c r="H1371" i="2"/>
  <c r="G1371" i="2"/>
  <c r="E1371" i="2"/>
  <c r="I1370" i="2"/>
  <c r="J1370" i="2" s="1"/>
  <c r="H1370" i="2"/>
  <c r="G1370" i="2"/>
  <c r="E1370" i="2"/>
  <c r="I1369" i="2"/>
  <c r="J1369" i="2" s="1"/>
  <c r="H1369" i="2"/>
  <c r="G1369" i="2"/>
  <c r="E1369" i="2"/>
  <c r="I1368" i="2"/>
  <c r="J1368" i="2" s="1"/>
  <c r="H1368" i="2"/>
  <c r="G1368" i="2"/>
  <c r="E1368" i="2"/>
  <c r="J1367" i="2"/>
  <c r="I1367" i="2"/>
  <c r="H1367" i="2"/>
  <c r="G1367" i="2"/>
  <c r="E1367" i="2"/>
  <c r="I1366" i="2"/>
  <c r="J1366" i="2" s="1"/>
  <c r="H1366" i="2"/>
  <c r="G1366" i="2"/>
  <c r="E1366" i="2"/>
  <c r="I1365" i="2"/>
  <c r="J1365" i="2" s="1"/>
  <c r="H1365" i="2"/>
  <c r="G1365" i="2"/>
  <c r="E1365" i="2"/>
  <c r="I1364" i="2"/>
  <c r="J1364" i="2" s="1"/>
  <c r="H1364" i="2"/>
  <c r="G1364" i="2"/>
  <c r="E1364" i="2"/>
  <c r="J1363" i="2"/>
  <c r="I1363" i="2"/>
  <c r="H1363" i="2"/>
  <c r="G1363" i="2"/>
  <c r="E1363" i="2"/>
  <c r="I1362" i="2"/>
  <c r="J1362" i="2" s="1"/>
  <c r="H1362" i="2"/>
  <c r="G1362" i="2"/>
  <c r="E1362" i="2"/>
  <c r="I1361" i="2"/>
  <c r="J1361" i="2" s="1"/>
  <c r="H1361" i="2"/>
  <c r="G1361" i="2"/>
  <c r="E1361" i="2"/>
  <c r="I1360" i="2"/>
  <c r="J1360" i="2" s="1"/>
  <c r="H1360" i="2"/>
  <c r="G1360" i="2"/>
  <c r="E1360" i="2"/>
  <c r="I1359" i="2"/>
  <c r="J1359" i="2" s="1"/>
  <c r="H1359" i="2"/>
  <c r="G1359" i="2"/>
  <c r="E1359" i="2"/>
  <c r="J1358" i="2"/>
  <c r="I1358" i="2"/>
  <c r="H1358" i="2"/>
  <c r="G1358" i="2"/>
  <c r="E1358" i="2"/>
  <c r="I1357" i="2"/>
  <c r="J1357" i="2" s="1"/>
  <c r="H1357" i="2"/>
  <c r="G1357" i="2"/>
  <c r="E1357" i="2"/>
  <c r="I1356" i="2"/>
  <c r="J1356" i="2" s="1"/>
  <c r="H1356" i="2"/>
  <c r="G1356" i="2"/>
  <c r="E1356" i="2"/>
  <c r="J1355" i="2"/>
  <c r="I1355" i="2"/>
  <c r="H1355" i="2"/>
  <c r="G1355" i="2"/>
  <c r="E1355" i="2"/>
  <c r="I1354" i="2"/>
  <c r="J1354" i="2" s="1"/>
  <c r="H1354" i="2"/>
  <c r="G1354" i="2"/>
  <c r="E1354" i="2"/>
  <c r="I1353" i="2"/>
  <c r="J1353" i="2" s="1"/>
  <c r="H1353" i="2"/>
  <c r="G1353" i="2"/>
  <c r="E1353" i="2"/>
  <c r="I1352" i="2"/>
  <c r="J1352" i="2" s="1"/>
  <c r="H1352" i="2"/>
  <c r="G1352" i="2"/>
  <c r="E1352" i="2"/>
  <c r="J1351" i="2"/>
  <c r="I1351" i="2"/>
  <c r="H1351" i="2"/>
  <c r="G1351" i="2"/>
  <c r="E1351" i="2"/>
  <c r="I1350" i="2"/>
  <c r="J1350" i="2" s="1"/>
  <c r="H1350" i="2"/>
  <c r="G1350" i="2"/>
  <c r="E1350" i="2"/>
  <c r="I1349" i="2"/>
  <c r="J1349" i="2" s="1"/>
  <c r="H1349" i="2"/>
  <c r="G1349" i="2"/>
  <c r="E1349" i="2"/>
  <c r="I1348" i="2"/>
  <c r="J1348" i="2" s="1"/>
  <c r="H1348" i="2"/>
  <c r="G1348" i="2"/>
  <c r="E1348" i="2"/>
  <c r="I1347" i="2"/>
  <c r="J1347" i="2" s="1"/>
  <c r="H1347" i="2"/>
  <c r="G1347" i="2"/>
  <c r="E1347" i="2"/>
  <c r="I1346" i="2"/>
  <c r="J1346" i="2" s="1"/>
  <c r="H1346" i="2"/>
  <c r="G1346" i="2"/>
  <c r="E1346" i="2"/>
  <c r="I1345" i="2"/>
  <c r="J1345" i="2" s="1"/>
  <c r="H1345" i="2"/>
  <c r="G1345" i="2"/>
  <c r="E1345" i="2"/>
  <c r="I1344" i="2"/>
  <c r="J1344" i="2" s="1"/>
  <c r="H1344" i="2"/>
  <c r="G1344" i="2"/>
  <c r="E1344" i="2"/>
  <c r="J1343" i="2"/>
  <c r="I1343" i="2"/>
  <c r="H1343" i="2"/>
  <c r="G1343" i="2"/>
  <c r="E1343" i="2"/>
  <c r="I1342" i="2"/>
  <c r="J1342" i="2" s="1"/>
  <c r="H1342" i="2"/>
  <c r="G1342" i="2"/>
  <c r="E1342" i="2"/>
  <c r="I1341" i="2"/>
  <c r="J1341" i="2" s="1"/>
  <c r="H1341" i="2"/>
  <c r="G1341" i="2"/>
  <c r="E1341" i="2"/>
  <c r="I1340" i="2"/>
  <c r="J1340" i="2" s="1"/>
  <c r="H1340" i="2"/>
  <c r="G1340" i="2"/>
  <c r="E1340" i="2"/>
  <c r="J1339" i="2"/>
  <c r="I1339" i="2"/>
  <c r="H1339" i="2"/>
  <c r="G1339" i="2"/>
  <c r="E1339" i="2"/>
  <c r="I1338" i="2"/>
  <c r="J1338" i="2" s="1"/>
  <c r="H1338" i="2"/>
  <c r="G1338" i="2"/>
  <c r="E1338" i="2"/>
  <c r="I1337" i="2"/>
  <c r="J1337" i="2" s="1"/>
  <c r="H1337" i="2"/>
  <c r="G1337" i="2"/>
  <c r="E1337" i="2"/>
  <c r="I1336" i="2"/>
  <c r="J1336" i="2" s="1"/>
  <c r="H1336" i="2"/>
  <c r="G1336" i="2"/>
  <c r="E1336" i="2"/>
  <c r="I1335" i="2"/>
  <c r="J1335" i="2" s="1"/>
  <c r="H1335" i="2"/>
  <c r="G1335" i="2"/>
  <c r="E1335" i="2"/>
  <c r="J1334" i="2"/>
  <c r="I1334" i="2"/>
  <c r="H1334" i="2"/>
  <c r="G1334" i="2"/>
  <c r="E1334" i="2"/>
  <c r="I1333" i="2"/>
  <c r="J1333" i="2" s="1"/>
  <c r="H1333" i="2"/>
  <c r="G1333" i="2"/>
  <c r="E1333" i="2"/>
  <c r="I1332" i="2"/>
  <c r="J1332" i="2" s="1"/>
  <c r="H1332" i="2"/>
  <c r="G1332" i="2"/>
  <c r="E1332" i="2"/>
  <c r="J1331" i="2"/>
  <c r="I1331" i="2"/>
  <c r="H1331" i="2"/>
  <c r="G1331" i="2"/>
  <c r="E1331" i="2"/>
  <c r="I1330" i="2"/>
  <c r="J1330" i="2" s="1"/>
  <c r="H1330" i="2"/>
  <c r="G1330" i="2"/>
  <c r="E1330" i="2"/>
  <c r="I1329" i="2"/>
  <c r="J1329" i="2" s="1"/>
  <c r="H1329" i="2"/>
  <c r="G1329" i="2"/>
  <c r="E1329" i="2"/>
  <c r="I1328" i="2"/>
  <c r="J1328" i="2" s="1"/>
  <c r="H1328" i="2"/>
  <c r="G1328" i="2"/>
  <c r="E1328" i="2"/>
  <c r="J1327" i="2"/>
  <c r="I1327" i="2"/>
  <c r="H1327" i="2"/>
  <c r="G1327" i="2"/>
  <c r="E1327" i="2"/>
  <c r="I1326" i="2"/>
  <c r="J1326" i="2" s="1"/>
  <c r="H1326" i="2"/>
  <c r="G1326" i="2"/>
  <c r="E1326" i="2"/>
  <c r="I1325" i="2"/>
  <c r="J1325" i="2" s="1"/>
  <c r="H1325" i="2"/>
  <c r="G1325" i="2"/>
  <c r="E1325" i="2"/>
  <c r="I1324" i="2"/>
  <c r="J1324" i="2" s="1"/>
  <c r="H1324" i="2"/>
  <c r="G1324" i="2"/>
  <c r="E1324" i="2"/>
  <c r="I1323" i="2"/>
  <c r="J1323" i="2" s="1"/>
  <c r="H1323" i="2"/>
  <c r="G1323" i="2"/>
  <c r="E1323" i="2"/>
  <c r="I1322" i="2"/>
  <c r="J1322" i="2" s="1"/>
  <c r="H1322" i="2"/>
  <c r="G1322" i="2"/>
  <c r="E1322" i="2"/>
  <c r="I1321" i="2"/>
  <c r="J1321" i="2" s="1"/>
  <c r="H1321" i="2"/>
  <c r="G1321" i="2"/>
  <c r="E1321" i="2"/>
  <c r="I1320" i="2"/>
  <c r="J1320" i="2" s="1"/>
  <c r="H1320" i="2"/>
  <c r="G1320" i="2"/>
  <c r="E1320" i="2"/>
  <c r="J1319" i="2"/>
  <c r="I1319" i="2"/>
  <c r="H1319" i="2"/>
  <c r="G1319" i="2"/>
  <c r="E1319" i="2"/>
  <c r="I1318" i="2"/>
  <c r="J1318" i="2" s="1"/>
  <c r="H1318" i="2"/>
  <c r="G1318" i="2"/>
  <c r="E1318" i="2"/>
  <c r="I1317" i="2"/>
  <c r="J1317" i="2" s="1"/>
  <c r="H1317" i="2"/>
  <c r="G1317" i="2"/>
  <c r="E1317" i="2"/>
  <c r="I1316" i="2"/>
  <c r="J1316" i="2" s="1"/>
  <c r="H1316" i="2"/>
  <c r="G1316" i="2"/>
  <c r="E1316" i="2"/>
  <c r="J1315" i="2"/>
  <c r="I1315" i="2"/>
  <c r="H1315" i="2"/>
  <c r="G1315" i="2"/>
  <c r="E1315" i="2"/>
  <c r="I1314" i="2"/>
  <c r="J1314" i="2" s="1"/>
  <c r="H1314" i="2"/>
  <c r="G1314" i="2"/>
  <c r="E1314" i="2"/>
  <c r="I1313" i="2"/>
  <c r="J1313" i="2" s="1"/>
  <c r="H1313" i="2"/>
  <c r="G1313" i="2"/>
  <c r="E1313" i="2"/>
  <c r="I1312" i="2"/>
  <c r="J1312" i="2" s="1"/>
  <c r="H1312" i="2"/>
  <c r="G1312" i="2"/>
  <c r="E1312" i="2"/>
  <c r="I1311" i="2"/>
  <c r="J1311" i="2" s="1"/>
  <c r="H1311" i="2"/>
  <c r="G1311" i="2"/>
  <c r="E1311" i="2"/>
  <c r="J1310" i="2"/>
  <c r="I1310" i="2"/>
  <c r="H1310" i="2"/>
  <c r="G1310" i="2"/>
  <c r="E1310" i="2"/>
  <c r="I1309" i="2"/>
  <c r="J1309" i="2" s="1"/>
  <c r="H1309" i="2"/>
  <c r="G1309" i="2"/>
  <c r="E1309" i="2"/>
  <c r="I1308" i="2"/>
  <c r="J1308" i="2" s="1"/>
  <c r="H1308" i="2"/>
  <c r="G1308" i="2"/>
  <c r="E1308" i="2"/>
  <c r="J1307" i="2"/>
  <c r="I1307" i="2"/>
  <c r="H1307" i="2"/>
  <c r="G1307" i="2"/>
  <c r="E1307" i="2"/>
  <c r="I1306" i="2"/>
  <c r="J1306" i="2" s="1"/>
  <c r="H1306" i="2"/>
  <c r="G1306" i="2"/>
  <c r="E1306" i="2"/>
  <c r="I1305" i="2"/>
  <c r="J1305" i="2" s="1"/>
  <c r="H1305" i="2"/>
  <c r="G1305" i="2"/>
  <c r="E1305" i="2"/>
  <c r="I1304" i="2"/>
  <c r="J1304" i="2" s="1"/>
  <c r="H1304" i="2"/>
  <c r="G1304" i="2"/>
  <c r="E1304" i="2"/>
  <c r="J1303" i="2"/>
  <c r="I1303" i="2"/>
  <c r="H1303" i="2"/>
  <c r="G1303" i="2"/>
  <c r="E1303" i="2"/>
  <c r="I1302" i="2"/>
  <c r="J1302" i="2" s="1"/>
  <c r="H1302" i="2"/>
  <c r="G1302" i="2"/>
  <c r="E1302" i="2"/>
  <c r="I1301" i="2"/>
  <c r="J1301" i="2" s="1"/>
  <c r="H1301" i="2"/>
  <c r="G1301" i="2"/>
  <c r="E1301" i="2"/>
  <c r="I1300" i="2"/>
  <c r="J1300" i="2" s="1"/>
  <c r="H1300" i="2"/>
  <c r="G1300" i="2"/>
  <c r="E1300" i="2"/>
  <c r="I1299" i="2"/>
  <c r="J1299" i="2" s="1"/>
  <c r="H1299" i="2"/>
  <c r="G1299" i="2"/>
  <c r="E1299" i="2"/>
  <c r="I1298" i="2"/>
  <c r="J1298" i="2" s="1"/>
  <c r="H1298" i="2"/>
  <c r="G1298" i="2"/>
  <c r="E1298" i="2"/>
  <c r="I1297" i="2"/>
  <c r="J1297" i="2" s="1"/>
  <c r="H1297" i="2"/>
  <c r="G1297" i="2"/>
  <c r="E1297" i="2"/>
  <c r="I1296" i="2"/>
  <c r="J1296" i="2" s="1"/>
  <c r="H1296" i="2"/>
  <c r="G1296" i="2"/>
  <c r="E1296" i="2"/>
  <c r="J1295" i="2"/>
  <c r="I1295" i="2"/>
  <c r="H1295" i="2"/>
  <c r="G1295" i="2"/>
  <c r="E1295" i="2"/>
  <c r="I1294" i="2"/>
  <c r="J1294" i="2" s="1"/>
  <c r="H1294" i="2"/>
  <c r="G1294" i="2"/>
  <c r="E1294" i="2"/>
  <c r="I1293" i="2"/>
  <c r="J1293" i="2" s="1"/>
  <c r="H1293" i="2"/>
  <c r="G1293" i="2"/>
  <c r="E1293" i="2"/>
  <c r="I1292" i="2"/>
  <c r="J1292" i="2" s="1"/>
  <c r="H1292" i="2"/>
  <c r="G1292" i="2"/>
  <c r="E1292" i="2"/>
  <c r="J1291" i="2"/>
  <c r="I1291" i="2"/>
  <c r="H1291" i="2"/>
  <c r="G1291" i="2"/>
  <c r="E1291" i="2"/>
  <c r="I1290" i="2"/>
  <c r="J1290" i="2" s="1"/>
  <c r="H1290" i="2"/>
  <c r="G1290" i="2"/>
  <c r="E1290" i="2"/>
  <c r="I1289" i="2"/>
  <c r="J1289" i="2" s="1"/>
  <c r="H1289" i="2"/>
  <c r="G1289" i="2"/>
  <c r="E1289" i="2"/>
  <c r="I1288" i="2"/>
  <c r="J1288" i="2" s="1"/>
  <c r="H1288" i="2"/>
  <c r="G1288" i="2"/>
  <c r="E1288" i="2"/>
  <c r="I1287" i="2"/>
  <c r="J1287" i="2" s="1"/>
  <c r="H1287" i="2"/>
  <c r="G1287" i="2"/>
  <c r="E1287" i="2"/>
  <c r="J1286" i="2"/>
  <c r="I1286" i="2"/>
  <c r="H1286" i="2"/>
  <c r="G1286" i="2"/>
  <c r="E1286" i="2"/>
  <c r="I1285" i="2"/>
  <c r="J1285" i="2" s="1"/>
  <c r="H1285" i="2"/>
  <c r="G1285" i="2"/>
  <c r="E1285" i="2"/>
  <c r="I1284" i="2"/>
  <c r="J1284" i="2" s="1"/>
  <c r="H1284" i="2"/>
  <c r="G1284" i="2"/>
  <c r="E1284" i="2"/>
  <c r="J1283" i="2"/>
  <c r="I1283" i="2"/>
  <c r="H1283" i="2"/>
  <c r="G1283" i="2"/>
  <c r="E1283" i="2"/>
  <c r="I1282" i="2"/>
  <c r="J1282" i="2" s="1"/>
  <c r="H1282" i="2"/>
  <c r="G1282" i="2"/>
  <c r="E1282" i="2"/>
  <c r="I1281" i="2"/>
  <c r="J1281" i="2" s="1"/>
  <c r="H1281" i="2"/>
  <c r="G1281" i="2"/>
  <c r="E1281" i="2"/>
  <c r="I1280" i="2"/>
  <c r="J1280" i="2" s="1"/>
  <c r="H1280" i="2"/>
  <c r="G1280" i="2"/>
  <c r="E1280" i="2"/>
  <c r="J1279" i="2"/>
  <c r="I1279" i="2"/>
  <c r="H1279" i="2"/>
  <c r="G1279" i="2"/>
  <c r="E1279" i="2"/>
  <c r="I1278" i="2"/>
  <c r="J1278" i="2" s="1"/>
  <c r="H1278" i="2"/>
  <c r="G1278" i="2"/>
  <c r="E1278" i="2"/>
  <c r="I1277" i="2"/>
  <c r="J1277" i="2" s="1"/>
  <c r="H1277" i="2"/>
  <c r="G1277" i="2"/>
  <c r="E1277" i="2"/>
  <c r="I1276" i="2"/>
  <c r="J1276" i="2" s="1"/>
  <c r="H1276" i="2"/>
  <c r="G1276" i="2"/>
  <c r="E1276" i="2"/>
  <c r="I1275" i="2"/>
  <c r="J1275" i="2" s="1"/>
  <c r="H1275" i="2"/>
  <c r="G1275" i="2"/>
  <c r="E1275" i="2"/>
  <c r="I1274" i="2"/>
  <c r="J1274" i="2" s="1"/>
  <c r="H1274" i="2"/>
  <c r="G1274" i="2"/>
  <c r="E1274" i="2"/>
  <c r="I1273" i="2"/>
  <c r="J1273" i="2" s="1"/>
  <c r="H1273" i="2"/>
  <c r="G1273" i="2"/>
  <c r="E1273" i="2"/>
  <c r="I1272" i="2"/>
  <c r="J1272" i="2" s="1"/>
  <c r="H1272" i="2"/>
  <c r="G1272" i="2"/>
  <c r="E1272" i="2"/>
  <c r="J1271" i="2"/>
  <c r="I1271" i="2"/>
  <c r="H1271" i="2"/>
  <c r="G1271" i="2"/>
  <c r="E1271" i="2"/>
  <c r="I1270" i="2"/>
  <c r="J1270" i="2" s="1"/>
  <c r="H1270" i="2"/>
  <c r="G1270" i="2"/>
  <c r="E1270" i="2"/>
  <c r="I1269" i="2"/>
  <c r="J1269" i="2" s="1"/>
  <c r="H1269" i="2"/>
  <c r="G1269" i="2"/>
  <c r="E1269" i="2"/>
  <c r="I1268" i="2"/>
  <c r="J1268" i="2" s="1"/>
  <c r="H1268" i="2"/>
  <c r="G1268" i="2"/>
  <c r="E1268" i="2"/>
  <c r="J1267" i="2"/>
  <c r="I1267" i="2"/>
  <c r="H1267" i="2"/>
  <c r="G1267" i="2"/>
  <c r="E1267" i="2"/>
  <c r="I1266" i="2"/>
  <c r="J1266" i="2" s="1"/>
  <c r="H1266" i="2"/>
  <c r="G1266" i="2"/>
  <c r="E1266" i="2"/>
  <c r="I1265" i="2"/>
  <c r="J1265" i="2" s="1"/>
  <c r="H1265" i="2"/>
  <c r="G1265" i="2"/>
  <c r="E1265" i="2"/>
  <c r="I1264" i="2"/>
  <c r="J1264" i="2" s="1"/>
  <c r="H1264" i="2"/>
  <c r="G1264" i="2"/>
  <c r="E1264" i="2"/>
  <c r="I1263" i="2"/>
  <c r="J1263" i="2" s="1"/>
  <c r="H1263" i="2"/>
  <c r="G1263" i="2"/>
  <c r="E1263" i="2"/>
  <c r="J1262" i="2"/>
  <c r="I1262" i="2"/>
  <c r="H1262" i="2"/>
  <c r="G1262" i="2"/>
  <c r="E1262" i="2"/>
  <c r="I1261" i="2"/>
  <c r="J1261" i="2" s="1"/>
  <c r="H1261" i="2"/>
  <c r="G1261" i="2"/>
  <c r="E1261" i="2"/>
  <c r="I1260" i="2"/>
  <c r="J1260" i="2" s="1"/>
  <c r="H1260" i="2"/>
  <c r="G1260" i="2"/>
  <c r="E1260" i="2"/>
  <c r="J1259" i="2"/>
  <c r="I1259" i="2"/>
  <c r="H1259" i="2"/>
  <c r="G1259" i="2"/>
  <c r="E1259" i="2"/>
  <c r="I1258" i="2"/>
  <c r="J1258" i="2" s="1"/>
  <c r="H1258" i="2"/>
  <c r="G1258" i="2"/>
  <c r="E1258" i="2"/>
  <c r="I1257" i="2"/>
  <c r="J1257" i="2" s="1"/>
  <c r="H1257" i="2"/>
  <c r="G1257" i="2"/>
  <c r="E1257" i="2"/>
  <c r="I1256" i="2"/>
  <c r="J1256" i="2" s="1"/>
  <c r="H1256" i="2"/>
  <c r="G1256" i="2"/>
  <c r="E1256" i="2"/>
  <c r="J1255" i="2"/>
  <c r="I1255" i="2"/>
  <c r="H1255" i="2"/>
  <c r="G1255" i="2"/>
  <c r="E1255" i="2"/>
  <c r="I1254" i="2"/>
  <c r="J1254" i="2" s="1"/>
  <c r="H1254" i="2"/>
  <c r="G1254" i="2"/>
  <c r="E1254" i="2"/>
  <c r="I1253" i="2"/>
  <c r="J1253" i="2" s="1"/>
  <c r="H1253" i="2"/>
  <c r="G1253" i="2"/>
  <c r="E1253" i="2"/>
  <c r="I1252" i="2"/>
  <c r="J1252" i="2" s="1"/>
  <c r="H1252" i="2"/>
  <c r="G1252" i="2"/>
  <c r="E1252" i="2"/>
  <c r="I1251" i="2"/>
  <c r="J1251" i="2" s="1"/>
  <c r="H1251" i="2"/>
  <c r="G1251" i="2"/>
  <c r="E1251" i="2"/>
  <c r="I1250" i="2"/>
  <c r="J1250" i="2" s="1"/>
  <c r="H1250" i="2"/>
  <c r="G1250" i="2"/>
  <c r="E1250" i="2"/>
  <c r="I1249" i="2"/>
  <c r="J1249" i="2" s="1"/>
  <c r="H1249" i="2"/>
  <c r="G1249" i="2"/>
  <c r="E1249" i="2"/>
  <c r="I1248" i="2"/>
  <c r="J1248" i="2" s="1"/>
  <c r="H1248" i="2"/>
  <c r="G1248" i="2"/>
  <c r="E1248" i="2"/>
  <c r="J1247" i="2"/>
  <c r="I1247" i="2"/>
  <c r="H1247" i="2"/>
  <c r="G1247" i="2"/>
  <c r="E1247" i="2"/>
  <c r="I1246" i="2"/>
  <c r="J1246" i="2" s="1"/>
  <c r="H1246" i="2"/>
  <c r="G1246" i="2"/>
  <c r="E1246" i="2"/>
  <c r="I1245" i="2"/>
  <c r="J1245" i="2" s="1"/>
  <c r="H1245" i="2"/>
  <c r="G1245" i="2"/>
  <c r="E1245" i="2"/>
  <c r="I1244" i="2"/>
  <c r="J1244" i="2" s="1"/>
  <c r="H1244" i="2"/>
  <c r="G1244" i="2"/>
  <c r="E1244" i="2"/>
  <c r="J1243" i="2"/>
  <c r="I1243" i="2"/>
  <c r="H1243" i="2"/>
  <c r="G1243" i="2"/>
  <c r="E1243" i="2"/>
  <c r="I1242" i="2"/>
  <c r="J1242" i="2" s="1"/>
  <c r="H1242" i="2"/>
  <c r="G1242" i="2"/>
  <c r="E1242" i="2"/>
  <c r="I1241" i="2"/>
  <c r="J1241" i="2" s="1"/>
  <c r="H1241" i="2"/>
  <c r="G1241" i="2"/>
  <c r="E1241" i="2"/>
  <c r="I1240" i="2"/>
  <c r="J1240" i="2" s="1"/>
  <c r="H1240" i="2"/>
  <c r="G1240" i="2"/>
  <c r="E1240" i="2"/>
  <c r="I1239" i="2"/>
  <c r="J1239" i="2" s="1"/>
  <c r="H1239" i="2"/>
  <c r="G1239" i="2"/>
  <c r="E1239" i="2"/>
  <c r="J1238" i="2"/>
  <c r="I1238" i="2"/>
  <c r="H1238" i="2"/>
  <c r="G1238" i="2"/>
  <c r="E1238" i="2"/>
  <c r="I1237" i="2"/>
  <c r="J1237" i="2" s="1"/>
  <c r="H1237" i="2"/>
  <c r="G1237" i="2"/>
  <c r="E1237" i="2"/>
  <c r="I1236" i="2"/>
  <c r="J1236" i="2" s="1"/>
  <c r="H1236" i="2"/>
  <c r="G1236" i="2"/>
  <c r="E1236" i="2"/>
  <c r="J1235" i="2"/>
  <c r="I1235" i="2"/>
  <c r="H1235" i="2"/>
  <c r="G1235" i="2"/>
  <c r="E1235" i="2"/>
  <c r="I1234" i="2"/>
  <c r="J1234" i="2" s="1"/>
  <c r="H1234" i="2"/>
  <c r="G1234" i="2"/>
  <c r="E1234" i="2"/>
  <c r="I1233" i="2"/>
  <c r="J1233" i="2" s="1"/>
  <c r="H1233" i="2"/>
  <c r="G1233" i="2"/>
  <c r="E1233" i="2"/>
  <c r="I1232" i="2"/>
  <c r="J1232" i="2" s="1"/>
  <c r="H1232" i="2"/>
  <c r="G1232" i="2"/>
  <c r="E1232" i="2"/>
  <c r="J1231" i="2"/>
  <c r="I1231" i="2"/>
  <c r="H1231" i="2"/>
  <c r="G1231" i="2"/>
  <c r="E1231" i="2"/>
  <c r="I1230" i="2"/>
  <c r="J1230" i="2" s="1"/>
  <c r="H1230" i="2"/>
  <c r="G1230" i="2"/>
  <c r="E1230" i="2"/>
  <c r="I1229" i="2"/>
  <c r="J1229" i="2" s="1"/>
  <c r="H1229" i="2"/>
  <c r="G1229" i="2"/>
  <c r="E1229" i="2"/>
  <c r="I1228" i="2"/>
  <c r="J1228" i="2" s="1"/>
  <c r="H1228" i="2"/>
  <c r="G1228" i="2"/>
  <c r="E1228" i="2"/>
  <c r="I1227" i="2"/>
  <c r="J1227" i="2" s="1"/>
  <c r="H1227" i="2"/>
  <c r="G1227" i="2"/>
  <c r="E1227" i="2"/>
  <c r="I1226" i="2"/>
  <c r="J1226" i="2" s="1"/>
  <c r="H1226" i="2"/>
  <c r="G1226" i="2"/>
  <c r="E1226" i="2"/>
  <c r="I1225" i="2"/>
  <c r="J1225" i="2" s="1"/>
  <c r="H1225" i="2"/>
  <c r="G1225" i="2"/>
  <c r="E1225" i="2"/>
  <c r="I1224" i="2"/>
  <c r="J1224" i="2" s="1"/>
  <c r="H1224" i="2"/>
  <c r="G1224" i="2"/>
  <c r="E1224" i="2"/>
  <c r="J1223" i="2"/>
  <c r="I1223" i="2"/>
  <c r="H1223" i="2"/>
  <c r="G1223" i="2"/>
  <c r="E1223" i="2"/>
  <c r="I1222" i="2"/>
  <c r="J1222" i="2" s="1"/>
  <c r="H1222" i="2"/>
  <c r="G1222" i="2"/>
  <c r="E1222" i="2"/>
  <c r="I1221" i="2"/>
  <c r="J1221" i="2" s="1"/>
  <c r="H1221" i="2"/>
  <c r="G1221" i="2"/>
  <c r="E1221" i="2"/>
  <c r="I1220" i="2"/>
  <c r="J1220" i="2" s="1"/>
  <c r="H1220" i="2"/>
  <c r="G1220" i="2"/>
  <c r="E1220" i="2"/>
  <c r="J1219" i="2"/>
  <c r="I1219" i="2"/>
  <c r="H1219" i="2"/>
  <c r="G1219" i="2"/>
  <c r="E1219" i="2"/>
  <c r="I1218" i="2"/>
  <c r="J1218" i="2" s="1"/>
  <c r="H1218" i="2"/>
  <c r="G1218" i="2"/>
  <c r="E1218" i="2"/>
  <c r="I1217" i="2"/>
  <c r="J1217" i="2" s="1"/>
  <c r="H1217" i="2"/>
  <c r="G1217" i="2"/>
  <c r="E1217" i="2"/>
  <c r="I1216" i="2"/>
  <c r="J1216" i="2" s="1"/>
  <c r="H1216" i="2"/>
  <c r="G1216" i="2"/>
  <c r="E1216" i="2"/>
  <c r="I1215" i="2"/>
  <c r="J1215" i="2" s="1"/>
  <c r="H1215" i="2"/>
  <c r="G1215" i="2"/>
  <c r="E1215" i="2"/>
  <c r="J1214" i="2"/>
  <c r="I1214" i="2"/>
  <c r="H1214" i="2"/>
  <c r="G1214" i="2"/>
  <c r="E1214" i="2"/>
  <c r="J1213" i="2"/>
  <c r="I1213" i="2"/>
  <c r="H1213" i="2"/>
  <c r="G1213" i="2"/>
  <c r="E1213" i="2"/>
  <c r="I1212" i="2"/>
  <c r="J1212" i="2" s="1"/>
  <c r="H1212" i="2"/>
  <c r="G1212" i="2"/>
  <c r="E1212" i="2"/>
  <c r="J1211" i="2"/>
  <c r="I1211" i="2"/>
  <c r="H1211" i="2"/>
  <c r="G1211" i="2"/>
  <c r="E1211" i="2"/>
  <c r="I1210" i="2"/>
  <c r="J1210" i="2" s="1"/>
  <c r="H1210" i="2"/>
  <c r="G1210" i="2"/>
  <c r="E1210" i="2"/>
  <c r="I1209" i="2"/>
  <c r="J1209" i="2" s="1"/>
  <c r="H1209" i="2"/>
  <c r="G1209" i="2"/>
  <c r="E1209" i="2"/>
  <c r="I1208" i="2"/>
  <c r="J1208" i="2" s="1"/>
  <c r="H1208" i="2"/>
  <c r="G1208" i="2"/>
  <c r="E1208" i="2"/>
  <c r="J1207" i="2"/>
  <c r="I1207" i="2"/>
  <c r="H1207" i="2"/>
  <c r="G1207" i="2"/>
  <c r="E1207" i="2"/>
  <c r="I1206" i="2"/>
  <c r="J1206" i="2" s="1"/>
  <c r="H1206" i="2"/>
  <c r="G1206" i="2"/>
  <c r="E1206" i="2"/>
  <c r="J1205" i="2"/>
  <c r="I1205" i="2"/>
  <c r="H1205" i="2"/>
  <c r="G1205" i="2"/>
  <c r="E1205" i="2"/>
  <c r="I1204" i="2"/>
  <c r="J1204" i="2" s="1"/>
  <c r="H1204" i="2"/>
  <c r="G1204" i="2"/>
  <c r="E1204" i="2"/>
  <c r="I1203" i="2"/>
  <c r="J1203" i="2" s="1"/>
  <c r="H1203" i="2"/>
  <c r="G1203" i="2"/>
  <c r="E1203" i="2"/>
  <c r="J1202" i="2"/>
  <c r="I1202" i="2"/>
  <c r="H1202" i="2"/>
  <c r="G1202" i="2"/>
  <c r="E1202" i="2"/>
  <c r="J1201" i="2"/>
  <c r="I1201" i="2"/>
  <c r="H1201" i="2"/>
  <c r="G1201" i="2"/>
  <c r="E1201" i="2"/>
  <c r="I1200" i="2"/>
  <c r="J1200" i="2" s="1"/>
  <c r="H1200" i="2"/>
  <c r="G1200" i="2"/>
  <c r="E1200" i="2"/>
  <c r="J1199" i="2"/>
  <c r="I1199" i="2"/>
  <c r="H1199" i="2"/>
  <c r="G1199" i="2"/>
  <c r="E1199" i="2"/>
  <c r="I1198" i="2"/>
  <c r="J1198" i="2" s="1"/>
  <c r="H1198" i="2"/>
  <c r="G1198" i="2"/>
  <c r="E1198" i="2"/>
  <c r="I1197" i="2"/>
  <c r="J1197" i="2" s="1"/>
  <c r="H1197" i="2"/>
  <c r="G1197" i="2"/>
  <c r="E1197" i="2"/>
  <c r="I1196" i="2"/>
  <c r="J1196" i="2" s="1"/>
  <c r="H1196" i="2"/>
  <c r="G1196" i="2"/>
  <c r="E1196" i="2"/>
  <c r="J1195" i="2"/>
  <c r="I1195" i="2"/>
  <c r="H1195" i="2"/>
  <c r="G1195" i="2"/>
  <c r="E1195" i="2"/>
  <c r="I1194" i="2"/>
  <c r="J1194" i="2" s="1"/>
  <c r="H1194" i="2"/>
  <c r="G1194" i="2"/>
  <c r="E1194" i="2"/>
  <c r="I1193" i="2"/>
  <c r="J1193" i="2" s="1"/>
  <c r="H1193" i="2"/>
  <c r="G1193" i="2"/>
  <c r="E1193" i="2"/>
  <c r="I1192" i="2"/>
  <c r="J1192" i="2" s="1"/>
  <c r="H1192" i="2"/>
  <c r="G1192" i="2"/>
  <c r="E1192" i="2"/>
  <c r="I1191" i="2"/>
  <c r="J1191" i="2" s="1"/>
  <c r="H1191" i="2"/>
  <c r="G1191" i="2"/>
  <c r="E1191" i="2"/>
  <c r="I1190" i="2"/>
  <c r="J1190" i="2" s="1"/>
  <c r="H1190" i="2"/>
  <c r="G1190" i="2"/>
  <c r="E1190" i="2"/>
  <c r="I1189" i="2"/>
  <c r="J1189" i="2" s="1"/>
  <c r="H1189" i="2"/>
  <c r="G1189" i="2"/>
  <c r="E1189" i="2"/>
  <c r="I1188" i="2"/>
  <c r="J1188" i="2" s="1"/>
  <c r="H1188" i="2"/>
  <c r="G1188" i="2"/>
  <c r="E1188" i="2"/>
  <c r="J1187" i="2"/>
  <c r="I1187" i="2"/>
  <c r="H1187" i="2"/>
  <c r="G1187" i="2"/>
  <c r="E1187" i="2"/>
  <c r="I1186" i="2"/>
  <c r="J1186" i="2" s="1"/>
  <c r="H1186" i="2"/>
  <c r="G1186" i="2"/>
  <c r="E1186" i="2"/>
  <c r="I1185" i="2"/>
  <c r="J1185" i="2" s="1"/>
  <c r="H1185" i="2"/>
  <c r="G1185" i="2"/>
  <c r="E1185" i="2"/>
  <c r="I1184" i="2"/>
  <c r="J1184" i="2" s="1"/>
  <c r="H1184" i="2"/>
  <c r="G1184" i="2"/>
  <c r="E1184" i="2"/>
  <c r="J1183" i="2"/>
  <c r="I1183" i="2"/>
  <c r="H1183" i="2"/>
  <c r="G1183" i="2"/>
  <c r="E1183" i="2"/>
  <c r="I1182" i="2"/>
  <c r="J1182" i="2" s="1"/>
  <c r="H1182" i="2"/>
  <c r="G1182" i="2"/>
  <c r="E1182" i="2"/>
  <c r="I1181" i="2"/>
  <c r="J1181" i="2" s="1"/>
  <c r="H1181" i="2"/>
  <c r="G1181" i="2"/>
  <c r="E1181" i="2"/>
  <c r="I1180" i="2"/>
  <c r="J1180" i="2" s="1"/>
  <c r="H1180" i="2"/>
  <c r="G1180" i="2"/>
  <c r="E1180" i="2"/>
  <c r="I1179" i="2"/>
  <c r="J1179" i="2" s="1"/>
  <c r="H1179" i="2"/>
  <c r="G1179" i="2"/>
  <c r="E1179" i="2"/>
  <c r="I1178" i="2"/>
  <c r="J1178" i="2" s="1"/>
  <c r="H1178" i="2"/>
  <c r="G1178" i="2"/>
  <c r="E1178" i="2"/>
  <c r="I1177" i="2"/>
  <c r="J1177" i="2" s="1"/>
  <c r="H1177" i="2"/>
  <c r="G1177" i="2"/>
  <c r="E1177" i="2"/>
  <c r="I1176" i="2"/>
  <c r="J1176" i="2" s="1"/>
  <c r="H1176" i="2"/>
  <c r="G1176" i="2"/>
  <c r="E1176" i="2"/>
  <c r="J1175" i="2"/>
  <c r="I1175" i="2"/>
  <c r="H1175" i="2"/>
  <c r="G1175" i="2"/>
  <c r="E1175" i="2"/>
  <c r="I1174" i="2"/>
  <c r="J1174" i="2" s="1"/>
  <c r="H1174" i="2"/>
  <c r="G1174" i="2"/>
  <c r="E1174" i="2"/>
  <c r="I1173" i="2"/>
  <c r="J1173" i="2" s="1"/>
  <c r="H1173" i="2"/>
  <c r="G1173" i="2"/>
  <c r="E1173" i="2"/>
  <c r="I1172" i="2"/>
  <c r="J1172" i="2" s="1"/>
  <c r="H1172" i="2"/>
  <c r="G1172" i="2"/>
  <c r="E1172" i="2"/>
  <c r="J1171" i="2"/>
  <c r="I1171" i="2"/>
  <c r="H1171" i="2"/>
  <c r="G1171" i="2"/>
  <c r="E1171" i="2"/>
  <c r="I1170" i="2"/>
  <c r="J1170" i="2" s="1"/>
  <c r="H1170" i="2"/>
  <c r="G1170" i="2"/>
  <c r="E1170" i="2"/>
  <c r="I1169" i="2"/>
  <c r="J1169" i="2" s="1"/>
  <c r="H1169" i="2"/>
  <c r="G1169" i="2"/>
  <c r="E1169" i="2"/>
  <c r="I1168" i="2"/>
  <c r="J1168" i="2" s="1"/>
  <c r="H1168" i="2"/>
  <c r="G1168" i="2"/>
  <c r="E1168" i="2"/>
  <c r="I1167" i="2"/>
  <c r="J1167" i="2" s="1"/>
  <c r="H1167" i="2"/>
  <c r="G1167" i="2"/>
  <c r="E1167" i="2"/>
  <c r="I1166" i="2"/>
  <c r="J1166" i="2" s="1"/>
  <c r="H1166" i="2"/>
  <c r="G1166" i="2"/>
  <c r="E1166" i="2"/>
  <c r="I1165" i="2"/>
  <c r="J1165" i="2" s="1"/>
  <c r="H1165" i="2"/>
  <c r="G1165" i="2"/>
  <c r="E1165" i="2"/>
  <c r="I1164" i="2"/>
  <c r="J1164" i="2" s="1"/>
  <c r="H1164" i="2"/>
  <c r="G1164" i="2"/>
  <c r="E1164" i="2"/>
  <c r="J1163" i="2"/>
  <c r="I1163" i="2"/>
  <c r="H1163" i="2"/>
  <c r="G1163" i="2"/>
  <c r="E1163" i="2"/>
  <c r="I1162" i="2"/>
  <c r="J1162" i="2" s="1"/>
  <c r="H1162" i="2"/>
  <c r="G1162" i="2"/>
  <c r="E1162" i="2"/>
  <c r="I1161" i="2"/>
  <c r="J1161" i="2" s="1"/>
  <c r="H1161" i="2"/>
  <c r="G1161" i="2"/>
  <c r="E1161" i="2"/>
  <c r="I1160" i="2"/>
  <c r="J1160" i="2" s="1"/>
  <c r="H1160" i="2"/>
  <c r="G1160" i="2"/>
  <c r="E1160" i="2"/>
  <c r="J1159" i="2"/>
  <c r="I1159" i="2"/>
  <c r="H1159" i="2"/>
  <c r="G1159" i="2"/>
  <c r="E1159" i="2"/>
  <c r="I1158" i="2"/>
  <c r="J1158" i="2" s="1"/>
  <c r="H1158" i="2"/>
  <c r="G1158" i="2"/>
  <c r="E1158" i="2"/>
  <c r="I1157" i="2"/>
  <c r="J1157" i="2" s="1"/>
  <c r="H1157" i="2"/>
  <c r="G1157" i="2"/>
  <c r="E1157" i="2"/>
  <c r="I1156" i="2"/>
  <c r="J1156" i="2" s="1"/>
  <c r="H1156" i="2"/>
  <c r="G1156" i="2"/>
  <c r="E1156" i="2"/>
  <c r="I1155" i="2"/>
  <c r="J1155" i="2" s="1"/>
  <c r="H1155" i="2"/>
  <c r="G1155" i="2"/>
  <c r="E1155" i="2"/>
  <c r="I1154" i="2"/>
  <c r="J1154" i="2" s="1"/>
  <c r="H1154" i="2"/>
  <c r="G1154" i="2"/>
  <c r="E1154" i="2"/>
  <c r="I1153" i="2"/>
  <c r="J1153" i="2" s="1"/>
  <c r="H1153" i="2"/>
  <c r="G1153" i="2"/>
  <c r="E1153" i="2"/>
  <c r="I1152" i="2"/>
  <c r="J1152" i="2" s="1"/>
  <c r="H1152" i="2"/>
  <c r="G1152" i="2"/>
  <c r="E1152" i="2"/>
  <c r="J1151" i="2"/>
  <c r="I1151" i="2"/>
  <c r="H1151" i="2"/>
  <c r="G1151" i="2"/>
  <c r="E1151" i="2"/>
  <c r="I1150" i="2"/>
  <c r="J1150" i="2" s="1"/>
  <c r="H1150" i="2"/>
  <c r="G1150" i="2"/>
  <c r="E1150" i="2"/>
  <c r="I1149" i="2"/>
  <c r="J1149" i="2" s="1"/>
  <c r="H1149" i="2"/>
  <c r="G1149" i="2"/>
  <c r="E1149" i="2"/>
  <c r="I1148" i="2"/>
  <c r="J1148" i="2" s="1"/>
  <c r="H1148" i="2"/>
  <c r="G1148" i="2"/>
  <c r="E1148" i="2"/>
  <c r="J1147" i="2"/>
  <c r="I1147" i="2"/>
  <c r="H1147" i="2"/>
  <c r="G1147" i="2"/>
  <c r="E1147" i="2"/>
  <c r="I1146" i="2"/>
  <c r="J1146" i="2" s="1"/>
  <c r="H1146" i="2"/>
  <c r="G1146" i="2"/>
  <c r="E1146" i="2"/>
  <c r="I1145" i="2"/>
  <c r="J1145" i="2" s="1"/>
  <c r="H1145" i="2"/>
  <c r="G1145" i="2"/>
  <c r="E1145" i="2"/>
  <c r="I1144" i="2"/>
  <c r="J1144" i="2" s="1"/>
  <c r="H1144" i="2"/>
  <c r="G1144" i="2"/>
  <c r="E1144" i="2"/>
  <c r="I1143" i="2"/>
  <c r="J1143" i="2" s="1"/>
  <c r="H1143" i="2"/>
  <c r="G1143" i="2"/>
  <c r="E1143" i="2"/>
  <c r="I1142" i="2"/>
  <c r="J1142" i="2" s="1"/>
  <c r="H1142" i="2"/>
  <c r="G1142" i="2"/>
  <c r="E1142" i="2"/>
  <c r="I1141" i="2"/>
  <c r="J1141" i="2" s="1"/>
  <c r="H1141" i="2"/>
  <c r="G1141" i="2"/>
  <c r="E1141" i="2"/>
  <c r="I1140" i="2"/>
  <c r="J1140" i="2" s="1"/>
  <c r="H1140" i="2"/>
  <c r="G1140" i="2"/>
  <c r="E1140" i="2"/>
  <c r="J1139" i="2"/>
  <c r="I1139" i="2"/>
  <c r="H1139" i="2"/>
  <c r="G1139" i="2"/>
  <c r="E1139" i="2"/>
  <c r="I1138" i="2"/>
  <c r="J1138" i="2" s="1"/>
  <c r="H1138" i="2"/>
  <c r="G1138" i="2"/>
  <c r="E1138" i="2"/>
  <c r="I1137" i="2"/>
  <c r="J1137" i="2" s="1"/>
  <c r="H1137" i="2"/>
  <c r="G1137" i="2"/>
  <c r="E1137" i="2"/>
  <c r="I1136" i="2"/>
  <c r="J1136" i="2" s="1"/>
  <c r="H1136" i="2"/>
  <c r="G1136" i="2"/>
  <c r="E1136" i="2"/>
  <c r="J1135" i="2"/>
  <c r="I1135" i="2"/>
  <c r="H1135" i="2"/>
  <c r="G1135" i="2"/>
  <c r="E1135" i="2"/>
  <c r="I1134" i="2"/>
  <c r="J1134" i="2" s="1"/>
  <c r="H1134" i="2"/>
  <c r="G1134" i="2"/>
  <c r="E1134" i="2"/>
  <c r="I1133" i="2"/>
  <c r="J1133" i="2" s="1"/>
  <c r="H1133" i="2"/>
  <c r="G1133" i="2"/>
  <c r="E1133" i="2"/>
  <c r="I1132" i="2"/>
  <c r="J1132" i="2" s="1"/>
  <c r="H1132" i="2"/>
  <c r="G1132" i="2"/>
  <c r="E1132" i="2"/>
  <c r="I1131" i="2"/>
  <c r="J1131" i="2" s="1"/>
  <c r="H1131" i="2"/>
  <c r="G1131" i="2"/>
  <c r="E1131" i="2"/>
  <c r="I1130" i="2"/>
  <c r="J1130" i="2" s="1"/>
  <c r="H1130" i="2"/>
  <c r="G1130" i="2"/>
  <c r="E1130" i="2"/>
  <c r="I1129" i="2"/>
  <c r="J1129" i="2" s="1"/>
  <c r="H1129" i="2"/>
  <c r="G1129" i="2"/>
  <c r="E1129" i="2"/>
  <c r="I1128" i="2"/>
  <c r="J1128" i="2" s="1"/>
  <c r="H1128" i="2"/>
  <c r="G1128" i="2"/>
  <c r="E1128" i="2"/>
  <c r="J1127" i="2"/>
  <c r="I1127" i="2"/>
  <c r="H1127" i="2"/>
  <c r="G1127" i="2"/>
  <c r="E1127" i="2"/>
  <c r="I1126" i="2"/>
  <c r="J1126" i="2" s="1"/>
  <c r="H1126" i="2"/>
  <c r="G1126" i="2"/>
  <c r="E1126" i="2"/>
  <c r="I1125" i="2"/>
  <c r="J1125" i="2" s="1"/>
  <c r="H1125" i="2"/>
  <c r="G1125" i="2"/>
  <c r="E1125" i="2"/>
  <c r="I1124" i="2"/>
  <c r="J1124" i="2" s="1"/>
  <c r="H1124" i="2"/>
  <c r="G1124" i="2"/>
  <c r="E1124" i="2"/>
  <c r="J1123" i="2"/>
  <c r="I1123" i="2"/>
  <c r="H1123" i="2"/>
  <c r="G1123" i="2"/>
  <c r="E1123" i="2"/>
  <c r="I1122" i="2"/>
  <c r="J1122" i="2" s="1"/>
  <c r="H1122" i="2"/>
  <c r="G1122" i="2"/>
  <c r="E1122" i="2"/>
  <c r="I1121" i="2"/>
  <c r="J1121" i="2" s="1"/>
  <c r="H1121" i="2"/>
  <c r="G1121" i="2"/>
  <c r="E1121" i="2"/>
  <c r="I1120" i="2"/>
  <c r="J1120" i="2" s="1"/>
  <c r="H1120" i="2"/>
  <c r="G1120" i="2"/>
  <c r="E1120" i="2"/>
  <c r="I1119" i="2"/>
  <c r="J1119" i="2" s="1"/>
  <c r="H1119" i="2"/>
  <c r="G1119" i="2"/>
  <c r="E1119" i="2"/>
  <c r="I1118" i="2"/>
  <c r="J1118" i="2" s="1"/>
  <c r="H1118" i="2"/>
  <c r="G1118" i="2"/>
  <c r="E1118" i="2"/>
  <c r="I1117" i="2"/>
  <c r="J1117" i="2" s="1"/>
  <c r="H1117" i="2"/>
  <c r="G1117" i="2"/>
  <c r="E1117" i="2"/>
  <c r="I1116" i="2"/>
  <c r="J1116" i="2" s="1"/>
  <c r="H1116" i="2"/>
  <c r="G1116" i="2"/>
  <c r="E1116" i="2"/>
  <c r="J1115" i="2"/>
  <c r="I1115" i="2"/>
  <c r="H1115" i="2"/>
  <c r="G1115" i="2"/>
  <c r="E1115" i="2"/>
  <c r="I1114" i="2"/>
  <c r="J1114" i="2" s="1"/>
  <c r="H1114" i="2"/>
  <c r="G1114" i="2"/>
  <c r="E1114" i="2"/>
  <c r="I1113" i="2"/>
  <c r="J1113" i="2" s="1"/>
  <c r="H1113" i="2"/>
  <c r="G1113" i="2"/>
  <c r="E1113" i="2"/>
  <c r="I1112" i="2"/>
  <c r="J1112" i="2" s="1"/>
  <c r="H1112" i="2"/>
  <c r="G1112" i="2"/>
  <c r="E1112" i="2"/>
  <c r="J1111" i="2"/>
  <c r="I1111" i="2"/>
  <c r="H1111" i="2"/>
  <c r="G1111" i="2"/>
  <c r="E1111" i="2"/>
  <c r="I1110" i="2"/>
  <c r="J1110" i="2" s="1"/>
  <c r="H1110" i="2"/>
  <c r="G1110" i="2"/>
  <c r="E1110" i="2"/>
  <c r="I1109" i="2"/>
  <c r="J1109" i="2" s="1"/>
  <c r="H1109" i="2"/>
  <c r="G1109" i="2"/>
  <c r="E1109" i="2"/>
  <c r="I1108" i="2"/>
  <c r="J1108" i="2" s="1"/>
  <c r="H1108" i="2"/>
  <c r="G1108" i="2"/>
  <c r="E1108" i="2"/>
  <c r="I1107" i="2"/>
  <c r="J1107" i="2" s="1"/>
  <c r="H1107" i="2"/>
  <c r="G1107" i="2"/>
  <c r="E1107" i="2"/>
  <c r="I1106" i="2"/>
  <c r="J1106" i="2" s="1"/>
  <c r="H1106" i="2"/>
  <c r="G1106" i="2"/>
  <c r="E1106" i="2"/>
  <c r="I1105" i="2"/>
  <c r="J1105" i="2" s="1"/>
  <c r="H1105" i="2"/>
  <c r="G1105" i="2"/>
  <c r="E1105" i="2"/>
  <c r="I1104" i="2"/>
  <c r="J1104" i="2" s="1"/>
  <c r="H1104" i="2"/>
  <c r="G1104" i="2"/>
  <c r="E1104" i="2"/>
  <c r="J1103" i="2"/>
  <c r="I1103" i="2"/>
  <c r="H1103" i="2"/>
  <c r="G1103" i="2"/>
  <c r="E1103" i="2"/>
  <c r="I1102" i="2"/>
  <c r="J1102" i="2" s="1"/>
  <c r="H1102" i="2"/>
  <c r="G1102" i="2"/>
  <c r="E1102" i="2"/>
  <c r="I1101" i="2"/>
  <c r="J1101" i="2" s="1"/>
  <c r="H1101" i="2"/>
  <c r="G1101" i="2"/>
  <c r="E1101" i="2"/>
  <c r="I1100" i="2"/>
  <c r="J1100" i="2" s="1"/>
  <c r="H1100" i="2"/>
  <c r="G1100" i="2"/>
  <c r="E1100" i="2"/>
  <c r="J1099" i="2"/>
  <c r="I1099" i="2"/>
  <c r="H1099" i="2"/>
  <c r="G1099" i="2"/>
  <c r="E1099" i="2"/>
  <c r="I1098" i="2"/>
  <c r="J1098" i="2" s="1"/>
  <c r="H1098" i="2"/>
  <c r="G1098" i="2"/>
  <c r="E1098" i="2"/>
  <c r="I1097" i="2"/>
  <c r="J1097" i="2" s="1"/>
  <c r="H1097" i="2"/>
  <c r="G1097" i="2"/>
  <c r="E1097" i="2"/>
  <c r="I1096" i="2"/>
  <c r="J1096" i="2" s="1"/>
  <c r="H1096" i="2"/>
  <c r="G1096" i="2"/>
  <c r="E1096" i="2"/>
  <c r="I1095" i="2"/>
  <c r="J1095" i="2" s="1"/>
  <c r="H1095" i="2"/>
  <c r="G1095" i="2"/>
  <c r="E1095" i="2"/>
  <c r="I1094" i="2"/>
  <c r="J1094" i="2" s="1"/>
  <c r="H1094" i="2"/>
  <c r="G1094" i="2"/>
  <c r="E1094" i="2"/>
  <c r="I1093" i="2"/>
  <c r="J1093" i="2" s="1"/>
  <c r="H1093" i="2"/>
  <c r="G1093" i="2"/>
  <c r="E1093" i="2"/>
  <c r="I1092" i="2"/>
  <c r="J1092" i="2" s="1"/>
  <c r="H1092" i="2"/>
  <c r="G1092" i="2"/>
  <c r="E1092" i="2"/>
  <c r="J1091" i="2"/>
  <c r="I1091" i="2"/>
  <c r="H1091" i="2"/>
  <c r="G1091" i="2"/>
  <c r="E1091" i="2"/>
  <c r="I1090" i="2"/>
  <c r="J1090" i="2" s="1"/>
  <c r="H1090" i="2"/>
  <c r="G1090" i="2"/>
  <c r="E1090" i="2"/>
  <c r="I1089" i="2"/>
  <c r="J1089" i="2" s="1"/>
  <c r="H1089" i="2"/>
  <c r="G1089" i="2"/>
  <c r="E1089" i="2"/>
  <c r="I1088" i="2"/>
  <c r="J1088" i="2" s="1"/>
  <c r="H1088" i="2"/>
  <c r="G1088" i="2"/>
  <c r="E1088" i="2"/>
  <c r="J1087" i="2"/>
  <c r="I1087" i="2"/>
  <c r="H1087" i="2"/>
  <c r="G1087" i="2"/>
  <c r="E1087" i="2"/>
  <c r="I1086" i="2"/>
  <c r="J1086" i="2" s="1"/>
  <c r="H1086" i="2"/>
  <c r="G1086" i="2"/>
  <c r="E1086" i="2"/>
  <c r="I1085" i="2"/>
  <c r="J1085" i="2" s="1"/>
  <c r="H1085" i="2"/>
  <c r="G1085" i="2"/>
  <c r="E1085" i="2"/>
  <c r="I1084" i="2"/>
  <c r="J1084" i="2" s="1"/>
  <c r="H1084" i="2"/>
  <c r="G1084" i="2"/>
  <c r="E1084" i="2"/>
  <c r="I1083" i="2"/>
  <c r="J1083" i="2" s="1"/>
  <c r="H1083" i="2"/>
  <c r="G1083" i="2"/>
  <c r="E1083" i="2"/>
  <c r="I1082" i="2"/>
  <c r="J1082" i="2" s="1"/>
  <c r="H1082" i="2"/>
  <c r="G1082" i="2"/>
  <c r="E1082" i="2"/>
  <c r="I1081" i="2"/>
  <c r="J1081" i="2" s="1"/>
  <c r="H1081" i="2"/>
  <c r="G1081" i="2"/>
  <c r="E1081" i="2"/>
  <c r="I1080" i="2"/>
  <c r="J1080" i="2" s="1"/>
  <c r="H1080" i="2"/>
  <c r="G1080" i="2"/>
  <c r="E1080" i="2"/>
  <c r="J1079" i="2"/>
  <c r="I1079" i="2"/>
  <c r="H1079" i="2"/>
  <c r="G1079" i="2"/>
  <c r="E1079" i="2"/>
  <c r="I1078" i="2"/>
  <c r="J1078" i="2" s="1"/>
  <c r="H1078" i="2"/>
  <c r="G1078" i="2"/>
  <c r="E1078" i="2"/>
  <c r="I1077" i="2"/>
  <c r="J1077" i="2" s="1"/>
  <c r="H1077" i="2"/>
  <c r="G1077" i="2"/>
  <c r="E1077" i="2"/>
  <c r="I1076" i="2"/>
  <c r="J1076" i="2" s="1"/>
  <c r="H1076" i="2"/>
  <c r="G1076" i="2"/>
  <c r="E1076" i="2"/>
  <c r="J1075" i="2"/>
  <c r="I1075" i="2"/>
  <c r="H1075" i="2"/>
  <c r="G1075" i="2"/>
  <c r="E1075" i="2"/>
  <c r="I1074" i="2"/>
  <c r="J1074" i="2" s="1"/>
  <c r="H1074" i="2"/>
  <c r="G1074" i="2"/>
  <c r="E1074" i="2"/>
  <c r="I1073" i="2"/>
  <c r="J1073" i="2" s="1"/>
  <c r="H1073" i="2"/>
  <c r="G1073" i="2"/>
  <c r="E1073" i="2"/>
  <c r="I1072" i="2"/>
  <c r="J1072" i="2" s="1"/>
  <c r="H1072" i="2"/>
  <c r="G1072" i="2"/>
  <c r="E1072" i="2"/>
  <c r="I1071" i="2"/>
  <c r="J1071" i="2" s="1"/>
  <c r="H1071" i="2"/>
  <c r="G1071" i="2"/>
  <c r="E1071" i="2"/>
  <c r="I1070" i="2"/>
  <c r="J1070" i="2" s="1"/>
  <c r="H1070" i="2"/>
  <c r="G1070" i="2"/>
  <c r="E1070" i="2"/>
  <c r="I1069" i="2"/>
  <c r="J1069" i="2" s="1"/>
  <c r="H1069" i="2"/>
  <c r="G1069" i="2"/>
  <c r="E1069" i="2"/>
  <c r="I1068" i="2"/>
  <c r="J1068" i="2" s="1"/>
  <c r="H1068" i="2"/>
  <c r="G1068" i="2"/>
  <c r="E1068" i="2"/>
  <c r="J1067" i="2"/>
  <c r="I1067" i="2"/>
  <c r="H1067" i="2"/>
  <c r="G1067" i="2"/>
  <c r="E1067" i="2"/>
  <c r="I1066" i="2"/>
  <c r="J1066" i="2" s="1"/>
  <c r="H1066" i="2"/>
  <c r="G1066" i="2"/>
  <c r="E1066" i="2"/>
  <c r="I1065" i="2"/>
  <c r="J1065" i="2" s="1"/>
  <c r="H1065" i="2"/>
  <c r="G1065" i="2"/>
  <c r="E1065" i="2"/>
  <c r="I1064" i="2"/>
  <c r="J1064" i="2" s="1"/>
  <c r="H1064" i="2"/>
  <c r="G1064" i="2"/>
  <c r="E1064" i="2"/>
  <c r="J1063" i="2"/>
  <c r="I1063" i="2"/>
  <c r="H1063" i="2"/>
  <c r="G1063" i="2"/>
  <c r="E1063" i="2"/>
  <c r="I1062" i="2"/>
  <c r="J1062" i="2" s="1"/>
  <c r="H1062" i="2"/>
  <c r="G1062" i="2"/>
  <c r="E1062" i="2"/>
  <c r="I1061" i="2"/>
  <c r="J1061" i="2" s="1"/>
  <c r="H1061" i="2"/>
  <c r="G1061" i="2"/>
  <c r="E1061" i="2"/>
  <c r="I1060" i="2"/>
  <c r="J1060" i="2" s="1"/>
  <c r="H1060" i="2"/>
  <c r="G1060" i="2"/>
  <c r="E1060" i="2"/>
  <c r="I1059" i="2"/>
  <c r="J1059" i="2" s="1"/>
  <c r="H1059" i="2"/>
  <c r="G1059" i="2"/>
  <c r="E1059" i="2"/>
  <c r="I1058" i="2"/>
  <c r="J1058" i="2" s="1"/>
  <c r="H1058" i="2"/>
  <c r="G1058" i="2"/>
  <c r="E1058" i="2"/>
  <c r="I1057" i="2"/>
  <c r="J1057" i="2" s="1"/>
  <c r="H1057" i="2"/>
  <c r="G1057" i="2"/>
  <c r="E1057" i="2"/>
  <c r="I1056" i="2"/>
  <c r="J1056" i="2" s="1"/>
  <c r="H1056" i="2"/>
  <c r="G1056" i="2"/>
  <c r="E1056" i="2"/>
  <c r="J1055" i="2"/>
  <c r="I1055" i="2"/>
  <c r="H1055" i="2"/>
  <c r="G1055" i="2"/>
  <c r="E1055" i="2"/>
  <c r="I1054" i="2"/>
  <c r="J1054" i="2" s="1"/>
  <c r="H1054" i="2"/>
  <c r="G1054" i="2"/>
  <c r="E1054" i="2"/>
  <c r="I1053" i="2"/>
  <c r="J1053" i="2" s="1"/>
  <c r="H1053" i="2"/>
  <c r="G1053" i="2"/>
  <c r="E1053" i="2"/>
  <c r="I1052" i="2"/>
  <c r="J1052" i="2" s="1"/>
  <c r="H1052" i="2"/>
  <c r="G1052" i="2"/>
  <c r="E1052" i="2"/>
  <c r="J1051" i="2"/>
  <c r="I1051" i="2"/>
  <c r="H1051" i="2"/>
  <c r="G1051" i="2"/>
  <c r="E1051" i="2"/>
  <c r="I1050" i="2"/>
  <c r="J1050" i="2" s="1"/>
  <c r="H1050" i="2"/>
  <c r="G1050" i="2"/>
  <c r="E1050" i="2"/>
  <c r="I1049" i="2"/>
  <c r="J1049" i="2" s="1"/>
  <c r="H1049" i="2"/>
  <c r="G1049" i="2"/>
  <c r="E1049" i="2"/>
  <c r="I1048" i="2"/>
  <c r="J1048" i="2" s="1"/>
  <c r="H1048" i="2"/>
  <c r="G1048" i="2"/>
  <c r="E1048" i="2"/>
  <c r="I1047" i="2"/>
  <c r="J1047" i="2" s="1"/>
  <c r="H1047" i="2"/>
  <c r="G1047" i="2"/>
  <c r="E1047" i="2"/>
  <c r="I1046" i="2"/>
  <c r="J1046" i="2" s="1"/>
  <c r="H1046" i="2"/>
  <c r="G1046" i="2"/>
  <c r="E1046" i="2"/>
  <c r="I1045" i="2"/>
  <c r="J1045" i="2" s="1"/>
  <c r="H1045" i="2"/>
  <c r="G1045" i="2"/>
  <c r="E1045" i="2"/>
  <c r="I1044" i="2"/>
  <c r="J1044" i="2" s="1"/>
  <c r="H1044" i="2"/>
  <c r="G1044" i="2"/>
  <c r="E1044" i="2"/>
  <c r="J1043" i="2"/>
  <c r="I1043" i="2"/>
  <c r="H1043" i="2"/>
  <c r="G1043" i="2"/>
  <c r="E1043" i="2"/>
  <c r="I1042" i="2"/>
  <c r="J1042" i="2" s="1"/>
  <c r="H1042" i="2"/>
  <c r="G1042" i="2"/>
  <c r="E1042" i="2"/>
  <c r="I1041" i="2"/>
  <c r="J1041" i="2" s="1"/>
  <c r="H1041" i="2"/>
  <c r="G1041" i="2"/>
  <c r="E1041" i="2"/>
  <c r="I1040" i="2"/>
  <c r="J1040" i="2" s="1"/>
  <c r="H1040" i="2"/>
  <c r="G1040" i="2"/>
  <c r="E1040" i="2"/>
  <c r="J1039" i="2"/>
  <c r="I1039" i="2"/>
  <c r="H1039" i="2"/>
  <c r="G1039" i="2"/>
  <c r="E1039" i="2"/>
  <c r="I1038" i="2"/>
  <c r="J1038" i="2" s="1"/>
  <c r="H1038" i="2"/>
  <c r="G1038" i="2"/>
  <c r="E1038" i="2"/>
  <c r="I1037" i="2"/>
  <c r="J1037" i="2" s="1"/>
  <c r="H1037" i="2"/>
  <c r="G1037" i="2"/>
  <c r="E1037" i="2"/>
  <c r="I1036" i="2"/>
  <c r="J1036" i="2" s="1"/>
  <c r="H1036" i="2"/>
  <c r="G1036" i="2"/>
  <c r="E1036" i="2"/>
  <c r="I1035" i="2"/>
  <c r="J1035" i="2" s="1"/>
  <c r="H1035" i="2"/>
  <c r="G1035" i="2"/>
  <c r="E1035" i="2"/>
  <c r="I1034" i="2"/>
  <c r="J1034" i="2" s="1"/>
  <c r="H1034" i="2"/>
  <c r="G1034" i="2"/>
  <c r="E1034" i="2"/>
  <c r="I1033" i="2"/>
  <c r="J1033" i="2" s="1"/>
  <c r="H1033" i="2"/>
  <c r="G1033" i="2"/>
  <c r="E1033" i="2"/>
  <c r="I1032" i="2"/>
  <c r="J1032" i="2" s="1"/>
  <c r="H1032" i="2"/>
  <c r="G1032" i="2"/>
  <c r="E1032" i="2"/>
  <c r="J1031" i="2"/>
  <c r="I1031" i="2"/>
  <c r="H1031" i="2"/>
  <c r="G1031" i="2"/>
  <c r="E1031" i="2"/>
  <c r="I1030" i="2"/>
  <c r="J1030" i="2" s="1"/>
  <c r="H1030" i="2"/>
  <c r="G1030" i="2"/>
  <c r="E1030" i="2"/>
  <c r="I1029" i="2"/>
  <c r="J1029" i="2" s="1"/>
  <c r="H1029" i="2"/>
  <c r="G1029" i="2"/>
  <c r="E1029" i="2"/>
  <c r="I1028" i="2"/>
  <c r="J1028" i="2" s="1"/>
  <c r="H1028" i="2"/>
  <c r="G1028" i="2"/>
  <c r="E1028" i="2"/>
  <c r="J1027" i="2"/>
  <c r="I1027" i="2"/>
  <c r="H1027" i="2"/>
  <c r="G1027" i="2"/>
  <c r="E1027" i="2"/>
  <c r="I1026" i="2"/>
  <c r="J1026" i="2" s="1"/>
  <c r="H1026" i="2"/>
  <c r="G1026" i="2"/>
  <c r="E1026" i="2"/>
  <c r="I1025" i="2"/>
  <c r="J1025" i="2" s="1"/>
  <c r="H1025" i="2"/>
  <c r="G1025" i="2"/>
  <c r="E1025" i="2"/>
  <c r="I1024" i="2"/>
  <c r="J1024" i="2" s="1"/>
  <c r="H1024" i="2"/>
  <c r="G1024" i="2"/>
  <c r="E1024" i="2"/>
  <c r="I1023" i="2"/>
  <c r="J1023" i="2" s="1"/>
  <c r="H1023" i="2"/>
  <c r="G1023" i="2"/>
  <c r="E1023" i="2"/>
  <c r="I1022" i="2"/>
  <c r="J1022" i="2" s="1"/>
  <c r="H1022" i="2"/>
  <c r="G1022" i="2"/>
  <c r="E1022" i="2"/>
  <c r="I1021" i="2"/>
  <c r="J1021" i="2" s="1"/>
  <c r="H1021" i="2"/>
  <c r="G1021" i="2"/>
  <c r="E1021" i="2"/>
  <c r="I1020" i="2"/>
  <c r="J1020" i="2" s="1"/>
  <c r="H1020" i="2"/>
  <c r="G1020" i="2"/>
  <c r="E1020" i="2"/>
  <c r="J1019" i="2"/>
  <c r="I1019" i="2"/>
  <c r="H1019" i="2"/>
  <c r="G1019" i="2"/>
  <c r="E1019" i="2"/>
  <c r="I1018" i="2"/>
  <c r="J1018" i="2" s="1"/>
  <c r="H1018" i="2"/>
  <c r="G1018" i="2"/>
  <c r="E1018" i="2"/>
  <c r="I1017" i="2"/>
  <c r="J1017" i="2" s="1"/>
  <c r="H1017" i="2"/>
  <c r="G1017" i="2"/>
  <c r="E1017" i="2"/>
  <c r="I1016" i="2"/>
  <c r="J1016" i="2" s="1"/>
  <c r="H1016" i="2"/>
  <c r="G1016" i="2"/>
  <c r="E1016" i="2"/>
  <c r="J1015" i="2"/>
  <c r="I1015" i="2"/>
  <c r="H1015" i="2"/>
  <c r="G1015" i="2"/>
  <c r="E1015" i="2"/>
  <c r="I1014" i="2"/>
  <c r="J1014" i="2" s="1"/>
  <c r="H1014" i="2"/>
  <c r="G1014" i="2"/>
  <c r="E1014" i="2"/>
  <c r="I1013" i="2"/>
  <c r="J1013" i="2" s="1"/>
  <c r="H1013" i="2"/>
  <c r="G1013" i="2"/>
  <c r="E1013" i="2"/>
  <c r="I1012" i="2"/>
  <c r="J1012" i="2" s="1"/>
  <c r="H1012" i="2"/>
  <c r="G1012" i="2"/>
  <c r="E1012" i="2"/>
  <c r="I1011" i="2"/>
  <c r="J1011" i="2" s="1"/>
  <c r="H1011" i="2"/>
  <c r="G1011" i="2"/>
  <c r="E1011" i="2"/>
  <c r="I1010" i="2"/>
  <c r="J1010" i="2" s="1"/>
  <c r="H1010" i="2"/>
  <c r="G1010" i="2"/>
  <c r="E1010" i="2"/>
  <c r="I1009" i="2"/>
  <c r="J1009" i="2" s="1"/>
  <c r="H1009" i="2"/>
  <c r="G1009" i="2"/>
  <c r="E1009" i="2"/>
  <c r="J1008" i="2"/>
  <c r="I1008" i="2"/>
  <c r="H1008" i="2"/>
  <c r="G1008" i="2"/>
  <c r="E1008" i="2"/>
  <c r="J1007" i="2"/>
  <c r="I1007" i="2"/>
  <c r="H1007" i="2"/>
  <c r="G1007" i="2"/>
  <c r="E1007" i="2"/>
  <c r="I1006" i="2"/>
  <c r="J1006" i="2" s="1"/>
  <c r="H1006" i="2"/>
  <c r="G1006" i="2"/>
  <c r="E1006" i="2"/>
  <c r="I1005" i="2"/>
  <c r="J1005" i="2" s="1"/>
  <c r="H1005" i="2"/>
  <c r="G1005" i="2"/>
  <c r="E1005" i="2"/>
  <c r="J1004" i="2"/>
  <c r="I1004" i="2"/>
  <c r="H1004" i="2"/>
  <c r="G1004" i="2"/>
  <c r="E1004" i="2"/>
  <c r="J1003" i="2"/>
  <c r="I1003" i="2"/>
  <c r="H1003" i="2"/>
  <c r="G1003" i="2"/>
  <c r="E1003" i="2"/>
  <c r="I1002" i="2"/>
  <c r="J1002" i="2" s="1"/>
  <c r="H1002" i="2"/>
  <c r="G1002" i="2"/>
  <c r="E1002" i="2"/>
  <c r="J1001" i="2"/>
  <c r="I1001" i="2"/>
  <c r="H1001" i="2"/>
  <c r="G1001" i="2"/>
  <c r="E1001" i="2"/>
  <c r="I1000" i="2"/>
  <c r="J1000" i="2" s="1"/>
  <c r="H1000" i="2"/>
  <c r="G1000" i="2"/>
  <c r="E1000" i="2"/>
  <c r="I999" i="2"/>
  <c r="J999" i="2" s="1"/>
  <c r="H999" i="2"/>
  <c r="G999" i="2"/>
  <c r="E999" i="2"/>
  <c r="I998" i="2"/>
  <c r="J998" i="2" s="1"/>
  <c r="H998" i="2"/>
  <c r="G998" i="2"/>
  <c r="E998" i="2"/>
  <c r="J997" i="2"/>
  <c r="I997" i="2"/>
  <c r="H997" i="2"/>
  <c r="G997" i="2"/>
  <c r="E997" i="2"/>
  <c r="I996" i="2"/>
  <c r="J996" i="2" s="1"/>
  <c r="H996" i="2"/>
  <c r="G996" i="2"/>
  <c r="E996" i="2"/>
  <c r="I995" i="2"/>
  <c r="J995" i="2" s="1"/>
  <c r="H995" i="2"/>
  <c r="G995" i="2"/>
  <c r="E995" i="2"/>
  <c r="I994" i="2"/>
  <c r="J994" i="2" s="1"/>
  <c r="H994" i="2"/>
  <c r="G994" i="2"/>
  <c r="E994" i="2"/>
  <c r="I993" i="2"/>
  <c r="J993" i="2" s="1"/>
  <c r="H993" i="2"/>
  <c r="G993" i="2"/>
  <c r="E993" i="2"/>
  <c r="J992" i="2"/>
  <c r="I992" i="2"/>
  <c r="H992" i="2"/>
  <c r="G992" i="2"/>
  <c r="E992" i="2"/>
  <c r="I991" i="2"/>
  <c r="J991" i="2" s="1"/>
  <c r="H991" i="2"/>
  <c r="G991" i="2"/>
  <c r="E991" i="2"/>
  <c r="J990" i="2"/>
  <c r="I990" i="2"/>
  <c r="H990" i="2"/>
  <c r="G990" i="2"/>
  <c r="E990" i="2"/>
  <c r="I989" i="2"/>
  <c r="J989" i="2" s="1"/>
  <c r="H989" i="2"/>
  <c r="G989" i="2"/>
  <c r="E989" i="2"/>
  <c r="I988" i="2"/>
  <c r="J988" i="2" s="1"/>
  <c r="H988" i="2"/>
  <c r="G988" i="2"/>
  <c r="E988" i="2"/>
  <c r="I987" i="2"/>
  <c r="J987" i="2" s="1"/>
  <c r="H987" i="2"/>
  <c r="G987" i="2"/>
  <c r="E987" i="2"/>
  <c r="J986" i="2"/>
  <c r="I986" i="2"/>
  <c r="H986" i="2"/>
  <c r="G986" i="2"/>
  <c r="E986" i="2"/>
  <c r="I985" i="2"/>
  <c r="J985" i="2" s="1"/>
  <c r="H985" i="2"/>
  <c r="G985" i="2"/>
  <c r="E985" i="2"/>
  <c r="J984" i="2"/>
  <c r="I984" i="2"/>
  <c r="H984" i="2"/>
  <c r="G984" i="2"/>
  <c r="E984" i="2"/>
  <c r="I983" i="2"/>
  <c r="J983" i="2" s="1"/>
  <c r="H983" i="2"/>
  <c r="G983" i="2"/>
  <c r="E983" i="2"/>
  <c r="I982" i="2"/>
  <c r="J982" i="2" s="1"/>
  <c r="H982" i="2"/>
  <c r="G982" i="2"/>
  <c r="E982" i="2"/>
  <c r="I981" i="2"/>
  <c r="J981" i="2" s="1"/>
  <c r="H981" i="2"/>
  <c r="G981" i="2"/>
  <c r="E981" i="2"/>
  <c r="J980" i="2"/>
  <c r="I980" i="2"/>
  <c r="H980" i="2"/>
  <c r="G980" i="2"/>
  <c r="E980" i="2"/>
  <c r="J979" i="2"/>
  <c r="I979" i="2"/>
  <c r="H979" i="2"/>
  <c r="G979" i="2"/>
  <c r="E979" i="2"/>
  <c r="I978" i="2"/>
  <c r="J978" i="2" s="1"/>
  <c r="H978" i="2"/>
  <c r="G978" i="2"/>
  <c r="E978" i="2"/>
  <c r="J977" i="2"/>
  <c r="I977" i="2"/>
  <c r="H977" i="2"/>
  <c r="G977" i="2"/>
  <c r="E977" i="2"/>
  <c r="I976" i="2"/>
  <c r="J976" i="2" s="1"/>
  <c r="H976" i="2"/>
  <c r="G976" i="2"/>
  <c r="E976" i="2"/>
  <c r="I975" i="2"/>
  <c r="J975" i="2" s="1"/>
  <c r="H975" i="2"/>
  <c r="G975" i="2"/>
  <c r="E975" i="2"/>
  <c r="I974" i="2"/>
  <c r="J974" i="2" s="1"/>
  <c r="H974" i="2"/>
  <c r="G974" i="2"/>
  <c r="E974" i="2"/>
  <c r="I973" i="2"/>
  <c r="J973" i="2" s="1"/>
  <c r="H973" i="2"/>
  <c r="G973" i="2"/>
  <c r="E973" i="2"/>
  <c r="J972" i="2"/>
  <c r="I972" i="2"/>
  <c r="H972" i="2"/>
  <c r="G972" i="2"/>
  <c r="E972" i="2"/>
  <c r="I971" i="2"/>
  <c r="J971" i="2" s="1"/>
  <c r="H971" i="2"/>
  <c r="G971" i="2"/>
  <c r="E971" i="2"/>
  <c r="I970" i="2"/>
  <c r="J970" i="2" s="1"/>
  <c r="H970" i="2"/>
  <c r="G970" i="2"/>
  <c r="E970" i="2"/>
  <c r="I969" i="2"/>
  <c r="J969" i="2" s="1"/>
  <c r="H969" i="2"/>
  <c r="G969" i="2"/>
  <c r="E969" i="2"/>
  <c r="J968" i="2"/>
  <c r="I968" i="2"/>
  <c r="H968" i="2"/>
  <c r="G968" i="2"/>
  <c r="E968" i="2"/>
  <c r="I967" i="2"/>
  <c r="J967" i="2" s="1"/>
  <c r="H967" i="2"/>
  <c r="G967" i="2"/>
  <c r="E967" i="2"/>
  <c r="I966" i="2"/>
  <c r="J966" i="2" s="1"/>
  <c r="H966" i="2"/>
  <c r="G966" i="2"/>
  <c r="E966" i="2"/>
  <c r="I965" i="2"/>
  <c r="J965" i="2" s="1"/>
  <c r="H965" i="2"/>
  <c r="G965" i="2"/>
  <c r="E965" i="2"/>
  <c r="I964" i="2"/>
  <c r="J964" i="2" s="1"/>
  <c r="H964" i="2"/>
  <c r="G964" i="2"/>
  <c r="E964" i="2"/>
  <c r="I963" i="2"/>
  <c r="J963" i="2" s="1"/>
  <c r="H963" i="2"/>
  <c r="G963" i="2"/>
  <c r="E963" i="2"/>
  <c r="I962" i="2"/>
  <c r="J962" i="2" s="1"/>
  <c r="H962" i="2"/>
  <c r="G962" i="2"/>
  <c r="E962" i="2"/>
  <c r="I961" i="2"/>
  <c r="J961" i="2" s="1"/>
  <c r="H961" i="2"/>
  <c r="G961" i="2"/>
  <c r="E961" i="2"/>
  <c r="J960" i="2"/>
  <c r="I960" i="2"/>
  <c r="H960" i="2"/>
  <c r="G960" i="2"/>
  <c r="E960" i="2"/>
  <c r="I959" i="2"/>
  <c r="J959" i="2" s="1"/>
  <c r="H959" i="2"/>
  <c r="G959" i="2"/>
  <c r="E959" i="2"/>
  <c r="I958" i="2"/>
  <c r="J958" i="2" s="1"/>
  <c r="H958" i="2"/>
  <c r="G958" i="2"/>
  <c r="E958" i="2"/>
  <c r="I957" i="2"/>
  <c r="J957" i="2" s="1"/>
  <c r="H957" i="2"/>
  <c r="G957" i="2"/>
  <c r="E957" i="2"/>
  <c r="J956" i="2"/>
  <c r="I956" i="2"/>
  <c r="H956" i="2"/>
  <c r="G956" i="2"/>
  <c r="E956" i="2"/>
  <c r="I955" i="2"/>
  <c r="J955" i="2" s="1"/>
  <c r="H955" i="2"/>
  <c r="G955" i="2"/>
  <c r="E955" i="2"/>
  <c r="I954" i="2"/>
  <c r="J954" i="2" s="1"/>
  <c r="H954" i="2"/>
  <c r="G954" i="2"/>
  <c r="E954" i="2"/>
  <c r="I953" i="2"/>
  <c r="J953" i="2" s="1"/>
  <c r="H953" i="2"/>
  <c r="G953" i="2"/>
  <c r="E953" i="2"/>
  <c r="I952" i="2"/>
  <c r="J952" i="2" s="1"/>
  <c r="H952" i="2"/>
  <c r="G952" i="2"/>
  <c r="E952" i="2"/>
  <c r="J951" i="2"/>
  <c r="I951" i="2"/>
  <c r="H951" i="2"/>
  <c r="G951" i="2"/>
  <c r="E951" i="2"/>
  <c r="I950" i="2"/>
  <c r="J950" i="2" s="1"/>
  <c r="H950" i="2"/>
  <c r="G950" i="2"/>
  <c r="E950" i="2"/>
  <c r="I949" i="2"/>
  <c r="J949" i="2" s="1"/>
  <c r="H949" i="2"/>
  <c r="G949" i="2"/>
  <c r="E949" i="2"/>
  <c r="J948" i="2"/>
  <c r="I948" i="2"/>
  <c r="H948" i="2"/>
  <c r="G948" i="2"/>
  <c r="E948" i="2"/>
  <c r="I947" i="2"/>
  <c r="J947" i="2" s="1"/>
  <c r="H947" i="2"/>
  <c r="G947" i="2"/>
  <c r="E947" i="2"/>
  <c r="I946" i="2"/>
  <c r="J946" i="2" s="1"/>
  <c r="H946" i="2"/>
  <c r="G946" i="2"/>
  <c r="E946" i="2"/>
  <c r="I945" i="2"/>
  <c r="J945" i="2" s="1"/>
  <c r="H945" i="2"/>
  <c r="G945" i="2"/>
  <c r="E945" i="2"/>
  <c r="J944" i="2"/>
  <c r="I944" i="2"/>
  <c r="H944" i="2"/>
  <c r="G944" i="2"/>
  <c r="E944" i="2"/>
  <c r="I943" i="2"/>
  <c r="J943" i="2" s="1"/>
  <c r="H943" i="2"/>
  <c r="G943" i="2"/>
  <c r="E943" i="2"/>
  <c r="I942" i="2"/>
  <c r="J942" i="2" s="1"/>
  <c r="H942" i="2"/>
  <c r="G942" i="2"/>
  <c r="E942" i="2"/>
  <c r="I941" i="2"/>
  <c r="J941" i="2" s="1"/>
  <c r="H941" i="2"/>
  <c r="G941" i="2"/>
  <c r="E941" i="2"/>
  <c r="I940" i="2"/>
  <c r="J940" i="2" s="1"/>
  <c r="H940" i="2"/>
  <c r="G940" i="2"/>
  <c r="E940" i="2"/>
  <c r="I939" i="2"/>
  <c r="J939" i="2" s="1"/>
  <c r="H939" i="2"/>
  <c r="G939" i="2"/>
  <c r="E939" i="2"/>
  <c r="I938" i="2"/>
  <c r="J938" i="2" s="1"/>
  <c r="H938" i="2"/>
  <c r="G938" i="2"/>
  <c r="E938" i="2"/>
  <c r="I937" i="2"/>
  <c r="J937" i="2" s="1"/>
  <c r="H937" i="2"/>
  <c r="G937" i="2"/>
  <c r="E937" i="2"/>
  <c r="J936" i="2"/>
  <c r="I936" i="2"/>
  <c r="H936" i="2"/>
  <c r="G936" i="2"/>
  <c r="E936" i="2"/>
  <c r="I935" i="2"/>
  <c r="J935" i="2" s="1"/>
  <c r="H935" i="2"/>
  <c r="G935" i="2"/>
  <c r="E935" i="2"/>
  <c r="I934" i="2"/>
  <c r="J934" i="2" s="1"/>
  <c r="H934" i="2"/>
  <c r="G934" i="2"/>
  <c r="E934" i="2"/>
  <c r="I933" i="2"/>
  <c r="J933" i="2" s="1"/>
  <c r="H933" i="2"/>
  <c r="G933" i="2"/>
  <c r="E933" i="2"/>
  <c r="J932" i="2"/>
  <c r="I932" i="2"/>
  <c r="H932" i="2"/>
  <c r="G932" i="2"/>
  <c r="E932" i="2"/>
  <c r="I931" i="2"/>
  <c r="J931" i="2" s="1"/>
  <c r="H931" i="2"/>
  <c r="G931" i="2"/>
  <c r="E931" i="2"/>
  <c r="I930" i="2"/>
  <c r="J930" i="2" s="1"/>
  <c r="H930" i="2"/>
  <c r="G930" i="2"/>
  <c r="E930" i="2"/>
  <c r="I929" i="2"/>
  <c r="J929" i="2" s="1"/>
  <c r="H929" i="2"/>
  <c r="G929" i="2"/>
  <c r="E929" i="2"/>
  <c r="I928" i="2"/>
  <c r="J928" i="2" s="1"/>
  <c r="H928" i="2"/>
  <c r="G928" i="2"/>
  <c r="E928" i="2"/>
  <c r="J927" i="2"/>
  <c r="I927" i="2"/>
  <c r="H927" i="2"/>
  <c r="G927" i="2"/>
  <c r="E927" i="2"/>
  <c r="I926" i="2"/>
  <c r="J926" i="2" s="1"/>
  <c r="H926" i="2"/>
  <c r="G926" i="2"/>
  <c r="E926" i="2"/>
  <c r="I925" i="2"/>
  <c r="J925" i="2" s="1"/>
  <c r="H925" i="2"/>
  <c r="G925" i="2"/>
  <c r="E925" i="2"/>
  <c r="J924" i="2"/>
  <c r="I924" i="2"/>
  <c r="H924" i="2"/>
  <c r="G924" i="2"/>
  <c r="E924" i="2"/>
  <c r="I923" i="2"/>
  <c r="J923" i="2" s="1"/>
  <c r="H923" i="2"/>
  <c r="G923" i="2"/>
  <c r="E923" i="2"/>
  <c r="I922" i="2"/>
  <c r="J922" i="2" s="1"/>
  <c r="H922" i="2"/>
  <c r="G922" i="2"/>
  <c r="E922" i="2"/>
  <c r="I921" i="2"/>
  <c r="J921" i="2" s="1"/>
  <c r="H921" i="2"/>
  <c r="G921" i="2"/>
  <c r="E921" i="2"/>
  <c r="J920" i="2"/>
  <c r="I920" i="2"/>
  <c r="H920" i="2"/>
  <c r="G920" i="2"/>
  <c r="E920" i="2"/>
  <c r="I919" i="2"/>
  <c r="J919" i="2" s="1"/>
  <c r="H919" i="2"/>
  <c r="G919" i="2"/>
  <c r="E919" i="2"/>
  <c r="I918" i="2"/>
  <c r="J918" i="2" s="1"/>
  <c r="H918" i="2"/>
  <c r="G918" i="2"/>
  <c r="E918" i="2"/>
  <c r="I917" i="2"/>
  <c r="J917" i="2" s="1"/>
  <c r="H917" i="2"/>
  <c r="G917" i="2"/>
  <c r="E917" i="2"/>
  <c r="I916" i="2"/>
  <c r="J916" i="2" s="1"/>
  <c r="H916" i="2"/>
  <c r="G916" i="2"/>
  <c r="E916" i="2"/>
  <c r="I915" i="2"/>
  <c r="J915" i="2" s="1"/>
  <c r="H915" i="2"/>
  <c r="G915" i="2"/>
  <c r="E915" i="2"/>
  <c r="I914" i="2"/>
  <c r="J914" i="2" s="1"/>
  <c r="H914" i="2"/>
  <c r="G914" i="2"/>
  <c r="E914" i="2"/>
  <c r="I913" i="2"/>
  <c r="J913" i="2" s="1"/>
  <c r="H913" i="2"/>
  <c r="G913" i="2"/>
  <c r="E913" i="2"/>
  <c r="J912" i="2"/>
  <c r="I912" i="2"/>
  <c r="H912" i="2"/>
  <c r="G912" i="2"/>
  <c r="E912" i="2"/>
  <c r="I911" i="2"/>
  <c r="J911" i="2" s="1"/>
  <c r="H911" i="2"/>
  <c r="G911" i="2"/>
  <c r="E911" i="2"/>
  <c r="I910" i="2"/>
  <c r="J910" i="2" s="1"/>
  <c r="H910" i="2"/>
  <c r="G910" i="2"/>
  <c r="E910" i="2"/>
  <c r="I909" i="2"/>
  <c r="J909" i="2" s="1"/>
  <c r="H909" i="2"/>
  <c r="G909" i="2"/>
  <c r="E909" i="2"/>
  <c r="J908" i="2"/>
  <c r="I908" i="2"/>
  <c r="H908" i="2"/>
  <c r="G908" i="2"/>
  <c r="E908" i="2"/>
  <c r="I907" i="2"/>
  <c r="J907" i="2" s="1"/>
  <c r="H907" i="2"/>
  <c r="G907" i="2"/>
  <c r="E907" i="2"/>
  <c r="I906" i="2"/>
  <c r="J906" i="2" s="1"/>
  <c r="H906" i="2"/>
  <c r="G906" i="2"/>
  <c r="E906" i="2"/>
  <c r="I905" i="2"/>
  <c r="J905" i="2" s="1"/>
  <c r="H905" i="2"/>
  <c r="G905" i="2"/>
  <c r="E905" i="2"/>
  <c r="I904" i="2"/>
  <c r="J904" i="2" s="1"/>
  <c r="H904" i="2"/>
  <c r="G904" i="2"/>
  <c r="E904" i="2"/>
  <c r="J903" i="2"/>
  <c r="I903" i="2"/>
  <c r="H903" i="2"/>
  <c r="G903" i="2"/>
  <c r="E903" i="2"/>
  <c r="I902" i="2"/>
  <c r="J902" i="2" s="1"/>
  <c r="H902" i="2"/>
  <c r="G902" i="2"/>
  <c r="E902" i="2"/>
  <c r="I901" i="2"/>
  <c r="J901" i="2" s="1"/>
  <c r="H901" i="2"/>
  <c r="G901" i="2"/>
  <c r="E901" i="2"/>
  <c r="J900" i="2"/>
  <c r="I900" i="2"/>
  <c r="H900" i="2"/>
  <c r="G900" i="2"/>
  <c r="E900" i="2"/>
  <c r="I899" i="2"/>
  <c r="J899" i="2" s="1"/>
  <c r="H899" i="2"/>
  <c r="G899" i="2"/>
  <c r="E899" i="2"/>
  <c r="I898" i="2"/>
  <c r="J898" i="2" s="1"/>
  <c r="H898" i="2"/>
  <c r="G898" i="2"/>
  <c r="E898" i="2"/>
  <c r="I897" i="2"/>
  <c r="J897" i="2" s="1"/>
  <c r="H897" i="2"/>
  <c r="G897" i="2"/>
  <c r="E897" i="2"/>
  <c r="J896" i="2"/>
  <c r="I896" i="2"/>
  <c r="H896" i="2"/>
  <c r="G896" i="2"/>
  <c r="E896" i="2"/>
  <c r="I895" i="2"/>
  <c r="J895" i="2" s="1"/>
  <c r="H895" i="2"/>
  <c r="G895" i="2"/>
  <c r="E895" i="2"/>
  <c r="I894" i="2"/>
  <c r="J894" i="2" s="1"/>
  <c r="H894" i="2"/>
  <c r="G894" i="2"/>
  <c r="E894" i="2"/>
  <c r="I893" i="2"/>
  <c r="J893" i="2" s="1"/>
  <c r="H893" i="2"/>
  <c r="G893" i="2"/>
  <c r="E893" i="2"/>
  <c r="I892" i="2"/>
  <c r="J892" i="2" s="1"/>
  <c r="H892" i="2"/>
  <c r="G892" i="2"/>
  <c r="E892" i="2"/>
  <c r="J891" i="2"/>
  <c r="I891" i="2"/>
  <c r="H891" i="2"/>
  <c r="G891" i="2"/>
  <c r="E891" i="2"/>
  <c r="I890" i="2"/>
  <c r="J890" i="2" s="1"/>
  <c r="H890" i="2"/>
  <c r="G890" i="2"/>
  <c r="E890" i="2"/>
  <c r="I889" i="2"/>
  <c r="J889" i="2" s="1"/>
  <c r="H889" i="2"/>
  <c r="G889" i="2"/>
  <c r="E889" i="2"/>
  <c r="J888" i="2"/>
  <c r="I888" i="2"/>
  <c r="H888" i="2"/>
  <c r="G888" i="2"/>
  <c r="E888" i="2"/>
  <c r="I887" i="2"/>
  <c r="J887" i="2" s="1"/>
  <c r="H887" i="2"/>
  <c r="G887" i="2"/>
  <c r="E887" i="2"/>
  <c r="I886" i="2"/>
  <c r="J886" i="2" s="1"/>
  <c r="H886" i="2"/>
  <c r="G886" i="2"/>
  <c r="E886" i="2"/>
  <c r="I885" i="2"/>
  <c r="J885" i="2" s="1"/>
  <c r="H885" i="2"/>
  <c r="G885" i="2"/>
  <c r="E885" i="2"/>
  <c r="J884" i="2"/>
  <c r="I884" i="2"/>
  <c r="H884" i="2"/>
  <c r="G884" i="2"/>
  <c r="E884" i="2"/>
  <c r="I883" i="2"/>
  <c r="J883" i="2" s="1"/>
  <c r="H883" i="2"/>
  <c r="G883" i="2"/>
  <c r="E883" i="2"/>
  <c r="I882" i="2"/>
  <c r="J882" i="2" s="1"/>
  <c r="H882" i="2"/>
  <c r="G882" i="2"/>
  <c r="E882" i="2"/>
  <c r="I881" i="2"/>
  <c r="J881" i="2" s="1"/>
  <c r="H881" i="2"/>
  <c r="G881" i="2"/>
  <c r="E881" i="2"/>
  <c r="I880" i="2"/>
  <c r="J880" i="2" s="1"/>
  <c r="H880" i="2"/>
  <c r="G880" i="2"/>
  <c r="E880" i="2"/>
  <c r="J879" i="2"/>
  <c r="I879" i="2"/>
  <c r="H879" i="2"/>
  <c r="G879" i="2"/>
  <c r="E879" i="2"/>
  <c r="I878" i="2"/>
  <c r="J878" i="2" s="1"/>
  <c r="H878" i="2"/>
  <c r="G878" i="2"/>
  <c r="E878" i="2"/>
  <c r="I877" i="2"/>
  <c r="J877" i="2" s="1"/>
  <c r="H877" i="2"/>
  <c r="G877" i="2"/>
  <c r="E877" i="2"/>
  <c r="J876" i="2"/>
  <c r="I876" i="2"/>
  <c r="H876" i="2"/>
  <c r="G876" i="2"/>
  <c r="E876" i="2"/>
  <c r="I875" i="2"/>
  <c r="J875" i="2" s="1"/>
  <c r="H875" i="2"/>
  <c r="G875" i="2"/>
  <c r="E875" i="2"/>
  <c r="I874" i="2"/>
  <c r="J874" i="2" s="1"/>
  <c r="H874" i="2"/>
  <c r="G874" i="2"/>
  <c r="E874" i="2"/>
  <c r="I873" i="2"/>
  <c r="J873" i="2" s="1"/>
  <c r="H873" i="2"/>
  <c r="G873" i="2"/>
  <c r="E873" i="2"/>
  <c r="J872" i="2"/>
  <c r="I872" i="2"/>
  <c r="H872" i="2"/>
  <c r="G872" i="2"/>
  <c r="E872" i="2"/>
  <c r="I871" i="2"/>
  <c r="J871" i="2" s="1"/>
  <c r="H871" i="2"/>
  <c r="G871" i="2"/>
  <c r="E871" i="2"/>
  <c r="I870" i="2"/>
  <c r="J870" i="2" s="1"/>
  <c r="H870" i="2"/>
  <c r="G870" i="2"/>
  <c r="E870" i="2"/>
  <c r="I869" i="2"/>
  <c r="J869" i="2" s="1"/>
  <c r="H869" i="2"/>
  <c r="G869" i="2"/>
  <c r="E869" i="2"/>
  <c r="I868" i="2"/>
  <c r="J868" i="2" s="1"/>
  <c r="H868" i="2"/>
  <c r="G868" i="2"/>
  <c r="E868" i="2"/>
  <c r="J867" i="2"/>
  <c r="I867" i="2"/>
  <c r="H867" i="2"/>
  <c r="G867" i="2"/>
  <c r="E867" i="2"/>
  <c r="I866" i="2"/>
  <c r="J866" i="2" s="1"/>
  <c r="H866" i="2"/>
  <c r="G866" i="2"/>
  <c r="E866" i="2"/>
  <c r="I865" i="2"/>
  <c r="J865" i="2" s="1"/>
  <c r="H865" i="2"/>
  <c r="G865" i="2"/>
  <c r="E865" i="2"/>
  <c r="J864" i="2"/>
  <c r="I864" i="2"/>
  <c r="H864" i="2"/>
  <c r="G864" i="2"/>
  <c r="E864" i="2"/>
  <c r="I863" i="2"/>
  <c r="J863" i="2" s="1"/>
  <c r="H863" i="2"/>
  <c r="G863" i="2"/>
  <c r="E863" i="2"/>
  <c r="I862" i="2"/>
  <c r="J862" i="2" s="1"/>
  <c r="H862" i="2"/>
  <c r="G862" i="2"/>
  <c r="E862" i="2"/>
  <c r="I861" i="2"/>
  <c r="J861" i="2" s="1"/>
  <c r="H861" i="2"/>
  <c r="G861" i="2"/>
  <c r="E861" i="2"/>
  <c r="J860" i="2"/>
  <c r="I860" i="2"/>
  <c r="H860" i="2"/>
  <c r="G860" i="2"/>
  <c r="E860" i="2"/>
  <c r="I859" i="2"/>
  <c r="J859" i="2" s="1"/>
  <c r="H859" i="2"/>
  <c r="G859" i="2"/>
  <c r="E859" i="2"/>
  <c r="I858" i="2"/>
  <c r="J858" i="2" s="1"/>
  <c r="H858" i="2"/>
  <c r="G858" i="2"/>
  <c r="E858" i="2"/>
  <c r="I857" i="2"/>
  <c r="J857" i="2" s="1"/>
  <c r="H857" i="2"/>
  <c r="G857" i="2"/>
  <c r="E857" i="2"/>
  <c r="I856" i="2"/>
  <c r="J856" i="2" s="1"/>
  <c r="H856" i="2"/>
  <c r="G856" i="2"/>
  <c r="E856" i="2"/>
  <c r="J855" i="2"/>
  <c r="I855" i="2"/>
  <c r="H855" i="2"/>
  <c r="G855" i="2"/>
  <c r="E855" i="2"/>
  <c r="I854" i="2"/>
  <c r="J854" i="2" s="1"/>
  <c r="H854" i="2"/>
  <c r="G854" i="2"/>
  <c r="E854" i="2"/>
  <c r="I853" i="2"/>
  <c r="J853" i="2" s="1"/>
  <c r="H853" i="2"/>
  <c r="G853" i="2"/>
  <c r="E853" i="2"/>
  <c r="J852" i="2"/>
  <c r="I852" i="2"/>
  <c r="H852" i="2"/>
  <c r="G852" i="2"/>
  <c r="E852" i="2"/>
  <c r="I851" i="2"/>
  <c r="J851" i="2" s="1"/>
  <c r="H851" i="2"/>
  <c r="G851" i="2"/>
  <c r="E851" i="2"/>
  <c r="I850" i="2"/>
  <c r="J850" i="2" s="1"/>
  <c r="H850" i="2"/>
  <c r="G850" i="2"/>
  <c r="E850" i="2"/>
  <c r="I849" i="2"/>
  <c r="J849" i="2" s="1"/>
  <c r="H849" i="2"/>
  <c r="G849" i="2"/>
  <c r="E849" i="2"/>
  <c r="J848" i="2"/>
  <c r="I848" i="2"/>
  <c r="H848" i="2"/>
  <c r="G848" i="2"/>
  <c r="E848" i="2"/>
  <c r="I847" i="2"/>
  <c r="J847" i="2" s="1"/>
  <c r="H847" i="2"/>
  <c r="G847" i="2"/>
  <c r="E847" i="2"/>
  <c r="I846" i="2"/>
  <c r="J846" i="2" s="1"/>
  <c r="H846" i="2"/>
  <c r="G846" i="2"/>
  <c r="E846" i="2"/>
  <c r="I845" i="2"/>
  <c r="J845" i="2" s="1"/>
  <c r="H845" i="2"/>
  <c r="G845" i="2"/>
  <c r="E845" i="2"/>
  <c r="I844" i="2"/>
  <c r="J844" i="2" s="1"/>
  <c r="H844" i="2"/>
  <c r="G844" i="2"/>
  <c r="E844" i="2"/>
  <c r="J843" i="2"/>
  <c r="I843" i="2"/>
  <c r="H843" i="2"/>
  <c r="G843" i="2"/>
  <c r="E843" i="2"/>
  <c r="I842" i="2"/>
  <c r="J842" i="2" s="1"/>
  <c r="H842" i="2"/>
  <c r="G842" i="2"/>
  <c r="E842" i="2"/>
  <c r="I841" i="2"/>
  <c r="J841" i="2" s="1"/>
  <c r="H841" i="2"/>
  <c r="G841" i="2"/>
  <c r="E841" i="2"/>
  <c r="J840" i="2"/>
  <c r="I840" i="2"/>
  <c r="H840" i="2"/>
  <c r="G840" i="2"/>
  <c r="E840" i="2"/>
  <c r="I839" i="2"/>
  <c r="J839" i="2" s="1"/>
  <c r="H839" i="2"/>
  <c r="G839" i="2"/>
  <c r="E839" i="2"/>
  <c r="I838" i="2"/>
  <c r="J838" i="2" s="1"/>
  <c r="H838" i="2"/>
  <c r="G838" i="2"/>
  <c r="E838" i="2"/>
  <c r="I837" i="2"/>
  <c r="J837" i="2" s="1"/>
  <c r="H837" i="2"/>
  <c r="G837" i="2"/>
  <c r="E837" i="2"/>
  <c r="J836" i="2"/>
  <c r="I836" i="2"/>
  <c r="H836" i="2"/>
  <c r="G836" i="2"/>
  <c r="E836" i="2"/>
  <c r="I835" i="2"/>
  <c r="J835" i="2" s="1"/>
  <c r="H835" i="2"/>
  <c r="G835" i="2"/>
  <c r="E835" i="2"/>
  <c r="I834" i="2"/>
  <c r="J834" i="2" s="1"/>
  <c r="H834" i="2"/>
  <c r="G834" i="2"/>
  <c r="E834" i="2"/>
  <c r="I833" i="2"/>
  <c r="J833" i="2" s="1"/>
  <c r="H833" i="2"/>
  <c r="G833" i="2"/>
  <c r="E833" i="2"/>
  <c r="I832" i="2"/>
  <c r="J832" i="2" s="1"/>
  <c r="H832" i="2"/>
  <c r="G832" i="2"/>
  <c r="E832" i="2"/>
  <c r="J831" i="2"/>
  <c r="I831" i="2"/>
  <c r="H831" i="2"/>
  <c r="G831" i="2"/>
  <c r="E831" i="2"/>
  <c r="I830" i="2"/>
  <c r="J830" i="2" s="1"/>
  <c r="H830" i="2"/>
  <c r="G830" i="2"/>
  <c r="E830" i="2"/>
  <c r="I829" i="2"/>
  <c r="J829" i="2" s="1"/>
  <c r="H829" i="2"/>
  <c r="G829" i="2"/>
  <c r="E829" i="2"/>
  <c r="J828" i="2"/>
  <c r="I828" i="2"/>
  <c r="H828" i="2"/>
  <c r="G828" i="2"/>
  <c r="E828" i="2"/>
  <c r="I827" i="2"/>
  <c r="J827" i="2" s="1"/>
  <c r="H827" i="2"/>
  <c r="G827" i="2"/>
  <c r="E827" i="2"/>
  <c r="I826" i="2"/>
  <c r="J826" i="2" s="1"/>
  <c r="H826" i="2"/>
  <c r="G826" i="2"/>
  <c r="E826" i="2"/>
  <c r="I825" i="2"/>
  <c r="J825" i="2" s="1"/>
  <c r="H825" i="2"/>
  <c r="G825" i="2"/>
  <c r="E825" i="2"/>
  <c r="J824" i="2"/>
  <c r="I824" i="2"/>
  <c r="H824" i="2"/>
  <c r="G824" i="2"/>
  <c r="E824" i="2"/>
  <c r="I823" i="2"/>
  <c r="J823" i="2" s="1"/>
  <c r="H823" i="2"/>
  <c r="G823" i="2"/>
  <c r="E823" i="2"/>
  <c r="I822" i="2"/>
  <c r="J822" i="2" s="1"/>
  <c r="H822" i="2"/>
  <c r="G822" i="2"/>
  <c r="E822" i="2"/>
  <c r="I821" i="2"/>
  <c r="J821" i="2" s="1"/>
  <c r="H821" i="2"/>
  <c r="G821" i="2"/>
  <c r="E821" i="2"/>
  <c r="I820" i="2"/>
  <c r="J820" i="2" s="1"/>
  <c r="H820" i="2"/>
  <c r="G820" i="2"/>
  <c r="E820" i="2"/>
  <c r="J819" i="2"/>
  <c r="I819" i="2"/>
  <c r="H819" i="2"/>
  <c r="G819" i="2"/>
  <c r="E819" i="2"/>
  <c r="I818" i="2"/>
  <c r="J818" i="2" s="1"/>
  <c r="H818" i="2"/>
  <c r="G818" i="2"/>
  <c r="E818" i="2"/>
  <c r="I817" i="2"/>
  <c r="J817" i="2" s="1"/>
  <c r="H817" i="2"/>
  <c r="G817" i="2"/>
  <c r="E817" i="2"/>
  <c r="J816" i="2"/>
  <c r="I816" i="2"/>
  <c r="H816" i="2"/>
  <c r="G816" i="2"/>
  <c r="E816" i="2"/>
  <c r="I815" i="2"/>
  <c r="J815" i="2" s="1"/>
  <c r="H815" i="2"/>
  <c r="G815" i="2"/>
  <c r="E815" i="2"/>
  <c r="I814" i="2"/>
  <c r="J814" i="2" s="1"/>
  <c r="H814" i="2"/>
  <c r="G814" i="2"/>
  <c r="E814" i="2"/>
  <c r="I813" i="2"/>
  <c r="J813" i="2" s="1"/>
  <c r="H813" i="2"/>
  <c r="G813" i="2"/>
  <c r="E813" i="2"/>
  <c r="J812" i="2"/>
  <c r="I812" i="2"/>
  <c r="H812" i="2"/>
  <c r="G812" i="2"/>
  <c r="E812" i="2"/>
  <c r="I811" i="2"/>
  <c r="J811" i="2" s="1"/>
  <c r="H811" i="2"/>
  <c r="G811" i="2"/>
  <c r="E811" i="2"/>
  <c r="I810" i="2"/>
  <c r="J810" i="2" s="1"/>
  <c r="H810" i="2"/>
  <c r="G810" i="2"/>
  <c r="E810" i="2"/>
  <c r="I809" i="2"/>
  <c r="J809" i="2" s="1"/>
  <c r="H809" i="2"/>
  <c r="G809" i="2"/>
  <c r="E809" i="2"/>
  <c r="I808" i="2"/>
  <c r="J808" i="2" s="1"/>
  <c r="H808" i="2"/>
  <c r="G808" i="2"/>
  <c r="E808" i="2"/>
  <c r="J807" i="2"/>
  <c r="I807" i="2"/>
  <c r="H807" i="2"/>
  <c r="G807" i="2"/>
  <c r="E807" i="2"/>
  <c r="I806" i="2"/>
  <c r="J806" i="2" s="1"/>
  <c r="H806" i="2"/>
  <c r="G806" i="2"/>
  <c r="E806" i="2"/>
  <c r="I805" i="2"/>
  <c r="J805" i="2" s="1"/>
  <c r="H805" i="2"/>
  <c r="G805" i="2"/>
  <c r="E805" i="2"/>
  <c r="J804" i="2"/>
  <c r="I804" i="2"/>
  <c r="H804" i="2"/>
  <c r="G804" i="2"/>
  <c r="E804" i="2"/>
  <c r="I803" i="2"/>
  <c r="J803" i="2" s="1"/>
  <c r="H803" i="2"/>
  <c r="G803" i="2"/>
  <c r="E803" i="2"/>
  <c r="I802" i="2"/>
  <c r="J802" i="2" s="1"/>
  <c r="H802" i="2"/>
  <c r="G802" i="2"/>
  <c r="E802" i="2"/>
  <c r="I801" i="2"/>
  <c r="J801" i="2" s="1"/>
  <c r="H801" i="2"/>
  <c r="G801" i="2"/>
  <c r="E801" i="2"/>
  <c r="J800" i="2"/>
  <c r="I800" i="2"/>
  <c r="H800" i="2"/>
  <c r="G800" i="2"/>
  <c r="E800" i="2"/>
  <c r="I799" i="2"/>
  <c r="J799" i="2" s="1"/>
  <c r="H799" i="2"/>
  <c r="G799" i="2"/>
  <c r="E799" i="2"/>
  <c r="I798" i="2"/>
  <c r="J798" i="2" s="1"/>
  <c r="H798" i="2"/>
  <c r="G798" i="2"/>
  <c r="E798" i="2"/>
  <c r="I797" i="2"/>
  <c r="J797" i="2" s="1"/>
  <c r="H797" i="2"/>
  <c r="G797" i="2"/>
  <c r="E797" i="2"/>
  <c r="I796" i="2"/>
  <c r="J796" i="2" s="1"/>
  <c r="H796" i="2"/>
  <c r="G796" i="2"/>
  <c r="E796" i="2"/>
  <c r="J795" i="2"/>
  <c r="I795" i="2"/>
  <c r="H795" i="2"/>
  <c r="G795" i="2"/>
  <c r="E795" i="2"/>
  <c r="I794" i="2"/>
  <c r="J794" i="2" s="1"/>
  <c r="H794" i="2"/>
  <c r="G794" i="2"/>
  <c r="E794" i="2"/>
  <c r="I793" i="2"/>
  <c r="J793" i="2" s="1"/>
  <c r="H793" i="2"/>
  <c r="G793" i="2"/>
  <c r="E793" i="2"/>
  <c r="J792" i="2"/>
  <c r="I792" i="2"/>
  <c r="H792" i="2"/>
  <c r="G792" i="2"/>
  <c r="E792" i="2"/>
  <c r="I791" i="2"/>
  <c r="J791" i="2" s="1"/>
  <c r="H791" i="2"/>
  <c r="G791" i="2"/>
  <c r="E791" i="2"/>
  <c r="I790" i="2"/>
  <c r="J790" i="2" s="1"/>
  <c r="H790" i="2"/>
  <c r="G790" i="2"/>
  <c r="E790" i="2"/>
  <c r="I789" i="2"/>
  <c r="J789" i="2" s="1"/>
  <c r="H789" i="2"/>
  <c r="G789" i="2"/>
  <c r="E789" i="2"/>
  <c r="J788" i="2"/>
  <c r="I788" i="2"/>
  <c r="H788" i="2"/>
  <c r="G788" i="2"/>
  <c r="E788" i="2"/>
  <c r="I787" i="2"/>
  <c r="J787" i="2" s="1"/>
  <c r="H787" i="2"/>
  <c r="G787" i="2"/>
  <c r="E787" i="2"/>
  <c r="I786" i="2"/>
  <c r="J786" i="2" s="1"/>
  <c r="H786" i="2"/>
  <c r="G786" i="2"/>
  <c r="E786" i="2"/>
  <c r="I785" i="2"/>
  <c r="J785" i="2" s="1"/>
  <c r="H785" i="2"/>
  <c r="G785" i="2"/>
  <c r="E785" i="2"/>
  <c r="I784" i="2"/>
  <c r="J784" i="2" s="1"/>
  <c r="H784" i="2"/>
  <c r="G784" i="2"/>
  <c r="E784" i="2"/>
  <c r="J783" i="2"/>
  <c r="I783" i="2"/>
  <c r="H783" i="2"/>
  <c r="G783" i="2"/>
  <c r="E783" i="2"/>
  <c r="I782" i="2"/>
  <c r="J782" i="2" s="1"/>
  <c r="H782" i="2"/>
  <c r="G782" i="2"/>
  <c r="E782" i="2"/>
  <c r="I781" i="2"/>
  <c r="J781" i="2" s="1"/>
  <c r="H781" i="2"/>
  <c r="G781" i="2"/>
  <c r="E781" i="2"/>
  <c r="J780" i="2"/>
  <c r="I780" i="2"/>
  <c r="H780" i="2"/>
  <c r="G780" i="2"/>
  <c r="E780" i="2"/>
  <c r="I779" i="2"/>
  <c r="J779" i="2" s="1"/>
  <c r="H779" i="2"/>
  <c r="G779" i="2"/>
  <c r="E779" i="2"/>
  <c r="I778" i="2"/>
  <c r="J778" i="2" s="1"/>
  <c r="H778" i="2"/>
  <c r="G778" i="2"/>
  <c r="E778" i="2"/>
  <c r="I777" i="2"/>
  <c r="J777" i="2" s="1"/>
  <c r="H777" i="2"/>
  <c r="G777" i="2"/>
  <c r="E777" i="2"/>
  <c r="J776" i="2"/>
  <c r="I776" i="2"/>
  <c r="H776" i="2"/>
  <c r="G776" i="2"/>
  <c r="E776" i="2"/>
  <c r="I775" i="2"/>
  <c r="J775" i="2" s="1"/>
  <c r="H775" i="2"/>
  <c r="G775" i="2"/>
  <c r="E775" i="2"/>
  <c r="I774" i="2"/>
  <c r="J774" i="2" s="1"/>
  <c r="H774" i="2"/>
  <c r="G774" i="2"/>
  <c r="E774" i="2"/>
  <c r="I773" i="2"/>
  <c r="J773" i="2" s="1"/>
  <c r="H773" i="2"/>
  <c r="G773" i="2"/>
  <c r="E773" i="2"/>
  <c r="I772" i="2"/>
  <c r="J772" i="2" s="1"/>
  <c r="H772" i="2"/>
  <c r="G772" i="2"/>
  <c r="E772" i="2"/>
  <c r="J771" i="2"/>
  <c r="I771" i="2"/>
  <c r="H771" i="2"/>
  <c r="G771" i="2"/>
  <c r="E771" i="2"/>
  <c r="I770" i="2"/>
  <c r="J770" i="2" s="1"/>
  <c r="H770" i="2"/>
  <c r="G770" i="2"/>
  <c r="E770" i="2"/>
  <c r="I769" i="2"/>
  <c r="J769" i="2" s="1"/>
  <c r="H769" i="2"/>
  <c r="G769" i="2"/>
  <c r="E769" i="2"/>
  <c r="J768" i="2"/>
  <c r="I768" i="2"/>
  <c r="H768" i="2"/>
  <c r="G768" i="2"/>
  <c r="E768" i="2"/>
  <c r="I767" i="2"/>
  <c r="J767" i="2" s="1"/>
  <c r="H767" i="2"/>
  <c r="G767" i="2"/>
  <c r="E767" i="2"/>
  <c r="I766" i="2"/>
  <c r="J766" i="2" s="1"/>
  <c r="H766" i="2"/>
  <c r="G766" i="2"/>
  <c r="E766" i="2"/>
  <c r="I765" i="2"/>
  <c r="J765" i="2" s="1"/>
  <c r="H765" i="2"/>
  <c r="G765" i="2"/>
  <c r="E765" i="2"/>
  <c r="J764" i="2"/>
  <c r="I764" i="2"/>
  <c r="H764" i="2"/>
  <c r="G764" i="2"/>
  <c r="E764" i="2"/>
  <c r="I763" i="2"/>
  <c r="J763" i="2" s="1"/>
  <c r="H763" i="2"/>
  <c r="G763" i="2"/>
  <c r="E763" i="2"/>
  <c r="I762" i="2"/>
  <c r="J762" i="2" s="1"/>
  <c r="H762" i="2"/>
  <c r="G762" i="2"/>
  <c r="E762" i="2"/>
  <c r="I761" i="2"/>
  <c r="J761" i="2" s="1"/>
  <c r="H761" i="2"/>
  <c r="G761" i="2"/>
  <c r="E761" i="2"/>
  <c r="I760" i="2"/>
  <c r="J760" i="2" s="1"/>
  <c r="H760" i="2"/>
  <c r="G760" i="2"/>
  <c r="E760" i="2"/>
  <c r="J759" i="2"/>
  <c r="I759" i="2"/>
  <c r="H759" i="2"/>
  <c r="G759" i="2"/>
  <c r="E759" i="2"/>
  <c r="I758" i="2"/>
  <c r="J758" i="2" s="1"/>
  <c r="H758" i="2"/>
  <c r="G758" i="2"/>
  <c r="E758" i="2"/>
  <c r="I757" i="2"/>
  <c r="J757" i="2" s="1"/>
  <c r="H757" i="2"/>
  <c r="G757" i="2"/>
  <c r="E757" i="2"/>
  <c r="J756" i="2"/>
  <c r="I756" i="2"/>
  <c r="H756" i="2"/>
  <c r="G756" i="2"/>
  <c r="E756" i="2"/>
  <c r="I755" i="2"/>
  <c r="J755" i="2" s="1"/>
  <c r="H755" i="2"/>
  <c r="G755" i="2"/>
  <c r="E755" i="2"/>
  <c r="I754" i="2"/>
  <c r="J754" i="2" s="1"/>
  <c r="H754" i="2"/>
  <c r="G754" i="2"/>
  <c r="E754" i="2"/>
  <c r="I753" i="2"/>
  <c r="J753" i="2" s="1"/>
  <c r="H753" i="2"/>
  <c r="G753" i="2"/>
  <c r="E753" i="2"/>
  <c r="J752" i="2"/>
  <c r="I752" i="2"/>
  <c r="H752" i="2"/>
  <c r="G752" i="2"/>
  <c r="E752" i="2"/>
  <c r="I751" i="2"/>
  <c r="J751" i="2" s="1"/>
  <c r="H751" i="2"/>
  <c r="G751" i="2"/>
  <c r="E751" i="2"/>
  <c r="I750" i="2"/>
  <c r="J750" i="2" s="1"/>
  <c r="H750" i="2"/>
  <c r="G750" i="2"/>
  <c r="E750" i="2"/>
  <c r="I749" i="2"/>
  <c r="J749" i="2" s="1"/>
  <c r="H749" i="2"/>
  <c r="G749" i="2"/>
  <c r="E749" i="2"/>
  <c r="I748" i="2"/>
  <c r="J748" i="2" s="1"/>
  <c r="H748" i="2"/>
  <c r="G748" i="2"/>
  <c r="E748" i="2"/>
  <c r="J747" i="2"/>
  <c r="I747" i="2"/>
  <c r="H747" i="2"/>
  <c r="G747" i="2"/>
  <c r="E747" i="2"/>
  <c r="I746" i="2"/>
  <c r="J746" i="2" s="1"/>
  <c r="H746" i="2"/>
  <c r="G746" i="2"/>
  <c r="E746" i="2"/>
  <c r="I745" i="2"/>
  <c r="J745" i="2" s="1"/>
  <c r="H745" i="2"/>
  <c r="G745" i="2"/>
  <c r="E745" i="2"/>
  <c r="J744" i="2"/>
  <c r="I744" i="2"/>
  <c r="H744" i="2"/>
  <c r="G744" i="2"/>
  <c r="E744" i="2"/>
  <c r="I743" i="2"/>
  <c r="J743" i="2" s="1"/>
  <c r="H743" i="2"/>
  <c r="G743" i="2"/>
  <c r="E743" i="2"/>
  <c r="I742" i="2"/>
  <c r="J742" i="2" s="1"/>
  <c r="H742" i="2"/>
  <c r="G742" i="2"/>
  <c r="E742" i="2"/>
  <c r="I741" i="2"/>
  <c r="J741" i="2" s="1"/>
  <c r="H741" i="2"/>
  <c r="G741" i="2"/>
  <c r="E741" i="2"/>
  <c r="J740" i="2"/>
  <c r="I740" i="2"/>
  <c r="H740" i="2"/>
  <c r="G740" i="2"/>
  <c r="E740" i="2"/>
  <c r="I739" i="2"/>
  <c r="J739" i="2" s="1"/>
  <c r="H739" i="2"/>
  <c r="G739" i="2"/>
  <c r="E739" i="2"/>
  <c r="I738" i="2"/>
  <c r="J738" i="2" s="1"/>
  <c r="H738" i="2"/>
  <c r="G738" i="2"/>
  <c r="E738" i="2"/>
  <c r="I737" i="2"/>
  <c r="J737" i="2" s="1"/>
  <c r="H737" i="2"/>
  <c r="G737" i="2"/>
  <c r="E737" i="2"/>
  <c r="I736" i="2"/>
  <c r="J736" i="2" s="1"/>
  <c r="H736" i="2"/>
  <c r="G736" i="2"/>
  <c r="E736" i="2"/>
  <c r="J735" i="2"/>
  <c r="I735" i="2"/>
  <c r="H735" i="2"/>
  <c r="G735" i="2"/>
  <c r="E735" i="2"/>
  <c r="I734" i="2"/>
  <c r="J734" i="2" s="1"/>
  <c r="H734" i="2"/>
  <c r="G734" i="2"/>
  <c r="E734" i="2"/>
  <c r="I733" i="2"/>
  <c r="J733" i="2" s="1"/>
  <c r="H733" i="2"/>
  <c r="G733" i="2"/>
  <c r="E733" i="2"/>
  <c r="J732" i="2"/>
  <c r="I732" i="2"/>
  <c r="H732" i="2"/>
  <c r="G732" i="2"/>
  <c r="E732" i="2"/>
  <c r="I731" i="2"/>
  <c r="J731" i="2" s="1"/>
  <c r="H731" i="2"/>
  <c r="G731" i="2"/>
  <c r="E731" i="2"/>
  <c r="I730" i="2"/>
  <c r="J730" i="2" s="1"/>
  <c r="H730" i="2"/>
  <c r="G730" i="2"/>
  <c r="E730" i="2"/>
  <c r="I729" i="2"/>
  <c r="J729" i="2" s="1"/>
  <c r="H729" i="2"/>
  <c r="G729" i="2"/>
  <c r="E729" i="2"/>
  <c r="J728" i="2"/>
  <c r="I728" i="2"/>
  <c r="H728" i="2"/>
  <c r="G728" i="2"/>
  <c r="E728" i="2"/>
  <c r="I727" i="2"/>
  <c r="J727" i="2" s="1"/>
  <c r="H727" i="2"/>
  <c r="G727" i="2"/>
  <c r="E727" i="2"/>
  <c r="I726" i="2"/>
  <c r="J726" i="2" s="1"/>
  <c r="H726" i="2"/>
  <c r="G726" i="2"/>
  <c r="E726" i="2"/>
  <c r="I725" i="2"/>
  <c r="J725" i="2" s="1"/>
  <c r="H725" i="2"/>
  <c r="G725" i="2"/>
  <c r="E725" i="2"/>
  <c r="I724" i="2"/>
  <c r="J724" i="2" s="1"/>
  <c r="H724" i="2"/>
  <c r="G724" i="2"/>
  <c r="E724" i="2"/>
  <c r="J723" i="2"/>
  <c r="I723" i="2"/>
  <c r="H723" i="2"/>
  <c r="G723" i="2"/>
  <c r="E723" i="2"/>
  <c r="I722" i="2"/>
  <c r="J722" i="2" s="1"/>
  <c r="H722" i="2"/>
  <c r="G722" i="2"/>
  <c r="E722" i="2"/>
  <c r="I721" i="2"/>
  <c r="J721" i="2" s="1"/>
  <c r="H721" i="2"/>
  <c r="G721" i="2"/>
  <c r="E721" i="2"/>
  <c r="J720" i="2"/>
  <c r="I720" i="2"/>
  <c r="H720" i="2"/>
  <c r="G720" i="2"/>
  <c r="E720" i="2"/>
  <c r="I719" i="2"/>
  <c r="J719" i="2" s="1"/>
  <c r="H719" i="2"/>
  <c r="G719" i="2"/>
  <c r="E719" i="2"/>
  <c r="I718" i="2"/>
  <c r="J718" i="2" s="1"/>
  <c r="H718" i="2"/>
  <c r="G718" i="2"/>
  <c r="E718" i="2"/>
  <c r="I717" i="2"/>
  <c r="J717" i="2" s="1"/>
  <c r="H717" i="2"/>
  <c r="G717" i="2"/>
  <c r="E717" i="2"/>
  <c r="J716" i="2"/>
  <c r="I716" i="2"/>
  <c r="H716" i="2"/>
  <c r="G716" i="2"/>
  <c r="E716" i="2"/>
  <c r="I715" i="2"/>
  <c r="J715" i="2" s="1"/>
  <c r="H715" i="2"/>
  <c r="G715" i="2"/>
  <c r="E715" i="2"/>
  <c r="I714" i="2"/>
  <c r="J714" i="2" s="1"/>
  <c r="H714" i="2"/>
  <c r="G714" i="2"/>
  <c r="E714" i="2"/>
  <c r="I713" i="2"/>
  <c r="J713" i="2" s="1"/>
  <c r="H713" i="2"/>
  <c r="G713" i="2"/>
  <c r="E713" i="2"/>
  <c r="I712" i="2"/>
  <c r="J712" i="2" s="1"/>
  <c r="H712" i="2"/>
  <c r="G712" i="2"/>
  <c r="E712" i="2"/>
  <c r="J711" i="2"/>
  <c r="I711" i="2"/>
  <c r="H711" i="2"/>
  <c r="G711" i="2"/>
  <c r="E711" i="2"/>
  <c r="I710" i="2"/>
  <c r="J710" i="2" s="1"/>
  <c r="H710" i="2"/>
  <c r="G710" i="2"/>
  <c r="E710" i="2"/>
  <c r="I709" i="2"/>
  <c r="J709" i="2" s="1"/>
  <c r="H709" i="2"/>
  <c r="G709" i="2"/>
  <c r="E709" i="2"/>
  <c r="J708" i="2"/>
  <c r="I708" i="2"/>
  <c r="H708" i="2"/>
  <c r="G708" i="2"/>
  <c r="E708" i="2"/>
  <c r="I707" i="2"/>
  <c r="J707" i="2" s="1"/>
  <c r="H707" i="2"/>
  <c r="G707" i="2"/>
  <c r="E707" i="2"/>
  <c r="I706" i="2"/>
  <c r="J706" i="2" s="1"/>
  <c r="H706" i="2"/>
  <c r="G706" i="2"/>
  <c r="E706" i="2"/>
  <c r="I705" i="2"/>
  <c r="J705" i="2" s="1"/>
  <c r="H705" i="2"/>
  <c r="G705" i="2"/>
  <c r="E705" i="2"/>
  <c r="J704" i="2"/>
  <c r="I704" i="2"/>
  <c r="H704" i="2"/>
  <c r="G704" i="2"/>
  <c r="E704" i="2"/>
  <c r="I703" i="2"/>
  <c r="J703" i="2" s="1"/>
  <c r="H703" i="2"/>
  <c r="G703" i="2"/>
  <c r="E703" i="2"/>
  <c r="I702" i="2"/>
  <c r="J702" i="2" s="1"/>
  <c r="H702" i="2"/>
  <c r="G702" i="2"/>
  <c r="E702" i="2"/>
  <c r="I701" i="2"/>
  <c r="J701" i="2" s="1"/>
  <c r="H701" i="2"/>
  <c r="G701" i="2"/>
  <c r="E701" i="2"/>
  <c r="I700" i="2"/>
  <c r="J700" i="2" s="1"/>
  <c r="H700" i="2"/>
  <c r="G700" i="2"/>
  <c r="E700" i="2"/>
  <c r="J699" i="2"/>
  <c r="I699" i="2"/>
  <c r="H699" i="2"/>
  <c r="G699" i="2"/>
  <c r="E699" i="2"/>
  <c r="I698" i="2"/>
  <c r="J698" i="2" s="1"/>
  <c r="H698" i="2"/>
  <c r="G698" i="2"/>
  <c r="E698" i="2"/>
  <c r="I697" i="2"/>
  <c r="J697" i="2" s="1"/>
  <c r="H697" i="2"/>
  <c r="G697" i="2"/>
  <c r="E697" i="2"/>
  <c r="J696" i="2"/>
  <c r="I696" i="2"/>
  <c r="H696" i="2"/>
  <c r="G696" i="2"/>
  <c r="E696" i="2"/>
  <c r="I695" i="2"/>
  <c r="J695" i="2" s="1"/>
  <c r="H695" i="2"/>
  <c r="G695" i="2"/>
  <c r="E695" i="2"/>
  <c r="I694" i="2"/>
  <c r="J694" i="2" s="1"/>
  <c r="H694" i="2"/>
  <c r="G694" i="2"/>
  <c r="E694" i="2"/>
  <c r="I693" i="2"/>
  <c r="J693" i="2" s="1"/>
  <c r="H693" i="2"/>
  <c r="G693" i="2"/>
  <c r="E693" i="2"/>
  <c r="J692" i="2"/>
  <c r="I692" i="2"/>
  <c r="H692" i="2"/>
  <c r="G692" i="2"/>
  <c r="E692" i="2"/>
  <c r="I691" i="2"/>
  <c r="J691" i="2" s="1"/>
  <c r="H691" i="2"/>
  <c r="G691" i="2"/>
  <c r="E691" i="2"/>
  <c r="I690" i="2"/>
  <c r="J690" i="2" s="1"/>
  <c r="H690" i="2"/>
  <c r="G690" i="2"/>
  <c r="E690" i="2"/>
  <c r="I689" i="2"/>
  <c r="J689" i="2" s="1"/>
  <c r="H689" i="2"/>
  <c r="G689" i="2"/>
  <c r="E689" i="2"/>
  <c r="I688" i="2"/>
  <c r="J688" i="2" s="1"/>
  <c r="H688" i="2"/>
  <c r="G688" i="2"/>
  <c r="E688" i="2"/>
  <c r="J687" i="2"/>
  <c r="I687" i="2"/>
  <c r="H687" i="2"/>
  <c r="G687" i="2"/>
  <c r="E687" i="2"/>
  <c r="I686" i="2"/>
  <c r="J686" i="2" s="1"/>
  <c r="H686" i="2"/>
  <c r="G686" i="2"/>
  <c r="E686" i="2"/>
  <c r="I685" i="2"/>
  <c r="J685" i="2" s="1"/>
  <c r="H685" i="2"/>
  <c r="G685" i="2"/>
  <c r="E685" i="2"/>
  <c r="J684" i="2"/>
  <c r="I684" i="2"/>
  <c r="H684" i="2"/>
  <c r="G684" i="2"/>
  <c r="E684" i="2"/>
  <c r="I683" i="2"/>
  <c r="J683" i="2" s="1"/>
  <c r="H683" i="2"/>
  <c r="G683" i="2"/>
  <c r="E683" i="2"/>
  <c r="I682" i="2"/>
  <c r="J682" i="2" s="1"/>
  <c r="H682" i="2"/>
  <c r="G682" i="2"/>
  <c r="E682" i="2"/>
  <c r="I681" i="2"/>
  <c r="J681" i="2" s="1"/>
  <c r="H681" i="2"/>
  <c r="G681" i="2"/>
  <c r="E681" i="2"/>
  <c r="J680" i="2"/>
  <c r="I680" i="2"/>
  <c r="H680" i="2"/>
  <c r="G680" i="2"/>
  <c r="E680" i="2"/>
  <c r="I679" i="2"/>
  <c r="J679" i="2" s="1"/>
  <c r="H679" i="2"/>
  <c r="G679" i="2"/>
  <c r="E679" i="2"/>
  <c r="I678" i="2"/>
  <c r="J678" i="2" s="1"/>
  <c r="H678" i="2"/>
  <c r="G678" i="2"/>
  <c r="E678" i="2"/>
  <c r="I677" i="2"/>
  <c r="J677" i="2" s="1"/>
  <c r="H677" i="2"/>
  <c r="G677" i="2"/>
  <c r="E677" i="2"/>
  <c r="I676" i="2"/>
  <c r="J676" i="2" s="1"/>
  <c r="H676" i="2"/>
  <c r="G676" i="2"/>
  <c r="E676" i="2"/>
  <c r="J675" i="2"/>
  <c r="I675" i="2"/>
  <c r="H675" i="2"/>
  <c r="G675" i="2"/>
  <c r="E675" i="2"/>
  <c r="I674" i="2"/>
  <c r="J674" i="2" s="1"/>
  <c r="H674" i="2"/>
  <c r="G674" i="2"/>
  <c r="E674" i="2"/>
  <c r="I673" i="2"/>
  <c r="J673" i="2" s="1"/>
  <c r="H673" i="2"/>
  <c r="G673" i="2"/>
  <c r="E673" i="2"/>
  <c r="J672" i="2"/>
  <c r="I672" i="2"/>
  <c r="H672" i="2"/>
  <c r="G672" i="2"/>
  <c r="E672" i="2"/>
  <c r="I671" i="2"/>
  <c r="J671" i="2" s="1"/>
  <c r="H671" i="2"/>
  <c r="G671" i="2"/>
  <c r="E671" i="2"/>
  <c r="I670" i="2"/>
  <c r="J670" i="2" s="1"/>
  <c r="H670" i="2"/>
  <c r="G670" i="2"/>
  <c r="E670" i="2"/>
  <c r="I669" i="2"/>
  <c r="J669" i="2" s="1"/>
  <c r="H669" i="2"/>
  <c r="G669" i="2"/>
  <c r="E669" i="2"/>
  <c r="J668" i="2"/>
  <c r="I668" i="2"/>
  <c r="H668" i="2"/>
  <c r="G668" i="2"/>
  <c r="E668" i="2"/>
  <c r="I667" i="2"/>
  <c r="J667" i="2" s="1"/>
  <c r="H667" i="2"/>
  <c r="G667" i="2"/>
  <c r="E667" i="2"/>
  <c r="I666" i="2"/>
  <c r="J666" i="2" s="1"/>
  <c r="H666" i="2"/>
  <c r="G666" i="2"/>
  <c r="E666" i="2"/>
  <c r="I665" i="2"/>
  <c r="J665" i="2" s="1"/>
  <c r="H665" i="2"/>
  <c r="G665" i="2"/>
  <c r="E665" i="2"/>
  <c r="I664" i="2"/>
  <c r="J664" i="2" s="1"/>
  <c r="H664" i="2"/>
  <c r="G664" i="2"/>
  <c r="E664" i="2"/>
  <c r="J663" i="2"/>
  <c r="I663" i="2"/>
  <c r="H663" i="2"/>
  <c r="G663" i="2"/>
  <c r="E663" i="2"/>
  <c r="I662" i="2"/>
  <c r="J662" i="2" s="1"/>
  <c r="H662" i="2"/>
  <c r="G662" i="2"/>
  <c r="E662" i="2"/>
  <c r="I661" i="2"/>
  <c r="J661" i="2" s="1"/>
  <c r="H661" i="2"/>
  <c r="G661" i="2"/>
  <c r="E661" i="2"/>
  <c r="J660" i="2"/>
  <c r="I660" i="2"/>
  <c r="H660" i="2"/>
  <c r="G660" i="2"/>
  <c r="E660" i="2"/>
  <c r="I659" i="2"/>
  <c r="J659" i="2" s="1"/>
  <c r="H659" i="2"/>
  <c r="G659" i="2"/>
  <c r="E659" i="2"/>
  <c r="I658" i="2"/>
  <c r="J658" i="2" s="1"/>
  <c r="H658" i="2"/>
  <c r="G658" i="2"/>
  <c r="E658" i="2"/>
  <c r="I657" i="2"/>
  <c r="J657" i="2" s="1"/>
  <c r="H657" i="2"/>
  <c r="G657" i="2"/>
  <c r="E657" i="2"/>
  <c r="J656" i="2"/>
  <c r="I656" i="2"/>
  <c r="H656" i="2"/>
  <c r="G656" i="2"/>
  <c r="E656" i="2"/>
  <c r="I655" i="2"/>
  <c r="J655" i="2" s="1"/>
  <c r="H655" i="2"/>
  <c r="G655" i="2"/>
  <c r="E655" i="2"/>
  <c r="I654" i="2"/>
  <c r="J654" i="2" s="1"/>
  <c r="H654" i="2"/>
  <c r="G654" i="2"/>
  <c r="E654" i="2"/>
  <c r="I653" i="2"/>
  <c r="J653" i="2" s="1"/>
  <c r="H653" i="2"/>
  <c r="G653" i="2"/>
  <c r="E653" i="2"/>
  <c r="I652" i="2"/>
  <c r="J652" i="2" s="1"/>
  <c r="H652" i="2"/>
  <c r="G652" i="2"/>
  <c r="E652" i="2"/>
  <c r="J651" i="2"/>
  <c r="I651" i="2"/>
  <c r="H651" i="2"/>
  <c r="G651" i="2"/>
  <c r="E651" i="2"/>
  <c r="I650" i="2"/>
  <c r="J650" i="2" s="1"/>
  <c r="H650" i="2"/>
  <c r="G650" i="2"/>
  <c r="E650" i="2"/>
  <c r="I649" i="2"/>
  <c r="J649" i="2" s="1"/>
  <c r="H649" i="2"/>
  <c r="G649" i="2"/>
  <c r="E649" i="2"/>
  <c r="J648" i="2"/>
  <c r="I648" i="2"/>
  <c r="H648" i="2"/>
  <c r="G648" i="2"/>
  <c r="E648" i="2"/>
  <c r="I647" i="2"/>
  <c r="J647" i="2" s="1"/>
  <c r="H647" i="2"/>
  <c r="G647" i="2"/>
  <c r="E647" i="2"/>
  <c r="I646" i="2"/>
  <c r="J646" i="2" s="1"/>
  <c r="H646" i="2"/>
  <c r="G646" i="2"/>
  <c r="E646" i="2"/>
  <c r="I645" i="2"/>
  <c r="J645" i="2" s="1"/>
  <c r="H645" i="2"/>
  <c r="G645" i="2"/>
  <c r="E645" i="2"/>
  <c r="J644" i="2"/>
  <c r="I644" i="2"/>
  <c r="H644" i="2"/>
  <c r="G644" i="2"/>
  <c r="E644" i="2"/>
  <c r="I643" i="2"/>
  <c r="J643" i="2" s="1"/>
  <c r="H643" i="2"/>
  <c r="G643" i="2"/>
  <c r="E643" i="2"/>
  <c r="I642" i="2"/>
  <c r="J642" i="2" s="1"/>
  <c r="H642" i="2"/>
  <c r="G642" i="2"/>
  <c r="E642" i="2"/>
  <c r="I641" i="2"/>
  <c r="J641" i="2" s="1"/>
  <c r="H641" i="2"/>
  <c r="G641" i="2"/>
  <c r="E641" i="2"/>
  <c r="I640" i="2"/>
  <c r="J640" i="2" s="1"/>
  <c r="H640" i="2"/>
  <c r="G640" i="2"/>
  <c r="E640" i="2"/>
  <c r="J639" i="2"/>
  <c r="I639" i="2"/>
  <c r="H639" i="2"/>
  <c r="G639" i="2"/>
  <c r="E639" i="2"/>
  <c r="I638" i="2"/>
  <c r="J638" i="2" s="1"/>
  <c r="H638" i="2"/>
  <c r="G638" i="2"/>
  <c r="E638" i="2"/>
  <c r="I637" i="2"/>
  <c r="J637" i="2" s="1"/>
  <c r="H637" i="2"/>
  <c r="G637" i="2"/>
  <c r="E637" i="2"/>
  <c r="J636" i="2"/>
  <c r="I636" i="2"/>
  <c r="H636" i="2"/>
  <c r="G636" i="2"/>
  <c r="E636" i="2"/>
  <c r="I635" i="2"/>
  <c r="J635" i="2" s="1"/>
  <c r="H635" i="2"/>
  <c r="G635" i="2"/>
  <c r="E635" i="2"/>
  <c r="I634" i="2"/>
  <c r="J634" i="2" s="1"/>
  <c r="H634" i="2"/>
  <c r="G634" i="2"/>
  <c r="E634" i="2"/>
  <c r="I633" i="2"/>
  <c r="J633" i="2" s="1"/>
  <c r="H633" i="2"/>
  <c r="G633" i="2"/>
  <c r="E633" i="2"/>
  <c r="J632" i="2"/>
  <c r="I632" i="2"/>
  <c r="H632" i="2"/>
  <c r="G632" i="2"/>
  <c r="E632" i="2"/>
  <c r="I631" i="2"/>
  <c r="J631" i="2" s="1"/>
  <c r="H631" i="2"/>
  <c r="G631" i="2"/>
  <c r="E631" i="2"/>
  <c r="I630" i="2"/>
  <c r="J630" i="2" s="1"/>
  <c r="H630" i="2"/>
  <c r="G630" i="2"/>
  <c r="E630" i="2"/>
  <c r="I629" i="2"/>
  <c r="J629" i="2" s="1"/>
  <c r="H629" i="2"/>
  <c r="G629" i="2"/>
  <c r="E629" i="2"/>
  <c r="I628" i="2"/>
  <c r="J628" i="2" s="1"/>
  <c r="H628" i="2"/>
  <c r="G628" i="2"/>
  <c r="E628" i="2"/>
  <c r="J627" i="2"/>
  <c r="I627" i="2"/>
  <c r="H627" i="2"/>
  <c r="G627" i="2"/>
  <c r="E627" i="2"/>
  <c r="I626" i="2"/>
  <c r="J626" i="2" s="1"/>
  <c r="H626" i="2"/>
  <c r="G626" i="2"/>
  <c r="E626" i="2"/>
  <c r="I625" i="2"/>
  <c r="J625" i="2" s="1"/>
  <c r="H625" i="2"/>
  <c r="G625" i="2"/>
  <c r="E625" i="2"/>
  <c r="J624" i="2"/>
  <c r="I624" i="2"/>
  <c r="H624" i="2"/>
  <c r="G624" i="2"/>
  <c r="E624" i="2"/>
  <c r="I623" i="2"/>
  <c r="J623" i="2" s="1"/>
  <c r="H623" i="2"/>
  <c r="G623" i="2"/>
  <c r="E623" i="2"/>
  <c r="I622" i="2"/>
  <c r="J622" i="2" s="1"/>
  <c r="H622" i="2"/>
  <c r="G622" i="2"/>
  <c r="E622" i="2"/>
  <c r="I621" i="2"/>
  <c r="J621" i="2" s="1"/>
  <c r="H621" i="2"/>
  <c r="G621" i="2"/>
  <c r="E621" i="2"/>
  <c r="J620" i="2"/>
  <c r="I620" i="2"/>
  <c r="H620" i="2"/>
  <c r="G620" i="2"/>
  <c r="E620" i="2"/>
  <c r="I619" i="2"/>
  <c r="J619" i="2" s="1"/>
  <c r="H619" i="2"/>
  <c r="G619" i="2"/>
  <c r="E619" i="2"/>
  <c r="I618" i="2"/>
  <c r="J618" i="2" s="1"/>
  <c r="H618" i="2"/>
  <c r="G618" i="2"/>
  <c r="E618" i="2"/>
  <c r="I617" i="2"/>
  <c r="J617" i="2" s="1"/>
  <c r="H617" i="2"/>
  <c r="G617" i="2"/>
  <c r="E617" i="2"/>
  <c r="I616" i="2"/>
  <c r="J616" i="2" s="1"/>
  <c r="H616" i="2"/>
  <c r="G616" i="2"/>
  <c r="E616" i="2"/>
  <c r="J615" i="2"/>
  <c r="I615" i="2"/>
  <c r="H615" i="2"/>
  <c r="G615" i="2"/>
  <c r="E615" i="2"/>
  <c r="I614" i="2"/>
  <c r="J614" i="2" s="1"/>
  <c r="H614" i="2"/>
  <c r="G614" i="2"/>
  <c r="E614" i="2"/>
  <c r="I613" i="2"/>
  <c r="J613" i="2" s="1"/>
  <c r="H613" i="2"/>
  <c r="G613" i="2"/>
  <c r="E613" i="2"/>
  <c r="J612" i="2"/>
  <c r="I612" i="2"/>
  <c r="H612" i="2"/>
  <c r="G612" i="2"/>
  <c r="E612" i="2"/>
  <c r="I611" i="2"/>
  <c r="J611" i="2" s="1"/>
  <c r="H611" i="2"/>
  <c r="G611" i="2"/>
  <c r="E611" i="2"/>
  <c r="I610" i="2"/>
  <c r="J610" i="2" s="1"/>
  <c r="H610" i="2"/>
  <c r="G610" i="2"/>
  <c r="E610" i="2"/>
  <c r="I609" i="2"/>
  <c r="J609" i="2" s="1"/>
  <c r="H609" i="2"/>
  <c r="G609" i="2"/>
  <c r="E609" i="2"/>
  <c r="J608" i="2"/>
  <c r="I608" i="2"/>
  <c r="H608" i="2"/>
  <c r="G608" i="2"/>
  <c r="E608" i="2"/>
  <c r="I607" i="2"/>
  <c r="J607" i="2" s="1"/>
  <c r="H607" i="2"/>
  <c r="G607" i="2"/>
  <c r="E607" i="2"/>
  <c r="I606" i="2"/>
  <c r="J606" i="2" s="1"/>
  <c r="H606" i="2"/>
  <c r="G606" i="2"/>
  <c r="E606" i="2"/>
  <c r="I605" i="2"/>
  <c r="J605" i="2" s="1"/>
  <c r="H605" i="2"/>
  <c r="G605" i="2"/>
  <c r="E605" i="2"/>
  <c r="I604" i="2"/>
  <c r="J604" i="2" s="1"/>
  <c r="H604" i="2"/>
  <c r="G604" i="2"/>
  <c r="E604" i="2"/>
  <c r="J603" i="2"/>
  <c r="I603" i="2"/>
  <c r="H603" i="2"/>
  <c r="G603" i="2"/>
  <c r="E603" i="2"/>
  <c r="I602" i="2"/>
  <c r="J602" i="2" s="1"/>
  <c r="H602" i="2"/>
  <c r="G602" i="2"/>
  <c r="E602" i="2"/>
  <c r="I601" i="2"/>
  <c r="J601" i="2" s="1"/>
  <c r="H601" i="2"/>
  <c r="G601" i="2"/>
  <c r="E601" i="2"/>
  <c r="J600" i="2"/>
  <c r="I600" i="2"/>
  <c r="H600" i="2"/>
  <c r="G600" i="2"/>
  <c r="E600" i="2"/>
  <c r="I599" i="2"/>
  <c r="J599" i="2" s="1"/>
  <c r="H599" i="2"/>
  <c r="G599" i="2"/>
  <c r="E599" i="2"/>
  <c r="I598" i="2"/>
  <c r="J598" i="2" s="1"/>
  <c r="H598" i="2"/>
  <c r="G598" i="2"/>
  <c r="E598" i="2"/>
  <c r="I597" i="2"/>
  <c r="J597" i="2" s="1"/>
  <c r="H597" i="2"/>
  <c r="G597" i="2"/>
  <c r="E597" i="2"/>
  <c r="J596" i="2"/>
  <c r="I596" i="2"/>
  <c r="H596" i="2"/>
  <c r="G596" i="2"/>
  <c r="E596" i="2"/>
  <c r="I595" i="2"/>
  <c r="J595" i="2" s="1"/>
  <c r="H595" i="2"/>
  <c r="G595" i="2"/>
  <c r="E595" i="2"/>
  <c r="I594" i="2"/>
  <c r="J594" i="2" s="1"/>
  <c r="H594" i="2"/>
  <c r="G594" i="2"/>
  <c r="E594" i="2"/>
  <c r="I593" i="2"/>
  <c r="J593" i="2" s="1"/>
  <c r="H593" i="2"/>
  <c r="G593" i="2"/>
  <c r="E593" i="2"/>
  <c r="I592" i="2"/>
  <c r="J592" i="2" s="1"/>
  <c r="H592" i="2"/>
  <c r="G592" i="2"/>
  <c r="E592" i="2"/>
  <c r="J591" i="2"/>
  <c r="I591" i="2"/>
  <c r="H591" i="2"/>
  <c r="G591" i="2"/>
  <c r="E591" i="2"/>
  <c r="I590" i="2"/>
  <c r="J590" i="2" s="1"/>
  <c r="H590" i="2"/>
  <c r="G590" i="2"/>
  <c r="E590" i="2"/>
  <c r="I589" i="2"/>
  <c r="J589" i="2" s="1"/>
  <c r="H589" i="2"/>
  <c r="G589" i="2"/>
  <c r="E589" i="2"/>
  <c r="J588" i="2"/>
  <c r="I588" i="2"/>
  <c r="H588" i="2"/>
  <c r="G588" i="2"/>
  <c r="E588" i="2"/>
  <c r="I587" i="2"/>
  <c r="J587" i="2" s="1"/>
  <c r="H587" i="2"/>
  <c r="G587" i="2"/>
  <c r="E587" i="2"/>
  <c r="I586" i="2"/>
  <c r="J586" i="2" s="1"/>
  <c r="H586" i="2"/>
  <c r="G586" i="2"/>
  <c r="E586" i="2"/>
  <c r="I585" i="2"/>
  <c r="J585" i="2" s="1"/>
  <c r="H585" i="2"/>
  <c r="G585" i="2"/>
  <c r="E585" i="2"/>
  <c r="J584" i="2"/>
  <c r="I584" i="2"/>
  <c r="H584" i="2"/>
  <c r="G584" i="2"/>
  <c r="E584" i="2"/>
  <c r="I583" i="2"/>
  <c r="J583" i="2" s="1"/>
  <c r="H583" i="2"/>
  <c r="G583" i="2"/>
  <c r="E583" i="2"/>
  <c r="I582" i="2"/>
  <c r="J582" i="2" s="1"/>
  <c r="H582" i="2"/>
  <c r="G582" i="2"/>
  <c r="E582" i="2"/>
  <c r="I581" i="2"/>
  <c r="J581" i="2" s="1"/>
  <c r="H581" i="2"/>
  <c r="G581" i="2"/>
  <c r="E581" i="2"/>
  <c r="I580" i="2"/>
  <c r="J580" i="2" s="1"/>
  <c r="H580" i="2"/>
  <c r="G580" i="2"/>
  <c r="E580" i="2"/>
  <c r="J579" i="2"/>
  <c r="I579" i="2"/>
  <c r="H579" i="2"/>
  <c r="G579" i="2"/>
  <c r="E579" i="2"/>
  <c r="I578" i="2"/>
  <c r="J578" i="2" s="1"/>
  <c r="H578" i="2"/>
  <c r="G578" i="2"/>
  <c r="E578" i="2"/>
  <c r="I577" i="2"/>
  <c r="J577" i="2" s="1"/>
  <c r="H577" i="2"/>
  <c r="G577" i="2"/>
  <c r="E577" i="2"/>
  <c r="J576" i="2"/>
  <c r="I576" i="2"/>
  <c r="H576" i="2"/>
  <c r="G576" i="2"/>
  <c r="E576" i="2"/>
  <c r="I575" i="2"/>
  <c r="J575" i="2" s="1"/>
  <c r="H575" i="2"/>
  <c r="G575" i="2"/>
  <c r="E575" i="2"/>
  <c r="I574" i="2"/>
  <c r="J574" i="2" s="1"/>
  <c r="H574" i="2"/>
  <c r="G574" i="2"/>
  <c r="E574" i="2"/>
  <c r="I573" i="2"/>
  <c r="J573" i="2" s="1"/>
  <c r="H573" i="2"/>
  <c r="G573" i="2"/>
  <c r="E573" i="2"/>
  <c r="J572" i="2"/>
  <c r="I572" i="2"/>
  <c r="H572" i="2"/>
  <c r="G572" i="2"/>
  <c r="E572" i="2"/>
  <c r="I571" i="2"/>
  <c r="J571" i="2" s="1"/>
  <c r="H571" i="2"/>
  <c r="G571" i="2"/>
  <c r="E571" i="2"/>
  <c r="I570" i="2"/>
  <c r="J570" i="2" s="1"/>
  <c r="H570" i="2"/>
  <c r="G570" i="2"/>
  <c r="E570" i="2"/>
  <c r="I569" i="2"/>
  <c r="J569" i="2" s="1"/>
  <c r="H569" i="2"/>
  <c r="G569" i="2"/>
  <c r="E569" i="2"/>
  <c r="I568" i="2"/>
  <c r="J568" i="2" s="1"/>
  <c r="H568" i="2"/>
  <c r="G568" i="2"/>
  <c r="E568" i="2"/>
  <c r="J567" i="2"/>
  <c r="I567" i="2"/>
  <c r="H567" i="2"/>
  <c r="G567" i="2"/>
  <c r="E567" i="2"/>
  <c r="I566" i="2"/>
  <c r="J566" i="2" s="1"/>
  <c r="H566" i="2"/>
  <c r="G566" i="2"/>
  <c r="E566" i="2"/>
  <c r="I565" i="2"/>
  <c r="J565" i="2" s="1"/>
  <c r="H565" i="2"/>
  <c r="G565" i="2"/>
  <c r="E565" i="2"/>
  <c r="J564" i="2"/>
  <c r="I564" i="2"/>
  <c r="H564" i="2"/>
  <c r="G564" i="2"/>
  <c r="E564" i="2"/>
  <c r="I563" i="2"/>
  <c r="J563" i="2" s="1"/>
  <c r="H563" i="2"/>
  <c r="G563" i="2"/>
  <c r="E563" i="2"/>
  <c r="I562" i="2"/>
  <c r="J562" i="2" s="1"/>
  <c r="H562" i="2"/>
  <c r="G562" i="2"/>
  <c r="E562" i="2"/>
  <c r="I561" i="2"/>
  <c r="J561" i="2" s="1"/>
  <c r="H561" i="2"/>
  <c r="G561" i="2"/>
  <c r="E561" i="2"/>
  <c r="J560" i="2"/>
  <c r="I560" i="2"/>
  <c r="H560" i="2"/>
  <c r="G560" i="2"/>
  <c r="E560" i="2"/>
  <c r="I559" i="2"/>
  <c r="J559" i="2" s="1"/>
  <c r="H559" i="2"/>
  <c r="G559" i="2"/>
  <c r="E559" i="2"/>
  <c r="I558" i="2"/>
  <c r="J558" i="2" s="1"/>
  <c r="H558" i="2"/>
  <c r="G558" i="2"/>
  <c r="E558" i="2"/>
  <c r="I557" i="2"/>
  <c r="J557" i="2" s="1"/>
  <c r="H557" i="2"/>
  <c r="G557" i="2"/>
  <c r="E557" i="2"/>
  <c r="I556" i="2"/>
  <c r="J556" i="2" s="1"/>
  <c r="H556" i="2"/>
  <c r="G556" i="2"/>
  <c r="E556" i="2"/>
  <c r="J555" i="2"/>
  <c r="I555" i="2"/>
  <c r="H555" i="2"/>
  <c r="G555" i="2"/>
  <c r="E555" i="2"/>
  <c r="I554" i="2"/>
  <c r="J554" i="2" s="1"/>
  <c r="H554" i="2"/>
  <c r="G554" i="2"/>
  <c r="E554" i="2"/>
  <c r="I553" i="2"/>
  <c r="J553" i="2" s="1"/>
  <c r="H553" i="2"/>
  <c r="G553" i="2"/>
  <c r="E553" i="2"/>
  <c r="J552" i="2"/>
  <c r="I552" i="2"/>
  <c r="H552" i="2"/>
  <c r="G552" i="2"/>
  <c r="E552" i="2"/>
  <c r="I551" i="2"/>
  <c r="J551" i="2" s="1"/>
  <c r="H551" i="2"/>
  <c r="G551" i="2"/>
  <c r="E551" i="2"/>
  <c r="I550" i="2"/>
  <c r="J550" i="2" s="1"/>
  <c r="H550" i="2"/>
  <c r="G550" i="2"/>
  <c r="E550" i="2"/>
  <c r="I549" i="2"/>
  <c r="J549" i="2" s="1"/>
  <c r="H549" i="2"/>
  <c r="G549" i="2"/>
  <c r="E549" i="2"/>
  <c r="J548" i="2"/>
  <c r="I548" i="2"/>
  <c r="H548" i="2"/>
  <c r="G548" i="2"/>
  <c r="E548" i="2"/>
  <c r="I547" i="2"/>
  <c r="J547" i="2" s="1"/>
  <c r="H547" i="2"/>
  <c r="G547" i="2"/>
  <c r="E547" i="2"/>
  <c r="I546" i="2"/>
  <c r="J546" i="2" s="1"/>
  <c r="H546" i="2"/>
  <c r="G546" i="2"/>
  <c r="E546" i="2"/>
  <c r="I545" i="2"/>
  <c r="J545" i="2" s="1"/>
  <c r="H545" i="2"/>
  <c r="G545" i="2"/>
  <c r="E545" i="2"/>
  <c r="I544" i="2"/>
  <c r="J544" i="2" s="1"/>
  <c r="H544" i="2"/>
  <c r="G544" i="2"/>
  <c r="E544" i="2"/>
  <c r="J543" i="2"/>
  <c r="I543" i="2"/>
  <c r="H543" i="2"/>
  <c r="G543" i="2"/>
  <c r="E543" i="2"/>
  <c r="I542" i="2"/>
  <c r="J542" i="2" s="1"/>
  <c r="H542" i="2"/>
  <c r="G542" i="2"/>
  <c r="E542" i="2"/>
  <c r="I541" i="2"/>
  <c r="J541" i="2" s="1"/>
  <c r="H541" i="2"/>
  <c r="G541" i="2"/>
  <c r="E541" i="2"/>
  <c r="J540" i="2"/>
  <c r="I540" i="2"/>
  <c r="H540" i="2"/>
  <c r="G540" i="2"/>
  <c r="E540" i="2"/>
  <c r="I539" i="2"/>
  <c r="J539" i="2" s="1"/>
  <c r="H539" i="2"/>
  <c r="G539" i="2"/>
  <c r="E539" i="2"/>
  <c r="I538" i="2"/>
  <c r="J538" i="2" s="1"/>
  <c r="H538" i="2"/>
  <c r="G538" i="2"/>
  <c r="E538" i="2"/>
  <c r="I537" i="2"/>
  <c r="J537" i="2" s="1"/>
  <c r="H537" i="2"/>
  <c r="G537" i="2"/>
  <c r="E537" i="2"/>
  <c r="J536" i="2"/>
  <c r="I536" i="2"/>
  <c r="H536" i="2"/>
  <c r="G536" i="2"/>
  <c r="E536" i="2"/>
  <c r="I535" i="2"/>
  <c r="J535" i="2" s="1"/>
  <c r="H535" i="2"/>
  <c r="G535" i="2"/>
  <c r="E535" i="2"/>
  <c r="I534" i="2"/>
  <c r="J534" i="2" s="1"/>
  <c r="H534" i="2"/>
  <c r="G534" i="2"/>
  <c r="E534" i="2"/>
  <c r="I533" i="2"/>
  <c r="J533" i="2" s="1"/>
  <c r="H533" i="2"/>
  <c r="G533" i="2"/>
  <c r="E533" i="2"/>
  <c r="I532" i="2"/>
  <c r="J532" i="2" s="1"/>
  <c r="H532" i="2"/>
  <c r="G532" i="2"/>
  <c r="E532" i="2"/>
  <c r="J531" i="2"/>
  <c r="I531" i="2"/>
  <c r="H531" i="2"/>
  <c r="G531" i="2"/>
  <c r="E531" i="2"/>
  <c r="I530" i="2"/>
  <c r="J530" i="2" s="1"/>
  <c r="H530" i="2"/>
  <c r="G530" i="2"/>
  <c r="E530" i="2"/>
  <c r="I529" i="2"/>
  <c r="J529" i="2" s="1"/>
  <c r="H529" i="2"/>
  <c r="G529" i="2"/>
  <c r="E529" i="2"/>
  <c r="J528" i="2"/>
  <c r="I528" i="2"/>
  <c r="H528" i="2"/>
  <c r="G528" i="2"/>
  <c r="E528" i="2"/>
  <c r="I527" i="2"/>
  <c r="J527" i="2" s="1"/>
  <c r="H527" i="2"/>
  <c r="G527" i="2"/>
  <c r="E527" i="2"/>
  <c r="I526" i="2"/>
  <c r="J526" i="2" s="1"/>
  <c r="H526" i="2"/>
  <c r="G526" i="2"/>
  <c r="E526" i="2"/>
  <c r="I525" i="2"/>
  <c r="J525" i="2" s="1"/>
  <c r="H525" i="2"/>
  <c r="G525" i="2"/>
  <c r="E525" i="2"/>
  <c r="J524" i="2"/>
  <c r="I524" i="2"/>
  <c r="H524" i="2"/>
  <c r="G524" i="2"/>
  <c r="E524" i="2"/>
  <c r="I523" i="2"/>
  <c r="J523" i="2" s="1"/>
  <c r="H523" i="2"/>
  <c r="G523" i="2"/>
  <c r="E523" i="2"/>
  <c r="I522" i="2"/>
  <c r="J522" i="2" s="1"/>
  <c r="H522" i="2"/>
  <c r="G522" i="2"/>
  <c r="E522" i="2"/>
  <c r="I521" i="2"/>
  <c r="J521" i="2" s="1"/>
  <c r="H521" i="2"/>
  <c r="G521" i="2"/>
  <c r="E521" i="2"/>
  <c r="I520" i="2"/>
  <c r="J520" i="2" s="1"/>
  <c r="H520" i="2"/>
  <c r="G520" i="2"/>
  <c r="E520" i="2"/>
  <c r="J519" i="2"/>
  <c r="I519" i="2"/>
  <c r="H519" i="2"/>
  <c r="G519" i="2"/>
  <c r="E519" i="2"/>
  <c r="I518" i="2"/>
  <c r="J518" i="2" s="1"/>
  <c r="H518" i="2"/>
  <c r="G518" i="2"/>
  <c r="E518" i="2"/>
  <c r="I517" i="2"/>
  <c r="J517" i="2" s="1"/>
  <c r="H517" i="2"/>
  <c r="G517" i="2"/>
  <c r="E517" i="2"/>
  <c r="J516" i="2"/>
  <c r="I516" i="2"/>
  <c r="H516" i="2"/>
  <c r="G516" i="2"/>
  <c r="E516" i="2"/>
  <c r="I515" i="2"/>
  <c r="J515" i="2" s="1"/>
  <c r="H515" i="2"/>
  <c r="G515" i="2"/>
  <c r="E515" i="2"/>
  <c r="I514" i="2"/>
  <c r="J514" i="2" s="1"/>
  <c r="H514" i="2"/>
  <c r="G514" i="2"/>
  <c r="E514" i="2"/>
  <c r="I513" i="2"/>
  <c r="J513" i="2" s="1"/>
  <c r="H513" i="2"/>
  <c r="G513" i="2"/>
  <c r="E513" i="2"/>
  <c r="J512" i="2"/>
  <c r="I512" i="2"/>
  <c r="H512" i="2"/>
  <c r="G512" i="2"/>
  <c r="E512" i="2"/>
  <c r="I511" i="2"/>
  <c r="J511" i="2" s="1"/>
  <c r="H511" i="2"/>
  <c r="G511" i="2"/>
  <c r="E511" i="2"/>
  <c r="I510" i="2"/>
  <c r="J510" i="2" s="1"/>
  <c r="H510" i="2"/>
  <c r="G510" i="2"/>
  <c r="E510" i="2"/>
  <c r="I509" i="2"/>
  <c r="J509" i="2" s="1"/>
  <c r="H509" i="2"/>
  <c r="G509" i="2"/>
  <c r="E509" i="2"/>
  <c r="I508" i="2"/>
  <c r="J508" i="2" s="1"/>
  <c r="H508" i="2"/>
  <c r="G508" i="2"/>
  <c r="E508" i="2"/>
  <c r="J507" i="2"/>
  <c r="I507" i="2"/>
  <c r="H507" i="2"/>
  <c r="G507" i="2"/>
  <c r="E507" i="2"/>
  <c r="I506" i="2"/>
  <c r="J506" i="2" s="1"/>
  <c r="H506" i="2"/>
  <c r="G506" i="2"/>
  <c r="E506" i="2"/>
  <c r="I505" i="2"/>
  <c r="J505" i="2" s="1"/>
  <c r="H505" i="2"/>
  <c r="G505" i="2"/>
  <c r="E505" i="2"/>
  <c r="J504" i="2"/>
  <c r="I504" i="2"/>
  <c r="H504" i="2"/>
  <c r="G504" i="2"/>
  <c r="E504" i="2"/>
  <c r="I503" i="2"/>
  <c r="J503" i="2" s="1"/>
  <c r="H503" i="2"/>
  <c r="G503" i="2"/>
  <c r="E503" i="2"/>
  <c r="I502" i="2"/>
  <c r="J502" i="2" s="1"/>
  <c r="H502" i="2"/>
  <c r="G502" i="2"/>
  <c r="E502" i="2"/>
  <c r="I501" i="2"/>
  <c r="J501" i="2" s="1"/>
  <c r="H501" i="2"/>
  <c r="G501" i="2"/>
  <c r="E501" i="2"/>
  <c r="J500" i="2"/>
  <c r="I500" i="2"/>
  <c r="H500" i="2"/>
  <c r="G500" i="2"/>
  <c r="E500" i="2"/>
  <c r="I499" i="2"/>
  <c r="J499" i="2" s="1"/>
  <c r="H499" i="2"/>
  <c r="G499" i="2"/>
  <c r="E499" i="2"/>
  <c r="I498" i="2"/>
  <c r="J498" i="2" s="1"/>
  <c r="H498" i="2"/>
  <c r="G498" i="2"/>
  <c r="E498" i="2"/>
  <c r="I497" i="2"/>
  <c r="J497" i="2" s="1"/>
  <c r="H497" i="2"/>
  <c r="G497" i="2"/>
  <c r="E497" i="2"/>
  <c r="I496" i="2"/>
  <c r="J496" i="2" s="1"/>
  <c r="H496" i="2"/>
  <c r="G496" i="2"/>
  <c r="E496" i="2"/>
  <c r="J495" i="2"/>
  <c r="I495" i="2"/>
  <c r="H495" i="2"/>
  <c r="G495" i="2"/>
  <c r="E495" i="2"/>
  <c r="I494" i="2"/>
  <c r="J494" i="2" s="1"/>
  <c r="H494" i="2"/>
  <c r="G494" i="2"/>
  <c r="E494" i="2"/>
  <c r="I493" i="2"/>
  <c r="J493" i="2" s="1"/>
  <c r="H493" i="2"/>
  <c r="G493" i="2"/>
  <c r="E493" i="2"/>
  <c r="J492" i="2"/>
  <c r="I492" i="2"/>
  <c r="H492" i="2"/>
  <c r="G492" i="2"/>
  <c r="E492" i="2"/>
  <c r="I491" i="2"/>
  <c r="J491" i="2" s="1"/>
  <c r="H491" i="2"/>
  <c r="G491" i="2"/>
  <c r="E491" i="2"/>
  <c r="I490" i="2"/>
  <c r="J490" i="2" s="1"/>
  <c r="H490" i="2"/>
  <c r="G490" i="2"/>
  <c r="E490" i="2"/>
  <c r="I489" i="2"/>
  <c r="J489" i="2" s="1"/>
  <c r="H489" i="2"/>
  <c r="G489" i="2"/>
  <c r="E489" i="2"/>
  <c r="J488" i="2"/>
  <c r="I488" i="2"/>
  <c r="H488" i="2"/>
  <c r="G488" i="2"/>
  <c r="E488" i="2"/>
  <c r="I487" i="2"/>
  <c r="J487" i="2" s="1"/>
  <c r="H487" i="2"/>
  <c r="G487" i="2"/>
  <c r="E487" i="2"/>
  <c r="I486" i="2"/>
  <c r="J486" i="2" s="1"/>
  <c r="H486" i="2"/>
  <c r="G486" i="2"/>
  <c r="E486" i="2"/>
  <c r="I485" i="2"/>
  <c r="J485" i="2" s="1"/>
  <c r="H485" i="2"/>
  <c r="G485" i="2"/>
  <c r="E485" i="2"/>
  <c r="I484" i="2"/>
  <c r="J484" i="2" s="1"/>
  <c r="H484" i="2"/>
  <c r="G484" i="2"/>
  <c r="E484" i="2"/>
  <c r="I483" i="2"/>
  <c r="J483" i="2" s="1"/>
  <c r="H483" i="2"/>
  <c r="G483" i="2"/>
  <c r="E483" i="2"/>
  <c r="I482" i="2"/>
  <c r="J482" i="2" s="1"/>
  <c r="H482" i="2"/>
  <c r="G482" i="2"/>
  <c r="E482" i="2"/>
  <c r="J481" i="2"/>
  <c r="I481" i="2"/>
  <c r="H481" i="2"/>
  <c r="G481" i="2"/>
  <c r="E481" i="2"/>
  <c r="J480" i="2"/>
  <c r="I480" i="2"/>
  <c r="H480" i="2"/>
  <c r="G480" i="2"/>
  <c r="E480" i="2"/>
  <c r="I479" i="2"/>
  <c r="J479" i="2" s="1"/>
  <c r="H479" i="2"/>
  <c r="G479" i="2"/>
  <c r="E479" i="2"/>
  <c r="I478" i="2"/>
  <c r="J478" i="2" s="1"/>
  <c r="H478" i="2"/>
  <c r="G478" i="2"/>
  <c r="E478" i="2"/>
  <c r="J477" i="2"/>
  <c r="I477" i="2"/>
  <c r="H477" i="2"/>
  <c r="G477" i="2"/>
  <c r="E477" i="2"/>
  <c r="J476" i="2"/>
  <c r="I476" i="2"/>
  <c r="H476" i="2"/>
  <c r="G476" i="2"/>
  <c r="E476" i="2"/>
  <c r="J475" i="2"/>
  <c r="I475" i="2"/>
  <c r="H475" i="2"/>
  <c r="G475" i="2"/>
  <c r="E475" i="2"/>
  <c r="I474" i="2"/>
  <c r="J474" i="2" s="1"/>
  <c r="H474" i="2"/>
  <c r="G474" i="2"/>
  <c r="E474" i="2"/>
  <c r="I473" i="2"/>
  <c r="J473" i="2" s="1"/>
  <c r="H473" i="2"/>
  <c r="G473" i="2"/>
  <c r="E473" i="2"/>
  <c r="I472" i="2"/>
  <c r="J472" i="2" s="1"/>
  <c r="H472" i="2"/>
  <c r="G472" i="2"/>
  <c r="E472" i="2"/>
  <c r="I471" i="2"/>
  <c r="J471" i="2" s="1"/>
  <c r="H471" i="2"/>
  <c r="G471" i="2"/>
  <c r="E471" i="2"/>
  <c r="I470" i="2"/>
  <c r="J470" i="2" s="1"/>
  <c r="H470" i="2"/>
  <c r="G470" i="2"/>
  <c r="E470" i="2"/>
  <c r="I469" i="2"/>
  <c r="J469" i="2" s="1"/>
  <c r="H469" i="2"/>
  <c r="G469" i="2"/>
  <c r="E469" i="2"/>
  <c r="J468" i="2"/>
  <c r="I468" i="2"/>
  <c r="H468" i="2"/>
  <c r="G468" i="2"/>
  <c r="E468" i="2"/>
  <c r="I467" i="2"/>
  <c r="J467" i="2" s="1"/>
  <c r="H467" i="2"/>
  <c r="G467" i="2"/>
  <c r="E467" i="2"/>
  <c r="I466" i="2"/>
  <c r="J466" i="2" s="1"/>
  <c r="H466" i="2"/>
  <c r="G466" i="2"/>
  <c r="E466" i="2"/>
  <c r="I465" i="2"/>
  <c r="J465" i="2" s="1"/>
  <c r="H465" i="2"/>
  <c r="G465" i="2"/>
  <c r="E465" i="2"/>
  <c r="I464" i="2"/>
  <c r="J464" i="2" s="1"/>
  <c r="H464" i="2"/>
  <c r="G464" i="2"/>
  <c r="E464" i="2"/>
  <c r="J463" i="2"/>
  <c r="I463" i="2"/>
  <c r="H463" i="2"/>
  <c r="G463" i="2"/>
  <c r="E463" i="2"/>
  <c r="I462" i="2"/>
  <c r="J462" i="2" s="1"/>
  <c r="H462" i="2"/>
  <c r="G462" i="2"/>
  <c r="E462" i="2"/>
  <c r="I461" i="2"/>
  <c r="J461" i="2" s="1"/>
  <c r="H461" i="2"/>
  <c r="G461" i="2"/>
  <c r="E461" i="2"/>
  <c r="I460" i="2"/>
  <c r="J460" i="2" s="1"/>
  <c r="H460" i="2"/>
  <c r="G460" i="2"/>
  <c r="E460" i="2"/>
  <c r="I459" i="2"/>
  <c r="J459" i="2" s="1"/>
  <c r="H459" i="2"/>
  <c r="G459" i="2"/>
  <c r="E459" i="2"/>
  <c r="J458" i="2"/>
  <c r="I458" i="2"/>
  <c r="H458" i="2"/>
  <c r="G458" i="2"/>
  <c r="E458" i="2"/>
  <c r="I457" i="2"/>
  <c r="J457" i="2" s="1"/>
  <c r="H457" i="2"/>
  <c r="G457" i="2"/>
  <c r="E457" i="2"/>
  <c r="I456" i="2"/>
  <c r="J456" i="2" s="1"/>
  <c r="H456" i="2"/>
  <c r="G456" i="2"/>
  <c r="E456" i="2"/>
  <c r="I455" i="2"/>
  <c r="J455" i="2" s="1"/>
  <c r="H455" i="2"/>
  <c r="G455" i="2"/>
  <c r="E455" i="2"/>
  <c r="I454" i="2"/>
  <c r="J454" i="2" s="1"/>
  <c r="H454" i="2"/>
  <c r="G454" i="2"/>
  <c r="E454" i="2"/>
  <c r="J453" i="2"/>
  <c r="I453" i="2"/>
  <c r="H453" i="2"/>
  <c r="G453" i="2"/>
  <c r="E453" i="2"/>
  <c r="I452" i="2"/>
  <c r="J452" i="2" s="1"/>
  <c r="H452" i="2"/>
  <c r="G452" i="2"/>
  <c r="E452" i="2"/>
  <c r="I451" i="2"/>
  <c r="J451" i="2" s="1"/>
  <c r="H451" i="2"/>
  <c r="G451" i="2"/>
  <c r="E451" i="2"/>
  <c r="I450" i="2"/>
  <c r="J450" i="2" s="1"/>
  <c r="H450" i="2"/>
  <c r="G450" i="2"/>
  <c r="E450" i="2"/>
  <c r="J449" i="2"/>
  <c r="I449" i="2"/>
  <c r="H449" i="2"/>
  <c r="G449" i="2"/>
  <c r="E449" i="2"/>
  <c r="I448" i="2"/>
  <c r="J448" i="2" s="1"/>
  <c r="H448" i="2"/>
  <c r="G448" i="2"/>
  <c r="E448" i="2"/>
  <c r="I447" i="2"/>
  <c r="J447" i="2" s="1"/>
  <c r="H447" i="2"/>
  <c r="G447" i="2"/>
  <c r="E447" i="2"/>
  <c r="I446" i="2"/>
  <c r="J446" i="2" s="1"/>
  <c r="H446" i="2"/>
  <c r="G446" i="2"/>
  <c r="E446" i="2"/>
  <c r="J445" i="2"/>
  <c r="I445" i="2"/>
  <c r="H445" i="2"/>
  <c r="G445" i="2"/>
  <c r="E445" i="2"/>
  <c r="J444" i="2"/>
  <c r="I444" i="2"/>
  <c r="H444" i="2"/>
  <c r="G444" i="2"/>
  <c r="E444" i="2"/>
  <c r="I443" i="2"/>
  <c r="J443" i="2" s="1"/>
  <c r="H443" i="2"/>
  <c r="G443" i="2"/>
  <c r="E443" i="2"/>
  <c r="I442" i="2"/>
  <c r="J442" i="2" s="1"/>
  <c r="H442" i="2"/>
  <c r="G442" i="2"/>
  <c r="E442" i="2"/>
  <c r="J441" i="2"/>
  <c r="I441" i="2"/>
  <c r="H441" i="2"/>
  <c r="G441" i="2"/>
  <c r="E441" i="2"/>
  <c r="J440" i="2"/>
  <c r="I440" i="2"/>
  <c r="H440" i="2"/>
  <c r="G440" i="2"/>
  <c r="E440" i="2"/>
  <c r="I439" i="2"/>
  <c r="J439" i="2" s="1"/>
  <c r="H439" i="2"/>
  <c r="G439" i="2"/>
  <c r="E439" i="2"/>
  <c r="I438" i="2"/>
  <c r="J438" i="2" s="1"/>
  <c r="H438" i="2"/>
  <c r="G438" i="2"/>
  <c r="E438" i="2"/>
  <c r="I437" i="2"/>
  <c r="J437" i="2" s="1"/>
  <c r="H437" i="2"/>
  <c r="G437" i="2"/>
  <c r="E437" i="2"/>
  <c r="I436" i="2"/>
  <c r="J436" i="2" s="1"/>
  <c r="H436" i="2"/>
  <c r="G436" i="2"/>
  <c r="E436" i="2"/>
  <c r="I435" i="2"/>
  <c r="J435" i="2" s="1"/>
  <c r="H435" i="2"/>
  <c r="G435" i="2"/>
  <c r="E435" i="2"/>
  <c r="I434" i="2"/>
  <c r="J434" i="2" s="1"/>
  <c r="H434" i="2"/>
  <c r="G434" i="2"/>
  <c r="E434" i="2"/>
  <c r="I433" i="2"/>
  <c r="J433" i="2" s="1"/>
  <c r="H433" i="2"/>
  <c r="G433" i="2"/>
  <c r="E433" i="2"/>
  <c r="J432" i="2"/>
  <c r="I432" i="2"/>
  <c r="H432" i="2"/>
  <c r="G432" i="2"/>
  <c r="E432" i="2"/>
  <c r="I431" i="2"/>
  <c r="J431" i="2" s="1"/>
  <c r="H431" i="2"/>
  <c r="G431" i="2"/>
  <c r="E431" i="2"/>
  <c r="I430" i="2"/>
  <c r="J430" i="2" s="1"/>
  <c r="H430" i="2"/>
  <c r="G430" i="2"/>
  <c r="E430" i="2"/>
  <c r="I429" i="2"/>
  <c r="J429" i="2" s="1"/>
  <c r="H429" i="2"/>
  <c r="G429" i="2"/>
  <c r="E429" i="2"/>
  <c r="I428" i="2"/>
  <c r="J428" i="2" s="1"/>
  <c r="H428" i="2"/>
  <c r="G428" i="2"/>
  <c r="E428" i="2"/>
  <c r="I427" i="2"/>
  <c r="J427" i="2" s="1"/>
  <c r="H427" i="2"/>
  <c r="G427" i="2"/>
  <c r="E427" i="2"/>
  <c r="I426" i="2"/>
  <c r="J426" i="2" s="1"/>
  <c r="H426" i="2"/>
  <c r="G426" i="2"/>
  <c r="E426" i="2"/>
  <c r="I425" i="2"/>
  <c r="J425" i="2" s="1"/>
  <c r="H425" i="2"/>
  <c r="G425" i="2"/>
  <c r="E425" i="2"/>
  <c r="I424" i="2"/>
  <c r="J424" i="2" s="1"/>
  <c r="H424" i="2"/>
  <c r="G424" i="2"/>
  <c r="E424" i="2"/>
  <c r="I423" i="2"/>
  <c r="J423" i="2" s="1"/>
  <c r="H423" i="2"/>
  <c r="G423" i="2"/>
  <c r="E423" i="2"/>
  <c r="J422" i="2"/>
  <c r="I422" i="2"/>
  <c r="H422" i="2"/>
  <c r="G422" i="2"/>
  <c r="E422" i="2"/>
  <c r="I421" i="2"/>
  <c r="J421" i="2" s="1"/>
  <c r="H421" i="2"/>
  <c r="G421" i="2"/>
  <c r="E421" i="2"/>
  <c r="I420" i="2"/>
  <c r="J420" i="2" s="1"/>
  <c r="H420" i="2"/>
  <c r="G420" i="2"/>
  <c r="E420" i="2"/>
  <c r="I419" i="2"/>
  <c r="J419" i="2" s="1"/>
  <c r="H419" i="2"/>
  <c r="G419" i="2"/>
  <c r="E419" i="2"/>
  <c r="J418" i="2"/>
  <c r="I418" i="2"/>
  <c r="H418" i="2"/>
  <c r="G418" i="2"/>
  <c r="E418" i="2"/>
  <c r="I417" i="2"/>
  <c r="J417" i="2" s="1"/>
  <c r="H417" i="2"/>
  <c r="G417" i="2"/>
  <c r="E417" i="2"/>
  <c r="J416" i="2"/>
  <c r="I416" i="2"/>
  <c r="H416" i="2"/>
  <c r="G416" i="2"/>
  <c r="E416" i="2"/>
  <c r="I415" i="2"/>
  <c r="J415" i="2" s="1"/>
  <c r="H415" i="2"/>
  <c r="G415" i="2"/>
  <c r="E415" i="2"/>
  <c r="I414" i="2"/>
  <c r="J414" i="2" s="1"/>
  <c r="H414" i="2"/>
  <c r="G414" i="2"/>
  <c r="E414" i="2"/>
  <c r="J413" i="2"/>
  <c r="I413" i="2"/>
  <c r="H413" i="2"/>
  <c r="G413" i="2"/>
  <c r="E413" i="2"/>
  <c r="J412" i="2"/>
  <c r="I412" i="2"/>
  <c r="H412" i="2"/>
  <c r="G412" i="2"/>
  <c r="E412" i="2"/>
  <c r="I411" i="2"/>
  <c r="J411" i="2" s="1"/>
  <c r="H411" i="2"/>
  <c r="G411" i="2"/>
  <c r="E411" i="2"/>
  <c r="J410" i="2"/>
  <c r="I410" i="2"/>
  <c r="H410" i="2"/>
  <c r="G410" i="2"/>
  <c r="E410" i="2"/>
  <c r="I409" i="2"/>
  <c r="J409" i="2" s="1"/>
  <c r="H409" i="2"/>
  <c r="G409" i="2"/>
  <c r="E409" i="2"/>
  <c r="I408" i="2"/>
  <c r="J408" i="2" s="1"/>
  <c r="H408" i="2"/>
  <c r="G408" i="2"/>
  <c r="E408" i="2"/>
  <c r="I407" i="2"/>
  <c r="J407" i="2" s="1"/>
  <c r="H407" i="2"/>
  <c r="G407" i="2"/>
  <c r="E407" i="2"/>
  <c r="J406" i="2"/>
  <c r="I406" i="2"/>
  <c r="H406" i="2"/>
  <c r="G406" i="2"/>
  <c r="E406" i="2"/>
  <c r="I405" i="2"/>
  <c r="J405" i="2" s="1"/>
  <c r="H405" i="2"/>
  <c r="G405" i="2"/>
  <c r="E405" i="2"/>
  <c r="J404" i="2"/>
  <c r="I404" i="2"/>
  <c r="H404" i="2"/>
  <c r="G404" i="2"/>
  <c r="E404" i="2"/>
  <c r="I403" i="2"/>
  <c r="J403" i="2" s="1"/>
  <c r="H403" i="2"/>
  <c r="G403" i="2"/>
  <c r="E403" i="2"/>
  <c r="I402" i="2"/>
  <c r="J402" i="2" s="1"/>
  <c r="H402" i="2"/>
  <c r="G402" i="2"/>
  <c r="E402" i="2"/>
  <c r="J401" i="2"/>
  <c r="I401" i="2"/>
  <c r="H401" i="2"/>
  <c r="G401" i="2"/>
  <c r="E401" i="2"/>
  <c r="J400" i="2"/>
  <c r="I400" i="2"/>
  <c r="H400" i="2"/>
  <c r="G400" i="2"/>
  <c r="E400" i="2"/>
  <c r="I399" i="2"/>
  <c r="J399" i="2" s="1"/>
  <c r="H399" i="2"/>
  <c r="G399" i="2"/>
  <c r="E399" i="2"/>
  <c r="J398" i="2"/>
  <c r="I398" i="2"/>
  <c r="H398" i="2"/>
  <c r="G398" i="2"/>
  <c r="E398" i="2"/>
  <c r="I397" i="2"/>
  <c r="J397" i="2" s="1"/>
  <c r="H397" i="2"/>
  <c r="G397" i="2"/>
  <c r="E397" i="2"/>
  <c r="I396" i="2"/>
  <c r="J396" i="2" s="1"/>
  <c r="H396" i="2"/>
  <c r="G396" i="2"/>
  <c r="E396" i="2"/>
  <c r="I395" i="2"/>
  <c r="J395" i="2" s="1"/>
  <c r="H395" i="2"/>
  <c r="G395" i="2"/>
  <c r="E395" i="2"/>
  <c r="J394" i="2"/>
  <c r="I394" i="2"/>
  <c r="H394" i="2"/>
  <c r="G394" i="2"/>
  <c r="E394" i="2"/>
  <c r="I393" i="2"/>
  <c r="J393" i="2" s="1"/>
  <c r="H393" i="2"/>
  <c r="G393" i="2"/>
  <c r="E393" i="2"/>
  <c r="J392" i="2"/>
  <c r="I392" i="2"/>
  <c r="H392" i="2"/>
  <c r="G392" i="2"/>
  <c r="E392" i="2"/>
  <c r="I391" i="2"/>
  <c r="J391" i="2" s="1"/>
  <c r="H391" i="2"/>
  <c r="G391" i="2"/>
  <c r="E391" i="2"/>
  <c r="I390" i="2"/>
  <c r="J390" i="2" s="1"/>
  <c r="H390" i="2"/>
  <c r="G390" i="2"/>
  <c r="E390" i="2"/>
  <c r="J389" i="2"/>
  <c r="I389" i="2"/>
  <c r="H389" i="2"/>
  <c r="G389" i="2"/>
  <c r="E389" i="2"/>
  <c r="J388" i="2"/>
  <c r="I388" i="2"/>
  <c r="H388" i="2"/>
  <c r="G388" i="2"/>
  <c r="E388" i="2"/>
  <c r="I387" i="2"/>
  <c r="J387" i="2" s="1"/>
  <c r="H387" i="2"/>
  <c r="G387" i="2"/>
  <c r="E387" i="2"/>
  <c r="J386" i="2"/>
  <c r="I386" i="2"/>
  <c r="H386" i="2"/>
  <c r="G386" i="2"/>
  <c r="E386" i="2"/>
  <c r="I385" i="2"/>
  <c r="J385" i="2" s="1"/>
  <c r="H385" i="2"/>
  <c r="G385" i="2"/>
  <c r="E385" i="2"/>
  <c r="I384" i="2"/>
  <c r="J384" i="2" s="1"/>
  <c r="H384" i="2"/>
  <c r="G384" i="2"/>
  <c r="E384" i="2"/>
  <c r="I383" i="2"/>
  <c r="J383" i="2" s="1"/>
  <c r="H383" i="2"/>
  <c r="G383" i="2"/>
  <c r="E383" i="2"/>
  <c r="J382" i="2"/>
  <c r="I382" i="2"/>
  <c r="H382" i="2"/>
  <c r="G382" i="2"/>
  <c r="E382" i="2"/>
  <c r="I381" i="2"/>
  <c r="J381" i="2" s="1"/>
  <c r="H381" i="2"/>
  <c r="G381" i="2"/>
  <c r="E381" i="2"/>
  <c r="J380" i="2"/>
  <c r="I380" i="2"/>
  <c r="H380" i="2"/>
  <c r="G380" i="2"/>
  <c r="E380" i="2"/>
  <c r="I379" i="2"/>
  <c r="J379" i="2" s="1"/>
  <c r="H379" i="2"/>
  <c r="G379" i="2"/>
  <c r="E379" i="2"/>
  <c r="I378" i="2"/>
  <c r="J378" i="2" s="1"/>
  <c r="H378" i="2"/>
  <c r="G378" i="2"/>
  <c r="E378" i="2"/>
  <c r="J377" i="2"/>
  <c r="I377" i="2"/>
  <c r="H377" i="2"/>
  <c r="G377" i="2"/>
  <c r="E377" i="2"/>
  <c r="J376" i="2"/>
  <c r="I376" i="2"/>
  <c r="H376" i="2"/>
  <c r="G376" i="2"/>
  <c r="E376" i="2"/>
  <c r="I375" i="2"/>
  <c r="J375" i="2" s="1"/>
  <c r="H375" i="2"/>
  <c r="G375" i="2"/>
  <c r="E375" i="2"/>
  <c r="J374" i="2"/>
  <c r="I374" i="2"/>
  <c r="H374" i="2"/>
  <c r="G374" i="2"/>
  <c r="E374" i="2"/>
  <c r="I373" i="2"/>
  <c r="J373" i="2" s="1"/>
  <c r="H373" i="2"/>
  <c r="G373" i="2"/>
  <c r="E373" i="2"/>
  <c r="I372" i="2"/>
  <c r="J372" i="2" s="1"/>
  <c r="H372" i="2"/>
  <c r="G372" i="2"/>
  <c r="E372" i="2"/>
  <c r="I371" i="2"/>
  <c r="J371" i="2" s="1"/>
  <c r="H371" i="2"/>
  <c r="G371" i="2"/>
  <c r="E371" i="2"/>
  <c r="J370" i="2"/>
  <c r="I370" i="2"/>
  <c r="H370" i="2"/>
  <c r="G370" i="2"/>
  <c r="E370" i="2"/>
  <c r="I369" i="2"/>
  <c r="J369" i="2" s="1"/>
  <c r="H369" i="2"/>
  <c r="G369" i="2"/>
  <c r="E369" i="2"/>
  <c r="J368" i="2"/>
  <c r="I368" i="2"/>
  <c r="H368" i="2"/>
  <c r="G368" i="2"/>
  <c r="E368" i="2"/>
  <c r="I367" i="2"/>
  <c r="J367" i="2" s="1"/>
  <c r="H367" i="2"/>
  <c r="G367" i="2"/>
  <c r="E367" i="2"/>
  <c r="I366" i="2"/>
  <c r="J366" i="2" s="1"/>
  <c r="H366" i="2"/>
  <c r="G366" i="2"/>
  <c r="E366" i="2"/>
  <c r="J365" i="2"/>
  <c r="I365" i="2"/>
  <c r="H365" i="2"/>
  <c r="G365" i="2"/>
  <c r="E365" i="2"/>
  <c r="J364" i="2"/>
  <c r="I364" i="2"/>
  <c r="H364" i="2"/>
  <c r="G364" i="2"/>
  <c r="E364" i="2"/>
  <c r="I363" i="2"/>
  <c r="J363" i="2" s="1"/>
  <c r="H363" i="2"/>
  <c r="G363" i="2"/>
  <c r="E363" i="2"/>
  <c r="J362" i="2"/>
  <c r="I362" i="2"/>
  <c r="H362" i="2"/>
  <c r="G362" i="2"/>
  <c r="E362" i="2"/>
  <c r="I361" i="2"/>
  <c r="J361" i="2" s="1"/>
  <c r="H361" i="2"/>
  <c r="G361" i="2"/>
  <c r="E361" i="2"/>
  <c r="I360" i="2"/>
  <c r="J360" i="2" s="1"/>
  <c r="H360" i="2"/>
  <c r="G360" i="2"/>
  <c r="E360" i="2"/>
  <c r="I359" i="2"/>
  <c r="J359" i="2" s="1"/>
  <c r="H359" i="2"/>
  <c r="G359" i="2"/>
  <c r="E359" i="2"/>
  <c r="J358" i="2"/>
  <c r="I358" i="2"/>
  <c r="H358" i="2"/>
  <c r="G358" i="2"/>
  <c r="E358" i="2"/>
  <c r="I357" i="2"/>
  <c r="J357" i="2" s="1"/>
  <c r="H357" i="2"/>
  <c r="G357" i="2"/>
  <c r="E357" i="2"/>
  <c r="J356" i="2"/>
  <c r="I356" i="2"/>
  <c r="H356" i="2"/>
  <c r="G356" i="2"/>
  <c r="E356" i="2"/>
  <c r="I355" i="2"/>
  <c r="J355" i="2" s="1"/>
  <c r="H355" i="2"/>
  <c r="G355" i="2"/>
  <c r="E355" i="2"/>
  <c r="I354" i="2"/>
  <c r="J354" i="2" s="1"/>
  <c r="H354" i="2"/>
  <c r="G354" i="2"/>
  <c r="E354" i="2"/>
  <c r="J353" i="2"/>
  <c r="I353" i="2"/>
  <c r="H353" i="2"/>
  <c r="G353" i="2"/>
  <c r="E353" i="2"/>
  <c r="J352" i="2"/>
  <c r="I352" i="2"/>
  <c r="H352" i="2"/>
  <c r="G352" i="2"/>
  <c r="E352" i="2"/>
  <c r="I351" i="2"/>
  <c r="J351" i="2" s="1"/>
  <c r="H351" i="2"/>
  <c r="G351" i="2"/>
  <c r="E351" i="2"/>
  <c r="J350" i="2"/>
  <c r="I350" i="2"/>
  <c r="H350" i="2"/>
  <c r="G350" i="2"/>
  <c r="E350" i="2"/>
  <c r="I349" i="2"/>
  <c r="J349" i="2" s="1"/>
  <c r="H349" i="2"/>
  <c r="G349" i="2"/>
  <c r="E349" i="2"/>
  <c r="I348" i="2"/>
  <c r="J348" i="2" s="1"/>
  <c r="H348" i="2"/>
  <c r="G348" i="2"/>
  <c r="E348" i="2"/>
  <c r="I347" i="2"/>
  <c r="J347" i="2" s="1"/>
  <c r="H347" i="2"/>
  <c r="G347" i="2"/>
  <c r="E347" i="2"/>
  <c r="J346" i="2"/>
  <c r="I346" i="2"/>
  <c r="H346" i="2"/>
  <c r="G346" i="2"/>
  <c r="E346" i="2"/>
  <c r="I345" i="2"/>
  <c r="J345" i="2" s="1"/>
  <c r="H345" i="2"/>
  <c r="G345" i="2"/>
  <c r="E345" i="2"/>
  <c r="J344" i="2"/>
  <c r="I344" i="2"/>
  <c r="H344" i="2"/>
  <c r="G344" i="2"/>
  <c r="E344" i="2"/>
  <c r="I343" i="2"/>
  <c r="J343" i="2" s="1"/>
  <c r="H343" i="2"/>
  <c r="G343" i="2"/>
  <c r="E343" i="2"/>
  <c r="I342" i="2"/>
  <c r="J342" i="2" s="1"/>
  <c r="H342" i="2"/>
  <c r="G342" i="2"/>
  <c r="E342" i="2"/>
  <c r="J341" i="2"/>
  <c r="I341" i="2"/>
  <c r="H341" i="2"/>
  <c r="G341" i="2"/>
  <c r="E341" i="2"/>
  <c r="J340" i="2"/>
  <c r="I340" i="2"/>
  <c r="H340" i="2"/>
  <c r="G340" i="2"/>
  <c r="E340" i="2"/>
  <c r="I339" i="2"/>
  <c r="J339" i="2" s="1"/>
  <c r="H339" i="2"/>
  <c r="G339" i="2"/>
  <c r="E339" i="2"/>
  <c r="J338" i="2"/>
  <c r="I338" i="2"/>
  <c r="H338" i="2"/>
  <c r="G338" i="2"/>
  <c r="E338" i="2"/>
  <c r="I337" i="2"/>
  <c r="J337" i="2" s="1"/>
  <c r="H337" i="2"/>
  <c r="G337" i="2"/>
  <c r="E337" i="2"/>
  <c r="I336" i="2"/>
  <c r="J336" i="2" s="1"/>
  <c r="H336" i="2"/>
  <c r="G336" i="2"/>
  <c r="E336" i="2"/>
  <c r="I335" i="2"/>
  <c r="J335" i="2" s="1"/>
  <c r="H335" i="2"/>
  <c r="G335" i="2"/>
  <c r="E335" i="2"/>
  <c r="J334" i="2"/>
  <c r="I334" i="2"/>
  <c r="H334" i="2"/>
  <c r="G334" i="2"/>
  <c r="E334" i="2"/>
  <c r="I333" i="2"/>
  <c r="J333" i="2" s="1"/>
  <c r="H333" i="2"/>
  <c r="G333" i="2"/>
  <c r="E333" i="2"/>
  <c r="J332" i="2"/>
  <c r="I332" i="2"/>
  <c r="H332" i="2"/>
  <c r="G332" i="2"/>
  <c r="E332" i="2"/>
  <c r="I331" i="2"/>
  <c r="J331" i="2" s="1"/>
  <c r="H331" i="2"/>
  <c r="G331" i="2"/>
  <c r="E331" i="2"/>
  <c r="I330" i="2"/>
  <c r="J330" i="2" s="1"/>
  <c r="H330" i="2"/>
  <c r="G330" i="2"/>
  <c r="E330" i="2"/>
  <c r="J329" i="2"/>
  <c r="I329" i="2"/>
  <c r="H329" i="2"/>
  <c r="G329" i="2"/>
  <c r="E329" i="2"/>
  <c r="J328" i="2"/>
  <c r="I328" i="2"/>
  <c r="H328" i="2"/>
  <c r="G328" i="2"/>
  <c r="E328" i="2"/>
  <c r="I327" i="2"/>
  <c r="J327" i="2" s="1"/>
  <c r="H327" i="2"/>
  <c r="G327" i="2"/>
  <c r="E327" i="2"/>
  <c r="J326" i="2"/>
  <c r="I326" i="2"/>
  <c r="H326" i="2"/>
  <c r="G326" i="2"/>
  <c r="E326" i="2"/>
  <c r="I325" i="2"/>
  <c r="J325" i="2" s="1"/>
  <c r="H325" i="2"/>
  <c r="G325" i="2"/>
  <c r="E325" i="2"/>
  <c r="I324" i="2"/>
  <c r="J324" i="2" s="1"/>
  <c r="H324" i="2"/>
  <c r="G324" i="2"/>
  <c r="E324" i="2"/>
  <c r="I323" i="2"/>
  <c r="J323" i="2" s="1"/>
  <c r="H323" i="2"/>
  <c r="G323" i="2"/>
  <c r="E323" i="2"/>
  <c r="J322" i="2"/>
  <c r="I322" i="2"/>
  <c r="H322" i="2"/>
  <c r="G322" i="2"/>
  <c r="E322" i="2"/>
  <c r="I321" i="2"/>
  <c r="J321" i="2" s="1"/>
  <c r="H321" i="2"/>
  <c r="G321" i="2"/>
  <c r="E321" i="2"/>
  <c r="J320" i="2"/>
  <c r="I320" i="2"/>
  <c r="H320" i="2"/>
  <c r="G320" i="2"/>
  <c r="E320" i="2"/>
  <c r="I319" i="2"/>
  <c r="J319" i="2" s="1"/>
  <c r="H319" i="2"/>
  <c r="G319" i="2"/>
  <c r="E319" i="2"/>
  <c r="I318" i="2"/>
  <c r="J318" i="2" s="1"/>
  <c r="H318" i="2"/>
  <c r="G318" i="2"/>
  <c r="E318" i="2"/>
  <c r="J317" i="2"/>
  <c r="I317" i="2"/>
  <c r="H317" i="2"/>
  <c r="G317" i="2"/>
  <c r="E317" i="2"/>
  <c r="J316" i="2"/>
  <c r="I316" i="2"/>
  <c r="H316" i="2"/>
  <c r="G316" i="2"/>
  <c r="E316" i="2"/>
  <c r="I315" i="2"/>
  <c r="J315" i="2" s="1"/>
  <c r="H315" i="2"/>
  <c r="G315" i="2"/>
  <c r="E315" i="2"/>
  <c r="J314" i="2"/>
  <c r="I314" i="2"/>
  <c r="H314" i="2"/>
  <c r="G314" i="2"/>
  <c r="E314" i="2"/>
  <c r="I313" i="2"/>
  <c r="J313" i="2" s="1"/>
  <c r="H313" i="2"/>
  <c r="G313" i="2"/>
  <c r="E313" i="2"/>
  <c r="I312" i="2"/>
  <c r="J312" i="2" s="1"/>
  <c r="H312" i="2"/>
  <c r="G312" i="2"/>
  <c r="E312" i="2"/>
  <c r="I311" i="2"/>
  <c r="J311" i="2" s="1"/>
  <c r="H311" i="2"/>
  <c r="G311" i="2"/>
  <c r="E311" i="2"/>
  <c r="J310" i="2"/>
  <c r="I310" i="2"/>
  <c r="H310" i="2"/>
  <c r="G310" i="2"/>
  <c r="E310" i="2"/>
  <c r="I309" i="2"/>
  <c r="J309" i="2" s="1"/>
  <c r="H309" i="2"/>
  <c r="G309" i="2"/>
  <c r="E309" i="2"/>
  <c r="J308" i="2"/>
  <c r="I308" i="2"/>
  <c r="H308" i="2"/>
  <c r="G308" i="2"/>
  <c r="E308" i="2"/>
  <c r="I307" i="2"/>
  <c r="J307" i="2" s="1"/>
  <c r="H307" i="2"/>
  <c r="G307" i="2"/>
  <c r="E307" i="2"/>
  <c r="I306" i="2"/>
  <c r="J306" i="2" s="1"/>
  <c r="H306" i="2"/>
  <c r="G306" i="2"/>
  <c r="E306" i="2"/>
  <c r="J305" i="2"/>
  <c r="I305" i="2"/>
  <c r="H305" i="2"/>
  <c r="G305" i="2"/>
  <c r="E305" i="2"/>
  <c r="J304" i="2"/>
  <c r="I304" i="2"/>
  <c r="H304" i="2"/>
  <c r="G304" i="2"/>
  <c r="E304" i="2"/>
  <c r="I303" i="2"/>
  <c r="J303" i="2" s="1"/>
  <c r="H303" i="2"/>
  <c r="G303" i="2"/>
  <c r="E303" i="2"/>
  <c r="J302" i="2"/>
  <c r="I302" i="2"/>
  <c r="H302" i="2"/>
  <c r="G302" i="2"/>
  <c r="E302" i="2"/>
  <c r="I301" i="2"/>
  <c r="J301" i="2" s="1"/>
  <c r="H301" i="2"/>
  <c r="G301" i="2"/>
  <c r="E301" i="2"/>
  <c r="I300" i="2"/>
  <c r="J300" i="2" s="1"/>
  <c r="H300" i="2"/>
  <c r="G300" i="2"/>
  <c r="E300" i="2"/>
  <c r="I299" i="2"/>
  <c r="J299" i="2" s="1"/>
  <c r="H299" i="2"/>
  <c r="G299" i="2"/>
  <c r="E299" i="2"/>
  <c r="J298" i="2"/>
  <c r="I298" i="2"/>
  <c r="H298" i="2"/>
  <c r="G298" i="2"/>
  <c r="E298" i="2"/>
  <c r="I297" i="2"/>
  <c r="J297" i="2" s="1"/>
  <c r="H297" i="2"/>
  <c r="G297" i="2"/>
  <c r="E297" i="2"/>
  <c r="J296" i="2"/>
  <c r="I296" i="2"/>
  <c r="H296" i="2"/>
  <c r="G296" i="2"/>
  <c r="E296" i="2"/>
  <c r="I295" i="2"/>
  <c r="J295" i="2" s="1"/>
  <c r="H295" i="2"/>
  <c r="G295" i="2"/>
  <c r="E295" i="2"/>
  <c r="I294" i="2"/>
  <c r="J294" i="2" s="1"/>
  <c r="H294" i="2"/>
  <c r="G294" i="2"/>
  <c r="E294" i="2"/>
  <c r="J293" i="2"/>
  <c r="I293" i="2"/>
  <c r="H293" i="2"/>
  <c r="G293" i="2"/>
  <c r="E293" i="2"/>
  <c r="J292" i="2"/>
  <c r="I292" i="2"/>
  <c r="H292" i="2"/>
  <c r="G292" i="2"/>
  <c r="E292" i="2"/>
  <c r="I291" i="2"/>
  <c r="J291" i="2" s="1"/>
  <c r="H291" i="2"/>
  <c r="G291" i="2"/>
  <c r="E291" i="2"/>
  <c r="J290" i="2"/>
  <c r="I290" i="2"/>
  <c r="H290" i="2"/>
  <c r="G290" i="2"/>
  <c r="E290" i="2"/>
  <c r="I289" i="2"/>
  <c r="J289" i="2" s="1"/>
  <c r="H289" i="2"/>
  <c r="G289" i="2"/>
  <c r="E289" i="2"/>
  <c r="I288" i="2"/>
  <c r="J288" i="2" s="1"/>
  <c r="H288" i="2"/>
  <c r="G288" i="2"/>
  <c r="E288" i="2"/>
  <c r="I287" i="2"/>
  <c r="J287" i="2" s="1"/>
  <c r="H287" i="2"/>
  <c r="G287" i="2"/>
  <c r="E287" i="2"/>
  <c r="J286" i="2"/>
  <c r="I286" i="2"/>
  <c r="H286" i="2"/>
  <c r="G286" i="2"/>
  <c r="E286" i="2"/>
  <c r="I285" i="2"/>
  <c r="J285" i="2" s="1"/>
  <c r="H285" i="2"/>
  <c r="G285" i="2"/>
  <c r="E285" i="2"/>
  <c r="J284" i="2"/>
  <c r="I284" i="2"/>
  <c r="H284" i="2"/>
  <c r="G284" i="2"/>
  <c r="E284" i="2"/>
  <c r="I283" i="2"/>
  <c r="J283" i="2" s="1"/>
  <c r="H283" i="2"/>
  <c r="G283" i="2"/>
  <c r="E283" i="2"/>
  <c r="I282" i="2"/>
  <c r="J282" i="2" s="1"/>
  <c r="H282" i="2"/>
  <c r="G282" i="2"/>
  <c r="E282" i="2"/>
  <c r="J281" i="2"/>
  <c r="I281" i="2"/>
  <c r="H281" i="2"/>
  <c r="G281" i="2"/>
  <c r="E281" i="2"/>
  <c r="J280" i="2"/>
  <c r="I280" i="2"/>
  <c r="H280" i="2"/>
  <c r="G280" i="2"/>
  <c r="E280" i="2"/>
  <c r="I279" i="2"/>
  <c r="J279" i="2" s="1"/>
  <c r="H279" i="2"/>
  <c r="G279" i="2"/>
  <c r="E279" i="2"/>
  <c r="J278" i="2"/>
  <c r="I278" i="2"/>
  <c r="H278" i="2"/>
  <c r="G278" i="2"/>
  <c r="E278" i="2"/>
  <c r="I277" i="2"/>
  <c r="J277" i="2" s="1"/>
  <c r="H277" i="2"/>
  <c r="G277" i="2"/>
  <c r="E277" i="2"/>
  <c r="I276" i="2"/>
  <c r="J276" i="2" s="1"/>
  <c r="H276" i="2"/>
  <c r="G276" i="2"/>
  <c r="E276" i="2"/>
  <c r="I275" i="2"/>
  <c r="J275" i="2" s="1"/>
  <c r="H275" i="2"/>
  <c r="G275" i="2"/>
  <c r="E275" i="2"/>
  <c r="J274" i="2"/>
  <c r="I274" i="2"/>
  <c r="H274" i="2"/>
  <c r="G274" i="2"/>
  <c r="E274" i="2"/>
  <c r="I273" i="2"/>
  <c r="J273" i="2" s="1"/>
  <c r="H273" i="2"/>
  <c r="G273" i="2"/>
  <c r="E273" i="2"/>
  <c r="J272" i="2"/>
  <c r="I272" i="2"/>
  <c r="H272" i="2"/>
  <c r="G272" i="2"/>
  <c r="E272" i="2"/>
  <c r="I271" i="2"/>
  <c r="J271" i="2" s="1"/>
  <c r="H271" i="2"/>
  <c r="G271" i="2"/>
  <c r="E271" i="2"/>
  <c r="I270" i="2"/>
  <c r="J270" i="2" s="1"/>
  <c r="H270" i="2"/>
  <c r="G270" i="2"/>
  <c r="E270" i="2"/>
  <c r="J269" i="2"/>
  <c r="I269" i="2"/>
  <c r="H269" i="2"/>
  <c r="G269" i="2"/>
  <c r="E269" i="2"/>
  <c r="J268" i="2"/>
  <c r="I268" i="2"/>
  <c r="H268" i="2"/>
  <c r="G268" i="2"/>
  <c r="E268" i="2"/>
  <c r="I267" i="2"/>
  <c r="J267" i="2" s="1"/>
  <c r="H267" i="2"/>
  <c r="G267" i="2"/>
  <c r="E267" i="2"/>
  <c r="J266" i="2"/>
  <c r="I266" i="2"/>
  <c r="H266" i="2"/>
  <c r="G266" i="2"/>
  <c r="E266" i="2"/>
  <c r="I265" i="2"/>
  <c r="J265" i="2" s="1"/>
  <c r="H265" i="2"/>
  <c r="G265" i="2"/>
  <c r="E265" i="2"/>
  <c r="I264" i="2"/>
  <c r="J264" i="2" s="1"/>
  <c r="H264" i="2"/>
  <c r="G264" i="2"/>
  <c r="E264" i="2"/>
  <c r="I263" i="2"/>
  <c r="J263" i="2" s="1"/>
  <c r="H263" i="2"/>
  <c r="G263" i="2"/>
  <c r="E263" i="2"/>
  <c r="J262" i="2"/>
  <c r="I262" i="2"/>
  <c r="H262" i="2"/>
  <c r="G262" i="2"/>
  <c r="E262" i="2"/>
  <c r="I261" i="2"/>
  <c r="J261" i="2" s="1"/>
  <c r="H261" i="2"/>
  <c r="G261" i="2"/>
  <c r="E261" i="2"/>
  <c r="J260" i="2"/>
  <c r="I260" i="2"/>
  <c r="H260" i="2"/>
  <c r="G260" i="2"/>
  <c r="E260" i="2"/>
  <c r="I259" i="2"/>
  <c r="J259" i="2" s="1"/>
  <c r="H259" i="2"/>
  <c r="G259" i="2"/>
  <c r="E259" i="2"/>
  <c r="I258" i="2"/>
  <c r="J258" i="2" s="1"/>
  <c r="H258" i="2"/>
  <c r="G258" i="2"/>
  <c r="E258" i="2"/>
  <c r="J257" i="2"/>
  <c r="I257" i="2"/>
  <c r="H257" i="2"/>
  <c r="G257" i="2"/>
  <c r="E257" i="2"/>
  <c r="J256" i="2"/>
  <c r="I256" i="2"/>
  <c r="H256" i="2"/>
  <c r="G256" i="2"/>
  <c r="E256" i="2"/>
  <c r="I255" i="2"/>
  <c r="J255" i="2" s="1"/>
  <c r="H255" i="2"/>
  <c r="G255" i="2"/>
  <c r="E255" i="2"/>
  <c r="J254" i="2"/>
  <c r="I254" i="2"/>
  <c r="H254" i="2"/>
  <c r="G254" i="2"/>
  <c r="E254" i="2"/>
  <c r="I253" i="2"/>
  <c r="J253" i="2" s="1"/>
  <c r="H253" i="2"/>
  <c r="G253" i="2"/>
  <c r="E253" i="2"/>
  <c r="I252" i="2"/>
  <c r="J252" i="2" s="1"/>
  <c r="H252" i="2"/>
  <c r="G252" i="2"/>
  <c r="E252" i="2"/>
  <c r="I251" i="2"/>
  <c r="J251" i="2" s="1"/>
  <c r="H251" i="2"/>
  <c r="G251" i="2"/>
  <c r="E251" i="2"/>
  <c r="J250" i="2"/>
  <c r="I250" i="2"/>
  <c r="H250" i="2"/>
  <c r="G250" i="2"/>
  <c r="E250" i="2"/>
  <c r="I249" i="2"/>
  <c r="J249" i="2" s="1"/>
  <c r="H249" i="2"/>
  <c r="G249" i="2"/>
  <c r="E249" i="2"/>
  <c r="J248" i="2"/>
  <c r="I248" i="2"/>
  <c r="H248" i="2"/>
  <c r="G248" i="2"/>
  <c r="E248" i="2"/>
  <c r="I247" i="2"/>
  <c r="J247" i="2" s="1"/>
  <c r="H247" i="2"/>
  <c r="G247" i="2"/>
  <c r="E247" i="2"/>
  <c r="I246" i="2"/>
  <c r="J246" i="2" s="1"/>
  <c r="H246" i="2"/>
  <c r="G246" i="2"/>
  <c r="E246" i="2"/>
  <c r="J245" i="2"/>
  <c r="I245" i="2"/>
  <c r="H245" i="2"/>
  <c r="G245" i="2"/>
  <c r="E245" i="2"/>
  <c r="I244" i="2"/>
  <c r="J244" i="2" s="1"/>
  <c r="H244" i="2"/>
  <c r="G244" i="2"/>
  <c r="E244" i="2"/>
  <c r="I243" i="2"/>
  <c r="J243" i="2" s="1"/>
  <c r="H243" i="2"/>
  <c r="G243" i="2"/>
  <c r="E243" i="2"/>
  <c r="J242" i="2"/>
  <c r="I242" i="2"/>
  <c r="H242" i="2"/>
  <c r="G242" i="2"/>
  <c r="E242" i="2"/>
  <c r="I241" i="2"/>
  <c r="J241" i="2" s="1"/>
  <c r="H241" i="2"/>
  <c r="G241" i="2"/>
  <c r="E241" i="2"/>
  <c r="I240" i="2"/>
  <c r="J240" i="2" s="1"/>
  <c r="H240" i="2"/>
  <c r="G240" i="2"/>
  <c r="E240" i="2"/>
  <c r="I239" i="2"/>
  <c r="J239" i="2" s="1"/>
  <c r="H239" i="2"/>
  <c r="G239" i="2"/>
  <c r="E239" i="2"/>
  <c r="J238" i="2"/>
  <c r="I238" i="2"/>
  <c r="H238" i="2"/>
  <c r="G238" i="2"/>
  <c r="E238" i="2"/>
  <c r="I237" i="2"/>
  <c r="J237" i="2" s="1"/>
  <c r="H237" i="2"/>
  <c r="G237" i="2"/>
  <c r="E237" i="2"/>
  <c r="I236" i="2"/>
  <c r="J236" i="2" s="1"/>
  <c r="H236" i="2"/>
  <c r="G236" i="2"/>
  <c r="E236" i="2"/>
  <c r="I235" i="2"/>
  <c r="J235" i="2" s="1"/>
  <c r="H235" i="2"/>
  <c r="G235" i="2"/>
  <c r="E235" i="2"/>
  <c r="I234" i="2"/>
  <c r="J234" i="2" s="1"/>
  <c r="H234" i="2"/>
  <c r="G234" i="2"/>
  <c r="E234" i="2"/>
  <c r="J233" i="2"/>
  <c r="I233" i="2"/>
  <c r="H233" i="2"/>
  <c r="G233" i="2"/>
  <c r="E233" i="2"/>
  <c r="I232" i="2"/>
  <c r="J232" i="2" s="1"/>
  <c r="H232" i="2"/>
  <c r="G232" i="2"/>
  <c r="E232" i="2"/>
  <c r="I231" i="2"/>
  <c r="J231" i="2" s="1"/>
  <c r="H231" i="2"/>
  <c r="G231" i="2"/>
  <c r="E231" i="2"/>
  <c r="J230" i="2"/>
  <c r="I230" i="2"/>
  <c r="H230" i="2"/>
  <c r="G230" i="2"/>
  <c r="E230" i="2"/>
  <c r="I229" i="2"/>
  <c r="J229" i="2" s="1"/>
  <c r="H229" i="2"/>
  <c r="G229" i="2"/>
  <c r="E229" i="2"/>
  <c r="I228" i="2"/>
  <c r="J228" i="2" s="1"/>
  <c r="H228" i="2"/>
  <c r="G228" i="2"/>
  <c r="E228" i="2"/>
  <c r="I227" i="2"/>
  <c r="J227" i="2" s="1"/>
  <c r="H227" i="2"/>
  <c r="G227" i="2"/>
  <c r="E227" i="2"/>
  <c r="J226" i="2"/>
  <c r="I226" i="2"/>
  <c r="H226" i="2"/>
  <c r="G226" i="2"/>
  <c r="E226" i="2"/>
  <c r="I225" i="2"/>
  <c r="J225" i="2" s="1"/>
  <c r="H225" i="2"/>
  <c r="G225" i="2"/>
  <c r="E225" i="2"/>
  <c r="J224" i="2"/>
  <c r="I224" i="2"/>
  <c r="H224" i="2"/>
  <c r="G224" i="2"/>
  <c r="E224" i="2"/>
  <c r="I223" i="2"/>
  <c r="J223" i="2" s="1"/>
  <c r="H223" i="2"/>
  <c r="G223" i="2"/>
  <c r="E223" i="2"/>
  <c r="I222" i="2"/>
  <c r="J222" i="2" s="1"/>
  <c r="H222" i="2"/>
  <c r="G222" i="2"/>
  <c r="E222" i="2"/>
  <c r="J221" i="2"/>
  <c r="I221" i="2"/>
  <c r="H221" i="2"/>
  <c r="G221" i="2"/>
  <c r="E221" i="2"/>
  <c r="J220" i="2"/>
  <c r="I220" i="2"/>
  <c r="H220" i="2"/>
  <c r="G220" i="2"/>
  <c r="E220" i="2"/>
  <c r="I219" i="2"/>
  <c r="J219" i="2" s="1"/>
  <c r="H219" i="2"/>
  <c r="G219" i="2"/>
  <c r="E219" i="2"/>
  <c r="J218" i="2"/>
  <c r="I218" i="2"/>
  <c r="H218" i="2"/>
  <c r="G218" i="2"/>
  <c r="E218" i="2"/>
  <c r="I217" i="2"/>
  <c r="J217" i="2" s="1"/>
  <c r="H217" i="2"/>
  <c r="G217" i="2"/>
  <c r="E217" i="2"/>
  <c r="I216" i="2"/>
  <c r="J216" i="2" s="1"/>
  <c r="H216" i="2"/>
  <c r="G216" i="2"/>
  <c r="E216" i="2"/>
  <c r="I215" i="2"/>
  <c r="J215" i="2" s="1"/>
  <c r="H215" i="2"/>
  <c r="G215" i="2"/>
  <c r="E215" i="2"/>
  <c r="J214" i="2"/>
  <c r="I214" i="2"/>
  <c r="H214" i="2"/>
  <c r="G214" i="2"/>
  <c r="E214" i="2"/>
  <c r="I213" i="2"/>
  <c r="J213" i="2" s="1"/>
  <c r="H213" i="2"/>
  <c r="G213" i="2"/>
  <c r="E213" i="2"/>
  <c r="I212" i="2"/>
  <c r="J212" i="2" s="1"/>
  <c r="H212" i="2"/>
  <c r="G212" i="2"/>
  <c r="E212" i="2"/>
  <c r="I211" i="2"/>
  <c r="J211" i="2" s="1"/>
  <c r="H211" i="2"/>
  <c r="G211" i="2"/>
  <c r="E211" i="2"/>
  <c r="I210" i="2"/>
  <c r="J210" i="2" s="1"/>
  <c r="H210" i="2"/>
  <c r="G210" i="2"/>
  <c r="E210" i="2"/>
  <c r="J209" i="2"/>
  <c r="I209" i="2"/>
  <c r="H209" i="2"/>
  <c r="G209" i="2"/>
  <c r="E209" i="2"/>
  <c r="I208" i="2"/>
  <c r="J208" i="2" s="1"/>
  <c r="H208" i="2"/>
  <c r="G208" i="2"/>
  <c r="E208" i="2"/>
  <c r="I207" i="2"/>
  <c r="J207" i="2" s="1"/>
  <c r="H207" i="2"/>
  <c r="G207" i="2"/>
  <c r="E207" i="2"/>
  <c r="J206" i="2"/>
  <c r="I206" i="2"/>
  <c r="H206" i="2"/>
  <c r="G206" i="2"/>
  <c r="E206" i="2"/>
  <c r="I205" i="2"/>
  <c r="J205" i="2" s="1"/>
  <c r="H205" i="2"/>
  <c r="G205" i="2"/>
  <c r="E205" i="2"/>
  <c r="I204" i="2"/>
  <c r="J204" i="2" s="1"/>
  <c r="H204" i="2"/>
  <c r="G204" i="2"/>
  <c r="E204" i="2"/>
  <c r="I203" i="2"/>
  <c r="J203" i="2" s="1"/>
  <c r="H203" i="2"/>
  <c r="G203" i="2"/>
  <c r="E203" i="2"/>
  <c r="J202" i="2"/>
  <c r="I202" i="2"/>
  <c r="H202" i="2"/>
  <c r="G202" i="2"/>
  <c r="E202" i="2"/>
  <c r="I201" i="2"/>
  <c r="J201" i="2" s="1"/>
  <c r="H201" i="2"/>
  <c r="G201" i="2"/>
  <c r="E201" i="2"/>
  <c r="I200" i="2"/>
  <c r="J200" i="2" s="1"/>
  <c r="H200" i="2"/>
  <c r="G200" i="2"/>
  <c r="E200" i="2"/>
  <c r="I199" i="2"/>
  <c r="J199" i="2" s="1"/>
  <c r="H199" i="2"/>
  <c r="G199" i="2"/>
  <c r="E199" i="2"/>
  <c r="I198" i="2"/>
  <c r="J198" i="2" s="1"/>
  <c r="H198" i="2"/>
  <c r="G198" i="2"/>
  <c r="E198" i="2"/>
  <c r="J197" i="2"/>
  <c r="I197" i="2"/>
  <c r="H197" i="2"/>
  <c r="G197" i="2"/>
  <c r="E197" i="2"/>
  <c r="I196" i="2"/>
  <c r="J196" i="2" s="1"/>
  <c r="H196" i="2"/>
  <c r="G196" i="2"/>
  <c r="E196" i="2"/>
  <c r="I195" i="2"/>
  <c r="J195" i="2" s="1"/>
  <c r="H195" i="2"/>
  <c r="G195" i="2"/>
  <c r="E195" i="2"/>
  <c r="J194" i="2"/>
  <c r="I194" i="2"/>
  <c r="H194" i="2"/>
  <c r="G194" i="2"/>
  <c r="E194" i="2"/>
  <c r="I193" i="2"/>
  <c r="J193" i="2" s="1"/>
  <c r="H193" i="2"/>
  <c r="G193" i="2"/>
  <c r="E193" i="2"/>
  <c r="I192" i="2"/>
  <c r="J192" i="2" s="1"/>
  <c r="H192" i="2"/>
  <c r="G192" i="2"/>
  <c r="E192" i="2"/>
  <c r="I191" i="2"/>
  <c r="J191" i="2" s="1"/>
  <c r="H191" i="2"/>
  <c r="G191" i="2"/>
  <c r="E191" i="2"/>
  <c r="J190" i="2"/>
  <c r="I190" i="2"/>
  <c r="H190" i="2"/>
  <c r="G190" i="2"/>
  <c r="E190" i="2"/>
  <c r="I189" i="2"/>
  <c r="J189" i="2" s="1"/>
  <c r="H189" i="2"/>
  <c r="G189" i="2"/>
  <c r="E189" i="2"/>
  <c r="J188" i="2"/>
  <c r="I188" i="2"/>
  <c r="H188" i="2"/>
  <c r="G188" i="2"/>
  <c r="E188" i="2"/>
  <c r="I187" i="2"/>
  <c r="J187" i="2" s="1"/>
  <c r="H187" i="2"/>
  <c r="G187" i="2"/>
  <c r="E187" i="2"/>
  <c r="I186" i="2"/>
  <c r="J186" i="2" s="1"/>
  <c r="H186" i="2"/>
  <c r="G186" i="2"/>
  <c r="E186" i="2"/>
  <c r="J185" i="2"/>
  <c r="I185" i="2"/>
  <c r="H185" i="2"/>
  <c r="G185" i="2"/>
  <c r="E185" i="2"/>
  <c r="J184" i="2"/>
  <c r="I184" i="2"/>
  <c r="H184" i="2"/>
  <c r="G184" i="2"/>
  <c r="E184" i="2"/>
  <c r="I183" i="2"/>
  <c r="J183" i="2" s="1"/>
  <c r="H183" i="2"/>
  <c r="G183" i="2"/>
  <c r="E183" i="2"/>
  <c r="J182" i="2"/>
  <c r="I182" i="2"/>
  <c r="H182" i="2"/>
  <c r="G182" i="2"/>
  <c r="E182" i="2"/>
  <c r="I181" i="2"/>
  <c r="J181" i="2" s="1"/>
  <c r="H181" i="2"/>
  <c r="G181" i="2"/>
  <c r="E181" i="2"/>
  <c r="I180" i="2"/>
  <c r="J180" i="2" s="1"/>
  <c r="H180" i="2"/>
  <c r="G180" i="2"/>
  <c r="E180" i="2"/>
  <c r="I179" i="2"/>
  <c r="J179" i="2" s="1"/>
  <c r="H179" i="2"/>
  <c r="G179" i="2"/>
  <c r="E179" i="2"/>
  <c r="J178" i="2"/>
  <c r="I178" i="2"/>
  <c r="H178" i="2"/>
  <c r="G178" i="2"/>
  <c r="E178" i="2"/>
  <c r="I177" i="2"/>
  <c r="J177" i="2" s="1"/>
  <c r="H177" i="2"/>
  <c r="G177" i="2"/>
  <c r="E177" i="2"/>
  <c r="I176" i="2"/>
  <c r="J176" i="2" s="1"/>
  <c r="H176" i="2"/>
  <c r="G176" i="2"/>
  <c r="E176" i="2"/>
  <c r="I175" i="2"/>
  <c r="J175" i="2" s="1"/>
  <c r="H175" i="2"/>
  <c r="G175" i="2"/>
  <c r="E175" i="2"/>
  <c r="I174" i="2"/>
  <c r="J174" i="2" s="1"/>
  <c r="H174" i="2"/>
  <c r="G174" i="2"/>
  <c r="E174" i="2"/>
  <c r="J173" i="2"/>
  <c r="I173" i="2"/>
  <c r="H173" i="2"/>
  <c r="G173" i="2"/>
  <c r="E173" i="2"/>
  <c r="I172" i="2"/>
  <c r="J172" i="2" s="1"/>
  <c r="H172" i="2"/>
  <c r="G172" i="2"/>
  <c r="E172" i="2"/>
  <c r="I171" i="2"/>
  <c r="J171" i="2" s="1"/>
  <c r="H171" i="2"/>
  <c r="G171" i="2"/>
  <c r="E171" i="2"/>
  <c r="J170" i="2"/>
  <c r="I170" i="2"/>
  <c r="H170" i="2"/>
  <c r="G170" i="2"/>
  <c r="E170" i="2"/>
  <c r="I169" i="2"/>
  <c r="J169" i="2" s="1"/>
  <c r="H169" i="2"/>
  <c r="G169" i="2"/>
  <c r="E169" i="2"/>
  <c r="I168" i="2"/>
  <c r="J168" i="2" s="1"/>
  <c r="H168" i="2"/>
  <c r="G168" i="2"/>
  <c r="E168" i="2"/>
  <c r="I167" i="2"/>
  <c r="J167" i="2" s="1"/>
  <c r="H167" i="2"/>
  <c r="G167" i="2"/>
  <c r="E167" i="2"/>
  <c r="J166" i="2"/>
  <c r="I166" i="2"/>
  <c r="H166" i="2"/>
  <c r="G166" i="2"/>
  <c r="E166" i="2"/>
  <c r="I165" i="2"/>
  <c r="J165" i="2" s="1"/>
  <c r="H165" i="2"/>
  <c r="G165" i="2"/>
  <c r="E165" i="2"/>
  <c r="I164" i="2"/>
  <c r="J164" i="2" s="1"/>
  <c r="H164" i="2"/>
  <c r="G164" i="2"/>
  <c r="E164" i="2"/>
  <c r="I163" i="2"/>
  <c r="J163" i="2" s="1"/>
  <c r="H163" i="2"/>
  <c r="G163" i="2"/>
  <c r="E163" i="2"/>
  <c r="I162" i="2"/>
  <c r="J162" i="2" s="1"/>
  <c r="H162" i="2"/>
  <c r="G162" i="2"/>
  <c r="E162" i="2"/>
  <c r="J161" i="2"/>
  <c r="I161" i="2"/>
  <c r="H161" i="2"/>
  <c r="G161" i="2"/>
  <c r="E161" i="2"/>
  <c r="I160" i="2"/>
  <c r="J160" i="2" s="1"/>
  <c r="H160" i="2"/>
  <c r="G160" i="2"/>
  <c r="E160" i="2"/>
  <c r="I159" i="2"/>
  <c r="J159" i="2" s="1"/>
  <c r="H159" i="2"/>
  <c r="G159" i="2"/>
  <c r="E159" i="2"/>
  <c r="J158" i="2"/>
  <c r="I158" i="2"/>
  <c r="H158" i="2"/>
  <c r="G158" i="2"/>
  <c r="E158" i="2"/>
  <c r="I157" i="2"/>
  <c r="J157" i="2" s="1"/>
  <c r="H157" i="2"/>
  <c r="G157" i="2"/>
  <c r="E157" i="2"/>
  <c r="I156" i="2"/>
  <c r="J156" i="2" s="1"/>
  <c r="H156" i="2"/>
  <c r="G156" i="2"/>
  <c r="E156" i="2"/>
  <c r="I155" i="2"/>
  <c r="J155" i="2" s="1"/>
  <c r="H155" i="2"/>
  <c r="G155" i="2"/>
  <c r="E155" i="2"/>
  <c r="J154" i="2"/>
  <c r="I154" i="2"/>
  <c r="H154" i="2"/>
  <c r="G154" i="2"/>
  <c r="E154" i="2"/>
  <c r="I153" i="2"/>
  <c r="J153" i="2" s="1"/>
  <c r="H153" i="2"/>
  <c r="G153" i="2"/>
  <c r="E153" i="2"/>
  <c r="J152" i="2"/>
  <c r="I152" i="2"/>
  <c r="H152" i="2"/>
  <c r="G152" i="2"/>
  <c r="E152" i="2"/>
  <c r="I151" i="2"/>
  <c r="J151" i="2" s="1"/>
  <c r="H151" i="2"/>
  <c r="G151" i="2"/>
  <c r="E151" i="2"/>
  <c r="I150" i="2"/>
  <c r="J150" i="2" s="1"/>
  <c r="H150" i="2"/>
  <c r="G150" i="2"/>
  <c r="E150" i="2"/>
  <c r="I149" i="2"/>
  <c r="J149" i="2" s="1"/>
  <c r="H149" i="2"/>
  <c r="G149" i="2"/>
  <c r="E149" i="2"/>
  <c r="J148" i="2"/>
  <c r="I148" i="2"/>
  <c r="H148" i="2"/>
  <c r="G148" i="2"/>
  <c r="E148" i="2"/>
  <c r="I147" i="2"/>
  <c r="J147" i="2" s="1"/>
  <c r="H147" i="2"/>
  <c r="G147" i="2"/>
  <c r="E147" i="2"/>
  <c r="J146" i="2"/>
  <c r="I146" i="2"/>
  <c r="H146" i="2"/>
  <c r="G146" i="2"/>
  <c r="E146" i="2"/>
  <c r="I145" i="2"/>
  <c r="J145" i="2" s="1"/>
  <c r="H145" i="2"/>
  <c r="G145" i="2"/>
  <c r="E145" i="2"/>
  <c r="I144" i="2"/>
  <c r="J144" i="2" s="1"/>
  <c r="H144" i="2"/>
  <c r="G144" i="2"/>
  <c r="E144" i="2"/>
  <c r="I143" i="2"/>
  <c r="J143" i="2" s="1"/>
  <c r="H143" i="2"/>
  <c r="G143" i="2"/>
  <c r="E143" i="2"/>
  <c r="J142" i="2"/>
  <c r="I142" i="2"/>
  <c r="H142" i="2"/>
  <c r="G142" i="2"/>
  <c r="E142" i="2"/>
  <c r="I141" i="2"/>
  <c r="J141" i="2" s="1"/>
  <c r="H141" i="2"/>
  <c r="G141" i="2"/>
  <c r="E141" i="2"/>
  <c r="I140" i="2"/>
  <c r="J140" i="2" s="1"/>
  <c r="H140" i="2"/>
  <c r="G140" i="2"/>
  <c r="E140" i="2"/>
  <c r="I139" i="2"/>
  <c r="J139" i="2" s="1"/>
  <c r="H139" i="2"/>
  <c r="G139" i="2"/>
  <c r="E139" i="2"/>
  <c r="I138" i="2"/>
  <c r="J138" i="2" s="1"/>
  <c r="H138" i="2"/>
  <c r="G138" i="2"/>
  <c r="E138" i="2"/>
  <c r="J137" i="2"/>
  <c r="I137" i="2"/>
  <c r="H137" i="2"/>
  <c r="G137" i="2"/>
  <c r="E137" i="2"/>
  <c r="I136" i="2"/>
  <c r="J136" i="2" s="1"/>
  <c r="H136" i="2"/>
  <c r="G136" i="2"/>
  <c r="E136" i="2"/>
  <c r="I135" i="2"/>
  <c r="J135" i="2" s="1"/>
  <c r="H135" i="2"/>
  <c r="G135" i="2"/>
  <c r="E135" i="2"/>
  <c r="J134" i="2"/>
  <c r="I134" i="2"/>
  <c r="H134" i="2"/>
  <c r="G134" i="2"/>
  <c r="E134" i="2"/>
  <c r="I133" i="2"/>
  <c r="J133" i="2" s="1"/>
  <c r="H133" i="2"/>
  <c r="G133" i="2"/>
  <c r="E133" i="2"/>
  <c r="I132" i="2"/>
  <c r="J132" i="2" s="1"/>
  <c r="H132" i="2"/>
  <c r="G132" i="2"/>
  <c r="E132" i="2"/>
  <c r="I131" i="2"/>
  <c r="J131" i="2" s="1"/>
  <c r="H131" i="2"/>
  <c r="G131" i="2"/>
  <c r="E131" i="2"/>
  <c r="J130" i="2"/>
  <c r="I130" i="2"/>
  <c r="H130" i="2"/>
  <c r="G130" i="2"/>
  <c r="E130" i="2"/>
  <c r="I129" i="2"/>
  <c r="J129" i="2" s="1"/>
  <c r="H129" i="2"/>
  <c r="G129" i="2"/>
  <c r="E129" i="2"/>
  <c r="I128" i="2"/>
  <c r="J128" i="2" s="1"/>
  <c r="H128" i="2"/>
  <c r="G128" i="2"/>
  <c r="E128" i="2"/>
  <c r="I127" i="2"/>
  <c r="J127" i="2" s="1"/>
  <c r="H127" i="2"/>
  <c r="G127" i="2"/>
  <c r="E127" i="2"/>
  <c r="I126" i="2"/>
  <c r="J126" i="2" s="1"/>
  <c r="H126" i="2"/>
  <c r="G126" i="2"/>
  <c r="E126" i="2"/>
  <c r="I125" i="2"/>
  <c r="J125" i="2" s="1"/>
  <c r="H125" i="2"/>
  <c r="G125" i="2"/>
  <c r="E125" i="2"/>
  <c r="I124" i="2"/>
  <c r="J124" i="2" s="1"/>
  <c r="H124" i="2"/>
  <c r="G124" i="2"/>
  <c r="E124" i="2"/>
  <c r="I123" i="2"/>
  <c r="J123" i="2" s="1"/>
  <c r="H123" i="2"/>
  <c r="G123" i="2"/>
  <c r="E123" i="2"/>
  <c r="J122" i="2"/>
  <c r="I122" i="2"/>
  <c r="H122" i="2"/>
  <c r="G122" i="2"/>
  <c r="E122" i="2"/>
  <c r="I121" i="2"/>
  <c r="J121" i="2" s="1"/>
  <c r="H121" i="2"/>
  <c r="G121" i="2"/>
  <c r="E121" i="2"/>
  <c r="I120" i="2"/>
  <c r="J120" i="2" s="1"/>
  <c r="H120" i="2"/>
  <c r="G120" i="2"/>
  <c r="E120" i="2"/>
  <c r="I119" i="2"/>
  <c r="J119" i="2" s="1"/>
  <c r="H119" i="2"/>
  <c r="G119" i="2"/>
  <c r="E119" i="2"/>
  <c r="J118" i="2"/>
  <c r="I118" i="2"/>
  <c r="H118" i="2"/>
  <c r="G118" i="2"/>
  <c r="E118" i="2"/>
  <c r="I117" i="2"/>
  <c r="J117" i="2" s="1"/>
  <c r="H117" i="2"/>
  <c r="G117" i="2"/>
  <c r="E117" i="2"/>
  <c r="J116" i="2"/>
  <c r="I116" i="2"/>
  <c r="H116" i="2"/>
  <c r="G116" i="2"/>
  <c r="E116" i="2"/>
  <c r="I115" i="2"/>
  <c r="J115" i="2" s="1"/>
  <c r="H115" i="2"/>
  <c r="G115" i="2"/>
  <c r="E115" i="2"/>
  <c r="I114" i="2"/>
  <c r="J114" i="2" s="1"/>
  <c r="H114" i="2"/>
  <c r="G114" i="2"/>
  <c r="E114" i="2"/>
  <c r="I113" i="2"/>
  <c r="J113" i="2" s="1"/>
  <c r="H113" i="2"/>
  <c r="G113" i="2"/>
  <c r="E113" i="2"/>
  <c r="J112" i="2"/>
  <c r="I112" i="2"/>
  <c r="H112" i="2"/>
  <c r="G112" i="2"/>
  <c r="E112" i="2"/>
  <c r="I111" i="2"/>
  <c r="J111" i="2" s="1"/>
  <c r="H111" i="2"/>
  <c r="G111" i="2"/>
  <c r="E111" i="2"/>
  <c r="J110" i="2"/>
  <c r="I110" i="2"/>
  <c r="H110" i="2"/>
  <c r="G110" i="2"/>
  <c r="E110" i="2"/>
  <c r="I109" i="2"/>
  <c r="J109" i="2" s="1"/>
  <c r="H109" i="2"/>
  <c r="G109" i="2"/>
  <c r="E109" i="2"/>
  <c r="I108" i="2"/>
  <c r="J108" i="2" s="1"/>
  <c r="H108" i="2"/>
  <c r="G108" i="2"/>
  <c r="E108" i="2"/>
  <c r="I107" i="2"/>
  <c r="J107" i="2" s="1"/>
  <c r="H107" i="2"/>
  <c r="G107" i="2"/>
  <c r="E107" i="2"/>
  <c r="J106" i="2"/>
  <c r="I106" i="2"/>
  <c r="H106" i="2"/>
  <c r="G106" i="2"/>
  <c r="E106" i="2"/>
  <c r="I105" i="2"/>
  <c r="J105" i="2" s="1"/>
  <c r="H105" i="2"/>
  <c r="G105" i="2"/>
  <c r="E105" i="2"/>
  <c r="J104" i="2"/>
  <c r="I104" i="2"/>
  <c r="H104" i="2"/>
  <c r="G104" i="2"/>
  <c r="E104" i="2"/>
  <c r="I103" i="2"/>
  <c r="J103" i="2" s="1"/>
  <c r="H103" i="2"/>
  <c r="G103" i="2"/>
  <c r="E103" i="2"/>
  <c r="I102" i="2"/>
  <c r="J102" i="2" s="1"/>
  <c r="H102" i="2"/>
  <c r="G102" i="2"/>
  <c r="E102" i="2"/>
  <c r="J101" i="2"/>
  <c r="I101" i="2"/>
  <c r="H101" i="2"/>
  <c r="G101" i="2"/>
  <c r="E101" i="2"/>
  <c r="J100" i="2"/>
  <c r="I100" i="2"/>
  <c r="H100" i="2"/>
  <c r="G100" i="2"/>
  <c r="E100" i="2"/>
  <c r="I99" i="2"/>
  <c r="J99" i="2" s="1"/>
  <c r="H99" i="2"/>
  <c r="G99" i="2"/>
  <c r="E99" i="2"/>
  <c r="J98" i="2"/>
  <c r="I98" i="2"/>
  <c r="H98" i="2"/>
  <c r="G98" i="2"/>
  <c r="E98" i="2"/>
  <c r="I97" i="2"/>
  <c r="J97" i="2" s="1"/>
  <c r="H97" i="2"/>
  <c r="G97" i="2"/>
  <c r="E97" i="2"/>
  <c r="I96" i="2"/>
  <c r="J96" i="2" s="1"/>
  <c r="H96" i="2"/>
  <c r="G96" i="2"/>
  <c r="E96" i="2"/>
  <c r="I95" i="2"/>
  <c r="J95" i="2" s="1"/>
  <c r="H95" i="2"/>
  <c r="G95" i="2"/>
  <c r="E95" i="2"/>
  <c r="J94" i="2"/>
  <c r="I94" i="2"/>
  <c r="H94" i="2"/>
  <c r="G94" i="2"/>
  <c r="E94" i="2"/>
  <c r="I93" i="2"/>
  <c r="J93" i="2" s="1"/>
  <c r="H93" i="2"/>
  <c r="G93" i="2"/>
  <c r="E93" i="2"/>
  <c r="I92" i="2"/>
  <c r="J92" i="2" s="1"/>
  <c r="H92" i="2"/>
  <c r="G92" i="2"/>
  <c r="E92" i="2"/>
  <c r="I91" i="2"/>
  <c r="J91" i="2" s="1"/>
  <c r="H91" i="2"/>
  <c r="G91" i="2"/>
  <c r="E91" i="2"/>
  <c r="I90" i="2"/>
  <c r="J90" i="2" s="1"/>
  <c r="H90" i="2"/>
  <c r="G90" i="2"/>
  <c r="E90" i="2"/>
  <c r="J89" i="2"/>
  <c r="I89" i="2"/>
  <c r="H89" i="2"/>
  <c r="G89" i="2"/>
  <c r="E89" i="2"/>
  <c r="I88" i="2"/>
  <c r="J88" i="2" s="1"/>
  <c r="H88" i="2"/>
  <c r="G88" i="2"/>
  <c r="E88" i="2"/>
  <c r="I87" i="2"/>
  <c r="J87" i="2" s="1"/>
  <c r="H87" i="2"/>
  <c r="G87" i="2"/>
  <c r="E87" i="2"/>
  <c r="J86" i="2"/>
  <c r="I86" i="2"/>
  <c r="H86" i="2"/>
  <c r="G86" i="2"/>
  <c r="E86" i="2"/>
  <c r="I85" i="2"/>
  <c r="J85" i="2" s="1"/>
  <c r="H85" i="2"/>
  <c r="G85" i="2"/>
  <c r="E85" i="2"/>
  <c r="I84" i="2"/>
  <c r="J84" i="2" s="1"/>
  <c r="H84" i="2"/>
  <c r="G84" i="2"/>
  <c r="E84" i="2"/>
  <c r="I83" i="2"/>
  <c r="J83" i="2" s="1"/>
  <c r="H83" i="2"/>
  <c r="G83" i="2"/>
  <c r="E83" i="2"/>
  <c r="J82" i="2"/>
  <c r="I82" i="2"/>
  <c r="H82" i="2"/>
  <c r="G82" i="2"/>
  <c r="E82" i="2"/>
  <c r="I81" i="2"/>
  <c r="J81" i="2" s="1"/>
  <c r="H81" i="2"/>
  <c r="G81" i="2"/>
  <c r="E81" i="2"/>
  <c r="J80" i="2"/>
  <c r="I80" i="2"/>
  <c r="H80" i="2"/>
  <c r="G80" i="2"/>
  <c r="E80" i="2"/>
  <c r="I79" i="2"/>
  <c r="J79" i="2" s="1"/>
  <c r="H79" i="2"/>
  <c r="G79" i="2"/>
  <c r="E79" i="2"/>
  <c r="I78" i="2"/>
  <c r="J78" i="2" s="1"/>
  <c r="H78" i="2"/>
  <c r="G78" i="2"/>
  <c r="E78" i="2"/>
  <c r="I77" i="2"/>
  <c r="J77" i="2" s="1"/>
  <c r="H77" i="2"/>
  <c r="G77" i="2"/>
  <c r="E77" i="2"/>
  <c r="J76" i="2"/>
  <c r="I76" i="2"/>
  <c r="H76" i="2"/>
  <c r="G76" i="2"/>
  <c r="E76" i="2"/>
  <c r="I75" i="2"/>
  <c r="J75" i="2" s="1"/>
  <c r="H75" i="2"/>
  <c r="G75" i="2"/>
  <c r="E75" i="2"/>
  <c r="J74" i="2"/>
  <c r="I74" i="2"/>
  <c r="H74" i="2"/>
  <c r="G74" i="2"/>
  <c r="E74" i="2"/>
  <c r="I73" i="2"/>
  <c r="J73" i="2" s="1"/>
  <c r="H73" i="2"/>
  <c r="G73" i="2"/>
  <c r="E73" i="2"/>
  <c r="I72" i="2"/>
  <c r="J72" i="2" s="1"/>
  <c r="H72" i="2"/>
  <c r="G72" i="2"/>
  <c r="E72" i="2"/>
  <c r="I71" i="2"/>
  <c r="J71" i="2" s="1"/>
  <c r="H71" i="2"/>
  <c r="G71" i="2"/>
  <c r="E71" i="2"/>
  <c r="J70" i="2"/>
  <c r="I70" i="2"/>
  <c r="H70" i="2"/>
  <c r="G70" i="2"/>
  <c r="E70" i="2"/>
  <c r="I69" i="2"/>
  <c r="J69" i="2" s="1"/>
  <c r="H69" i="2"/>
  <c r="G69" i="2"/>
  <c r="E69" i="2"/>
  <c r="I68" i="2"/>
  <c r="J68" i="2" s="1"/>
  <c r="H68" i="2"/>
  <c r="G68" i="2"/>
  <c r="E68" i="2"/>
  <c r="I67" i="2"/>
  <c r="J67" i="2" s="1"/>
  <c r="H67" i="2"/>
  <c r="G67" i="2"/>
  <c r="E67" i="2"/>
  <c r="I66" i="2"/>
  <c r="J66" i="2" s="1"/>
  <c r="H66" i="2"/>
  <c r="G66" i="2"/>
  <c r="E66" i="2"/>
  <c r="J65" i="2"/>
  <c r="I65" i="2"/>
  <c r="H65" i="2"/>
  <c r="G65" i="2"/>
  <c r="E65" i="2"/>
  <c r="I64" i="2"/>
  <c r="J64" i="2" s="1"/>
  <c r="H64" i="2"/>
  <c r="G64" i="2"/>
  <c r="E64" i="2"/>
  <c r="I63" i="2"/>
  <c r="J63" i="2" s="1"/>
  <c r="H63" i="2"/>
  <c r="G63" i="2"/>
  <c r="E63" i="2"/>
  <c r="J62" i="2"/>
  <c r="I62" i="2"/>
  <c r="H62" i="2"/>
  <c r="G62" i="2"/>
  <c r="E62" i="2"/>
  <c r="I61" i="2"/>
  <c r="J61" i="2" s="1"/>
  <c r="H61" i="2"/>
  <c r="G61" i="2"/>
  <c r="E61" i="2"/>
  <c r="I60" i="2"/>
  <c r="J60" i="2" s="1"/>
  <c r="H60" i="2"/>
  <c r="G60" i="2"/>
  <c r="E60" i="2"/>
  <c r="I59" i="2"/>
  <c r="J59" i="2" s="1"/>
  <c r="H59" i="2"/>
  <c r="G59" i="2"/>
  <c r="E59" i="2"/>
  <c r="J58" i="2"/>
  <c r="I58" i="2"/>
  <c r="H58" i="2"/>
  <c r="G58" i="2"/>
  <c r="E58" i="2"/>
  <c r="I57" i="2"/>
  <c r="J57" i="2" s="1"/>
  <c r="H57" i="2"/>
  <c r="G57" i="2"/>
  <c r="E57" i="2"/>
  <c r="I56" i="2"/>
  <c r="J56" i="2" s="1"/>
  <c r="H56" i="2"/>
  <c r="G56" i="2"/>
  <c r="E56" i="2"/>
  <c r="I55" i="2"/>
  <c r="J55" i="2" s="1"/>
  <c r="H55" i="2"/>
  <c r="G55" i="2"/>
  <c r="E55" i="2"/>
  <c r="I54" i="2"/>
  <c r="J54" i="2" s="1"/>
  <c r="H54" i="2"/>
  <c r="G54" i="2"/>
  <c r="E54" i="2"/>
  <c r="I53" i="2"/>
  <c r="J53" i="2" s="1"/>
  <c r="H53" i="2"/>
  <c r="G53" i="2"/>
  <c r="E53" i="2"/>
  <c r="I52" i="2"/>
  <c r="J52" i="2" s="1"/>
  <c r="H52" i="2"/>
  <c r="G52" i="2"/>
  <c r="E52" i="2"/>
  <c r="I51" i="2"/>
  <c r="J51" i="2" s="1"/>
  <c r="H51" i="2"/>
  <c r="G51" i="2"/>
  <c r="E51" i="2"/>
  <c r="J50" i="2"/>
  <c r="I50" i="2"/>
  <c r="H50" i="2"/>
  <c r="G50" i="2"/>
  <c r="E50" i="2"/>
  <c r="I49" i="2"/>
  <c r="J49" i="2" s="1"/>
  <c r="H49" i="2"/>
  <c r="G49" i="2"/>
  <c r="E49" i="2"/>
  <c r="I48" i="2"/>
  <c r="J48" i="2" s="1"/>
  <c r="H48" i="2"/>
  <c r="G48" i="2"/>
  <c r="E48" i="2"/>
  <c r="I47" i="2"/>
  <c r="J47" i="2" s="1"/>
  <c r="H47" i="2"/>
  <c r="G47" i="2"/>
  <c r="E47" i="2"/>
  <c r="J46" i="2"/>
  <c r="I46" i="2"/>
  <c r="H46" i="2"/>
  <c r="G46" i="2"/>
  <c r="E46" i="2"/>
  <c r="I45" i="2"/>
  <c r="J45" i="2" s="1"/>
  <c r="H45" i="2"/>
  <c r="G45" i="2"/>
  <c r="E45" i="2"/>
  <c r="J44" i="2"/>
  <c r="I44" i="2"/>
  <c r="H44" i="2"/>
  <c r="G44" i="2"/>
  <c r="E44" i="2"/>
  <c r="I43" i="2"/>
  <c r="J43" i="2" s="1"/>
  <c r="H43" i="2"/>
  <c r="G43" i="2"/>
  <c r="E43" i="2"/>
  <c r="I42" i="2"/>
  <c r="J42" i="2" s="1"/>
  <c r="H42" i="2"/>
  <c r="G42" i="2"/>
  <c r="E42" i="2"/>
  <c r="I41" i="2"/>
  <c r="J41" i="2" s="1"/>
  <c r="H41" i="2"/>
  <c r="G41" i="2"/>
  <c r="E41" i="2"/>
  <c r="J40" i="2"/>
  <c r="I40" i="2"/>
  <c r="H40" i="2"/>
  <c r="G40" i="2"/>
  <c r="E40" i="2"/>
  <c r="I39" i="2"/>
  <c r="J39" i="2" s="1"/>
  <c r="H39" i="2"/>
  <c r="G39" i="2"/>
  <c r="E39" i="2"/>
  <c r="J38" i="2"/>
  <c r="I38" i="2"/>
  <c r="H38" i="2"/>
  <c r="G38" i="2"/>
  <c r="E38" i="2"/>
  <c r="I37" i="2"/>
  <c r="J37" i="2" s="1"/>
  <c r="H37" i="2"/>
  <c r="G37" i="2"/>
  <c r="E37" i="2"/>
  <c r="I36" i="2"/>
  <c r="J36" i="2" s="1"/>
  <c r="H36" i="2"/>
  <c r="G36" i="2"/>
  <c r="E36" i="2"/>
  <c r="I35" i="2"/>
  <c r="J35" i="2" s="1"/>
  <c r="H35" i="2"/>
  <c r="G35" i="2"/>
  <c r="E35" i="2"/>
  <c r="I34" i="2"/>
  <c r="J34" i="2" s="1"/>
  <c r="H34" i="2"/>
  <c r="G34" i="2"/>
  <c r="E34" i="2"/>
  <c r="I33" i="2"/>
  <c r="J33" i="2" s="1"/>
  <c r="H33" i="2"/>
  <c r="G33" i="2"/>
  <c r="E33" i="2"/>
  <c r="J32" i="2"/>
  <c r="I32" i="2"/>
  <c r="H32" i="2"/>
  <c r="G32" i="2"/>
  <c r="E32" i="2"/>
  <c r="I31" i="2"/>
  <c r="J31" i="2" s="1"/>
  <c r="H31" i="2"/>
  <c r="G31" i="2"/>
  <c r="E31" i="2"/>
  <c r="I30" i="2"/>
  <c r="J30" i="2" s="1"/>
  <c r="H30" i="2"/>
  <c r="G30" i="2"/>
  <c r="E30" i="2"/>
  <c r="J29" i="2"/>
  <c r="I29" i="2"/>
  <c r="H29" i="2"/>
  <c r="G29" i="2"/>
  <c r="E29" i="2"/>
  <c r="J28" i="2"/>
  <c r="I28" i="2"/>
  <c r="H28" i="2"/>
  <c r="G28" i="2"/>
  <c r="E28" i="2"/>
  <c r="I27" i="2"/>
  <c r="J27" i="2" s="1"/>
  <c r="H27" i="2"/>
  <c r="G27" i="2"/>
  <c r="E27" i="2"/>
  <c r="I26" i="2"/>
  <c r="J26" i="2" s="1"/>
  <c r="H26" i="2"/>
  <c r="G26" i="2"/>
  <c r="E26" i="2"/>
  <c r="I25" i="2"/>
  <c r="J25" i="2" s="1"/>
  <c r="H25" i="2"/>
  <c r="G25" i="2"/>
  <c r="E25" i="2"/>
  <c r="I24" i="2"/>
  <c r="J24" i="2" s="1"/>
  <c r="H24" i="2"/>
  <c r="G24" i="2"/>
  <c r="E24" i="2"/>
  <c r="J23" i="2"/>
  <c r="I23" i="2"/>
  <c r="H23" i="2"/>
  <c r="G23" i="2"/>
  <c r="E23" i="2"/>
  <c r="I22" i="2"/>
  <c r="J22" i="2" s="1"/>
  <c r="H22" i="2"/>
  <c r="G22" i="2"/>
  <c r="E22" i="2"/>
  <c r="I21" i="2"/>
  <c r="J21" i="2" s="1"/>
  <c r="H21" i="2"/>
  <c r="G21" i="2"/>
  <c r="E21" i="2"/>
  <c r="J20" i="2"/>
  <c r="I20" i="2"/>
  <c r="H20" i="2"/>
  <c r="G20" i="2"/>
  <c r="E20" i="2"/>
  <c r="I19" i="2"/>
  <c r="J19" i="2" s="1"/>
  <c r="H19" i="2"/>
  <c r="G19" i="2"/>
  <c r="E19" i="2"/>
  <c r="I18" i="2"/>
  <c r="J18" i="2" s="1"/>
  <c r="H18" i="2"/>
  <c r="G18" i="2"/>
  <c r="E18" i="2"/>
  <c r="J17" i="2"/>
  <c r="I17" i="2"/>
  <c r="H17" i="2"/>
  <c r="G17" i="2"/>
  <c r="E17" i="2"/>
  <c r="J16" i="2"/>
  <c r="I16" i="2"/>
  <c r="H16" i="2"/>
  <c r="G16" i="2"/>
  <c r="E16" i="2"/>
  <c r="I15" i="2"/>
  <c r="J15" i="2" s="1"/>
  <c r="H15" i="2"/>
  <c r="G15" i="2"/>
  <c r="E15" i="2"/>
  <c r="I14" i="2"/>
  <c r="J14" i="2" s="1"/>
  <c r="H14" i="2"/>
  <c r="G14" i="2"/>
  <c r="E14" i="2"/>
  <c r="I13" i="2"/>
  <c r="J13" i="2" s="1"/>
  <c r="H13" i="2"/>
  <c r="G13" i="2"/>
  <c r="E13" i="2"/>
  <c r="I12" i="2"/>
  <c r="J12" i="2" s="1"/>
  <c r="H12" i="2"/>
  <c r="G12" i="2"/>
  <c r="E12" i="2"/>
  <c r="J11" i="2"/>
  <c r="I11" i="2"/>
  <c r="H11" i="2"/>
  <c r="G11" i="2"/>
  <c r="E11" i="2"/>
  <c r="I10" i="2"/>
  <c r="J10" i="2" s="1"/>
  <c r="H10" i="2"/>
  <c r="G10" i="2"/>
  <c r="E10" i="2"/>
  <c r="I9" i="2"/>
  <c r="J9" i="2" s="1"/>
  <c r="H9" i="2"/>
  <c r="G9" i="2"/>
  <c r="E9" i="2"/>
  <c r="J8" i="2"/>
  <c r="I8" i="2"/>
  <c r="H8" i="2"/>
  <c r="G8" i="2"/>
  <c r="E8" i="2"/>
  <c r="I7" i="2"/>
  <c r="J7" i="2" s="1"/>
  <c r="H7" i="2"/>
  <c r="G7" i="2"/>
  <c r="E7" i="2"/>
  <c r="I6" i="2"/>
  <c r="J6" i="2" s="1"/>
  <c r="H6" i="2"/>
  <c r="G6" i="2"/>
  <c r="E6" i="2"/>
  <c r="J5" i="2"/>
  <c r="I5" i="2"/>
  <c r="H5" i="2"/>
  <c r="G5" i="2"/>
  <c r="E5" i="2"/>
  <c r="J4" i="2"/>
  <c r="I4" i="2"/>
  <c r="H4" i="2"/>
  <c r="G4" i="2"/>
  <c r="E4" i="2"/>
  <c r="I3" i="2"/>
  <c r="J3" i="2" s="1"/>
  <c r="H3" i="2"/>
  <c r="G3" i="2"/>
  <c r="E3" i="2"/>
  <c r="I2" i="2"/>
  <c r="J2" i="2" s="1"/>
  <c r="H2" i="2"/>
  <c r="G2" i="2"/>
  <c r="E2" i="2"/>
  <c r="S7" i="2"/>
  <c r="S8" i="2" s="1"/>
  <c r="S9" i="2" s="1"/>
  <c r="R6" i="2"/>
  <c r="E2471" i="5"/>
  <c r="F2471" i="5"/>
  <c r="G2471" i="5"/>
  <c r="H2471" i="5"/>
  <c r="I2471" i="5"/>
  <c r="D25" i="2"/>
  <c r="D26" i="2"/>
  <c r="D27" i="2"/>
  <c r="P27" i="2" s="1"/>
  <c r="D28" i="2"/>
  <c r="D29" i="2"/>
  <c r="D30" i="2"/>
  <c r="D31" i="2"/>
  <c r="P31" i="2" s="1"/>
  <c r="D32" i="2"/>
  <c r="D33" i="2"/>
  <c r="D34" i="2"/>
  <c r="P34" i="2" s="1"/>
  <c r="D35" i="2"/>
  <c r="D36" i="2"/>
  <c r="D37" i="2"/>
  <c r="D38" i="2"/>
  <c r="P38" i="2" s="1"/>
  <c r="D39" i="2"/>
  <c r="D40" i="2"/>
  <c r="D41" i="2"/>
  <c r="D42" i="2"/>
  <c r="P42" i="2" s="1"/>
  <c r="D43" i="2"/>
  <c r="D44" i="2"/>
  <c r="D45" i="2"/>
  <c r="D46" i="2"/>
  <c r="P46" i="2" s="1"/>
  <c r="D47" i="2"/>
  <c r="D48" i="2"/>
  <c r="D49" i="2"/>
  <c r="D50" i="2"/>
  <c r="P50" i="2" s="1"/>
  <c r="D51" i="2"/>
  <c r="D52" i="2"/>
  <c r="D53" i="2"/>
  <c r="D54" i="2"/>
  <c r="P54" i="2" s="1"/>
  <c r="D55" i="2"/>
  <c r="D56" i="2"/>
  <c r="D57" i="2"/>
  <c r="D58" i="2"/>
  <c r="P58" i="2" s="1"/>
  <c r="D59" i="2"/>
  <c r="D60" i="2"/>
  <c r="D61" i="2"/>
  <c r="P61" i="2" s="1"/>
  <c r="D62" i="2"/>
  <c r="D63" i="2"/>
  <c r="D64" i="2"/>
  <c r="P64" i="2" s="1"/>
  <c r="D65" i="2"/>
  <c r="D66" i="2"/>
  <c r="D67" i="2"/>
  <c r="P67" i="2" s="1"/>
  <c r="D68" i="2"/>
  <c r="D69" i="2"/>
  <c r="D70" i="2"/>
  <c r="D71" i="2"/>
  <c r="P71" i="2" s="1"/>
  <c r="D72" i="2"/>
  <c r="D73" i="2"/>
  <c r="D74" i="2"/>
  <c r="D75" i="2"/>
  <c r="P75" i="2" s="1"/>
  <c r="D76" i="2"/>
  <c r="D77" i="2"/>
  <c r="D78" i="2"/>
  <c r="D79" i="2"/>
  <c r="P79" i="2" s="1"/>
  <c r="D80" i="2"/>
  <c r="D81" i="2"/>
  <c r="D82" i="2"/>
  <c r="D83" i="2"/>
  <c r="P83" i="2" s="1"/>
  <c r="D84" i="2"/>
  <c r="D85" i="2"/>
  <c r="D86" i="2"/>
  <c r="P86" i="2" s="1"/>
  <c r="D87" i="2"/>
  <c r="D88" i="2"/>
  <c r="D89" i="2"/>
  <c r="D90" i="2"/>
  <c r="P90" i="2" s="1"/>
  <c r="D91" i="2"/>
  <c r="D92" i="2"/>
  <c r="D93" i="2"/>
  <c r="D94" i="2"/>
  <c r="P94" i="2" s="1"/>
  <c r="D95" i="2"/>
  <c r="D96" i="2"/>
  <c r="D97" i="2"/>
  <c r="D98" i="2"/>
  <c r="P98" i="2" s="1"/>
  <c r="D99" i="2"/>
  <c r="D100" i="2"/>
  <c r="D101" i="2"/>
  <c r="D102" i="2"/>
  <c r="P102" i="2" s="1"/>
  <c r="D103" i="2"/>
  <c r="D104" i="2"/>
  <c r="D105" i="2"/>
  <c r="D106" i="2"/>
  <c r="D107" i="2"/>
  <c r="P107" i="2" s="1"/>
  <c r="D108" i="2"/>
  <c r="D109" i="2"/>
  <c r="D110" i="2"/>
  <c r="D111" i="2"/>
  <c r="P111" i="2" s="1"/>
  <c r="D112" i="2"/>
  <c r="D113" i="2"/>
  <c r="D114" i="2"/>
  <c r="P114" i="2" s="1"/>
  <c r="D115" i="2"/>
  <c r="D116" i="2"/>
  <c r="D117" i="2"/>
  <c r="D118" i="2"/>
  <c r="P118" i="2" s="1"/>
  <c r="D119" i="2"/>
  <c r="D120" i="2"/>
  <c r="D121" i="2"/>
  <c r="D122" i="2"/>
  <c r="P122" i="2" s="1"/>
  <c r="D123" i="2"/>
  <c r="D124" i="2"/>
  <c r="D125" i="2"/>
  <c r="D126" i="2"/>
  <c r="P126" i="2" s="1"/>
  <c r="D127" i="2"/>
  <c r="D128" i="2"/>
  <c r="D129" i="2"/>
  <c r="D130" i="2"/>
  <c r="P130" i="2" s="1"/>
  <c r="D131" i="2"/>
  <c r="D132" i="2"/>
  <c r="D133" i="2"/>
  <c r="D134" i="2"/>
  <c r="P134" i="2" s="1"/>
  <c r="D135" i="2"/>
  <c r="D136" i="2"/>
  <c r="D137" i="2"/>
  <c r="D138" i="2"/>
  <c r="D139" i="2"/>
  <c r="P139" i="2" s="1"/>
  <c r="D140" i="2"/>
  <c r="D141" i="2"/>
  <c r="D142" i="2"/>
  <c r="D143" i="2"/>
  <c r="D144" i="2"/>
  <c r="P144" i="2" s="1"/>
  <c r="D145" i="2"/>
  <c r="D146" i="2"/>
  <c r="D147" i="2"/>
  <c r="D148" i="2"/>
  <c r="D149" i="2"/>
  <c r="P149" i="2" s="1"/>
  <c r="D150" i="2"/>
  <c r="D151" i="2"/>
  <c r="D152" i="2"/>
  <c r="D153" i="2"/>
  <c r="P153" i="2" s="1"/>
  <c r="D154" i="2"/>
  <c r="D155" i="2"/>
  <c r="D156" i="2"/>
  <c r="D157" i="2"/>
  <c r="P157" i="2" s="1"/>
  <c r="D158" i="2"/>
  <c r="D159" i="2"/>
  <c r="D160" i="2"/>
  <c r="D161" i="2"/>
  <c r="P161" i="2" s="1"/>
  <c r="D162" i="2"/>
  <c r="D163" i="2"/>
  <c r="D164" i="2"/>
  <c r="D165" i="2"/>
  <c r="P165" i="2" s="1"/>
  <c r="D166" i="2"/>
  <c r="D167" i="2"/>
  <c r="D168" i="2"/>
  <c r="P168" i="2" s="1"/>
  <c r="D169" i="2"/>
  <c r="D170" i="2"/>
  <c r="D171" i="2"/>
  <c r="D172" i="2"/>
  <c r="P172" i="2" s="1"/>
  <c r="D173" i="2"/>
  <c r="D174" i="2"/>
  <c r="D175" i="2"/>
  <c r="D176" i="2"/>
  <c r="P176" i="2" s="1"/>
  <c r="D177" i="2"/>
  <c r="D178" i="2"/>
  <c r="D179" i="2"/>
  <c r="D180" i="2"/>
  <c r="D181" i="2"/>
  <c r="P181" i="2" s="1"/>
  <c r="D182" i="2"/>
  <c r="D183" i="2"/>
  <c r="D184" i="2"/>
  <c r="P184" i="2" s="1"/>
  <c r="D185" i="2"/>
  <c r="D186" i="2"/>
  <c r="D187" i="2"/>
  <c r="D188" i="2"/>
  <c r="P188" i="2" s="1"/>
  <c r="D189" i="2"/>
  <c r="D190" i="2"/>
  <c r="D191" i="2"/>
  <c r="D192" i="2"/>
  <c r="P192" i="2" s="1"/>
  <c r="D193" i="2"/>
  <c r="D194" i="2"/>
  <c r="D195" i="2"/>
  <c r="D196" i="2"/>
  <c r="P196" i="2" s="1"/>
  <c r="D197" i="2"/>
  <c r="D198" i="2"/>
  <c r="D199" i="2"/>
  <c r="D200" i="2"/>
  <c r="P200" i="2" s="1"/>
  <c r="D201" i="2"/>
  <c r="D202" i="2"/>
  <c r="D203" i="2"/>
  <c r="D204" i="2"/>
  <c r="P204" i="2" s="1"/>
  <c r="D205" i="2"/>
  <c r="D206" i="2"/>
  <c r="D207" i="2"/>
  <c r="P207" i="2" s="1"/>
  <c r="D208" i="2"/>
  <c r="D209" i="2"/>
  <c r="D210" i="2"/>
  <c r="D211" i="2"/>
  <c r="P211" i="2" s="1"/>
  <c r="D212" i="2"/>
  <c r="D213" i="2"/>
  <c r="D214" i="2"/>
  <c r="D215" i="2"/>
  <c r="P215" i="2" s="1"/>
  <c r="D216" i="2"/>
  <c r="D217" i="2"/>
  <c r="D218" i="2"/>
  <c r="D219" i="2"/>
  <c r="P219" i="2" s="1"/>
  <c r="D220" i="2"/>
  <c r="D221" i="2"/>
  <c r="D222" i="2"/>
  <c r="D223" i="2"/>
  <c r="D224" i="2"/>
  <c r="P224" i="2" s="1"/>
  <c r="D225" i="2"/>
  <c r="D226" i="2"/>
  <c r="D227" i="2"/>
  <c r="D228" i="2"/>
  <c r="P228" i="2" s="1"/>
  <c r="D229" i="2"/>
  <c r="D230" i="2"/>
  <c r="D231" i="2"/>
  <c r="D232" i="2"/>
  <c r="D233" i="2"/>
  <c r="P233" i="2" s="1"/>
  <c r="D234" i="2"/>
  <c r="D235" i="2"/>
  <c r="D236" i="2"/>
  <c r="D237" i="2"/>
  <c r="P237" i="2" s="1"/>
  <c r="D238" i="2"/>
  <c r="D239" i="2"/>
  <c r="D240" i="2"/>
  <c r="D241" i="2"/>
  <c r="D242" i="2"/>
  <c r="P242" i="2" s="1"/>
  <c r="D243" i="2"/>
  <c r="D244" i="2"/>
  <c r="D245" i="2"/>
  <c r="D246" i="2"/>
  <c r="D247" i="2"/>
  <c r="P247" i="2" s="1"/>
  <c r="D248" i="2"/>
  <c r="D249" i="2"/>
  <c r="D250" i="2"/>
  <c r="D251" i="2"/>
  <c r="P251" i="2" s="1"/>
  <c r="D252" i="2"/>
  <c r="D253" i="2"/>
  <c r="D254" i="2"/>
  <c r="D255" i="2"/>
  <c r="D256" i="2"/>
  <c r="P256" i="2" s="1"/>
  <c r="D257" i="2"/>
  <c r="D258" i="2"/>
  <c r="D259" i="2"/>
  <c r="P259" i="2" s="1"/>
  <c r="D260" i="2"/>
  <c r="D261" i="2"/>
  <c r="D262" i="2"/>
  <c r="D263" i="2"/>
  <c r="D264" i="2"/>
  <c r="P264" i="2" s="1"/>
  <c r="D265" i="2"/>
  <c r="D266" i="2"/>
  <c r="D267" i="2"/>
  <c r="D268" i="2"/>
  <c r="D269" i="2"/>
  <c r="P269" i="2" s="1"/>
  <c r="D270" i="2"/>
  <c r="D271" i="2"/>
  <c r="D272" i="2"/>
  <c r="D273" i="2"/>
  <c r="D274" i="2"/>
  <c r="P274" i="2" s="1"/>
  <c r="D275" i="2"/>
  <c r="D276" i="2"/>
  <c r="D277" i="2"/>
  <c r="D278" i="2"/>
  <c r="P278" i="2" s="1"/>
  <c r="D279" i="2"/>
  <c r="D280" i="2"/>
  <c r="D281" i="2"/>
  <c r="D282" i="2"/>
  <c r="P282" i="2" s="1"/>
  <c r="D283" i="2"/>
  <c r="D284" i="2"/>
  <c r="D285" i="2"/>
  <c r="D286" i="2"/>
  <c r="D287" i="2"/>
  <c r="P287" i="2" s="1"/>
  <c r="D288" i="2"/>
  <c r="D289" i="2"/>
  <c r="D290" i="2"/>
  <c r="D291" i="2"/>
  <c r="P291" i="2" s="1"/>
  <c r="D292" i="2"/>
  <c r="D293" i="2"/>
  <c r="D294" i="2"/>
  <c r="D295" i="2"/>
  <c r="P295" i="2" s="1"/>
  <c r="D296" i="2"/>
  <c r="D297" i="2"/>
  <c r="D298" i="2"/>
  <c r="D299" i="2"/>
  <c r="D300" i="2"/>
  <c r="P300" i="2" s="1"/>
  <c r="D301" i="2"/>
  <c r="D302" i="2"/>
  <c r="D303" i="2"/>
  <c r="D304" i="2"/>
  <c r="P304" i="2" s="1"/>
  <c r="D305" i="2"/>
  <c r="D306" i="2"/>
  <c r="D307" i="2"/>
  <c r="D308" i="2"/>
  <c r="D309" i="2"/>
  <c r="P309" i="2" s="1"/>
  <c r="D310" i="2"/>
  <c r="D311" i="2"/>
  <c r="D312" i="2"/>
  <c r="D313" i="2"/>
  <c r="P313" i="2" s="1"/>
  <c r="D314" i="2"/>
  <c r="D315" i="2"/>
  <c r="D316" i="2"/>
  <c r="D317" i="2"/>
  <c r="P317" i="2" s="1"/>
  <c r="D318" i="2"/>
  <c r="D319" i="2"/>
  <c r="D320" i="2"/>
  <c r="D321" i="2"/>
  <c r="P321" i="2" s="1"/>
  <c r="D322" i="2"/>
  <c r="D323" i="2"/>
  <c r="D324" i="2"/>
  <c r="D325" i="2"/>
  <c r="P325" i="2" s="1"/>
  <c r="D326" i="2"/>
  <c r="D327" i="2"/>
  <c r="D328" i="2"/>
  <c r="D329" i="2"/>
  <c r="P329" i="2" s="1"/>
  <c r="D330" i="2"/>
  <c r="D331" i="2"/>
  <c r="D332" i="2"/>
  <c r="D333" i="2"/>
  <c r="P333" i="2" s="1"/>
  <c r="D334" i="2"/>
  <c r="D335" i="2"/>
  <c r="D336" i="2"/>
  <c r="D337" i="2"/>
  <c r="P337" i="2" s="1"/>
  <c r="D338" i="2"/>
  <c r="D339" i="2"/>
  <c r="D340" i="2"/>
  <c r="D341" i="2"/>
  <c r="P341" i="2" s="1"/>
  <c r="D342" i="2"/>
  <c r="D343" i="2"/>
  <c r="D344" i="2"/>
  <c r="D345" i="2"/>
  <c r="P345" i="2" s="1"/>
  <c r="D346" i="2"/>
  <c r="D347" i="2"/>
  <c r="D348" i="2"/>
  <c r="D349" i="2"/>
  <c r="P349" i="2" s="1"/>
  <c r="D350" i="2"/>
  <c r="D351" i="2"/>
  <c r="D352" i="2"/>
  <c r="D353" i="2"/>
  <c r="P353" i="2" s="1"/>
  <c r="D354" i="2"/>
  <c r="D355" i="2"/>
  <c r="D356" i="2"/>
  <c r="D357" i="2"/>
  <c r="P357" i="2" s="1"/>
  <c r="D358" i="2"/>
  <c r="D359" i="2"/>
  <c r="D360" i="2"/>
  <c r="D361" i="2"/>
  <c r="D362" i="2"/>
  <c r="P362" i="2" s="1"/>
  <c r="D363" i="2"/>
  <c r="D364" i="2"/>
  <c r="D365" i="2"/>
  <c r="D366" i="2"/>
  <c r="P366" i="2" s="1"/>
  <c r="D367" i="2"/>
  <c r="D368" i="2"/>
  <c r="D369" i="2"/>
  <c r="D370" i="2"/>
  <c r="P370" i="2" s="1"/>
  <c r="D371" i="2"/>
  <c r="D372" i="2"/>
  <c r="D373" i="2"/>
  <c r="D374" i="2"/>
  <c r="P374" i="2" s="1"/>
  <c r="D375" i="2"/>
  <c r="D376" i="2"/>
  <c r="D377" i="2"/>
  <c r="D378" i="2"/>
  <c r="P378" i="2" s="1"/>
  <c r="D379" i="2"/>
  <c r="D380" i="2"/>
  <c r="D381" i="2"/>
  <c r="D382" i="2"/>
  <c r="P382" i="2" s="1"/>
  <c r="D383" i="2"/>
  <c r="D384" i="2"/>
  <c r="D385" i="2"/>
  <c r="D386" i="2"/>
  <c r="P386" i="2" s="1"/>
  <c r="D387" i="2"/>
  <c r="D388" i="2"/>
  <c r="D389" i="2"/>
  <c r="D390" i="2"/>
  <c r="D391" i="2"/>
  <c r="P391" i="2" s="1"/>
  <c r="D392" i="2"/>
  <c r="D393" i="2"/>
  <c r="D394" i="2"/>
  <c r="D395" i="2"/>
  <c r="P395" i="2" s="1"/>
  <c r="D396" i="2"/>
  <c r="D397" i="2"/>
  <c r="D398" i="2"/>
  <c r="D399" i="2"/>
  <c r="P399" i="2" s="1"/>
  <c r="D400" i="2"/>
  <c r="D401" i="2"/>
  <c r="D402" i="2"/>
  <c r="D403" i="2"/>
  <c r="D404" i="2"/>
  <c r="P404" i="2" s="1"/>
  <c r="D405" i="2"/>
  <c r="D406" i="2"/>
  <c r="D407" i="2"/>
  <c r="D408" i="2"/>
  <c r="P408" i="2" s="1"/>
  <c r="D409" i="2"/>
  <c r="D410" i="2"/>
  <c r="D411" i="2"/>
  <c r="D412" i="2"/>
  <c r="P412" i="2" s="1"/>
  <c r="D413" i="2"/>
  <c r="D414" i="2"/>
  <c r="D415" i="2"/>
  <c r="D416" i="2"/>
  <c r="P416" i="2" s="1"/>
  <c r="D417" i="2"/>
  <c r="D418" i="2"/>
  <c r="D419" i="2"/>
  <c r="D420" i="2"/>
  <c r="D421" i="2"/>
  <c r="P421" i="2" s="1"/>
  <c r="D422" i="2"/>
  <c r="D423" i="2"/>
  <c r="D424" i="2"/>
  <c r="D425" i="2"/>
  <c r="P425" i="2" s="1"/>
  <c r="D426" i="2"/>
  <c r="D427" i="2"/>
  <c r="D428" i="2"/>
  <c r="D429" i="2"/>
  <c r="P429" i="2" s="1"/>
  <c r="D430" i="2"/>
  <c r="D431" i="2"/>
  <c r="D432" i="2"/>
  <c r="D433" i="2"/>
  <c r="P433" i="2" s="1"/>
  <c r="D434" i="2"/>
  <c r="D435" i="2"/>
  <c r="D436" i="2"/>
  <c r="D437" i="2"/>
  <c r="P437" i="2" s="1"/>
  <c r="D438" i="2"/>
  <c r="D439" i="2"/>
  <c r="D440" i="2"/>
  <c r="D441" i="2"/>
  <c r="D442" i="2"/>
  <c r="P442" i="2" s="1"/>
  <c r="D443" i="2"/>
  <c r="D444" i="2"/>
  <c r="D445" i="2"/>
  <c r="D446" i="2"/>
  <c r="P446" i="2" s="1"/>
  <c r="D447" i="2"/>
  <c r="D448" i="2"/>
  <c r="D449" i="2"/>
  <c r="D450" i="2"/>
  <c r="P450" i="2" s="1"/>
  <c r="D451" i="2"/>
  <c r="D452" i="2"/>
  <c r="D453" i="2"/>
  <c r="D454" i="2"/>
  <c r="P454" i="2" s="1"/>
  <c r="D455" i="2"/>
  <c r="D456" i="2"/>
  <c r="D457" i="2"/>
  <c r="D458" i="2"/>
  <c r="P458" i="2" s="1"/>
  <c r="D459" i="2"/>
  <c r="D460" i="2"/>
  <c r="D461" i="2"/>
  <c r="D462" i="2"/>
  <c r="P462" i="2" s="1"/>
  <c r="D463" i="2"/>
  <c r="D464" i="2"/>
  <c r="D465" i="2"/>
  <c r="D466" i="2"/>
  <c r="P466" i="2" s="1"/>
  <c r="D467" i="2"/>
  <c r="D468" i="2"/>
  <c r="D469" i="2"/>
  <c r="D470" i="2"/>
  <c r="P470" i="2" s="1"/>
  <c r="D471" i="2"/>
  <c r="D472" i="2"/>
  <c r="D473" i="2"/>
  <c r="D474" i="2"/>
  <c r="P474" i="2" s="1"/>
  <c r="D475" i="2"/>
  <c r="D476" i="2"/>
  <c r="D477" i="2"/>
  <c r="P477" i="2" s="1"/>
  <c r="D478" i="2"/>
  <c r="D479" i="2"/>
  <c r="D480" i="2"/>
  <c r="D481" i="2"/>
  <c r="D482" i="2"/>
  <c r="P482" i="2" s="1"/>
  <c r="D483" i="2"/>
  <c r="D484" i="2"/>
  <c r="D485" i="2"/>
  <c r="D486" i="2"/>
  <c r="P486" i="2" s="1"/>
  <c r="D487" i="2"/>
  <c r="D488" i="2"/>
  <c r="D489" i="2"/>
  <c r="D490" i="2"/>
  <c r="P490" i="2" s="1"/>
  <c r="D491" i="2"/>
  <c r="D492" i="2"/>
  <c r="D493" i="2"/>
  <c r="D494" i="2"/>
  <c r="D495" i="2"/>
  <c r="P495" i="2" s="1"/>
  <c r="D496" i="2"/>
  <c r="D497" i="2"/>
  <c r="D498" i="2"/>
  <c r="D499" i="2"/>
  <c r="P499" i="2" s="1"/>
  <c r="D500" i="2"/>
  <c r="D501" i="2"/>
  <c r="D502" i="2"/>
  <c r="D503" i="2"/>
  <c r="P503" i="2" s="1"/>
  <c r="D504" i="2"/>
  <c r="D505" i="2"/>
  <c r="D506" i="2"/>
  <c r="D507" i="2"/>
  <c r="D508" i="2"/>
  <c r="P508" i="2" s="1"/>
  <c r="D509" i="2"/>
  <c r="D510" i="2"/>
  <c r="D511" i="2"/>
  <c r="D512" i="2"/>
  <c r="P512" i="2" s="1"/>
  <c r="D513" i="2"/>
  <c r="D514" i="2"/>
  <c r="D515" i="2"/>
  <c r="D516" i="2"/>
  <c r="P516" i="2" s="1"/>
  <c r="D517" i="2"/>
  <c r="D518" i="2"/>
  <c r="D519" i="2"/>
  <c r="D520" i="2"/>
  <c r="P520" i="2" s="1"/>
  <c r="D521" i="2"/>
  <c r="D522" i="2"/>
  <c r="D523" i="2"/>
  <c r="D524" i="2"/>
  <c r="P524" i="2" s="1"/>
  <c r="D525" i="2"/>
  <c r="D526" i="2"/>
  <c r="D527" i="2"/>
  <c r="D528" i="2"/>
  <c r="P528" i="2" s="1"/>
  <c r="D529" i="2"/>
  <c r="D530" i="2"/>
  <c r="D531" i="2"/>
  <c r="D532" i="2"/>
  <c r="P532" i="2" s="1"/>
  <c r="D533" i="2"/>
  <c r="D534" i="2"/>
  <c r="D535" i="2"/>
  <c r="D536" i="2"/>
  <c r="P536" i="2" s="1"/>
  <c r="D537" i="2"/>
  <c r="D538" i="2"/>
  <c r="D539" i="2"/>
  <c r="D540" i="2"/>
  <c r="P540" i="2" s="1"/>
  <c r="D541" i="2"/>
  <c r="D542" i="2"/>
  <c r="D543" i="2"/>
  <c r="D544" i="2"/>
  <c r="D545" i="2"/>
  <c r="P545" i="2" s="1"/>
  <c r="D546" i="2"/>
  <c r="D547" i="2"/>
  <c r="D548" i="2"/>
  <c r="D549" i="2"/>
  <c r="P549" i="2" s="1"/>
  <c r="D550" i="2"/>
  <c r="D551" i="2"/>
  <c r="D552" i="2"/>
  <c r="D553" i="2"/>
  <c r="P553" i="2" s="1"/>
  <c r="D554" i="2"/>
  <c r="D555" i="2"/>
  <c r="D556" i="2"/>
  <c r="D557" i="2"/>
  <c r="P557" i="2" s="1"/>
  <c r="D558" i="2"/>
  <c r="D559" i="2"/>
  <c r="D560" i="2"/>
  <c r="D561" i="2"/>
  <c r="P561" i="2" s="1"/>
  <c r="D562" i="2"/>
  <c r="D563" i="2"/>
  <c r="D564" i="2"/>
  <c r="D565" i="2"/>
  <c r="P565" i="2" s="1"/>
  <c r="D566" i="2"/>
  <c r="D567" i="2"/>
  <c r="D568" i="2"/>
  <c r="D569" i="2"/>
  <c r="D570" i="2"/>
  <c r="P570" i="2" s="1"/>
  <c r="D571" i="2"/>
  <c r="D572" i="2"/>
  <c r="D573" i="2"/>
  <c r="D574" i="2"/>
  <c r="D575" i="2"/>
  <c r="P575" i="2" s="1"/>
  <c r="D576" i="2"/>
  <c r="D577" i="2"/>
  <c r="D578" i="2"/>
  <c r="P578" i="2" s="1"/>
  <c r="D579" i="2"/>
  <c r="D580" i="2"/>
  <c r="D581" i="2"/>
  <c r="D582" i="2"/>
  <c r="P582" i="2" s="1"/>
  <c r="D583" i="2"/>
  <c r="D584" i="2"/>
  <c r="D585" i="2"/>
  <c r="P585" i="2" s="1"/>
  <c r="D586" i="2"/>
  <c r="D587" i="2"/>
  <c r="D588" i="2"/>
  <c r="D589" i="2"/>
  <c r="P589" i="2" s="1"/>
  <c r="D590" i="2"/>
  <c r="D591" i="2"/>
  <c r="D592" i="2"/>
  <c r="D593" i="2"/>
  <c r="P593" i="2" s="1"/>
  <c r="D594" i="2"/>
  <c r="D595" i="2"/>
  <c r="D596" i="2"/>
  <c r="D597" i="2"/>
  <c r="P597" i="2" s="1"/>
  <c r="D598" i="2"/>
  <c r="D599" i="2"/>
  <c r="D600" i="2"/>
  <c r="D601" i="2"/>
  <c r="P601" i="2" s="1"/>
  <c r="D602" i="2"/>
  <c r="D603" i="2"/>
  <c r="D604" i="2"/>
  <c r="D605" i="2"/>
  <c r="P605" i="2" s="1"/>
  <c r="D606" i="2"/>
  <c r="D607" i="2"/>
  <c r="D608" i="2"/>
  <c r="D609" i="2"/>
  <c r="P609" i="2" s="1"/>
  <c r="D610" i="2"/>
  <c r="D611" i="2"/>
  <c r="D612" i="2"/>
  <c r="D613" i="2"/>
  <c r="P613" i="2" s="1"/>
  <c r="D614" i="2"/>
  <c r="D615" i="2"/>
  <c r="D616" i="2"/>
  <c r="D617" i="2"/>
  <c r="D618" i="2"/>
  <c r="P618" i="2" s="1"/>
  <c r="D619" i="2"/>
  <c r="D620" i="2"/>
  <c r="D621" i="2"/>
  <c r="D622" i="2"/>
  <c r="D623" i="2"/>
  <c r="P623" i="2" s="1"/>
  <c r="D624" i="2"/>
  <c r="D625" i="2"/>
  <c r="D626" i="2"/>
  <c r="D627" i="2"/>
  <c r="D628" i="2"/>
  <c r="P628" i="2" s="1"/>
  <c r="D629" i="2"/>
  <c r="D630" i="2"/>
  <c r="D631" i="2"/>
  <c r="D632" i="2"/>
  <c r="P632" i="2" s="1"/>
  <c r="D633" i="2"/>
  <c r="D634" i="2"/>
  <c r="D635" i="2"/>
  <c r="D636" i="2"/>
  <c r="D637" i="2"/>
  <c r="P637" i="2" s="1"/>
  <c r="D638" i="2"/>
  <c r="D639" i="2"/>
  <c r="D640" i="2"/>
  <c r="D641" i="2"/>
  <c r="D642" i="2"/>
  <c r="P642" i="2" s="1"/>
  <c r="D643" i="2"/>
  <c r="D644" i="2"/>
  <c r="D645" i="2"/>
  <c r="D646" i="2"/>
  <c r="D647" i="2"/>
  <c r="P647" i="2" s="1"/>
  <c r="D648" i="2"/>
  <c r="D649" i="2"/>
  <c r="D650" i="2"/>
  <c r="D651" i="2"/>
  <c r="P651" i="2" s="1"/>
  <c r="D652" i="2"/>
  <c r="D653" i="2"/>
  <c r="D654" i="2"/>
  <c r="D655" i="2"/>
  <c r="P655" i="2" s="1"/>
  <c r="D656" i="2"/>
  <c r="D657" i="2"/>
  <c r="D658" i="2"/>
  <c r="D659" i="2"/>
  <c r="P659" i="2" s="1"/>
  <c r="D660" i="2"/>
  <c r="D661" i="2"/>
  <c r="D662" i="2"/>
  <c r="D663" i="2"/>
  <c r="P663" i="2" s="1"/>
  <c r="D664" i="2"/>
  <c r="D665" i="2"/>
  <c r="D666" i="2"/>
  <c r="D667" i="2"/>
  <c r="P667" i="2" s="1"/>
  <c r="D668" i="2"/>
  <c r="D669" i="2"/>
  <c r="D670" i="2"/>
  <c r="D671" i="2"/>
  <c r="P671" i="2" s="1"/>
  <c r="D672" i="2"/>
  <c r="D673" i="2"/>
  <c r="D674" i="2"/>
  <c r="D675" i="2"/>
  <c r="D676" i="2"/>
  <c r="P676" i="2" s="1"/>
  <c r="D677" i="2"/>
  <c r="D678" i="2"/>
  <c r="D679" i="2"/>
  <c r="D680" i="2"/>
  <c r="P680" i="2" s="1"/>
  <c r="D681" i="2"/>
  <c r="D682" i="2"/>
  <c r="D683" i="2"/>
  <c r="D684" i="2"/>
  <c r="D685" i="2"/>
  <c r="P685" i="2" s="1"/>
  <c r="D686" i="2"/>
  <c r="D687" i="2"/>
  <c r="D688" i="2"/>
  <c r="D689" i="2"/>
  <c r="P689" i="2" s="1"/>
  <c r="D690" i="2"/>
  <c r="D691" i="2"/>
  <c r="D692" i="2"/>
  <c r="P692" i="2" s="1"/>
  <c r="D693" i="2"/>
  <c r="D694" i="2"/>
  <c r="D695" i="2"/>
  <c r="P695" i="2" s="1"/>
  <c r="D696" i="2"/>
  <c r="D697" i="2"/>
  <c r="D698" i="2"/>
  <c r="D699" i="2"/>
  <c r="D700" i="2"/>
  <c r="P700" i="2" s="1"/>
  <c r="D701" i="2"/>
  <c r="D702" i="2"/>
  <c r="D703" i="2"/>
  <c r="D704" i="2"/>
  <c r="D705" i="2"/>
  <c r="P705" i="2" s="1"/>
  <c r="D706" i="2"/>
  <c r="D707" i="2"/>
  <c r="D708" i="2"/>
  <c r="D709" i="2"/>
  <c r="D710" i="2"/>
  <c r="P710" i="2" s="1"/>
  <c r="D711" i="2"/>
  <c r="D712" i="2"/>
  <c r="D713" i="2"/>
  <c r="D714" i="2"/>
  <c r="D715" i="2"/>
  <c r="P715" i="2" s="1"/>
  <c r="D716" i="2"/>
  <c r="D717" i="2"/>
  <c r="D718" i="2"/>
  <c r="D719" i="2"/>
  <c r="D720" i="2"/>
  <c r="P720" i="2" s="1"/>
  <c r="D721" i="2"/>
  <c r="D722" i="2"/>
  <c r="D723" i="2"/>
  <c r="D724" i="2"/>
  <c r="D725" i="2"/>
  <c r="P725" i="2" s="1"/>
  <c r="D726" i="2"/>
  <c r="D727" i="2"/>
  <c r="D728" i="2"/>
  <c r="D729" i="2"/>
  <c r="D730" i="2"/>
  <c r="P730" i="2" s="1"/>
  <c r="D731" i="2"/>
  <c r="D732" i="2"/>
  <c r="D733" i="2"/>
  <c r="P733" i="2" s="1"/>
  <c r="D734" i="2"/>
  <c r="D735" i="2"/>
  <c r="D736" i="2"/>
  <c r="D737" i="2"/>
  <c r="D738" i="2"/>
  <c r="P738" i="2" s="1"/>
  <c r="D739" i="2"/>
  <c r="D740" i="2"/>
  <c r="D741" i="2"/>
  <c r="D742" i="2"/>
  <c r="P742" i="2" s="1"/>
  <c r="D743" i="2"/>
  <c r="D744" i="2"/>
  <c r="D745" i="2"/>
  <c r="P745" i="2" s="1"/>
  <c r="D746" i="2"/>
  <c r="D747" i="2"/>
  <c r="D748" i="2"/>
  <c r="D749" i="2"/>
  <c r="D750" i="2"/>
  <c r="P750" i="2" s="1"/>
  <c r="D751" i="2"/>
  <c r="D752" i="2"/>
  <c r="D753" i="2"/>
  <c r="D754" i="2"/>
  <c r="P754" i="2" s="1"/>
  <c r="D755" i="2"/>
  <c r="D756" i="2"/>
  <c r="D757" i="2"/>
  <c r="D758" i="2"/>
  <c r="D759" i="2"/>
  <c r="P759" i="2" s="1"/>
  <c r="D760" i="2"/>
  <c r="D761" i="2"/>
  <c r="D762" i="2"/>
  <c r="D763" i="2"/>
  <c r="P763" i="2" s="1"/>
  <c r="D764" i="2"/>
  <c r="D765" i="2"/>
  <c r="D766" i="2"/>
  <c r="D767" i="2"/>
  <c r="P767" i="2" s="1"/>
  <c r="D768" i="2"/>
  <c r="D769" i="2"/>
  <c r="D770" i="2"/>
  <c r="D771" i="2"/>
  <c r="P771" i="2" s="1"/>
  <c r="D772" i="2"/>
  <c r="D773" i="2"/>
  <c r="D774" i="2"/>
  <c r="D775" i="2"/>
  <c r="P775" i="2" s="1"/>
  <c r="D776" i="2"/>
  <c r="D777" i="2"/>
  <c r="D778" i="2"/>
  <c r="P778" i="2" s="1"/>
  <c r="D779" i="2"/>
  <c r="D780" i="2"/>
  <c r="D781" i="2"/>
  <c r="P781" i="2" s="1"/>
  <c r="D782" i="2"/>
  <c r="D783" i="2"/>
  <c r="D784" i="2"/>
  <c r="P784" i="2" s="1"/>
  <c r="D785" i="2"/>
  <c r="D786" i="2"/>
  <c r="D787" i="2"/>
  <c r="P787" i="2" s="1"/>
  <c r="D788" i="2"/>
  <c r="D789" i="2"/>
  <c r="D790" i="2"/>
  <c r="D791" i="2"/>
  <c r="P791" i="2" s="1"/>
  <c r="D792" i="2"/>
  <c r="D793" i="2"/>
  <c r="D794" i="2"/>
  <c r="D795" i="2"/>
  <c r="P795" i="2" s="1"/>
  <c r="D796" i="2"/>
  <c r="D797" i="2"/>
  <c r="D798" i="2"/>
  <c r="D799" i="2"/>
  <c r="D800" i="2"/>
  <c r="P800" i="2" s="1"/>
  <c r="D801" i="2"/>
  <c r="D802" i="2"/>
  <c r="D803" i="2"/>
  <c r="D804" i="2"/>
  <c r="D805" i="2"/>
  <c r="P805" i="2" s="1"/>
  <c r="D806" i="2"/>
  <c r="D807" i="2"/>
  <c r="D808" i="2"/>
  <c r="P808" i="2" s="1"/>
  <c r="D809" i="2"/>
  <c r="D810" i="2"/>
  <c r="D811" i="2"/>
  <c r="P811" i="2" s="1"/>
  <c r="D812" i="2"/>
  <c r="D813" i="2"/>
  <c r="D814" i="2"/>
  <c r="D815" i="2"/>
  <c r="P815" i="2" s="1"/>
  <c r="D816" i="2"/>
  <c r="D817" i="2"/>
  <c r="D818" i="2"/>
  <c r="D819" i="2"/>
  <c r="D820" i="2"/>
  <c r="P820" i="2" s="1"/>
  <c r="D821" i="2"/>
  <c r="D822" i="2"/>
  <c r="D823" i="2"/>
  <c r="D824" i="2"/>
  <c r="D825" i="2"/>
  <c r="P825" i="2" s="1"/>
  <c r="D826" i="2"/>
  <c r="D827" i="2"/>
  <c r="D828" i="2"/>
  <c r="D829" i="2"/>
  <c r="P829" i="2" s="1"/>
  <c r="D830" i="2"/>
  <c r="D831" i="2"/>
  <c r="D832" i="2"/>
  <c r="P832" i="2" s="1"/>
  <c r="D833" i="2"/>
  <c r="D834" i="2"/>
  <c r="D835" i="2"/>
  <c r="D836" i="2"/>
  <c r="D837" i="2"/>
  <c r="P837" i="2" s="1"/>
  <c r="D838" i="2"/>
  <c r="D839" i="2"/>
  <c r="D840" i="2"/>
  <c r="D841" i="2"/>
  <c r="P841" i="2" s="1"/>
  <c r="D842" i="2"/>
  <c r="D843" i="2"/>
  <c r="D844" i="2"/>
  <c r="D845" i="2"/>
  <c r="D846" i="2"/>
  <c r="P846" i="2" s="1"/>
  <c r="D847" i="2"/>
  <c r="D848" i="2"/>
  <c r="D849" i="2"/>
  <c r="D850" i="2"/>
  <c r="D851" i="2"/>
  <c r="D852" i="2"/>
  <c r="P852" i="2" s="1"/>
  <c r="D853" i="2"/>
  <c r="D854" i="2"/>
  <c r="D855" i="2"/>
  <c r="D856" i="2"/>
  <c r="P856" i="2" s="1"/>
  <c r="D857" i="2"/>
  <c r="D858" i="2"/>
  <c r="D859" i="2"/>
  <c r="P859" i="2" s="1"/>
  <c r="D860" i="2"/>
  <c r="D861" i="2"/>
  <c r="D862" i="2"/>
  <c r="D863" i="2"/>
  <c r="P863" i="2" s="1"/>
  <c r="D864" i="2"/>
  <c r="D865" i="2"/>
  <c r="D866" i="2"/>
  <c r="P866" i="2" s="1"/>
  <c r="D867" i="2"/>
  <c r="D868" i="2"/>
  <c r="D869" i="2"/>
  <c r="P869" i="2" s="1"/>
  <c r="D870" i="2"/>
  <c r="D871" i="2"/>
  <c r="D872" i="2"/>
  <c r="D873" i="2"/>
  <c r="P873" i="2" s="1"/>
  <c r="D874" i="2"/>
  <c r="D875" i="2"/>
  <c r="D876" i="2"/>
  <c r="P876" i="2" s="1"/>
  <c r="D877" i="2"/>
  <c r="D878" i="2"/>
  <c r="D879" i="2"/>
  <c r="D880" i="2"/>
  <c r="P880" i="2" s="1"/>
  <c r="D881" i="2"/>
  <c r="D882" i="2"/>
  <c r="D883" i="2"/>
  <c r="D884" i="2"/>
  <c r="P884" i="2" s="1"/>
  <c r="D885" i="2"/>
  <c r="D886" i="2"/>
  <c r="D887" i="2"/>
  <c r="P887" i="2" s="1"/>
  <c r="D888" i="2"/>
  <c r="D889" i="2"/>
  <c r="D890" i="2"/>
  <c r="D891" i="2"/>
  <c r="P891" i="2" s="1"/>
  <c r="D892" i="2"/>
  <c r="D893" i="2"/>
  <c r="D894" i="2"/>
  <c r="P894" i="2" s="1"/>
  <c r="D895" i="2"/>
  <c r="D896" i="2"/>
  <c r="D897" i="2"/>
  <c r="D898" i="2"/>
  <c r="P898" i="2" s="1"/>
  <c r="D899" i="2"/>
  <c r="D900" i="2"/>
  <c r="D901" i="2"/>
  <c r="D902" i="2"/>
  <c r="P902" i="2" s="1"/>
  <c r="D903" i="2"/>
  <c r="D904" i="2"/>
  <c r="D905" i="2"/>
  <c r="D906" i="2"/>
  <c r="D907" i="2"/>
  <c r="P907" i="2" s="1"/>
  <c r="D908" i="2"/>
  <c r="D909" i="2"/>
  <c r="D910" i="2"/>
  <c r="P910" i="2" s="1"/>
  <c r="D911" i="2"/>
  <c r="D912" i="2"/>
  <c r="D913" i="2"/>
  <c r="P913" i="2" s="1"/>
  <c r="D914" i="2"/>
  <c r="D915" i="2"/>
  <c r="D916" i="2"/>
  <c r="D917" i="2"/>
  <c r="P917" i="2" s="1"/>
  <c r="D918" i="2"/>
  <c r="D919" i="2"/>
  <c r="D920" i="2"/>
  <c r="D921" i="2"/>
  <c r="P921" i="2" s="1"/>
  <c r="D922" i="2"/>
  <c r="D923" i="2"/>
  <c r="D924" i="2"/>
  <c r="D925" i="2"/>
  <c r="P925" i="2" s="1"/>
  <c r="D926" i="2"/>
  <c r="D927" i="2"/>
  <c r="D928" i="2"/>
  <c r="D929" i="2"/>
  <c r="F929" i="2" s="1"/>
  <c r="D930" i="2"/>
  <c r="F930" i="2" s="1"/>
  <c r="D931" i="2"/>
  <c r="F931" i="2" s="1"/>
  <c r="D932" i="2"/>
  <c r="D933" i="2"/>
  <c r="F933" i="2" s="1"/>
  <c r="D934" i="2"/>
  <c r="F934" i="2" s="1"/>
  <c r="D935" i="2"/>
  <c r="F935" i="2" s="1"/>
  <c r="D936" i="2"/>
  <c r="F936" i="2" s="1"/>
  <c r="D937" i="2"/>
  <c r="D938" i="2"/>
  <c r="F938" i="2" s="1"/>
  <c r="D939" i="2"/>
  <c r="F939" i="2" s="1"/>
  <c r="D940" i="2"/>
  <c r="F940" i="2" s="1"/>
  <c r="D941" i="2"/>
  <c r="F941" i="2" s="1"/>
  <c r="D942" i="2"/>
  <c r="D943" i="2"/>
  <c r="F943" i="2" s="1"/>
  <c r="D944" i="2"/>
  <c r="F944" i="2" s="1"/>
  <c r="D945" i="2"/>
  <c r="F945" i="2" s="1"/>
  <c r="D946" i="2"/>
  <c r="F946" i="2" s="1"/>
  <c r="D947" i="2"/>
  <c r="D948" i="2"/>
  <c r="F948" i="2" s="1"/>
  <c r="D949" i="2"/>
  <c r="F949" i="2" s="1"/>
  <c r="D950" i="2"/>
  <c r="F950" i="2" s="1"/>
  <c r="D951" i="2"/>
  <c r="F951" i="2" s="1"/>
  <c r="D952" i="2"/>
  <c r="P952" i="2" s="1"/>
  <c r="D953" i="2"/>
  <c r="D954" i="2"/>
  <c r="D955" i="2"/>
  <c r="D956" i="2"/>
  <c r="P956" i="2" s="1"/>
  <c r="D957" i="2"/>
  <c r="D958" i="2"/>
  <c r="D959" i="2"/>
  <c r="D960" i="2"/>
  <c r="P960" i="2" s="1"/>
  <c r="D961" i="2"/>
  <c r="D962" i="2"/>
  <c r="D963" i="2"/>
  <c r="D964" i="2"/>
  <c r="P964" i="2" s="1"/>
  <c r="D965" i="2"/>
  <c r="D966" i="2"/>
  <c r="D967" i="2"/>
  <c r="D968" i="2"/>
  <c r="P968" i="2" s="1"/>
  <c r="D969" i="2"/>
  <c r="D970" i="2"/>
  <c r="D971" i="2"/>
  <c r="D972" i="2"/>
  <c r="P972" i="2" s="1"/>
  <c r="D973" i="2"/>
  <c r="D974" i="2"/>
  <c r="D975" i="2"/>
  <c r="D976" i="2"/>
  <c r="P976" i="2" s="1"/>
  <c r="D977" i="2"/>
  <c r="D978" i="2"/>
  <c r="D979" i="2"/>
  <c r="D980" i="2"/>
  <c r="P980" i="2" s="1"/>
  <c r="D981" i="2"/>
  <c r="D982" i="2"/>
  <c r="D983" i="2"/>
  <c r="D984" i="2"/>
  <c r="P984" i="2" s="1"/>
  <c r="D985" i="2"/>
  <c r="D986" i="2"/>
  <c r="D987" i="2"/>
  <c r="D988" i="2"/>
  <c r="P988" i="2" s="1"/>
  <c r="D989" i="2"/>
  <c r="D990" i="2"/>
  <c r="D991" i="2"/>
  <c r="D992" i="2"/>
  <c r="P992" i="2" s="1"/>
  <c r="D993" i="2"/>
  <c r="D994" i="2"/>
  <c r="D995" i="2"/>
  <c r="D996" i="2"/>
  <c r="P996" i="2" s="1"/>
  <c r="D997" i="2"/>
  <c r="D998" i="2"/>
  <c r="D999" i="2"/>
  <c r="D1000" i="2"/>
  <c r="P1000" i="2" s="1"/>
  <c r="D1001" i="2"/>
  <c r="D1002" i="2"/>
  <c r="D1003" i="2"/>
  <c r="D1004" i="2"/>
  <c r="P1004" i="2" s="1"/>
  <c r="D1005" i="2"/>
  <c r="D1006" i="2"/>
  <c r="D1007" i="2"/>
  <c r="D1008" i="2"/>
  <c r="P1008" i="2" s="1"/>
  <c r="D1009" i="2"/>
  <c r="D1010" i="2"/>
  <c r="D1011" i="2"/>
  <c r="D1012" i="2"/>
  <c r="P1012" i="2" s="1"/>
  <c r="D1013" i="2"/>
  <c r="D1014" i="2"/>
  <c r="D1015" i="2"/>
  <c r="D1016" i="2"/>
  <c r="P1016" i="2" s="1"/>
  <c r="D1017" i="2"/>
  <c r="D1018" i="2"/>
  <c r="D1019" i="2"/>
  <c r="D1020" i="2"/>
  <c r="P1020" i="2" s="1"/>
  <c r="D1021" i="2"/>
  <c r="D1022" i="2"/>
  <c r="D1023" i="2"/>
  <c r="P1023" i="2" s="1"/>
  <c r="D1024" i="2"/>
  <c r="D1025" i="2"/>
  <c r="D1026" i="2"/>
  <c r="D1027" i="2"/>
  <c r="P1027" i="2" s="1"/>
  <c r="D1028" i="2"/>
  <c r="D1029" i="2"/>
  <c r="D1030" i="2"/>
  <c r="D1031" i="2"/>
  <c r="D1032" i="2"/>
  <c r="P1032" i="2" s="1"/>
  <c r="D1033" i="2"/>
  <c r="D1034" i="2"/>
  <c r="D1035" i="2"/>
  <c r="P1035" i="2" s="1"/>
  <c r="D1036" i="2"/>
  <c r="D1037" i="2"/>
  <c r="D1038" i="2"/>
  <c r="D1039" i="2"/>
  <c r="P1039" i="2" s="1"/>
  <c r="D1040" i="2"/>
  <c r="D1041" i="2"/>
  <c r="D1042" i="2"/>
  <c r="D1043" i="2"/>
  <c r="P1043" i="2" s="1"/>
  <c r="D1044" i="2"/>
  <c r="D1045" i="2"/>
  <c r="D1046" i="2"/>
  <c r="D1047" i="2"/>
  <c r="P1047" i="2" s="1"/>
  <c r="D1048" i="2"/>
  <c r="D1049" i="2"/>
  <c r="D1050" i="2"/>
  <c r="P1050" i="2" s="1"/>
  <c r="D1051" i="2"/>
  <c r="D1052" i="2"/>
  <c r="D1053" i="2"/>
  <c r="D1054" i="2"/>
  <c r="D1055" i="2"/>
  <c r="P1055" i="2" s="1"/>
  <c r="D1056" i="2"/>
  <c r="D1057" i="2"/>
  <c r="D1058" i="2"/>
  <c r="D1059" i="2"/>
  <c r="D1060" i="2"/>
  <c r="P1060" i="2" s="1"/>
  <c r="D1061" i="2"/>
  <c r="D1062" i="2"/>
  <c r="D1063" i="2"/>
  <c r="D1064" i="2"/>
  <c r="D1065" i="2"/>
  <c r="P1065" i="2" s="1"/>
  <c r="D1066" i="2"/>
  <c r="D1067" i="2"/>
  <c r="D1068" i="2"/>
  <c r="D1069" i="2"/>
  <c r="D1070" i="2"/>
  <c r="P1070" i="2" s="1"/>
  <c r="D1071" i="2"/>
  <c r="D1072" i="2"/>
  <c r="D1073" i="2"/>
  <c r="D1074" i="2"/>
  <c r="D1075" i="2"/>
  <c r="P1075" i="2" s="1"/>
  <c r="D1076" i="2"/>
  <c r="D1077" i="2"/>
  <c r="D1078" i="2"/>
  <c r="D1079" i="2"/>
  <c r="D1080" i="2"/>
  <c r="P1080" i="2" s="1"/>
  <c r="D1081" i="2"/>
  <c r="D1082" i="2"/>
  <c r="D1083" i="2"/>
  <c r="D1084" i="2"/>
  <c r="D1085" i="2"/>
  <c r="D1086" i="2"/>
  <c r="P1086" i="2" s="1"/>
  <c r="D1087" i="2"/>
  <c r="D1088" i="2"/>
  <c r="D1089" i="2"/>
  <c r="D1090" i="2"/>
  <c r="P1090" i="2" s="1"/>
  <c r="D1091" i="2"/>
  <c r="D1092" i="2"/>
  <c r="D1093" i="2"/>
  <c r="D1094" i="2"/>
  <c r="P1094" i="2" s="1"/>
  <c r="D1095" i="2"/>
  <c r="D1096" i="2"/>
  <c r="D1097" i="2"/>
  <c r="D1098" i="2"/>
  <c r="P1098" i="2" s="1"/>
  <c r="D1099" i="2"/>
  <c r="D1100" i="2"/>
  <c r="D1101" i="2"/>
  <c r="D1102" i="2"/>
  <c r="D1103" i="2"/>
  <c r="P1103" i="2" s="1"/>
  <c r="D1104" i="2"/>
  <c r="D1105" i="2"/>
  <c r="D1106" i="2"/>
  <c r="P1106" i="2" s="1"/>
  <c r="D1107" i="2"/>
  <c r="D1108" i="2"/>
  <c r="D1109" i="2"/>
  <c r="D1110" i="2"/>
  <c r="P1110" i="2" s="1"/>
  <c r="D1111" i="2"/>
  <c r="D1112" i="2"/>
  <c r="D1113" i="2"/>
  <c r="D1114" i="2"/>
  <c r="P1114" i="2" s="1"/>
  <c r="D1115" i="2"/>
  <c r="D1116" i="2"/>
  <c r="D1117" i="2"/>
  <c r="D1118" i="2"/>
  <c r="P1118" i="2" s="1"/>
  <c r="D1119" i="2"/>
  <c r="D1120" i="2"/>
  <c r="D1121" i="2"/>
  <c r="D1122" i="2"/>
  <c r="P1122" i="2" s="1"/>
  <c r="D1123" i="2"/>
  <c r="D1124" i="2"/>
  <c r="D1125" i="2"/>
  <c r="D1126" i="2"/>
  <c r="P1126" i="2" s="1"/>
  <c r="D1127" i="2"/>
  <c r="D1128" i="2"/>
  <c r="D1129" i="2"/>
  <c r="D1130" i="2"/>
  <c r="P1130" i="2" s="1"/>
  <c r="D1131" i="2"/>
  <c r="D1132" i="2"/>
  <c r="D1133" i="2"/>
  <c r="P1133" i="2" s="1"/>
  <c r="D1134" i="2"/>
  <c r="D1135" i="2"/>
  <c r="D1136" i="2"/>
  <c r="D1137" i="2"/>
  <c r="P1137" i="2" s="1"/>
  <c r="D1138" i="2"/>
  <c r="D1139" i="2"/>
  <c r="D1140" i="2"/>
  <c r="D1141" i="2"/>
  <c r="P1141" i="2" s="1"/>
  <c r="D1142" i="2"/>
  <c r="D1143" i="2"/>
  <c r="D1144" i="2"/>
  <c r="D1145" i="2"/>
  <c r="P1145" i="2" s="1"/>
  <c r="D1146" i="2"/>
  <c r="D1147" i="2"/>
  <c r="D1148" i="2"/>
  <c r="D1149" i="2"/>
  <c r="P1149" i="2" s="1"/>
  <c r="D1150" i="2"/>
  <c r="D1151" i="2"/>
  <c r="D1152" i="2"/>
  <c r="D1153" i="2"/>
  <c r="P1153" i="2" s="1"/>
  <c r="D1154" i="2"/>
  <c r="D1155" i="2"/>
  <c r="D1156" i="2"/>
  <c r="D1157" i="2"/>
  <c r="P1157" i="2" s="1"/>
  <c r="D1158" i="2"/>
  <c r="D1159" i="2"/>
  <c r="D1160" i="2"/>
  <c r="D1161" i="2"/>
  <c r="P1161" i="2" s="1"/>
  <c r="D1162" i="2"/>
  <c r="D1163" i="2"/>
  <c r="D1164" i="2"/>
  <c r="D1165" i="2"/>
  <c r="P1165" i="2" s="1"/>
  <c r="D1166" i="2"/>
  <c r="D1167" i="2"/>
  <c r="D1168" i="2"/>
  <c r="D1169" i="2"/>
  <c r="P1169" i="2" s="1"/>
  <c r="D1170" i="2"/>
  <c r="D1171" i="2"/>
  <c r="D1172" i="2"/>
  <c r="D1173" i="2"/>
  <c r="D1174" i="2"/>
  <c r="F1174" i="2" s="1"/>
  <c r="D1175" i="2"/>
  <c r="F1175" i="2" s="1"/>
  <c r="D1176" i="2"/>
  <c r="F1176" i="2" s="1"/>
  <c r="D1177" i="2"/>
  <c r="F1177" i="2" s="1"/>
  <c r="D1178" i="2"/>
  <c r="P1178" i="2" s="1"/>
  <c r="D1179" i="2"/>
  <c r="F1179" i="2" s="1"/>
  <c r="D1180" i="2"/>
  <c r="F1180" i="2" s="1"/>
  <c r="D1181" i="2"/>
  <c r="F1181" i="2" s="1"/>
  <c r="D1182" i="2"/>
  <c r="F1182" i="2" s="1"/>
  <c r="D1183" i="2"/>
  <c r="D1184" i="2"/>
  <c r="F1184" i="2" s="1"/>
  <c r="D1185" i="2"/>
  <c r="F1185" i="2" s="1"/>
  <c r="D1186" i="2"/>
  <c r="F1186" i="2" s="1"/>
  <c r="D1187" i="2"/>
  <c r="F1187" i="2" s="1"/>
  <c r="D1188" i="2"/>
  <c r="P1188" i="2" s="1"/>
  <c r="D1189" i="2"/>
  <c r="F1189" i="2" s="1"/>
  <c r="D1190" i="2"/>
  <c r="F1190" i="2" s="1"/>
  <c r="D1191" i="2"/>
  <c r="F1191" i="2" s="1"/>
  <c r="D1192" i="2"/>
  <c r="F1192" i="2" s="1"/>
  <c r="D1193" i="2"/>
  <c r="D1194" i="2"/>
  <c r="F1194" i="2" s="1"/>
  <c r="D1195" i="2"/>
  <c r="F1195" i="2" s="1"/>
  <c r="D1196" i="2"/>
  <c r="F1196" i="2" s="1"/>
  <c r="D1197" i="2"/>
  <c r="P1197" i="2" s="1"/>
  <c r="D1198" i="2"/>
  <c r="D1199" i="2"/>
  <c r="D1200" i="2"/>
  <c r="D1201" i="2"/>
  <c r="D1202" i="2"/>
  <c r="P1202" i="2" s="1"/>
  <c r="D1203" i="2"/>
  <c r="D1204" i="2"/>
  <c r="D1205" i="2"/>
  <c r="D1206" i="2"/>
  <c r="D1207" i="2"/>
  <c r="P1207" i="2" s="1"/>
  <c r="D1208" i="2"/>
  <c r="D1209" i="2"/>
  <c r="D1210" i="2"/>
  <c r="P1210" i="2" s="1"/>
  <c r="D1211" i="2"/>
  <c r="D1212" i="2"/>
  <c r="D1213" i="2"/>
  <c r="D1214" i="2"/>
  <c r="D1215" i="2"/>
  <c r="D1216" i="2"/>
  <c r="F1216" i="2" s="1"/>
  <c r="D1217" i="2"/>
  <c r="F1217" i="2" s="1"/>
  <c r="D1218" i="2"/>
  <c r="F1218" i="2" s="1"/>
  <c r="D1219" i="2"/>
  <c r="F1219" i="2" s="1"/>
  <c r="D1220" i="2"/>
  <c r="D1221" i="2"/>
  <c r="F1221" i="2" s="1"/>
  <c r="D1222" i="2"/>
  <c r="F1222" i="2" s="1"/>
  <c r="D1223" i="2"/>
  <c r="F1223" i="2" s="1"/>
  <c r="D1224" i="2"/>
  <c r="F1224" i="2" s="1"/>
  <c r="D1225" i="2"/>
  <c r="D1226" i="2"/>
  <c r="F1226" i="2" s="1"/>
  <c r="D1227" i="2"/>
  <c r="F1227" i="2" s="1"/>
  <c r="D1228" i="2"/>
  <c r="F1228" i="2" s="1"/>
  <c r="D1229" i="2"/>
  <c r="F1229" i="2" s="1"/>
  <c r="D1230" i="2"/>
  <c r="D1231" i="2"/>
  <c r="F1231" i="2" s="1"/>
  <c r="D1232" i="2"/>
  <c r="F1232" i="2" s="1"/>
  <c r="D1233" i="2"/>
  <c r="F1233" i="2" s="1"/>
  <c r="D1234" i="2"/>
  <c r="D1235" i="2"/>
  <c r="F1235" i="2" s="1"/>
  <c r="D1236" i="2"/>
  <c r="F1236" i="2" s="1"/>
  <c r="D1237" i="2"/>
  <c r="F1237" i="2" s="1"/>
  <c r="D1238" i="2"/>
  <c r="F1238" i="2" s="1"/>
  <c r="D1239" i="2"/>
  <c r="D1240" i="2"/>
  <c r="F1240" i="2" s="1"/>
  <c r="D1241" i="2"/>
  <c r="F1241" i="2" s="1"/>
  <c r="D1242" i="2"/>
  <c r="F1242" i="2" s="1"/>
  <c r="D1243" i="2"/>
  <c r="F1243" i="2" s="1"/>
  <c r="D1244" i="2"/>
  <c r="F1244" i="2" s="1"/>
  <c r="D1245" i="2"/>
  <c r="D1246" i="2"/>
  <c r="F1246" i="2" s="1"/>
  <c r="D1247" i="2"/>
  <c r="F1247" i="2" s="1"/>
  <c r="D1248" i="2"/>
  <c r="F1248" i="2" s="1"/>
  <c r="D1249" i="2"/>
  <c r="F1249" i="2" s="1"/>
  <c r="D1250" i="2"/>
  <c r="D1251" i="2"/>
  <c r="F1251" i="2" s="1"/>
  <c r="D1252" i="2"/>
  <c r="F1252" i="2" s="1"/>
  <c r="D1253" i="2"/>
  <c r="F1253" i="2" s="1"/>
  <c r="D1254" i="2"/>
  <c r="F1254" i="2" s="1"/>
  <c r="D1255" i="2"/>
  <c r="D1256" i="2"/>
  <c r="F1256" i="2" s="1"/>
  <c r="D1257" i="2"/>
  <c r="F1257" i="2" s="1"/>
  <c r="D1258" i="2"/>
  <c r="F1258" i="2" s="1"/>
  <c r="D1259" i="2"/>
  <c r="F1259" i="2" s="1"/>
  <c r="D1260" i="2"/>
  <c r="P1260" i="2" s="1"/>
  <c r="D1261" i="2"/>
  <c r="F1261" i="2" s="1"/>
  <c r="D1262" i="2"/>
  <c r="F1262" i="2" s="1"/>
  <c r="D1263" i="2"/>
  <c r="F1263" i="2" s="1"/>
  <c r="D1264" i="2"/>
  <c r="P1264" i="2" s="1"/>
  <c r="D1265" i="2"/>
  <c r="F1265" i="2" s="1"/>
  <c r="D1266" i="2"/>
  <c r="F1266" i="2" s="1"/>
  <c r="D1267" i="2"/>
  <c r="F1267" i="2" s="1"/>
  <c r="D1268" i="2"/>
  <c r="D1269" i="2"/>
  <c r="F1269" i="2" s="1"/>
  <c r="D1270" i="2"/>
  <c r="F1270" i="2" s="1"/>
  <c r="D1271" i="2"/>
  <c r="F1271" i="2" s="1"/>
  <c r="D1272" i="2"/>
  <c r="P1272" i="2" s="1"/>
  <c r="D1273" i="2"/>
  <c r="F1273" i="2" s="1"/>
  <c r="D1274" i="2"/>
  <c r="F1274" i="2" s="1"/>
  <c r="D1275" i="2"/>
  <c r="F1275" i="2" s="1"/>
  <c r="D1276" i="2"/>
  <c r="F1276" i="2" s="1"/>
  <c r="D1277" i="2"/>
  <c r="D1278" i="2"/>
  <c r="F1278" i="2" s="1"/>
  <c r="D1279" i="2"/>
  <c r="F1279" i="2" s="1"/>
  <c r="D1280" i="2"/>
  <c r="F1280" i="2" s="1"/>
  <c r="D1281" i="2"/>
  <c r="F1281" i="2" s="1"/>
  <c r="D1282" i="2"/>
  <c r="P1282" i="2" s="1"/>
  <c r="D1283" i="2"/>
  <c r="F1283" i="2" s="1"/>
  <c r="D1284" i="2"/>
  <c r="F1284" i="2" s="1"/>
  <c r="D1285" i="2"/>
  <c r="F1285" i="2" s="1"/>
  <c r="D1286" i="2"/>
  <c r="D1287" i="2"/>
  <c r="F1287" i="2" s="1"/>
  <c r="D1288" i="2"/>
  <c r="F1288" i="2" s="1"/>
  <c r="D1289" i="2"/>
  <c r="F1289" i="2" s="1"/>
  <c r="D1290" i="2"/>
  <c r="F1290" i="2" s="1"/>
  <c r="D1291" i="2"/>
  <c r="D1292" i="2"/>
  <c r="F1292" i="2" s="1"/>
  <c r="D1293" i="2"/>
  <c r="F1293" i="2" s="1"/>
  <c r="D1294" i="2"/>
  <c r="F1294" i="2" s="1"/>
  <c r="D1295" i="2"/>
  <c r="D1296" i="2"/>
  <c r="F1296" i="2" s="1"/>
  <c r="D1297" i="2"/>
  <c r="F1297" i="2" s="1"/>
  <c r="D1298" i="2"/>
  <c r="D1299" i="2"/>
  <c r="F1299" i="2" s="1"/>
  <c r="D1300" i="2"/>
  <c r="F1300" i="2" s="1"/>
  <c r="D1301" i="2"/>
  <c r="F1301" i="2" s="1"/>
  <c r="D1302" i="2"/>
  <c r="F1302" i="2" s="1"/>
  <c r="D1303" i="2"/>
  <c r="D1304" i="2"/>
  <c r="F1304" i="2" s="1"/>
  <c r="D1305" i="2"/>
  <c r="F1305" i="2" s="1"/>
  <c r="D1306" i="2"/>
  <c r="F1306" i="2" s="1"/>
  <c r="D1307" i="2"/>
  <c r="D1308" i="2"/>
  <c r="F1308" i="2" s="1"/>
  <c r="D1309" i="2"/>
  <c r="F1309" i="2" s="1"/>
  <c r="D1310" i="2"/>
  <c r="F1310" i="2" s="1"/>
  <c r="D1311" i="2"/>
  <c r="D1312" i="2"/>
  <c r="F1312" i="2" s="1"/>
  <c r="D1313" i="2"/>
  <c r="F1313" i="2" s="1"/>
  <c r="D1314" i="2"/>
  <c r="F1314" i="2" s="1"/>
  <c r="D1315" i="2"/>
  <c r="D1316" i="2"/>
  <c r="F1316" i="2" s="1"/>
  <c r="D1317" i="2"/>
  <c r="F1317" i="2" s="1"/>
  <c r="D1318" i="2"/>
  <c r="F1318" i="2" s="1"/>
  <c r="D1319" i="2"/>
  <c r="F1319" i="2" s="1"/>
  <c r="D1320" i="2"/>
  <c r="P1320" i="2" s="1"/>
  <c r="D1321" i="2"/>
  <c r="F1321" i="2" s="1"/>
  <c r="D1322" i="2"/>
  <c r="F1322" i="2" s="1"/>
  <c r="D1323" i="2"/>
  <c r="F1323" i="2" s="1"/>
  <c r="D1324" i="2"/>
  <c r="F1324" i="2" s="1"/>
  <c r="D1325" i="2"/>
  <c r="D1326" i="2"/>
  <c r="F1326" i="2" s="1"/>
  <c r="D1327" i="2"/>
  <c r="F1327" i="2" s="1"/>
  <c r="D1328" i="2"/>
  <c r="F1328" i="2" s="1"/>
  <c r="D1329" i="2"/>
  <c r="F1329" i="2" s="1"/>
  <c r="D1330" i="2"/>
  <c r="P1330" i="2" s="1"/>
  <c r="D1331" i="2"/>
  <c r="F1331" i="2" s="1"/>
  <c r="D1332" i="2"/>
  <c r="F1332" i="2" s="1"/>
  <c r="D1333" i="2"/>
  <c r="F1333" i="2" s="1"/>
  <c r="D1334" i="2"/>
  <c r="F1334" i="2" s="1"/>
  <c r="D1335" i="2"/>
  <c r="D1336" i="2"/>
  <c r="F1336" i="2" s="1"/>
  <c r="D1337" i="2"/>
  <c r="F1337" i="2" s="1"/>
  <c r="D1338" i="2"/>
  <c r="F1338" i="2" s="1"/>
  <c r="D1339" i="2"/>
  <c r="D1340" i="2"/>
  <c r="F1340" i="2" s="1"/>
  <c r="D1341" i="2"/>
  <c r="F1341" i="2" s="1"/>
  <c r="D1342" i="2"/>
  <c r="F1342" i="2" s="1"/>
  <c r="D1343" i="2"/>
  <c r="D1344" i="2"/>
  <c r="F1344" i="2" s="1"/>
  <c r="D1345" i="2"/>
  <c r="F1345" i="2" s="1"/>
  <c r="D1346" i="2"/>
  <c r="F1346" i="2" s="1"/>
  <c r="D1347" i="2"/>
  <c r="D1348" i="2"/>
  <c r="F1348" i="2" s="1"/>
  <c r="D1349" i="2"/>
  <c r="F1349" i="2" s="1"/>
  <c r="D1350" i="2"/>
  <c r="F1350" i="2" s="1"/>
  <c r="D1351" i="2"/>
  <c r="D1352" i="2"/>
  <c r="F1352" i="2" s="1"/>
  <c r="D1353" i="2"/>
  <c r="F1353" i="2" s="1"/>
  <c r="D1354" i="2"/>
  <c r="F1354" i="2" s="1"/>
  <c r="D1355" i="2"/>
  <c r="D1356" i="2"/>
  <c r="F1356" i="2" s="1"/>
  <c r="D1357" i="2"/>
  <c r="F1357" i="2" s="1"/>
  <c r="D1358" i="2"/>
  <c r="F1358" i="2" s="1"/>
  <c r="D1359" i="2"/>
  <c r="D1360" i="2"/>
  <c r="F1360" i="2" s="1"/>
  <c r="D1361" i="2"/>
  <c r="F1361" i="2" s="1"/>
  <c r="D1362" i="2"/>
  <c r="F1362" i="2" s="1"/>
  <c r="D1363" i="2"/>
  <c r="F1363" i="2" s="1"/>
  <c r="D1364" i="2"/>
  <c r="D1365" i="2"/>
  <c r="F1365" i="2" s="1"/>
  <c r="D1366" i="2"/>
  <c r="F1366" i="2" s="1"/>
  <c r="D1367" i="2"/>
  <c r="F1367" i="2" s="1"/>
  <c r="D1368" i="2"/>
  <c r="F1368" i="2" s="1"/>
  <c r="D1369" i="2"/>
  <c r="D1370" i="2"/>
  <c r="F1370" i="2" s="1"/>
  <c r="D1371" i="2"/>
  <c r="F1371" i="2" s="1"/>
  <c r="D1372" i="2"/>
  <c r="F1372" i="2" s="1"/>
  <c r="D1373" i="2"/>
  <c r="D1374" i="2"/>
  <c r="F1374" i="2" s="1"/>
  <c r="D1375" i="2"/>
  <c r="F1375" i="2" s="1"/>
  <c r="D1376" i="2"/>
  <c r="F1376" i="2" s="1"/>
  <c r="D1377" i="2"/>
  <c r="D1378" i="2"/>
  <c r="F1378" i="2" s="1"/>
  <c r="D1379" i="2"/>
  <c r="F1379" i="2" s="1"/>
  <c r="D1380" i="2"/>
  <c r="F1380" i="2" s="1"/>
  <c r="D1381" i="2"/>
  <c r="D1382" i="2"/>
  <c r="F1382" i="2" s="1"/>
  <c r="D1383" i="2"/>
  <c r="F1383" i="2" s="1"/>
  <c r="D1384" i="2"/>
  <c r="F1384" i="2" s="1"/>
  <c r="D1385" i="2"/>
  <c r="F1385" i="2" s="1"/>
  <c r="D1386" i="2"/>
  <c r="P1386" i="2" s="1"/>
  <c r="D1387" i="2"/>
  <c r="F1387" i="2" s="1"/>
  <c r="D1388" i="2"/>
  <c r="F1388" i="2" s="1"/>
  <c r="D1389" i="2"/>
  <c r="F1389" i="2" s="1"/>
  <c r="D1390" i="2"/>
  <c r="P1390" i="2" s="1"/>
  <c r="D1391" i="2"/>
  <c r="F1391" i="2" s="1"/>
  <c r="D1392" i="2"/>
  <c r="F1392" i="2" s="1"/>
  <c r="D1393" i="2"/>
  <c r="F1393" i="2" s="1"/>
  <c r="D1394" i="2"/>
  <c r="D1395" i="2"/>
  <c r="F1395" i="2" s="1"/>
  <c r="D1396" i="2"/>
  <c r="F1396" i="2" s="1"/>
  <c r="D1397" i="2"/>
  <c r="D1398" i="2"/>
  <c r="F1398" i="2" s="1"/>
  <c r="D1399" i="2"/>
  <c r="F1399" i="2" s="1"/>
  <c r="D1400" i="2"/>
  <c r="D1401" i="2"/>
  <c r="F1401" i="2" s="1"/>
  <c r="D1402" i="2"/>
  <c r="F1402" i="2" s="1"/>
  <c r="D1403" i="2"/>
  <c r="F1403" i="2" s="1"/>
  <c r="D1404" i="2"/>
  <c r="P1404" i="2" s="1"/>
  <c r="D1405" i="2"/>
  <c r="F1405" i="2" s="1"/>
  <c r="D1406" i="2"/>
  <c r="F1406" i="2" s="1"/>
  <c r="D1407" i="2"/>
  <c r="D1408" i="2"/>
  <c r="F1408" i="2" s="1"/>
  <c r="D1409" i="2"/>
  <c r="F1409" i="2" s="1"/>
  <c r="D1410" i="2"/>
  <c r="F1410" i="2" s="1"/>
  <c r="D1411" i="2"/>
  <c r="D1412" i="2"/>
  <c r="F1412" i="2" s="1"/>
  <c r="D1413" i="2"/>
  <c r="F1413" i="2" s="1"/>
  <c r="D1414" i="2"/>
  <c r="F1414" i="2" s="1"/>
  <c r="D1415" i="2"/>
  <c r="D1416" i="2"/>
  <c r="F1416" i="2" s="1"/>
  <c r="D1417" i="2"/>
  <c r="F1417" i="2" s="1"/>
  <c r="D1418" i="2"/>
  <c r="D1419" i="2"/>
  <c r="F1419" i="2" s="1"/>
  <c r="D1420" i="2"/>
  <c r="F1420" i="2" s="1"/>
  <c r="D1421" i="2"/>
  <c r="F1421" i="2" s="1"/>
  <c r="D1422" i="2"/>
  <c r="F1422" i="2" s="1"/>
  <c r="D1423" i="2"/>
  <c r="D1424" i="2"/>
  <c r="F1424" i="2" s="1"/>
  <c r="D1425" i="2"/>
  <c r="F1425" i="2" s="1"/>
  <c r="D1426" i="2"/>
  <c r="F1426" i="2" s="1"/>
  <c r="D1427" i="2"/>
  <c r="F1427" i="2" s="1"/>
  <c r="D1428" i="2"/>
  <c r="P1428" i="2" s="1"/>
  <c r="D1429" i="2"/>
  <c r="F1429" i="2" s="1"/>
  <c r="D1430" i="2"/>
  <c r="F1430" i="2" s="1"/>
  <c r="D1431" i="2"/>
  <c r="D1432" i="2"/>
  <c r="F1432" i="2" s="1"/>
  <c r="D1433" i="2"/>
  <c r="F1433" i="2" s="1"/>
  <c r="D1434" i="2"/>
  <c r="P1434" i="2" s="1"/>
  <c r="D1435" i="2"/>
  <c r="F1435" i="2" s="1"/>
  <c r="D1436" i="2"/>
  <c r="F1436" i="2" s="1"/>
  <c r="D1437" i="2"/>
  <c r="F1437" i="2" s="1"/>
  <c r="D1438" i="2"/>
  <c r="P1438" i="2" s="1"/>
  <c r="D1439" i="2"/>
  <c r="F1439" i="2" s="1"/>
  <c r="D1440" i="2"/>
  <c r="F1440" i="2" s="1"/>
  <c r="D1441" i="2"/>
  <c r="F1441" i="2" s="1"/>
  <c r="D1442" i="2"/>
  <c r="D1443" i="2"/>
  <c r="F1443" i="2" s="1"/>
  <c r="D1444" i="2"/>
  <c r="F1444" i="2" s="1"/>
  <c r="D1445" i="2"/>
  <c r="D1446" i="2"/>
  <c r="F1446" i="2" s="1"/>
  <c r="D1447" i="2"/>
  <c r="F1447" i="2" s="1"/>
  <c r="D1448" i="2"/>
  <c r="F1448" i="2" s="1"/>
  <c r="D1449" i="2"/>
  <c r="D1450" i="2"/>
  <c r="F1450" i="2" s="1"/>
  <c r="D1451" i="2"/>
  <c r="F1451" i="2" s="1"/>
  <c r="D1452" i="2"/>
  <c r="F1452" i="2" s="1"/>
  <c r="D1453" i="2"/>
  <c r="D1454" i="2"/>
  <c r="F1454" i="2" s="1"/>
  <c r="D1455" i="2"/>
  <c r="F1455" i="2" s="1"/>
  <c r="D1456" i="2"/>
  <c r="P1456" i="2" s="1"/>
  <c r="D1457" i="2"/>
  <c r="F1457" i="2" s="1"/>
  <c r="D1458" i="2"/>
  <c r="F1458" i="2" s="1"/>
  <c r="D1459" i="2"/>
  <c r="F1459" i="2" s="1"/>
  <c r="D1460" i="2"/>
  <c r="D1461" i="2"/>
  <c r="F1461" i="2" s="1"/>
  <c r="D1462" i="2"/>
  <c r="F1462" i="2" s="1"/>
  <c r="D1463" i="2"/>
  <c r="F1463" i="2" s="1"/>
  <c r="D1464" i="2"/>
  <c r="P1464" i="2" s="1"/>
  <c r="D1465" i="2"/>
  <c r="F1465" i="2" s="1"/>
  <c r="D1466" i="2"/>
  <c r="F1466" i="2" s="1"/>
  <c r="D1467" i="2"/>
  <c r="F1467" i="2" s="1"/>
  <c r="D1468" i="2"/>
  <c r="P1468" i="2" s="1"/>
  <c r="D1469" i="2"/>
  <c r="F1469" i="2" s="1"/>
  <c r="D1470" i="2"/>
  <c r="P1470" i="2" s="1"/>
  <c r="D1471" i="2"/>
  <c r="D1472" i="2"/>
  <c r="F1472" i="2" s="1"/>
  <c r="D1473" i="2"/>
  <c r="F1473" i="2" s="1"/>
  <c r="D1474" i="2"/>
  <c r="P1474" i="2" s="1"/>
  <c r="D1475" i="2"/>
  <c r="F1475" i="2" s="1"/>
  <c r="D1476" i="2"/>
  <c r="F1476" i="2" s="1"/>
  <c r="D1477" i="2"/>
  <c r="D1478" i="2"/>
  <c r="F1478" i="2" s="1"/>
  <c r="D1479" i="2"/>
  <c r="F1479" i="2" s="1"/>
  <c r="D1480" i="2"/>
  <c r="F1480" i="2" s="1"/>
  <c r="D1481" i="2"/>
  <c r="D1482" i="2"/>
  <c r="F1482" i="2" s="1"/>
  <c r="D1483" i="2"/>
  <c r="F1483" i="2" s="1"/>
  <c r="D1484" i="2"/>
  <c r="F1484" i="2" s="1"/>
  <c r="D1485" i="2"/>
  <c r="D1486" i="2"/>
  <c r="F1486" i="2" s="1"/>
  <c r="D1487" i="2"/>
  <c r="F1487" i="2" s="1"/>
  <c r="D1488" i="2"/>
  <c r="F1488" i="2" s="1"/>
  <c r="D1489" i="2"/>
  <c r="D1490" i="2"/>
  <c r="F1490" i="2" s="1"/>
  <c r="D1491" i="2"/>
  <c r="F1491" i="2" s="1"/>
  <c r="D1492" i="2"/>
  <c r="P1492" i="2" s="1"/>
  <c r="D1493" i="2"/>
  <c r="F1493" i="2" s="1"/>
  <c r="D1494" i="2"/>
  <c r="F1494" i="2" s="1"/>
  <c r="D1495" i="2"/>
  <c r="F1495" i="2" s="1"/>
  <c r="D1496" i="2"/>
  <c r="D1497" i="2"/>
  <c r="F1497" i="2" s="1"/>
  <c r="D1498" i="2"/>
  <c r="F1498" i="2" s="1"/>
  <c r="D1499" i="2"/>
  <c r="F1499" i="2" s="1"/>
  <c r="D1500" i="2"/>
  <c r="P1500" i="2" s="1"/>
  <c r="D1501" i="2"/>
  <c r="F1501" i="2" s="1"/>
  <c r="D1502" i="2"/>
  <c r="F1502" i="2" s="1"/>
  <c r="D1503" i="2"/>
  <c r="D1504" i="2"/>
  <c r="F1504" i="2" s="1"/>
  <c r="D1505" i="2"/>
  <c r="F1505" i="2" s="1"/>
  <c r="D1506" i="2"/>
  <c r="F1506" i="2" s="1"/>
  <c r="D1507" i="2"/>
  <c r="D1508" i="2"/>
  <c r="F1508" i="2" s="1"/>
  <c r="D1509" i="2"/>
  <c r="F1509" i="2" s="1"/>
  <c r="D1510" i="2"/>
  <c r="P1510" i="2" s="1"/>
  <c r="D1511" i="2"/>
  <c r="F1511" i="2" s="1"/>
  <c r="D1512" i="2"/>
  <c r="F1512" i="2" s="1"/>
  <c r="D1513" i="2"/>
  <c r="F1513" i="2" s="1"/>
  <c r="D1514" i="2"/>
  <c r="D1515" i="2"/>
  <c r="F1515" i="2" s="1"/>
  <c r="D1516" i="2"/>
  <c r="F1516" i="2" s="1"/>
  <c r="D1517" i="2"/>
  <c r="F1517" i="2" s="1"/>
  <c r="D1518" i="2"/>
  <c r="F1518" i="2" s="1"/>
  <c r="D1519" i="2"/>
  <c r="D1520" i="2"/>
  <c r="F1520" i="2" s="1"/>
  <c r="D1521" i="2"/>
  <c r="F1521" i="2" s="1"/>
  <c r="D1522" i="2"/>
  <c r="F1522" i="2" s="1"/>
  <c r="D1523" i="2"/>
  <c r="D1524" i="2"/>
  <c r="F1524" i="2" s="1"/>
  <c r="D1525" i="2"/>
  <c r="F1525" i="2" s="1"/>
  <c r="D1526" i="2"/>
  <c r="F1526" i="2" s="1"/>
  <c r="D1527" i="2"/>
  <c r="F1527" i="2" s="1"/>
  <c r="D1528" i="2"/>
  <c r="P1528" i="2" s="1"/>
  <c r="D1529" i="2"/>
  <c r="F1529" i="2" s="1"/>
  <c r="D1530" i="2"/>
  <c r="F1530" i="2" s="1"/>
  <c r="D1531" i="2"/>
  <c r="F1531" i="2" s="1"/>
  <c r="D1532" i="2"/>
  <c r="D1533" i="2"/>
  <c r="F1533" i="2" s="1"/>
  <c r="D1534" i="2"/>
  <c r="F1534" i="2" s="1"/>
  <c r="D1535" i="2"/>
  <c r="F1535" i="2" s="1"/>
  <c r="D1536" i="2"/>
  <c r="F1536" i="2" s="1"/>
  <c r="D1537" i="2"/>
  <c r="D1538" i="2"/>
  <c r="F1538" i="2" s="1"/>
  <c r="D1539" i="2"/>
  <c r="F1539" i="2" s="1"/>
  <c r="D1540" i="2"/>
  <c r="F1540" i="2" s="1"/>
  <c r="D1541" i="2"/>
  <c r="F1541" i="2" s="1"/>
  <c r="D1542" i="2"/>
  <c r="P1542" i="2" s="1"/>
  <c r="D1543" i="2"/>
  <c r="F1543" i="2" s="1"/>
  <c r="D1544" i="2"/>
  <c r="F1544" i="2" s="1"/>
  <c r="D1545" i="2"/>
  <c r="F1545" i="2" s="1"/>
  <c r="D1546" i="2"/>
  <c r="F1546" i="2" s="1"/>
  <c r="D1547" i="2"/>
  <c r="D1548" i="2"/>
  <c r="F1548" i="2" s="1"/>
  <c r="D1549" i="2"/>
  <c r="F1549" i="2" s="1"/>
  <c r="D1550" i="2"/>
  <c r="F1550" i="2" s="1"/>
  <c r="D1551" i="2"/>
  <c r="F1551" i="2" s="1"/>
  <c r="D1552" i="2"/>
  <c r="P1552" i="2" s="1"/>
  <c r="D1553" i="2"/>
  <c r="F1553" i="2" s="1"/>
  <c r="D1554" i="2"/>
  <c r="F1554" i="2" s="1"/>
  <c r="D1555" i="2"/>
  <c r="F1555" i="2" s="1"/>
  <c r="D1556" i="2"/>
  <c r="D1557" i="2"/>
  <c r="F1557" i="2" s="1"/>
  <c r="D1558" i="2"/>
  <c r="F1558" i="2" s="1"/>
  <c r="D1559" i="2"/>
  <c r="F1559" i="2" s="1"/>
  <c r="D1560" i="2"/>
  <c r="P1560" i="2" s="1"/>
  <c r="D1561" i="2"/>
  <c r="F1561" i="2" s="1"/>
  <c r="D1562" i="2"/>
  <c r="F1562" i="2" s="1"/>
  <c r="D1563" i="2"/>
  <c r="D1564" i="2"/>
  <c r="F1564" i="2" s="1"/>
  <c r="D1565" i="2"/>
  <c r="D1566" i="2"/>
  <c r="F1566" i="2" s="1"/>
  <c r="D1567" i="2"/>
  <c r="F1567" i="2" s="1"/>
  <c r="D1568" i="2"/>
  <c r="F1568" i="2" s="1"/>
  <c r="D1569" i="2"/>
  <c r="D1570" i="2"/>
  <c r="F1570" i="2" s="1"/>
  <c r="D1571" i="2"/>
  <c r="F1571" i="2" s="1"/>
  <c r="D1572" i="2"/>
  <c r="F1572" i="2" s="1"/>
  <c r="D1573" i="2"/>
  <c r="D1574" i="2"/>
  <c r="F1574" i="2" s="1"/>
  <c r="D1575" i="2"/>
  <c r="F1575" i="2" s="1"/>
  <c r="D1576" i="2"/>
  <c r="F1576" i="2" s="1"/>
  <c r="D1577" i="2"/>
  <c r="F1577" i="2" s="1"/>
  <c r="D1578" i="2"/>
  <c r="P1578" i="2" s="1"/>
  <c r="D1579" i="2"/>
  <c r="F1579" i="2" s="1"/>
  <c r="D1580" i="2"/>
  <c r="F1580" i="2" s="1"/>
  <c r="D1581" i="2"/>
  <c r="F1581" i="2" s="1"/>
  <c r="D1582" i="2"/>
  <c r="F1582" i="2" s="1"/>
  <c r="D1583" i="2"/>
  <c r="D1584" i="2"/>
  <c r="F1584" i="2" s="1"/>
  <c r="D1585" i="2"/>
  <c r="F1585" i="2" s="1"/>
  <c r="D1586" i="2"/>
  <c r="F1586" i="2" s="1"/>
  <c r="D1587" i="2"/>
  <c r="D1588" i="2"/>
  <c r="F1588" i="2" s="1"/>
  <c r="D1589" i="2"/>
  <c r="F1589" i="2" s="1"/>
  <c r="D1590" i="2"/>
  <c r="F1590" i="2" s="1"/>
  <c r="D1591" i="2"/>
  <c r="F1591" i="2" s="1"/>
  <c r="D1592" i="2"/>
  <c r="D1593" i="2"/>
  <c r="F1593" i="2" s="1"/>
  <c r="D1594" i="2"/>
  <c r="F1594" i="2" s="1"/>
  <c r="D1595" i="2"/>
  <c r="F1595" i="2" s="1"/>
  <c r="D1596" i="2"/>
  <c r="F1596" i="2" s="1"/>
  <c r="D1597" i="2"/>
  <c r="D1598" i="2"/>
  <c r="F1598" i="2" s="1"/>
  <c r="D1599" i="2"/>
  <c r="F1599" i="2" s="1"/>
  <c r="D1600" i="2"/>
  <c r="F1600" i="2" s="1"/>
  <c r="D1601" i="2"/>
  <c r="F1601" i="2" s="1"/>
  <c r="D1602" i="2"/>
  <c r="P1602" i="2" s="1"/>
  <c r="D1603" i="2"/>
  <c r="F1603" i="2" s="1"/>
  <c r="D1604" i="2"/>
  <c r="F1604" i="2" s="1"/>
  <c r="D1605" i="2"/>
  <c r="F1605" i="2" s="1"/>
  <c r="D1606" i="2"/>
  <c r="P1606" i="2" s="1"/>
  <c r="D1607" i="2"/>
  <c r="F1607" i="2" s="1"/>
  <c r="D1608" i="2"/>
  <c r="F1608" i="2" s="1"/>
  <c r="D1609" i="2"/>
  <c r="F1609" i="2" s="1"/>
  <c r="D1610" i="2"/>
  <c r="D1611" i="2"/>
  <c r="F1611" i="2" s="1"/>
  <c r="D1612" i="2"/>
  <c r="F1612" i="2" s="1"/>
  <c r="D1613" i="2"/>
  <c r="F1613" i="2" s="1"/>
  <c r="D1614" i="2"/>
  <c r="P1614" i="2" s="1"/>
  <c r="D1615" i="2"/>
  <c r="F1615" i="2" s="1"/>
  <c r="D1616" i="2"/>
  <c r="F1616" i="2" s="1"/>
  <c r="D1617" i="2"/>
  <c r="F1617" i="2" s="1"/>
  <c r="D1618" i="2"/>
  <c r="P1618" i="2" s="1"/>
  <c r="D1619" i="2"/>
  <c r="F1619" i="2" s="1"/>
  <c r="D1620" i="2"/>
  <c r="F1620" i="2" s="1"/>
  <c r="D1621" i="2"/>
  <c r="F1621" i="2" s="1"/>
  <c r="D1622" i="2"/>
  <c r="F1622" i="2" s="1"/>
  <c r="D1623" i="2"/>
  <c r="D1624" i="2"/>
  <c r="F1624" i="2" s="1"/>
  <c r="D1625" i="2"/>
  <c r="F1625" i="2" s="1"/>
  <c r="D1626" i="2"/>
  <c r="F1626" i="2" s="1"/>
  <c r="D1627" i="2"/>
  <c r="D1628" i="2"/>
  <c r="F1628" i="2" s="1"/>
  <c r="D1629" i="2"/>
  <c r="F1629" i="2" s="1"/>
  <c r="D1630" i="2"/>
  <c r="F1630" i="2" s="1"/>
  <c r="D1631" i="2"/>
  <c r="D1632" i="2"/>
  <c r="F1632" i="2" s="1"/>
  <c r="D1633" i="2"/>
  <c r="F1633" i="2" s="1"/>
  <c r="D1634" i="2"/>
  <c r="F1634" i="2" s="1"/>
  <c r="D1635" i="2"/>
  <c r="D1636" i="2"/>
  <c r="F1636" i="2" s="1"/>
  <c r="D1637" i="2"/>
  <c r="F1637" i="2" s="1"/>
  <c r="D1638" i="2"/>
  <c r="F1638" i="2" s="1"/>
  <c r="D1639" i="2"/>
  <c r="D1640" i="2"/>
  <c r="F1640" i="2" s="1"/>
  <c r="D1641" i="2"/>
  <c r="F1641" i="2" s="1"/>
  <c r="D1642" i="2"/>
  <c r="F1642" i="2" s="1"/>
  <c r="D1643" i="2"/>
  <c r="D1644" i="2"/>
  <c r="F1644" i="2" s="1"/>
  <c r="D1645" i="2"/>
  <c r="F1645" i="2" s="1"/>
  <c r="D1646" i="2"/>
  <c r="F1646" i="2" s="1"/>
  <c r="D1647" i="2"/>
  <c r="D1648" i="2"/>
  <c r="F1648" i="2" s="1"/>
  <c r="D1649" i="2"/>
  <c r="F1649" i="2" s="1"/>
  <c r="D1650" i="2"/>
  <c r="F1650" i="2" s="1"/>
  <c r="D1651" i="2"/>
  <c r="D1652" i="2"/>
  <c r="F1652" i="2" s="1"/>
  <c r="D1653" i="2"/>
  <c r="F1653" i="2" s="1"/>
  <c r="D1654" i="2"/>
  <c r="P1654" i="2" s="1"/>
  <c r="D1655" i="2"/>
  <c r="D1656" i="2"/>
  <c r="F1656" i="2" s="1"/>
  <c r="D1657" i="2"/>
  <c r="F1657" i="2" s="1"/>
  <c r="D1658" i="2"/>
  <c r="F1658" i="2" s="1"/>
  <c r="D1659" i="2"/>
  <c r="D1660" i="2"/>
  <c r="F1660" i="2" s="1"/>
  <c r="D1661" i="2"/>
  <c r="F1661" i="2" s="1"/>
  <c r="D1662" i="2"/>
  <c r="F1662" i="2" s="1"/>
  <c r="D1663" i="2"/>
  <c r="D1664" i="2"/>
  <c r="F1664" i="2" s="1"/>
  <c r="D1665" i="2"/>
  <c r="F1665" i="2" s="1"/>
  <c r="D1666" i="2"/>
  <c r="F1666" i="2" s="1"/>
  <c r="D1667" i="2"/>
  <c r="D1668" i="2"/>
  <c r="F1668" i="2" s="1"/>
  <c r="D1669" i="2"/>
  <c r="F1669" i="2" s="1"/>
  <c r="D1670" i="2"/>
  <c r="F1670" i="2" s="1"/>
  <c r="D1671" i="2"/>
  <c r="D1672" i="2"/>
  <c r="F1672" i="2" s="1"/>
  <c r="D1673" i="2"/>
  <c r="F1673" i="2" s="1"/>
  <c r="D1674" i="2"/>
  <c r="F1674" i="2" s="1"/>
  <c r="D1675" i="2"/>
  <c r="F1675" i="2" s="1"/>
  <c r="D1676" i="2"/>
  <c r="D1677" i="2"/>
  <c r="F1677" i="2" s="1"/>
  <c r="D1678" i="2"/>
  <c r="F1678" i="2" s="1"/>
  <c r="D1679" i="2"/>
  <c r="F1679" i="2" s="1"/>
  <c r="D1680" i="2"/>
  <c r="P1680" i="2" s="1"/>
  <c r="D1681" i="2"/>
  <c r="F1681" i="2" s="1"/>
  <c r="D1682" i="2"/>
  <c r="F1682" i="2" s="1"/>
  <c r="D1683" i="2"/>
  <c r="F1683" i="2" s="1"/>
  <c r="D1684" i="2"/>
  <c r="P1684" i="2" s="1"/>
  <c r="D1685" i="2"/>
  <c r="F1685" i="2" s="1"/>
  <c r="D1686" i="2"/>
  <c r="F1686" i="2" s="1"/>
  <c r="D1687" i="2"/>
  <c r="F1687" i="2" s="1"/>
  <c r="D1688" i="2"/>
  <c r="D1689" i="2"/>
  <c r="F1689" i="2" s="1"/>
  <c r="D1690" i="2"/>
  <c r="F1690" i="2" s="1"/>
  <c r="D1691" i="2"/>
  <c r="F1691" i="2" s="1"/>
  <c r="D1692" i="2"/>
  <c r="F1692" i="2" s="1"/>
  <c r="D1693" i="2"/>
  <c r="P1693" i="2" s="1"/>
  <c r="D1694" i="2"/>
  <c r="F1694" i="2" s="1"/>
  <c r="D1695" i="2"/>
  <c r="F1695" i="2" s="1"/>
  <c r="D1696" i="2"/>
  <c r="F1696" i="2" s="1"/>
  <c r="D1697" i="2"/>
  <c r="D1698" i="2"/>
  <c r="F1698" i="2" s="1"/>
  <c r="D1699" i="2"/>
  <c r="F1699" i="2" s="1"/>
  <c r="D1700" i="2"/>
  <c r="F1700" i="2" s="1"/>
  <c r="D1701" i="2"/>
  <c r="F1701" i="2" s="1"/>
  <c r="D1702" i="2"/>
  <c r="P1702" i="2" s="1"/>
  <c r="D1703" i="2"/>
  <c r="F1703" i="2" s="1"/>
  <c r="D1704" i="2"/>
  <c r="F1704" i="2" s="1"/>
  <c r="D1705" i="2"/>
  <c r="P1705" i="2" s="1"/>
  <c r="D1706" i="2"/>
  <c r="F1706" i="2" s="1"/>
  <c r="D1707" i="2"/>
  <c r="F1707" i="2" s="1"/>
  <c r="D1708" i="2"/>
  <c r="F1708" i="2" s="1"/>
  <c r="D1709" i="2"/>
  <c r="D1710" i="2"/>
  <c r="F1710" i="2" s="1"/>
  <c r="D1711" i="2"/>
  <c r="F1711" i="2" s="1"/>
  <c r="D1712" i="2"/>
  <c r="F1712" i="2" s="1"/>
  <c r="D1713" i="2"/>
  <c r="F1713" i="2" s="1"/>
  <c r="D1714" i="2"/>
  <c r="P1714" i="2" s="1"/>
  <c r="D1715" i="2"/>
  <c r="F1715" i="2" s="1"/>
  <c r="D1716" i="2"/>
  <c r="F1716" i="2" s="1"/>
  <c r="D1717" i="2"/>
  <c r="F1717" i="2" s="1"/>
  <c r="D1718" i="2"/>
  <c r="D1719" i="2"/>
  <c r="F1719" i="2" s="1"/>
  <c r="D1720" i="2"/>
  <c r="F1720" i="2" s="1"/>
  <c r="D1721" i="2"/>
  <c r="D1722" i="2"/>
  <c r="F1722" i="2" s="1"/>
  <c r="D1723" i="2"/>
  <c r="F1723" i="2" s="1"/>
  <c r="D1724" i="2"/>
  <c r="D1725" i="2"/>
  <c r="F1725" i="2" s="1"/>
  <c r="D1726" i="2"/>
  <c r="Q1726" i="2" s="1"/>
  <c r="D1727" i="2"/>
  <c r="D1728" i="2"/>
  <c r="F1728" i="2" s="1"/>
  <c r="D1729" i="2"/>
  <c r="F1729" i="2" s="1"/>
  <c r="D1730" i="2"/>
  <c r="F1730" i="2" s="1"/>
  <c r="D1731" i="2"/>
  <c r="P1731" i="2" s="1"/>
  <c r="D1732" i="2"/>
  <c r="F1732" i="2" s="1"/>
  <c r="D1733" i="2"/>
  <c r="F1733" i="2" s="1"/>
  <c r="D1734" i="2"/>
  <c r="P1734" i="2" s="1"/>
  <c r="D1735" i="2"/>
  <c r="F1735" i="2" s="1"/>
  <c r="D1736" i="2"/>
  <c r="F1736" i="2" s="1"/>
  <c r="D1737" i="2"/>
  <c r="P1737" i="2" s="1"/>
  <c r="D1738" i="2"/>
  <c r="F1738" i="2" s="1"/>
  <c r="D1739" i="2"/>
  <c r="F1739" i="2" s="1"/>
  <c r="D1740" i="2"/>
  <c r="F1740" i="2" s="1"/>
  <c r="D1741" i="2"/>
  <c r="P1741" i="2" s="1"/>
  <c r="D1742" i="2"/>
  <c r="F1742" i="2" s="1"/>
  <c r="D1743" i="2"/>
  <c r="F1743" i="2" s="1"/>
  <c r="D1744" i="2"/>
  <c r="F1744" i="2" s="1"/>
  <c r="D1745" i="2"/>
  <c r="D1746" i="2"/>
  <c r="F1746" i="2" s="1"/>
  <c r="D1747" i="2"/>
  <c r="F1747" i="2" s="1"/>
  <c r="D1748" i="2"/>
  <c r="F1748" i="2" s="1"/>
  <c r="D1749" i="2"/>
  <c r="P1749" i="2" s="1"/>
  <c r="D1750" i="2"/>
  <c r="F1750" i="2" s="1"/>
  <c r="D1751" i="2"/>
  <c r="F1751" i="2" s="1"/>
  <c r="D1752" i="2"/>
  <c r="P1752" i="2" s="1"/>
  <c r="D1753" i="2"/>
  <c r="F1753" i="2" s="1"/>
  <c r="D1754" i="2"/>
  <c r="F1754" i="2" s="1"/>
  <c r="D1755" i="2"/>
  <c r="P1755" i="2" s="1"/>
  <c r="D1756" i="2"/>
  <c r="F1756" i="2" s="1"/>
  <c r="D1757" i="2"/>
  <c r="F1757" i="2" s="1"/>
  <c r="D1758" i="2"/>
  <c r="F1758" i="2" s="1"/>
  <c r="D1759" i="2"/>
  <c r="P1759" i="2" s="1"/>
  <c r="D1760" i="2"/>
  <c r="F1760" i="2" s="1"/>
  <c r="D1761" i="2"/>
  <c r="F1761" i="2" s="1"/>
  <c r="D1762" i="2"/>
  <c r="F1762" i="2" s="1"/>
  <c r="D1763" i="2"/>
  <c r="D1764" i="2"/>
  <c r="F1764" i="2" s="1"/>
  <c r="D1765" i="2"/>
  <c r="F1765" i="2" s="1"/>
  <c r="D1766" i="2"/>
  <c r="D1767" i="2"/>
  <c r="F1767" i="2" s="1"/>
  <c r="D1768" i="2"/>
  <c r="F1768" i="2" s="1"/>
  <c r="D1769" i="2"/>
  <c r="D1770" i="2"/>
  <c r="F1770" i="2" s="1"/>
  <c r="D1771" i="2"/>
  <c r="F1771" i="2" s="1"/>
  <c r="D1772" i="2"/>
  <c r="D1773" i="2"/>
  <c r="F1773" i="2" s="1"/>
  <c r="D1774" i="2"/>
  <c r="F1774" i="2" s="1"/>
  <c r="D1775" i="2"/>
  <c r="F1775" i="2" s="1"/>
  <c r="D1776" i="2"/>
  <c r="P1776" i="2" s="1"/>
  <c r="D1777" i="2"/>
  <c r="F1777" i="2" s="1"/>
  <c r="D1778" i="2"/>
  <c r="F1778" i="2" s="1"/>
  <c r="D1779" i="2"/>
  <c r="F1779" i="2" s="1"/>
  <c r="D1780" i="2"/>
  <c r="P1780" i="2" s="1"/>
  <c r="D1781" i="2"/>
  <c r="F1781" i="2" s="1"/>
  <c r="D1782" i="2"/>
  <c r="F1782" i="2" s="1"/>
  <c r="D1783" i="2"/>
  <c r="P1783" i="2" s="1"/>
  <c r="D1784" i="2"/>
  <c r="F1784" i="2" s="1"/>
  <c r="D1785" i="2"/>
  <c r="F1785" i="2" s="1"/>
  <c r="D1786" i="2"/>
  <c r="F1786" i="2" s="1"/>
  <c r="D1787" i="2"/>
  <c r="D1788" i="2"/>
  <c r="F1788" i="2" s="1"/>
  <c r="D1789" i="2"/>
  <c r="Q1789" i="2" s="1"/>
  <c r="D1790" i="2"/>
  <c r="F1790" i="2" s="1"/>
  <c r="D1791" i="2"/>
  <c r="F1791" i="2" s="1"/>
  <c r="D1792" i="2"/>
  <c r="P1792" i="2" s="1"/>
  <c r="D1793" i="2"/>
  <c r="F1793" i="2" s="1"/>
  <c r="D1794" i="2"/>
  <c r="F1794" i="2" s="1"/>
  <c r="D1795" i="2"/>
  <c r="F1795" i="2" s="1"/>
  <c r="D1796" i="2"/>
  <c r="F1796" i="2" s="1"/>
  <c r="D1797" i="2"/>
  <c r="P1797" i="2" s="1"/>
  <c r="D1798" i="2"/>
  <c r="F1798" i="2" s="1"/>
  <c r="D1799" i="2"/>
  <c r="F1799" i="2" s="1"/>
  <c r="D1800" i="2"/>
  <c r="F1800" i="2" s="1"/>
  <c r="D1801" i="2"/>
  <c r="F1801" i="2" s="1"/>
  <c r="D1802" i="2"/>
  <c r="D1803" i="2"/>
  <c r="F1803" i="2" s="1"/>
  <c r="D1804" i="2"/>
  <c r="F1804" i="2" s="1"/>
  <c r="D1805" i="2"/>
  <c r="F1805" i="2" s="1"/>
  <c r="D1806" i="2"/>
  <c r="F1806" i="2" s="1"/>
  <c r="D1807" i="2"/>
  <c r="P1807" i="2" s="1"/>
  <c r="D1808" i="2"/>
  <c r="F1808" i="2" s="1"/>
  <c r="D1809" i="2"/>
  <c r="F1809" i="2" s="1"/>
  <c r="D1810" i="2"/>
  <c r="F1810" i="2" s="1"/>
  <c r="D1811" i="2"/>
  <c r="F1811" i="2" s="1"/>
  <c r="D1812" i="2"/>
  <c r="P1812" i="2" s="1"/>
  <c r="D1813" i="2"/>
  <c r="F1813" i="2" s="1"/>
  <c r="D1814" i="2"/>
  <c r="F1814" i="2" s="1"/>
  <c r="D1815" i="2"/>
  <c r="F1815" i="2" s="1"/>
  <c r="D1816" i="2"/>
  <c r="F1816" i="2" s="1"/>
  <c r="D1817" i="2"/>
  <c r="D1818" i="2"/>
  <c r="F1818" i="2" s="1"/>
  <c r="D1819" i="2"/>
  <c r="F1819" i="2" s="1"/>
  <c r="D1820" i="2"/>
  <c r="F1820" i="2" s="1"/>
  <c r="D1821" i="2"/>
  <c r="F1821" i="2" s="1"/>
  <c r="D1822" i="2"/>
  <c r="P1822" i="2" s="1"/>
  <c r="D1823" i="2"/>
  <c r="F1823" i="2" s="1"/>
  <c r="D1824" i="2"/>
  <c r="F1824" i="2" s="1"/>
  <c r="D1825" i="2"/>
  <c r="F1825" i="2" s="1"/>
  <c r="D1826" i="2"/>
  <c r="F1826" i="2" s="1"/>
  <c r="D1827" i="2"/>
  <c r="P1827" i="2" s="1"/>
  <c r="D1828" i="2"/>
  <c r="F1828" i="2" s="1"/>
  <c r="D1829" i="2"/>
  <c r="F1829" i="2" s="1"/>
  <c r="D1830" i="2"/>
  <c r="F1830" i="2" s="1"/>
  <c r="D1831" i="2"/>
  <c r="P1831" i="2" s="1"/>
  <c r="D1832" i="2"/>
  <c r="F1832" i="2" s="1"/>
  <c r="D1833" i="2"/>
  <c r="F1833" i="2" s="1"/>
  <c r="D1834" i="2"/>
  <c r="F1834" i="2" s="1"/>
  <c r="D1835" i="2"/>
  <c r="F1835" i="2" s="1"/>
  <c r="D1836" i="2"/>
  <c r="P1836" i="2" s="1"/>
  <c r="D1837" i="2"/>
  <c r="F1837" i="2" s="1"/>
  <c r="D1838" i="2"/>
  <c r="F1838" i="2" s="1"/>
  <c r="D1839" i="2"/>
  <c r="F1839" i="2" s="1"/>
  <c r="D1840" i="2"/>
  <c r="P1840" i="2" s="1"/>
  <c r="D1841" i="2"/>
  <c r="F1841" i="2" s="1"/>
  <c r="D1842" i="2"/>
  <c r="F1842" i="2" s="1"/>
  <c r="D1843" i="2"/>
  <c r="F1843" i="2" s="1"/>
  <c r="D1844" i="2"/>
  <c r="F1844" i="2" s="1"/>
  <c r="D1845" i="2"/>
  <c r="P1845" i="2" s="1"/>
  <c r="D1846" i="2"/>
  <c r="F1846" i="2" s="1"/>
  <c r="D1847" i="2"/>
  <c r="F1847" i="2" s="1"/>
  <c r="D1848" i="2"/>
  <c r="F1848" i="2" s="1"/>
  <c r="D1849" i="2"/>
  <c r="P1849" i="2" s="1"/>
  <c r="D1850" i="2"/>
  <c r="F1850" i="2" s="1"/>
  <c r="D1851" i="2"/>
  <c r="F1851" i="2" s="1"/>
  <c r="D1852" i="2"/>
  <c r="F1852" i="2" s="1"/>
  <c r="D1853" i="2"/>
  <c r="D1854" i="2"/>
  <c r="F1854" i="2" s="1"/>
  <c r="D1855" i="2"/>
  <c r="F1855" i="2" s="1"/>
  <c r="D1856" i="2"/>
  <c r="F1856" i="2" s="1"/>
  <c r="D1857" i="2"/>
  <c r="P1857" i="2" s="1"/>
  <c r="D1858" i="2"/>
  <c r="F1858" i="2" s="1"/>
  <c r="D1859" i="2"/>
  <c r="F1859" i="2" s="1"/>
  <c r="D1860" i="2"/>
  <c r="F1860" i="2" s="1"/>
  <c r="D1861" i="2"/>
  <c r="F1861" i="2" s="1"/>
  <c r="D1862" i="2"/>
  <c r="D1863" i="2"/>
  <c r="F1863" i="2" s="1"/>
  <c r="D1864" i="2"/>
  <c r="F1864" i="2" s="1"/>
  <c r="D1865" i="2"/>
  <c r="F1865" i="2" s="1"/>
  <c r="D1866" i="2"/>
  <c r="F1866" i="2" s="1"/>
  <c r="D1867" i="2"/>
  <c r="P1867" i="2" s="1"/>
  <c r="D1868" i="2"/>
  <c r="F1868" i="2" s="1"/>
  <c r="D1869" i="2"/>
  <c r="F1869" i="2" s="1"/>
  <c r="D1870" i="2"/>
  <c r="F1870" i="2" s="1"/>
  <c r="D1871" i="2"/>
  <c r="D1872" i="2"/>
  <c r="F1872" i="2" s="1"/>
  <c r="D1873" i="2"/>
  <c r="F1873" i="2" s="1"/>
  <c r="D1874" i="2"/>
  <c r="F1874" i="2" s="1"/>
  <c r="D1875" i="2"/>
  <c r="P1875" i="2" s="1"/>
  <c r="D1876" i="2"/>
  <c r="F1876" i="2" s="1"/>
  <c r="D1877" i="2"/>
  <c r="F1877" i="2" s="1"/>
  <c r="D1878" i="2"/>
  <c r="F1878" i="2" s="1"/>
  <c r="D1879" i="2"/>
  <c r="P1879" i="2" s="1"/>
  <c r="D1880" i="2"/>
  <c r="F1880" i="2" s="1"/>
  <c r="D1881" i="2"/>
  <c r="F1881" i="2" s="1"/>
  <c r="D1882" i="2"/>
  <c r="P1882" i="2" s="1"/>
  <c r="D1883" i="2"/>
  <c r="F1883" i="2" s="1"/>
  <c r="D1884" i="2"/>
  <c r="F1884" i="2" s="1"/>
  <c r="D1885" i="2"/>
  <c r="F1885" i="2" s="1"/>
  <c r="D1886" i="2"/>
  <c r="D1887" i="2"/>
  <c r="F1887" i="2" s="1"/>
  <c r="D1888" i="2"/>
  <c r="F1888" i="2" s="1"/>
  <c r="D1889" i="2"/>
  <c r="F1889" i="2" s="1"/>
  <c r="D1890" i="2"/>
  <c r="F1890" i="2" s="1"/>
  <c r="D1891" i="2"/>
  <c r="P1891" i="2" s="1"/>
  <c r="D1892" i="2"/>
  <c r="F1892" i="2" s="1"/>
  <c r="D1893" i="2"/>
  <c r="F1893" i="2" s="1"/>
  <c r="D1894" i="2"/>
  <c r="F1894" i="2" s="1"/>
  <c r="D1895" i="2"/>
  <c r="D1896" i="2"/>
  <c r="F1896" i="2" s="1"/>
  <c r="D1897" i="2"/>
  <c r="F1897" i="2" s="1"/>
  <c r="D1898" i="2"/>
  <c r="F1898" i="2" s="1"/>
  <c r="D1899" i="2"/>
  <c r="P1899" i="2" s="1"/>
  <c r="D1900" i="2"/>
  <c r="F1900" i="2" s="1"/>
  <c r="D1901" i="2"/>
  <c r="F1901" i="2" s="1"/>
  <c r="D1902" i="2"/>
  <c r="F1902" i="2" s="1"/>
  <c r="D1903" i="2"/>
  <c r="F1903" i="2" s="1"/>
  <c r="D1904" i="2"/>
  <c r="D1905" i="2"/>
  <c r="F1905" i="2" s="1"/>
  <c r="D1906" i="2"/>
  <c r="F1906" i="2" s="1"/>
  <c r="D1907" i="2"/>
  <c r="D1908" i="2"/>
  <c r="F1908" i="2" s="1"/>
  <c r="D1909" i="2"/>
  <c r="F1909" i="2" s="1"/>
  <c r="D1910" i="2"/>
  <c r="D1911" i="2"/>
  <c r="Q1911" i="2" s="1"/>
  <c r="D1912" i="2"/>
  <c r="F1912" i="2" s="1"/>
  <c r="D1913" i="2"/>
  <c r="D1914" i="2"/>
  <c r="F1914" i="2" s="1"/>
  <c r="D1915" i="2"/>
  <c r="F1915" i="2" s="1"/>
  <c r="D1916" i="2"/>
  <c r="F1916" i="2" s="1"/>
  <c r="D1917" i="2"/>
  <c r="P1917" i="2" s="1"/>
  <c r="D1918" i="2"/>
  <c r="F1918" i="2" s="1"/>
  <c r="D1919" i="2"/>
  <c r="F1919" i="2" s="1"/>
  <c r="D1920" i="2"/>
  <c r="F1920" i="2" s="1"/>
  <c r="D1921" i="2"/>
  <c r="P1921" i="2" s="1"/>
  <c r="D1922" i="2"/>
  <c r="F1922" i="2" s="1"/>
  <c r="D1923" i="2"/>
  <c r="F1923" i="2" s="1"/>
  <c r="D1924" i="2"/>
  <c r="F1924" i="2" s="1"/>
  <c r="D1925" i="2"/>
  <c r="D1926" i="2"/>
  <c r="F1926" i="2" s="1"/>
  <c r="D1927" i="2"/>
  <c r="F1927" i="2" s="1"/>
  <c r="D1928" i="2"/>
  <c r="F1928" i="2" s="1"/>
  <c r="D1929" i="2"/>
  <c r="F1929" i="2" s="1"/>
  <c r="D1930" i="2"/>
  <c r="P1930" i="2" s="1"/>
  <c r="D1931" i="2"/>
  <c r="F1931" i="2" s="1"/>
  <c r="D1932" i="2"/>
  <c r="F1932" i="2" s="1"/>
  <c r="D1933" i="2"/>
  <c r="F1933" i="2" s="1"/>
  <c r="D1934" i="2"/>
  <c r="D1935" i="2"/>
  <c r="F1935" i="2" s="1"/>
  <c r="D1936" i="2"/>
  <c r="F1936" i="2" s="1"/>
  <c r="D1937" i="2"/>
  <c r="F1937" i="2" s="1"/>
  <c r="D1938" i="2"/>
  <c r="P1938" i="2" s="1"/>
  <c r="D1939" i="2"/>
  <c r="F1939" i="2" s="1"/>
  <c r="D1940" i="2"/>
  <c r="F1940" i="2" s="1"/>
  <c r="D1941" i="2"/>
  <c r="F1941" i="2" s="1"/>
  <c r="D1942" i="2"/>
  <c r="P1942" i="2" s="1"/>
  <c r="D1943" i="2"/>
  <c r="F1943" i="2" s="1"/>
  <c r="D1944" i="2"/>
  <c r="F1944" i="2" s="1"/>
  <c r="D1945" i="2"/>
  <c r="F1945" i="2" s="1"/>
  <c r="D1946" i="2"/>
  <c r="D1947" i="2"/>
  <c r="F1947" i="2" s="1"/>
  <c r="D1948" i="2"/>
  <c r="F1948" i="2" s="1"/>
  <c r="D1949" i="2"/>
  <c r="F1949" i="2" s="1"/>
  <c r="D1950" i="2"/>
  <c r="P1950" i="2" s="1"/>
  <c r="D1951" i="2"/>
  <c r="F1951" i="2" s="1"/>
  <c r="D1952" i="2"/>
  <c r="F1952" i="2" s="1"/>
  <c r="D1953" i="2"/>
  <c r="F1953" i="2" s="1"/>
  <c r="D1954" i="2"/>
  <c r="F1954" i="2" s="1"/>
  <c r="D1955" i="2"/>
  <c r="P1955" i="2" s="1"/>
  <c r="D1956" i="2"/>
  <c r="F1956" i="2" s="1"/>
  <c r="D1957" i="2"/>
  <c r="F1957" i="2" s="1"/>
  <c r="D1958" i="2"/>
  <c r="D1959" i="2"/>
  <c r="F1959" i="2" s="1"/>
  <c r="D1960" i="2"/>
  <c r="F1960" i="2" s="1"/>
  <c r="D1961" i="2"/>
  <c r="P1961" i="2" s="1"/>
  <c r="D1962" i="2"/>
  <c r="F1962" i="2" s="1"/>
  <c r="D1963" i="2"/>
  <c r="F1963" i="2" s="1"/>
  <c r="D1964" i="2"/>
  <c r="F1964" i="2" s="1"/>
  <c r="D1965" i="2"/>
  <c r="F1965" i="2" s="1"/>
  <c r="D1966" i="2"/>
  <c r="P1966" i="2" s="1"/>
  <c r="D1967" i="2"/>
  <c r="F1967" i="2" s="1"/>
  <c r="D1968" i="2"/>
  <c r="F1968" i="2" s="1"/>
  <c r="D1969" i="2"/>
  <c r="F1969" i="2" s="1"/>
  <c r="D1970" i="2"/>
  <c r="F1970" i="2" s="1"/>
  <c r="D1971" i="2"/>
  <c r="P1971" i="2" s="1"/>
  <c r="D1972" i="2"/>
  <c r="P1972" i="2" s="1"/>
  <c r="D1973" i="2"/>
  <c r="F1973" i="2" s="1"/>
  <c r="D1974" i="2"/>
  <c r="F1974" i="2" s="1"/>
  <c r="D1975" i="2"/>
  <c r="F1975" i="2" s="1"/>
  <c r="D1976" i="2"/>
  <c r="D1977" i="2"/>
  <c r="F1977" i="2" s="1"/>
  <c r="D1978" i="2"/>
  <c r="F1978" i="2" s="1"/>
  <c r="D1979" i="2"/>
  <c r="F1979" i="2" s="1"/>
  <c r="D1980" i="2"/>
  <c r="F1980" i="2" s="1"/>
  <c r="D1981" i="2"/>
  <c r="P1981" i="2" s="1"/>
  <c r="D1982" i="2"/>
  <c r="F1982" i="2" s="1"/>
  <c r="D1983" i="2"/>
  <c r="F1983" i="2" s="1"/>
  <c r="D1984" i="2"/>
  <c r="D1985" i="2"/>
  <c r="F1985" i="2" s="1"/>
  <c r="D1986" i="2"/>
  <c r="F1986" i="2" s="1"/>
  <c r="D1987" i="2"/>
  <c r="P1987" i="2" s="1"/>
  <c r="D1988" i="2"/>
  <c r="F1988" i="2" s="1"/>
  <c r="D1989" i="2"/>
  <c r="F1989" i="2" s="1"/>
  <c r="D1990" i="2"/>
  <c r="F1990" i="2" s="1"/>
  <c r="D1991" i="2"/>
  <c r="F1991" i="2" s="1"/>
  <c r="D1992" i="2"/>
  <c r="P1992" i="2" s="1"/>
  <c r="D1993" i="2"/>
  <c r="F1993" i="2" s="1"/>
  <c r="D1994" i="2"/>
  <c r="F1994" i="2" s="1"/>
  <c r="D1995" i="2"/>
  <c r="F1995" i="2" s="1"/>
  <c r="D1996" i="2"/>
  <c r="P1996" i="2" s="1"/>
  <c r="D1997" i="2"/>
  <c r="F1997" i="2" s="1"/>
  <c r="D1998" i="2"/>
  <c r="F1998" i="2" s="1"/>
  <c r="D1999" i="2"/>
  <c r="F1999" i="2" s="1"/>
  <c r="D2000" i="2"/>
  <c r="D2001" i="2"/>
  <c r="F2001" i="2" s="1"/>
  <c r="D2002" i="2"/>
  <c r="F2002" i="2" s="1"/>
  <c r="D2003" i="2"/>
  <c r="Q2003" i="2" s="1"/>
  <c r="D2004" i="2"/>
  <c r="F2004" i="2" s="1"/>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P2065" i="2" s="1"/>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P2158" i="2" s="1"/>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Q2188" i="2" s="1"/>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F2219" i="2" s="1"/>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F2250" i="2" s="1"/>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P2281" i="2" s="1"/>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Q2311" i="2" s="1"/>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3" i="2"/>
  <c r="D4" i="2"/>
  <c r="D5" i="2"/>
  <c r="D6" i="2"/>
  <c r="P6" i="2" s="1"/>
  <c r="D7" i="2"/>
  <c r="D8" i="2"/>
  <c r="D9" i="2"/>
  <c r="D10" i="2"/>
  <c r="P10" i="2" s="1"/>
  <c r="D11" i="2"/>
  <c r="D12" i="2"/>
  <c r="D13" i="2"/>
  <c r="D14" i="2"/>
  <c r="P14" i="2" s="1"/>
  <c r="D15" i="2"/>
  <c r="D16" i="2"/>
  <c r="D17" i="2"/>
  <c r="D18" i="2"/>
  <c r="P18" i="2" s="1"/>
  <c r="D19" i="2"/>
  <c r="D20" i="2"/>
  <c r="D21" i="2"/>
  <c r="D22" i="2"/>
  <c r="D23" i="2"/>
  <c r="P23" i="2" s="1"/>
  <c r="D24" i="2"/>
  <c r="D2" i="2"/>
  <c r="P2" i="2" s="1"/>
  <c r="E2462" i="5"/>
  <c r="F2462" i="5"/>
  <c r="G2462" i="5"/>
  <c r="H2462" i="5"/>
  <c r="I2462" i="5"/>
  <c r="E2463" i="5"/>
  <c r="F2463" i="5"/>
  <c r="G2463" i="5"/>
  <c r="H2463" i="5"/>
  <c r="I2463" i="5"/>
  <c r="E2464" i="5"/>
  <c r="F2464" i="5"/>
  <c r="G2464" i="5"/>
  <c r="H2464" i="5"/>
  <c r="I2464" i="5"/>
  <c r="E2465" i="5"/>
  <c r="F2465" i="5"/>
  <c r="G2465" i="5"/>
  <c r="H2465" i="5"/>
  <c r="I2465" i="5"/>
  <c r="E2466" i="5"/>
  <c r="F2466" i="5"/>
  <c r="G2466" i="5"/>
  <c r="H2466" i="5"/>
  <c r="I2466" i="5"/>
  <c r="E2467" i="5"/>
  <c r="F2467" i="5"/>
  <c r="G2467" i="5"/>
  <c r="H2467" i="5"/>
  <c r="I2467" i="5"/>
  <c r="E2468" i="5"/>
  <c r="F2468" i="5"/>
  <c r="G2468" i="5"/>
  <c r="H2468" i="5"/>
  <c r="I2468" i="5"/>
  <c r="E2469" i="5"/>
  <c r="F2469" i="5"/>
  <c r="G2469" i="5"/>
  <c r="H2469" i="5"/>
  <c r="I2469" i="5"/>
  <c r="E2470" i="5"/>
  <c r="F2470" i="5"/>
  <c r="G2470" i="5"/>
  <c r="H2470" i="5"/>
  <c r="I2470"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337" i="5"/>
  <c r="I2338" i="5"/>
  <c r="I2339" i="5"/>
  <c r="I2340" i="5"/>
  <c r="I2341" i="5"/>
  <c r="I2342" i="5"/>
  <c r="I2343" i="5"/>
  <c r="I2344" i="5"/>
  <c r="I2345" i="5"/>
  <c r="I2346" i="5"/>
  <c r="I2347" i="5"/>
  <c r="I2348" i="5"/>
  <c r="I2349" i="5"/>
  <c r="I2350" i="5"/>
  <c r="I2351" i="5"/>
  <c r="I2352" i="5"/>
  <c r="I2353" i="5"/>
  <c r="I2354" i="5"/>
  <c r="I2355" i="5"/>
  <c r="I2356" i="5"/>
  <c r="I2357" i="5"/>
  <c r="I2358" i="5"/>
  <c r="I2359" i="5"/>
  <c r="I2360" i="5"/>
  <c r="I2361" i="5"/>
  <c r="I2362" i="5"/>
  <c r="I2363" i="5"/>
  <c r="I2364" i="5"/>
  <c r="I2365" i="5"/>
  <c r="I2366" i="5"/>
  <c r="I2367" i="5"/>
  <c r="I2368" i="5"/>
  <c r="I2369" i="5"/>
  <c r="I2370" i="5"/>
  <c r="I2371" i="5"/>
  <c r="I2372" i="5"/>
  <c r="I2373" i="5"/>
  <c r="I2374" i="5"/>
  <c r="I2375" i="5"/>
  <c r="I2376" i="5"/>
  <c r="I2377" i="5"/>
  <c r="I2378" i="5"/>
  <c r="I2379" i="5"/>
  <c r="I2380" i="5"/>
  <c r="I2381" i="5"/>
  <c r="I2382" i="5"/>
  <c r="I2383" i="5"/>
  <c r="I2384" i="5"/>
  <c r="I2385" i="5"/>
  <c r="I2386" i="5"/>
  <c r="I2387" i="5"/>
  <c r="I2388" i="5"/>
  <c r="I2389" i="5"/>
  <c r="I2390" i="5"/>
  <c r="I2391" i="5"/>
  <c r="I2392" i="5"/>
  <c r="I2393" i="5"/>
  <c r="I2394" i="5"/>
  <c r="I2395" i="5"/>
  <c r="I2396" i="5"/>
  <c r="I2397" i="5"/>
  <c r="I2398" i="5"/>
  <c r="I2399" i="5"/>
  <c r="I2400" i="5"/>
  <c r="I2401" i="5"/>
  <c r="I2402" i="5"/>
  <c r="I2403" i="5"/>
  <c r="I2404" i="5"/>
  <c r="I2405" i="5"/>
  <c r="I2406" i="5"/>
  <c r="I2407" i="5"/>
  <c r="I2408" i="5"/>
  <c r="I2409" i="5"/>
  <c r="I2410" i="5"/>
  <c r="I2411" i="5"/>
  <c r="I2412" i="5"/>
  <c r="I2413" i="5"/>
  <c r="I2414" i="5"/>
  <c r="I2415" i="5"/>
  <c r="I2416" i="5"/>
  <c r="I2417" i="5"/>
  <c r="I2418" i="5"/>
  <c r="I2419" i="5"/>
  <c r="I2420" i="5"/>
  <c r="I2421" i="5"/>
  <c r="I2422" i="5"/>
  <c r="I2423" i="5"/>
  <c r="I2424" i="5"/>
  <c r="I2425" i="5"/>
  <c r="I2426" i="5"/>
  <c r="I2427" i="5"/>
  <c r="I2428" i="5"/>
  <c r="I2429" i="5"/>
  <c r="I2430" i="5"/>
  <c r="I2431" i="5"/>
  <c r="I2432" i="5"/>
  <c r="I2433" i="5"/>
  <c r="I2434" i="5"/>
  <c r="I2435" i="5"/>
  <c r="I2436" i="5"/>
  <c r="I2437" i="5"/>
  <c r="I2438" i="5"/>
  <c r="I2439" i="5"/>
  <c r="I2440" i="5"/>
  <c r="I2441" i="5"/>
  <c r="I2442" i="5"/>
  <c r="I2443" i="5"/>
  <c r="I2444" i="5"/>
  <c r="I2445" i="5"/>
  <c r="I2446" i="5"/>
  <c r="I2447" i="5"/>
  <c r="I2448" i="5"/>
  <c r="I2449" i="5"/>
  <c r="I2450" i="5"/>
  <c r="I2451" i="5"/>
  <c r="I2452" i="5"/>
  <c r="I2453" i="5"/>
  <c r="I2454" i="5"/>
  <c r="I2455" i="5"/>
  <c r="I2456" i="5"/>
  <c r="I2457" i="5"/>
  <c r="I2458" i="5"/>
  <c r="I2459" i="5"/>
  <c r="I2460" i="5"/>
  <c r="I2461" i="5"/>
  <c r="H3" i="5"/>
  <c r="I2"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337" i="5"/>
  <c r="H2338" i="5"/>
  <c r="H2339" i="5"/>
  <c r="H2340" i="5"/>
  <c r="H2341" i="5"/>
  <c r="H2342" i="5"/>
  <c r="H2343" i="5"/>
  <c r="H2344" i="5"/>
  <c r="H2345" i="5"/>
  <c r="H2346" i="5"/>
  <c r="H2347" i="5"/>
  <c r="H2348" i="5"/>
  <c r="H2349" i="5"/>
  <c r="H2350" i="5"/>
  <c r="H2351" i="5"/>
  <c r="H2352" i="5"/>
  <c r="H2353" i="5"/>
  <c r="H2354" i="5"/>
  <c r="H2355" i="5"/>
  <c r="H2356" i="5"/>
  <c r="H2357" i="5"/>
  <c r="H2358" i="5"/>
  <c r="H2359" i="5"/>
  <c r="H2360" i="5"/>
  <c r="H2361" i="5"/>
  <c r="H2362" i="5"/>
  <c r="H2363" i="5"/>
  <c r="H2364" i="5"/>
  <c r="H2365" i="5"/>
  <c r="H2366" i="5"/>
  <c r="H2367" i="5"/>
  <c r="H2368" i="5"/>
  <c r="H2369" i="5"/>
  <c r="H2370" i="5"/>
  <c r="H2371" i="5"/>
  <c r="H2372" i="5"/>
  <c r="H2373" i="5"/>
  <c r="H2374" i="5"/>
  <c r="H2375" i="5"/>
  <c r="H2376" i="5"/>
  <c r="H2377" i="5"/>
  <c r="H2378" i="5"/>
  <c r="H2379" i="5"/>
  <c r="H2380" i="5"/>
  <c r="H2381" i="5"/>
  <c r="H2382" i="5"/>
  <c r="H2383" i="5"/>
  <c r="H2384" i="5"/>
  <c r="H2385" i="5"/>
  <c r="H2386" i="5"/>
  <c r="H2387" i="5"/>
  <c r="H2388" i="5"/>
  <c r="H2389" i="5"/>
  <c r="H2390" i="5"/>
  <c r="H2391" i="5"/>
  <c r="H2392" i="5"/>
  <c r="H2393" i="5"/>
  <c r="H2394" i="5"/>
  <c r="H2395" i="5"/>
  <c r="H2396" i="5"/>
  <c r="H2397" i="5"/>
  <c r="H2398" i="5"/>
  <c r="H2399" i="5"/>
  <c r="H2400" i="5"/>
  <c r="H2401" i="5"/>
  <c r="H2402" i="5"/>
  <c r="H2403" i="5"/>
  <c r="H2404" i="5"/>
  <c r="H2405" i="5"/>
  <c r="H2406" i="5"/>
  <c r="H2407" i="5"/>
  <c r="H2408" i="5"/>
  <c r="H2409" i="5"/>
  <c r="H2410" i="5"/>
  <c r="H2411" i="5"/>
  <c r="H2412" i="5"/>
  <c r="H2413" i="5"/>
  <c r="H2414" i="5"/>
  <c r="H2415" i="5"/>
  <c r="H2416" i="5"/>
  <c r="H2417" i="5"/>
  <c r="H2418" i="5"/>
  <c r="H2419" i="5"/>
  <c r="H2420" i="5"/>
  <c r="H2421" i="5"/>
  <c r="H2422" i="5"/>
  <c r="H2423" i="5"/>
  <c r="H2424" i="5"/>
  <c r="H2425" i="5"/>
  <c r="H2426" i="5"/>
  <c r="H2427" i="5"/>
  <c r="H2428" i="5"/>
  <c r="H2429" i="5"/>
  <c r="H2430" i="5"/>
  <c r="H2431" i="5"/>
  <c r="H2432" i="5"/>
  <c r="H2433" i="5"/>
  <c r="H2434" i="5"/>
  <c r="H2435" i="5"/>
  <c r="H2436" i="5"/>
  <c r="H2437" i="5"/>
  <c r="H2438" i="5"/>
  <c r="H2439" i="5"/>
  <c r="H2440" i="5"/>
  <c r="H2441" i="5"/>
  <c r="H2442" i="5"/>
  <c r="H2443" i="5"/>
  <c r="H2444" i="5"/>
  <c r="H2445" i="5"/>
  <c r="H2446" i="5"/>
  <c r="H2447" i="5"/>
  <c r="H2448" i="5"/>
  <c r="H2449" i="5"/>
  <c r="H2450" i="5"/>
  <c r="H2451" i="5"/>
  <c r="H2452" i="5"/>
  <c r="H2453" i="5"/>
  <c r="H2454" i="5"/>
  <c r="H2455" i="5"/>
  <c r="H2456" i="5"/>
  <c r="H2457" i="5"/>
  <c r="H2458" i="5"/>
  <c r="H2459" i="5"/>
  <c r="H2460" i="5"/>
  <c r="H2461"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F3" i="5"/>
  <c r="G2"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337" i="5"/>
  <c r="F2338" i="5"/>
  <c r="F2339" i="5"/>
  <c r="F2340" i="5"/>
  <c r="F2341" i="5"/>
  <c r="F2342" i="5"/>
  <c r="F2343" i="5"/>
  <c r="F2344" i="5"/>
  <c r="F2345" i="5"/>
  <c r="F2346" i="5"/>
  <c r="F2347" i="5"/>
  <c r="F2348" i="5"/>
  <c r="F2349" i="5"/>
  <c r="F2350" i="5"/>
  <c r="F2351" i="5"/>
  <c r="F2352" i="5"/>
  <c r="F2353" i="5"/>
  <c r="F2354" i="5"/>
  <c r="F2355" i="5"/>
  <c r="F2356" i="5"/>
  <c r="F2357" i="5"/>
  <c r="F2358" i="5"/>
  <c r="F2359" i="5"/>
  <c r="F2360" i="5"/>
  <c r="F2361" i="5"/>
  <c r="F2362" i="5"/>
  <c r="F2363" i="5"/>
  <c r="F2364" i="5"/>
  <c r="F2365" i="5"/>
  <c r="F2366" i="5"/>
  <c r="F2367" i="5"/>
  <c r="F2368" i="5"/>
  <c r="F2369" i="5"/>
  <c r="F2370" i="5"/>
  <c r="F2371" i="5"/>
  <c r="F2372" i="5"/>
  <c r="F2373" i="5"/>
  <c r="F2374" i="5"/>
  <c r="F2375" i="5"/>
  <c r="F2376" i="5"/>
  <c r="F2377" i="5"/>
  <c r="F2378" i="5"/>
  <c r="F2379" i="5"/>
  <c r="F2380" i="5"/>
  <c r="F2381" i="5"/>
  <c r="F2382" i="5"/>
  <c r="F2383" i="5"/>
  <c r="F2384" i="5"/>
  <c r="F2385" i="5"/>
  <c r="F2386" i="5"/>
  <c r="F2387" i="5"/>
  <c r="F2388" i="5"/>
  <c r="F2389" i="5"/>
  <c r="F2390" i="5"/>
  <c r="F2391" i="5"/>
  <c r="F2392" i="5"/>
  <c r="F2393" i="5"/>
  <c r="F2394" i="5"/>
  <c r="F2395" i="5"/>
  <c r="F2396" i="5"/>
  <c r="F2397" i="5"/>
  <c r="F2398" i="5"/>
  <c r="F2399" i="5"/>
  <c r="F2400" i="5"/>
  <c r="F2401" i="5"/>
  <c r="F2402" i="5"/>
  <c r="F2403" i="5"/>
  <c r="F2404" i="5"/>
  <c r="F2405" i="5"/>
  <c r="F2406" i="5"/>
  <c r="F2407" i="5"/>
  <c r="F2408" i="5"/>
  <c r="F2409" i="5"/>
  <c r="F2410" i="5"/>
  <c r="F2411" i="5"/>
  <c r="F2412" i="5"/>
  <c r="F2413" i="5"/>
  <c r="F2414" i="5"/>
  <c r="F2415" i="5"/>
  <c r="F2416" i="5"/>
  <c r="F2417" i="5"/>
  <c r="F2418" i="5"/>
  <c r="F2419" i="5"/>
  <c r="F2420" i="5"/>
  <c r="F2421" i="5"/>
  <c r="F2422" i="5"/>
  <c r="F2423" i="5"/>
  <c r="F2424" i="5"/>
  <c r="F2425" i="5"/>
  <c r="F2426" i="5"/>
  <c r="F2427" i="5"/>
  <c r="F2428" i="5"/>
  <c r="F2429" i="5"/>
  <c r="F2430" i="5"/>
  <c r="F2431" i="5"/>
  <c r="F2432" i="5"/>
  <c r="F2433" i="5"/>
  <c r="F2434" i="5"/>
  <c r="F2435" i="5"/>
  <c r="F2436" i="5"/>
  <c r="F2437" i="5"/>
  <c r="F2438" i="5"/>
  <c r="F2439" i="5"/>
  <c r="F2440" i="5"/>
  <c r="F2441" i="5"/>
  <c r="F2442" i="5"/>
  <c r="F2443" i="5"/>
  <c r="F2444" i="5"/>
  <c r="F2445" i="5"/>
  <c r="F2446" i="5"/>
  <c r="F2447" i="5"/>
  <c r="F2448" i="5"/>
  <c r="F2449" i="5"/>
  <c r="F2450" i="5"/>
  <c r="F2451" i="5"/>
  <c r="F2452" i="5"/>
  <c r="F2453" i="5"/>
  <c r="F2454" i="5"/>
  <c r="F2455" i="5"/>
  <c r="F2456" i="5"/>
  <c r="F2457" i="5"/>
  <c r="F2458" i="5"/>
  <c r="F2459" i="5"/>
  <c r="F2460" i="5"/>
  <c r="F2461" i="5"/>
  <c r="F2"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337" i="5"/>
  <c r="E2338" i="5"/>
  <c r="E2339" i="5"/>
  <c r="E2340" i="5"/>
  <c r="E2341" i="5"/>
  <c r="E2342" i="5"/>
  <c r="E2343" i="5"/>
  <c r="E2344" i="5"/>
  <c r="E2345" i="5"/>
  <c r="E2346" i="5"/>
  <c r="E2347" i="5"/>
  <c r="E2348" i="5"/>
  <c r="E2349" i="5"/>
  <c r="E2350" i="5"/>
  <c r="E2351" i="5"/>
  <c r="E2352" i="5"/>
  <c r="E2353" i="5"/>
  <c r="E2354" i="5"/>
  <c r="E2355" i="5"/>
  <c r="E2356" i="5"/>
  <c r="E2357" i="5"/>
  <c r="E2358" i="5"/>
  <c r="E2359" i="5"/>
  <c r="E2360" i="5"/>
  <c r="E2361" i="5"/>
  <c r="E2362" i="5"/>
  <c r="E2363" i="5"/>
  <c r="E2364" i="5"/>
  <c r="E2365" i="5"/>
  <c r="E2366" i="5"/>
  <c r="E2367" i="5"/>
  <c r="E2368" i="5"/>
  <c r="E2369" i="5"/>
  <c r="E2370" i="5"/>
  <c r="E2371" i="5"/>
  <c r="E2372" i="5"/>
  <c r="E2373" i="5"/>
  <c r="E2374" i="5"/>
  <c r="E2375" i="5"/>
  <c r="E2376" i="5"/>
  <c r="E2377" i="5"/>
  <c r="E2378" i="5"/>
  <c r="E2379" i="5"/>
  <c r="E2380" i="5"/>
  <c r="E2381" i="5"/>
  <c r="E2382" i="5"/>
  <c r="E2383" i="5"/>
  <c r="E2384" i="5"/>
  <c r="E2385" i="5"/>
  <c r="E2386" i="5"/>
  <c r="E2387" i="5"/>
  <c r="E2388" i="5"/>
  <c r="E2389" i="5"/>
  <c r="E2390" i="5"/>
  <c r="E2391" i="5"/>
  <c r="E2392" i="5"/>
  <c r="E2393" i="5"/>
  <c r="E2394" i="5"/>
  <c r="E2395" i="5"/>
  <c r="E2396" i="5"/>
  <c r="E2397" i="5"/>
  <c r="E2398" i="5"/>
  <c r="E2399" i="5"/>
  <c r="E2400" i="5"/>
  <c r="E2401" i="5"/>
  <c r="E2402" i="5"/>
  <c r="E2403" i="5"/>
  <c r="E2404" i="5"/>
  <c r="E2405" i="5"/>
  <c r="E2406" i="5"/>
  <c r="E2407" i="5"/>
  <c r="E2408" i="5"/>
  <c r="E2409" i="5"/>
  <c r="E2410" i="5"/>
  <c r="E2411" i="5"/>
  <c r="E2412" i="5"/>
  <c r="E2413" i="5"/>
  <c r="E2414" i="5"/>
  <c r="E2415" i="5"/>
  <c r="E2416" i="5"/>
  <c r="E2417" i="5"/>
  <c r="E2418" i="5"/>
  <c r="E2419" i="5"/>
  <c r="E2420" i="5"/>
  <c r="E2421" i="5"/>
  <c r="E2422" i="5"/>
  <c r="E2423" i="5"/>
  <c r="E2424" i="5"/>
  <c r="E2425" i="5"/>
  <c r="E2426" i="5"/>
  <c r="E2427" i="5"/>
  <c r="E2428" i="5"/>
  <c r="E2429" i="5"/>
  <c r="E2430" i="5"/>
  <c r="E2431" i="5"/>
  <c r="E2432" i="5"/>
  <c r="E2433" i="5"/>
  <c r="E2434" i="5"/>
  <c r="E2435" i="5"/>
  <c r="E2436" i="5"/>
  <c r="E2437" i="5"/>
  <c r="E2438" i="5"/>
  <c r="E2439" i="5"/>
  <c r="E2440" i="5"/>
  <c r="E2441" i="5"/>
  <c r="E2442" i="5"/>
  <c r="E2443" i="5"/>
  <c r="E2444" i="5"/>
  <c r="E2445" i="5"/>
  <c r="E2446" i="5"/>
  <c r="E2447" i="5"/>
  <c r="E2448" i="5"/>
  <c r="E2449" i="5"/>
  <c r="E2450" i="5"/>
  <c r="E2451" i="5"/>
  <c r="E2452" i="5"/>
  <c r="E2453" i="5"/>
  <c r="E2454" i="5"/>
  <c r="E2455" i="5"/>
  <c r="E2456" i="5"/>
  <c r="E2457" i="5"/>
  <c r="E2458" i="5"/>
  <c r="E2459" i="5"/>
  <c r="E2460" i="5"/>
  <c r="E2461" i="5"/>
  <c r="E3" i="5"/>
  <c r="E4" i="5"/>
  <c r="E5" i="5"/>
  <c r="E6" i="5"/>
  <c r="E7" i="5"/>
  <c r="E8" i="5"/>
  <c r="E2" i="5"/>
  <c r="L2" i="5" s="1"/>
  <c r="B2370" i="5"/>
  <c r="B2309" i="5"/>
  <c r="B2299" i="5"/>
  <c r="B2291" i="5"/>
  <c r="B2284" i="5"/>
  <c r="B2276" i="5"/>
  <c r="B1069" i="5"/>
  <c r="B1043" i="5"/>
  <c r="B988" i="5"/>
  <c r="B932" i="5"/>
  <c r="B925" i="5"/>
  <c r="B914" i="5"/>
  <c r="B794" i="5"/>
  <c r="B795" i="5"/>
  <c r="B796"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7" i="5"/>
  <c r="B2278" i="5"/>
  <c r="B2279" i="5"/>
  <c r="B2280" i="5"/>
  <c r="B2281" i="5"/>
  <c r="B2282" i="5"/>
  <c r="B2283" i="5"/>
  <c r="B2285" i="5"/>
  <c r="B2286" i="5"/>
  <c r="B2287" i="5"/>
  <c r="B2288" i="5"/>
  <c r="B2289" i="5"/>
  <c r="B2290" i="5"/>
  <c r="B2292" i="5"/>
  <c r="B2293" i="5"/>
  <c r="B2294" i="5"/>
  <c r="B2295" i="5"/>
  <c r="B2296" i="5"/>
  <c r="B2297" i="5"/>
  <c r="B2298" i="5"/>
  <c r="B2300" i="5"/>
  <c r="B2301" i="5"/>
  <c r="B2302" i="5"/>
  <c r="B2303" i="5"/>
  <c r="B2304" i="5"/>
  <c r="B2305" i="5"/>
  <c r="B2306" i="5"/>
  <c r="B2307" i="5"/>
  <c r="B2308"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337" i="5"/>
  <c r="B2338" i="5"/>
  <c r="B2339" i="5"/>
  <c r="B2340" i="5"/>
  <c r="B2341" i="5"/>
  <c r="B2342" i="5"/>
  <c r="B2343" i="5"/>
  <c r="B2344" i="5"/>
  <c r="B2345" i="5"/>
  <c r="B2346" i="5"/>
  <c r="B2347" i="5"/>
  <c r="B2348" i="5"/>
  <c r="B2349" i="5"/>
  <c r="B2350" i="5"/>
  <c r="B2351" i="5"/>
  <c r="B2352" i="5"/>
  <c r="B2353" i="5"/>
  <c r="B2354" i="5"/>
  <c r="B2355" i="5"/>
  <c r="B2356" i="5"/>
  <c r="B2357" i="5"/>
  <c r="B2358" i="5"/>
  <c r="B2359" i="5"/>
  <c r="B2360" i="5"/>
  <c r="B2361" i="5"/>
  <c r="B2362" i="5"/>
  <c r="B2363" i="5"/>
  <c r="B2364" i="5"/>
  <c r="B2365" i="5"/>
  <c r="B2366" i="5"/>
  <c r="B2367" i="5"/>
  <c r="B2368" i="5"/>
  <c r="B2369" i="5"/>
  <c r="B2371" i="5"/>
  <c r="B2372" i="5"/>
  <c r="B2373" i="5"/>
  <c r="B2374" i="5"/>
  <c r="B2375" i="5"/>
  <c r="B2376" i="5"/>
  <c r="B2377" i="5"/>
  <c r="B2378" i="5"/>
  <c r="B2379" i="5"/>
  <c r="B2380" i="5"/>
  <c r="B2381" i="5"/>
  <c r="B2382" i="5"/>
  <c r="B2383" i="5"/>
  <c r="B2384" i="5"/>
  <c r="B2385" i="5"/>
  <c r="B2386" i="5"/>
  <c r="B2387" i="5"/>
  <c r="B2388" i="5"/>
  <c r="B2389" i="5"/>
  <c r="B2390" i="5"/>
  <c r="B2391" i="5"/>
  <c r="B2392" i="5"/>
  <c r="B2393" i="5"/>
  <c r="B2394" i="5"/>
  <c r="B2395" i="5"/>
  <c r="B2396" i="5"/>
  <c r="B2397" i="5"/>
  <c r="B2398" i="5"/>
  <c r="B2399" i="5"/>
  <c r="B2400" i="5"/>
  <c r="B2401" i="5"/>
  <c r="B2402" i="5"/>
  <c r="B2403" i="5"/>
  <c r="B2404" i="5"/>
  <c r="B2405" i="5"/>
  <c r="B2406" i="5"/>
  <c r="B2407" i="5"/>
  <c r="B2408" i="5"/>
  <c r="B2409" i="5"/>
  <c r="B2410" i="5"/>
  <c r="B2411" i="5"/>
  <c r="B2412" i="5"/>
  <c r="B2413" i="5"/>
  <c r="B2414" i="5"/>
  <c r="B2415" i="5"/>
  <c r="B2416" i="5"/>
  <c r="B2417" i="5"/>
  <c r="B2418" i="5"/>
  <c r="B2419" i="5"/>
  <c r="B2420" i="5"/>
  <c r="B2421" i="5"/>
  <c r="B2422" i="5"/>
  <c r="B2423" i="5"/>
  <c r="B2424" i="5"/>
  <c r="B2425" i="5"/>
  <c r="B2426" i="5"/>
  <c r="B2427" i="5"/>
  <c r="B2428" i="5"/>
  <c r="B2429" i="5"/>
  <c r="B2430" i="5"/>
  <c r="B2431" i="5"/>
  <c r="B2432" i="5"/>
  <c r="B2433" i="5"/>
  <c r="B2434" i="5"/>
  <c r="B2435" i="5"/>
  <c r="B2436" i="5"/>
  <c r="B2437" i="5"/>
  <c r="B2438" i="5"/>
  <c r="B2439" i="5"/>
  <c r="B2440" i="5"/>
  <c r="B2441" i="5"/>
  <c r="B2442" i="5"/>
  <c r="B2443" i="5"/>
  <c r="B2444" i="5"/>
  <c r="B2445" i="5"/>
  <c r="B2446" i="5"/>
  <c r="B2447" i="5"/>
  <c r="B2448" i="5"/>
  <c r="B2449" i="5"/>
  <c r="B2450" i="5"/>
  <c r="B2451" i="5"/>
  <c r="B2452" i="5"/>
  <c r="B2453" i="5"/>
  <c r="B2454" i="5"/>
  <c r="B2455" i="5"/>
  <c r="B2456" i="5"/>
  <c r="B2457" i="5"/>
  <c r="B2458" i="5"/>
  <c r="B2459" i="5"/>
  <c r="B2460" i="5"/>
  <c r="B2461" i="5"/>
  <c r="B2462" i="5"/>
  <c r="B2463" i="5"/>
  <c r="B2464" i="5"/>
  <c r="B2465" i="5"/>
  <c r="B2466" i="5"/>
  <c r="B2467" i="5"/>
  <c r="B2468" i="5"/>
  <c r="B2469" i="5"/>
  <c r="B2470"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5" i="5"/>
  <c r="B916" i="5"/>
  <c r="B917" i="5"/>
  <c r="B918" i="5"/>
  <c r="B919" i="5"/>
  <c r="B920" i="5"/>
  <c r="B921" i="5"/>
  <c r="B922" i="5"/>
  <c r="B923" i="5"/>
  <c r="B924" i="5"/>
  <c r="B926" i="5"/>
  <c r="B927" i="5"/>
  <c r="B928" i="5"/>
  <c r="B929" i="5"/>
  <c r="B930" i="5"/>
  <c r="B931"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2" i="5"/>
  <c r="C2365" i="2"/>
  <c r="C2304" i="2"/>
  <c r="C2294" i="2"/>
  <c r="C2286" i="2"/>
  <c r="C2279" i="2"/>
  <c r="C2271"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2" i="2"/>
  <c r="C2273" i="2"/>
  <c r="C2274" i="2"/>
  <c r="C2275" i="2"/>
  <c r="C2276" i="2"/>
  <c r="C2277" i="2"/>
  <c r="C2278" i="2"/>
  <c r="C2280" i="2"/>
  <c r="C2281" i="2"/>
  <c r="C2282" i="2"/>
  <c r="C2283" i="2"/>
  <c r="C2284" i="2"/>
  <c r="C2285" i="2"/>
  <c r="C2287" i="2"/>
  <c r="C2288" i="2"/>
  <c r="C2289" i="2"/>
  <c r="C2290" i="2"/>
  <c r="C2291" i="2"/>
  <c r="C2292" i="2"/>
  <c r="C2293" i="2"/>
  <c r="C2295" i="2"/>
  <c r="C2296" i="2"/>
  <c r="C2297" i="2"/>
  <c r="C2298" i="2"/>
  <c r="C2299" i="2"/>
  <c r="C2300" i="2"/>
  <c r="C2301" i="2"/>
  <c r="C2302" i="2"/>
  <c r="C2303"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1065" i="2"/>
  <c r="C1039" i="2"/>
  <c r="C984" i="2"/>
  <c r="C928" i="2"/>
  <c r="C921" i="2"/>
  <c r="C910" i="2"/>
  <c r="C791" i="2"/>
  <c r="C775"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6" i="2"/>
  <c r="C777" i="2"/>
  <c r="C778" i="2"/>
  <c r="C779" i="2"/>
  <c r="C780" i="2"/>
  <c r="C781" i="2"/>
  <c r="C782" i="2"/>
  <c r="C783" i="2"/>
  <c r="C784" i="2"/>
  <c r="C785" i="2"/>
  <c r="C786" i="2"/>
  <c r="C787" i="2"/>
  <c r="C788" i="2"/>
  <c r="C789" i="2"/>
  <c r="C790"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1" i="2"/>
  <c r="C912" i="2"/>
  <c r="C913" i="2"/>
  <c r="C914" i="2"/>
  <c r="C915" i="2"/>
  <c r="C916" i="2"/>
  <c r="C917" i="2"/>
  <c r="C918" i="2"/>
  <c r="C919" i="2"/>
  <c r="C920" i="2"/>
  <c r="C922" i="2"/>
  <c r="C923" i="2"/>
  <c r="C924" i="2"/>
  <c r="C925" i="2"/>
  <c r="C926" i="2"/>
  <c r="C927"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2" i="2"/>
  <c r="F1867" i="2" l="1"/>
  <c r="P1984" i="2"/>
  <c r="F1984" i="2"/>
  <c r="F1921" i="2"/>
  <c r="F1759" i="2"/>
  <c r="F1705" i="2"/>
  <c r="F1849" i="2"/>
  <c r="F1741" i="2"/>
  <c r="F1840" i="2"/>
  <c r="F1831" i="2"/>
  <c r="F1930" i="2"/>
  <c r="F1822" i="2"/>
  <c r="F1714" i="2"/>
  <c r="P1925" i="2"/>
  <c r="F1925" i="2"/>
  <c r="P1913" i="2"/>
  <c r="F1913" i="2"/>
  <c r="P1907" i="2"/>
  <c r="F1907" i="2"/>
  <c r="P1895" i="2"/>
  <c r="F1895" i="2"/>
  <c r="P1871" i="2"/>
  <c r="F1871" i="2"/>
  <c r="P1853" i="2"/>
  <c r="F1853" i="2"/>
  <c r="P1817" i="2"/>
  <c r="F1817" i="2"/>
  <c r="P1787" i="2"/>
  <c r="F1787" i="2"/>
  <c r="P1769" i="2"/>
  <c r="F1769" i="2"/>
  <c r="P1763" i="2"/>
  <c r="F1763" i="2"/>
  <c r="P1745" i="2"/>
  <c r="F1745" i="2"/>
  <c r="P1727" i="2"/>
  <c r="F1727" i="2"/>
  <c r="P1721" i="2"/>
  <c r="F1721" i="2"/>
  <c r="P1709" i="2"/>
  <c r="F1709" i="2"/>
  <c r="P1697" i="2"/>
  <c r="F1697" i="2"/>
  <c r="P1667" i="2"/>
  <c r="F1667" i="2"/>
  <c r="P1655" i="2"/>
  <c r="F1655" i="2"/>
  <c r="P1643" i="2"/>
  <c r="F1643" i="2"/>
  <c r="P1631" i="2"/>
  <c r="F1631" i="2"/>
  <c r="P1583" i="2"/>
  <c r="F1583" i="2"/>
  <c r="P1565" i="2"/>
  <c r="F1565" i="2"/>
  <c r="P1547" i="2"/>
  <c r="F1547" i="2"/>
  <c r="P1523" i="2"/>
  <c r="F1523" i="2"/>
  <c r="P1481" i="2"/>
  <c r="F1481" i="2"/>
  <c r="P1445" i="2"/>
  <c r="F1445" i="2"/>
  <c r="P1415" i="2"/>
  <c r="F1415" i="2"/>
  <c r="P1397" i="2"/>
  <c r="F1397" i="2"/>
  <c r="P1373" i="2"/>
  <c r="F1373" i="2"/>
  <c r="P1355" i="2"/>
  <c r="F1355" i="2"/>
  <c r="P1343" i="2"/>
  <c r="F1343" i="2"/>
  <c r="P1325" i="2"/>
  <c r="F1325" i="2"/>
  <c r="P1307" i="2"/>
  <c r="F1307" i="2"/>
  <c r="P1295" i="2"/>
  <c r="F1295" i="2"/>
  <c r="P1277" i="2"/>
  <c r="F1277" i="2"/>
  <c r="P1193" i="2"/>
  <c r="F1193" i="2"/>
  <c r="P947" i="2"/>
  <c r="F947" i="2"/>
  <c r="F1955" i="2"/>
  <c r="F1500" i="2"/>
  <c r="F1464" i="2"/>
  <c r="F1428" i="2"/>
  <c r="F1320" i="2"/>
  <c r="P1230" i="2"/>
  <c r="F1230" i="2"/>
  <c r="P942" i="2"/>
  <c r="F942" i="2"/>
  <c r="F1961" i="2"/>
  <c r="F1938" i="2"/>
  <c r="F1911" i="2"/>
  <c r="F1875" i="2"/>
  <c r="F1857" i="2"/>
  <c r="F1812" i="2"/>
  <c r="F1776" i="2"/>
  <c r="F1749" i="2"/>
  <c r="F1731" i="2"/>
  <c r="F1606" i="2"/>
  <c r="F1552" i="2"/>
  <c r="F1390" i="2"/>
  <c r="F1282" i="2"/>
  <c r="F1264" i="2"/>
  <c r="P1663" i="2"/>
  <c r="F1663" i="2"/>
  <c r="P1651" i="2"/>
  <c r="F1651" i="2"/>
  <c r="P1639" i="2"/>
  <c r="F1639" i="2"/>
  <c r="P1627" i="2"/>
  <c r="F1627" i="2"/>
  <c r="P1597" i="2"/>
  <c r="F1597" i="2"/>
  <c r="P1573" i="2"/>
  <c r="F1573" i="2"/>
  <c r="P1537" i="2"/>
  <c r="F1537" i="2"/>
  <c r="P1519" i="2"/>
  <c r="F1519" i="2"/>
  <c r="P1507" i="2"/>
  <c r="F1507" i="2"/>
  <c r="P1489" i="2"/>
  <c r="F1489" i="2"/>
  <c r="P1477" i="2"/>
  <c r="F1477" i="2"/>
  <c r="P1471" i="2"/>
  <c r="F1471" i="2"/>
  <c r="P1453" i="2"/>
  <c r="F1453" i="2"/>
  <c r="P1423" i="2"/>
  <c r="F1423" i="2"/>
  <c r="P1411" i="2"/>
  <c r="F1411" i="2"/>
  <c r="P1381" i="2"/>
  <c r="F1381" i="2"/>
  <c r="P1369" i="2"/>
  <c r="F1369" i="2"/>
  <c r="P1351" i="2"/>
  <c r="F1351" i="2"/>
  <c r="P1339" i="2"/>
  <c r="F1339" i="2"/>
  <c r="P1315" i="2"/>
  <c r="F1315" i="2"/>
  <c r="P1303" i="2"/>
  <c r="F1303" i="2"/>
  <c r="P1291" i="2"/>
  <c r="F1291" i="2"/>
  <c r="P1255" i="2"/>
  <c r="F1255" i="2"/>
  <c r="P1225" i="2"/>
  <c r="F1225" i="2"/>
  <c r="P1183" i="2"/>
  <c r="F1183" i="2"/>
  <c r="P937" i="2"/>
  <c r="F937" i="2"/>
  <c r="F2003" i="2"/>
  <c r="F1996" i="2"/>
  <c r="F1981" i="2"/>
  <c r="F1891" i="2"/>
  <c r="F1882" i="2"/>
  <c r="F1792" i="2"/>
  <c r="F1783" i="2"/>
  <c r="F1702" i="2"/>
  <c r="F1693" i="2"/>
  <c r="F1684" i="2"/>
  <c r="F1602" i="2"/>
  <c r="F1404" i="2"/>
  <c r="F1386" i="2"/>
  <c r="F1260" i="2"/>
  <c r="F1178" i="2"/>
  <c r="P2000" i="2"/>
  <c r="F2000" i="2"/>
  <c r="P1976" i="2"/>
  <c r="F1976" i="2"/>
  <c r="P1958" i="2"/>
  <c r="F1958" i="2"/>
  <c r="P1946" i="2"/>
  <c r="F1946" i="2"/>
  <c r="P1934" i="2"/>
  <c r="F1934" i="2"/>
  <c r="P1910" i="2"/>
  <c r="F1910" i="2"/>
  <c r="P1904" i="2"/>
  <c r="F1904" i="2"/>
  <c r="P1886" i="2"/>
  <c r="F1886" i="2"/>
  <c r="P1862" i="2"/>
  <c r="F1862" i="2"/>
  <c r="P1802" i="2"/>
  <c r="F1802" i="2"/>
  <c r="P1772" i="2"/>
  <c r="F1772" i="2"/>
  <c r="P1766" i="2"/>
  <c r="F1766" i="2"/>
  <c r="P1724" i="2"/>
  <c r="F1724" i="2"/>
  <c r="P1718" i="2"/>
  <c r="F1718" i="2"/>
  <c r="P1688" i="2"/>
  <c r="F1688" i="2"/>
  <c r="P1676" i="2"/>
  <c r="F1676" i="2"/>
  <c r="P1610" i="2"/>
  <c r="F1610" i="2"/>
  <c r="P1592" i="2"/>
  <c r="F1592" i="2"/>
  <c r="P1556" i="2"/>
  <c r="F1556" i="2"/>
  <c r="P1532" i="2"/>
  <c r="F1532" i="2"/>
  <c r="P1514" i="2"/>
  <c r="F1514" i="2"/>
  <c r="P1496" i="2"/>
  <c r="F1496" i="2"/>
  <c r="P1460" i="2"/>
  <c r="F1460" i="2"/>
  <c r="P1442" i="2"/>
  <c r="F1442" i="2"/>
  <c r="P1418" i="2"/>
  <c r="F1418" i="2"/>
  <c r="P1400" i="2"/>
  <c r="F1400" i="2"/>
  <c r="P1394" i="2"/>
  <c r="F1394" i="2"/>
  <c r="P1364" i="2"/>
  <c r="F1364" i="2"/>
  <c r="P1298" i="2"/>
  <c r="F1298" i="2"/>
  <c r="P1286" i="2"/>
  <c r="F1286" i="2"/>
  <c r="P1268" i="2"/>
  <c r="F1268" i="2"/>
  <c r="P1250" i="2"/>
  <c r="F1250" i="2"/>
  <c r="P1220" i="2"/>
  <c r="F1220" i="2"/>
  <c r="P932" i="2"/>
  <c r="F932" i="2"/>
  <c r="F1987" i="2"/>
  <c r="F1966" i="2"/>
  <c r="F1917" i="2"/>
  <c r="F1899" i="2"/>
  <c r="F1845" i="2"/>
  <c r="F1836" i="2"/>
  <c r="F1827" i="2"/>
  <c r="F1755" i="2"/>
  <c r="F1737" i="2"/>
  <c r="F1654" i="2"/>
  <c r="F1618" i="2"/>
  <c r="F1528" i="2"/>
  <c r="F1510" i="2"/>
  <c r="F1492" i="2"/>
  <c r="F1474" i="2"/>
  <c r="F1456" i="2"/>
  <c r="F1438" i="2"/>
  <c r="F1330" i="2"/>
  <c r="P1671" i="2"/>
  <c r="F1671" i="2"/>
  <c r="P1659" i="2"/>
  <c r="F1659" i="2"/>
  <c r="P1647" i="2"/>
  <c r="F1647" i="2"/>
  <c r="P1635" i="2"/>
  <c r="F1635" i="2"/>
  <c r="P1623" i="2"/>
  <c r="F1623" i="2"/>
  <c r="P1587" i="2"/>
  <c r="F1587" i="2"/>
  <c r="P1569" i="2"/>
  <c r="F1569" i="2"/>
  <c r="Q1563" i="2"/>
  <c r="F1563" i="2"/>
  <c r="P1503" i="2"/>
  <c r="F1503" i="2"/>
  <c r="P1485" i="2"/>
  <c r="F1485" i="2"/>
  <c r="P1449" i="2"/>
  <c r="F1449" i="2"/>
  <c r="P1431" i="2"/>
  <c r="F1431" i="2"/>
  <c r="P1407" i="2"/>
  <c r="F1407" i="2"/>
  <c r="P1377" i="2"/>
  <c r="F1377" i="2"/>
  <c r="P1359" i="2"/>
  <c r="F1359" i="2"/>
  <c r="P1347" i="2"/>
  <c r="F1347" i="2"/>
  <c r="P1335" i="2"/>
  <c r="F1335" i="2"/>
  <c r="P1311" i="2"/>
  <c r="F1311" i="2"/>
  <c r="P1245" i="2"/>
  <c r="F1245" i="2"/>
  <c r="P1239" i="2"/>
  <c r="F1239" i="2"/>
  <c r="P1215" i="2"/>
  <c r="F1215" i="2"/>
  <c r="P1173" i="2"/>
  <c r="F1173" i="2"/>
  <c r="F1972" i="2"/>
  <c r="F1950" i="2"/>
  <c r="F1942" i="2"/>
  <c r="F1879" i="2"/>
  <c r="F1807" i="2"/>
  <c r="F1789" i="2"/>
  <c r="F1780" i="2"/>
  <c r="F1726" i="2"/>
  <c r="F1614" i="2"/>
  <c r="F1578" i="2"/>
  <c r="F1560" i="2"/>
  <c r="F1542" i="2"/>
  <c r="F1470" i="2"/>
  <c r="F1434" i="2"/>
  <c r="F1272" i="2"/>
  <c r="F1188" i="2"/>
  <c r="P1234" i="2"/>
  <c r="F1234" i="2"/>
  <c r="P928" i="2"/>
  <c r="F928" i="2"/>
  <c r="F1992" i="2"/>
  <c r="F1971" i="2"/>
  <c r="F1797" i="2"/>
  <c r="F1752" i="2"/>
  <c r="F1734" i="2"/>
  <c r="F1680" i="2"/>
  <c r="F1468" i="2"/>
  <c r="P22" i="2"/>
  <c r="Q22" i="2"/>
  <c r="Q16" i="2"/>
  <c r="P16" i="2"/>
  <c r="P4" i="2"/>
  <c r="Q4" i="2"/>
  <c r="F2462" i="2"/>
  <c r="P2462" i="2"/>
  <c r="F2456" i="2"/>
  <c r="P2456" i="2"/>
  <c r="F2450" i="2"/>
  <c r="P2450" i="2"/>
  <c r="Q2450" i="2"/>
  <c r="F2444" i="2"/>
  <c r="P2444" i="2"/>
  <c r="Q2444" i="2"/>
  <c r="F2438" i="2"/>
  <c r="P2438" i="2"/>
  <c r="Q2438" i="2"/>
  <c r="F2432" i="2"/>
  <c r="P2432" i="2"/>
  <c r="Q2432" i="2"/>
  <c r="F2426" i="2"/>
  <c r="P2426" i="2"/>
  <c r="F2420" i="2"/>
  <c r="P2420" i="2"/>
  <c r="Q2420" i="2"/>
  <c r="F2414" i="2"/>
  <c r="Q2414" i="2"/>
  <c r="P2414" i="2"/>
  <c r="F2408" i="2"/>
  <c r="P2408" i="2"/>
  <c r="Q2408" i="2"/>
  <c r="F2402" i="2"/>
  <c r="P2402" i="2"/>
  <c r="Q2402" i="2"/>
  <c r="F2396" i="2"/>
  <c r="P2396" i="2"/>
  <c r="F2390" i="2"/>
  <c r="Q2390" i="2"/>
  <c r="P2390" i="2"/>
  <c r="F2384" i="2"/>
  <c r="P2384" i="2"/>
  <c r="F2378" i="2"/>
  <c r="P2378" i="2"/>
  <c r="Q2378" i="2"/>
  <c r="F2372" i="2"/>
  <c r="P2372" i="2"/>
  <c r="Q2372" i="2"/>
  <c r="F2366" i="2"/>
  <c r="Q2366" i="2"/>
  <c r="P2366" i="2"/>
  <c r="F2360" i="2"/>
  <c r="P2360" i="2"/>
  <c r="Q2360" i="2"/>
  <c r="F2354" i="2"/>
  <c r="P2354" i="2"/>
  <c r="Q2354" i="2"/>
  <c r="F2348" i="2"/>
  <c r="P2348" i="2"/>
  <c r="F2342" i="2"/>
  <c r="Q2342" i="2"/>
  <c r="P2342" i="2"/>
  <c r="F2336" i="2"/>
  <c r="P2336" i="2"/>
  <c r="F2330" i="2"/>
  <c r="P2330" i="2"/>
  <c r="Q2330" i="2"/>
  <c r="F2324" i="2"/>
  <c r="P2324" i="2"/>
  <c r="Q2324" i="2"/>
  <c r="F2318" i="2"/>
  <c r="P2318" i="2"/>
  <c r="Q2318" i="2"/>
  <c r="F2312" i="2"/>
  <c r="P2312" i="2"/>
  <c r="F2306" i="2"/>
  <c r="P2306" i="2"/>
  <c r="Q2306" i="2"/>
  <c r="F2300" i="2"/>
  <c r="P2300" i="2"/>
  <c r="Q2300" i="2"/>
  <c r="F2294" i="2"/>
  <c r="P2294" i="2"/>
  <c r="F2288" i="2"/>
  <c r="Q2288" i="2"/>
  <c r="P2288" i="2"/>
  <c r="F2282" i="2"/>
  <c r="P2282" i="2"/>
  <c r="Q2282" i="2"/>
  <c r="F2276" i="2"/>
  <c r="P2276" i="2"/>
  <c r="Q2276" i="2"/>
  <c r="F2270" i="2"/>
  <c r="P2270" i="2"/>
  <c r="Q2270" i="2"/>
  <c r="F2264" i="2"/>
  <c r="Q2264" i="2"/>
  <c r="P2264" i="2"/>
  <c r="F2258" i="2"/>
  <c r="P2258" i="2"/>
  <c r="Q2258" i="2"/>
  <c r="F2252" i="2"/>
  <c r="P2252" i="2"/>
  <c r="Q2252" i="2"/>
  <c r="F2246" i="2"/>
  <c r="P2246" i="2"/>
  <c r="Q2246" i="2"/>
  <c r="F2240" i="2"/>
  <c r="Q2240" i="2"/>
  <c r="P2240" i="2"/>
  <c r="F2234" i="2"/>
  <c r="P2234" i="2"/>
  <c r="F2228" i="2"/>
  <c r="P2228" i="2"/>
  <c r="F2222" i="2"/>
  <c r="P2222" i="2"/>
  <c r="Q2222" i="2"/>
  <c r="F2216" i="2"/>
  <c r="Q2216" i="2"/>
  <c r="P2216" i="2"/>
  <c r="F2210" i="2"/>
  <c r="P2210" i="2"/>
  <c r="F2204" i="2"/>
  <c r="P2204" i="2"/>
  <c r="Q2204" i="2"/>
  <c r="F2198" i="2"/>
  <c r="P2198" i="2"/>
  <c r="Q2198" i="2"/>
  <c r="F2192" i="2"/>
  <c r="Q2192" i="2"/>
  <c r="P2192" i="2"/>
  <c r="F2186" i="2"/>
  <c r="P2186" i="2"/>
  <c r="Q2186" i="2"/>
  <c r="F2180" i="2"/>
  <c r="P2180" i="2"/>
  <c r="Q2180" i="2"/>
  <c r="F2174" i="2"/>
  <c r="P2174" i="2"/>
  <c r="Q2174" i="2"/>
  <c r="F2168" i="2"/>
  <c r="P2168" i="2"/>
  <c r="F2162" i="2"/>
  <c r="P2162" i="2"/>
  <c r="F2156" i="2"/>
  <c r="P2156" i="2"/>
  <c r="Q2156" i="2"/>
  <c r="F2150" i="2"/>
  <c r="P2150" i="2"/>
  <c r="Q2150" i="2"/>
  <c r="F2144" i="2"/>
  <c r="P2144" i="2"/>
  <c r="F2138" i="2"/>
  <c r="P2138" i="2"/>
  <c r="Q2138" i="2"/>
  <c r="F2132" i="2"/>
  <c r="P2132" i="2"/>
  <c r="Q2132" i="2"/>
  <c r="F2126" i="2"/>
  <c r="P2126" i="2"/>
  <c r="Q2126" i="2"/>
  <c r="F2120" i="2"/>
  <c r="Q2120" i="2"/>
  <c r="P2120" i="2"/>
  <c r="F2114" i="2"/>
  <c r="P2114" i="2"/>
  <c r="F2108" i="2"/>
  <c r="P2108" i="2"/>
  <c r="Q2108" i="2"/>
  <c r="F2102" i="2"/>
  <c r="P2102" i="2"/>
  <c r="Q2102" i="2"/>
  <c r="F2096" i="2"/>
  <c r="Q2096" i="2"/>
  <c r="P2096" i="2"/>
  <c r="F2090" i="2"/>
  <c r="P2090" i="2"/>
  <c r="Q2090" i="2"/>
  <c r="F2084" i="2"/>
  <c r="P2084" i="2"/>
  <c r="Q2084" i="2"/>
  <c r="F2078" i="2"/>
  <c r="P2078" i="2"/>
  <c r="Q2078" i="2"/>
  <c r="F2072" i="2"/>
  <c r="Q2072" i="2"/>
  <c r="P2072" i="2"/>
  <c r="F2066" i="2"/>
  <c r="P2066" i="2"/>
  <c r="F2060" i="2"/>
  <c r="P2060" i="2"/>
  <c r="Q2060" i="2"/>
  <c r="F2054" i="2"/>
  <c r="P2054" i="2"/>
  <c r="Q2054" i="2"/>
  <c r="F2048" i="2"/>
  <c r="P2048" i="2"/>
  <c r="Q2048" i="2"/>
  <c r="F2042" i="2"/>
  <c r="P2042" i="2"/>
  <c r="Q2042" i="2"/>
  <c r="F2036" i="2"/>
  <c r="P2036" i="2"/>
  <c r="Q2036" i="2"/>
  <c r="F2030" i="2"/>
  <c r="Q2030" i="2"/>
  <c r="P2030" i="2"/>
  <c r="F2024" i="2"/>
  <c r="P2024" i="2"/>
  <c r="F2018" i="2"/>
  <c r="P2018" i="2"/>
  <c r="Q2018" i="2"/>
  <c r="F2012" i="2"/>
  <c r="P2012" i="2"/>
  <c r="Q2012" i="2"/>
  <c r="F2006" i="2"/>
  <c r="P2006" i="2"/>
  <c r="Q2006" i="2"/>
  <c r="P1994" i="2"/>
  <c r="Q1994" i="2"/>
  <c r="P1988" i="2"/>
  <c r="Q1988" i="2"/>
  <c r="P1982" i="2"/>
  <c r="Q1982" i="2"/>
  <c r="Q1970" i="2"/>
  <c r="P1970" i="2"/>
  <c r="P1964" i="2"/>
  <c r="Q1964" i="2"/>
  <c r="Q1952" i="2"/>
  <c r="P1952" i="2"/>
  <c r="P1940" i="2"/>
  <c r="Q1940" i="2"/>
  <c r="P1928" i="2"/>
  <c r="Q1928" i="2"/>
  <c r="P1922" i="2"/>
  <c r="Q1922" i="2"/>
  <c r="P1916" i="2"/>
  <c r="Q1916" i="2"/>
  <c r="Q1898" i="2"/>
  <c r="P1898" i="2"/>
  <c r="P1892" i="2"/>
  <c r="Q1892" i="2"/>
  <c r="P1880" i="2"/>
  <c r="Q1880" i="2"/>
  <c r="Q1874" i="2"/>
  <c r="P1874" i="2"/>
  <c r="P1868" i="2"/>
  <c r="Q1868" i="2"/>
  <c r="Q1856" i="2"/>
  <c r="P1856" i="2"/>
  <c r="P1850" i="2"/>
  <c r="Q1850" i="2"/>
  <c r="P1844" i="2"/>
  <c r="Q1844" i="2"/>
  <c r="P1838" i="2"/>
  <c r="Q1838" i="2"/>
  <c r="P1832" i="2"/>
  <c r="Q1832" i="2"/>
  <c r="P1826" i="2"/>
  <c r="Q1826" i="2"/>
  <c r="Q1820" i="2"/>
  <c r="P1820" i="2"/>
  <c r="P1814" i="2"/>
  <c r="Q1814" i="2"/>
  <c r="P1808" i="2"/>
  <c r="Q1808" i="2"/>
  <c r="P1796" i="2"/>
  <c r="Q1796" i="2"/>
  <c r="Q1790" i="2"/>
  <c r="P1790" i="2"/>
  <c r="P1784" i="2"/>
  <c r="Q1784" i="2"/>
  <c r="P1778" i="2"/>
  <c r="Q1778" i="2"/>
  <c r="P1760" i="2"/>
  <c r="Q1760" i="2"/>
  <c r="Q1754" i="2"/>
  <c r="P1754" i="2"/>
  <c r="Q1748" i="2"/>
  <c r="P1748" i="2"/>
  <c r="P1742" i="2"/>
  <c r="Q1742" i="2"/>
  <c r="P1736" i="2"/>
  <c r="Q1736" i="2"/>
  <c r="P1730" i="2"/>
  <c r="Q1730" i="2"/>
  <c r="Q1712" i="2"/>
  <c r="P1712" i="2"/>
  <c r="P1706" i="2"/>
  <c r="Q1706" i="2"/>
  <c r="P1700" i="2"/>
  <c r="Q1700" i="2"/>
  <c r="P1694" i="2"/>
  <c r="Q1694" i="2"/>
  <c r="P1682" i="2"/>
  <c r="Q1682" i="2"/>
  <c r="P1670" i="2"/>
  <c r="Q1670" i="2"/>
  <c r="P1664" i="2"/>
  <c r="Q1664" i="2"/>
  <c r="Q1658" i="2"/>
  <c r="P1658" i="2"/>
  <c r="P1652" i="2"/>
  <c r="Q1652" i="2"/>
  <c r="P1646" i="2"/>
  <c r="Q1646" i="2"/>
  <c r="P1640" i="2"/>
  <c r="Q1640" i="2"/>
  <c r="Q1634" i="2"/>
  <c r="P1634" i="2"/>
  <c r="P1628" i="2"/>
  <c r="Q1628" i="2"/>
  <c r="P1622" i="2"/>
  <c r="Q1622" i="2"/>
  <c r="P1616" i="2"/>
  <c r="Q1616" i="2"/>
  <c r="P1604" i="2"/>
  <c r="Q1604" i="2"/>
  <c r="P1598" i="2"/>
  <c r="Q1598" i="2"/>
  <c r="P1586" i="2"/>
  <c r="Q1586" i="2"/>
  <c r="Q1580" i="2"/>
  <c r="P1580" i="2"/>
  <c r="P1574" i="2"/>
  <c r="Q1574" i="2"/>
  <c r="P1568" i="2"/>
  <c r="Q1568" i="2"/>
  <c r="P1562" i="2"/>
  <c r="Q1562" i="2"/>
  <c r="P1550" i="2"/>
  <c r="Q1550" i="2"/>
  <c r="P1544" i="2"/>
  <c r="Q1544" i="2"/>
  <c r="P1538" i="2"/>
  <c r="Q1538" i="2"/>
  <c r="Q1526" i="2"/>
  <c r="P1526" i="2"/>
  <c r="P1520" i="2"/>
  <c r="Q1520" i="2"/>
  <c r="P1508" i="2"/>
  <c r="Q1508" i="2"/>
  <c r="Q1502" i="2"/>
  <c r="P1502" i="2"/>
  <c r="P1490" i="2"/>
  <c r="Q1490" i="2"/>
  <c r="P1484" i="2"/>
  <c r="Q1484" i="2"/>
  <c r="Q1478" i="2"/>
  <c r="P1478" i="2"/>
  <c r="P1472" i="2"/>
  <c r="Q1472" i="2"/>
  <c r="P1466" i="2"/>
  <c r="Q1466" i="2"/>
  <c r="P1454" i="2"/>
  <c r="Q1454" i="2"/>
  <c r="P1448" i="2"/>
  <c r="Q1448" i="2"/>
  <c r="Q1436" i="2"/>
  <c r="P1436" i="2"/>
  <c r="P1430" i="2"/>
  <c r="Q1430" i="2"/>
  <c r="P1424" i="2"/>
  <c r="Q1424" i="2"/>
  <c r="Q1412" i="2"/>
  <c r="P1412" i="2"/>
  <c r="P1406" i="2"/>
  <c r="Q1406" i="2"/>
  <c r="P1388" i="2"/>
  <c r="Q1388" i="2"/>
  <c r="P1382" i="2"/>
  <c r="Q1382" i="2"/>
  <c r="P1376" i="2"/>
  <c r="Q1376" i="2"/>
  <c r="P1370" i="2"/>
  <c r="Q1370" i="2"/>
  <c r="P1358" i="2"/>
  <c r="Q1358" i="2"/>
  <c r="P1352" i="2"/>
  <c r="Q1352" i="2"/>
  <c r="P1346" i="2"/>
  <c r="Q1346" i="2"/>
  <c r="P1340" i="2"/>
  <c r="Q1340" i="2"/>
  <c r="P1334" i="2"/>
  <c r="Q1334" i="2"/>
  <c r="P1328" i="2"/>
  <c r="Q1328" i="2"/>
  <c r="Q1322" i="2"/>
  <c r="P1322" i="2"/>
  <c r="P1316" i="2"/>
  <c r="Q1316" i="2"/>
  <c r="P1310" i="2"/>
  <c r="Q1310" i="2"/>
  <c r="P1304" i="2"/>
  <c r="Q1304" i="2"/>
  <c r="P1292" i="2"/>
  <c r="Q1292" i="2"/>
  <c r="P1280" i="2"/>
  <c r="Q1280" i="2"/>
  <c r="P1274" i="2"/>
  <c r="Q1274" i="2"/>
  <c r="P1262" i="2"/>
  <c r="Q1262" i="2"/>
  <c r="P1256" i="2"/>
  <c r="Q1256" i="2"/>
  <c r="Q1244" i="2"/>
  <c r="P1244" i="2"/>
  <c r="P1238" i="2"/>
  <c r="Q1238" i="2"/>
  <c r="P1232" i="2"/>
  <c r="Q1232" i="2"/>
  <c r="P1226" i="2"/>
  <c r="Q1226" i="2"/>
  <c r="Q1214" i="2"/>
  <c r="P1214" i="2"/>
  <c r="P1208" i="2"/>
  <c r="Q1208" i="2"/>
  <c r="P1196" i="2"/>
  <c r="Q1196" i="2"/>
  <c r="P1190" i="2"/>
  <c r="Q1190" i="2"/>
  <c r="Q1184" i="2"/>
  <c r="P1184" i="2"/>
  <c r="P1172" i="2"/>
  <c r="Q1172" i="2"/>
  <c r="P1166" i="2"/>
  <c r="Q1166" i="2"/>
  <c r="Q1160" i="2"/>
  <c r="P1160" i="2"/>
  <c r="P1154" i="2"/>
  <c r="Q1154" i="2"/>
  <c r="P1148" i="2"/>
  <c r="Q1148" i="2"/>
  <c r="P1142" i="2"/>
  <c r="Q1142" i="2"/>
  <c r="Q1136" i="2"/>
  <c r="P1136" i="2"/>
  <c r="P1124" i="2"/>
  <c r="Q1124" i="2"/>
  <c r="P1112" i="2"/>
  <c r="Q1112" i="2"/>
  <c r="Q1100" i="2"/>
  <c r="P1100" i="2"/>
  <c r="P1088" i="2"/>
  <c r="Q1088" i="2"/>
  <c r="P1082" i="2"/>
  <c r="Q1082" i="2"/>
  <c r="P1076" i="2"/>
  <c r="Q1076" i="2"/>
  <c r="P1064" i="2"/>
  <c r="Q1064" i="2"/>
  <c r="P1058" i="2"/>
  <c r="Q1058" i="2"/>
  <c r="P1052" i="2"/>
  <c r="Q1052" i="2"/>
  <c r="Q1046" i="2"/>
  <c r="P1046" i="2"/>
  <c r="P1040" i="2"/>
  <c r="Q1040" i="2"/>
  <c r="P1034" i="2"/>
  <c r="Q1034" i="2"/>
  <c r="P1028" i="2"/>
  <c r="Q1028" i="2"/>
  <c r="Q1022" i="2"/>
  <c r="P1022" i="2"/>
  <c r="P1010" i="2"/>
  <c r="Q1010" i="2"/>
  <c r="Q998" i="2"/>
  <c r="P998" i="2"/>
  <c r="P986" i="2"/>
  <c r="Q986" i="2"/>
  <c r="Q974" i="2"/>
  <c r="P974" i="2"/>
  <c r="P962" i="2"/>
  <c r="Q962" i="2"/>
  <c r="Q950" i="2"/>
  <c r="P950" i="2"/>
  <c r="P944" i="2"/>
  <c r="Q944" i="2"/>
  <c r="P938" i="2"/>
  <c r="Q938" i="2"/>
  <c r="P926" i="2"/>
  <c r="Q926" i="2"/>
  <c r="P920" i="2"/>
  <c r="Q920" i="2"/>
  <c r="P914" i="2"/>
  <c r="Q914" i="2"/>
  <c r="P908" i="2"/>
  <c r="Q908" i="2"/>
  <c r="P896" i="2"/>
  <c r="Q896" i="2"/>
  <c r="P890" i="2"/>
  <c r="Q890" i="2"/>
  <c r="Q878" i="2"/>
  <c r="P878" i="2"/>
  <c r="P872" i="2"/>
  <c r="Q872" i="2"/>
  <c r="P17" i="2"/>
  <c r="Q17" i="2"/>
  <c r="P11" i="2"/>
  <c r="Q11" i="2"/>
  <c r="P5" i="2"/>
  <c r="Q5" i="2"/>
  <c r="F2463" i="2"/>
  <c r="Q2463" i="2"/>
  <c r="P2463" i="2"/>
  <c r="F2457" i="2"/>
  <c r="P2457" i="2"/>
  <c r="Q2457" i="2"/>
  <c r="F2451" i="2"/>
  <c r="P2451" i="2"/>
  <c r="Q2451" i="2"/>
  <c r="F2445" i="2"/>
  <c r="P2445" i="2"/>
  <c r="F2439" i="2"/>
  <c r="P2439" i="2"/>
  <c r="Q2439" i="2"/>
  <c r="F2433" i="2"/>
  <c r="P2433" i="2"/>
  <c r="F2427" i="2"/>
  <c r="P2427" i="2"/>
  <c r="Q2427" i="2"/>
  <c r="F2421" i="2"/>
  <c r="Q2421" i="2"/>
  <c r="P2421" i="2"/>
  <c r="F2415" i="2"/>
  <c r="P2415" i="2"/>
  <c r="F2409" i="2"/>
  <c r="P2409" i="2"/>
  <c r="F2403" i="2"/>
  <c r="P2403" i="2"/>
  <c r="Q2403" i="2"/>
  <c r="F2397" i="2"/>
  <c r="Q2397" i="2"/>
  <c r="P2397" i="2"/>
  <c r="F2391" i="2"/>
  <c r="P2391" i="2"/>
  <c r="Q2391" i="2"/>
  <c r="F2385" i="2"/>
  <c r="P2385" i="2"/>
  <c r="Q2385" i="2"/>
  <c r="F2379" i="2"/>
  <c r="P2379" i="2"/>
  <c r="F2373" i="2"/>
  <c r="P2373" i="2"/>
  <c r="F2367" i="2"/>
  <c r="P2367" i="2"/>
  <c r="Q2367" i="2"/>
  <c r="F2361" i="2"/>
  <c r="P2361" i="2"/>
  <c r="F2355" i="2"/>
  <c r="P2355" i="2"/>
  <c r="Q2355" i="2"/>
  <c r="F2349" i="2"/>
  <c r="Q2349" i="2"/>
  <c r="P2349" i="2"/>
  <c r="F2343" i="2"/>
  <c r="P2343" i="2"/>
  <c r="Q2343" i="2"/>
  <c r="F2337" i="2"/>
  <c r="P2337" i="2"/>
  <c r="Q2337" i="2"/>
  <c r="F2331" i="2"/>
  <c r="P2331" i="2"/>
  <c r="F2325" i="2"/>
  <c r="Q2325" i="2"/>
  <c r="P2325" i="2"/>
  <c r="F2319" i="2"/>
  <c r="P2319" i="2"/>
  <c r="Q2319" i="2"/>
  <c r="F2313" i="2"/>
  <c r="P2313" i="2"/>
  <c r="Q2313" i="2"/>
  <c r="F2307" i="2"/>
  <c r="P2307" i="2"/>
  <c r="Q2307" i="2"/>
  <c r="F2301" i="2"/>
  <c r="P2301" i="2"/>
  <c r="Q2301" i="2"/>
  <c r="F2295" i="2"/>
  <c r="Q2295" i="2"/>
  <c r="P2295" i="2"/>
  <c r="F2289" i="2"/>
  <c r="P2289" i="2"/>
  <c r="F2283" i="2"/>
  <c r="P2283" i="2"/>
  <c r="F2277" i="2"/>
  <c r="P2277" i="2"/>
  <c r="Q2277" i="2"/>
  <c r="F2271" i="2"/>
  <c r="P2271" i="2"/>
  <c r="F2265" i="2"/>
  <c r="P2265" i="2"/>
  <c r="Q2265" i="2"/>
  <c r="F2259" i="2"/>
  <c r="P2259" i="2"/>
  <c r="F2253" i="2"/>
  <c r="P2253" i="2"/>
  <c r="Q2253" i="2"/>
  <c r="F2247" i="2"/>
  <c r="P2247" i="2"/>
  <c r="F2241" i="2"/>
  <c r="P2241" i="2"/>
  <c r="Q2241" i="2"/>
  <c r="F2235" i="2"/>
  <c r="P2235" i="2"/>
  <c r="Q2235" i="2"/>
  <c r="F2229" i="2"/>
  <c r="P2229" i="2"/>
  <c r="Q2229" i="2"/>
  <c r="F2223" i="2"/>
  <c r="P2223" i="2"/>
  <c r="Q2223" i="2"/>
  <c r="F2217" i="2"/>
  <c r="P2217" i="2"/>
  <c r="Q2217" i="2"/>
  <c r="F2211" i="2"/>
  <c r="P2211" i="2"/>
  <c r="Q2211" i="2"/>
  <c r="F2205" i="2"/>
  <c r="P2205" i="2"/>
  <c r="F2199" i="2"/>
  <c r="Q2199" i="2"/>
  <c r="P2199" i="2"/>
  <c r="F2193" i="2"/>
  <c r="P2193" i="2"/>
  <c r="F2187" i="2"/>
  <c r="P2187" i="2"/>
  <c r="Q2187" i="2"/>
  <c r="F2181" i="2"/>
  <c r="P2181" i="2"/>
  <c r="Q2181" i="2"/>
  <c r="F2175" i="2"/>
  <c r="Q2175" i="2"/>
  <c r="P2175" i="2"/>
  <c r="F2169" i="2"/>
  <c r="P2169" i="2"/>
  <c r="Q2169" i="2"/>
  <c r="F2163" i="2"/>
  <c r="P2163" i="2"/>
  <c r="Q2163" i="2"/>
  <c r="P860" i="2"/>
  <c r="Q860" i="2"/>
  <c r="P854" i="2"/>
  <c r="Q854" i="2"/>
  <c r="P848" i="2"/>
  <c r="Q848" i="2"/>
  <c r="P842" i="2"/>
  <c r="Q842" i="2"/>
  <c r="P836" i="2"/>
  <c r="Q836" i="2"/>
  <c r="P830" i="2"/>
  <c r="Q830" i="2"/>
  <c r="P824" i="2"/>
  <c r="Q824" i="2"/>
  <c r="P818" i="2"/>
  <c r="Q818" i="2"/>
  <c r="P812" i="2"/>
  <c r="Q812" i="2"/>
  <c r="P806" i="2"/>
  <c r="Q806" i="2"/>
  <c r="P794" i="2"/>
  <c r="Q794" i="2"/>
  <c r="P788" i="2"/>
  <c r="Q788" i="2"/>
  <c r="P782" i="2"/>
  <c r="Q782" i="2"/>
  <c r="Q776" i="2"/>
  <c r="P776" i="2"/>
  <c r="P770" i="2"/>
  <c r="Q770" i="2"/>
  <c r="P764" i="2"/>
  <c r="Q764" i="2"/>
  <c r="P758" i="2"/>
  <c r="Q758" i="2"/>
  <c r="Q752" i="2"/>
  <c r="P752" i="2"/>
  <c r="P746" i="2"/>
  <c r="Q746" i="2"/>
  <c r="Q740" i="2"/>
  <c r="P740" i="2"/>
  <c r="Q734" i="2"/>
  <c r="P734" i="2"/>
  <c r="Q728" i="2"/>
  <c r="P728" i="2"/>
  <c r="P722" i="2"/>
  <c r="Q722" i="2"/>
  <c r="P716" i="2"/>
  <c r="Q716" i="2"/>
  <c r="Q704" i="2"/>
  <c r="P704" i="2"/>
  <c r="Q698" i="2"/>
  <c r="P698" i="2"/>
  <c r="P686" i="2"/>
  <c r="Q686" i="2"/>
  <c r="Q674" i="2"/>
  <c r="P674" i="2"/>
  <c r="P668" i="2"/>
  <c r="Q668" i="2"/>
  <c r="P662" i="2"/>
  <c r="Q662" i="2"/>
  <c r="P656" i="2"/>
  <c r="Q656" i="2"/>
  <c r="Q650" i="2"/>
  <c r="P650" i="2"/>
  <c r="P644" i="2"/>
  <c r="Q644" i="2"/>
  <c r="P638" i="2"/>
  <c r="Q638" i="2"/>
  <c r="Q626" i="2"/>
  <c r="P626" i="2"/>
  <c r="P620" i="2"/>
  <c r="Q620" i="2"/>
  <c r="P614" i="2"/>
  <c r="Q614" i="2"/>
  <c r="P608" i="2"/>
  <c r="Q608" i="2"/>
  <c r="Q602" i="2"/>
  <c r="P602" i="2"/>
  <c r="P596" i="2"/>
  <c r="Q596" i="2"/>
  <c r="P590" i="2"/>
  <c r="Q590" i="2"/>
  <c r="P584" i="2"/>
  <c r="Q584" i="2"/>
  <c r="P572" i="2"/>
  <c r="Q572" i="2"/>
  <c r="P566" i="2"/>
  <c r="Q566" i="2"/>
  <c r="P560" i="2"/>
  <c r="Q560" i="2"/>
  <c r="Q554" i="2"/>
  <c r="P554" i="2"/>
  <c r="P548" i="2"/>
  <c r="Q548" i="2"/>
  <c r="P542" i="2"/>
  <c r="Q542" i="2"/>
  <c r="Q530" i="2"/>
  <c r="P530" i="2"/>
  <c r="P518" i="2"/>
  <c r="Q518" i="2"/>
  <c r="Q506" i="2"/>
  <c r="P506" i="2"/>
  <c r="P500" i="2"/>
  <c r="Q500" i="2"/>
  <c r="P494" i="2"/>
  <c r="Q494" i="2"/>
  <c r="P488" i="2"/>
  <c r="Q488" i="2"/>
  <c r="P476" i="2"/>
  <c r="Q476" i="2"/>
  <c r="P464" i="2"/>
  <c r="Q464" i="2"/>
  <c r="P452" i="2"/>
  <c r="Q452" i="2"/>
  <c r="P440" i="2"/>
  <c r="Q440" i="2"/>
  <c r="P434" i="2"/>
  <c r="Q434" i="2"/>
  <c r="P428" i="2"/>
  <c r="Q428" i="2"/>
  <c r="P422" i="2"/>
  <c r="Q422" i="2"/>
  <c r="P410" i="2"/>
  <c r="Q410" i="2"/>
  <c r="P398" i="2"/>
  <c r="Q398" i="2"/>
  <c r="P392" i="2"/>
  <c r="Q392" i="2"/>
  <c r="Q380" i="2"/>
  <c r="P380" i="2"/>
  <c r="P368" i="2"/>
  <c r="Q368" i="2"/>
  <c r="Q356" i="2"/>
  <c r="P356" i="2"/>
  <c r="P350" i="2"/>
  <c r="Q350" i="2"/>
  <c r="P344" i="2"/>
  <c r="Q344" i="2"/>
  <c r="P338" i="2"/>
  <c r="Q338" i="2"/>
  <c r="Q332" i="2"/>
  <c r="P332" i="2"/>
  <c r="P326" i="2"/>
  <c r="Q326" i="2"/>
  <c r="P320" i="2"/>
  <c r="Q320" i="2"/>
  <c r="P314" i="2"/>
  <c r="Q314" i="2"/>
  <c r="Q308" i="2"/>
  <c r="P308" i="2"/>
  <c r="P302" i="2"/>
  <c r="Q302" i="2"/>
  <c r="P296" i="2"/>
  <c r="Q296" i="2"/>
  <c r="P290" i="2"/>
  <c r="Q290" i="2"/>
  <c r="Q284" i="2"/>
  <c r="P284" i="2"/>
  <c r="P272" i="2"/>
  <c r="Q272" i="2"/>
  <c r="P266" i="2"/>
  <c r="Q266" i="2"/>
  <c r="P260" i="2"/>
  <c r="Q260" i="2"/>
  <c r="P254" i="2"/>
  <c r="Q254" i="2"/>
  <c r="P248" i="2"/>
  <c r="Q248" i="2"/>
  <c r="P236" i="2"/>
  <c r="Q236" i="2"/>
  <c r="Q230" i="2"/>
  <c r="P230" i="2"/>
  <c r="P218" i="2"/>
  <c r="Q218" i="2"/>
  <c r="P212" i="2"/>
  <c r="Q212" i="2"/>
  <c r="Q206" i="2"/>
  <c r="P206" i="2"/>
  <c r="P194" i="2"/>
  <c r="Q194" i="2"/>
  <c r="Q182" i="2"/>
  <c r="P182" i="2"/>
  <c r="P170" i="2"/>
  <c r="Q170" i="2"/>
  <c r="P164" i="2"/>
  <c r="Q164" i="2"/>
  <c r="Q158" i="2"/>
  <c r="P158" i="2"/>
  <c r="P152" i="2"/>
  <c r="Q152" i="2"/>
  <c r="P146" i="2"/>
  <c r="Q146" i="2"/>
  <c r="P140" i="2"/>
  <c r="Q140" i="2"/>
  <c r="P128" i="2"/>
  <c r="Q128" i="2"/>
  <c r="P116" i="2"/>
  <c r="Q116" i="2"/>
  <c r="Q110" i="2"/>
  <c r="P110" i="2"/>
  <c r="P104" i="2"/>
  <c r="Q104" i="2"/>
  <c r="P92" i="2"/>
  <c r="Q92" i="2"/>
  <c r="P80" i="2"/>
  <c r="Q80" i="2"/>
  <c r="P74" i="2"/>
  <c r="Q74" i="2"/>
  <c r="P68" i="2"/>
  <c r="Q68" i="2"/>
  <c r="P62" i="2"/>
  <c r="Q62" i="2"/>
  <c r="Q56" i="2"/>
  <c r="P56" i="2"/>
  <c r="P44" i="2"/>
  <c r="Q44" i="2"/>
  <c r="Q32" i="2"/>
  <c r="P32" i="2"/>
  <c r="P26" i="2"/>
  <c r="Q26" i="2"/>
  <c r="P2003" i="2"/>
  <c r="Q1654" i="2"/>
  <c r="F2157" i="2"/>
  <c r="P2157" i="2"/>
  <c r="F2151" i="2"/>
  <c r="Q2151" i="2"/>
  <c r="P2151" i="2"/>
  <c r="F2145" i="2"/>
  <c r="P2145" i="2"/>
  <c r="Q2145" i="2"/>
  <c r="F2139" i="2"/>
  <c r="P2139" i="2"/>
  <c r="F2133" i="2"/>
  <c r="P2133" i="2"/>
  <c r="Q2133" i="2"/>
  <c r="F2127" i="2"/>
  <c r="Q2127" i="2"/>
  <c r="F2121" i="2"/>
  <c r="P2121" i="2"/>
  <c r="Q2121" i="2"/>
  <c r="F2115" i="2"/>
  <c r="P2115" i="2"/>
  <c r="Q2115" i="2"/>
  <c r="F2109" i="2"/>
  <c r="P2109" i="2"/>
  <c r="F2103" i="2"/>
  <c r="P2103" i="2"/>
  <c r="F2097" i="2"/>
  <c r="P2097" i="2"/>
  <c r="Q2097" i="2"/>
  <c r="F2091" i="2"/>
  <c r="P2091" i="2"/>
  <c r="Q2091" i="2"/>
  <c r="F2085" i="2"/>
  <c r="P2085" i="2"/>
  <c r="F2079" i="2"/>
  <c r="P2079" i="2"/>
  <c r="Q2079" i="2"/>
  <c r="F2073" i="2"/>
  <c r="P2073" i="2"/>
  <c r="Q2073" i="2"/>
  <c r="F2067" i="2"/>
  <c r="P2067" i="2"/>
  <c r="Q2067" i="2"/>
  <c r="F2061" i="2"/>
  <c r="P2061" i="2"/>
  <c r="Q2061" i="2"/>
  <c r="F2055" i="2"/>
  <c r="P2055" i="2"/>
  <c r="Q2055" i="2"/>
  <c r="F2049" i="2"/>
  <c r="P2049" i="2"/>
  <c r="Q2049" i="2"/>
  <c r="F2043" i="2"/>
  <c r="P2043" i="2"/>
  <c r="F2037" i="2"/>
  <c r="Q2037" i="2"/>
  <c r="P2037" i="2"/>
  <c r="F2031" i="2"/>
  <c r="P2031" i="2"/>
  <c r="Q2031" i="2"/>
  <c r="F2025" i="2"/>
  <c r="P2025" i="2"/>
  <c r="Q2025" i="2"/>
  <c r="F2019" i="2"/>
  <c r="P2019" i="2"/>
  <c r="F2013" i="2"/>
  <c r="Q2013" i="2"/>
  <c r="P2013" i="2"/>
  <c r="F2007" i="2"/>
  <c r="P2007" i="2"/>
  <c r="Q2007" i="2"/>
  <c r="P2001" i="2"/>
  <c r="Q2001" i="2"/>
  <c r="P1995" i="2"/>
  <c r="Q1995" i="2"/>
  <c r="P1989" i="2"/>
  <c r="Q1989" i="2"/>
  <c r="P1983" i="2"/>
  <c r="Q1983" i="2"/>
  <c r="P1977" i="2"/>
  <c r="Q1977" i="2"/>
  <c r="P1965" i="2"/>
  <c r="Q1965" i="2"/>
  <c r="Q1959" i="2"/>
  <c r="P1959" i="2"/>
  <c r="Q1953" i="2"/>
  <c r="P1953" i="2"/>
  <c r="P1947" i="2"/>
  <c r="Q1947" i="2"/>
  <c r="P1941" i="2"/>
  <c r="Q1941" i="2"/>
  <c r="P1935" i="2"/>
  <c r="Q1935" i="2"/>
  <c r="Q1929" i="2"/>
  <c r="P1929" i="2"/>
  <c r="P1923" i="2"/>
  <c r="Q1923" i="2"/>
  <c r="Q1905" i="2"/>
  <c r="P1905" i="2"/>
  <c r="P1893" i="2"/>
  <c r="Q1893" i="2"/>
  <c r="P1887" i="2"/>
  <c r="Q1887" i="2"/>
  <c r="Q1881" i="2"/>
  <c r="P1881" i="2"/>
  <c r="P1869" i="2"/>
  <c r="Q1869" i="2"/>
  <c r="Q1863" i="2"/>
  <c r="P1863" i="2"/>
  <c r="P1851" i="2"/>
  <c r="Q1851" i="2"/>
  <c r="P1839" i="2"/>
  <c r="Q1839" i="2"/>
  <c r="P1833" i="2"/>
  <c r="Q1833" i="2"/>
  <c r="P1821" i="2"/>
  <c r="Q1821" i="2"/>
  <c r="P1815" i="2"/>
  <c r="Q1815" i="2"/>
  <c r="Q1809" i="2"/>
  <c r="P1809" i="2"/>
  <c r="P1803" i="2"/>
  <c r="Q1803" i="2"/>
  <c r="P1791" i="2"/>
  <c r="Q1791" i="2"/>
  <c r="P1785" i="2"/>
  <c r="Q1785" i="2"/>
  <c r="P1779" i="2"/>
  <c r="Q1779" i="2"/>
  <c r="Q1773" i="2"/>
  <c r="P1773" i="2"/>
  <c r="P1767" i="2"/>
  <c r="Q1767" i="2"/>
  <c r="Q1761" i="2"/>
  <c r="P1761" i="2"/>
  <c r="P1743" i="2"/>
  <c r="Q1743" i="2"/>
  <c r="P1725" i="2"/>
  <c r="Q1725" i="2"/>
  <c r="Q1719" i="2"/>
  <c r="P1719" i="2"/>
  <c r="Q1713" i="2"/>
  <c r="P1713" i="2"/>
  <c r="P1707" i="2"/>
  <c r="Q1707" i="2"/>
  <c r="P1701" i="2"/>
  <c r="Q1701" i="2"/>
  <c r="P1695" i="2"/>
  <c r="Q1695" i="2"/>
  <c r="P1689" i="2"/>
  <c r="Q1689" i="2"/>
  <c r="P1683" i="2"/>
  <c r="Q1683" i="2"/>
  <c r="P1677" i="2"/>
  <c r="Q1677" i="2"/>
  <c r="Q1665" i="2"/>
  <c r="P1665" i="2"/>
  <c r="P1653" i="2"/>
  <c r="Q1653" i="2"/>
  <c r="Q1641" i="2"/>
  <c r="P1641" i="2"/>
  <c r="P1629" i="2"/>
  <c r="Q1629" i="2"/>
  <c r="Q1617" i="2"/>
  <c r="P1617" i="2"/>
  <c r="P1611" i="2"/>
  <c r="Q1611" i="2"/>
  <c r="P1605" i="2"/>
  <c r="Q1605" i="2"/>
  <c r="P1599" i="2"/>
  <c r="Q1599" i="2"/>
  <c r="P1593" i="2"/>
  <c r="Q1593" i="2"/>
  <c r="P1581" i="2"/>
  <c r="Q1581" i="2"/>
  <c r="P1575" i="2"/>
  <c r="Q1575" i="2"/>
  <c r="P1557" i="2"/>
  <c r="Q1557" i="2"/>
  <c r="P1551" i="2"/>
  <c r="Q1551" i="2"/>
  <c r="P1545" i="2"/>
  <c r="Q1545" i="2"/>
  <c r="P1539" i="2"/>
  <c r="Q1539" i="2"/>
  <c r="Q1533" i="2"/>
  <c r="P1533" i="2"/>
  <c r="P1527" i="2"/>
  <c r="Q1527" i="2"/>
  <c r="P1521" i="2"/>
  <c r="Q1521" i="2"/>
  <c r="P1515" i="2"/>
  <c r="Q1515" i="2"/>
  <c r="Q1509" i="2"/>
  <c r="P1509" i="2"/>
  <c r="P1497" i="2"/>
  <c r="Q1497" i="2"/>
  <c r="P1491" i="2"/>
  <c r="Q1491" i="2"/>
  <c r="P1479" i="2"/>
  <c r="Q1479" i="2"/>
  <c r="P1473" i="2"/>
  <c r="Q1473" i="2"/>
  <c r="Q1467" i="2"/>
  <c r="P1467" i="2"/>
  <c r="P1461" i="2"/>
  <c r="Q1461" i="2"/>
  <c r="P1455" i="2"/>
  <c r="Q1455" i="2"/>
  <c r="Q1443" i="2"/>
  <c r="P1443" i="2"/>
  <c r="P1437" i="2"/>
  <c r="Q1437" i="2"/>
  <c r="P1425" i="2"/>
  <c r="Q1425" i="2"/>
  <c r="Q1419" i="2"/>
  <c r="P1419" i="2"/>
  <c r="P1413" i="2"/>
  <c r="Q1413" i="2"/>
  <c r="P1401" i="2"/>
  <c r="Q1401" i="2"/>
  <c r="P1395" i="2"/>
  <c r="Q1395" i="2"/>
  <c r="P1389" i="2"/>
  <c r="Q1389" i="2"/>
  <c r="P1383" i="2"/>
  <c r="Q1383" i="2"/>
  <c r="P1371" i="2"/>
  <c r="Q1371" i="2"/>
  <c r="P1365" i="2"/>
  <c r="Q1365" i="2"/>
  <c r="P1353" i="2"/>
  <c r="Q1353" i="2"/>
  <c r="P1341" i="2"/>
  <c r="Q1341" i="2"/>
  <c r="P1329" i="2"/>
  <c r="Q1329" i="2"/>
  <c r="P1323" i="2"/>
  <c r="Q1323" i="2"/>
  <c r="P1317" i="2"/>
  <c r="Q1317" i="2"/>
  <c r="Q1305" i="2"/>
  <c r="P1305" i="2"/>
  <c r="P1299" i="2"/>
  <c r="Q1299" i="2"/>
  <c r="P1293" i="2"/>
  <c r="Q1293" i="2"/>
  <c r="P1287" i="2"/>
  <c r="Q1287" i="2"/>
  <c r="Q1281" i="2"/>
  <c r="P1281" i="2"/>
  <c r="P1275" i="2"/>
  <c r="Q1275" i="2"/>
  <c r="P1269" i="2"/>
  <c r="Q1269" i="2"/>
  <c r="P1263" i="2"/>
  <c r="Q1263" i="2"/>
  <c r="P1257" i="2"/>
  <c r="Q1257" i="2"/>
  <c r="Q1251" i="2"/>
  <c r="P1251" i="2"/>
  <c r="P1233" i="2"/>
  <c r="Q1233" i="2"/>
  <c r="P1227" i="2"/>
  <c r="Q1227" i="2"/>
  <c r="Q1221" i="2"/>
  <c r="P1221" i="2"/>
  <c r="P1209" i="2"/>
  <c r="Q1209" i="2"/>
  <c r="P1203" i="2"/>
  <c r="Q1203" i="2"/>
  <c r="P1191" i="2"/>
  <c r="Q1191" i="2"/>
  <c r="P1185" i="2"/>
  <c r="Q1185" i="2"/>
  <c r="P1179" i="2"/>
  <c r="Q1179" i="2"/>
  <c r="Q1167" i="2"/>
  <c r="P1167" i="2"/>
  <c r="P1155" i="2"/>
  <c r="Q1155" i="2"/>
  <c r="Q1143" i="2"/>
  <c r="P1143" i="2"/>
  <c r="P1131" i="2"/>
  <c r="Q1131" i="2"/>
  <c r="P1125" i="2"/>
  <c r="Q1125" i="2"/>
  <c r="Q1119" i="2"/>
  <c r="P1119" i="2"/>
  <c r="P1113" i="2"/>
  <c r="Q1113" i="2"/>
  <c r="Q1107" i="2"/>
  <c r="P1107" i="2"/>
  <c r="P1101" i="2"/>
  <c r="Q1101" i="2"/>
  <c r="P1095" i="2"/>
  <c r="Q1095" i="2"/>
  <c r="P1089" i="2"/>
  <c r="Q1089" i="2"/>
  <c r="Q1083" i="2"/>
  <c r="P1083" i="2"/>
  <c r="P1077" i="2"/>
  <c r="Q1077" i="2"/>
  <c r="P1071" i="2"/>
  <c r="Q1071" i="2"/>
  <c r="P1059" i="2"/>
  <c r="Q1059" i="2"/>
  <c r="Q1053" i="2"/>
  <c r="P1053" i="2"/>
  <c r="P1041" i="2"/>
  <c r="Q1041" i="2"/>
  <c r="Q1029" i="2"/>
  <c r="P1029" i="2"/>
  <c r="P1017" i="2"/>
  <c r="Q1017" i="2"/>
  <c r="P1011" i="2"/>
  <c r="Q1011" i="2"/>
  <c r="Q1005" i="2"/>
  <c r="P1005" i="2"/>
  <c r="P999" i="2"/>
  <c r="Q999" i="2"/>
  <c r="P993" i="2"/>
  <c r="Q993" i="2"/>
  <c r="P987" i="2"/>
  <c r="Q987" i="2"/>
  <c r="Q981" i="2"/>
  <c r="P981" i="2"/>
  <c r="P975" i="2"/>
  <c r="Q975" i="2"/>
  <c r="P969" i="2"/>
  <c r="Q969" i="2"/>
  <c r="P963" i="2"/>
  <c r="Q963" i="2"/>
  <c r="Q957" i="2"/>
  <c r="P957" i="2"/>
  <c r="P951" i="2"/>
  <c r="Q951" i="2"/>
  <c r="P945" i="2"/>
  <c r="Q945" i="2"/>
  <c r="P939" i="2"/>
  <c r="Q939" i="2"/>
  <c r="P933" i="2"/>
  <c r="Q933" i="2"/>
  <c r="P927" i="2"/>
  <c r="Q927" i="2"/>
  <c r="P915" i="2"/>
  <c r="Q915" i="2"/>
  <c r="Q909" i="2"/>
  <c r="P909" i="2"/>
  <c r="P903" i="2"/>
  <c r="Q903" i="2"/>
  <c r="P897" i="2"/>
  <c r="Q897" i="2"/>
  <c r="Q885" i="2"/>
  <c r="P885" i="2"/>
  <c r="P879" i="2"/>
  <c r="Q879" i="2"/>
  <c r="P867" i="2"/>
  <c r="Q867" i="2"/>
  <c r="P861" i="2"/>
  <c r="Q861" i="2"/>
  <c r="P855" i="2"/>
  <c r="Q855" i="2"/>
  <c r="Q849" i="2"/>
  <c r="P849" i="2"/>
  <c r="P843" i="2"/>
  <c r="Q843" i="2"/>
  <c r="P831" i="2"/>
  <c r="Q831" i="2"/>
  <c r="Q819" i="2"/>
  <c r="P819" i="2"/>
  <c r="P813" i="2"/>
  <c r="Q813" i="2"/>
  <c r="P807" i="2"/>
  <c r="Q807" i="2"/>
  <c r="P801" i="2"/>
  <c r="Q801" i="2"/>
  <c r="P789" i="2"/>
  <c r="Q789" i="2"/>
  <c r="P783" i="2"/>
  <c r="Q783" i="2"/>
  <c r="P777" i="2"/>
  <c r="Q777" i="2"/>
  <c r="Q765" i="2"/>
  <c r="P765" i="2"/>
  <c r="P753" i="2"/>
  <c r="Q753" i="2"/>
  <c r="P747" i="2"/>
  <c r="Q747" i="2"/>
  <c r="P741" i="2"/>
  <c r="Q741" i="2"/>
  <c r="Q735" i="2"/>
  <c r="P735" i="2"/>
  <c r="P729" i="2"/>
  <c r="Q729" i="2"/>
  <c r="P723" i="2"/>
  <c r="Q723" i="2"/>
  <c r="P717" i="2"/>
  <c r="Q717" i="2"/>
  <c r="P711" i="2"/>
  <c r="Q711" i="2"/>
  <c r="P699" i="2"/>
  <c r="Q699" i="2"/>
  <c r="P693" i="2"/>
  <c r="Q693" i="2"/>
  <c r="P687" i="2"/>
  <c r="Q687" i="2"/>
  <c r="Q681" i="2"/>
  <c r="P681" i="2"/>
  <c r="P675" i="2"/>
  <c r="Q675" i="2"/>
  <c r="Q669" i="2"/>
  <c r="P669" i="2"/>
  <c r="Q657" i="2"/>
  <c r="P657" i="2"/>
  <c r="P645" i="2"/>
  <c r="Q645" i="2"/>
  <c r="P639" i="2"/>
  <c r="Q639" i="2"/>
  <c r="Q633" i="2"/>
  <c r="P633" i="2"/>
  <c r="P627" i="2"/>
  <c r="Q627" i="2"/>
  <c r="P621" i="2"/>
  <c r="Q621" i="2"/>
  <c r="Q615" i="2"/>
  <c r="P615" i="2"/>
  <c r="P603" i="2"/>
  <c r="Q603" i="2"/>
  <c r="P591" i="2"/>
  <c r="Q591" i="2"/>
  <c r="P579" i="2"/>
  <c r="Q579" i="2"/>
  <c r="P573" i="2"/>
  <c r="Q573" i="2"/>
  <c r="P567" i="2"/>
  <c r="Q567" i="2"/>
  <c r="P555" i="2"/>
  <c r="Q555" i="2"/>
  <c r="Q543" i="2"/>
  <c r="P543" i="2"/>
  <c r="Q537" i="2"/>
  <c r="P537" i="2"/>
  <c r="P531" i="2"/>
  <c r="Q531" i="2"/>
  <c r="P525" i="2"/>
  <c r="Q525" i="2"/>
  <c r="P519" i="2"/>
  <c r="Q519" i="2"/>
  <c r="Q513" i="2"/>
  <c r="P513" i="2"/>
  <c r="P507" i="2"/>
  <c r="Q507" i="2"/>
  <c r="P501" i="2"/>
  <c r="Q501" i="2"/>
  <c r="Q489" i="2"/>
  <c r="P489" i="2"/>
  <c r="P483" i="2"/>
  <c r="Q483" i="2"/>
  <c r="P471" i="2"/>
  <c r="Q471" i="2"/>
  <c r="Q465" i="2"/>
  <c r="P465" i="2"/>
  <c r="P459" i="2"/>
  <c r="Q459" i="2"/>
  <c r="P453" i="2"/>
  <c r="Q453" i="2"/>
  <c r="P447" i="2"/>
  <c r="Q447" i="2"/>
  <c r="Q441" i="2"/>
  <c r="P441" i="2"/>
  <c r="P435" i="2"/>
  <c r="Q435" i="2"/>
  <c r="P423" i="2"/>
  <c r="Q423" i="2"/>
  <c r="P417" i="2"/>
  <c r="Q417" i="2"/>
  <c r="P411" i="2"/>
  <c r="Q411" i="2"/>
  <c r="P405" i="2"/>
  <c r="Q405" i="2"/>
  <c r="P393" i="2"/>
  <c r="Q393" i="2"/>
  <c r="Q387" i="2"/>
  <c r="P387" i="2"/>
  <c r="P381" i="2"/>
  <c r="Q381" i="2"/>
  <c r="P375" i="2"/>
  <c r="Q375" i="2"/>
  <c r="P369" i="2"/>
  <c r="Q369" i="2"/>
  <c r="Q363" i="2"/>
  <c r="P363" i="2"/>
  <c r="P351" i="2"/>
  <c r="Q351" i="2"/>
  <c r="Q339" i="2"/>
  <c r="P339" i="2"/>
  <c r="P327" i="2"/>
  <c r="Q327" i="2"/>
  <c r="Q315" i="2"/>
  <c r="P315" i="2"/>
  <c r="P303" i="2"/>
  <c r="Q303" i="2"/>
  <c r="P297" i="2"/>
  <c r="Q297" i="2"/>
  <c r="P285" i="2"/>
  <c r="Q285" i="2"/>
  <c r="P279" i="2"/>
  <c r="Q279" i="2"/>
  <c r="P273" i="2"/>
  <c r="Q273" i="2"/>
  <c r="Q267" i="2"/>
  <c r="P267" i="2"/>
  <c r="P261" i="2"/>
  <c r="Q261" i="2"/>
  <c r="P255" i="2"/>
  <c r="Q255" i="2"/>
  <c r="P249" i="2"/>
  <c r="Q249" i="2"/>
  <c r="P243" i="2"/>
  <c r="Q243" i="2"/>
  <c r="P231" i="2"/>
  <c r="Q231" i="2"/>
  <c r="P225" i="2"/>
  <c r="Q225" i="2"/>
  <c r="Q213" i="2"/>
  <c r="P213" i="2"/>
  <c r="P201" i="2"/>
  <c r="Q201" i="2"/>
  <c r="P195" i="2"/>
  <c r="Q195" i="2"/>
  <c r="Q189" i="2"/>
  <c r="P189" i="2"/>
  <c r="P183" i="2"/>
  <c r="Q183" i="2"/>
  <c r="P177" i="2"/>
  <c r="Q177" i="2"/>
  <c r="P171" i="2"/>
  <c r="Q171" i="2"/>
  <c r="P159" i="2"/>
  <c r="Q159" i="2"/>
  <c r="P147" i="2"/>
  <c r="Q147" i="2"/>
  <c r="Q141" i="2"/>
  <c r="P141" i="2"/>
  <c r="P135" i="2"/>
  <c r="Q135" i="2"/>
  <c r="P129" i="2"/>
  <c r="Q129" i="2"/>
  <c r="P123" i="2"/>
  <c r="Q123" i="2"/>
  <c r="Q117" i="2"/>
  <c r="P117" i="2"/>
  <c r="P105" i="2"/>
  <c r="Q105" i="2"/>
  <c r="P99" i="2"/>
  <c r="Q99" i="2"/>
  <c r="P93" i="2"/>
  <c r="Q93" i="2"/>
  <c r="P87" i="2"/>
  <c r="Q87" i="2"/>
  <c r="P81" i="2"/>
  <c r="Q81" i="2"/>
  <c r="P69" i="2"/>
  <c r="Q69" i="2"/>
  <c r="Q63" i="2"/>
  <c r="P63" i="2"/>
  <c r="P57" i="2"/>
  <c r="Q57" i="2"/>
  <c r="P51" i="2"/>
  <c r="Q51" i="2"/>
  <c r="P45" i="2"/>
  <c r="Q45" i="2"/>
  <c r="Q39" i="2"/>
  <c r="P39" i="2"/>
  <c r="P33" i="2"/>
  <c r="Q33" i="2"/>
  <c r="Q1972" i="2"/>
  <c r="P1563" i="2"/>
  <c r="Q24" i="2"/>
  <c r="P24" i="2"/>
  <c r="P12" i="2"/>
  <c r="Q12" i="2"/>
  <c r="F2464" i="2"/>
  <c r="P2464" i="2"/>
  <c r="Q2464" i="2"/>
  <c r="F2458" i="2"/>
  <c r="P2458" i="2"/>
  <c r="Q2458" i="2"/>
  <c r="F2452" i="2"/>
  <c r="Q2452" i="2"/>
  <c r="P2452" i="2"/>
  <c r="F2446" i="2"/>
  <c r="P2446" i="2"/>
  <c r="Q2446" i="2"/>
  <c r="F2440" i="2"/>
  <c r="P2440" i="2"/>
  <c r="Q2440" i="2"/>
  <c r="F2434" i="2"/>
  <c r="P2434" i="2"/>
  <c r="Q2434" i="2"/>
  <c r="F2428" i="2"/>
  <c r="Q2428" i="2"/>
  <c r="P2428" i="2"/>
  <c r="F2422" i="2"/>
  <c r="P2422" i="2"/>
  <c r="F2416" i="2"/>
  <c r="P2416" i="2"/>
  <c r="Q2416" i="2"/>
  <c r="F2410" i="2"/>
  <c r="P2410" i="2"/>
  <c r="Q2410" i="2"/>
  <c r="F2404" i="2"/>
  <c r="P2404" i="2"/>
  <c r="F2398" i="2"/>
  <c r="P2398" i="2"/>
  <c r="Q2398" i="2"/>
  <c r="F2392" i="2"/>
  <c r="P2392" i="2"/>
  <c r="F2386" i="2"/>
  <c r="P2386" i="2"/>
  <c r="Q2386" i="2"/>
  <c r="F2380" i="2"/>
  <c r="Q2380" i="2"/>
  <c r="P2380" i="2"/>
  <c r="F2374" i="2"/>
  <c r="P2374" i="2"/>
  <c r="Q2374" i="2"/>
  <c r="F2368" i="2"/>
  <c r="P2368" i="2"/>
  <c r="Q2368" i="2"/>
  <c r="F2362" i="2"/>
  <c r="P2362" i="2"/>
  <c r="Q2362" i="2"/>
  <c r="F2356" i="2"/>
  <c r="P2356" i="2"/>
  <c r="Q2356" i="2"/>
  <c r="F2350" i="2"/>
  <c r="P2350" i="2"/>
  <c r="Q2350" i="2"/>
  <c r="F2344" i="2"/>
  <c r="P2344" i="2"/>
  <c r="F2338" i="2"/>
  <c r="P2338" i="2"/>
  <c r="Q2338" i="2"/>
  <c r="F2332" i="2"/>
  <c r="Q2332" i="2"/>
  <c r="P2332" i="2"/>
  <c r="F2326" i="2"/>
  <c r="P2326" i="2"/>
  <c r="F2320" i="2"/>
  <c r="P2320" i="2"/>
  <c r="Q2320" i="2"/>
  <c r="F2314" i="2"/>
  <c r="P2314" i="2"/>
  <c r="Q2314" i="2"/>
  <c r="F2308" i="2"/>
  <c r="P2308" i="2"/>
  <c r="F2302" i="2"/>
  <c r="P2302" i="2"/>
  <c r="Q2302" i="2"/>
  <c r="F2296" i="2"/>
  <c r="P2296" i="2"/>
  <c r="Q2296" i="2"/>
  <c r="F2290" i="2"/>
  <c r="P2290" i="2"/>
  <c r="Q2290" i="2"/>
  <c r="F2284" i="2"/>
  <c r="P2284" i="2"/>
  <c r="Q2284" i="2"/>
  <c r="F2278" i="2"/>
  <c r="P2278" i="2"/>
  <c r="Q2278" i="2"/>
  <c r="F2272" i="2"/>
  <c r="P2272" i="2"/>
  <c r="Q2272" i="2"/>
  <c r="F2266" i="2"/>
  <c r="P2266" i="2"/>
  <c r="F2260" i="2"/>
  <c r="P2260" i="2"/>
  <c r="Q2260" i="2"/>
  <c r="F2254" i="2"/>
  <c r="P2254" i="2"/>
  <c r="F2248" i="2"/>
  <c r="P2248" i="2"/>
  <c r="Q2248" i="2"/>
  <c r="F2242" i="2"/>
  <c r="P2242" i="2"/>
  <c r="F2236" i="2"/>
  <c r="P2236" i="2"/>
  <c r="Q2236" i="2"/>
  <c r="F2230" i="2"/>
  <c r="P2230" i="2"/>
  <c r="Q2230" i="2"/>
  <c r="F2224" i="2"/>
  <c r="P2224" i="2"/>
  <c r="F2218" i="2"/>
  <c r="P2218" i="2"/>
  <c r="Q2218" i="2"/>
  <c r="F2212" i="2"/>
  <c r="P2212" i="2"/>
  <c r="Q2212" i="2"/>
  <c r="F2206" i="2"/>
  <c r="Q2206" i="2"/>
  <c r="P2206" i="2"/>
  <c r="F2200" i="2"/>
  <c r="P2200" i="2"/>
  <c r="Q2200" i="2"/>
  <c r="F2194" i="2"/>
  <c r="P2194" i="2"/>
  <c r="Q2194" i="2"/>
  <c r="F2188" i="2"/>
  <c r="P2188" i="2"/>
  <c r="F2182" i="2"/>
  <c r="P2182" i="2"/>
  <c r="F2176" i="2"/>
  <c r="P2176" i="2"/>
  <c r="Q2176" i="2"/>
  <c r="F2170" i="2"/>
  <c r="P2170" i="2"/>
  <c r="Q2170" i="2"/>
  <c r="F2164" i="2"/>
  <c r="P2164" i="2"/>
  <c r="Q2164" i="2"/>
  <c r="F2158" i="2"/>
  <c r="Q2158" i="2"/>
  <c r="F2152" i="2"/>
  <c r="P2152" i="2"/>
  <c r="F2146" i="2"/>
  <c r="P2146" i="2"/>
  <c r="Q2146" i="2"/>
  <c r="F2140" i="2"/>
  <c r="P2140" i="2"/>
  <c r="Q2140" i="2"/>
  <c r="F2134" i="2"/>
  <c r="P2134" i="2"/>
  <c r="F2128" i="2"/>
  <c r="P2128" i="2"/>
  <c r="F2122" i="2"/>
  <c r="P2122" i="2"/>
  <c r="F2116" i="2"/>
  <c r="P2116" i="2"/>
  <c r="Q2116" i="2"/>
  <c r="F2110" i="2"/>
  <c r="Q2110" i="2"/>
  <c r="P2110" i="2"/>
  <c r="F2104" i="2"/>
  <c r="P2104" i="2"/>
  <c r="Q2104" i="2"/>
  <c r="F2098" i="2"/>
  <c r="P2098" i="2"/>
  <c r="F2092" i="2"/>
  <c r="P2092" i="2"/>
  <c r="Q2092" i="2"/>
  <c r="F2086" i="2"/>
  <c r="P2086" i="2"/>
  <c r="Q2086" i="2"/>
  <c r="F2080" i="2"/>
  <c r="P2080" i="2"/>
  <c r="F2074" i="2"/>
  <c r="P2074" i="2"/>
  <c r="Q2074" i="2"/>
  <c r="F2068" i="2"/>
  <c r="P2068" i="2"/>
  <c r="Q2068" i="2"/>
  <c r="F2062" i="2"/>
  <c r="P2062" i="2"/>
  <c r="Q2062" i="2"/>
  <c r="F2056" i="2"/>
  <c r="P2056" i="2"/>
  <c r="F2050" i="2"/>
  <c r="P2050" i="2"/>
  <c r="F2044" i="2"/>
  <c r="Q2044" i="2"/>
  <c r="P2044" i="2"/>
  <c r="F2038" i="2"/>
  <c r="P2038" i="2"/>
  <c r="Q2038" i="2"/>
  <c r="F2032" i="2"/>
  <c r="P2032" i="2"/>
  <c r="F2026" i="2"/>
  <c r="P2026" i="2"/>
  <c r="Q2026" i="2"/>
  <c r="F2020" i="2"/>
  <c r="Q2020" i="2"/>
  <c r="P2020" i="2"/>
  <c r="F2014" i="2"/>
  <c r="P2014" i="2"/>
  <c r="F2008" i="2"/>
  <c r="P2008" i="2"/>
  <c r="Q2008" i="2"/>
  <c r="P2002" i="2"/>
  <c r="Q2002" i="2"/>
  <c r="P1990" i="2"/>
  <c r="Q1990" i="2"/>
  <c r="P1978" i="2"/>
  <c r="Q1978" i="2"/>
  <c r="Q1960" i="2"/>
  <c r="P1960" i="2"/>
  <c r="P1954" i="2"/>
  <c r="Q1954" i="2"/>
  <c r="P1948" i="2"/>
  <c r="Q1948" i="2"/>
  <c r="Q1936" i="2"/>
  <c r="P1936" i="2"/>
  <c r="P1924" i="2"/>
  <c r="Q1924" i="2"/>
  <c r="Q1918" i="2"/>
  <c r="P1918" i="2"/>
  <c r="Q1912" i="2"/>
  <c r="P1912" i="2"/>
  <c r="P1906" i="2"/>
  <c r="Q1906" i="2"/>
  <c r="P1900" i="2"/>
  <c r="Q1900" i="2"/>
  <c r="P1894" i="2"/>
  <c r="Q1894" i="2"/>
  <c r="Q1888" i="2"/>
  <c r="P1888" i="2"/>
  <c r="P1876" i="2"/>
  <c r="Q1876" i="2"/>
  <c r="P1870" i="2"/>
  <c r="Q1870" i="2"/>
  <c r="Q1864" i="2"/>
  <c r="P1864" i="2"/>
  <c r="P1858" i="2"/>
  <c r="Q1858" i="2"/>
  <c r="P1852" i="2"/>
  <c r="Q1852" i="2"/>
  <c r="P1846" i="2"/>
  <c r="Q1846" i="2"/>
  <c r="P1834" i="2"/>
  <c r="Q1834" i="2"/>
  <c r="P1828" i="2"/>
  <c r="Q1828" i="2"/>
  <c r="P1816" i="2"/>
  <c r="Q1816" i="2"/>
  <c r="Q1810" i="2"/>
  <c r="P1810" i="2"/>
  <c r="P1804" i="2"/>
  <c r="Q1804" i="2"/>
  <c r="P1798" i="2"/>
  <c r="Q1798" i="2"/>
  <c r="P1786" i="2"/>
  <c r="Q1786" i="2"/>
  <c r="P1774" i="2"/>
  <c r="Q1774" i="2"/>
  <c r="Q1768" i="2"/>
  <c r="P1768" i="2"/>
  <c r="Q1762" i="2"/>
  <c r="P1762" i="2"/>
  <c r="P1756" i="2"/>
  <c r="Q1756" i="2"/>
  <c r="P1750" i="2"/>
  <c r="Q1750" i="2"/>
  <c r="P1744" i="2"/>
  <c r="Q1744" i="2"/>
  <c r="Q1738" i="2"/>
  <c r="P1738" i="2"/>
  <c r="P1732" i="2"/>
  <c r="Q1732" i="2"/>
  <c r="Q1720" i="2"/>
  <c r="P1720" i="2"/>
  <c r="P1708" i="2"/>
  <c r="Q1708" i="2"/>
  <c r="Q1696" i="2"/>
  <c r="P1696" i="2"/>
  <c r="P1690" i="2"/>
  <c r="Q1690" i="2"/>
  <c r="P1678" i="2"/>
  <c r="Q1678" i="2"/>
  <c r="Q1672" i="2"/>
  <c r="P1672" i="2"/>
  <c r="P1666" i="2"/>
  <c r="Q1666" i="2"/>
  <c r="P1660" i="2"/>
  <c r="Q1660" i="2"/>
  <c r="Q1648" i="2"/>
  <c r="P1648" i="2"/>
  <c r="P1642" i="2"/>
  <c r="Q1642" i="2"/>
  <c r="P1636" i="2"/>
  <c r="Q1636" i="2"/>
  <c r="P1630" i="2"/>
  <c r="Q1630" i="2"/>
  <c r="Q1624" i="2"/>
  <c r="P1624" i="2"/>
  <c r="P1612" i="2"/>
  <c r="Q1612" i="2"/>
  <c r="Q1600" i="2"/>
  <c r="P1600" i="2"/>
  <c r="P1594" i="2"/>
  <c r="Q1594" i="2"/>
  <c r="P1588" i="2"/>
  <c r="Q1588" i="2"/>
  <c r="P1582" i="2"/>
  <c r="Q1582" i="2"/>
  <c r="P1576" i="2"/>
  <c r="Q1576" i="2"/>
  <c r="Q1570" i="2"/>
  <c r="P1570" i="2"/>
  <c r="P1564" i="2"/>
  <c r="Q1564" i="2"/>
  <c r="P1558" i="2"/>
  <c r="Q1558" i="2"/>
  <c r="Q1546" i="2"/>
  <c r="P1546" i="2"/>
  <c r="P1540" i="2"/>
  <c r="Q1540" i="2"/>
  <c r="P1534" i="2"/>
  <c r="Q1534" i="2"/>
  <c r="P1522" i="2"/>
  <c r="Q1522" i="2"/>
  <c r="Q1516" i="2"/>
  <c r="P1516" i="2"/>
  <c r="P1504" i="2"/>
  <c r="Q1504" i="2"/>
  <c r="P1498" i="2"/>
  <c r="Q1498" i="2"/>
  <c r="P1486" i="2"/>
  <c r="Q1486" i="2"/>
  <c r="P1480" i="2"/>
  <c r="Q1480" i="2"/>
  <c r="P1462" i="2"/>
  <c r="Q1462" i="2"/>
  <c r="Q1450" i="2"/>
  <c r="P1450" i="2"/>
  <c r="P1444" i="2"/>
  <c r="Q1444" i="2"/>
  <c r="P1432" i="2"/>
  <c r="Q1432" i="2"/>
  <c r="P1426" i="2"/>
  <c r="Q1426" i="2"/>
  <c r="P1420" i="2"/>
  <c r="Q1420" i="2"/>
  <c r="P1414" i="2"/>
  <c r="Q1414" i="2"/>
  <c r="P1408" i="2"/>
  <c r="Q1408" i="2"/>
  <c r="P1402" i="2"/>
  <c r="Q1402" i="2"/>
  <c r="P1396" i="2"/>
  <c r="Q1396" i="2"/>
  <c r="Q1384" i="2"/>
  <c r="P1384" i="2"/>
  <c r="P1378" i="2"/>
  <c r="Q1378" i="2"/>
  <c r="P1372" i="2"/>
  <c r="Q1372" i="2"/>
  <c r="Q1366" i="2"/>
  <c r="P1366" i="2"/>
  <c r="P1360" i="2"/>
  <c r="Q1360" i="2"/>
  <c r="P1354" i="2"/>
  <c r="Q1354" i="2"/>
  <c r="P1348" i="2"/>
  <c r="Q1348" i="2"/>
  <c r="Q1342" i="2"/>
  <c r="P1342" i="2"/>
  <c r="P1336" i="2"/>
  <c r="Q1336" i="2"/>
  <c r="P1324" i="2"/>
  <c r="Q1324" i="2"/>
  <c r="P1318" i="2"/>
  <c r="Q1318" i="2"/>
  <c r="Q1312" i="2"/>
  <c r="P1312" i="2"/>
  <c r="P1306" i="2"/>
  <c r="Q1306" i="2"/>
  <c r="P1300" i="2"/>
  <c r="Q1300" i="2"/>
  <c r="P1294" i="2"/>
  <c r="Q1294" i="2"/>
  <c r="Q1288" i="2"/>
  <c r="P1288" i="2"/>
  <c r="P1276" i="2"/>
  <c r="Q1276" i="2"/>
  <c r="P1270" i="2"/>
  <c r="Q1270" i="2"/>
  <c r="P1258" i="2"/>
  <c r="Q1258" i="2"/>
  <c r="P1252" i="2"/>
  <c r="Q1252" i="2"/>
  <c r="P1246" i="2"/>
  <c r="Q1246" i="2"/>
  <c r="P1240" i="2"/>
  <c r="Q1240" i="2"/>
  <c r="P1228" i="2"/>
  <c r="Q1228" i="2"/>
  <c r="P1222" i="2"/>
  <c r="Q1222" i="2"/>
  <c r="P1216" i="2"/>
  <c r="Q1216" i="2"/>
  <c r="Q1204" i="2"/>
  <c r="P1204" i="2"/>
  <c r="P1198" i="2"/>
  <c r="Q1198" i="2"/>
  <c r="P1192" i="2"/>
  <c r="Q1192" i="2"/>
  <c r="P1186" i="2"/>
  <c r="Q1186" i="2"/>
  <c r="P1180" i="2"/>
  <c r="Q1180" i="2"/>
  <c r="Q1174" i="2"/>
  <c r="P1174" i="2"/>
  <c r="P1168" i="2"/>
  <c r="Q1168" i="2"/>
  <c r="P1162" i="2"/>
  <c r="Q1162" i="2"/>
  <c r="P1156" i="2"/>
  <c r="Q1156" i="2"/>
  <c r="Q1150" i="2"/>
  <c r="P1150" i="2"/>
  <c r="P1144" i="2"/>
  <c r="Q1144" i="2"/>
  <c r="P1138" i="2"/>
  <c r="Q1138" i="2"/>
  <c r="P1132" i="2"/>
  <c r="Q1132" i="2"/>
  <c r="P1120" i="2"/>
  <c r="Q1120" i="2"/>
  <c r="P1108" i="2"/>
  <c r="Q1108" i="2"/>
  <c r="P1102" i="2"/>
  <c r="Q1102" i="2"/>
  <c r="P1096" i="2"/>
  <c r="Q1096" i="2"/>
  <c r="P1084" i="2"/>
  <c r="Q1084" i="2"/>
  <c r="P1078" i="2"/>
  <c r="Q1078" i="2"/>
  <c r="P1072" i="2"/>
  <c r="Q1072" i="2"/>
  <c r="P1066" i="2"/>
  <c r="Q1066" i="2"/>
  <c r="P1054" i="2"/>
  <c r="Q1054" i="2"/>
  <c r="P1048" i="2"/>
  <c r="Q1048" i="2"/>
  <c r="P1042" i="2"/>
  <c r="Q1042" i="2"/>
  <c r="Q1036" i="2"/>
  <c r="P1036" i="2"/>
  <c r="P1030" i="2"/>
  <c r="Q1030" i="2"/>
  <c r="P1024" i="2"/>
  <c r="Q1024" i="2"/>
  <c r="P1018" i="2"/>
  <c r="Q1018" i="2"/>
  <c r="P1006" i="2"/>
  <c r="Q1006" i="2"/>
  <c r="P994" i="2"/>
  <c r="Q994" i="2"/>
  <c r="P982" i="2"/>
  <c r="Q982" i="2"/>
  <c r="P970" i="2"/>
  <c r="Q970" i="2"/>
  <c r="P958" i="2"/>
  <c r="Q958" i="2"/>
  <c r="P946" i="2"/>
  <c r="Q946" i="2"/>
  <c r="Q940" i="2"/>
  <c r="P940" i="2"/>
  <c r="P934" i="2"/>
  <c r="Q934" i="2"/>
  <c r="Q922" i="2"/>
  <c r="P922" i="2"/>
  <c r="Q916" i="2"/>
  <c r="P916" i="2"/>
  <c r="P904" i="2"/>
  <c r="Q904" i="2"/>
  <c r="Q892" i="2"/>
  <c r="P892" i="2"/>
  <c r="P886" i="2"/>
  <c r="Q886" i="2"/>
  <c r="P874" i="2"/>
  <c r="Q874" i="2"/>
  <c r="P868" i="2"/>
  <c r="Q868" i="2"/>
  <c r="P862" i="2"/>
  <c r="Q862" i="2"/>
  <c r="Q850" i="2"/>
  <c r="P850" i="2"/>
  <c r="P844" i="2"/>
  <c r="Q844" i="2"/>
  <c r="P838" i="2"/>
  <c r="Q838" i="2"/>
  <c r="Q826" i="2"/>
  <c r="P826" i="2"/>
  <c r="P814" i="2"/>
  <c r="Q814" i="2"/>
  <c r="Q802" i="2"/>
  <c r="P802" i="2"/>
  <c r="P796" i="2"/>
  <c r="Q796" i="2"/>
  <c r="P790" i="2"/>
  <c r="Q790" i="2"/>
  <c r="P772" i="2"/>
  <c r="Q772" i="2"/>
  <c r="P766" i="2"/>
  <c r="Q766" i="2"/>
  <c r="P760" i="2"/>
  <c r="Q760" i="2"/>
  <c r="P748" i="2"/>
  <c r="Q748" i="2"/>
  <c r="P736" i="2"/>
  <c r="Q736" i="2"/>
  <c r="Q724" i="2"/>
  <c r="P724" i="2"/>
  <c r="Q718" i="2"/>
  <c r="P718" i="2"/>
  <c r="P712" i="2"/>
  <c r="Q712" i="2"/>
  <c r="P706" i="2"/>
  <c r="Q706" i="2"/>
  <c r="Q694" i="2"/>
  <c r="P694" i="2"/>
  <c r="P688" i="2"/>
  <c r="Q688" i="2"/>
  <c r="P682" i="2"/>
  <c r="Q682" i="2"/>
  <c r="P670" i="2"/>
  <c r="Q670" i="2"/>
  <c r="Q664" i="2"/>
  <c r="P664" i="2"/>
  <c r="P658" i="2"/>
  <c r="Q658" i="2"/>
  <c r="P652" i="2"/>
  <c r="Q652" i="2"/>
  <c r="P646" i="2"/>
  <c r="Q646" i="2"/>
  <c r="P640" i="2"/>
  <c r="Q640" i="2"/>
  <c r="P634" i="2"/>
  <c r="Q634" i="2"/>
  <c r="Q622" i="2"/>
  <c r="P622" i="2"/>
  <c r="Q616" i="2"/>
  <c r="P616" i="2"/>
  <c r="P610" i="2"/>
  <c r="Q610" i="2"/>
  <c r="P604" i="2"/>
  <c r="Q604" i="2"/>
  <c r="P598" i="2"/>
  <c r="Q598" i="2"/>
  <c r="Q592" i="2"/>
  <c r="P592" i="2"/>
  <c r="P586" i="2"/>
  <c r="Q586" i="2"/>
  <c r="P580" i="2"/>
  <c r="Q580" i="2"/>
  <c r="Q574" i="2"/>
  <c r="P574" i="2"/>
  <c r="P568" i="2"/>
  <c r="Q568" i="2"/>
  <c r="P562" i="2"/>
  <c r="Q562" i="2"/>
  <c r="P556" i="2"/>
  <c r="Q556" i="2"/>
  <c r="P550" i="2"/>
  <c r="Q550" i="2"/>
  <c r="P544" i="2"/>
  <c r="Q544" i="2"/>
  <c r="P538" i="2"/>
  <c r="Q538" i="2"/>
  <c r="P526" i="2"/>
  <c r="Q526" i="2"/>
  <c r="P514" i="2"/>
  <c r="Q514" i="2"/>
  <c r="P502" i="2"/>
  <c r="Q502" i="2"/>
  <c r="Q496" i="2"/>
  <c r="P496" i="2"/>
  <c r="P484" i="2"/>
  <c r="Q484" i="2"/>
  <c r="P478" i="2"/>
  <c r="Q478" i="2"/>
  <c r="Q472" i="2"/>
  <c r="P472" i="2"/>
  <c r="P460" i="2"/>
  <c r="Q460" i="2"/>
  <c r="Q448" i="2"/>
  <c r="P448" i="2"/>
  <c r="P436" i="2"/>
  <c r="Q436" i="2"/>
  <c r="P430" i="2"/>
  <c r="Q430" i="2"/>
  <c r="Q424" i="2"/>
  <c r="P424" i="2"/>
  <c r="P418" i="2"/>
  <c r="Q418" i="2"/>
  <c r="P406" i="2"/>
  <c r="Q406" i="2"/>
  <c r="P400" i="2"/>
  <c r="Q400" i="2"/>
  <c r="P394" i="2"/>
  <c r="Q394" i="2"/>
  <c r="P388" i="2"/>
  <c r="Q388" i="2"/>
  <c r="P376" i="2"/>
  <c r="Q376" i="2"/>
  <c r="P364" i="2"/>
  <c r="Q364" i="2"/>
  <c r="P358" i="2"/>
  <c r="Q358" i="2"/>
  <c r="P352" i="2"/>
  <c r="Q352" i="2"/>
  <c r="Q346" i="2"/>
  <c r="P346" i="2"/>
  <c r="P340" i="2"/>
  <c r="Q340" i="2"/>
  <c r="P334" i="2"/>
  <c r="Q334" i="2"/>
  <c r="P328" i="2"/>
  <c r="Q328" i="2"/>
  <c r="Q322" i="2"/>
  <c r="P322" i="2"/>
  <c r="P316" i="2"/>
  <c r="Q316" i="2"/>
  <c r="P310" i="2"/>
  <c r="Q310" i="2"/>
  <c r="Q298" i="2"/>
  <c r="P298" i="2"/>
  <c r="P292" i="2"/>
  <c r="Q292" i="2"/>
  <c r="P286" i="2"/>
  <c r="Q286" i="2"/>
  <c r="P280" i="2"/>
  <c r="Q280" i="2"/>
  <c r="P268" i="2"/>
  <c r="Q268" i="2"/>
  <c r="P262" i="2"/>
  <c r="Q262" i="2"/>
  <c r="Q250" i="2"/>
  <c r="P250" i="2"/>
  <c r="P244" i="2"/>
  <c r="Q244" i="2"/>
  <c r="P238" i="2"/>
  <c r="Q238" i="2"/>
  <c r="P232" i="2"/>
  <c r="Q232" i="2"/>
  <c r="P226" i="2"/>
  <c r="Q226" i="2"/>
  <c r="Q220" i="2"/>
  <c r="P220" i="2"/>
  <c r="P214" i="2"/>
  <c r="Q214" i="2"/>
  <c r="P208" i="2"/>
  <c r="Q208" i="2"/>
  <c r="P202" i="2"/>
  <c r="Q202" i="2"/>
  <c r="P190" i="2"/>
  <c r="Q190" i="2"/>
  <c r="P178" i="2"/>
  <c r="Q178" i="2"/>
  <c r="P166" i="2"/>
  <c r="Q166" i="2"/>
  <c r="P160" i="2"/>
  <c r="Q160" i="2"/>
  <c r="P154" i="2"/>
  <c r="Q154" i="2"/>
  <c r="P148" i="2"/>
  <c r="Q148" i="2"/>
  <c r="P142" i="2"/>
  <c r="Q142" i="2"/>
  <c r="P136" i="2"/>
  <c r="Q136" i="2"/>
  <c r="Q124" i="2"/>
  <c r="P124" i="2"/>
  <c r="P112" i="2"/>
  <c r="Q112" i="2"/>
  <c r="P106" i="2"/>
  <c r="Q106" i="2"/>
  <c r="P100" i="2"/>
  <c r="Q100" i="2"/>
  <c r="P88" i="2"/>
  <c r="Q88" i="2"/>
  <c r="P82" i="2"/>
  <c r="Q82" i="2"/>
  <c r="P76" i="2"/>
  <c r="Q76" i="2"/>
  <c r="Q70" i="2"/>
  <c r="P70" i="2"/>
  <c r="P52" i="2"/>
  <c r="Q52" i="2"/>
  <c r="P40" i="2"/>
  <c r="Q40" i="2"/>
  <c r="Q28" i="2"/>
  <c r="P28" i="2"/>
  <c r="P2127" i="2"/>
  <c r="P1911" i="2"/>
  <c r="Q1470" i="2"/>
  <c r="P19" i="2"/>
  <c r="Q19" i="2"/>
  <c r="P13" i="2"/>
  <c r="Q13" i="2"/>
  <c r="P7" i="2"/>
  <c r="Q7" i="2"/>
  <c r="F2465" i="2"/>
  <c r="P2465" i="2"/>
  <c r="Q2465" i="2"/>
  <c r="F2459" i="2"/>
  <c r="P2459" i="2"/>
  <c r="F2453" i="2"/>
  <c r="P2453" i="2"/>
  <c r="F2447" i="2"/>
  <c r="P2447" i="2"/>
  <c r="Q2447" i="2"/>
  <c r="F2441" i="2"/>
  <c r="P2441" i="2"/>
  <c r="F2435" i="2"/>
  <c r="Q2435" i="2"/>
  <c r="F2429" i="2"/>
  <c r="P2429" i="2"/>
  <c r="Q2429" i="2"/>
  <c r="F2423" i="2"/>
  <c r="P2423" i="2"/>
  <c r="Q2423" i="2"/>
  <c r="F2417" i="2"/>
  <c r="P2417" i="2"/>
  <c r="Q2417" i="2"/>
  <c r="F2411" i="2"/>
  <c r="P2411" i="2"/>
  <c r="Q2411" i="2"/>
  <c r="F2405" i="2"/>
  <c r="P2405" i="2"/>
  <c r="Q2405" i="2"/>
  <c r="F2399" i="2"/>
  <c r="P2399" i="2"/>
  <c r="Q2399" i="2"/>
  <c r="F2393" i="2"/>
  <c r="P2393" i="2"/>
  <c r="Q2393" i="2"/>
  <c r="F2387" i="2"/>
  <c r="P2387" i="2"/>
  <c r="Q2387" i="2"/>
  <c r="F2381" i="2"/>
  <c r="P2381" i="2"/>
  <c r="Q2381" i="2"/>
  <c r="F2375" i="2"/>
  <c r="P2375" i="2"/>
  <c r="Q2375" i="2"/>
  <c r="F2369" i="2"/>
  <c r="P2369" i="2"/>
  <c r="F2363" i="2"/>
  <c r="P2363" i="2"/>
  <c r="Q2363" i="2"/>
  <c r="F2357" i="2"/>
  <c r="P2357" i="2"/>
  <c r="F2351" i="2"/>
  <c r="P2351" i="2"/>
  <c r="Q2351" i="2"/>
  <c r="F2345" i="2"/>
  <c r="P2345" i="2"/>
  <c r="Q2345" i="2"/>
  <c r="F2339" i="2"/>
  <c r="P2339" i="2"/>
  <c r="Q2339" i="2"/>
  <c r="F2333" i="2"/>
  <c r="P2333" i="2"/>
  <c r="Q2333" i="2"/>
  <c r="F2327" i="2"/>
  <c r="P2327" i="2"/>
  <c r="Q2327" i="2"/>
  <c r="F2321" i="2"/>
  <c r="P2321" i="2"/>
  <c r="Q2321" i="2"/>
  <c r="F2315" i="2"/>
  <c r="Q2315" i="2"/>
  <c r="P2315" i="2"/>
  <c r="F2309" i="2"/>
  <c r="P2309" i="2"/>
  <c r="Q2309" i="2"/>
  <c r="F2303" i="2"/>
  <c r="P2303" i="2"/>
  <c r="Q2303" i="2"/>
  <c r="F2297" i="2"/>
  <c r="P2297" i="2"/>
  <c r="Q2297" i="2"/>
  <c r="F2291" i="2"/>
  <c r="P2291" i="2"/>
  <c r="Q2291" i="2"/>
  <c r="F2285" i="2"/>
  <c r="P2285" i="2"/>
  <c r="Q2285" i="2"/>
  <c r="F2279" i="2"/>
  <c r="P2279" i="2"/>
  <c r="F2273" i="2"/>
  <c r="P2273" i="2"/>
  <c r="Q2273" i="2"/>
  <c r="F2267" i="2"/>
  <c r="P2267" i="2"/>
  <c r="Q2267" i="2"/>
  <c r="F2261" i="2"/>
  <c r="P2261" i="2"/>
  <c r="Q2261" i="2"/>
  <c r="F2255" i="2"/>
  <c r="P2255" i="2"/>
  <c r="Q2255" i="2"/>
  <c r="F2249" i="2"/>
  <c r="P2249" i="2"/>
  <c r="Q2249" i="2"/>
  <c r="F2243" i="2"/>
  <c r="P2243" i="2"/>
  <c r="Q2243" i="2"/>
  <c r="F2237" i="2"/>
  <c r="P2237" i="2"/>
  <c r="Q2237" i="2"/>
  <c r="F2231" i="2"/>
  <c r="P2231" i="2"/>
  <c r="F2225" i="2"/>
  <c r="P2225" i="2"/>
  <c r="Q2225" i="2"/>
  <c r="F2213" i="2"/>
  <c r="P2213" i="2"/>
  <c r="Q2213" i="2"/>
  <c r="F2207" i="2"/>
  <c r="P2207" i="2"/>
  <c r="Q2207" i="2"/>
  <c r="F2201" i="2"/>
  <c r="P2201" i="2"/>
  <c r="F2195" i="2"/>
  <c r="P2195" i="2"/>
  <c r="Q2195" i="2"/>
  <c r="F2189" i="2"/>
  <c r="P2189" i="2"/>
  <c r="F2183" i="2"/>
  <c r="P2183" i="2"/>
  <c r="Q2183" i="2"/>
  <c r="F2177" i="2"/>
  <c r="P2177" i="2"/>
  <c r="F2171" i="2"/>
  <c r="P2171" i="2"/>
  <c r="Q2171" i="2"/>
  <c r="F2165" i="2"/>
  <c r="P2165" i="2"/>
  <c r="F2159" i="2"/>
  <c r="P2159" i="2"/>
  <c r="Q2159" i="2"/>
  <c r="F2153" i="2"/>
  <c r="P2153" i="2"/>
  <c r="Q2153" i="2"/>
  <c r="F2147" i="2"/>
  <c r="P2147" i="2"/>
  <c r="Q2147" i="2"/>
  <c r="F2141" i="2"/>
  <c r="Q2141" i="2"/>
  <c r="P2141" i="2"/>
  <c r="F2135" i="2"/>
  <c r="P2135" i="2"/>
  <c r="Q2135" i="2"/>
  <c r="F2129" i="2"/>
  <c r="P2129" i="2"/>
  <c r="Q2129" i="2"/>
  <c r="F2123" i="2"/>
  <c r="P2123" i="2"/>
  <c r="Q2123" i="2"/>
  <c r="F2117" i="2"/>
  <c r="P2117" i="2"/>
  <c r="Q2117" i="2"/>
  <c r="F2111" i="2"/>
  <c r="P2111" i="2"/>
  <c r="Q2111" i="2"/>
  <c r="F2105" i="2"/>
  <c r="P2105" i="2"/>
  <c r="Q2105" i="2"/>
  <c r="F2099" i="2"/>
  <c r="P2099" i="2"/>
  <c r="Q2099" i="2"/>
  <c r="F2093" i="2"/>
  <c r="P2093" i="2"/>
  <c r="F2087" i="2"/>
  <c r="P2087" i="2"/>
  <c r="Q2087" i="2"/>
  <c r="F2081" i="2"/>
  <c r="P2081" i="2"/>
  <c r="Q2081" i="2"/>
  <c r="F2075" i="2"/>
  <c r="P2075" i="2"/>
  <c r="F2069" i="2"/>
  <c r="P2069" i="2"/>
  <c r="Q2069" i="2"/>
  <c r="F2063" i="2"/>
  <c r="P2063" i="2"/>
  <c r="F2057" i="2"/>
  <c r="P2057" i="2"/>
  <c r="Q2057" i="2"/>
  <c r="F2051" i="2"/>
  <c r="Q2051" i="2"/>
  <c r="P2051" i="2"/>
  <c r="F2045" i="2"/>
  <c r="P2045" i="2"/>
  <c r="Q2045" i="2"/>
  <c r="F2039" i="2"/>
  <c r="P2039" i="2"/>
  <c r="F2033" i="2"/>
  <c r="P2033" i="2"/>
  <c r="F2027" i="2"/>
  <c r="P2027" i="2"/>
  <c r="Q2027" i="2"/>
  <c r="F2021" i="2"/>
  <c r="P2021" i="2"/>
  <c r="Q2021" i="2"/>
  <c r="F2015" i="2"/>
  <c r="P2015" i="2"/>
  <c r="Q2015" i="2"/>
  <c r="F2009" i="2"/>
  <c r="P2009" i="2"/>
  <c r="P1997" i="2"/>
  <c r="Q1997" i="2"/>
  <c r="P1991" i="2"/>
  <c r="Q1991" i="2"/>
  <c r="P1985" i="2"/>
  <c r="Q1985" i="2"/>
  <c r="Q1979" i="2"/>
  <c r="P1979" i="2"/>
  <c r="P1973" i="2"/>
  <c r="Q1973" i="2"/>
  <c r="Q1967" i="2"/>
  <c r="P1967" i="2"/>
  <c r="P1949" i="2"/>
  <c r="Q1949" i="2"/>
  <c r="Q1943" i="2"/>
  <c r="P1943" i="2"/>
  <c r="P1937" i="2"/>
  <c r="Q1937" i="2"/>
  <c r="P1931" i="2"/>
  <c r="Q1931" i="2"/>
  <c r="Q1919" i="2"/>
  <c r="P1919" i="2"/>
  <c r="P1901" i="2"/>
  <c r="Q1901" i="2"/>
  <c r="P1889" i="2"/>
  <c r="Q1889" i="2"/>
  <c r="P1883" i="2"/>
  <c r="Q1883" i="2"/>
  <c r="P1877" i="2"/>
  <c r="Q1877" i="2"/>
  <c r="P1865" i="2"/>
  <c r="Q1865" i="2"/>
  <c r="P1859" i="2"/>
  <c r="Q1859" i="2"/>
  <c r="Q1847" i="2"/>
  <c r="P1847" i="2"/>
  <c r="P1841" i="2"/>
  <c r="Q1841" i="2"/>
  <c r="P1835" i="2"/>
  <c r="Q1835" i="2"/>
  <c r="Q1829" i="2"/>
  <c r="P1829" i="2"/>
  <c r="P1823" i="2"/>
  <c r="Q1823" i="2"/>
  <c r="P1811" i="2"/>
  <c r="Q1811" i="2"/>
  <c r="P1805" i="2"/>
  <c r="Q1805" i="2"/>
  <c r="P1799" i="2"/>
  <c r="Q1799" i="2"/>
  <c r="P1793" i="2"/>
  <c r="Q1793" i="2"/>
  <c r="P1781" i="2"/>
  <c r="Q1781" i="2"/>
  <c r="Q1775" i="2"/>
  <c r="P1775" i="2"/>
  <c r="P1757" i="2"/>
  <c r="Q1757" i="2"/>
  <c r="P1751" i="2"/>
  <c r="Q1751" i="2"/>
  <c r="P1739" i="2"/>
  <c r="Q1739" i="2"/>
  <c r="Q1733" i="2"/>
  <c r="P1733" i="2"/>
  <c r="P1715" i="2"/>
  <c r="Q1715" i="2"/>
  <c r="Q1703" i="2"/>
  <c r="P1703" i="2"/>
  <c r="P1691" i="2"/>
  <c r="Q1691" i="2"/>
  <c r="Q1685" i="2"/>
  <c r="P1685" i="2"/>
  <c r="P1679" i="2"/>
  <c r="Q1679" i="2"/>
  <c r="P1673" i="2"/>
  <c r="Q1673" i="2"/>
  <c r="P1661" i="2"/>
  <c r="Q1661" i="2"/>
  <c r="P1649" i="2"/>
  <c r="Q1649" i="2"/>
  <c r="P1637" i="2"/>
  <c r="Q1637" i="2"/>
  <c r="P1625" i="2"/>
  <c r="Q1625" i="2"/>
  <c r="P1619" i="2"/>
  <c r="Q1619" i="2"/>
  <c r="P1613" i="2"/>
  <c r="Q1613" i="2"/>
  <c r="Q1607" i="2"/>
  <c r="P1607" i="2"/>
  <c r="P1601" i="2"/>
  <c r="Q1601" i="2"/>
  <c r="P1595" i="2"/>
  <c r="Q1595" i="2"/>
  <c r="P1589" i="2"/>
  <c r="Q1589" i="2"/>
  <c r="P1577" i="2"/>
  <c r="Q1577" i="2"/>
  <c r="P1571" i="2"/>
  <c r="Q1571" i="2"/>
  <c r="P1559" i="2"/>
  <c r="Q1559" i="2"/>
  <c r="Q1553" i="2"/>
  <c r="P1553" i="2"/>
  <c r="P1541" i="2"/>
  <c r="Q1541" i="2"/>
  <c r="P1535" i="2"/>
  <c r="Q1535" i="2"/>
  <c r="P1529" i="2"/>
  <c r="Q1529" i="2"/>
  <c r="P1517" i="2"/>
  <c r="Q1517" i="2"/>
  <c r="P1511" i="2"/>
  <c r="Q1511" i="2"/>
  <c r="P1505" i="2"/>
  <c r="Q1505" i="2"/>
  <c r="P1499" i="2"/>
  <c r="Q1499" i="2"/>
  <c r="P1493" i="2"/>
  <c r="Q1493" i="2"/>
  <c r="P1487" i="2"/>
  <c r="Q1487" i="2"/>
  <c r="P1475" i="2"/>
  <c r="Q1475" i="2"/>
  <c r="P1469" i="2"/>
  <c r="Q1469" i="2"/>
  <c r="P1463" i="2"/>
  <c r="Q1463" i="2"/>
  <c r="Q1457" i="2"/>
  <c r="P1457" i="2"/>
  <c r="P1451" i="2"/>
  <c r="Q1451" i="2"/>
  <c r="P1439" i="2"/>
  <c r="Q1439" i="2"/>
  <c r="P1433" i="2"/>
  <c r="Q1433" i="2"/>
  <c r="P1427" i="2"/>
  <c r="Q1427" i="2"/>
  <c r="P1421" i="2"/>
  <c r="Q1421" i="2"/>
  <c r="P1409" i="2"/>
  <c r="Q1409" i="2"/>
  <c r="P1403" i="2"/>
  <c r="Q1403" i="2"/>
  <c r="Q1391" i="2"/>
  <c r="P1391" i="2"/>
  <c r="P1385" i="2"/>
  <c r="Q1385" i="2"/>
  <c r="P1379" i="2"/>
  <c r="Q1379" i="2"/>
  <c r="P1367" i="2"/>
  <c r="Q1367" i="2"/>
  <c r="P1361" i="2"/>
  <c r="Q1361" i="2"/>
  <c r="Q1349" i="2"/>
  <c r="P1349" i="2"/>
  <c r="P1337" i="2"/>
  <c r="Q1337" i="2"/>
  <c r="P1331" i="2"/>
  <c r="Q1331" i="2"/>
  <c r="P1319" i="2"/>
  <c r="Q1319" i="2"/>
  <c r="P1313" i="2"/>
  <c r="Q1313" i="2"/>
  <c r="P1301" i="2"/>
  <c r="Q1301" i="2"/>
  <c r="P1289" i="2"/>
  <c r="Q1289" i="2"/>
  <c r="P1283" i="2"/>
  <c r="Q1283" i="2"/>
  <c r="Q1271" i="2"/>
  <c r="P1271" i="2"/>
  <c r="P1265" i="2"/>
  <c r="Q1265" i="2"/>
  <c r="P1259" i="2"/>
  <c r="Q1259" i="2"/>
  <c r="P1253" i="2"/>
  <c r="Q1253" i="2"/>
  <c r="P1247" i="2"/>
  <c r="Q1247" i="2"/>
  <c r="Q1241" i="2"/>
  <c r="P1241" i="2"/>
  <c r="P1235" i="2"/>
  <c r="Q1235" i="2"/>
  <c r="P1229" i="2"/>
  <c r="Q1229" i="2"/>
  <c r="P1223" i="2"/>
  <c r="Q1223" i="2"/>
  <c r="P1217" i="2"/>
  <c r="Q1217" i="2"/>
  <c r="Q1211" i="2"/>
  <c r="P1211" i="2"/>
  <c r="P1205" i="2"/>
  <c r="Q1205" i="2"/>
  <c r="P1199" i="2"/>
  <c r="Q1199" i="2"/>
  <c r="Q1187" i="2"/>
  <c r="P1187" i="2"/>
  <c r="P1181" i="2"/>
  <c r="Q1181" i="2"/>
  <c r="P1175" i="2"/>
  <c r="Q1175" i="2"/>
  <c r="P1163" i="2"/>
  <c r="Q1163" i="2"/>
  <c r="P1151" i="2"/>
  <c r="Q1151" i="2"/>
  <c r="P1139" i="2"/>
  <c r="Q1139" i="2"/>
  <c r="P1127" i="2"/>
  <c r="Q1127" i="2"/>
  <c r="P1121" i="2"/>
  <c r="Q1121" i="2"/>
  <c r="P1115" i="2"/>
  <c r="Q1115" i="2"/>
  <c r="P1109" i="2"/>
  <c r="Q1109" i="2"/>
  <c r="P1097" i="2"/>
  <c r="Q1097" i="2"/>
  <c r="P1091" i="2"/>
  <c r="Q1091" i="2"/>
  <c r="Q1085" i="2"/>
  <c r="P1085" i="2"/>
  <c r="P1079" i="2"/>
  <c r="Q1079" i="2"/>
  <c r="Q1073" i="2"/>
  <c r="P1073" i="2"/>
  <c r="P1067" i="2"/>
  <c r="Q1067" i="2"/>
  <c r="P1061" i="2"/>
  <c r="Q1061" i="2"/>
  <c r="P1049" i="2"/>
  <c r="Q1049" i="2"/>
  <c r="P1037" i="2"/>
  <c r="Q1037" i="2"/>
  <c r="P1031" i="2"/>
  <c r="Q1031" i="2"/>
  <c r="P1025" i="2"/>
  <c r="Q1025" i="2"/>
  <c r="P1019" i="2"/>
  <c r="Q1019" i="2"/>
  <c r="P1013" i="2"/>
  <c r="Q1013" i="2"/>
  <c r="P1007" i="2"/>
  <c r="Q1007" i="2"/>
  <c r="P1001" i="2"/>
  <c r="Q1001" i="2"/>
  <c r="P995" i="2"/>
  <c r="Q995" i="2"/>
  <c r="P989" i="2"/>
  <c r="Q989" i="2"/>
  <c r="Q983" i="2"/>
  <c r="P983" i="2"/>
  <c r="P977" i="2"/>
  <c r="Q977" i="2"/>
  <c r="P971" i="2"/>
  <c r="Q971" i="2"/>
  <c r="P965" i="2"/>
  <c r="Q965" i="2"/>
  <c r="P959" i="2"/>
  <c r="Q959" i="2"/>
  <c r="P953" i="2"/>
  <c r="Q953" i="2"/>
  <c r="P941" i="2"/>
  <c r="Q941" i="2"/>
  <c r="P935" i="2"/>
  <c r="Q935" i="2"/>
  <c r="P929" i="2"/>
  <c r="Q929" i="2"/>
  <c r="Q923" i="2"/>
  <c r="P923" i="2"/>
  <c r="P911" i="2"/>
  <c r="Q911" i="2"/>
  <c r="P905" i="2"/>
  <c r="Q905" i="2"/>
  <c r="Q899" i="2"/>
  <c r="P899" i="2"/>
  <c r="P893" i="2"/>
  <c r="Q893" i="2"/>
  <c r="P881" i="2"/>
  <c r="Q881" i="2"/>
  <c r="P875" i="2"/>
  <c r="Q875" i="2"/>
  <c r="Q857" i="2"/>
  <c r="P857" i="2"/>
  <c r="P851" i="2"/>
  <c r="Q851" i="2"/>
  <c r="P845" i="2"/>
  <c r="Q845" i="2"/>
  <c r="Q839" i="2"/>
  <c r="P839" i="2"/>
  <c r="Q833" i="2"/>
  <c r="P833" i="2"/>
  <c r="P827" i="2"/>
  <c r="Q827" i="2"/>
  <c r="P821" i="2"/>
  <c r="Q821" i="2"/>
  <c r="Q809" i="2"/>
  <c r="P809" i="2"/>
  <c r="P803" i="2"/>
  <c r="Q803" i="2"/>
  <c r="P797" i="2"/>
  <c r="Q797" i="2"/>
  <c r="Q785" i="2"/>
  <c r="P785" i="2"/>
  <c r="P779" i="2"/>
  <c r="Q779" i="2"/>
  <c r="P773" i="2"/>
  <c r="Q773" i="2"/>
  <c r="P761" i="2"/>
  <c r="Q761" i="2"/>
  <c r="Q755" i="2"/>
  <c r="P755" i="2"/>
  <c r="P749" i="2"/>
  <c r="Q749" i="2"/>
  <c r="P743" i="2"/>
  <c r="Q743" i="2"/>
  <c r="P737" i="2"/>
  <c r="Q737" i="2"/>
  <c r="P731" i="2"/>
  <c r="Q731" i="2"/>
  <c r="P719" i="2"/>
  <c r="Q719" i="2"/>
  <c r="P713" i="2"/>
  <c r="Q713" i="2"/>
  <c r="P707" i="2"/>
  <c r="Q707" i="2"/>
  <c r="P701" i="2"/>
  <c r="Q701" i="2"/>
  <c r="Q683" i="2"/>
  <c r="P683" i="2"/>
  <c r="P677" i="2"/>
  <c r="Q677" i="2"/>
  <c r="P665" i="2"/>
  <c r="Q665" i="2"/>
  <c r="Q653" i="2"/>
  <c r="P653" i="2"/>
  <c r="P641" i="2"/>
  <c r="Q641" i="2"/>
  <c r="P635" i="2"/>
  <c r="Q635" i="2"/>
  <c r="Q629" i="2"/>
  <c r="P629" i="2"/>
  <c r="P617" i="2"/>
  <c r="Q617" i="2"/>
  <c r="P611" i="2"/>
  <c r="Q611" i="2"/>
  <c r="Q599" i="2"/>
  <c r="P599" i="2"/>
  <c r="P587" i="2"/>
  <c r="Q587" i="2"/>
  <c r="Q581" i="2"/>
  <c r="P581" i="2"/>
  <c r="P569" i="2"/>
  <c r="Q569" i="2"/>
  <c r="P563" i="2"/>
  <c r="Q563" i="2"/>
  <c r="P551" i="2"/>
  <c r="Q551" i="2"/>
  <c r="P539" i="2"/>
  <c r="Q539" i="2"/>
  <c r="Q533" i="2"/>
  <c r="P533" i="2"/>
  <c r="P527" i="2"/>
  <c r="Q527" i="2"/>
  <c r="P521" i="2"/>
  <c r="Q521" i="2"/>
  <c r="P515" i="2"/>
  <c r="Q515" i="2"/>
  <c r="P509" i="2"/>
  <c r="Q509" i="2"/>
  <c r="P497" i="2"/>
  <c r="Q497" i="2"/>
  <c r="P491" i="2"/>
  <c r="Q491" i="2"/>
  <c r="P485" i="2"/>
  <c r="Q485" i="2"/>
  <c r="Q479" i="2"/>
  <c r="P479" i="2"/>
  <c r="P473" i="2"/>
  <c r="Q473" i="2"/>
  <c r="P467" i="2"/>
  <c r="Q467" i="2"/>
  <c r="P461" i="2"/>
  <c r="Q461" i="2"/>
  <c r="Q455" i="2"/>
  <c r="P455" i="2"/>
  <c r="P449" i="2"/>
  <c r="Q449" i="2"/>
  <c r="P443" i="2"/>
  <c r="Q443" i="2"/>
  <c r="Q431" i="2"/>
  <c r="P431" i="2"/>
  <c r="P419" i="2"/>
  <c r="Q419" i="2"/>
  <c r="P413" i="2"/>
  <c r="Q413" i="2"/>
  <c r="Q407" i="2"/>
  <c r="P407" i="2"/>
  <c r="P401" i="2"/>
  <c r="Q401" i="2"/>
  <c r="P389" i="2"/>
  <c r="Q389" i="2"/>
  <c r="P383" i="2"/>
  <c r="Q383" i="2"/>
  <c r="P377" i="2"/>
  <c r="Q377" i="2"/>
  <c r="P371" i="2"/>
  <c r="Q371" i="2"/>
  <c r="P365" i="2"/>
  <c r="Q365" i="2"/>
  <c r="P359" i="2"/>
  <c r="Q359" i="2"/>
  <c r="P347" i="2"/>
  <c r="Q347" i="2"/>
  <c r="P335" i="2"/>
  <c r="Q335" i="2"/>
  <c r="P323" i="2"/>
  <c r="Q323" i="2"/>
  <c r="P311" i="2"/>
  <c r="Q311" i="2"/>
  <c r="Q305" i="2"/>
  <c r="P305" i="2"/>
  <c r="P299" i="2"/>
  <c r="Q299" i="2"/>
  <c r="P293" i="2"/>
  <c r="Q293" i="2"/>
  <c r="P281" i="2"/>
  <c r="Q281" i="2"/>
  <c r="P275" i="2"/>
  <c r="Q275" i="2"/>
  <c r="P263" i="2"/>
  <c r="Q263" i="2"/>
  <c r="Q257" i="2"/>
  <c r="P257" i="2"/>
  <c r="P245" i="2"/>
  <c r="Q245" i="2"/>
  <c r="P239" i="2"/>
  <c r="Q239" i="2"/>
  <c r="P227" i="2"/>
  <c r="Q227" i="2"/>
  <c r="P221" i="2"/>
  <c r="Q221" i="2"/>
  <c r="P209" i="2"/>
  <c r="Q209" i="2"/>
  <c r="P203" i="2"/>
  <c r="Q203" i="2"/>
  <c r="P197" i="2"/>
  <c r="Q197" i="2"/>
  <c r="P191" i="2"/>
  <c r="Q191" i="2"/>
  <c r="P185" i="2"/>
  <c r="Q185" i="2"/>
  <c r="P179" i="2"/>
  <c r="Q179" i="2"/>
  <c r="P173" i="2"/>
  <c r="Q173" i="2"/>
  <c r="P167" i="2"/>
  <c r="Q167" i="2"/>
  <c r="P155" i="2"/>
  <c r="Q155" i="2"/>
  <c r="P143" i="2"/>
  <c r="Q143" i="2"/>
  <c r="P137" i="2"/>
  <c r="Q137" i="2"/>
  <c r="Q131" i="2"/>
  <c r="P131" i="2"/>
  <c r="P125" i="2"/>
  <c r="Q125" i="2"/>
  <c r="P119" i="2"/>
  <c r="Q119" i="2"/>
  <c r="P113" i="2"/>
  <c r="Q113" i="2"/>
  <c r="Q101" i="2"/>
  <c r="P101" i="2"/>
  <c r="P95" i="2"/>
  <c r="Q95" i="2"/>
  <c r="P89" i="2"/>
  <c r="Q89" i="2"/>
  <c r="Q77" i="2"/>
  <c r="P77" i="2"/>
  <c r="P65" i="2"/>
  <c r="Q65" i="2"/>
  <c r="P59" i="2"/>
  <c r="Q59" i="2"/>
  <c r="P53" i="2"/>
  <c r="Q53" i="2"/>
  <c r="P47" i="2"/>
  <c r="Q47" i="2"/>
  <c r="P41" i="2"/>
  <c r="Q41" i="2"/>
  <c r="P35" i="2"/>
  <c r="Q35" i="2"/>
  <c r="P29" i="2"/>
  <c r="Q29" i="2"/>
  <c r="Q20" i="2"/>
  <c r="P20" i="2"/>
  <c r="Q8" i="2"/>
  <c r="P8" i="2"/>
  <c r="P3" i="2"/>
  <c r="Q3" i="2"/>
  <c r="F2460" i="2"/>
  <c r="P2460" i="2"/>
  <c r="Q2460" i="2"/>
  <c r="F2454" i="2"/>
  <c r="P2454" i="2"/>
  <c r="Q2454" i="2"/>
  <c r="F2448" i="2"/>
  <c r="P2448" i="2"/>
  <c r="Q2448" i="2"/>
  <c r="F2442" i="2"/>
  <c r="Q2442" i="2"/>
  <c r="P2442" i="2"/>
  <c r="F2436" i="2"/>
  <c r="P2436" i="2"/>
  <c r="Q2436" i="2"/>
  <c r="F2430" i="2"/>
  <c r="P2430" i="2"/>
  <c r="F2424" i="2"/>
  <c r="P2424" i="2"/>
  <c r="Q2424" i="2"/>
  <c r="F2418" i="2"/>
  <c r="P2418" i="2"/>
  <c r="Q2418" i="2"/>
  <c r="F2412" i="2"/>
  <c r="P2412" i="2"/>
  <c r="F2406" i="2"/>
  <c r="P2406" i="2"/>
  <c r="Q2406" i="2"/>
  <c r="F2400" i="2"/>
  <c r="P2400" i="2"/>
  <c r="F2394" i="2"/>
  <c r="P2394" i="2"/>
  <c r="Q2394" i="2"/>
  <c r="F2388" i="2"/>
  <c r="P2388" i="2"/>
  <c r="F2382" i="2"/>
  <c r="P2382" i="2"/>
  <c r="Q2382" i="2"/>
  <c r="F2376" i="2"/>
  <c r="P2376" i="2"/>
  <c r="F2370" i="2"/>
  <c r="P2370" i="2"/>
  <c r="Q2370" i="2"/>
  <c r="F2364" i="2"/>
  <c r="P2364" i="2"/>
  <c r="Q2364" i="2"/>
  <c r="F2358" i="2"/>
  <c r="P2358" i="2"/>
  <c r="Q2358" i="2"/>
  <c r="F2352" i="2"/>
  <c r="Q2352" i="2"/>
  <c r="P2352" i="2"/>
  <c r="F2346" i="2"/>
  <c r="P2346" i="2"/>
  <c r="Q2346" i="2"/>
  <c r="F2340" i="2"/>
  <c r="P2340" i="2"/>
  <c r="F2334" i="2"/>
  <c r="P2334" i="2"/>
  <c r="Q2334" i="2"/>
  <c r="F2328" i="2"/>
  <c r="P2328" i="2"/>
  <c r="Q2328" i="2"/>
  <c r="F2322" i="2"/>
  <c r="P2322" i="2"/>
  <c r="F2316" i="2"/>
  <c r="P2316" i="2"/>
  <c r="Q2316" i="2"/>
  <c r="F2310" i="2"/>
  <c r="P2310" i="2"/>
  <c r="Q2310" i="2"/>
  <c r="F2304" i="2"/>
  <c r="P2304" i="2"/>
  <c r="F2298" i="2"/>
  <c r="Q2298" i="2"/>
  <c r="P2298" i="2"/>
  <c r="F2292" i="2"/>
  <c r="P2292" i="2"/>
  <c r="Q2292" i="2"/>
  <c r="F2286" i="2"/>
  <c r="P2286" i="2"/>
  <c r="F2280" i="2"/>
  <c r="P2280" i="2"/>
  <c r="Q2280" i="2"/>
  <c r="F2274" i="2"/>
  <c r="Q2274" i="2"/>
  <c r="P2274" i="2"/>
  <c r="F2268" i="2"/>
  <c r="P2268" i="2"/>
  <c r="Q2268" i="2"/>
  <c r="F2262" i="2"/>
  <c r="P2262" i="2"/>
  <c r="F2256" i="2"/>
  <c r="P2256" i="2"/>
  <c r="Q2256" i="2"/>
  <c r="F2244" i="2"/>
  <c r="P2244" i="2"/>
  <c r="Q2244" i="2"/>
  <c r="F2238" i="2"/>
  <c r="P2238" i="2"/>
  <c r="Q2238" i="2"/>
  <c r="F2232" i="2"/>
  <c r="P2232" i="2"/>
  <c r="Q2232" i="2"/>
  <c r="F2226" i="2"/>
  <c r="Q2226" i="2"/>
  <c r="P2226" i="2"/>
  <c r="F2220" i="2"/>
  <c r="P2220" i="2"/>
  <c r="Q2220" i="2"/>
  <c r="F2214" i="2"/>
  <c r="P2214" i="2"/>
  <c r="Q2214" i="2"/>
  <c r="F2208" i="2"/>
  <c r="P2208" i="2"/>
  <c r="Q2208" i="2"/>
  <c r="F2202" i="2"/>
  <c r="P2202" i="2"/>
  <c r="Q2202" i="2"/>
  <c r="F2196" i="2"/>
  <c r="P2196" i="2"/>
  <c r="Q2196" i="2"/>
  <c r="F2190" i="2"/>
  <c r="P2190" i="2"/>
  <c r="Q2190" i="2"/>
  <c r="F2184" i="2"/>
  <c r="P2184" i="2"/>
  <c r="Q2184" i="2"/>
  <c r="F2178" i="2"/>
  <c r="P2178" i="2"/>
  <c r="Q2178" i="2"/>
  <c r="F2172" i="2"/>
  <c r="P2172" i="2"/>
  <c r="Q2172" i="2"/>
  <c r="F2166" i="2"/>
  <c r="P2166" i="2"/>
  <c r="Q2166" i="2"/>
  <c r="F2160" i="2"/>
  <c r="P2160" i="2"/>
  <c r="Q2160" i="2"/>
  <c r="F2154" i="2"/>
  <c r="P2154" i="2"/>
  <c r="Q2154" i="2"/>
  <c r="F2148" i="2"/>
  <c r="P2148" i="2"/>
  <c r="Q2148" i="2"/>
  <c r="F2142" i="2"/>
  <c r="P2142" i="2"/>
  <c r="Q2142" i="2"/>
  <c r="F2136" i="2"/>
  <c r="P2136" i="2"/>
  <c r="Q2136" i="2"/>
  <c r="F2130" i="2"/>
  <c r="P2130" i="2"/>
  <c r="Q2130" i="2"/>
  <c r="F2124" i="2"/>
  <c r="P2124" i="2"/>
  <c r="Q2124" i="2"/>
  <c r="F2118" i="2"/>
  <c r="P2118" i="2"/>
  <c r="F2112" i="2"/>
  <c r="P2112" i="2"/>
  <c r="Q2112" i="2"/>
  <c r="F2106" i="2"/>
  <c r="P2106" i="2"/>
  <c r="F2100" i="2"/>
  <c r="P2100" i="2"/>
  <c r="Q2100" i="2"/>
  <c r="F2094" i="2"/>
  <c r="P2094" i="2"/>
  <c r="Q2094" i="2"/>
  <c r="F2088" i="2"/>
  <c r="P2088" i="2"/>
  <c r="Q2088" i="2"/>
  <c r="F2082" i="2"/>
  <c r="Q2082" i="2"/>
  <c r="P2082" i="2"/>
  <c r="F2076" i="2"/>
  <c r="P2076" i="2"/>
  <c r="Q2076" i="2"/>
  <c r="F2070" i="2"/>
  <c r="P2070" i="2"/>
  <c r="Q2070" i="2"/>
  <c r="F2064" i="2"/>
  <c r="P2064" i="2"/>
  <c r="Q2064" i="2"/>
  <c r="F2058" i="2"/>
  <c r="Q2058" i="2"/>
  <c r="P2058" i="2"/>
  <c r="F2052" i="2"/>
  <c r="P2052" i="2"/>
  <c r="Q2052" i="2"/>
  <c r="F2046" i="2"/>
  <c r="P2046" i="2"/>
  <c r="F2040" i="2"/>
  <c r="P2040" i="2"/>
  <c r="Q2040" i="2"/>
  <c r="F2034" i="2"/>
  <c r="P2034" i="2"/>
  <c r="Q2034" i="2"/>
  <c r="F2028" i="2"/>
  <c r="P2028" i="2"/>
  <c r="Q2028" i="2"/>
  <c r="F2022" i="2"/>
  <c r="P2022" i="2"/>
  <c r="Q2022" i="2"/>
  <c r="F2016" i="2"/>
  <c r="P2016" i="2"/>
  <c r="Q2016" i="2"/>
  <c r="F2010" i="2"/>
  <c r="Q2010" i="2"/>
  <c r="P2010" i="2"/>
  <c r="P2004" i="2"/>
  <c r="Q2004" i="2"/>
  <c r="P1998" i="2"/>
  <c r="Q1998" i="2"/>
  <c r="Q1986" i="2"/>
  <c r="P1986" i="2"/>
  <c r="P1980" i="2"/>
  <c r="Q1980" i="2"/>
  <c r="P1974" i="2"/>
  <c r="Q1974" i="2"/>
  <c r="P1968" i="2"/>
  <c r="Q1968" i="2"/>
  <c r="P1962" i="2"/>
  <c r="Q1962" i="2"/>
  <c r="P1956" i="2"/>
  <c r="Q1956" i="2"/>
  <c r="P1944" i="2"/>
  <c r="Q1944" i="2"/>
  <c r="P1932" i="2"/>
  <c r="Q1932" i="2"/>
  <c r="Q1926" i="2"/>
  <c r="P1926" i="2"/>
  <c r="P1920" i="2"/>
  <c r="Q1920" i="2"/>
  <c r="P1914" i="2"/>
  <c r="Q1914" i="2"/>
  <c r="P1908" i="2"/>
  <c r="Q1908" i="2"/>
  <c r="P1902" i="2"/>
  <c r="Q1902" i="2"/>
  <c r="P1896" i="2"/>
  <c r="Q1896" i="2"/>
  <c r="Q1890" i="2"/>
  <c r="P1890" i="2"/>
  <c r="P1884" i="2"/>
  <c r="Q1884" i="2"/>
  <c r="P1878" i="2"/>
  <c r="Q1878" i="2"/>
  <c r="P1872" i="2"/>
  <c r="Q1872" i="2"/>
  <c r="P1866" i="2"/>
  <c r="Q1866" i="2"/>
  <c r="P1860" i="2"/>
  <c r="Q1860" i="2"/>
  <c r="Q1854" i="2"/>
  <c r="P1854" i="2"/>
  <c r="P1848" i="2"/>
  <c r="Q1848" i="2"/>
  <c r="P1842" i="2"/>
  <c r="Q1842" i="2"/>
  <c r="Q1830" i="2"/>
  <c r="P1830" i="2"/>
  <c r="P1824" i="2"/>
  <c r="Q1824" i="2"/>
  <c r="P1818" i="2"/>
  <c r="Q1818" i="2"/>
  <c r="P1806" i="2"/>
  <c r="Q1806" i="2"/>
  <c r="Q1800" i="2"/>
  <c r="P1800" i="2"/>
  <c r="P1794" i="2"/>
  <c r="Q1794" i="2"/>
  <c r="P1788" i="2"/>
  <c r="Q1788" i="2"/>
  <c r="Q1782" i="2"/>
  <c r="P1782" i="2"/>
  <c r="P1770" i="2"/>
  <c r="Q1770" i="2"/>
  <c r="P1764" i="2"/>
  <c r="Q1764" i="2"/>
  <c r="P1758" i="2"/>
  <c r="Q1758" i="2"/>
  <c r="P1746" i="2"/>
  <c r="Q1746" i="2"/>
  <c r="Q1740" i="2"/>
  <c r="P1740" i="2"/>
  <c r="P1728" i="2"/>
  <c r="Q1728" i="2"/>
  <c r="P1722" i="2"/>
  <c r="Q1722" i="2"/>
  <c r="P1716" i="2"/>
  <c r="Q1716" i="2"/>
  <c r="Q1710" i="2"/>
  <c r="P1710" i="2"/>
  <c r="P1704" i="2"/>
  <c r="Q1704" i="2"/>
  <c r="P1698" i="2"/>
  <c r="Q1698" i="2"/>
  <c r="P1692" i="2"/>
  <c r="Q1692" i="2"/>
  <c r="Q1686" i="2"/>
  <c r="P1686" i="2"/>
  <c r="P1674" i="2"/>
  <c r="Q1674" i="2"/>
  <c r="P1668" i="2"/>
  <c r="Q1668" i="2"/>
  <c r="P1662" i="2"/>
  <c r="Q1662" i="2"/>
  <c r="P1656" i="2"/>
  <c r="Q1656" i="2"/>
  <c r="P1650" i="2"/>
  <c r="Q1650" i="2"/>
  <c r="P1644" i="2"/>
  <c r="Q1644" i="2"/>
  <c r="P1638" i="2"/>
  <c r="Q1638" i="2"/>
  <c r="P1632" i="2"/>
  <c r="Q1632" i="2"/>
  <c r="P1626" i="2"/>
  <c r="Q1626" i="2"/>
  <c r="P1620" i="2"/>
  <c r="Q1620" i="2"/>
  <c r="P1608" i="2"/>
  <c r="Q1608" i="2"/>
  <c r="P1596" i="2"/>
  <c r="Q1596" i="2"/>
  <c r="Q1590" i="2"/>
  <c r="P1590" i="2"/>
  <c r="P1584" i="2"/>
  <c r="Q1584" i="2"/>
  <c r="P1572" i="2"/>
  <c r="Q1572" i="2"/>
  <c r="P1566" i="2"/>
  <c r="Q1566" i="2"/>
  <c r="P1554" i="2"/>
  <c r="Q1554" i="2"/>
  <c r="P1548" i="2"/>
  <c r="Q1548" i="2"/>
  <c r="Q1536" i="2"/>
  <c r="P1536" i="2"/>
  <c r="P1530" i="2"/>
  <c r="Q1530" i="2"/>
  <c r="P1524" i="2"/>
  <c r="Q1524" i="2"/>
  <c r="P1518" i="2"/>
  <c r="Q1518" i="2"/>
  <c r="P1512" i="2"/>
  <c r="Q1512" i="2"/>
  <c r="P1506" i="2"/>
  <c r="Q1506" i="2"/>
  <c r="P1494" i="2"/>
  <c r="Q1494" i="2"/>
  <c r="Q1488" i="2"/>
  <c r="P1488" i="2"/>
  <c r="P1482" i="2"/>
  <c r="Q1482" i="2"/>
  <c r="P1476" i="2"/>
  <c r="Q1476" i="2"/>
  <c r="P1458" i="2"/>
  <c r="Q1458" i="2"/>
  <c r="P1452" i="2"/>
  <c r="Q1452" i="2"/>
  <c r="P1446" i="2"/>
  <c r="Q1446" i="2"/>
  <c r="P1440" i="2"/>
  <c r="Q1440" i="2"/>
  <c r="Q1422" i="2"/>
  <c r="P1422" i="2"/>
  <c r="P1416" i="2"/>
  <c r="Q1416" i="2"/>
  <c r="P1410" i="2"/>
  <c r="Q1410" i="2"/>
  <c r="Q1398" i="2"/>
  <c r="P1398" i="2"/>
  <c r="P1392" i="2"/>
  <c r="Q1392" i="2"/>
  <c r="P1380" i="2"/>
  <c r="Q1380" i="2"/>
  <c r="P1374" i="2"/>
  <c r="Q1374" i="2"/>
  <c r="P1368" i="2"/>
  <c r="Q1368" i="2"/>
  <c r="P1362" i="2"/>
  <c r="Q1362" i="2"/>
  <c r="Q1356" i="2"/>
  <c r="P1356" i="2"/>
  <c r="P1350" i="2"/>
  <c r="Q1350" i="2"/>
  <c r="P1344" i="2"/>
  <c r="Q1344" i="2"/>
  <c r="P1338" i="2"/>
  <c r="Q1338" i="2"/>
  <c r="Q1332" i="2"/>
  <c r="P1332" i="2"/>
  <c r="P1326" i="2"/>
  <c r="Q1326" i="2"/>
  <c r="P1314" i="2"/>
  <c r="Q1314" i="2"/>
  <c r="P1308" i="2"/>
  <c r="Q1308" i="2"/>
  <c r="P1302" i="2"/>
  <c r="Q1302" i="2"/>
  <c r="P1296" i="2"/>
  <c r="Q1296" i="2"/>
  <c r="P1290" i="2"/>
  <c r="Q1290" i="2"/>
  <c r="P1284" i="2"/>
  <c r="Q1284" i="2"/>
  <c r="Q1278" i="2"/>
  <c r="P1278" i="2"/>
  <c r="P1266" i="2"/>
  <c r="Q1266" i="2"/>
  <c r="Q1254" i="2"/>
  <c r="P1254" i="2"/>
  <c r="P1248" i="2"/>
  <c r="Q1248" i="2"/>
  <c r="P1242" i="2"/>
  <c r="Q1242" i="2"/>
  <c r="P1236" i="2"/>
  <c r="Q1236" i="2"/>
  <c r="Q1224" i="2"/>
  <c r="P1224" i="2"/>
  <c r="P1218" i="2"/>
  <c r="Q1218" i="2"/>
  <c r="P1212" i="2"/>
  <c r="Q1212" i="2"/>
  <c r="P1206" i="2"/>
  <c r="Q1206" i="2"/>
  <c r="P1200" i="2"/>
  <c r="Q1200" i="2"/>
  <c r="Q1194" i="2"/>
  <c r="P1194" i="2"/>
  <c r="P1182" i="2"/>
  <c r="Q1182" i="2"/>
  <c r="P1176" i="2"/>
  <c r="Q1176" i="2"/>
  <c r="P1170" i="2"/>
  <c r="Q1170" i="2"/>
  <c r="P1164" i="2"/>
  <c r="Q1164" i="2"/>
  <c r="P1158" i="2"/>
  <c r="Q1158" i="2"/>
  <c r="P1152" i="2"/>
  <c r="Q1152" i="2"/>
  <c r="P1146" i="2"/>
  <c r="Q1146" i="2"/>
  <c r="P1140" i="2"/>
  <c r="Q1140" i="2"/>
  <c r="P1134" i="2"/>
  <c r="Q1134" i="2"/>
  <c r="P1128" i="2"/>
  <c r="Q1128" i="2"/>
  <c r="P1116" i="2"/>
  <c r="Q1116" i="2"/>
  <c r="P1104" i="2"/>
  <c r="Q1104" i="2"/>
  <c r="P1092" i="2"/>
  <c r="Q1092" i="2"/>
  <c r="P1074" i="2"/>
  <c r="Q1074" i="2"/>
  <c r="P1068" i="2"/>
  <c r="Q1068" i="2"/>
  <c r="P1062" i="2"/>
  <c r="Q1062" i="2"/>
  <c r="P1056" i="2"/>
  <c r="Q1056" i="2"/>
  <c r="P1044" i="2"/>
  <c r="Q1044" i="2"/>
  <c r="P1038" i="2"/>
  <c r="Q1038" i="2"/>
  <c r="P1026" i="2"/>
  <c r="Q1026" i="2"/>
  <c r="Q1014" i="2"/>
  <c r="P1014" i="2"/>
  <c r="P1002" i="2"/>
  <c r="Q1002" i="2"/>
  <c r="P990" i="2"/>
  <c r="Q990" i="2"/>
  <c r="P978" i="2"/>
  <c r="Q978" i="2"/>
  <c r="P966" i="2"/>
  <c r="Q966" i="2"/>
  <c r="P954" i="2"/>
  <c r="Q954" i="2"/>
  <c r="P948" i="2"/>
  <c r="Q948" i="2"/>
  <c r="P936" i="2"/>
  <c r="Q936" i="2"/>
  <c r="Q930" i="2"/>
  <c r="P930" i="2"/>
  <c r="P924" i="2"/>
  <c r="Q924" i="2"/>
  <c r="P918" i="2"/>
  <c r="Q918" i="2"/>
  <c r="P912" i="2"/>
  <c r="Q912" i="2"/>
  <c r="P906" i="2"/>
  <c r="Q906" i="2"/>
  <c r="P900" i="2"/>
  <c r="Q900" i="2"/>
  <c r="P888" i="2"/>
  <c r="Q888" i="2"/>
  <c r="P882" i="2"/>
  <c r="Q882" i="2"/>
  <c r="Q870" i="2"/>
  <c r="P870" i="2"/>
  <c r="Q864" i="2"/>
  <c r="P864" i="2"/>
  <c r="P858" i="2"/>
  <c r="Q858" i="2"/>
  <c r="Q840" i="2"/>
  <c r="P840" i="2"/>
  <c r="P834" i="2"/>
  <c r="Q834" i="2"/>
  <c r="P828" i="2"/>
  <c r="Q828" i="2"/>
  <c r="P822" i="2"/>
  <c r="Q822" i="2"/>
  <c r="Q816" i="2"/>
  <c r="P816" i="2"/>
  <c r="P810" i="2"/>
  <c r="Q810" i="2"/>
  <c r="P804" i="2"/>
  <c r="Q804" i="2"/>
  <c r="P798" i="2"/>
  <c r="Q798" i="2"/>
  <c r="Q792" i="2"/>
  <c r="P792" i="2"/>
  <c r="P786" i="2"/>
  <c r="Q786" i="2"/>
  <c r="P780" i="2"/>
  <c r="Q780" i="2"/>
  <c r="P774" i="2"/>
  <c r="Q774" i="2"/>
  <c r="P768" i="2"/>
  <c r="Q768" i="2"/>
  <c r="Q762" i="2"/>
  <c r="P762" i="2"/>
  <c r="P756" i="2"/>
  <c r="Q756" i="2"/>
  <c r="Q744" i="2"/>
  <c r="P744" i="2"/>
  <c r="P732" i="2"/>
  <c r="Q732" i="2"/>
  <c r="P726" i="2"/>
  <c r="Q726" i="2"/>
  <c r="Q714" i="2"/>
  <c r="P714" i="2"/>
  <c r="Q708" i="2"/>
  <c r="P708" i="2"/>
  <c r="P702" i="2"/>
  <c r="Q702" i="2"/>
  <c r="P696" i="2"/>
  <c r="Q696" i="2"/>
  <c r="P690" i="2"/>
  <c r="Q690" i="2"/>
  <c r="Q684" i="2"/>
  <c r="P684" i="2"/>
  <c r="P678" i="2"/>
  <c r="Q678" i="2"/>
  <c r="P672" i="2"/>
  <c r="Q672" i="2"/>
  <c r="P666" i="2"/>
  <c r="Q666" i="2"/>
  <c r="P660" i="2"/>
  <c r="Q660" i="2"/>
  <c r="P654" i="2"/>
  <c r="Q654" i="2"/>
  <c r="P648" i="2"/>
  <c r="Q648" i="2"/>
  <c r="Q636" i="2"/>
  <c r="P636" i="2"/>
  <c r="P630" i="2"/>
  <c r="Q630" i="2"/>
  <c r="P624" i="2"/>
  <c r="Q624" i="2"/>
  <c r="P612" i="2"/>
  <c r="Q612" i="2"/>
  <c r="Q606" i="2"/>
  <c r="P606" i="2"/>
  <c r="P600" i="2"/>
  <c r="Q600" i="2"/>
  <c r="P594" i="2"/>
  <c r="Q594" i="2"/>
  <c r="Q588" i="2"/>
  <c r="P588" i="2"/>
  <c r="P576" i="2"/>
  <c r="Q576" i="2"/>
  <c r="Q564" i="2"/>
  <c r="P564" i="2"/>
  <c r="P558" i="2"/>
  <c r="Q558" i="2"/>
  <c r="P552" i="2"/>
  <c r="Q552" i="2"/>
  <c r="P546" i="2"/>
  <c r="Q546" i="2"/>
  <c r="P534" i="2"/>
  <c r="Q534" i="2"/>
  <c r="P522" i="2"/>
  <c r="Q522" i="2"/>
  <c r="P510" i="2"/>
  <c r="Q510" i="2"/>
  <c r="P504" i="2"/>
  <c r="Q504" i="2"/>
  <c r="P498" i="2"/>
  <c r="Q498" i="2"/>
  <c r="P492" i="2"/>
  <c r="Q492" i="2"/>
  <c r="P480" i="2"/>
  <c r="Q480" i="2"/>
  <c r="P468" i="2"/>
  <c r="Q468" i="2"/>
  <c r="P456" i="2"/>
  <c r="Q456" i="2"/>
  <c r="P444" i="2"/>
  <c r="Q444" i="2"/>
  <c r="Q438" i="2"/>
  <c r="P438" i="2"/>
  <c r="P432" i="2"/>
  <c r="Q432" i="2"/>
  <c r="P426" i="2"/>
  <c r="Q426" i="2"/>
  <c r="P420" i="2"/>
  <c r="Q420" i="2"/>
  <c r="Q414" i="2"/>
  <c r="P414" i="2"/>
  <c r="P402" i="2"/>
  <c r="Q402" i="2"/>
  <c r="P396" i="2"/>
  <c r="Q396" i="2"/>
  <c r="Q390" i="2"/>
  <c r="P390" i="2"/>
  <c r="P384" i="2"/>
  <c r="Q384" i="2"/>
  <c r="P372" i="2"/>
  <c r="Q372" i="2"/>
  <c r="P360" i="2"/>
  <c r="Q360" i="2"/>
  <c r="P354" i="2"/>
  <c r="Q354" i="2"/>
  <c r="P348" i="2"/>
  <c r="Q348" i="2"/>
  <c r="P342" i="2"/>
  <c r="Q342" i="2"/>
  <c r="P336" i="2"/>
  <c r="Q336" i="2"/>
  <c r="P330" i="2"/>
  <c r="Q330" i="2"/>
  <c r="P324" i="2"/>
  <c r="Q324" i="2"/>
  <c r="P318" i="2"/>
  <c r="Q318" i="2"/>
  <c r="P312" i="2"/>
  <c r="Q312" i="2"/>
  <c r="P306" i="2"/>
  <c r="Q306" i="2"/>
  <c r="Q294" i="2"/>
  <c r="P294" i="2"/>
  <c r="P288" i="2"/>
  <c r="Q288" i="2"/>
  <c r="P276" i="2"/>
  <c r="Q276" i="2"/>
  <c r="P270" i="2"/>
  <c r="Q270" i="2"/>
  <c r="P258" i="2"/>
  <c r="Q258" i="2"/>
  <c r="P252" i="2"/>
  <c r="Q252" i="2"/>
  <c r="P246" i="2"/>
  <c r="Q246" i="2"/>
  <c r="Q240" i="2"/>
  <c r="P240" i="2"/>
  <c r="P234" i="2"/>
  <c r="Q234" i="2"/>
  <c r="P222" i="2"/>
  <c r="Q222" i="2"/>
  <c r="P216" i="2"/>
  <c r="Q216" i="2"/>
  <c r="P210" i="2"/>
  <c r="Q210" i="2"/>
  <c r="P198" i="2"/>
  <c r="Q198" i="2"/>
  <c r="P186" i="2"/>
  <c r="Q186" i="2"/>
  <c r="P180" i="2"/>
  <c r="Q180" i="2"/>
  <c r="P174" i="2"/>
  <c r="Q174" i="2"/>
  <c r="P162" i="2"/>
  <c r="Q162" i="2"/>
  <c r="P156" i="2"/>
  <c r="Q156" i="2"/>
  <c r="P150" i="2"/>
  <c r="Q150" i="2"/>
  <c r="P138" i="2"/>
  <c r="Q138" i="2"/>
  <c r="P132" i="2"/>
  <c r="Q132" i="2"/>
  <c r="P120" i="2"/>
  <c r="Q120" i="2"/>
  <c r="P108" i="2"/>
  <c r="Q108" i="2"/>
  <c r="P96" i="2"/>
  <c r="Q96" i="2"/>
  <c r="Q84" i="2"/>
  <c r="P84" i="2"/>
  <c r="P78" i="2"/>
  <c r="Q78" i="2"/>
  <c r="P72" i="2"/>
  <c r="Q72" i="2"/>
  <c r="P66" i="2"/>
  <c r="Q66" i="2"/>
  <c r="P60" i="2"/>
  <c r="Q60" i="2"/>
  <c r="P48" i="2"/>
  <c r="Q48" i="2"/>
  <c r="P36" i="2"/>
  <c r="Q36" i="2"/>
  <c r="P30" i="2"/>
  <c r="Q30" i="2"/>
  <c r="P2435" i="2"/>
  <c r="P2250" i="2"/>
  <c r="P1789" i="2"/>
  <c r="P21" i="2"/>
  <c r="Q21" i="2"/>
  <c r="Q15" i="2"/>
  <c r="P15" i="2"/>
  <c r="P9" i="2"/>
  <c r="Q9" i="2"/>
  <c r="F2461" i="2"/>
  <c r="P2461" i="2"/>
  <c r="Q2461" i="2"/>
  <c r="F2455" i="2"/>
  <c r="P2455" i="2"/>
  <c r="Q2455" i="2"/>
  <c r="F2449" i="2"/>
  <c r="P2449" i="2"/>
  <c r="F2443" i="2"/>
  <c r="P2443" i="2"/>
  <c r="Q2443" i="2"/>
  <c r="F2437" i="2"/>
  <c r="P2437" i="2"/>
  <c r="F2431" i="2"/>
  <c r="P2431" i="2"/>
  <c r="Q2431" i="2"/>
  <c r="F2425" i="2"/>
  <c r="P2425" i="2"/>
  <c r="Q2425" i="2"/>
  <c r="F2419" i="2"/>
  <c r="P2419" i="2"/>
  <c r="F2413" i="2"/>
  <c r="P2413" i="2"/>
  <c r="Q2413" i="2"/>
  <c r="F2407" i="2"/>
  <c r="Q2407" i="2"/>
  <c r="P2407" i="2"/>
  <c r="F2401" i="2"/>
  <c r="P2401" i="2"/>
  <c r="Q2401" i="2"/>
  <c r="F2395" i="2"/>
  <c r="P2395" i="2"/>
  <c r="Q2395" i="2"/>
  <c r="F2389" i="2"/>
  <c r="P2389" i="2"/>
  <c r="Q2389" i="2"/>
  <c r="F2383" i="2"/>
  <c r="Q2383" i="2"/>
  <c r="P2383" i="2"/>
  <c r="F2377" i="2"/>
  <c r="P2377" i="2"/>
  <c r="Q2377" i="2"/>
  <c r="F2371" i="2"/>
  <c r="P2371" i="2"/>
  <c r="Q2371" i="2"/>
  <c r="F2365" i="2"/>
  <c r="P2365" i="2"/>
  <c r="F2359" i="2"/>
  <c r="Q2359" i="2"/>
  <c r="P2359" i="2"/>
  <c r="F2353" i="2"/>
  <c r="P2353" i="2"/>
  <c r="F2347" i="2"/>
  <c r="P2347" i="2"/>
  <c r="Q2347" i="2"/>
  <c r="F2341" i="2"/>
  <c r="P2341" i="2"/>
  <c r="Q2341" i="2"/>
  <c r="F2335" i="2"/>
  <c r="Q2335" i="2"/>
  <c r="P2335" i="2"/>
  <c r="F2329" i="2"/>
  <c r="P2329" i="2"/>
  <c r="Q2329" i="2"/>
  <c r="F2323" i="2"/>
  <c r="P2323" i="2"/>
  <c r="Q2323" i="2"/>
  <c r="F2317" i="2"/>
  <c r="P2317" i="2"/>
  <c r="F2311" i="2"/>
  <c r="P2311" i="2"/>
  <c r="F2305" i="2"/>
  <c r="Q2305" i="2"/>
  <c r="P2305" i="2"/>
  <c r="F2299" i="2"/>
  <c r="P2299" i="2"/>
  <c r="F2293" i="2"/>
  <c r="P2293" i="2"/>
  <c r="Q2293" i="2"/>
  <c r="F2287" i="2"/>
  <c r="P2287" i="2"/>
  <c r="Q2287" i="2"/>
  <c r="F2281" i="2"/>
  <c r="Q2281" i="2"/>
  <c r="F2275" i="2"/>
  <c r="P2275" i="2"/>
  <c r="F2269" i="2"/>
  <c r="P2269" i="2"/>
  <c r="Q2269" i="2"/>
  <c r="F2263" i="2"/>
  <c r="P2263" i="2"/>
  <c r="Q2263" i="2"/>
  <c r="F2257" i="2"/>
  <c r="Q2257" i="2"/>
  <c r="P2257" i="2"/>
  <c r="F2251" i="2"/>
  <c r="P2251" i="2"/>
  <c r="Q2251" i="2"/>
  <c r="F2245" i="2"/>
  <c r="P2245" i="2"/>
  <c r="Q2245" i="2"/>
  <c r="F2239" i="2"/>
  <c r="P2239" i="2"/>
  <c r="F2233" i="2"/>
  <c r="Q2233" i="2"/>
  <c r="P2233" i="2"/>
  <c r="F2227" i="2"/>
  <c r="P2227" i="2"/>
  <c r="Q2227" i="2"/>
  <c r="F2221" i="2"/>
  <c r="P2221" i="2"/>
  <c r="Q2221" i="2"/>
  <c r="F2215" i="2"/>
  <c r="P2215" i="2"/>
  <c r="F2209" i="2"/>
  <c r="Q2209" i="2"/>
  <c r="P2209" i="2"/>
  <c r="F2203" i="2"/>
  <c r="P2203" i="2"/>
  <c r="Q2203" i="2"/>
  <c r="F2197" i="2"/>
  <c r="P2197" i="2"/>
  <c r="F2191" i="2"/>
  <c r="P2191" i="2"/>
  <c r="Q2191" i="2"/>
  <c r="F2185" i="2"/>
  <c r="P2185" i="2"/>
  <c r="F2179" i="2"/>
  <c r="P2179" i="2"/>
  <c r="Q2179" i="2"/>
  <c r="F2173" i="2"/>
  <c r="P2173" i="2"/>
  <c r="F2167" i="2"/>
  <c r="P2167" i="2"/>
  <c r="Q2167" i="2"/>
  <c r="F2161" i="2"/>
  <c r="Q2161" i="2"/>
  <c r="P2161" i="2"/>
  <c r="F2155" i="2"/>
  <c r="P2155" i="2"/>
  <c r="Q2155" i="2"/>
  <c r="F2149" i="2"/>
  <c r="P2149" i="2"/>
  <c r="F2143" i="2"/>
  <c r="P2143" i="2"/>
  <c r="Q2143" i="2"/>
  <c r="F2137" i="2"/>
  <c r="P2137" i="2"/>
  <c r="Q2137" i="2"/>
  <c r="F2131" i="2"/>
  <c r="P2131" i="2"/>
  <c r="F2125" i="2"/>
  <c r="P2125" i="2"/>
  <c r="F2119" i="2"/>
  <c r="P2119" i="2"/>
  <c r="Q2119" i="2"/>
  <c r="F2113" i="2"/>
  <c r="Q2113" i="2"/>
  <c r="P2113" i="2"/>
  <c r="F2107" i="2"/>
  <c r="P2107" i="2"/>
  <c r="Q2107" i="2"/>
  <c r="F2101" i="2"/>
  <c r="P2101" i="2"/>
  <c r="Q2101" i="2"/>
  <c r="F2095" i="2"/>
  <c r="P2095" i="2"/>
  <c r="Q2095" i="2"/>
  <c r="P2089" i="2"/>
  <c r="F2089" i="2"/>
  <c r="F2083" i="2"/>
  <c r="P2083" i="2"/>
  <c r="Q2083" i="2"/>
  <c r="F2077" i="2"/>
  <c r="P2077" i="2"/>
  <c r="Q2077" i="2"/>
  <c r="F2071" i="2"/>
  <c r="P2071" i="2"/>
  <c r="F2065" i="2"/>
  <c r="Q2065" i="2"/>
  <c r="F2059" i="2"/>
  <c r="P2059" i="2"/>
  <c r="F2053" i="2"/>
  <c r="P2053" i="2"/>
  <c r="F2047" i="2"/>
  <c r="P2047" i="2"/>
  <c r="Q2047" i="2"/>
  <c r="F2041" i="2"/>
  <c r="P2041" i="2"/>
  <c r="Q2041" i="2"/>
  <c r="F2035" i="2"/>
  <c r="P2035" i="2"/>
  <c r="F2029" i="2"/>
  <c r="P2029" i="2"/>
  <c r="F2023" i="2"/>
  <c r="Q2023" i="2"/>
  <c r="P2023" i="2"/>
  <c r="F2017" i="2"/>
  <c r="P2017" i="2"/>
  <c r="Q2017" i="2"/>
  <c r="F2011" i="2"/>
  <c r="P2011" i="2"/>
  <c r="Q2011" i="2"/>
  <c r="F2005" i="2"/>
  <c r="N2005" i="2" s="1"/>
  <c r="P2005" i="2"/>
  <c r="P1999" i="2"/>
  <c r="Q1999" i="2"/>
  <c r="Q1993" i="2"/>
  <c r="P1993" i="2"/>
  <c r="P1975" i="2"/>
  <c r="Q1975" i="2"/>
  <c r="P1969" i="2"/>
  <c r="Q1969" i="2"/>
  <c r="P1963" i="2"/>
  <c r="Q1963" i="2"/>
  <c r="P1957" i="2"/>
  <c r="Q1957" i="2"/>
  <c r="P1951" i="2"/>
  <c r="Q1951" i="2"/>
  <c r="Q1945" i="2"/>
  <c r="P1945" i="2"/>
  <c r="P1939" i="2"/>
  <c r="Q1939" i="2"/>
  <c r="P1933" i="2"/>
  <c r="Q1933" i="2"/>
  <c r="P1927" i="2"/>
  <c r="Q1927" i="2"/>
  <c r="P1915" i="2"/>
  <c r="Q1915" i="2"/>
  <c r="P1909" i="2"/>
  <c r="Q1909" i="2"/>
  <c r="P1903" i="2"/>
  <c r="Q1903" i="2"/>
  <c r="Q1897" i="2"/>
  <c r="P1897" i="2"/>
  <c r="P1885" i="2"/>
  <c r="Q1885" i="2"/>
  <c r="P1873" i="2"/>
  <c r="Q1873" i="2"/>
  <c r="P1861" i="2"/>
  <c r="Q1861" i="2"/>
  <c r="P1855" i="2"/>
  <c r="Q1855" i="2"/>
  <c r="P1843" i="2"/>
  <c r="Q1843" i="2"/>
  <c r="Q1837" i="2"/>
  <c r="P1837" i="2"/>
  <c r="P1825" i="2"/>
  <c r="Q1825" i="2"/>
  <c r="P1819" i="2"/>
  <c r="Q1819" i="2"/>
  <c r="P1813" i="2"/>
  <c r="Q1813" i="2"/>
  <c r="P1801" i="2"/>
  <c r="Q1801" i="2"/>
  <c r="P1795" i="2"/>
  <c r="Q1795" i="2"/>
  <c r="P1777" i="2"/>
  <c r="Q1777" i="2"/>
  <c r="P1771" i="2"/>
  <c r="Q1771" i="2"/>
  <c r="P1765" i="2"/>
  <c r="Q1765" i="2"/>
  <c r="P1753" i="2"/>
  <c r="Q1753" i="2"/>
  <c r="Q1747" i="2"/>
  <c r="P1747" i="2"/>
  <c r="P1735" i="2"/>
  <c r="Q1735" i="2"/>
  <c r="P1729" i="2"/>
  <c r="Q1729" i="2"/>
  <c r="P1723" i="2"/>
  <c r="Q1723" i="2"/>
  <c r="P1717" i="2"/>
  <c r="Q1717" i="2"/>
  <c r="P1711" i="2"/>
  <c r="Q1711" i="2"/>
  <c r="P1699" i="2"/>
  <c r="Q1699" i="2"/>
  <c r="P1687" i="2"/>
  <c r="Q1687" i="2"/>
  <c r="P1681" i="2"/>
  <c r="Q1681" i="2"/>
  <c r="Q1675" i="2"/>
  <c r="P1675" i="2"/>
  <c r="P1669" i="2"/>
  <c r="Q1669" i="2"/>
  <c r="P1657" i="2"/>
  <c r="Q1657" i="2"/>
  <c r="P1645" i="2"/>
  <c r="Q1645" i="2"/>
  <c r="P1633" i="2"/>
  <c r="Q1633" i="2"/>
  <c r="P1621" i="2"/>
  <c r="Q1621" i="2"/>
  <c r="P1615" i="2"/>
  <c r="Q1615" i="2"/>
  <c r="P1609" i="2"/>
  <c r="Q1609" i="2"/>
  <c r="P1603" i="2"/>
  <c r="Q1603" i="2"/>
  <c r="P1591" i="2"/>
  <c r="Q1591" i="2"/>
  <c r="P1585" i="2"/>
  <c r="Q1585" i="2"/>
  <c r="P1579" i="2"/>
  <c r="Q1579" i="2"/>
  <c r="P1567" i="2"/>
  <c r="Q1567" i="2"/>
  <c r="P1561" i="2"/>
  <c r="Q1561" i="2"/>
  <c r="P1555" i="2"/>
  <c r="Q1555" i="2"/>
  <c r="P1549" i="2"/>
  <c r="Q1549" i="2"/>
  <c r="Q1543" i="2"/>
  <c r="P1543" i="2"/>
  <c r="P1531" i="2"/>
  <c r="Q1531" i="2"/>
  <c r="P1525" i="2"/>
  <c r="Q1525" i="2"/>
  <c r="P1513" i="2"/>
  <c r="Q1513" i="2"/>
  <c r="P1501" i="2"/>
  <c r="Q1501" i="2"/>
  <c r="Q1495" i="2"/>
  <c r="P1495" i="2"/>
  <c r="P1483" i="2"/>
  <c r="Q1483" i="2"/>
  <c r="P1465" i="2"/>
  <c r="Q1465" i="2"/>
  <c r="P1459" i="2"/>
  <c r="Q1459" i="2"/>
  <c r="P1447" i="2"/>
  <c r="Q1447" i="2"/>
  <c r="P1441" i="2"/>
  <c r="Q1441" i="2"/>
  <c r="P1435" i="2"/>
  <c r="Q1435" i="2"/>
  <c r="Q1429" i="2"/>
  <c r="P1429" i="2"/>
  <c r="P1417" i="2"/>
  <c r="Q1417" i="2"/>
  <c r="Q1405" i="2"/>
  <c r="P1405" i="2"/>
  <c r="P1399" i="2"/>
  <c r="Q1399" i="2"/>
  <c r="P1393" i="2"/>
  <c r="Q1393" i="2"/>
  <c r="P1387" i="2"/>
  <c r="Q1387" i="2"/>
  <c r="P1375" i="2"/>
  <c r="Q1375" i="2"/>
  <c r="P1363" i="2"/>
  <c r="Q1363" i="2"/>
  <c r="P1357" i="2"/>
  <c r="Q1357" i="2"/>
  <c r="P1345" i="2"/>
  <c r="Q1345" i="2"/>
  <c r="P1333" i="2"/>
  <c r="Q1333" i="2"/>
  <c r="P1327" i="2"/>
  <c r="Q1327" i="2"/>
  <c r="P1321" i="2"/>
  <c r="Q1321" i="2"/>
  <c r="P1309" i="2"/>
  <c r="Q1309" i="2"/>
  <c r="P1297" i="2"/>
  <c r="Q1297" i="2"/>
  <c r="P1285" i="2"/>
  <c r="Q1285" i="2"/>
  <c r="P1279" i="2"/>
  <c r="Q1279" i="2"/>
  <c r="P1273" i="2"/>
  <c r="Q1273" i="2"/>
  <c r="P1267" i="2"/>
  <c r="Q1267" i="2"/>
  <c r="Q1261" i="2"/>
  <c r="P1261" i="2"/>
  <c r="P1249" i="2"/>
  <c r="Q1249" i="2"/>
  <c r="P1243" i="2"/>
  <c r="Q1243" i="2"/>
  <c r="P1237" i="2"/>
  <c r="Q1237" i="2"/>
  <c r="Q1231" i="2"/>
  <c r="P1231" i="2"/>
  <c r="P1219" i="2"/>
  <c r="Q1219" i="2"/>
  <c r="P1213" i="2"/>
  <c r="Q1213" i="2"/>
  <c r="P1201" i="2"/>
  <c r="Q1201" i="2"/>
  <c r="P1195" i="2"/>
  <c r="Q1195" i="2"/>
  <c r="P1189" i="2"/>
  <c r="Q1189" i="2"/>
  <c r="Q1177" i="2"/>
  <c r="P1177" i="2"/>
  <c r="P1171" i="2"/>
  <c r="Q1171" i="2"/>
  <c r="P1159" i="2"/>
  <c r="Q1159" i="2"/>
  <c r="P1147" i="2"/>
  <c r="Q1147" i="2"/>
  <c r="P1135" i="2"/>
  <c r="Q1135" i="2"/>
  <c r="Q1129" i="2"/>
  <c r="P1129" i="2"/>
  <c r="P1123" i="2"/>
  <c r="Q1123" i="2"/>
  <c r="P1117" i="2"/>
  <c r="Q1117" i="2"/>
  <c r="P1111" i="2"/>
  <c r="Q1111" i="2"/>
  <c r="P1105" i="2"/>
  <c r="Q1105" i="2"/>
  <c r="P1099" i="2"/>
  <c r="Q1099" i="2"/>
  <c r="Q1093" i="2"/>
  <c r="P1093" i="2"/>
  <c r="P1087" i="2"/>
  <c r="Q1087" i="2"/>
  <c r="P1081" i="2"/>
  <c r="Q1081" i="2"/>
  <c r="P1069" i="2"/>
  <c r="Q1069" i="2"/>
  <c r="Q1063" i="2"/>
  <c r="P1063" i="2"/>
  <c r="P1057" i="2"/>
  <c r="Q1057" i="2"/>
  <c r="P1051" i="2"/>
  <c r="Q1051" i="2"/>
  <c r="Q1045" i="2"/>
  <c r="P1045" i="2"/>
  <c r="P1033" i="2"/>
  <c r="Q1033" i="2"/>
  <c r="P1021" i="2"/>
  <c r="Q1021" i="2"/>
  <c r="Q1015" i="2"/>
  <c r="P1015" i="2"/>
  <c r="P1009" i="2"/>
  <c r="Q1009" i="2"/>
  <c r="P1003" i="2"/>
  <c r="Q1003" i="2"/>
  <c r="P997" i="2"/>
  <c r="Q997" i="2"/>
  <c r="Q991" i="2"/>
  <c r="P991" i="2"/>
  <c r="P985" i="2"/>
  <c r="Q985" i="2"/>
  <c r="P979" i="2"/>
  <c r="Q979" i="2"/>
  <c r="Q973" i="2"/>
  <c r="P973" i="2"/>
  <c r="Q967" i="2"/>
  <c r="P967" i="2"/>
  <c r="P961" i="2"/>
  <c r="Q961" i="2"/>
  <c r="P955" i="2"/>
  <c r="Q955" i="2"/>
  <c r="P949" i="2"/>
  <c r="Q949" i="2"/>
  <c r="P943" i="2"/>
  <c r="Q943" i="2"/>
  <c r="P931" i="2"/>
  <c r="Q931" i="2"/>
  <c r="P919" i="2"/>
  <c r="Q919" i="2"/>
  <c r="Q901" i="2"/>
  <c r="P901" i="2"/>
  <c r="P895" i="2"/>
  <c r="Q895" i="2"/>
  <c r="P889" i="2"/>
  <c r="Q889" i="2"/>
  <c r="P883" i="2"/>
  <c r="Q883" i="2"/>
  <c r="P877" i="2"/>
  <c r="Q877" i="2"/>
  <c r="Q871" i="2"/>
  <c r="P871" i="2"/>
  <c r="P865" i="2"/>
  <c r="Q865" i="2"/>
  <c r="P853" i="2"/>
  <c r="Q853" i="2"/>
  <c r="Q847" i="2"/>
  <c r="P847" i="2"/>
  <c r="P835" i="2"/>
  <c r="Q835" i="2"/>
  <c r="P823" i="2"/>
  <c r="Q823" i="2"/>
  <c r="P817" i="2"/>
  <c r="Q817" i="2"/>
  <c r="P799" i="2"/>
  <c r="Q799" i="2"/>
  <c r="P793" i="2"/>
  <c r="Q793" i="2"/>
  <c r="Q769" i="2"/>
  <c r="P769" i="2"/>
  <c r="P757" i="2"/>
  <c r="Q757" i="2"/>
  <c r="P751" i="2"/>
  <c r="Q751" i="2"/>
  <c r="P739" i="2"/>
  <c r="Q739" i="2"/>
  <c r="P727" i="2"/>
  <c r="Q727" i="2"/>
  <c r="P721" i="2"/>
  <c r="Q721" i="2"/>
  <c r="P709" i="2"/>
  <c r="Q709" i="2"/>
  <c r="P703" i="2"/>
  <c r="Q703" i="2"/>
  <c r="P697" i="2"/>
  <c r="Q697" i="2"/>
  <c r="Q691" i="2"/>
  <c r="P691" i="2"/>
  <c r="Q679" i="2"/>
  <c r="P679" i="2"/>
  <c r="Q673" i="2"/>
  <c r="P673" i="2"/>
  <c r="P661" i="2"/>
  <c r="Q661" i="2"/>
  <c r="P649" i="2"/>
  <c r="Q649" i="2"/>
  <c r="Q643" i="2"/>
  <c r="P643" i="2"/>
  <c r="P631" i="2"/>
  <c r="Q631" i="2"/>
  <c r="P625" i="2"/>
  <c r="Q625" i="2"/>
  <c r="P619" i="2"/>
  <c r="Q619" i="2"/>
  <c r="P607" i="2"/>
  <c r="Q607" i="2"/>
  <c r="Q595" i="2"/>
  <c r="P595" i="2"/>
  <c r="P583" i="2"/>
  <c r="Q583" i="2"/>
  <c r="P577" i="2"/>
  <c r="Q577" i="2"/>
  <c r="Q571" i="2"/>
  <c r="P571" i="2"/>
  <c r="P559" i="2"/>
  <c r="Q559" i="2"/>
  <c r="Q547" i="2"/>
  <c r="P547" i="2"/>
  <c r="P541" i="2"/>
  <c r="Q541" i="2"/>
  <c r="P535" i="2"/>
  <c r="Q535" i="2"/>
  <c r="P529" i="2"/>
  <c r="Q529" i="2"/>
  <c r="Q523" i="2"/>
  <c r="P523" i="2"/>
  <c r="P517" i="2"/>
  <c r="Q517" i="2"/>
  <c r="P511" i="2"/>
  <c r="Q511" i="2"/>
  <c r="P505" i="2"/>
  <c r="Q505" i="2"/>
  <c r="P493" i="2"/>
  <c r="Q493" i="2"/>
  <c r="P487" i="2"/>
  <c r="Q487" i="2"/>
  <c r="P481" i="2"/>
  <c r="Q481" i="2"/>
  <c r="P475" i="2"/>
  <c r="Q475" i="2"/>
  <c r="P469" i="2"/>
  <c r="Q469" i="2"/>
  <c r="P463" i="2"/>
  <c r="Q463" i="2"/>
  <c r="P457" i="2"/>
  <c r="Q457" i="2"/>
  <c r="P451" i="2"/>
  <c r="Q451" i="2"/>
  <c r="P445" i="2"/>
  <c r="Q445" i="2"/>
  <c r="P439" i="2"/>
  <c r="Q439" i="2"/>
  <c r="P427" i="2"/>
  <c r="Q427" i="2"/>
  <c r="P415" i="2"/>
  <c r="Q415" i="2"/>
  <c r="P409" i="2"/>
  <c r="Q409" i="2"/>
  <c r="P403" i="2"/>
  <c r="Q403" i="2"/>
  <c r="Q397" i="2"/>
  <c r="P397" i="2"/>
  <c r="P385" i="2"/>
  <c r="Q385" i="2"/>
  <c r="P379" i="2"/>
  <c r="Q379" i="2"/>
  <c r="Q373" i="2"/>
  <c r="P373" i="2"/>
  <c r="P367" i="2"/>
  <c r="Q367" i="2"/>
  <c r="P361" i="2"/>
  <c r="Q361" i="2"/>
  <c r="P355" i="2"/>
  <c r="Q355" i="2"/>
  <c r="P343" i="2"/>
  <c r="Q343" i="2"/>
  <c r="P331" i="2"/>
  <c r="Q331" i="2"/>
  <c r="P319" i="2"/>
  <c r="Q319" i="2"/>
  <c r="P307" i="2"/>
  <c r="Q307" i="2"/>
  <c r="P301" i="2"/>
  <c r="Q301" i="2"/>
  <c r="P289" i="2"/>
  <c r="Q289" i="2"/>
  <c r="P283" i="2"/>
  <c r="Q283" i="2"/>
  <c r="Q277" i="2"/>
  <c r="P277" i="2"/>
  <c r="P271" i="2"/>
  <c r="Q271" i="2"/>
  <c r="P265" i="2"/>
  <c r="Q265" i="2"/>
  <c r="P253" i="2"/>
  <c r="Q253" i="2"/>
  <c r="P241" i="2"/>
  <c r="Q241" i="2"/>
  <c r="P235" i="2"/>
  <c r="Q235" i="2"/>
  <c r="P229" i="2"/>
  <c r="Q229" i="2"/>
  <c r="Q223" i="2"/>
  <c r="P223" i="2"/>
  <c r="P217" i="2"/>
  <c r="Q217" i="2"/>
  <c r="P205" i="2"/>
  <c r="Q205" i="2"/>
  <c r="Q199" i="2"/>
  <c r="P199" i="2"/>
  <c r="P193" i="2"/>
  <c r="Q193" i="2"/>
  <c r="P187" i="2"/>
  <c r="Q187" i="2"/>
  <c r="Q175" i="2"/>
  <c r="P175" i="2"/>
  <c r="P169" i="2"/>
  <c r="Q169" i="2"/>
  <c r="P163" i="2"/>
  <c r="Q163" i="2"/>
  <c r="Q151" i="2"/>
  <c r="P151" i="2"/>
  <c r="P145" i="2"/>
  <c r="Q145" i="2"/>
  <c r="P133" i="2"/>
  <c r="Q133" i="2"/>
  <c r="P127" i="2"/>
  <c r="Q127" i="2"/>
  <c r="P121" i="2"/>
  <c r="Q121" i="2"/>
  <c r="P115" i="2"/>
  <c r="Q115" i="2"/>
  <c r="P109" i="2"/>
  <c r="Q109" i="2"/>
  <c r="P103" i="2"/>
  <c r="Q103" i="2"/>
  <c r="P97" i="2"/>
  <c r="Q97" i="2"/>
  <c r="Q91" i="2"/>
  <c r="P91" i="2"/>
  <c r="P85" i="2"/>
  <c r="Q85" i="2"/>
  <c r="P73" i="2"/>
  <c r="Q73" i="2"/>
  <c r="P55" i="2"/>
  <c r="Q55" i="2"/>
  <c r="Q49" i="2"/>
  <c r="P49" i="2"/>
  <c r="P43" i="2"/>
  <c r="Q43" i="2"/>
  <c r="P37" i="2"/>
  <c r="Q37" i="2"/>
  <c r="Q25" i="2"/>
  <c r="P25" i="2"/>
  <c r="P2219" i="2"/>
  <c r="Q2033" i="2"/>
  <c r="P1726" i="2"/>
  <c r="R9" i="2"/>
  <c r="S10" i="2"/>
  <c r="J3" i="5"/>
  <c r="J75" i="5"/>
  <c r="J147" i="5"/>
  <c r="J219" i="5"/>
  <c r="J291" i="5"/>
  <c r="J363" i="5"/>
  <c r="J435" i="5"/>
  <c r="J507" i="5"/>
  <c r="J579" i="5"/>
  <c r="J651" i="5"/>
  <c r="J723" i="5"/>
  <c r="J795" i="5"/>
  <c r="J867" i="5"/>
  <c r="J939" i="5"/>
  <c r="J1011" i="5"/>
  <c r="J1083" i="5"/>
  <c r="J1155" i="5"/>
  <c r="J4" i="5"/>
  <c r="J76" i="5"/>
  <c r="J148" i="5"/>
  <c r="J220" i="5"/>
  <c r="J292" i="5"/>
  <c r="J364" i="5"/>
  <c r="J436" i="5"/>
  <c r="J508" i="5"/>
  <c r="J580" i="5"/>
  <c r="J652" i="5"/>
  <c r="J724" i="5"/>
  <c r="J796" i="5"/>
  <c r="J868" i="5"/>
  <c r="J940" i="5"/>
  <c r="J1012" i="5"/>
  <c r="J65" i="5"/>
  <c r="J137" i="5"/>
  <c r="J209" i="5"/>
  <c r="J281" i="5"/>
  <c r="J353" i="5"/>
  <c r="J425" i="5"/>
  <c r="J497" i="5"/>
  <c r="J569" i="5"/>
  <c r="J641" i="5"/>
  <c r="J713" i="5"/>
  <c r="J785" i="5"/>
  <c r="J857" i="5"/>
  <c r="J929" i="5"/>
  <c r="J1001" i="5"/>
  <c r="J1073" i="5"/>
  <c r="J1145" i="5"/>
  <c r="J1217" i="5"/>
  <c r="J1289" i="5"/>
  <c r="J1361" i="5"/>
  <c r="J1433" i="5"/>
  <c r="J15" i="5"/>
  <c r="J87" i="5"/>
  <c r="J159" i="5"/>
  <c r="J231" i="5"/>
  <c r="J303" i="5"/>
  <c r="J375" i="5"/>
  <c r="J447" i="5"/>
  <c r="J519" i="5"/>
  <c r="J591" i="5"/>
  <c r="J663" i="5"/>
  <c r="J735" i="5"/>
  <c r="J807" i="5"/>
  <c r="J879" i="5"/>
  <c r="J951" i="5"/>
  <c r="J1023" i="5"/>
  <c r="J1095" i="5"/>
  <c r="J1167" i="5"/>
  <c r="J16" i="5"/>
  <c r="J88" i="5"/>
  <c r="J160" i="5"/>
  <c r="J232" i="5"/>
  <c r="J304" i="5"/>
  <c r="J376" i="5"/>
  <c r="J448" i="5"/>
  <c r="J520" i="5"/>
  <c r="J592" i="5"/>
  <c r="J664" i="5"/>
  <c r="J736" i="5"/>
  <c r="J808" i="5"/>
  <c r="J880" i="5"/>
  <c r="J952" i="5"/>
  <c r="J5" i="5"/>
  <c r="J77" i="5"/>
  <c r="J149" i="5"/>
  <c r="J221" i="5"/>
  <c r="J293" i="5"/>
  <c r="J365" i="5"/>
  <c r="J437" i="5"/>
  <c r="J509" i="5"/>
  <c r="J581" i="5"/>
  <c r="J653" i="5"/>
  <c r="J725" i="5"/>
  <c r="J797" i="5"/>
  <c r="J869" i="5"/>
  <c r="J941" i="5"/>
  <c r="J1013" i="5"/>
  <c r="J1085" i="5"/>
  <c r="J1157" i="5"/>
  <c r="J1229" i="5"/>
  <c r="J1301" i="5"/>
  <c r="J1373" i="5"/>
  <c r="J6" i="5"/>
  <c r="J78" i="5"/>
  <c r="J150" i="5"/>
  <c r="J222" i="5"/>
  <c r="J294" i="5"/>
  <c r="J366" i="5"/>
  <c r="J438" i="5"/>
  <c r="J510" i="5"/>
  <c r="J582" i="5"/>
  <c r="J654" i="5"/>
  <c r="J726" i="5"/>
  <c r="J798" i="5"/>
  <c r="J870" i="5"/>
  <c r="J942" i="5"/>
  <c r="J1014" i="5"/>
  <c r="J1086" i="5"/>
  <c r="J1158" i="5"/>
  <c r="J55" i="5"/>
  <c r="J127" i="5"/>
  <c r="J199" i="5"/>
  <c r="J271" i="5"/>
  <c r="J343" i="5"/>
  <c r="J415" i="5"/>
  <c r="J487" i="5"/>
  <c r="J559" i="5"/>
  <c r="J631" i="5"/>
  <c r="J703" i="5"/>
  <c r="J775" i="5"/>
  <c r="J847" i="5"/>
  <c r="J39" i="5"/>
  <c r="J111" i="5"/>
  <c r="J183" i="5"/>
  <c r="J255" i="5"/>
  <c r="J327" i="5"/>
  <c r="J399" i="5"/>
  <c r="J471" i="5"/>
  <c r="J543" i="5"/>
  <c r="J615" i="5"/>
  <c r="J687" i="5"/>
  <c r="J759" i="5"/>
  <c r="J831" i="5"/>
  <c r="J903" i="5"/>
  <c r="J975" i="5"/>
  <c r="J1047" i="5"/>
  <c r="J51" i="5"/>
  <c r="J123" i="5"/>
  <c r="J195" i="5"/>
  <c r="J267" i="5"/>
  <c r="J339" i="5"/>
  <c r="J411" i="5"/>
  <c r="J483" i="5"/>
  <c r="J555" i="5"/>
  <c r="J627" i="5"/>
  <c r="J699" i="5"/>
  <c r="J771" i="5"/>
  <c r="J843" i="5"/>
  <c r="J915" i="5"/>
  <c r="J987" i="5"/>
  <c r="J1059" i="5"/>
  <c r="J63" i="5"/>
  <c r="J135" i="5"/>
  <c r="J207" i="5"/>
  <c r="J279" i="5"/>
  <c r="J351" i="5"/>
  <c r="J423" i="5"/>
  <c r="J495" i="5"/>
  <c r="J567" i="5"/>
  <c r="J639" i="5"/>
  <c r="J711" i="5"/>
  <c r="J783" i="5"/>
  <c r="J855" i="5"/>
  <c r="J927" i="5"/>
  <c r="J999" i="5"/>
  <c r="J1071" i="5"/>
  <c r="J1143" i="5"/>
  <c r="J1215" i="5"/>
  <c r="J64" i="5"/>
  <c r="J136" i="5"/>
  <c r="J208" i="5"/>
  <c r="J280" i="5"/>
  <c r="J352" i="5"/>
  <c r="J424" i="5"/>
  <c r="J496" i="5"/>
  <c r="J568" i="5"/>
  <c r="J640" i="5"/>
  <c r="J712" i="5"/>
  <c r="J784" i="5"/>
  <c r="J856" i="5"/>
  <c r="J928" i="5"/>
  <c r="J1000" i="5"/>
  <c r="J53" i="5"/>
  <c r="J125" i="5"/>
  <c r="J197" i="5"/>
  <c r="J269" i="5"/>
  <c r="J341" i="5"/>
  <c r="J413" i="5"/>
  <c r="J485" i="5"/>
  <c r="J557" i="5"/>
  <c r="J629" i="5"/>
  <c r="J701" i="5"/>
  <c r="J773" i="5"/>
  <c r="J845" i="5"/>
  <c r="J917" i="5"/>
  <c r="J989" i="5"/>
  <c r="J1061" i="5"/>
  <c r="J1133" i="5"/>
  <c r="J1205" i="5"/>
  <c r="J1277" i="5"/>
  <c r="J1349" i="5"/>
  <c r="J1421" i="5"/>
  <c r="J54" i="5"/>
  <c r="J126" i="5"/>
  <c r="J198" i="5"/>
  <c r="J270" i="5"/>
  <c r="J342" i="5"/>
  <c r="J414" i="5"/>
  <c r="J486" i="5"/>
  <c r="J558" i="5"/>
  <c r="J630" i="5"/>
  <c r="J702" i="5"/>
  <c r="J774" i="5"/>
  <c r="J846" i="5"/>
  <c r="J918" i="5"/>
  <c r="J990" i="5"/>
  <c r="J1062" i="5"/>
  <c r="J1134" i="5"/>
  <c r="J31" i="5"/>
  <c r="J103" i="5"/>
  <c r="J175" i="5"/>
  <c r="J247" i="5"/>
  <c r="J319" i="5"/>
  <c r="J391" i="5"/>
  <c r="J463" i="5"/>
  <c r="J171" i="5"/>
  <c r="J603" i="5"/>
  <c r="J1035" i="5"/>
  <c r="J1203" i="5"/>
  <c r="J124" i="5"/>
  <c r="J268" i="5"/>
  <c r="J412" i="5"/>
  <c r="J556" i="5"/>
  <c r="J700" i="5"/>
  <c r="J844" i="5"/>
  <c r="J988" i="5"/>
  <c r="J113" i="5"/>
  <c r="J257" i="5"/>
  <c r="J401" i="5"/>
  <c r="J545" i="5"/>
  <c r="J689" i="5"/>
  <c r="J833" i="5"/>
  <c r="J977" i="5"/>
  <c r="J1121" i="5"/>
  <c r="J1265" i="5"/>
  <c r="J1409" i="5"/>
  <c r="J102" i="5"/>
  <c r="J210" i="5"/>
  <c r="J318" i="5"/>
  <c r="J426" i="5"/>
  <c r="J534" i="5"/>
  <c r="J642" i="5"/>
  <c r="J750" i="5"/>
  <c r="J858" i="5"/>
  <c r="J966" i="5"/>
  <c r="J1074" i="5"/>
  <c r="J7" i="5"/>
  <c r="J115" i="5"/>
  <c r="J223" i="5"/>
  <c r="J331" i="5"/>
  <c r="J439" i="5"/>
  <c r="J535" i="5"/>
  <c r="J619" i="5"/>
  <c r="J715" i="5"/>
  <c r="J799" i="5"/>
  <c r="J883" i="5"/>
  <c r="J955" i="5"/>
  <c r="J1027" i="5"/>
  <c r="J44" i="5"/>
  <c r="J116" i="5"/>
  <c r="J188" i="5"/>
  <c r="J260" i="5"/>
  <c r="J332" i="5"/>
  <c r="J404" i="5"/>
  <c r="J476" i="5"/>
  <c r="J548" i="5"/>
  <c r="J620" i="5"/>
  <c r="J692" i="5"/>
  <c r="J764" i="5"/>
  <c r="J836" i="5"/>
  <c r="J908" i="5"/>
  <c r="J980" i="5"/>
  <c r="J1052" i="5"/>
  <c r="J1124" i="5"/>
  <c r="J1196" i="5"/>
  <c r="J45" i="5"/>
  <c r="J117" i="5"/>
  <c r="J189" i="5"/>
  <c r="J261" i="5"/>
  <c r="J333" i="5"/>
  <c r="J405" i="5"/>
  <c r="J477" i="5"/>
  <c r="J549" i="5"/>
  <c r="J621" i="5"/>
  <c r="J693" i="5"/>
  <c r="J765" i="5"/>
  <c r="J837" i="5"/>
  <c r="J909" i="5"/>
  <c r="J981" i="5"/>
  <c r="J1053" i="5"/>
  <c r="J1125" i="5"/>
  <c r="J1197" i="5"/>
  <c r="J1269" i="5"/>
  <c r="J1341" i="5"/>
  <c r="J1413" i="5"/>
  <c r="J1485" i="5"/>
  <c r="J34" i="5"/>
  <c r="J106" i="5"/>
  <c r="J178" i="5"/>
  <c r="J250" i="5"/>
  <c r="J322" i="5"/>
  <c r="J394" i="5"/>
  <c r="J466" i="5"/>
  <c r="J538" i="5"/>
  <c r="J610" i="5"/>
  <c r="J682" i="5"/>
  <c r="J754" i="5"/>
  <c r="J826" i="5"/>
  <c r="J898" i="5"/>
  <c r="J970" i="5"/>
  <c r="J1042" i="5"/>
  <c r="J1114" i="5"/>
  <c r="J47" i="5"/>
  <c r="J119" i="5"/>
  <c r="J191" i="5"/>
  <c r="J263" i="5"/>
  <c r="J335" i="5"/>
  <c r="J407" i="5"/>
  <c r="J479" i="5"/>
  <c r="J551" i="5"/>
  <c r="J623" i="5"/>
  <c r="J695" i="5"/>
  <c r="J767" i="5"/>
  <c r="J839" i="5"/>
  <c r="J911" i="5"/>
  <c r="J983" i="5"/>
  <c r="J1055" i="5"/>
  <c r="J1127" i="5"/>
  <c r="J1199" i="5"/>
  <c r="J36" i="5"/>
  <c r="J108" i="5"/>
  <c r="J180" i="5"/>
  <c r="J252" i="5"/>
  <c r="J324" i="5"/>
  <c r="J396" i="5"/>
  <c r="J468" i="5"/>
  <c r="J540" i="5"/>
  <c r="J612" i="5"/>
  <c r="J684" i="5"/>
  <c r="J756" i="5"/>
  <c r="J828" i="5"/>
  <c r="J900" i="5"/>
  <c r="J972" i="5"/>
  <c r="J1044" i="5"/>
  <c r="J1116" i="5"/>
  <c r="J1188" i="5"/>
  <c r="J73" i="5"/>
  <c r="J145" i="5"/>
  <c r="J217" i="5"/>
  <c r="J289" i="5"/>
  <c r="J361" i="5"/>
  <c r="J433" i="5"/>
  <c r="J505" i="5"/>
  <c r="J577" i="5"/>
  <c r="J649" i="5"/>
  <c r="J721" i="5"/>
  <c r="J793" i="5"/>
  <c r="J865" i="5"/>
  <c r="J937" i="5"/>
  <c r="J1009" i="5"/>
  <c r="J1081" i="5"/>
  <c r="J1153" i="5"/>
  <c r="J1225" i="5"/>
  <c r="J1297" i="5"/>
  <c r="J1369" i="5"/>
  <c r="J1441" i="5"/>
  <c r="J50" i="5"/>
  <c r="J122" i="5"/>
  <c r="J194" i="5"/>
  <c r="J266" i="5"/>
  <c r="J338" i="5"/>
  <c r="J410" i="5"/>
  <c r="J482" i="5"/>
  <c r="J554" i="5"/>
  <c r="J626" i="5"/>
  <c r="J698" i="5"/>
  <c r="J770" i="5"/>
  <c r="J842" i="5"/>
  <c r="J914" i="5"/>
  <c r="J986" i="5"/>
  <c r="J1058" i="5"/>
  <c r="J1111" i="5"/>
  <c r="J1267" i="5"/>
  <c r="J1363" i="5"/>
  <c r="J1457" i="5"/>
  <c r="J1536" i="5"/>
  <c r="J1608" i="5"/>
  <c r="J1680" i="5"/>
  <c r="J1752" i="5"/>
  <c r="J1824" i="5"/>
  <c r="J1896" i="5"/>
  <c r="J1968" i="5"/>
  <c r="J2040" i="5"/>
  <c r="J243" i="5"/>
  <c r="J675" i="5"/>
  <c r="J1107" i="5"/>
  <c r="J28" i="5"/>
  <c r="J172" i="5"/>
  <c r="J316" i="5"/>
  <c r="J460" i="5"/>
  <c r="J604" i="5"/>
  <c r="J748" i="5"/>
  <c r="J892" i="5"/>
  <c r="J17" i="5"/>
  <c r="J161" i="5"/>
  <c r="J305" i="5"/>
  <c r="J449" i="5"/>
  <c r="J593" i="5"/>
  <c r="J737" i="5"/>
  <c r="J881" i="5"/>
  <c r="J1025" i="5"/>
  <c r="J1169" i="5"/>
  <c r="J1313" i="5"/>
  <c r="J18" i="5"/>
  <c r="J114" i="5"/>
  <c r="J234" i="5"/>
  <c r="J330" i="5"/>
  <c r="J450" i="5"/>
  <c r="J546" i="5"/>
  <c r="J666" i="5"/>
  <c r="J762" i="5"/>
  <c r="J882" i="5"/>
  <c r="J978" i="5"/>
  <c r="J1098" i="5"/>
  <c r="J19" i="5"/>
  <c r="J139" i="5"/>
  <c r="J235" i="5"/>
  <c r="J355" i="5"/>
  <c r="J451" i="5"/>
  <c r="J547" i="5"/>
  <c r="J643" i="5"/>
  <c r="J727" i="5"/>
  <c r="J811" i="5"/>
  <c r="J895" i="5"/>
  <c r="J967" i="5"/>
  <c r="J1039" i="5"/>
  <c r="J56" i="5"/>
  <c r="J128" i="5"/>
  <c r="J200" i="5"/>
  <c r="J272" i="5"/>
  <c r="J344" i="5"/>
  <c r="J416" i="5"/>
  <c r="J488" i="5"/>
  <c r="J560" i="5"/>
  <c r="J632" i="5"/>
  <c r="J704" i="5"/>
  <c r="J776" i="5"/>
  <c r="J848" i="5"/>
  <c r="J920" i="5"/>
  <c r="J992" i="5"/>
  <c r="J1064" i="5"/>
  <c r="J1136" i="5"/>
  <c r="J1208" i="5"/>
  <c r="J57" i="5"/>
  <c r="J129" i="5"/>
  <c r="J201" i="5"/>
  <c r="J273" i="5"/>
  <c r="J345" i="5"/>
  <c r="J417" i="5"/>
  <c r="J489" i="5"/>
  <c r="J561" i="5"/>
  <c r="J633" i="5"/>
  <c r="J705" i="5"/>
  <c r="J777" i="5"/>
  <c r="J849" i="5"/>
  <c r="J921" i="5"/>
  <c r="J993" i="5"/>
  <c r="J1065" i="5"/>
  <c r="J1137" i="5"/>
  <c r="J1209" i="5"/>
  <c r="J1281" i="5"/>
  <c r="J1353" i="5"/>
  <c r="J1425" i="5"/>
  <c r="J1497" i="5"/>
  <c r="J46" i="5"/>
  <c r="J118" i="5"/>
  <c r="J190" i="5"/>
  <c r="J262" i="5"/>
  <c r="J334" i="5"/>
  <c r="J406" i="5"/>
  <c r="J478" i="5"/>
  <c r="J550" i="5"/>
  <c r="J622" i="5"/>
  <c r="J694" i="5"/>
  <c r="J766" i="5"/>
  <c r="J838" i="5"/>
  <c r="J910" i="5"/>
  <c r="J982" i="5"/>
  <c r="J1054" i="5"/>
  <c r="J1126" i="5"/>
  <c r="J59" i="5"/>
  <c r="J131" i="5"/>
  <c r="J203" i="5"/>
  <c r="J275" i="5"/>
  <c r="J347" i="5"/>
  <c r="J419" i="5"/>
  <c r="J491" i="5"/>
  <c r="J563" i="5"/>
  <c r="J635" i="5"/>
  <c r="J707" i="5"/>
  <c r="J779" i="5"/>
  <c r="J851" i="5"/>
  <c r="J923" i="5"/>
  <c r="J995" i="5"/>
  <c r="J1067" i="5"/>
  <c r="J1139" i="5"/>
  <c r="J1211" i="5"/>
  <c r="J48" i="5"/>
  <c r="J120" i="5"/>
  <c r="J192" i="5"/>
  <c r="J264" i="5"/>
  <c r="J336" i="5"/>
  <c r="J408" i="5"/>
  <c r="J480" i="5"/>
  <c r="J552" i="5"/>
  <c r="J624" i="5"/>
  <c r="J696" i="5"/>
  <c r="J768" i="5"/>
  <c r="J840" i="5"/>
  <c r="J912" i="5"/>
  <c r="J984" i="5"/>
  <c r="J1056" i="5"/>
  <c r="J1128" i="5"/>
  <c r="J13" i="5"/>
  <c r="J85" i="5"/>
  <c r="J157" i="5"/>
  <c r="J229" i="5"/>
  <c r="J301" i="5"/>
  <c r="J373" i="5"/>
  <c r="J445" i="5"/>
  <c r="J517" i="5"/>
  <c r="J589" i="5"/>
  <c r="J661" i="5"/>
  <c r="J733" i="5"/>
  <c r="J805" i="5"/>
  <c r="J877" i="5"/>
  <c r="J949" i="5"/>
  <c r="J1021" i="5"/>
  <c r="J1093" i="5"/>
  <c r="J1165" i="5"/>
  <c r="J1237" i="5"/>
  <c r="J1309" i="5"/>
  <c r="J1381" i="5"/>
  <c r="J1453" i="5"/>
  <c r="J62" i="5"/>
  <c r="J134" i="5"/>
  <c r="J206" i="5"/>
  <c r="J278" i="5"/>
  <c r="J350" i="5"/>
  <c r="J422" i="5"/>
  <c r="J494" i="5"/>
  <c r="J566" i="5"/>
  <c r="J638" i="5"/>
  <c r="J710" i="5"/>
  <c r="J782" i="5"/>
  <c r="J854" i="5"/>
  <c r="J926" i="5"/>
  <c r="J998" i="5"/>
  <c r="J1070" i="5"/>
  <c r="J1156" i="5"/>
  <c r="J1283" i="5"/>
  <c r="J1379" i="5"/>
  <c r="J1471" i="5"/>
  <c r="J1548" i="5"/>
  <c r="J1620" i="5"/>
  <c r="J1692" i="5"/>
  <c r="J1764" i="5"/>
  <c r="J1836" i="5"/>
  <c r="J1908" i="5"/>
  <c r="J1980" i="5"/>
  <c r="J2052" i="5"/>
  <c r="J2124" i="5"/>
  <c r="J2196" i="5"/>
  <c r="J2268" i="5"/>
  <c r="J2340" i="5"/>
  <c r="J2412" i="5"/>
  <c r="J1118" i="5"/>
  <c r="J1268" i="5"/>
  <c r="J1364" i="5"/>
  <c r="J1458" i="5"/>
  <c r="J1537" i="5"/>
  <c r="J1609" i="5"/>
  <c r="J1681" i="5"/>
  <c r="J1753" i="5"/>
  <c r="J1825" i="5"/>
  <c r="J1897" i="5"/>
  <c r="J1969" i="5"/>
  <c r="J2041" i="5"/>
  <c r="J2113" i="5"/>
  <c r="J2185" i="5"/>
  <c r="J2257" i="5"/>
  <c r="J2329" i="5"/>
  <c r="J2401" i="5"/>
  <c r="J1048" i="5"/>
  <c r="J1254" i="5"/>
  <c r="J1350" i="5"/>
  <c r="J1445" i="5"/>
  <c r="J1526" i="5"/>
  <c r="J1598" i="5"/>
  <c r="J1670" i="5"/>
  <c r="J1742" i="5"/>
  <c r="J1814" i="5"/>
  <c r="J1886" i="5"/>
  <c r="J1958" i="5"/>
  <c r="J2030" i="5"/>
  <c r="J2102" i="5"/>
  <c r="J2174" i="5"/>
  <c r="J2246" i="5"/>
  <c r="J2318" i="5"/>
  <c r="J2390" i="5"/>
  <c r="J2462" i="5"/>
  <c r="J1239" i="5"/>
  <c r="J1335" i="5"/>
  <c r="J1431" i="5"/>
  <c r="J1514" i="5"/>
  <c r="J1587" i="5"/>
  <c r="J1659" i="5"/>
  <c r="J1731" i="5"/>
  <c r="J1803" i="5"/>
  <c r="J1875" i="5"/>
  <c r="J1947" i="5"/>
  <c r="J2019" i="5"/>
  <c r="J2091" i="5"/>
  <c r="J2163" i="5"/>
  <c r="J2235" i="5"/>
  <c r="J2307" i="5"/>
  <c r="J2379" i="5"/>
  <c r="J2451" i="5"/>
  <c r="J1222" i="5"/>
  <c r="J1320" i="5"/>
  <c r="J1416" i="5"/>
  <c r="J1502" i="5"/>
  <c r="J1576" i="5"/>
  <c r="J1648" i="5"/>
  <c r="J1720" i="5"/>
  <c r="J1792" i="5"/>
  <c r="J1864" i="5"/>
  <c r="J1936" i="5"/>
  <c r="J2008" i="5"/>
  <c r="J2080" i="5"/>
  <c r="J2152" i="5"/>
  <c r="J2224" i="5"/>
  <c r="J2296" i="5"/>
  <c r="J2368" i="5"/>
  <c r="J2440" i="5"/>
  <c r="J1200" i="5"/>
  <c r="J1306" i="5"/>
  <c r="J1402" i="5"/>
  <c r="J1490" i="5"/>
  <c r="J1565" i="5"/>
  <c r="J1637" i="5"/>
  <c r="J1709" i="5"/>
  <c r="J1781" i="5"/>
  <c r="J1853" i="5"/>
  <c r="J1925" i="5"/>
  <c r="J1997" i="5"/>
  <c r="J2069" i="5"/>
  <c r="J2141" i="5"/>
  <c r="J2213" i="5"/>
  <c r="J2285" i="5"/>
  <c r="J2357" i="5"/>
  <c r="J2429" i="5"/>
  <c r="J1174" i="5"/>
  <c r="J1291" i="5"/>
  <c r="J1387" i="5"/>
  <c r="J1478" i="5"/>
  <c r="J1554" i="5"/>
  <c r="J1626" i="5"/>
  <c r="J1698" i="5"/>
  <c r="J1770" i="5"/>
  <c r="J1842" i="5"/>
  <c r="J1914" i="5"/>
  <c r="J1986" i="5"/>
  <c r="J2058" i="5"/>
  <c r="J2130" i="5"/>
  <c r="J2202" i="5"/>
  <c r="J2274" i="5"/>
  <c r="J2346" i="5"/>
  <c r="J2418" i="5"/>
  <c r="J1142" i="5"/>
  <c r="J1276" i="5"/>
  <c r="J1372" i="5"/>
  <c r="J1466" i="5"/>
  <c r="J1543" i="5"/>
  <c r="J1615" i="5"/>
  <c r="J1687" i="5"/>
  <c r="J1759" i="5"/>
  <c r="J1831" i="5"/>
  <c r="J1903" i="5"/>
  <c r="J1975" i="5"/>
  <c r="J2047" i="5"/>
  <c r="J2119" i="5"/>
  <c r="J2191" i="5"/>
  <c r="J2263" i="5"/>
  <c r="J2335" i="5"/>
  <c r="J2407" i="5"/>
  <c r="J1087" i="5"/>
  <c r="J1262" i="5"/>
  <c r="J1358" i="5"/>
  <c r="J1452" i="5"/>
  <c r="J1532" i="5"/>
  <c r="J1604" i="5"/>
  <c r="J1676" i="5"/>
  <c r="J1748" i="5"/>
  <c r="J1820" i="5"/>
  <c r="J1892" i="5"/>
  <c r="J1964" i="5"/>
  <c r="J2036" i="5"/>
  <c r="J2108" i="5"/>
  <c r="J2180" i="5"/>
  <c r="J2252" i="5"/>
  <c r="J2324" i="5"/>
  <c r="J2396" i="5"/>
  <c r="J2468" i="5"/>
  <c r="J1247" i="5"/>
  <c r="J1343" i="5"/>
  <c r="J1439" i="5"/>
  <c r="J1520" i="5"/>
  <c r="J1593" i="5"/>
  <c r="J1665" i="5"/>
  <c r="J1737" i="5"/>
  <c r="J1809" i="5"/>
  <c r="J1881" i="5"/>
  <c r="J1953" i="5"/>
  <c r="J2025" i="5"/>
  <c r="J2097" i="5"/>
  <c r="J2169" i="5"/>
  <c r="J2241" i="5"/>
  <c r="J2313" i="5"/>
  <c r="J2385" i="5"/>
  <c r="J2457" i="5"/>
  <c r="J1231" i="5"/>
  <c r="J1328" i="5"/>
  <c r="J315" i="5"/>
  <c r="J747" i="5"/>
  <c r="J1119" i="5"/>
  <c r="J40" i="5"/>
  <c r="J184" i="5"/>
  <c r="J328" i="5"/>
  <c r="J472" i="5"/>
  <c r="J616" i="5"/>
  <c r="J760" i="5"/>
  <c r="J904" i="5"/>
  <c r="J29" i="5"/>
  <c r="J173" i="5"/>
  <c r="J317" i="5"/>
  <c r="J461" i="5"/>
  <c r="J605" i="5"/>
  <c r="J749" i="5"/>
  <c r="J893" i="5"/>
  <c r="J1037" i="5"/>
  <c r="J1181" i="5"/>
  <c r="J1325" i="5"/>
  <c r="J30" i="5"/>
  <c r="J138" i="5"/>
  <c r="J246" i="5"/>
  <c r="J354" i="5"/>
  <c r="J462" i="5"/>
  <c r="J570" i="5"/>
  <c r="J678" i="5"/>
  <c r="J786" i="5"/>
  <c r="J894" i="5"/>
  <c r="J1002" i="5"/>
  <c r="J1110" i="5"/>
  <c r="J43" i="5"/>
  <c r="J151" i="5"/>
  <c r="J259" i="5"/>
  <c r="J367" i="5"/>
  <c r="J475" i="5"/>
  <c r="J571" i="5"/>
  <c r="J655" i="5"/>
  <c r="J739" i="5"/>
  <c r="J823" i="5"/>
  <c r="J907" i="5"/>
  <c r="J979" i="5"/>
  <c r="J1051" i="5"/>
  <c r="J68" i="5"/>
  <c r="J140" i="5"/>
  <c r="J212" i="5"/>
  <c r="J284" i="5"/>
  <c r="J356" i="5"/>
  <c r="J428" i="5"/>
  <c r="J500" i="5"/>
  <c r="J572" i="5"/>
  <c r="J644" i="5"/>
  <c r="J716" i="5"/>
  <c r="J788" i="5"/>
  <c r="J860" i="5"/>
  <c r="J932" i="5"/>
  <c r="J1004" i="5"/>
  <c r="J1076" i="5"/>
  <c r="J1148" i="5"/>
  <c r="J1220" i="5"/>
  <c r="J69" i="5"/>
  <c r="J141" i="5"/>
  <c r="J213" i="5"/>
  <c r="J285" i="5"/>
  <c r="J357" i="5"/>
  <c r="J429" i="5"/>
  <c r="J501" i="5"/>
  <c r="J573" i="5"/>
  <c r="J645" i="5"/>
  <c r="J717" i="5"/>
  <c r="J789" i="5"/>
  <c r="J861" i="5"/>
  <c r="J933" i="5"/>
  <c r="J1005" i="5"/>
  <c r="J1077" i="5"/>
  <c r="J1149" i="5"/>
  <c r="J1221" i="5"/>
  <c r="J1293" i="5"/>
  <c r="J1365" i="5"/>
  <c r="J1437" i="5"/>
  <c r="J1509" i="5"/>
  <c r="J58" i="5"/>
  <c r="J130" i="5"/>
  <c r="J202" i="5"/>
  <c r="J274" i="5"/>
  <c r="J346" i="5"/>
  <c r="J418" i="5"/>
  <c r="J490" i="5"/>
  <c r="J562" i="5"/>
  <c r="J634" i="5"/>
  <c r="J706" i="5"/>
  <c r="J778" i="5"/>
  <c r="J850" i="5"/>
  <c r="J922" i="5"/>
  <c r="J994" i="5"/>
  <c r="J1066" i="5"/>
  <c r="J1138" i="5"/>
  <c r="J71" i="5"/>
  <c r="J143" i="5"/>
  <c r="J215" i="5"/>
  <c r="J287" i="5"/>
  <c r="J359" i="5"/>
  <c r="J431" i="5"/>
  <c r="J503" i="5"/>
  <c r="J575" i="5"/>
  <c r="J647" i="5"/>
  <c r="J719" i="5"/>
  <c r="J791" i="5"/>
  <c r="J863" i="5"/>
  <c r="J935" i="5"/>
  <c r="J1007" i="5"/>
  <c r="J1079" i="5"/>
  <c r="J1151" i="5"/>
  <c r="J1223" i="5"/>
  <c r="J60" i="5"/>
  <c r="J132" i="5"/>
  <c r="J204" i="5"/>
  <c r="J276" i="5"/>
  <c r="J348" i="5"/>
  <c r="J420" i="5"/>
  <c r="J492" i="5"/>
  <c r="J564" i="5"/>
  <c r="J636" i="5"/>
  <c r="J708" i="5"/>
  <c r="J780" i="5"/>
  <c r="J852" i="5"/>
  <c r="J924" i="5"/>
  <c r="J996" i="5"/>
  <c r="J1068" i="5"/>
  <c r="J1140" i="5"/>
  <c r="J25" i="5"/>
  <c r="J97" i="5"/>
  <c r="J169" i="5"/>
  <c r="J241" i="5"/>
  <c r="J313" i="5"/>
  <c r="J385" i="5"/>
  <c r="J457" i="5"/>
  <c r="J529" i="5"/>
  <c r="J601" i="5"/>
  <c r="J673" i="5"/>
  <c r="J745" i="5"/>
  <c r="J817" i="5"/>
  <c r="J889" i="5"/>
  <c r="J961" i="5"/>
  <c r="J1033" i="5"/>
  <c r="J1105" i="5"/>
  <c r="J1177" i="5"/>
  <c r="J1249" i="5"/>
  <c r="J1321" i="5"/>
  <c r="J1393" i="5"/>
  <c r="J1465" i="5"/>
  <c r="J387" i="5"/>
  <c r="J819" i="5"/>
  <c r="J1131" i="5"/>
  <c r="J52" i="5"/>
  <c r="J196" i="5"/>
  <c r="J340" i="5"/>
  <c r="J484" i="5"/>
  <c r="J628" i="5"/>
  <c r="J772" i="5"/>
  <c r="J916" i="5"/>
  <c r="J41" i="5"/>
  <c r="J185" i="5"/>
  <c r="J329" i="5"/>
  <c r="J473" i="5"/>
  <c r="J617" i="5"/>
  <c r="J761" i="5"/>
  <c r="J905" i="5"/>
  <c r="J1049" i="5"/>
  <c r="J1193" i="5"/>
  <c r="J1337" i="5"/>
  <c r="J42" i="5"/>
  <c r="J162" i="5"/>
  <c r="J258" i="5"/>
  <c r="J378" i="5"/>
  <c r="J474" i="5"/>
  <c r="J594" i="5"/>
  <c r="J690" i="5"/>
  <c r="J810" i="5"/>
  <c r="J906" i="5"/>
  <c r="J1026" i="5"/>
  <c r="J1122" i="5"/>
  <c r="J67" i="5"/>
  <c r="J163" i="5"/>
  <c r="J283" i="5"/>
  <c r="J379" i="5"/>
  <c r="J499" i="5"/>
  <c r="J583" i="5"/>
  <c r="J667" i="5"/>
  <c r="J751" i="5"/>
  <c r="J835" i="5"/>
  <c r="J919" i="5"/>
  <c r="J991" i="5"/>
  <c r="J8" i="5"/>
  <c r="J80" i="5"/>
  <c r="J152" i="5"/>
  <c r="J224" i="5"/>
  <c r="J296" i="5"/>
  <c r="J368" i="5"/>
  <c r="J440" i="5"/>
  <c r="J512" i="5"/>
  <c r="J584" i="5"/>
  <c r="J656" i="5"/>
  <c r="J728" i="5"/>
  <c r="J800" i="5"/>
  <c r="J872" i="5"/>
  <c r="J944" i="5"/>
  <c r="J1016" i="5"/>
  <c r="J1088" i="5"/>
  <c r="J1160" i="5"/>
  <c r="J9" i="5"/>
  <c r="J81" i="5"/>
  <c r="J153" i="5"/>
  <c r="J225" i="5"/>
  <c r="J297" i="5"/>
  <c r="J369" i="5"/>
  <c r="J441" i="5"/>
  <c r="J513" i="5"/>
  <c r="J585" i="5"/>
  <c r="J657" i="5"/>
  <c r="J729" i="5"/>
  <c r="J801" i="5"/>
  <c r="J873" i="5"/>
  <c r="J945" i="5"/>
  <c r="J1017" i="5"/>
  <c r="J1089" i="5"/>
  <c r="J1161" i="5"/>
  <c r="J1233" i="5"/>
  <c r="J1305" i="5"/>
  <c r="J1377" i="5"/>
  <c r="J1449" i="5"/>
  <c r="J1521" i="5"/>
  <c r="J70" i="5"/>
  <c r="J142" i="5"/>
  <c r="J214" i="5"/>
  <c r="J286" i="5"/>
  <c r="J358" i="5"/>
  <c r="J430" i="5"/>
  <c r="J502" i="5"/>
  <c r="J574" i="5"/>
  <c r="J646" i="5"/>
  <c r="J718" i="5"/>
  <c r="J790" i="5"/>
  <c r="J862" i="5"/>
  <c r="J934" i="5"/>
  <c r="J1006" i="5"/>
  <c r="J1078" i="5"/>
  <c r="J11" i="5"/>
  <c r="J83" i="5"/>
  <c r="J155" i="5"/>
  <c r="J227" i="5"/>
  <c r="J299" i="5"/>
  <c r="J371" i="5"/>
  <c r="J443" i="5"/>
  <c r="J515" i="5"/>
  <c r="J587" i="5"/>
  <c r="J659" i="5"/>
  <c r="J731" i="5"/>
  <c r="J803" i="5"/>
  <c r="J875" i="5"/>
  <c r="J947" i="5"/>
  <c r="J1019" i="5"/>
  <c r="J1091" i="5"/>
  <c r="J1163" i="5"/>
  <c r="J1235" i="5"/>
  <c r="J72" i="5"/>
  <c r="J144" i="5"/>
  <c r="J216" i="5"/>
  <c r="J288" i="5"/>
  <c r="J360" i="5"/>
  <c r="J432" i="5"/>
  <c r="J504" i="5"/>
  <c r="J576" i="5"/>
  <c r="J648" i="5"/>
  <c r="J720" i="5"/>
  <c r="J792" i="5"/>
  <c r="J864" i="5"/>
  <c r="J936" i="5"/>
  <c r="J1008" i="5"/>
  <c r="J1080" i="5"/>
  <c r="J1152" i="5"/>
  <c r="J37" i="5"/>
  <c r="J109" i="5"/>
  <c r="J181" i="5"/>
  <c r="J253" i="5"/>
  <c r="J325" i="5"/>
  <c r="J397" i="5"/>
  <c r="J469" i="5"/>
  <c r="J541" i="5"/>
  <c r="J613" i="5"/>
  <c r="J685" i="5"/>
  <c r="J757" i="5"/>
  <c r="J829" i="5"/>
  <c r="J901" i="5"/>
  <c r="J973" i="5"/>
  <c r="J1045" i="5"/>
  <c r="J1117" i="5"/>
  <c r="J1189" i="5"/>
  <c r="J1261" i="5"/>
  <c r="J1333" i="5"/>
  <c r="J1405" i="5"/>
  <c r="J14" i="5"/>
  <c r="J86" i="5"/>
  <c r="J158" i="5"/>
  <c r="J230" i="5"/>
  <c r="J302" i="5"/>
  <c r="J374" i="5"/>
  <c r="J446" i="5"/>
  <c r="J518" i="5"/>
  <c r="J590" i="5"/>
  <c r="J662" i="5"/>
  <c r="J734" i="5"/>
  <c r="J806" i="5"/>
  <c r="J878" i="5"/>
  <c r="J950" i="5"/>
  <c r="J1022" i="5"/>
  <c r="J1094" i="5"/>
  <c r="J1214" i="5"/>
  <c r="J1315" i="5"/>
  <c r="J1411" i="5"/>
  <c r="J1498" i="5"/>
  <c r="J1572" i="5"/>
  <c r="J1644" i="5"/>
  <c r="J1716" i="5"/>
  <c r="J1788" i="5"/>
  <c r="J1860" i="5"/>
  <c r="J1932" i="5"/>
  <c r="J2004" i="5"/>
  <c r="J2076" i="5"/>
  <c r="J2148" i="5"/>
  <c r="J2220" i="5"/>
  <c r="J2292" i="5"/>
  <c r="J2364" i="5"/>
  <c r="J2436" i="5"/>
  <c r="J1192" i="5"/>
  <c r="J1300" i="5"/>
  <c r="J1396" i="5"/>
  <c r="J1486" i="5"/>
  <c r="J1561" i="5"/>
  <c r="J1633" i="5"/>
  <c r="J1705" i="5"/>
  <c r="J1777" i="5"/>
  <c r="J1849" i="5"/>
  <c r="J1921" i="5"/>
  <c r="J1993" i="5"/>
  <c r="J2065" i="5"/>
  <c r="J2137" i="5"/>
  <c r="J2209" i="5"/>
  <c r="J2281" i="5"/>
  <c r="J2353" i="5"/>
  <c r="J2425" i="5"/>
  <c r="J1162" i="5"/>
  <c r="J1286" i="5"/>
  <c r="J1382" i="5"/>
  <c r="J1474" i="5"/>
  <c r="J1550" i="5"/>
  <c r="J1622" i="5"/>
  <c r="J1694" i="5"/>
  <c r="J1766" i="5"/>
  <c r="J1838" i="5"/>
  <c r="J1910" i="5"/>
  <c r="J1982" i="5"/>
  <c r="J2054" i="5"/>
  <c r="J2126" i="5"/>
  <c r="J2198" i="5"/>
  <c r="J2270" i="5"/>
  <c r="J2342" i="5"/>
  <c r="J2414" i="5"/>
  <c r="J1123" i="5"/>
  <c r="J1271" i="5"/>
  <c r="J1367" i="5"/>
  <c r="J1460" i="5"/>
  <c r="J1539" i="5"/>
  <c r="J1611" i="5"/>
  <c r="J1683" i="5"/>
  <c r="J1755" i="5"/>
  <c r="J1827" i="5"/>
  <c r="J1899" i="5"/>
  <c r="J1971" i="5"/>
  <c r="J2043" i="5"/>
  <c r="J2115" i="5"/>
  <c r="J2187" i="5"/>
  <c r="J2259" i="5"/>
  <c r="J2331" i="5"/>
  <c r="J2403" i="5"/>
  <c r="J1063" i="5"/>
  <c r="J1256" i="5"/>
  <c r="J1352" i="5"/>
  <c r="J1447" i="5"/>
  <c r="J1528" i="5"/>
  <c r="J1600" i="5"/>
  <c r="J1672" i="5"/>
  <c r="J1744" i="5"/>
  <c r="J1816" i="5"/>
  <c r="J1888" i="5"/>
  <c r="J1960" i="5"/>
  <c r="J27" i="5"/>
  <c r="J459" i="5"/>
  <c r="J891" i="5"/>
  <c r="J1179" i="5"/>
  <c r="J100" i="5"/>
  <c r="J244" i="5"/>
  <c r="J388" i="5"/>
  <c r="J532" i="5"/>
  <c r="J676" i="5"/>
  <c r="J820" i="5"/>
  <c r="J964" i="5"/>
  <c r="J89" i="5"/>
  <c r="J233" i="5"/>
  <c r="J377" i="5"/>
  <c r="J521" i="5"/>
  <c r="J665" i="5"/>
  <c r="J809" i="5"/>
  <c r="J953" i="5"/>
  <c r="J1097" i="5"/>
  <c r="J1241" i="5"/>
  <c r="J1385" i="5"/>
  <c r="J66" i="5"/>
  <c r="J174" i="5"/>
  <c r="J282" i="5"/>
  <c r="J390" i="5"/>
  <c r="J498" i="5"/>
  <c r="J606" i="5"/>
  <c r="J714" i="5"/>
  <c r="J822" i="5"/>
  <c r="J930" i="5"/>
  <c r="J1038" i="5"/>
  <c r="J1146" i="5"/>
  <c r="J79" i="5"/>
  <c r="J187" i="5"/>
  <c r="J295" i="5"/>
  <c r="J403" i="5"/>
  <c r="J511" i="5"/>
  <c r="J595" i="5"/>
  <c r="J679" i="5"/>
  <c r="J763" i="5"/>
  <c r="J859" i="5"/>
  <c r="J931" i="5"/>
  <c r="J1003" i="5"/>
  <c r="J20" i="5"/>
  <c r="J92" i="5"/>
  <c r="J164" i="5"/>
  <c r="J236" i="5"/>
  <c r="J308" i="5"/>
  <c r="J380" i="5"/>
  <c r="J452" i="5"/>
  <c r="J524" i="5"/>
  <c r="J596" i="5"/>
  <c r="J668" i="5"/>
  <c r="J740" i="5"/>
  <c r="J812" i="5"/>
  <c r="J884" i="5"/>
  <c r="J956" i="5"/>
  <c r="J1028" i="5"/>
  <c r="J1100" i="5"/>
  <c r="J1172" i="5"/>
  <c r="J21" i="5"/>
  <c r="J93" i="5"/>
  <c r="J165" i="5"/>
  <c r="J237" i="5"/>
  <c r="J309" i="5"/>
  <c r="J381" i="5"/>
  <c r="J453" i="5"/>
  <c r="J525" i="5"/>
  <c r="J597" i="5"/>
  <c r="J669" i="5"/>
  <c r="J741" i="5"/>
  <c r="J813" i="5"/>
  <c r="J885" i="5"/>
  <c r="J957" i="5"/>
  <c r="J1029" i="5"/>
  <c r="J1101" i="5"/>
  <c r="J1173" i="5"/>
  <c r="J1245" i="5"/>
  <c r="J1317" i="5"/>
  <c r="J1389" i="5"/>
  <c r="J1461" i="5"/>
  <c r="J10" i="5"/>
  <c r="J82" i="5"/>
  <c r="J154" i="5"/>
  <c r="J226" i="5"/>
  <c r="J298" i="5"/>
  <c r="J370" i="5"/>
  <c r="J442" i="5"/>
  <c r="J514" i="5"/>
  <c r="J586" i="5"/>
  <c r="J658" i="5"/>
  <c r="J730" i="5"/>
  <c r="J802" i="5"/>
  <c r="J874" i="5"/>
  <c r="J946" i="5"/>
  <c r="J1018" i="5"/>
  <c r="J1090" i="5"/>
  <c r="J23" i="5"/>
  <c r="J95" i="5"/>
  <c r="J167" i="5"/>
  <c r="J239" i="5"/>
  <c r="J311" i="5"/>
  <c r="J383" i="5"/>
  <c r="J455" i="5"/>
  <c r="J527" i="5"/>
  <c r="J599" i="5"/>
  <c r="J671" i="5"/>
  <c r="J743" i="5"/>
  <c r="J815" i="5"/>
  <c r="J887" i="5"/>
  <c r="J959" i="5"/>
  <c r="J1031" i="5"/>
  <c r="J1103" i="5"/>
  <c r="J1175" i="5"/>
  <c r="J12" i="5"/>
  <c r="J84" i="5"/>
  <c r="J156" i="5"/>
  <c r="J228" i="5"/>
  <c r="J300" i="5"/>
  <c r="J372" i="5"/>
  <c r="J444" i="5"/>
  <c r="J516" i="5"/>
  <c r="J588" i="5"/>
  <c r="J660" i="5"/>
  <c r="J732" i="5"/>
  <c r="J804" i="5"/>
  <c r="J876" i="5"/>
  <c r="J948" i="5"/>
  <c r="J1020" i="5"/>
  <c r="J1092" i="5"/>
  <c r="J1164" i="5"/>
  <c r="J49" i="5"/>
  <c r="J121" i="5"/>
  <c r="J193" i="5"/>
  <c r="J265" i="5"/>
  <c r="J337" i="5"/>
  <c r="J409" i="5"/>
  <c r="J481" i="5"/>
  <c r="J553" i="5"/>
  <c r="J625" i="5"/>
  <c r="J697" i="5"/>
  <c r="J769" i="5"/>
  <c r="J841" i="5"/>
  <c r="J913" i="5"/>
  <c r="J985" i="5"/>
  <c r="J1057" i="5"/>
  <c r="J1129" i="5"/>
  <c r="J1201" i="5"/>
  <c r="J1273" i="5"/>
  <c r="J1345" i="5"/>
  <c r="J1417" i="5"/>
  <c r="J26" i="5"/>
  <c r="J98" i="5"/>
  <c r="J170" i="5"/>
  <c r="J242" i="5"/>
  <c r="J314" i="5"/>
  <c r="J386" i="5"/>
  <c r="J458" i="5"/>
  <c r="J530" i="5"/>
  <c r="J602" i="5"/>
  <c r="J674" i="5"/>
  <c r="J746" i="5"/>
  <c r="J818" i="5"/>
  <c r="J890" i="5"/>
  <c r="J962" i="5"/>
  <c r="J1034" i="5"/>
  <c r="J1106" i="5"/>
  <c r="J1234" i="5"/>
  <c r="J1331" i="5"/>
  <c r="J1427" i="5"/>
  <c r="J1511" i="5"/>
  <c r="J1584" i="5"/>
  <c r="J1656" i="5"/>
  <c r="J1728" i="5"/>
  <c r="J1800" i="5"/>
  <c r="J1872" i="5"/>
  <c r="J1944" i="5"/>
  <c r="J2016" i="5"/>
  <c r="J2088" i="5"/>
  <c r="J2160" i="5"/>
  <c r="J2232" i="5"/>
  <c r="J2304" i="5"/>
  <c r="J2376" i="5"/>
  <c r="J2448" i="5"/>
  <c r="J1216" i="5"/>
  <c r="J1316" i="5"/>
  <c r="J1412" i="5"/>
  <c r="J1499" i="5"/>
  <c r="J1573" i="5"/>
  <c r="J1645" i="5"/>
  <c r="J1717" i="5"/>
  <c r="J1789" i="5"/>
  <c r="J1861" i="5"/>
  <c r="J1933" i="5"/>
  <c r="J2005" i="5"/>
  <c r="J2077" i="5"/>
  <c r="J2149" i="5"/>
  <c r="J2221" i="5"/>
  <c r="J2293" i="5"/>
  <c r="J2365" i="5"/>
  <c r="J2437" i="5"/>
  <c r="J1194" i="5"/>
  <c r="J1302" i="5"/>
  <c r="J1398" i="5"/>
  <c r="J1487" i="5"/>
  <c r="J1562" i="5"/>
  <c r="J1634" i="5"/>
  <c r="J1706" i="5"/>
  <c r="J1778" i="5"/>
  <c r="J1850" i="5"/>
  <c r="J1922" i="5"/>
  <c r="J1994" i="5"/>
  <c r="J2066" i="5"/>
  <c r="J2138" i="5"/>
  <c r="J2210" i="5"/>
  <c r="J2282" i="5"/>
  <c r="J2354" i="5"/>
  <c r="J2426" i="5"/>
  <c r="J1166" i="5"/>
  <c r="J1287" i="5"/>
  <c r="J1383" i="5"/>
  <c r="J1475" i="5"/>
  <c r="J1551" i="5"/>
  <c r="J1623" i="5"/>
  <c r="J1695" i="5"/>
  <c r="J1767" i="5"/>
  <c r="J1839" i="5"/>
  <c r="J1911" i="5"/>
  <c r="J1983" i="5"/>
  <c r="J2055" i="5"/>
  <c r="J2127" i="5"/>
  <c r="J2199" i="5"/>
  <c r="J2271" i="5"/>
  <c r="J2343" i="5"/>
  <c r="J2415" i="5"/>
  <c r="J1130" i="5"/>
  <c r="J1272" i="5"/>
  <c r="J1368" i="5"/>
  <c r="J1462" i="5"/>
  <c r="J1540" i="5"/>
  <c r="J1612" i="5"/>
  <c r="J1684" i="5"/>
  <c r="J1756" i="5"/>
  <c r="J1828" i="5"/>
  <c r="J1900" i="5"/>
  <c r="J1972" i="5"/>
  <c r="J2044" i="5"/>
  <c r="J2116" i="5"/>
  <c r="J2188" i="5"/>
  <c r="J2260" i="5"/>
  <c r="J2332" i="5"/>
  <c r="J2404" i="5"/>
  <c r="J1072" i="5"/>
  <c r="J1258" i="5"/>
  <c r="J1354" i="5"/>
  <c r="J99" i="5"/>
  <c r="J531" i="5"/>
  <c r="J963" i="5"/>
  <c r="J1191" i="5"/>
  <c r="J112" i="5"/>
  <c r="J256" i="5"/>
  <c r="J400" i="5"/>
  <c r="J544" i="5"/>
  <c r="J688" i="5"/>
  <c r="J832" i="5"/>
  <c r="J976" i="5"/>
  <c r="J101" i="5"/>
  <c r="J245" i="5"/>
  <c r="J389" i="5"/>
  <c r="J533" i="5"/>
  <c r="J677" i="5"/>
  <c r="J821" i="5"/>
  <c r="J965" i="5"/>
  <c r="J1109" i="5"/>
  <c r="J1253" i="5"/>
  <c r="J1397" i="5"/>
  <c r="J90" i="5"/>
  <c r="J186" i="5"/>
  <c r="J306" i="5"/>
  <c r="J402" i="5"/>
  <c r="J522" i="5"/>
  <c r="J618" i="5"/>
  <c r="J738" i="5"/>
  <c r="J834" i="5"/>
  <c r="J954" i="5"/>
  <c r="J1050" i="5"/>
  <c r="J1170" i="5"/>
  <c r="J91" i="5"/>
  <c r="J211" i="5"/>
  <c r="J307" i="5"/>
  <c r="J427" i="5"/>
  <c r="J523" i="5"/>
  <c r="J607" i="5"/>
  <c r="J691" i="5"/>
  <c r="J787" i="5"/>
  <c r="J871" i="5"/>
  <c r="J943" i="5"/>
  <c r="J1015" i="5"/>
  <c r="J32" i="5"/>
  <c r="J104" i="5"/>
  <c r="J176" i="5"/>
  <c r="J248" i="5"/>
  <c r="J320" i="5"/>
  <c r="J392" i="5"/>
  <c r="J464" i="5"/>
  <c r="J536" i="5"/>
  <c r="J608" i="5"/>
  <c r="J680" i="5"/>
  <c r="J752" i="5"/>
  <c r="J824" i="5"/>
  <c r="J896" i="5"/>
  <c r="J968" i="5"/>
  <c r="J1040" i="5"/>
  <c r="J1112" i="5"/>
  <c r="J1184" i="5"/>
  <c r="J33" i="5"/>
  <c r="J105" i="5"/>
  <c r="J177" i="5"/>
  <c r="J249" i="5"/>
  <c r="J321" i="5"/>
  <c r="J393" i="5"/>
  <c r="J465" i="5"/>
  <c r="J537" i="5"/>
  <c r="J609" i="5"/>
  <c r="J681" i="5"/>
  <c r="J753" i="5"/>
  <c r="J825" i="5"/>
  <c r="J897" i="5"/>
  <c r="J969" i="5"/>
  <c r="J1041" i="5"/>
  <c r="J1113" i="5"/>
  <c r="J1185" i="5"/>
  <c r="J1257" i="5"/>
  <c r="J1329" i="5"/>
  <c r="J1401" i="5"/>
  <c r="J1473" i="5"/>
  <c r="J22" i="5"/>
  <c r="J94" i="5"/>
  <c r="J166" i="5"/>
  <c r="J238" i="5"/>
  <c r="J310" i="5"/>
  <c r="J382" i="5"/>
  <c r="J454" i="5"/>
  <c r="J526" i="5"/>
  <c r="J598" i="5"/>
  <c r="J670" i="5"/>
  <c r="J742" i="5"/>
  <c r="J814" i="5"/>
  <c r="J886" i="5"/>
  <c r="J958" i="5"/>
  <c r="J1030" i="5"/>
  <c r="J1102" i="5"/>
  <c r="J35" i="5"/>
  <c r="J107" i="5"/>
  <c r="J179" i="5"/>
  <c r="J251" i="5"/>
  <c r="J323" i="5"/>
  <c r="J395" i="5"/>
  <c r="J467" i="5"/>
  <c r="J539" i="5"/>
  <c r="J611" i="5"/>
  <c r="J683" i="5"/>
  <c r="J755" i="5"/>
  <c r="J827" i="5"/>
  <c r="J899" i="5"/>
  <c r="J971" i="5"/>
  <c r="J1043" i="5"/>
  <c r="J1115" i="5"/>
  <c r="J1187" i="5"/>
  <c r="J24" i="5"/>
  <c r="J96" i="5"/>
  <c r="J168" i="5"/>
  <c r="J240" i="5"/>
  <c r="J312" i="5"/>
  <c r="J384" i="5"/>
  <c r="J456" i="5"/>
  <c r="J528" i="5"/>
  <c r="J600" i="5"/>
  <c r="J672" i="5"/>
  <c r="J744" i="5"/>
  <c r="J816" i="5"/>
  <c r="J888" i="5"/>
  <c r="J960" i="5"/>
  <c r="J1032" i="5"/>
  <c r="J1104" i="5"/>
  <c r="J1176" i="5"/>
  <c r="J61" i="5"/>
  <c r="J133" i="5"/>
  <c r="J205" i="5"/>
  <c r="J277" i="5"/>
  <c r="J349" i="5"/>
  <c r="J421" i="5"/>
  <c r="J493" i="5"/>
  <c r="J565" i="5"/>
  <c r="J637" i="5"/>
  <c r="J709" i="5"/>
  <c r="J781" i="5"/>
  <c r="J853" i="5"/>
  <c r="J925" i="5"/>
  <c r="J997" i="5"/>
  <c r="J1069" i="5"/>
  <c r="J1141" i="5"/>
  <c r="J1213" i="5"/>
  <c r="J1285" i="5"/>
  <c r="J1357" i="5"/>
  <c r="J1429" i="5"/>
  <c r="J38" i="5"/>
  <c r="J110" i="5"/>
  <c r="J182" i="5"/>
  <c r="J254" i="5"/>
  <c r="J326" i="5"/>
  <c r="J398" i="5"/>
  <c r="J470" i="5"/>
  <c r="J542" i="5"/>
  <c r="J614" i="5"/>
  <c r="J686" i="5"/>
  <c r="J758" i="5"/>
  <c r="J830" i="5"/>
  <c r="J902" i="5"/>
  <c r="J974" i="5"/>
  <c r="J1046" i="5"/>
  <c r="J1024" i="5"/>
  <c r="J1251" i="5"/>
  <c r="J1347" i="5"/>
  <c r="J1443" i="5"/>
  <c r="J1524" i="5"/>
  <c r="J1596" i="5"/>
  <c r="J1668" i="5"/>
  <c r="J1740" i="5"/>
  <c r="J1812" i="5"/>
  <c r="J1884" i="5"/>
  <c r="J1956" i="5"/>
  <c r="J2028" i="5"/>
  <c r="J2100" i="5"/>
  <c r="J2172" i="5"/>
  <c r="J2244" i="5"/>
  <c r="J2316" i="5"/>
  <c r="J2388" i="5"/>
  <c r="J2460" i="5"/>
  <c r="J1236" i="5"/>
  <c r="J1332" i="5"/>
  <c r="J1428" i="5"/>
  <c r="J1512" i="5"/>
  <c r="J1585" i="5"/>
  <c r="J1657" i="5"/>
  <c r="J1729" i="5"/>
  <c r="J1801" i="5"/>
  <c r="J1873" i="5"/>
  <c r="J1945" i="5"/>
  <c r="J2017" i="5"/>
  <c r="J2089" i="5"/>
  <c r="J2161" i="5"/>
  <c r="J2233" i="5"/>
  <c r="J2305" i="5"/>
  <c r="J2377" i="5"/>
  <c r="J2449" i="5"/>
  <c r="J1218" i="5"/>
  <c r="J1318" i="5"/>
  <c r="J1414" i="5"/>
  <c r="J1500" i="5"/>
  <c r="J1574" i="5"/>
  <c r="J1646" i="5"/>
  <c r="J1718" i="5"/>
  <c r="J1790" i="5"/>
  <c r="J1862" i="5"/>
  <c r="J1934" i="5"/>
  <c r="J2006" i="5"/>
  <c r="J2078" i="5"/>
  <c r="J2150" i="5"/>
  <c r="J2222" i="5"/>
  <c r="J2294" i="5"/>
  <c r="J2366" i="5"/>
  <c r="J2438" i="5"/>
  <c r="J1195" i="5"/>
  <c r="J1303" i="5"/>
  <c r="J1399" i="5"/>
  <c r="J1488" i="5"/>
  <c r="J1563" i="5"/>
  <c r="J1635" i="5"/>
  <c r="J1707" i="5"/>
  <c r="J1779" i="5"/>
  <c r="J1851" i="5"/>
  <c r="J1923" i="5"/>
  <c r="J1995" i="5"/>
  <c r="J2067" i="5"/>
  <c r="J2139" i="5"/>
  <c r="J2211" i="5"/>
  <c r="J2283" i="5"/>
  <c r="J2355" i="5"/>
  <c r="J2427" i="5"/>
  <c r="J1168" i="5"/>
  <c r="J1288" i="5"/>
  <c r="J1384" i="5"/>
  <c r="J1476" i="5"/>
  <c r="J1552" i="5"/>
  <c r="J1624" i="5"/>
  <c r="J1696" i="5"/>
  <c r="J1768" i="5"/>
  <c r="J1840" i="5"/>
  <c r="J1912" i="5"/>
  <c r="J1984" i="5"/>
  <c r="J2056" i="5"/>
  <c r="J2128" i="5"/>
  <c r="J2200" i="5"/>
  <c r="J2272" i="5"/>
  <c r="J2344" i="5"/>
  <c r="J2416" i="5"/>
  <c r="J1132" i="5"/>
  <c r="J1274" i="5"/>
  <c r="J1370" i="5"/>
  <c r="J1463" i="5"/>
  <c r="J1541" i="5"/>
  <c r="J1613" i="5"/>
  <c r="J1685" i="5"/>
  <c r="J1757" i="5"/>
  <c r="J1829" i="5"/>
  <c r="J1901" i="5"/>
  <c r="J1973" i="5"/>
  <c r="J2045" i="5"/>
  <c r="J2117" i="5"/>
  <c r="J2189" i="5"/>
  <c r="J2261" i="5"/>
  <c r="J2333" i="5"/>
  <c r="J2405" i="5"/>
  <c r="J1075" i="5"/>
  <c r="J1259" i="5"/>
  <c r="J1355" i="5"/>
  <c r="J1450" i="5"/>
  <c r="J1530" i="5"/>
  <c r="J1602" i="5"/>
  <c r="J1674" i="5"/>
  <c r="J1746" i="5"/>
  <c r="J1818" i="5"/>
  <c r="J1890" i="5"/>
  <c r="J1962" i="5"/>
  <c r="J2034" i="5"/>
  <c r="J2106" i="5"/>
  <c r="J2178" i="5"/>
  <c r="J2250" i="5"/>
  <c r="J2322" i="5"/>
  <c r="J2394" i="5"/>
  <c r="J2466" i="5"/>
  <c r="J1244" i="5"/>
  <c r="J1340" i="5"/>
  <c r="J1436" i="5"/>
  <c r="J1518" i="5"/>
  <c r="J1591" i="5"/>
  <c r="J1663" i="5"/>
  <c r="J1735" i="5"/>
  <c r="J1807" i="5"/>
  <c r="J1879" i="5"/>
  <c r="J1951" i="5"/>
  <c r="J2023" i="5"/>
  <c r="J2095" i="5"/>
  <c r="J2167" i="5"/>
  <c r="J2239" i="5"/>
  <c r="J2311" i="5"/>
  <c r="J2383" i="5"/>
  <c r="J2455" i="5"/>
  <c r="J1228" i="5"/>
  <c r="J1326" i="5"/>
  <c r="J1422" i="5"/>
  <c r="J1506" i="5"/>
  <c r="J1580" i="5"/>
  <c r="J1652" i="5"/>
  <c r="J1724" i="5"/>
  <c r="J1796" i="5"/>
  <c r="J1868" i="5"/>
  <c r="J1940" i="5"/>
  <c r="J2012" i="5"/>
  <c r="J2084" i="5"/>
  <c r="J2156" i="5"/>
  <c r="J2228" i="5"/>
  <c r="J2300" i="5"/>
  <c r="J2372" i="5"/>
  <c r="J2444" i="5"/>
  <c r="J1207" i="5"/>
  <c r="J1311" i="5"/>
  <c r="J1407" i="5"/>
  <c r="J1494" i="5"/>
  <c r="J74" i="5"/>
  <c r="J506" i="5"/>
  <c r="J938" i="5"/>
  <c r="J1484" i="5"/>
  <c r="J1920" i="5"/>
  <c r="J2208" i="5"/>
  <c r="J2424" i="5"/>
  <c r="J1605" i="5"/>
  <c r="J2289" i="5"/>
  <c r="J1469" i="5"/>
  <c r="J1834" i="5"/>
  <c r="J2122" i="5"/>
  <c r="J2410" i="5"/>
  <c r="J1456" i="5"/>
  <c r="J1751" i="5"/>
  <c r="J2039" i="5"/>
  <c r="J2255" i="5"/>
  <c r="J2341" i="5"/>
  <c r="J1351" i="5"/>
  <c r="J2463" i="5"/>
  <c r="J1876" i="5"/>
  <c r="J1171" i="5"/>
  <c r="J1733" i="5"/>
  <c r="J2165" i="5"/>
  <c r="J1323" i="5"/>
  <c r="J1794" i="5"/>
  <c r="J2226" i="5"/>
  <c r="J1404" i="5"/>
  <c r="J1855" i="5"/>
  <c r="J2287" i="5"/>
  <c r="J1480" i="5"/>
  <c r="J1916" i="5"/>
  <c r="J2456" i="5"/>
  <c r="J1629" i="5"/>
  <c r="J1977" i="5"/>
  <c r="J2229" i="5"/>
  <c r="J1408" i="5"/>
  <c r="J1642" i="5"/>
  <c r="J2002" i="5"/>
  <c r="J2290" i="5"/>
  <c r="J1394" i="5"/>
  <c r="J1775" i="5"/>
  <c r="J2063" i="5"/>
  <c r="J2351" i="5"/>
  <c r="J146" i="5"/>
  <c r="J578" i="5"/>
  <c r="J1010" i="5"/>
  <c r="J1560" i="5"/>
  <c r="J1992" i="5"/>
  <c r="J2256" i="5"/>
  <c r="J1036" i="5"/>
  <c r="J1444" i="5"/>
  <c r="J1669" i="5"/>
  <c r="J1885" i="5"/>
  <c r="J2101" i="5"/>
  <c r="J2317" i="5"/>
  <c r="J1238" i="5"/>
  <c r="J1513" i="5"/>
  <c r="J1730" i="5"/>
  <c r="J1946" i="5"/>
  <c r="J2162" i="5"/>
  <c r="J2378" i="5"/>
  <c r="J1319" i="5"/>
  <c r="J1575" i="5"/>
  <c r="J1791" i="5"/>
  <c r="J2007" i="5"/>
  <c r="J2223" i="5"/>
  <c r="J2439" i="5"/>
  <c r="J1400" i="5"/>
  <c r="J1636" i="5"/>
  <c r="J1852" i="5"/>
  <c r="J2032" i="5"/>
  <c r="J2176" i="5"/>
  <c r="J2320" i="5"/>
  <c r="J2464" i="5"/>
  <c r="J1338" i="5"/>
  <c r="J1503" i="5"/>
  <c r="J1601" i="5"/>
  <c r="J1721" i="5"/>
  <c r="J1817" i="5"/>
  <c r="J1937" i="5"/>
  <c r="J2033" i="5"/>
  <c r="J2153" i="5"/>
  <c r="J2249" i="5"/>
  <c r="J2369" i="5"/>
  <c r="J2465" i="5"/>
  <c r="J1307" i="5"/>
  <c r="J1435" i="5"/>
  <c r="J1566" i="5"/>
  <c r="J1662" i="5"/>
  <c r="J1782" i="5"/>
  <c r="J1878" i="5"/>
  <c r="J1998" i="5"/>
  <c r="J2094" i="5"/>
  <c r="J2214" i="5"/>
  <c r="J2310" i="5"/>
  <c r="J2430" i="5"/>
  <c r="J1227" i="5"/>
  <c r="J1388" i="5"/>
  <c r="J1505" i="5"/>
  <c r="J1627" i="5"/>
  <c r="J1723" i="5"/>
  <c r="J1843" i="5"/>
  <c r="J1939" i="5"/>
  <c r="J2059" i="5"/>
  <c r="J2155" i="5"/>
  <c r="J2275" i="5"/>
  <c r="J2371" i="5"/>
  <c r="J1144" i="5"/>
  <c r="J1310" i="5"/>
  <c r="J1467" i="5"/>
  <c r="J1568" i="5"/>
  <c r="J1688" i="5"/>
  <c r="J1784" i="5"/>
  <c r="J1904" i="5"/>
  <c r="J2000" i="5"/>
  <c r="J2120" i="5"/>
  <c r="J2216" i="5"/>
  <c r="J2336" i="5"/>
  <c r="J2432" i="5"/>
  <c r="J1263" i="5"/>
  <c r="J1391" i="5"/>
  <c r="J1533" i="5"/>
  <c r="J1617" i="5"/>
  <c r="J1701" i="5"/>
  <c r="J1785" i="5"/>
  <c r="J1869" i="5"/>
  <c r="J1965" i="5"/>
  <c r="J2049" i="5"/>
  <c r="J2133" i="5"/>
  <c r="J2217" i="5"/>
  <c r="J2301" i="5"/>
  <c r="J2397" i="5"/>
  <c r="J1099" i="5"/>
  <c r="J1280" i="5"/>
  <c r="J1392" i="5"/>
  <c r="J1482" i="5"/>
  <c r="J1558" i="5"/>
  <c r="J1630" i="5"/>
  <c r="J1702" i="5"/>
  <c r="J1774" i="5"/>
  <c r="J1846" i="5"/>
  <c r="J1918" i="5"/>
  <c r="J1990" i="5"/>
  <c r="J2062" i="5"/>
  <c r="J2134" i="5"/>
  <c r="J2206" i="5"/>
  <c r="J2278" i="5"/>
  <c r="J2350" i="5"/>
  <c r="J2422" i="5"/>
  <c r="J1154" i="5"/>
  <c r="J1282" i="5"/>
  <c r="J1378" i="5"/>
  <c r="J1470" i="5"/>
  <c r="J1547" i="5"/>
  <c r="J1619" i="5"/>
  <c r="J1691" i="5"/>
  <c r="J1763" i="5"/>
  <c r="J1835" i="5"/>
  <c r="J1907" i="5"/>
  <c r="J1979" i="5"/>
  <c r="J2051" i="5"/>
  <c r="J2123" i="5"/>
  <c r="J2195" i="5"/>
  <c r="J2267" i="5"/>
  <c r="J2339" i="5"/>
  <c r="J2411" i="5"/>
  <c r="J2" i="5"/>
  <c r="J2280" i="5"/>
  <c r="J1159" i="5"/>
  <c r="J1472" i="5"/>
  <c r="J1693" i="5"/>
  <c r="J1909" i="5"/>
  <c r="J1270" i="5"/>
  <c r="J1754" i="5"/>
  <c r="J2186" i="5"/>
  <c r="J1599" i="5"/>
  <c r="J2247" i="5"/>
  <c r="J2356" i="5"/>
  <c r="J1625" i="5"/>
  <c r="J2057" i="5"/>
  <c r="J1578" i="5"/>
  <c r="J2010" i="5"/>
  <c r="J1639" i="5"/>
  <c r="J2395" i="5"/>
  <c r="J1592" i="5"/>
  <c r="J2132" i="5"/>
  <c r="J1279" i="5"/>
  <c r="J1797" i="5"/>
  <c r="J2409" i="5"/>
  <c r="J1714" i="5"/>
  <c r="J2146" i="5"/>
  <c r="J1186" i="5"/>
  <c r="J1483" i="5"/>
  <c r="J1847" i="5"/>
  <c r="J2135" i="5"/>
  <c r="J218" i="5"/>
  <c r="J650" i="5"/>
  <c r="J1082" i="5"/>
  <c r="J1632" i="5"/>
  <c r="J2064" i="5"/>
  <c r="J290" i="5"/>
  <c r="J722" i="5"/>
  <c r="J1190" i="5"/>
  <c r="J1704" i="5"/>
  <c r="J2112" i="5"/>
  <c r="J2328" i="5"/>
  <c r="J1252" i="5"/>
  <c r="J1525" i="5"/>
  <c r="J1741" i="5"/>
  <c r="J1957" i="5"/>
  <c r="J2173" i="5"/>
  <c r="J2389" i="5"/>
  <c r="J1334" i="5"/>
  <c r="J1586" i="5"/>
  <c r="J1802" i="5"/>
  <c r="J2018" i="5"/>
  <c r="J2234" i="5"/>
  <c r="J2450" i="5"/>
  <c r="J1415" i="5"/>
  <c r="J1647" i="5"/>
  <c r="J1863" i="5"/>
  <c r="J2079" i="5"/>
  <c r="J2295" i="5"/>
  <c r="J1198" i="5"/>
  <c r="J1489" i="5"/>
  <c r="J1708" i="5"/>
  <c r="J1924" i="5"/>
  <c r="J2092" i="5"/>
  <c r="J2236" i="5"/>
  <c r="J2380" i="5"/>
  <c r="J1224" i="5"/>
  <c r="J1418" i="5"/>
  <c r="J1529" i="5"/>
  <c r="J1649" i="5"/>
  <c r="J1745" i="5"/>
  <c r="J1865" i="5"/>
  <c r="J1961" i="5"/>
  <c r="J2081" i="5"/>
  <c r="J2177" i="5"/>
  <c r="J2297" i="5"/>
  <c r="J2393" i="5"/>
  <c r="J1202" i="5"/>
  <c r="J1339" i="5"/>
  <c r="J1491" i="5"/>
  <c r="J1590" i="5"/>
  <c r="J1710" i="5"/>
  <c r="J1806" i="5"/>
  <c r="J1926" i="5"/>
  <c r="J2022" i="5"/>
  <c r="J2142" i="5"/>
  <c r="J2238" i="5"/>
  <c r="J2358" i="5"/>
  <c r="J2454" i="5"/>
  <c r="J1292" i="5"/>
  <c r="J1420" i="5"/>
  <c r="J1555" i="5"/>
  <c r="J1651" i="5"/>
  <c r="J1771" i="5"/>
  <c r="J1867" i="5"/>
  <c r="J1987" i="5"/>
  <c r="J2083" i="5"/>
  <c r="J2203" i="5"/>
  <c r="J2299" i="5"/>
  <c r="J2419" i="5"/>
  <c r="J1206" i="5"/>
  <c r="J1374" i="5"/>
  <c r="J1493" i="5"/>
  <c r="J1616" i="5"/>
  <c r="J1712" i="5"/>
  <c r="J1832" i="5"/>
  <c r="J1928" i="5"/>
  <c r="J2048" i="5"/>
  <c r="J2144" i="5"/>
  <c r="J2264" i="5"/>
  <c r="J2360" i="5"/>
  <c r="J1096" i="5"/>
  <c r="J1295" i="5"/>
  <c r="J1454" i="5"/>
  <c r="J1557" i="5"/>
  <c r="J1641" i="5"/>
  <c r="J1725" i="5"/>
  <c r="J1821" i="5"/>
  <c r="J1905" i="5"/>
  <c r="J1989" i="5"/>
  <c r="J2073" i="5"/>
  <c r="J2157" i="5"/>
  <c r="J2253" i="5"/>
  <c r="J2337" i="5"/>
  <c r="J2421" i="5"/>
  <c r="J1183" i="5"/>
  <c r="J1312" i="5"/>
  <c r="J1424" i="5"/>
  <c r="J1508" i="5"/>
  <c r="J1582" i="5"/>
  <c r="J1654" i="5"/>
  <c r="J1726" i="5"/>
  <c r="J1798" i="5"/>
  <c r="J1870" i="5"/>
  <c r="J1942" i="5"/>
  <c r="J2014" i="5"/>
  <c r="J2086" i="5"/>
  <c r="J2158" i="5"/>
  <c r="J2230" i="5"/>
  <c r="J2302" i="5"/>
  <c r="J2374" i="5"/>
  <c r="J2446" i="5"/>
  <c r="J1212" i="5"/>
  <c r="J1314" i="5"/>
  <c r="J1410" i="5"/>
  <c r="J1496" i="5"/>
  <c r="J1571" i="5"/>
  <c r="J1643" i="5"/>
  <c r="J1715" i="5"/>
  <c r="J1787" i="5"/>
  <c r="J1859" i="5"/>
  <c r="J1931" i="5"/>
  <c r="J2003" i="5"/>
  <c r="J2075" i="5"/>
  <c r="J2147" i="5"/>
  <c r="J2219" i="5"/>
  <c r="J2291" i="5"/>
  <c r="J2363" i="5"/>
  <c r="J2435" i="5"/>
  <c r="J1344" i="5"/>
  <c r="J1666" i="5"/>
  <c r="J1810" i="5"/>
  <c r="J1882" i="5"/>
  <c r="J2026" i="5"/>
  <c r="J2170" i="5"/>
  <c r="J2314" i="5"/>
  <c r="J2458" i="5"/>
  <c r="J1426" i="5"/>
  <c r="J1583" i="5"/>
  <c r="J1727" i="5"/>
  <c r="J1799" i="5"/>
  <c r="J1943" i="5"/>
  <c r="J2087" i="5"/>
  <c r="J2231" i="5"/>
  <c r="J2375" i="5"/>
  <c r="J2143" i="5"/>
  <c r="J1294" i="5"/>
  <c r="J1772" i="5"/>
  <c r="J1880" i="5"/>
  <c r="J2204" i="5"/>
  <c r="J1375" i="5"/>
  <c r="J1507" i="5"/>
  <c r="J1941" i="5"/>
  <c r="J2121" i="5"/>
  <c r="J2469" i="5"/>
  <c r="J1618" i="5"/>
  <c r="J1978" i="5"/>
  <c r="J2266" i="5"/>
  <c r="J1266" i="5"/>
  <c r="J1607" i="5"/>
  <c r="J1895" i="5"/>
  <c r="J2327" i="5"/>
  <c r="J1538" i="5"/>
  <c r="J2031" i="5"/>
  <c r="J1660" i="5"/>
  <c r="J1386" i="5"/>
  <c r="J1135" i="5"/>
  <c r="J2118" i="5"/>
  <c r="J1260" i="5"/>
  <c r="J1963" i="5"/>
  <c r="J1180" i="5"/>
  <c r="J2024" i="5"/>
  <c r="J1713" i="5"/>
  <c r="J2325" i="5"/>
  <c r="J1296" i="5"/>
  <c r="J1858" i="5"/>
  <c r="J2434" i="5"/>
  <c r="J1559" i="5"/>
  <c r="J1919" i="5"/>
  <c r="J2279" i="5"/>
  <c r="J362" i="5"/>
  <c r="J794" i="5"/>
  <c r="J1299" i="5"/>
  <c r="J1776" i="5"/>
  <c r="J2136" i="5"/>
  <c r="J2352" i="5"/>
  <c r="J1284" i="5"/>
  <c r="J1549" i="5"/>
  <c r="J1765" i="5"/>
  <c r="J1981" i="5"/>
  <c r="J2197" i="5"/>
  <c r="J2413" i="5"/>
  <c r="J1366" i="5"/>
  <c r="J1610" i="5"/>
  <c r="J1826" i="5"/>
  <c r="J2042" i="5"/>
  <c r="J2258" i="5"/>
  <c r="J1060" i="5"/>
  <c r="J1446" i="5"/>
  <c r="J1671" i="5"/>
  <c r="J1887" i="5"/>
  <c r="J2103" i="5"/>
  <c r="J2319" i="5"/>
  <c r="J1240" i="5"/>
  <c r="J1515" i="5"/>
  <c r="J1732" i="5"/>
  <c r="J1948" i="5"/>
  <c r="J2104" i="5"/>
  <c r="J2248" i="5"/>
  <c r="J2392" i="5"/>
  <c r="J1242" i="5"/>
  <c r="J1434" i="5"/>
  <c r="J1553" i="5"/>
  <c r="J1661" i="5"/>
  <c r="J1769" i="5"/>
  <c r="J1877" i="5"/>
  <c r="J1985" i="5"/>
  <c r="J2093" i="5"/>
  <c r="J2201" i="5"/>
  <c r="J2309" i="5"/>
  <c r="J2417" i="5"/>
  <c r="J1226" i="5"/>
  <c r="J1371" i="5"/>
  <c r="J1504" i="5"/>
  <c r="J1614" i="5"/>
  <c r="J1722" i="5"/>
  <c r="J1830" i="5"/>
  <c r="J1938" i="5"/>
  <c r="J2046" i="5"/>
  <c r="J2154" i="5"/>
  <c r="J2262" i="5"/>
  <c r="J2370" i="5"/>
  <c r="J1084" i="5"/>
  <c r="J1308" i="5"/>
  <c r="J1451" i="5"/>
  <c r="J1567" i="5"/>
  <c r="J1675" i="5"/>
  <c r="J1783" i="5"/>
  <c r="J1891" i="5"/>
  <c r="J1999" i="5"/>
  <c r="J2107" i="5"/>
  <c r="J2215" i="5"/>
  <c r="J2323" i="5"/>
  <c r="J2431" i="5"/>
  <c r="J1246" i="5"/>
  <c r="J1390" i="5"/>
  <c r="J1519" i="5"/>
  <c r="J1628" i="5"/>
  <c r="J1736" i="5"/>
  <c r="J1844" i="5"/>
  <c r="J1952" i="5"/>
  <c r="J2060" i="5"/>
  <c r="J2168" i="5"/>
  <c r="J2276" i="5"/>
  <c r="J2384" i="5"/>
  <c r="J1147" i="5"/>
  <c r="J1327" i="5"/>
  <c r="J1468" i="5"/>
  <c r="J1569" i="5"/>
  <c r="J1653" i="5"/>
  <c r="J1749" i="5"/>
  <c r="J1833" i="5"/>
  <c r="J1917" i="5"/>
  <c r="J2001" i="5"/>
  <c r="J2085" i="5"/>
  <c r="J2181" i="5"/>
  <c r="J2265" i="5"/>
  <c r="J2349" i="5"/>
  <c r="J2433" i="5"/>
  <c r="J1210" i="5"/>
  <c r="J1440" i="5"/>
  <c r="J1522" i="5"/>
  <c r="J1594" i="5"/>
  <c r="J1738" i="5"/>
  <c r="J1954" i="5"/>
  <c r="J2098" i="5"/>
  <c r="J2242" i="5"/>
  <c r="J2386" i="5"/>
  <c r="J1232" i="5"/>
  <c r="J1330" i="5"/>
  <c r="J1510" i="5"/>
  <c r="J1655" i="5"/>
  <c r="J1871" i="5"/>
  <c r="J2015" i="5"/>
  <c r="J2159" i="5"/>
  <c r="J2303" i="5"/>
  <c r="J2447" i="5"/>
  <c r="J2359" i="5"/>
  <c r="J1438" i="5"/>
  <c r="J1556" i="5"/>
  <c r="J2096" i="5"/>
  <c r="J2420" i="5"/>
  <c r="J1773" i="5"/>
  <c r="J2037" i="5"/>
  <c r="J2373" i="5"/>
  <c r="J1376" i="5"/>
  <c r="J1690" i="5"/>
  <c r="J1762" i="5"/>
  <c r="J2050" i="5"/>
  <c r="J2338" i="5"/>
  <c r="J1108" i="5"/>
  <c r="J1535" i="5"/>
  <c r="J1823" i="5"/>
  <c r="J2111" i="5"/>
  <c r="J2471" i="5"/>
  <c r="J1970" i="5"/>
  <c r="J2068" i="5"/>
  <c r="J1841" i="5"/>
  <c r="J2381" i="5"/>
  <c r="J1686" i="5"/>
  <c r="J2442" i="5"/>
  <c r="J2071" i="5"/>
  <c r="J1700" i="5"/>
  <c r="J2240" i="5"/>
  <c r="J1545" i="5"/>
  <c r="J1893" i="5"/>
  <c r="J2145" i="5"/>
  <c r="J1150" i="5"/>
  <c r="J1570" i="5"/>
  <c r="J1930" i="5"/>
  <c r="J2218" i="5"/>
  <c r="J1298" i="5"/>
  <c r="J1703" i="5"/>
  <c r="J1991" i="5"/>
  <c r="J2423" i="5"/>
  <c r="J434" i="5"/>
  <c r="J866" i="5"/>
  <c r="J1395" i="5"/>
  <c r="J1848" i="5"/>
  <c r="J2184" i="5"/>
  <c r="J2400" i="5"/>
  <c r="J1348" i="5"/>
  <c r="J1597" i="5"/>
  <c r="J1813" i="5"/>
  <c r="J2029" i="5"/>
  <c r="J2245" i="5"/>
  <c r="J2461" i="5"/>
  <c r="J1430" i="5"/>
  <c r="J1658" i="5"/>
  <c r="J1874" i="5"/>
  <c r="J2090" i="5"/>
  <c r="J2306" i="5"/>
  <c r="J1219" i="5"/>
  <c r="J1501" i="5"/>
  <c r="J1719" i="5"/>
  <c r="J1935" i="5"/>
  <c r="J2151" i="5"/>
  <c r="J2367" i="5"/>
  <c r="J1304" i="5"/>
  <c r="J1564" i="5"/>
  <c r="J1780" i="5"/>
  <c r="J1996" i="5"/>
  <c r="J2140" i="5"/>
  <c r="J2284" i="5"/>
  <c r="J2428" i="5"/>
  <c r="J1290" i="5"/>
  <c r="J1448" i="5"/>
  <c r="J1577" i="5"/>
  <c r="J1673" i="5"/>
  <c r="J1793" i="5"/>
  <c r="J1889" i="5"/>
  <c r="J2009" i="5"/>
  <c r="J2105" i="5"/>
  <c r="J2225" i="5"/>
  <c r="J2321" i="5"/>
  <c r="J2441" i="5"/>
  <c r="J1243" i="5"/>
  <c r="J1403" i="5"/>
  <c r="J1517" i="5"/>
  <c r="J1638" i="5"/>
  <c r="J1734" i="5"/>
  <c r="J1854" i="5"/>
  <c r="J1950" i="5"/>
  <c r="J2070" i="5"/>
  <c r="J2166" i="5"/>
  <c r="J2286" i="5"/>
  <c r="J2382" i="5"/>
  <c r="J1178" i="5"/>
  <c r="J1324" i="5"/>
  <c r="J1479" i="5"/>
  <c r="J1579" i="5"/>
  <c r="J1699" i="5"/>
  <c r="J1795" i="5"/>
  <c r="J1915" i="5"/>
  <c r="J2011" i="5"/>
  <c r="J2131" i="5"/>
  <c r="J2227" i="5"/>
  <c r="J2347" i="5"/>
  <c r="J2443" i="5"/>
  <c r="J1278" i="5"/>
  <c r="J1406" i="5"/>
  <c r="J1544" i="5"/>
  <c r="J1640" i="5"/>
  <c r="J1760" i="5"/>
  <c r="J1856" i="5"/>
  <c r="J1976" i="5"/>
  <c r="J2072" i="5"/>
  <c r="J2192" i="5"/>
  <c r="J2288" i="5"/>
  <c r="J2408" i="5"/>
  <c r="J1182" i="5"/>
  <c r="J1359" i="5"/>
  <c r="J1481" i="5"/>
  <c r="J1581" i="5"/>
  <c r="J1677" i="5"/>
  <c r="J1761" i="5"/>
  <c r="J1845" i="5"/>
  <c r="J1929" i="5"/>
  <c r="J2013" i="5"/>
  <c r="J2109" i="5"/>
  <c r="J2193" i="5"/>
  <c r="J2277" i="5"/>
  <c r="J2361" i="5"/>
  <c r="J2445" i="5"/>
  <c r="J1248" i="5"/>
  <c r="J1360" i="5"/>
  <c r="J1455" i="5"/>
  <c r="J1534" i="5"/>
  <c r="J1606" i="5"/>
  <c r="J1678" i="5"/>
  <c r="J1750" i="5"/>
  <c r="J1822" i="5"/>
  <c r="J1894" i="5"/>
  <c r="J1966" i="5"/>
  <c r="J2038" i="5"/>
  <c r="J2110" i="5"/>
  <c r="J2182" i="5"/>
  <c r="J2254" i="5"/>
  <c r="J2326" i="5"/>
  <c r="J2398" i="5"/>
  <c r="J2470" i="5"/>
  <c r="J1250" i="5"/>
  <c r="J1346" i="5"/>
  <c r="J1442" i="5"/>
  <c r="J1523" i="5"/>
  <c r="J1595" i="5"/>
  <c r="J1667" i="5"/>
  <c r="J1739" i="5"/>
  <c r="J1811" i="5"/>
  <c r="J1883" i="5"/>
  <c r="J1955" i="5"/>
  <c r="J2027" i="5"/>
  <c r="J2099" i="5"/>
  <c r="J2171" i="5"/>
  <c r="J2243" i="5"/>
  <c r="J2315" i="5"/>
  <c r="J2387" i="5"/>
  <c r="J2459" i="5"/>
  <c r="J1380" i="5"/>
  <c r="J1621" i="5"/>
  <c r="J1837" i="5"/>
  <c r="J2053" i="5"/>
  <c r="J2269" i="5"/>
  <c r="J1120" i="5"/>
  <c r="J1459" i="5"/>
  <c r="J1682" i="5"/>
  <c r="J1898" i="5"/>
  <c r="J2114" i="5"/>
  <c r="J2330" i="5"/>
  <c r="J1255" i="5"/>
  <c r="J1527" i="5"/>
  <c r="J1743" i="5"/>
  <c r="J1959" i="5"/>
  <c r="J2175" i="5"/>
  <c r="J2391" i="5"/>
  <c r="J1336" i="5"/>
  <c r="J1588" i="5"/>
  <c r="J1804" i="5"/>
  <c r="J2020" i="5"/>
  <c r="J2164" i="5"/>
  <c r="J2308" i="5"/>
  <c r="J2452" i="5"/>
  <c r="J1322" i="5"/>
  <c r="J1477" i="5"/>
  <c r="J1589" i="5"/>
  <c r="J1697" i="5"/>
  <c r="J1805" i="5"/>
  <c r="J1913" i="5"/>
  <c r="J2021" i="5"/>
  <c r="J2129" i="5"/>
  <c r="J2237" i="5"/>
  <c r="J2345" i="5"/>
  <c r="J2453" i="5"/>
  <c r="J1275" i="5"/>
  <c r="J1419" i="5"/>
  <c r="J1542" i="5"/>
  <c r="J1650" i="5"/>
  <c r="J1758" i="5"/>
  <c r="J1866" i="5"/>
  <c r="J1974" i="5"/>
  <c r="J2082" i="5"/>
  <c r="J2190" i="5"/>
  <c r="J2298" i="5"/>
  <c r="J2406" i="5"/>
  <c r="J1204" i="5"/>
  <c r="J1356" i="5"/>
  <c r="J1492" i="5"/>
  <c r="J1603" i="5"/>
  <c r="J1711" i="5"/>
  <c r="J1819" i="5"/>
  <c r="J1927" i="5"/>
  <c r="J2035" i="5"/>
  <c r="J2251" i="5"/>
  <c r="J2467" i="5"/>
  <c r="J1664" i="5"/>
  <c r="J1988" i="5"/>
  <c r="J2312" i="5"/>
  <c r="J1230" i="5"/>
  <c r="J1689" i="5"/>
  <c r="J1857" i="5"/>
  <c r="J2205" i="5"/>
  <c r="J1264" i="5"/>
  <c r="J1546" i="5"/>
  <c r="J1906" i="5"/>
  <c r="J2194" i="5"/>
  <c r="J1362" i="5"/>
  <c r="J1679" i="5"/>
  <c r="J1967" i="5"/>
  <c r="J2183" i="5"/>
  <c r="J2399" i="5"/>
  <c r="J2125" i="5"/>
  <c r="J2402" i="5"/>
  <c r="J1815" i="5"/>
  <c r="J1432" i="5"/>
  <c r="J2212" i="5"/>
  <c r="J1516" i="5"/>
  <c r="J1949" i="5"/>
  <c r="J2273" i="5"/>
  <c r="J1464" i="5"/>
  <c r="J1902" i="5"/>
  <c r="J2334" i="5"/>
  <c r="J1531" i="5"/>
  <c r="J1747" i="5"/>
  <c r="J2179" i="5"/>
  <c r="J1342" i="5"/>
  <c r="J1808" i="5"/>
  <c r="J2348" i="5"/>
  <c r="J1423" i="5"/>
  <c r="J2061" i="5"/>
  <c r="J1495" i="5"/>
  <c r="J1786" i="5"/>
  <c r="J2074" i="5"/>
  <c r="J2362" i="5"/>
  <c r="J1631" i="5"/>
  <c r="J2207" i="5"/>
  <c r="K1627" i="2" l="1"/>
  <c r="Q1627" i="2" s="1"/>
  <c r="K2357" i="2"/>
  <c r="Q2357" i="2" s="1"/>
  <c r="K2056" i="2"/>
  <c r="Q2056" i="2" s="1"/>
  <c r="K1418" i="2"/>
  <c r="Q1418" i="2" s="1"/>
  <c r="K2189" i="2"/>
  <c r="Q2189" i="2" s="1"/>
  <c r="K1542" i="2"/>
  <c r="Q1542" i="2" s="1"/>
  <c r="K1853" i="2"/>
  <c r="Q1853" i="2" s="1"/>
  <c r="K1225" i="2"/>
  <c r="Q1225" i="2" s="1"/>
  <c r="K2462" i="2"/>
  <c r="Q2462" i="2" s="1"/>
  <c r="K1351" i="2"/>
  <c r="Q1351" i="2" s="1"/>
  <c r="K2185" i="2"/>
  <c r="Q2185" i="2" s="1"/>
  <c r="K1862" i="2"/>
  <c r="Q1862" i="2" s="1"/>
  <c r="K2340" i="2"/>
  <c r="Q2340" i="2" s="1"/>
  <c r="K1693" i="2"/>
  <c r="Q1693" i="2" s="1"/>
  <c r="K1955" i="2"/>
  <c r="Q1955" i="2" s="1"/>
  <c r="K1523" i="2"/>
  <c r="Q1523" i="2" s="1"/>
  <c r="K1250" i="2"/>
  <c r="Q1250" i="2" s="1"/>
  <c r="K2109" i="2"/>
  <c r="Q2109" i="2" s="1"/>
  <c r="K1879" i="2"/>
  <c r="Q1879" i="2" s="1"/>
  <c r="K1807" i="2"/>
  <c r="Q1807" i="2" s="1"/>
  <c r="K1663" i="2"/>
  <c r="Q1663" i="2" s="1"/>
  <c r="K1519" i="2"/>
  <c r="Q1519" i="2" s="1"/>
  <c r="K1245" i="2"/>
  <c r="Q1245" i="2" s="1"/>
  <c r="K2177" i="2"/>
  <c r="Q2177" i="2" s="1"/>
  <c r="K1961" i="2"/>
  <c r="Q1961" i="2" s="1"/>
  <c r="K1602" i="2"/>
  <c r="Q1602" i="2" s="1"/>
  <c r="K1355" i="2"/>
  <c r="Q1355" i="2" s="1"/>
  <c r="K1925" i="2"/>
  <c r="Q1925" i="2" s="1"/>
  <c r="K2283" i="2"/>
  <c r="Q2283" i="2" s="1"/>
  <c r="K1971" i="2"/>
  <c r="Q1971" i="2" s="1"/>
  <c r="K1474" i="2"/>
  <c r="Q1474" i="2" s="1"/>
  <c r="K1173" i="2"/>
  <c r="Q1173" i="2" s="1"/>
  <c r="K1946" i="2"/>
  <c r="Q1946" i="2" s="1"/>
  <c r="K1573" i="2"/>
  <c r="Q1573" i="2" s="1"/>
  <c r="K2279" i="2"/>
  <c r="Q2279" i="2" s="1"/>
  <c r="K1776" i="2"/>
  <c r="Q1776" i="2" s="1"/>
  <c r="K1560" i="2"/>
  <c r="Q1560" i="2" s="1"/>
  <c r="K2085" i="2"/>
  <c r="Q2085" i="2" s="1"/>
  <c r="K2456" i="2"/>
  <c r="Q2456" i="2" s="1"/>
  <c r="K2024" i="2"/>
  <c r="Q2024" i="2" s="1"/>
  <c r="K1343" i="2"/>
  <c r="Q1343" i="2" s="1"/>
  <c r="K1390" i="2"/>
  <c r="Q1390" i="2" s="1"/>
  <c r="K863" i="2"/>
  <c r="Q863" i="2" s="1"/>
  <c r="K433" i="2"/>
  <c r="Q433" i="2" s="1"/>
  <c r="K1145" i="2"/>
  <c r="Q1145" i="2" s="1"/>
  <c r="K2066" i="2"/>
  <c r="Q2066" i="2" s="1"/>
  <c r="K2437" i="2"/>
  <c r="Q2437" i="2" s="1"/>
  <c r="K2376" i="2"/>
  <c r="Q2376" i="2" s="1"/>
  <c r="K2063" i="2"/>
  <c r="Q2063" i="2" s="1"/>
  <c r="K2106" i="2"/>
  <c r="Q2106" i="2" s="1"/>
  <c r="K2032" i="2"/>
  <c r="Q2032" i="2" s="1"/>
  <c r="K1769" i="2"/>
  <c r="Q1769" i="2" s="1"/>
  <c r="K2415" i="2"/>
  <c r="Q2415" i="2" s="1"/>
  <c r="K1552" i="2"/>
  <c r="Q1552" i="2" s="1"/>
  <c r="K1867" i="2"/>
  <c r="Q1867" i="2" s="1"/>
  <c r="K1651" i="2"/>
  <c r="Q1651" i="2" s="1"/>
  <c r="K1325" i="2"/>
  <c r="Q1325" i="2" s="1"/>
  <c r="K2093" i="2"/>
  <c r="Q2093" i="2" s="1"/>
  <c r="K1950" i="2"/>
  <c r="Q1950" i="2" s="1"/>
  <c r="K1734" i="2"/>
  <c r="Q1734" i="2" s="1"/>
  <c r="K2344" i="2"/>
  <c r="Q2344" i="2" s="1"/>
  <c r="K2080" i="2"/>
  <c r="Q2080" i="2" s="1"/>
  <c r="K1996" i="2"/>
  <c r="Q1996" i="2" s="1"/>
  <c r="K1913" i="2"/>
  <c r="Q1913" i="2" s="1"/>
  <c r="K1745" i="2"/>
  <c r="Q1745" i="2" s="1"/>
  <c r="K1565" i="2"/>
  <c r="Q1565" i="2" s="1"/>
  <c r="K2379" i="2"/>
  <c r="Q2379" i="2" s="1"/>
  <c r="K2271" i="2"/>
  <c r="Q2271" i="2" s="1"/>
  <c r="K1840" i="2"/>
  <c r="Q1840" i="2" s="1"/>
  <c r="K2426" i="2"/>
  <c r="Q2426" i="2" s="1"/>
  <c r="K2210" i="2"/>
  <c r="Q2210" i="2" s="1"/>
  <c r="K1671" i="2"/>
  <c r="Q1671" i="2" s="1"/>
  <c r="K1303" i="2"/>
  <c r="Q1303" i="2" s="1"/>
  <c r="K1080" i="2"/>
  <c r="Q1080" i="2" s="1"/>
  <c r="K2365" i="2"/>
  <c r="Q2365" i="2" s="1"/>
  <c r="K2149" i="2"/>
  <c r="Q2149" i="2" s="1"/>
  <c r="K1934" i="2"/>
  <c r="Q1934" i="2" s="1"/>
  <c r="K1718" i="2"/>
  <c r="Q1718" i="2" s="1"/>
  <c r="K1610" i="2"/>
  <c r="Q1610" i="2" s="1"/>
  <c r="K1500" i="2"/>
  <c r="Q1500" i="2" s="1"/>
  <c r="K2412" i="2"/>
  <c r="Q2412" i="2" s="1"/>
  <c r="K2304" i="2"/>
  <c r="Q2304" i="2" s="1"/>
  <c r="K2098" i="2"/>
  <c r="Q2098" i="2" s="1"/>
  <c r="K1667" i="2"/>
  <c r="Q1667" i="2" s="1"/>
  <c r="K1822" i="2"/>
  <c r="Q1822" i="2" s="1"/>
  <c r="K1606" i="2"/>
  <c r="Q1606" i="2" s="1"/>
  <c r="K1976" i="2"/>
  <c r="Q1976" i="2" s="1"/>
  <c r="K2131" i="2"/>
  <c r="Q2131" i="2" s="1"/>
  <c r="K1772" i="2"/>
  <c r="Q1772" i="2" s="1"/>
  <c r="K791" i="2"/>
  <c r="Q791" i="2" s="1"/>
  <c r="K1291" i="2"/>
  <c r="Q1291" i="2" s="1"/>
  <c r="K1709" i="2"/>
  <c r="Q1709" i="2" s="1"/>
  <c r="K2019" i="2"/>
  <c r="Q2019" i="2" s="1"/>
  <c r="K1255" i="2"/>
  <c r="Q1255" i="2" s="1"/>
  <c r="K1130" i="2"/>
  <c r="Q1130" i="2" s="1"/>
  <c r="K1381" i="2"/>
  <c r="Q1381" i="2" s="1"/>
  <c r="K2322" i="2"/>
  <c r="Q2322" i="2" s="1"/>
  <c r="K1891" i="2"/>
  <c r="Q1891" i="2" s="1"/>
  <c r="K1614" i="2"/>
  <c r="Q1614" i="2" s="1"/>
  <c r="K1503" i="2"/>
  <c r="Q1503" i="2" s="1"/>
  <c r="K2453" i="2"/>
  <c r="Q2453" i="2" s="1"/>
  <c r="K2165" i="2"/>
  <c r="Q2165" i="2" s="1"/>
  <c r="K1339" i="2"/>
  <c r="Q1339" i="2" s="1"/>
  <c r="K2430" i="2"/>
  <c r="Q2430" i="2" s="1"/>
  <c r="K2286" i="2"/>
  <c r="Q2286" i="2" s="1"/>
  <c r="K1783" i="2"/>
  <c r="Q1783" i="2" s="1"/>
  <c r="K1639" i="2"/>
  <c r="Q1639" i="2" s="1"/>
  <c r="K1207" i="2"/>
  <c r="Q1207" i="2" s="1"/>
  <c r="K2441" i="2"/>
  <c r="Q2441" i="2" s="1"/>
  <c r="K2369" i="2"/>
  <c r="Q2369" i="2" s="1"/>
  <c r="K2009" i="2"/>
  <c r="Q2009" i="2" s="1"/>
  <c r="K1938" i="2"/>
  <c r="Q1938" i="2" s="1"/>
  <c r="K1578" i="2"/>
  <c r="Q1578" i="2" s="1"/>
  <c r="K1307" i="2"/>
  <c r="Q1307" i="2" s="1"/>
  <c r="K1178" i="2"/>
  <c r="Q1178" i="2" s="1"/>
  <c r="K2152" i="2"/>
  <c r="Q2152" i="2" s="1"/>
  <c r="K1984" i="2"/>
  <c r="Q1984" i="2" s="1"/>
  <c r="K1817" i="2"/>
  <c r="Q1817" i="2" s="1"/>
  <c r="K1721" i="2"/>
  <c r="Q1721" i="2" s="1"/>
  <c r="K1449" i="2"/>
  <c r="Q1449" i="2" s="1"/>
  <c r="K2259" i="2"/>
  <c r="Q2259" i="2" s="1"/>
  <c r="K2139" i="2"/>
  <c r="Q2139" i="2" s="1"/>
  <c r="K2043" i="2"/>
  <c r="Q2043" i="2" s="1"/>
  <c r="K1369" i="2"/>
  <c r="Q1369" i="2" s="1"/>
  <c r="K2294" i="2"/>
  <c r="Q2294" i="2" s="1"/>
  <c r="K1647" i="2"/>
  <c r="Q1647" i="2" s="1"/>
  <c r="K1415" i="2"/>
  <c r="Q1415" i="2" s="1"/>
  <c r="K2449" i="2"/>
  <c r="Q2449" i="2" s="1"/>
  <c r="K2353" i="2"/>
  <c r="Q2353" i="2" s="1"/>
  <c r="K1802" i="2"/>
  <c r="Q1802" i="2" s="1"/>
  <c r="K1197" i="2"/>
  <c r="Q1197" i="2" s="1"/>
  <c r="K2388" i="2"/>
  <c r="Q2388" i="2" s="1"/>
  <c r="K1741" i="2"/>
  <c r="Q1741" i="2" s="1"/>
  <c r="K2231" i="2"/>
  <c r="Q2231" i="2" s="1"/>
  <c r="K1193" i="2"/>
  <c r="Q1193" i="2" s="1"/>
  <c r="K1643" i="2"/>
  <c r="Q1643" i="2" s="1"/>
  <c r="K2445" i="2"/>
  <c r="Q2445" i="2" s="1"/>
  <c r="K2384" i="2"/>
  <c r="Q2384" i="2" s="1"/>
  <c r="K2168" i="2"/>
  <c r="Q2168" i="2" s="1"/>
  <c r="K1737" i="2"/>
  <c r="Q1737" i="2" s="1"/>
  <c r="K2059" i="2"/>
  <c r="Q2059" i="2" s="1"/>
  <c r="K647" i="2"/>
  <c r="Q647" i="2" s="1"/>
  <c r="K2404" i="2"/>
  <c r="Q2404" i="2" s="1"/>
  <c r="K1635" i="2"/>
  <c r="Q1635" i="2" s="1"/>
  <c r="K2005" i="2"/>
  <c r="Q2005" i="2" s="1"/>
  <c r="K2242" i="2"/>
  <c r="Q2242" i="2" s="1"/>
  <c r="K2275" i="2"/>
  <c r="Q2275" i="2" s="1"/>
  <c r="K2" i="2"/>
  <c r="Q2" i="2" s="1"/>
  <c r="K2262" i="2"/>
  <c r="Q2262" i="2" s="1"/>
  <c r="K2118" i="2"/>
  <c r="Q2118" i="2" s="1"/>
  <c r="K2046" i="2"/>
  <c r="Q2046" i="2" s="1"/>
  <c r="K1831" i="2"/>
  <c r="Q1831" i="2" s="1"/>
  <c r="K1759" i="2"/>
  <c r="Q1759" i="2" s="1"/>
  <c r="K1373" i="2"/>
  <c r="Q1373" i="2" s="1"/>
  <c r="K1277" i="2"/>
  <c r="Q1277" i="2" s="1"/>
  <c r="K1149" i="2"/>
  <c r="Q1149" i="2" s="1"/>
  <c r="K2201" i="2"/>
  <c r="Q2201" i="2" s="1"/>
  <c r="K1477" i="2"/>
  <c r="Q1477" i="2" s="1"/>
  <c r="K2392" i="2"/>
  <c r="Q2392" i="2" s="1"/>
  <c r="K2128" i="2"/>
  <c r="Q2128" i="2" s="1"/>
  <c r="K1697" i="2"/>
  <c r="Q1697" i="2" s="1"/>
  <c r="K1386" i="2"/>
  <c r="Q1386" i="2" s="1"/>
  <c r="K2331" i="2"/>
  <c r="Q2331" i="2" s="1"/>
  <c r="K1780" i="2"/>
  <c r="Q1780" i="2" s="1"/>
  <c r="K1684" i="2"/>
  <c r="Q1684" i="2" s="1"/>
  <c r="K1623" i="2"/>
  <c r="Q1623" i="2" s="1"/>
  <c r="K1597" i="2"/>
  <c r="Q1597" i="2" s="1"/>
  <c r="K2459" i="2"/>
  <c r="Q2459" i="2" s="1"/>
  <c r="K1787" i="2"/>
  <c r="Q1787" i="2" s="1"/>
  <c r="K2373" i="2"/>
  <c r="Q2373" i="2" s="1"/>
  <c r="K2157" i="2"/>
  <c r="Q2157" i="2" s="1"/>
  <c r="K1942" i="2"/>
  <c r="Q1942" i="2" s="1"/>
  <c r="K2312" i="2"/>
  <c r="Q2312" i="2" s="1"/>
  <c r="K1032" i="2"/>
  <c r="Q1032" i="2" s="1"/>
  <c r="K1987" i="2"/>
  <c r="Q1987" i="2" s="1"/>
  <c r="K1556" i="2"/>
  <c r="Q1556" i="2" s="1"/>
  <c r="K2224" i="2"/>
  <c r="Q2224" i="2" s="1"/>
  <c r="K2336" i="2"/>
  <c r="Q2336" i="2" s="1"/>
  <c r="K2250" i="2"/>
  <c r="Q2250" i="2" s="1"/>
  <c r="K1464" i="2"/>
  <c r="Q1464" i="2" s="1"/>
  <c r="K2419" i="2"/>
  <c r="Q2419" i="2" s="1"/>
  <c r="K1489" i="2"/>
  <c r="Q1489" i="2" s="1"/>
  <c r="K1202" i="2"/>
  <c r="Q1202" i="2" s="1"/>
  <c r="K1792" i="2"/>
  <c r="Q1792" i="2" s="1"/>
  <c r="K2234" i="2"/>
  <c r="Q2234" i="2" s="1"/>
  <c r="K2162" i="2"/>
  <c r="Q2162" i="2" s="1"/>
  <c r="K1875" i="2"/>
  <c r="Q1875" i="2" s="1"/>
  <c r="K1731" i="2"/>
  <c r="Q1731" i="2" s="1"/>
  <c r="K1659" i="2"/>
  <c r="Q1659" i="2" s="1"/>
  <c r="K1587" i="2"/>
  <c r="Q1587" i="2" s="1"/>
  <c r="K1514" i="2"/>
  <c r="Q1514" i="2" s="1"/>
  <c r="K1431" i="2"/>
  <c r="Q1431" i="2" s="1"/>
  <c r="K1335" i="2"/>
  <c r="Q1335" i="2" s="1"/>
  <c r="K1239" i="2"/>
  <c r="Q1239" i="2" s="1"/>
  <c r="K2317" i="2"/>
  <c r="Q2317" i="2" s="1"/>
  <c r="K2173" i="2"/>
  <c r="Q2173" i="2" s="1"/>
  <c r="K2029" i="2"/>
  <c r="Q2029" i="2" s="1"/>
  <c r="K1958" i="2"/>
  <c r="Q1958" i="2" s="1"/>
  <c r="K1886" i="2"/>
  <c r="Q1886" i="2" s="1"/>
  <c r="K1445" i="2"/>
  <c r="Q1445" i="2" s="1"/>
  <c r="K2400" i="2"/>
  <c r="Q2400" i="2" s="1"/>
  <c r="K1537" i="2"/>
  <c r="Q1537" i="2" s="1"/>
  <c r="K1836" i="2"/>
  <c r="Q1836" i="2" s="1"/>
  <c r="K1471" i="2"/>
  <c r="Q1471" i="2" s="1"/>
  <c r="K2422" i="2"/>
  <c r="Q2422" i="2" s="1"/>
  <c r="K2134" i="2"/>
  <c r="Q2134" i="2" s="1"/>
  <c r="K1631" i="2"/>
  <c r="Q1631" i="2" s="1"/>
  <c r="K1394" i="2"/>
  <c r="Q1394" i="2" s="1"/>
  <c r="K1298" i="2"/>
  <c r="Q1298" i="2" s="1"/>
  <c r="K2433" i="2"/>
  <c r="Q2433" i="2" s="1"/>
  <c r="K2361" i="2"/>
  <c r="Q2361" i="2" s="1"/>
  <c r="K2289" i="2"/>
  <c r="Q2289" i="2" s="1"/>
  <c r="K1930" i="2"/>
  <c r="Q1930" i="2" s="1"/>
  <c r="K1714" i="2"/>
  <c r="Q1714" i="2" s="1"/>
  <c r="K1496" i="2"/>
  <c r="Q1496" i="2" s="1"/>
  <c r="K2228" i="2"/>
  <c r="Q2228" i="2" s="1"/>
  <c r="K1797" i="2"/>
  <c r="Q1797" i="2" s="1"/>
  <c r="K1423" i="2"/>
  <c r="Q1423" i="2" s="1"/>
  <c r="K2239" i="2"/>
  <c r="Q2239" i="2" s="1"/>
  <c r="K1592" i="2"/>
  <c r="Q1592" i="2" s="1"/>
  <c r="K1438" i="2"/>
  <c r="Q1438" i="2" s="1"/>
  <c r="K1020" i="2"/>
  <c r="Q1020" i="2" s="1"/>
  <c r="K898" i="2"/>
  <c r="Q898" i="2" s="1"/>
  <c r="K540" i="2"/>
  <c r="Q540" i="2" s="1"/>
  <c r="K325" i="2"/>
  <c r="Q325" i="2" s="1"/>
  <c r="K38" i="2"/>
  <c r="Q38" i="2" s="1"/>
  <c r="K1065" i="2"/>
  <c r="Q1065" i="2" s="1"/>
  <c r="K921" i="2"/>
  <c r="Q921" i="2" s="1"/>
  <c r="K778" i="2"/>
  <c r="Q778" i="2" s="1"/>
  <c r="K61" i="2"/>
  <c r="Q61" i="2" s="1"/>
  <c r="K956" i="2"/>
  <c r="Q956" i="2" s="1"/>
  <c r="K884" i="2"/>
  <c r="Q884" i="2" s="1"/>
  <c r="K168" i="2"/>
  <c r="Q168" i="2" s="1"/>
  <c r="K1110" i="2"/>
  <c r="Q1110" i="2" s="1"/>
  <c r="K1039" i="2"/>
  <c r="Q1039" i="2" s="1"/>
  <c r="K680" i="2"/>
  <c r="Q680" i="2" s="1"/>
  <c r="K466" i="2"/>
  <c r="Q466" i="2" s="1"/>
  <c r="K251" i="2"/>
  <c r="Q251" i="2" s="1"/>
  <c r="K107" i="2"/>
  <c r="Q107" i="2" s="1"/>
  <c r="K1098" i="2"/>
  <c r="Q1098" i="2" s="1"/>
  <c r="K811" i="2"/>
  <c r="Q811" i="2" s="1"/>
  <c r="K667" i="2"/>
  <c r="Q667" i="2" s="1"/>
  <c r="K524" i="2"/>
  <c r="Q524" i="2" s="1"/>
  <c r="K94" i="2"/>
  <c r="Q94" i="2" s="1"/>
  <c r="K1468" i="2"/>
  <c r="Q1468" i="2" s="1"/>
  <c r="K750" i="2"/>
  <c r="Q750" i="2" s="1"/>
  <c r="K964" i="2"/>
  <c r="Q964" i="2" s="1"/>
  <c r="K605" i="2"/>
  <c r="Q605" i="2" s="1"/>
  <c r="K391" i="2"/>
  <c r="Q391" i="2" s="1"/>
  <c r="K176" i="2"/>
  <c r="Q176" i="2" s="1"/>
  <c r="K784" i="2"/>
  <c r="Q784" i="2" s="1"/>
  <c r="K211" i="2"/>
  <c r="Q211" i="2" s="1"/>
  <c r="K1165" i="2"/>
  <c r="Q1165" i="2" s="1"/>
  <c r="K520" i="2"/>
  <c r="Q520" i="2" s="1"/>
  <c r="K90" i="2"/>
  <c r="Q90" i="2" s="1"/>
  <c r="K972" i="2"/>
  <c r="Q972" i="2" s="1"/>
  <c r="K829" i="2"/>
  <c r="Q829" i="2" s="1"/>
  <c r="K685" i="2"/>
  <c r="Q685" i="2" s="1"/>
  <c r="K399" i="2"/>
  <c r="Q399" i="2" s="1"/>
  <c r="K256" i="2"/>
  <c r="Q256" i="2" s="1"/>
  <c r="K2039" i="2"/>
  <c r="Q2039" i="2" s="1"/>
  <c r="K1752" i="2"/>
  <c r="Q1752" i="2" s="1"/>
  <c r="K1680" i="2"/>
  <c r="Q1680" i="2" s="1"/>
  <c r="K2266" i="2"/>
  <c r="Q2266" i="2" s="1"/>
  <c r="K2122" i="2"/>
  <c r="Q2122" i="2" s="1"/>
  <c r="K2050" i="2"/>
  <c r="Q2050" i="2" s="1"/>
  <c r="K1907" i="2"/>
  <c r="Q1907" i="2" s="1"/>
  <c r="K1763" i="2"/>
  <c r="Q1763" i="2" s="1"/>
  <c r="K1547" i="2"/>
  <c r="Q1547" i="2" s="1"/>
  <c r="K1282" i="2"/>
  <c r="Q1282" i="2" s="1"/>
  <c r="K1161" i="2"/>
  <c r="Q1161" i="2" s="1"/>
  <c r="K2205" i="2"/>
  <c r="Q2205" i="2" s="1"/>
  <c r="K1702" i="2"/>
  <c r="Q1702" i="2" s="1"/>
  <c r="K2144" i="2"/>
  <c r="Q2144" i="2" s="1"/>
  <c r="K2000" i="2"/>
  <c r="Q2000" i="2" s="1"/>
  <c r="K1857" i="2"/>
  <c r="Q1857" i="2" s="1"/>
  <c r="K1569" i="2"/>
  <c r="Q1569" i="2" s="1"/>
  <c r="K1407" i="2"/>
  <c r="Q1407" i="2" s="1"/>
  <c r="K1311" i="2"/>
  <c r="Q1311" i="2" s="1"/>
  <c r="K2299" i="2"/>
  <c r="Q2299" i="2" s="1"/>
  <c r="K1724" i="2"/>
  <c r="Q1724" i="2" s="1"/>
  <c r="K1507" i="2"/>
  <c r="Q1507" i="2" s="1"/>
  <c r="K815" i="2"/>
  <c r="Q815" i="2" s="1"/>
  <c r="K671" i="2"/>
  <c r="Q671" i="2" s="1"/>
  <c r="K528" i="2"/>
  <c r="Q528" i="2" s="1"/>
  <c r="K242" i="2"/>
  <c r="Q242" i="2" s="1"/>
  <c r="K98" i="2"/>
  <c r="Q98" i="2" s="1"/>
  <c r="K1268" i="2"/>
  <c r="Q1268" i="2" s="1"/>
  <c r="K408" i="2"/>
  <c r="Q408" i="2" s="1"/>
  <c r="K1016" i="2"/>
  <c r="Q1016" i="2" s="1"/>
  <c r="K300" i="2"/>
  <c r="Q300" i="2" s="1"/>
  <c r="K228" i="2"/>
  <c r="Q228" i="2" s="1"/>
  <c r="K1027" i="2"/>
  <c r="Q1027" i="2" s="1"/>
  <c r="K597" i="2"/>
  <c r="Q597" i="2" s="1"/>
  <c r="K454" i="2"/>
  <c r="Q454" i="2" s="1"/>
  <c r="K382" i="2"/>
  <c r="Q382" i="2" s="1"/>
  <c r="K23" i="2"/>
  <c r="Q23" i="2" s="1"/>
  <c r="K1086" i="2"/>
  <c r="Q1086" i="2" s="1"/>
  <c r="K942" i="2"/>
  <c r="Q942" i="2" s="1"/>
  <c r="K655" i="2"/>
  <c r="Q655" i="2" s="1"/>
  <c r="K10" i="2"/>
  <c r="Q10" i="2" s="1"/>
  <c r="K1456" i="2"/>
  <c r="Q1456" i="2" s="1"/>
  <c r="K738" i="2"/>
  <c r="Q738" i="2" s="1"/>
  <c r="K309" i="2"/>
  <c r="Q309" i="2" s="1"/>
  <c r="K237" i="2"/>
  <c r="Q237" i="2" s="1"/>
  <c r="K165" i="2"/>
  <c r="Q165" i="2" s="1"/>
  <c r="K952" i="2"/>
  <c r="Q952" i="2" s="1"/>
  <c r="K880" i="2"/>
  <c r="Q880" i="2" s="1"/>
  <c r="K856" i="2"/>
  <c r="Q856" i="2" s="1"/>
  <c r="K676" i="2"/>
  <c r="Q676" i="2" s="1"/>
  <c r="K593" i="2"/>
  <c r="Q593" i="2" s="1"/>
  <c r="K295" i="2"/>
  <c r="Q295" i="2" s="1"/>
  <c r="K79" i="2"/>
  <c r="Q79" i="2" s="1"/>
  <c r="K1141" i="2"/>
  <c r="Q1141" i="2" s="1"/>
  <c r="K282" i="2"/>
  <c r="Q282" i="2" s="1"/>
  <c r="K233" i="2"/>
  <c r="Q233" i="2" s="1"/>
  <c r="K960" i="2"/>
  <c r="Q960" i="2" s="1"/>
  <c r="K887" i="2"/>
  <c r="Q887" i="2" s="1"/>
  <c r="K458" i="2"/>
  <c r="Q458" i="2" s="1"/>
  <c r="K27" i="2"/>
  <c r="Q27" i="2" s="1"/>
  <c r="K1812" i="2"/>
  <c r="Q1812" i="2" s="1"/>
  <c r="K1442" i="2"/>
  <c r="Q1442" i="2" s="1"/>
  <c r="K1347" i="2"/>
  <c r="Q1347" i="2" s="1"/>
  <c r="K2326" i="2"/>
  <c r="Q2326" i="2" s="1"/>
  <c r="K2254" i="2"/>
  <c r="Q2254" i="2" s="1"/>
  <c r="K2182" i="2"/>
  <c r="Q2182" i="2" s="1"/>
  <c r="K1966" i="2"/>
  <c r="Q1966" i="2" s="1"/>
  <c r="K1895" i="2"/>
  <c r="Q1895" i="2" s="1"/>
  <c r="K1118" i="2"/>
  <c r="Q1118" i="2" s="1"/>
  <c r="K2409" i="2"/>
  <c r="Q2409" i="2" s="1"/>
  <c r="K2193" i="2"/>
  <c r="Q2193" i="2" s="1"/>
  <c r="K1618" i="2"/>
  <c r="Q1618" i="2" s="1"/>
  <c r="K1377" i="2"/>
  <c r="Q1377" i="2" s="1"/>
  <c r="K1157" i="2"/>
  <c r="Q1157" i="2" s="1"/>
  <c r="K2348" i="2"/>
  <c r="Q2348" i="2" s="1"/>
  <c r="K1917" i="2"/>
  <c r="Q1917" i="2" s="1"/>
  <c r="K1845" i="2"/>
  <c r="Q1845" i="2" s="1"/>
  <c r="K1481" i="2"/>
  <c r="Q1481" i="2" s="1"/>
  <c r="K1295" i="2"/>
  <c r="Q1295" i="2" s="1"/>
  <c r="K2215" i="2"/>
  <c r="Q2215" i="2" s="1"/>
  <c r="K2071" i="2"/>
  <c r="Q2071" i="2" s="1"/>
  <c r="K1090" i="2"/>
  <c r="Q1090" i="2" s="1"/>
  <c r="K659" i="2"/>
  <c r="Q659" i="2" s="1"/>
  <c r="K516" i="2"/>
  <c r="Q516" i="2" s="1"/>
  <c r="K86" i="2"/>
  <c r="Q86" i="2" s="1"/>
  <c r="K14" i="2"/>
  <c r="Q14" i="2" s="1"/>
  <c r="K1400" i="2"/>
  <c r="Q1400" i="2" s="1"/>
  <c r="K754" i="2"/>
  <c r="Q754" i="2" s="1"/>
  <c r="K181" i="2"/>
  <c r="Q181" i="2" s="1"/>
  <c r="K1004" i="2"/>
  <c r="Q1004" i="2" s="1"/>
  <c r="K932" i="2"/>
  <c r="Q932" i="2" s="1"/>
  <c r="K503" i="2"/>
  <c r="Q503" i="2" s="1"/>
  <c r="K144" i="2"/>
  <c r="Q144" i="2" s="1"/>
  <c r="K1230" i="2"/>
  <c r="Q1230" i="2" s="1"/>
  <c r="K800" i="2"/>
  <c r="Q800" i="2" s="1"/>
  <c r="K585" i="2"/>
  <c r="Q585" i="2" s="1"/>
  <c r="K442" i="2"/>
  <c r="Q442" i="2" s="1"/>
  <c r="K370" i="2"/>
  <c r="Q370" i="2" s="1"/>
  <c r="K83" i="2"/>
  <c r="Q83" i="2" s="1"/>
  <c r="K859" i="2"/>
  <c r="Q859" i="2" s="1"/>
  <c r="K787" i="2"/>
  <c r="Q787" i="2" s="1"/>
  <c r="K715" i="2"/>
  <c r="Q715" i="2" s="1"/>
  <c r="K429" i="2"/>
  <c r="Q429" i="2" s="1"/>
  <c r="K357" i="2"/>
  <c r="Q357" i="2" s="1"/>
  <c r="K869" i="2"/>
  <c r="Q869" i="2" s="1"/>
  <c r="K512" i="2"/>
  <c r="Q512" i="2" s="1"/>
  <c r="K153" i="2"/>
  <c r="Q153" i="2" s="1"/>
  <c r="K1012" i="2"/>
  <c r="Q1012" i="2" s="1"/>
  <c r="K725" i="2"/>
  <c r="Q725" i="2" s="1"/>
  <c r="K582" i="2"/>
  <c r="Q582" i="2" s="1"/>
  <c r="K224" i="2"/>
  <c r="Q224" i="2" s="1"/>
  <c r="K832" i="2"/>
  <c r="Q832" i="2" s="1"/>
  <c r="K378" i="2"/>
  <c r="Q378" i="2" s="1"/>
  <c r="K67" i="2"/>
  <c r="Q67" i="2" s="1"/>
  <c r="K902" i="2"/>
  <c r="Q902" i="2" s="1"/>
  <c r="K42" i="2"/>
  <c r="Q42" i="2" s="1"/>
  <c r="K1188" i="2"/>
  <c r="Q1188" i="2" s="1"/>
  <c r="K196" i="2"/>
  <c r="Q196" i="2" s="1"/>
  <c r="K1126" i="2"/>
  <c r="Q1126" i="2" s="1"/>
  <c r="K386" i="2"/>
  <c r="Q386" i="2" s="1"/>
  <c r="K1460" i="2"/>
  <c r="Q1460" i="2" s="1"/>
  <c r="K742" i="2"/>
  <c r="Q742" i="2" s="1"/>
  <c r="K313" i="2"/>
  <c r="Q313" i="2" s="1"/>
  <c r="K992" i="2"/>
  <c r="Q992" i="2" s="1"/>
  <c r="K705" i="2"/>
  <c r="Q705" i="2" s="1"/>
  <c r="K204" i="2"/>
  <c r="Q204" i="2" s="1"/>
  <c r="K1075" i="2"/>
  <c r="Q1075" i="2" s="1"/>
  <c r="K287" i="2"/>
  <c r="Q287" i="2" s="1"/>
  <c r="K215" i="2"/>
  <c r="Q215" i="2" s="1"/>
  <c r="K71" i="2"/>
  <c r="Q71" i="2" s="1"/>
  <c r="K1133" i="2"/>
  <c r="Q1133" i="2" s="1"/>
  <c r="K775" i="2"/>
  <c r="Q775" i="2" s="1"/>
  <c r="K345" i="2"/>
  <c r="Q345" i="2" s="1"/>
  <c r="K274" i="2"/>
  <c r="Q274" i="2" s="1"/>
  <c r="K130" i="2"/>
  <c r="Q130" i="2" s="1"/>
  <c r="K58" i="2"/>
  <c r="Q58" i="2" s="1"/>
  <c r="K642" i="2"/>
  <c r="Q642" i="2" s="1"/>
  <c r="K1215" i="2"/>
  <c r="Q1215" i="2" s="1"/>
  <c r="K1000" i="2"/>
  <c r="Q1000" i="2" s="1"/>
  <c r="K928" i="2"/>
  <c r="Q928" i="2" s="1"/>
  <c r="K570" i="2"/>
  <c r="Q570" i="2" s="1"/>
  <c r="K499" i="2"/>
  <c r="Q499" i="2" s="1"/>
  <c r="K1047" i="2"/>
  <c r="Q1047" i="2" s="1"/>
  <c r="K820" i="2"/>
  <c r="Q820" i="2" s="1"/>
  <c r="K474" i="2"/>
  <c r="Q474" i="2" s="1"/>
  <c r="K366" i="2"/>
  <c r="Q366" i="2" s="1"/>
  <c r="K259" i="2"/>
  <c r="Q259" i="2" s="1"/>
  <c r="K1106" i="2"/>
  <c r="Q1106" i="2" s="1"/>
  <c r="K353" i="2"/>
  <c r="Q353" i="2" s="1"/>
  <c r="K1320" i="2"/>
  <c r="Q1320" i="2" s="1"/>
  <c r="K317" i="2"/>
  <c r="Q317" i="2" s="1"/>
  <c r="K613" i="2"/>
  <c r="Q613" i="2" s="1"/>
  <c r="K184" i="2"/>
  <c r="Q184" i="2" s="1"/>
  <c r="K1114" i="2"/>
  <c r="Q1114" i="2" s="1"/>
  <c r="K2308" i="2"/>
  <c r="Q2308" i="2" s="1"/>
  <c r="K1434" i="2"/>
  <c r="Q1434" i="2" s="1"/>
  <c r="K2247" i="2"/>
  <c r="Q2247" i="2" s="1"/>
  <c r="K2103" i="2"/>
  <c r="Q2103" i="2" s="1"/>
  <c r="K1528" i="2"/>
  <c r="Q1528" i="2" s="1"/>
  <c r="K2114" i="2"/>
  <c r="Q2114" i="2" s="1"/>
  <c r="K1899" i="2"/>
  <c r="Q1899" i="2" s="1"/>
  <c r="K1827" i="2"/>
  <c r="Q1827" i="2" s="1"/>
  <c r="K1755" i="2"/>
  <c r="Q1755" i="2" s="1"/>
  <c r="K1137" i="2"/>
  <c r="Q1137" i="2" s="1"/>
  <c r="K2197" i="2"/>
  <c r="Q2197" i="2" s="1"/>
  <c r="K2125" i="2"/>
  <c r="Q2125" i="2" s="1"/>
  <c r="K2053" i="2"/>
  <c r="Q2053" i="2" s="1"/>
  <c r="K1981" i="2"/>
  <c r="Q1981" i="2" s="1"/>
  <c r="K1910" i="2"/>
  <c r="Q1910" i="2" s="1"/>
  <c r="K1766" i="2"/>
  <c r="Q1766" i="2" s="1"/>
  <c r="K1286" i="2"/>
  <c r="Q1286" i="2" s="1"/>
  <c r="K1169" i="2"/>
  <c r="Q1169" i="2" s="1"/>
  <c r="K1992" i="2"/>
  <c r="Q1992" i="2" s="1"/>
  <c r="K1921" i="2"/>
  <c r="Q1921" i="2" s="1"/>
  <c r="K1849" i="2"/>
  <c r="Q1849" i="2" s="1"/>
  <c r="K1705" i="2"/>
  <c r="Q1705" i="2" s="1"/>
  <c r="K1485" i="2"/>
  <c r="Q1485" i="2" s="1"/>
  <c r="K1397" i="2"/>
  <c r="Q1397" i="2" s="1"/>
  <c r="K2219" i="2"/>
  <c r="Q2219" i="2" s="1"/>
  <c r="K2075" i="2"/>
  <c r="Q2075" i="2" s="1"/>
  <c r="K1411" i="2"/>
  <c r="Q1411" i="2" s="1"/>
  <c r="K1315" i="2"/>
  <c r="Q1315" i="2" s="1"/>
  <c r="K2014" i="2"/>
  <c r="Q2014" i="2" s="1"/>
  <c r="K1871" i="2"/>
  <c r="Q1871" i="2" s="1"/>
  <c r="K1727" i="2"/>
  <c r="Q1727" i="2" s="1"/>
  <c r="K1655" i="2"/>
  <c r="Q1655" i="2" s="1"/>
  <c r="K1583" i="2"/>
  <c r="Q1583" i="2" s="1"/>
  <c r="K1510" i="2"/>
  <c r="Q1510" i="2" s="1"/>
  <c r="K1330" i="2"/>
  <c r="Q1330" i="2" s="1"/>
  <c r="K1234" i="2"/>
  <c r="Q1234" i="2" s="1"/>
  <c r="K1882" i="2"/>
  <c r="Q1882" i="2" s="1"/>
  <c r="K2396" i="2"/>
  <c r="Q2396" i="2" s="1"/>
  <c r="K1749" i="2"/>
  <c r="Q1749" i="2" s="1"/>
  <c r="K1453" i="2"/>
  <c r="Q1453" i="2" s="1"/>
  <c r="K1359" i="2"/>
  <c r="Q1359" i="2" s="1"/>
  <c r="K1904" i="2"/>
  <c r="Q1904" i="2" s="1"/>
  <c r="K1688" i="2"/>
  <c r="Q1688" i="2" s="1"/>
  <c r="K421" i="2"/>
  <c r="Q421" i="2" s="1"/>
  <c r="K349" i="2"/>
  <c r="Q349" i="2" s="1"/>
  <c r="K278" i="2"/>
  <c r="Q278" i="2" s="1"/>
  <c r="K134" i="2"/>
  <c r="Q134" i="2" s="1"/>
  <c r="K873" i="2"/>
  <c r="Q873" i="2" s="1"/>
  <c r="K730" i="2"/>
  <c r="Q730" i="2" s="1"/>
  <c r="K157" i="2"/>
  <c r="Q157" i="2" s="1"/>
  <c r="K980" i="2"/>
  <c r="Q980" i="2" s="1"/>
  <c r="K837" i="2"/>
  <c r="Q837" i="2" s="1"/>
  <c r="K264" i="2"/>
  <c r="Q264" i="2" s="1"/>
  <c r="K192" i="2"/>
  <c r="Q192" i="2" s="1"/>
  <c r="K632" i="2"/>
  <c r="Q632" i="2" s="1"/>
  <c r="K561" i="2"/>
  <c r="Q561" i="2" s="1"/>
  <c r="K490" i="2"/>
  <c r="Q490" i="2" s="1"/>
  <c r="K1050" i="2"/>
  <c r="Q1050" i="2" s="1"/>
  <c r="K763" i="2"/>
  <c r="Q763" i="2" s="1"/>
  <c r="K477" i="2"/>
  <c r="Q477" i="2" s="1"/>
  <c r="K333" i="2"/>
  <c r="Q333" i="2" s="1"/>
  <c r="K118" i="2"/>
  <c r="Q118" i="2" s="1"/>
  <c r="K46" i="2"/>
  <c r="Q46" i="2" s="1"/>
  <c r="K1492" i="2"/>
  <c r="Q1492" i="2" s="1"/>
  <c r="K917" i="2"/>
  <c r="Q917" i="2" s="1"/>
  <c r="K846" i="2"/>
  <c r="Q846" i="2" s="1"/>
  <c r="K416" i="2"/>
  <c r="Q416" i="2" s="1"/>
  <c r="K1060" i="2"/>
  <c r="Q1060" i="2" s="1"/>
  <c r="K988" i="2"/>
  <c r="Q988" i="2" s="1"/>
  <c r="K200" i="2"/>
  <c r="Q200" i="2" s="1"/>
  <c r="K1035" i="2"/>
  <c r="Q1035" i="2" s="1"/>
  <c r="K891" i="2"/>
  <c r="Q891" i="2" s="1"/>
  <c r="K808" i="2"/>
  <c r="Q808" i="2" s="1"/>
  <c r="K545" i="2"/>
  <c r="Q545" i="2" s="1"/>
  <c r="K450" i="2"/>
  <c r="Q450" i="2" s="1"/>
  <c r="K139" i="2"/>
  <c r="Q139" i="2" s="1"/>
  <c r="K1094" i="2"/>
  <c r="Q1094" i="2" s="1"/>
  <c r="K759" i="2"/>
  <c r="Q759" i="2" s="1"/>
  <c r="K663" i="2"/>
  <c r="Q663" i="2" s="1"/>
  <c r="K329" i="2"/>
  <c r="Q329" i="2" s="1"/>
  <c r="K114" i="2"/>
  <c r="Q114" i="2" s="1"/>
  <c r="K18" i="2"/>
  <c r="Q18" i="2" s="1"/>
  <c r="K161" i="2"/>
  <c r="Q161" i="2" s="1"/>
  <c r="K745" i="2"/>
  <c r="Q745" i="2" s="1"/>
  <c r="K601" i="2"/>
  <c r="Q601" i="2" s="1"/>
  <c r="K172" i="2"/>
  <c r="Q172" i="2" s="1"/>
  <c r="K1103" i="2"/>
  <c r="Q1103" i="2" s="1"/>
  <c r="K2035" i="2"/>
  <c r="Q2035" i="2" s="1"/>
  <c r="K1676" i="2"/>
  <c r="Q1676" i="2" s="1"/>
  <c r="K1532" i="2"/>
  <c r="Q1532" i="2" s="1"/>
  <c r="K910" i="2"/>
  <c r="Q910" i="2" s="1"/>
  <c r="K767" i="2"/>
  <c r="Q767" i="2" s="1"/>
  <c r="K695" i="2"/>
  <c r="Q695" i="2" s="1"/>
  <c r="K623" i="2"/>
  <c r="Q623" i="2" s="1"/>
  <c r="K337" i="2"/>
  <c r="Q337" i="2" s="1"/>
  <c r="K122" i="2"/>
  <c r="Q122" i="2" s="1"/>
  <c r="K50" i="2"/>
  <c r="Q50" i="2" s="1"/>
  <c r="K1364" i="2"/>
  <c r="Q1364" i="2" s="1"/>
  <c r="K1220" i="2"/>
  <c r="Q1220" i="2" s="1"/>
  <c r="K575" i="2"/>
  <c r="Q575" i="2" s="1"/>
  <c r="K1183" i="2"/>
  <c r="Q1183" i="2" s="1"/>
  <c r="K968" i="2"/>
  <c r="Q968" i="2" s="1"/>
  <c r="K825" i="2"/>
  <c r="Q825" i="2" s="1"/>
  <c r="K609" i="2"/>
  <c r="Q609" i="2" s="1"/>
  <c r="K395" i="2"/>
  <c r="Q395" i="2" s="1"/>
  <c r="K1122" i="2"/>
  <c r="Q1122" i="2" s="1"/>
  <c r="K907" i="2"/>
  <c r="Q907" i="2" s="1"/>
  <c r="K692" i="2"/>
  <c r="Q692" i="2" s="1"/>
  <c r="K549" i="2"/>
  <c r="Q549" i="2" s="1"/>
  <c r="K894" i="2"/>
  <c r="Q894" i="2" s="1"/>
  <c r="K536" i="2"/>
  <c r="Q536" i="2" s="1"/>
  <c r="K321" i="2"/>
  <c r="Q321" i="2" s="1"/>
  <c r="K34" i="2"/>
  <c r="Q34" i="2" s="1"/>
  <c r="K1264" i="2"/>
  <c r="Q1264" i="2" s="1"/>
  <c r="K618" i="2"/>
  <c r="Q618" i="2" s="1"/>
  <c r="K404" i="2"/>
  <c r="Q404" i="2" s="1"/>
  <c r="K976" i="2"/>
  <c r="Q976" i="2" s="1"/>
  <c r="K689" i="2"/>
  <c r="Q689" i="2" s="1"/>
  <c r="K188" i="2"/>
  <c r="Q188" i="2" s="1"/>
  <c r="K1023" i="2"/>
  <c r="Q1023" i="2" s="1"/>
  <c r="K1070" i="2"/>
  <c r="Q1070" i="2" s="1"/>
  <c r="K532" i="2"/>
  <c r="Q532" i="2" s="1"/>
  <c r="K425" i="2"/>
  <c r="Q425" i="2" s="1"/>
  <c r="K102" i="2"/>
  <c r="Q102" i="2" s="1"/>
  <c r="K1404" i="2"/>
  <c r="Q1404" i="2" s="1"/>
  <c r="K1260" i="2"/>
  <c r="Q1260" i="2" s="1"/>
  <c r="K984" i="2"/>
  <c r="Q984" i="2" s="1"/>
  <c r="K841" i="2"/>
  <c r="Q841" i="2" s="1"/>
  <c r="K462" i="2"/>
  <c r="Q462" i="2" s="1"/>
  <c r="K247" i="2"/>
  <c r="Q247" i="2" s="1"/>
  <c r="K31" i="2"/>
  <c r="Q31" i="2" s="1"/>
  <c r="K771" i="2"/>
  <c r="Q771" i="2" s="1"/>
  <c r="K341" i="2"/>
  <c r="Q341" i="2" s="1"/>
  <c r="K126" i="2"/>
  <c r="Q126" i="2" s="1"/>
  <c r="K54" i="2"/>
  <c r="Q54" i="2" s="1"/>
  <c r="K1272" i="2"/>
  <c r="Q1272" i="2" s="1"/>
  <c r="K913" i="2"/>
  <c r="Q913" i="2" s="1"/>
  <c r="K412" i="2"/>
  <c r="Q412" i="2" s="1"/>
  <c r="K269" i="2"/>
  <c r="Q269" i="2" s="1"/>
  <c r="K996" i="2"/>
  <c r="Q996" i="2" s="1"/>
  <c r="K781" i="2"/>
  <c r="Q781" i="2" s="1"/>
  <c r="K637" i="2"/>
  <c r="Q637" i="2" s="1"/>
  <c r="K495" i="2"/>
  <c r="Q495" i="2" s="1"/>
  <c r="K64" i="2"/>
  <c r="Q64" i="2" s="1"/>
  <c r="K1210" i="2"/>
  <c r="Q1210" i="2" s="1"/>
  <c r="K852" i="2"/>
  <c r="Q852" i="2" s="1"/>
  <c r="K565" i="2"/>
  <c r="Q565" i="2" s="1"/>
  <c r="K207" i="2"/>
  <c r="Q207" i="2" s="1"/>
  <c r="K1055" i="2"/>
  <c r="Q1055" i="2" s="1"/>
  <c r="K553" i="2"/>
  <c r="Q553" i="2" s="1"/>
  <c r="K482" i="2"/>
  <c r="Q482" i="2" s="1"/>
  <c r="K1043" i="2"/>
  <c r="Q1043" i="2" s="1"/>
  <c r="K470" i="2"/>
  <c r="Q470" i="2" s="1"/>
  <c r="K111" i="2"/>
  <c r="Q111" i="2" s="1"/>
  <c r="K700" i="2"/>
  <c r="Q700" i="2" s="1"/>
  <c r="K628" i="2"/>
  <c r="Q628" i="2" s="1"/>
  <c r="K557" i="2"/>
  <c r="Q557" i="2" s="1"/>
  <c r="K486" i="2"/>
  <c r="Q486" i="2" s="1"/>
  <c r="K1153" i="2"/>
  <c r="Q1153" i="2" s="1"/>
  <c r="K795" i="2"/>
  <c r="Q795" i="2" s="1"/>
  <c r="K651" i="2"/>
  <c r="Q651" i="2" s="1"/>
  <c r="K437" i="2"/>
  <c r="Q437" i="2" s="1"/>
  <c r="K6" i="2"/>
  <c r="Q6" i="2" s="1"/>
  <c r="K937" i="2"/>
  <c r="Q937" i="2" s="1"/>
  <c r="K866" i="2"/>
  <c r="Q866" i="2" s="1"/>
  <c r="K508" i="2"/>
  <c r="Q508" i="2" s="1"/>
  <c r="K149" i="2"/>
  <c r="Q149" i="2" s="1"/>
  <c r="K876" i="2"/>
  <c r="Q876" i="2" s="1"/>
  <c r="K805" i="2"/>
  <c r="Q805" i="2" s="1"/>
  <c r="K733" i="2"/>
  <c r="Q733" i="2" s="1"/>
  <c r="K304" i="2"/>
  <c r="Q304" i="2" s="1"/>
  <c r="K947" i="2"/>
  <c r="Q947" i="2" s="1"/>
  <c r="K589" i="2"/>
  <c r="Q589" i="2" s="1"/>
  <c r="K446" i="2"/>
  <c r="Q446" i="2" s="1"/>
  <c r="K374" i="2"/>
  <c r="Q374" i="2" s="1"/>
  <c r="K1428" i="2"/>
  <c r="Q1428" i="2" s="1"/>
  <c r="K925" i="2"/>
  <c r="Q925" i="2" s="1"/>
  <c r="K710" i="2"/>
  <c r="Q710" i="2" s="1"/>
  <c r="K1008" i="2"/>
  <c r="Q1008" i="2" s="1"/>
  <c r="K578" i="2"/>
  <c r="Q578" i="2" s="1"/>
  <c r="K720" i="2"/>
  <c r="Q720" i="2" s="1"/>
  <c r="K362" i="2"/>
  <c r="Q362" i="2" s="1"/>
  <c r="K291" i="2"/>
  <c r="Q291" i="2" s="1"/>
  <c r="K219" i="2"/>
  <c r="Q219" i="2" s="1"/>
  <c r="K75" i="2"/>
  <c r="Q75" i="2" s="1"/>
  <c r="K2" i="5"/>
  <c r="K3" i="2"/>
  <c r="K2465" i="2"/>
  <c r="K2464" i="2"/>
  <c r="K2463" i="2"/>
  <c r="K2461" i="2"/>
  <c r="K2460" i="2"/>
  <c r="K2458" i="2"/>
  <c r="K2457" i="2"/>
  <c r="K2455" i="2"/>
  <c r="K2454" i="2"/>
  <c r="K2452" i="2"/>
  <c r="K2451" i="2"/>
  <c r="K2450" i="2"/>
  <c r="K2448" i="2"/>
  <c r="K2447" i="2"/>
  <c r="K2446" i="2"/>
  <c r="K2444" i="2"/>
  <c r="K2443" i="2"/>
  <c r="K2442" i="2"/>
  <c r="K2440" i="2"/>
  <c r="K2439" i="2"/>
  <c r="K2438" i="2"/>
  <c r="K2436" i="2"/>
  <c r="K2435" i="2"/>
  <c r="K2434" i="2"/>
  <c r="K2432" i="2"/>
  <c r="K2431" i="2"/>
  <c r="K2429" i="2"/>
  <c r="K2428" i="2"/>
  <c r="K2427" i="2"/>
  <c r="K2425" i="2"/>
  <c r="K2424" i="2"/>
  <c r="K2423" i="2"/>
  <c r="K2421" i="2"/>
  <c r="K2420" i="2"/>
  <c r="K2418" i="2"/>
  <c r="K2417" i="2"/>
  <c r="K2416" i="2"/>
  <c r="K2414" i="2"/>
  <c r="K2413" i="2"/>
  <c r="K2411" i="2"/>
  <c r="K2410" i="2"/>
  <c r="K2408" i="2"/>
  <c r="K2407" i="2"/>
  <c r="K2406" i="2"/>
  <c r="K2405" i="2"/>
  <c r="K2403" i="2"/>
  <c r="K2402" i="2"/>
  <c r="K2401" i="2"/>
  <c r="K2399" i="2"/>
  <c r="K2398" i="2"/>
  <c r="K2397" i="2"/>
  <c r="K2395" i="2"/>
  <c r="K2394" i="2"/>
  <c r="K2393" i="2"/>
  <c r="K2391" i="2"/>
  <c r="K2390" i="2"/>
  <c r="K2389" i="2"/>
  <c r="K2387" i="2"/>
  <c r="K2386" i="2"/>
  <c r="K2385" i="2"/>
  <c r="K2383" i="2"/>
  <c r="K2382" i="2"/>
  <c r="K2381" i="2"/>
  <c r="K2380" i="2"/>
  <c r="K2378" i="2"/>
  <c r="K2377" i="2"/>
  <c r="K2375" i="2"/>
  <c r="K2374" i="2"/>
  <c r="K2372" i="2"/>
  <c r="K2371" i="2"/>
  <c r="K2370" i="2"/>
  <c r="K2368" i="2"/>
  <c r="K2367" i="2"/>
  <c r="K2366" i="2"/>
  <c r="K2364" i="2"/>
  <c r="K2363" i="2"/>
  <c r="K2362" i="2"/>
  <c r="K2360" i="2"/>
  <c r="K2359" i="2"/>
  <c r="K2358" i="2"/>
  <c r="K2356" i="2"/>
  <c r="K2355" i="2"/>
  <c r="K2354" i="2"/>
  <c r="K2352" i="2"/>
  <c r="K2351" i="2"/>
  <c r="K2350" i="2"/>
  <c r="K2349" i="2"/>
  <c r="K2347" i="2"/>
  <c r="K2346" i="2"/>
  <c r="K2345" i="2"/>
  <c r="K2343" i="2"/>
  <c r="K2342" i="2"/>
  <c r="K2341" i="2"/>
  <c r="K2339" i="2"/>
  <c r="K2338" i="2"/>
  <c r="K2337" i="2"/>
  <c r="K2335" i="2"/>
  <c r="K2334" i="2"/>
  <c r="K2333" i="2"/>
  <c r="K2332" i="2"/>
  <c r="K2330" i="2"/>
  <c r="K2329" i="2"/>
  <c r="K2328" i="2"/>
  <c r="K2327" i="2"/>
  <c r="K2325" i="2"/>
  <c r="K2324" i="2"/>
  <c r="K2323" i="2"/>
  <c r="K2321" i="2"/>
  <c r="K2320" i="2"/>
  <c r="K2319" i="2"/>
  <c r="K2318" i="2"/>
  <c r="K2316" i="2"/>
  <c r="K2315" i="2"/>
  <c r="K2314" i="2"/>
  <c r="K2313" i="2"/>
  <c r="K2311" i="2"/>
  <c r="K2310" i="2"/>
  <c r="K2309" i="2"/>
  <c r="K2307" i="2"/>
  <c r="K2306" i="2"/>
  <c r="K2305" i="2"/>
  <c r="K2303" i="2"/>
  <c r="K2302" i="2"/>
  <c r="K2301" i="2"/>
  <c r="K2300" i="2"/>
  <c r="K2298" i="2"/>
  <c r="K2297" i="2"/>
  <c r="K2296" i="2"/>
  <c r="K2295" i="2"/>
  <c r="K2293" i="2"/>
  <c r="K2292" i="2"/>
  <c r="K2291" i="2"/>
  <c r="K2290" i="2"/>
  <c r="K2288" i="2"/>
  <c r="K2287" i="2"/>
  <c r="K2285" i="2"/>
  <c r="K2284" i="2"/>
  <c r="K2282" i="2"/>
  <c r="K2281" i="2"/>
  <c r="K2280" i="2"/>
  <c r="K2278" i="2"/>
  <c r="K2277" i="2"/>
  <c r="K2276" i="2"/>
  <c r="K2274" i="2"/>
  <c r="K2273" i="2"/>
  <c r="K2272" i="2"/>
  <c r="K2270" i="2"/>
  <c r="K2269" i="2"/>
  <c r="K2268" i="2"/>
  <c r="K2267" i="2"/>
  <c r="K2265" i="2"/>
  <c r="K2264" i="2"/>
  <c r="K2263" i="2"/>
  <c r="K2261" i="2"/>
  <c r="K2260" i="2"/>
  <c r="K2258" i="2"/>
  <c r="K2257" i="2"/>
  <c r="K2256" i="2"/>
  <c r="K2255" i="2"/>
  <c r="K2253" i="2"/>
  <c r="K2252" i="2"/>
  <c r="K2251" i="2"/>
  <c r="K2249" i="2"/>
  <c r="K2248" i="2"/>
  <c r="K2246" i="2"/>
  <c r="K2245" i="2"/>
  <c r="K2244" i="2"/>
  <c r="K2243" i="2"/>
  <c r="K2241" i="2"/>
  <c r="K2240" i="2"/>
  <c r="K2238" i="2"/>
  <c r="K2237" i="2"/>
  <c r="K2236" i="2"/>
  <c r="K2235" i="2"/>
  <c r="K2233" i="2"/>
  <c r="K2232" i="2"/>
  <c r="K2230" i="2"/>
  <c r="K2229" i="2"/>
  <c r="K2227" i="2"/>
  <c r="K2226" i="2"/>
  <c r="K2225" i="2"/>
  <c r="K2223" i="2"/>
  <c r="K2222" i="2"/>
  <c r="K2221" i="2"/>
  <c r="K2220" i="2"/>
  <c r="K2218" i="2"/>
  <c r="K2217" i="2"/>
  <c r="K2216" i="2"/>
  <c r="K2214" i="2"/>
  <c r="K2213" i="2"/>
  <c r="K2212" i="2"/>
  <c r="K2211" i="2"/>
  <c r="K2209" i="2"/>
  <c r="K2208" i="2"/>
  <c r="K2207" i="2"/>
  <c r="K2206" i="2"/>
  <c r="K2204" i="2"/>
  <c r="K2203" i="2"/>
  <c r="K2202" i="2"/>
  <c r="K2200" i="2"/>
  <c r="K2199" i="2"/>
  <c r="K2198" i="2"/>
  <c r="K2196" i="2"/>
  <c r="K2195" i="2"/>
  <c r="K2194" i="2"/>
  <c r="K2192" i="2"/>
  <c r="K2191" i="2"/>
  <c r="K2190" i="2"/>
  <c r="K2188" i="2"/>
  <c r="K2187" i="2"/>
  <c r="K2186" i="2"/>
  <c r="K2184" i="2"/>
  <c r="K2183" i="2"/>
  <c r="K2181" i="2"/>
  <c r="K2180" i="2"/>
  <c r="K2179" i="2"/>
  <c r="K2178" i="2"/>
  <c r="K2176" i="2"/>
  <c r="K2175" i="2"/>
  <c r="K2174" i="2"/>
  <c r="K2172" i="2"/>
  <c r="K2171" i="2"/>
  <c r="K2170" i="2"/>
  <c r="K2169" i="2"/>
  <c r="K2167" i="2"/>
  <c r="K2166" i="2"/>
  <c r="K2164" i="2"/>
  <c r="K2163" i="2"/>
  <c r="K2161" i="2"/>
  <c r="K2160" i="2"/>
  <c r="K2159" i="2"/>
  <c r="K2158" i="2"/>
  <c r="K2156" i="2"/>
  <c r="K2155" i="2"/>
  <c r="K2154" i="2"/>
  <c r="K2153" i="2"/>
  <c r="K2151" i="2"/>
  <c r="K2150" i="2"/>
  <c r="K2148" i="2"/>
  <c r="K2147" i="2"/>
  <c r="K2146" i="2"/>
  <c r="K2145" i="2"/>
  <c r="K2143" i="2"/>
  <c r="K2142" i="2"/>
  <c r="K2141" i="2"/>
  <c r="K2140" i="2"/>
  <c r="K2138" i="2"/>
  <c r="K2137" i="2"/>
  <c r="K2136" i="2"/>
  <c r="K2135" i="2"/>
  <c r="K2133" i="2"/>
  <c r="K2132" i="2"/>
  <c r="K2130" i="2"/>
  <c r="K2129" i="2"/>
  <c r="K2127" i="2"/>
  <c r="K2126" i="2"/>
  <c r="K2124" i="2"/>
  <c r="K2123" i="2"/>
  <c r="K2121" i="2"/>
  <c r="K2120" i="2"/>
  <c r="K2119" i="2"/>
  <c r="K2117" i="2"/>
  <c r="K2116" i="2"/>
  <c r="K2115" i="2"/>
  <c r="K2113" i="2"/>
  <c r="K2112" i="2"/>
  <c r="K2111" i="2"/>
  <c r="K2110" i="2"/>
  <c r="K2108" i="2"/>
  <c r="K2107" i="2"/>
  <c r="K2105" i="2"/>
  <c r="K2104" i="2"/>
  <c r="K2102" i="2"/>
  <c r="K2101" i="2"/>
  <c r="K2100" i="2"/>
  <c r="K2099" i="2"/>
  <c r="K2097" i="2"/>
  <c r="K2096" i="2"/>
  <c r="K2095" i="2"/>
  <c r="K2094" i="2"/>
  <c r="K2092" i="2"/>
  <c r="K2091" i="2"/>
  <c r="K2090" i="2"/>
  <c r="K2089" i="2"/>
  <c r="Q2089" i="2" s="1"/>
  <c r="K2088" i="2"/>
  <c r="K2087" i="2"/>
  <c r="K2086" i="2"/>
  <c r="K2084" i="2"/>
  <c r="K2083" i="2"/>
  <c r="K2082" i="2"/>
  <c r="K2081" i="2"/>
  <c r="K2079" i="2"/>
  <c r="K2078" i="2"/>
  <c r="K2077" i="2"/>
  <c r="K2076" i="2"/>
  <c r="K2074" i="2"/>
  <c r="K2073" i="2"/>
  <c r="K2072" i="2"/>
  <c r="K2070" i="2"/>
  <c r="K2069" i="2"/>
  <c r="K2068" i="2"/>
  <c r="K2067" i="2"/>
  <c r="K2065" i="2"/>
  <c r="K2064" i="2"/>
  <c r="K2062" i="2"/>
  <c r="K2061" i="2"/>
  <c r="K2060" i="2"/>
  <c r="K2058" i="2"/>
  <c r="K2057" i="2"/>
  <c r="K2055" i="2"/>
  <c r="K2054" i="2"/>
  <c r="K2052" i="2"/>
  <c r="K2051" i="2"/>
  <c r="K2049" i="2"/>
  <c r="K2048" i="2"/>
  <c r="K2047" i="2"/>
  <c r="K2045" i="2"/>
  <c r="K2044" i="2"/>
  <c r="K2042" i="2"/>
  <c r="K2041" i="2"/>
  <c r="K2040" i="2"/>
  <c r="K2038" i="2"/>
  <c r="K2037" i="2"/>
  <c r="K2036" i="2"/>
  <c r="K2034" i="2"/>
  <c r="K2033" i="2"/>
  <c r="K2031" i="2"/>
  <c r="K2030" i="2"/>
  <c r="K2028" i="2"/>
  <c r="K2027" i="2"/>
  <c r="K2026" i="2"/>
  <c r="K2025" i="2"/>
  <c r="K2023" i="2"/>
  <c r="K2022" i="2"/>
  <c r="K2021" i="2"/>
  <c r="K2020" i="2"/>
  <c r="K2018" i="2"/>
  <c r="K2017" i="2"/>
  <c r="K2016" i="2"/>
  <c r="K2015" i="2"/>
  <c r="K2013" i="2"/>
  <c r="K2012" i="2"/>
  <c r="K2011" i="2"/>
  <c r="K2010" i="2"/>
  <c r="K2008" i="2"/>
  <c r="K2007" i="2"/>
  <c r="K2006" i="2"/>
  <c r="K2004" i="2"/>
  <c r="K2003" i="2"/>
  <c r="K2002" i="2"/>
  <c r="K2001" i="2"/>
  <c r="K1999" i="2"/>
  <c r="K1998" i="2"/>
  <c r="K1997" i="2"/>
  <c r="K1995" i="2"/>
  <c r="K1994" i="2"/>
  <c r="K1993" i="2"/>
  <c r="K1991" i="2"/>
  <c r="K1990" i="2"/>
  <c r="K1989" i="2"/>
  <c r="K1988" i="2"/>
  <c r="K1986" i="2"/>
  <c r="K1985" i="2"/>
  <c r="K1983" i="2"/>
  <c r="K1982" i="2"/>
  <c r="K1980" i="2"/>
  <c r="K1979" i="2"/>
  <c r="K1978" i="2"/>
  <c r="K1977" i="2"/>
  <c r="K1975" i="2"/>
  <c r="K1974" i="2"/>
  <c r="K1973" i="2"/>
  <c r="K1972" i="2"/>
  <c r="K1970" i="2"/>
  <c r="K1969" i="2"/>
  <c r="K1968" i="2"/>
  <c r="K1967" i="2"/>
  <c r="K1965" i="2"/>
  <c r="K1964" i="2"/>
  <c r="K1963" i="2"/>
  <c r="K1962" i="2"/>
  <c r="K1960" i="2"/>
  <c r="K1959" i="2"/>
  <c r="K1957" i="2"/>
  <c r="K1956" i="2"/>
  <c r="K1954" i="2"/>
  <c r="K1953" i="2"/>
  <c r="K1952" i="2"/>
  <c r="K1951" i="2"/>
  <c r="K1949" i="2"/>
  <c r="K1948" i="2"/>
  <c r="K1947" i="2"/>
  <c r="K1945" i="2"/>
  <c r="K1944" i="2"/>
  <c r="K1943" i="2"/>
  <c r="K1941" i="2"/>
  <c r="K1940" i="2"/>
  <c r="K1939" i="2"/>
  <c r="K1937" i="2"/>
  <c r="K1936" i="2"/>
  <c r="K1935" i="2"/>
  <c r="K1933" i="2"/>
  <c r="K1932" i="2"/>
  <c r="K1931" i="2"/>
  <c r="K1929" i="2"/>
  <c r="K1928" i="2"/>
  <c r="K1927" i="2"/>
  <c r="K1926" i="2"/>
  <c r="K1924" i="2"/>
  <c r="K1923" i="2"/>
  <c r="K1922" i="2"/>
  <c r="K1920" i="2"/>
  <c r="K1919" i="2"/>
  <c r="K1918" i="2"/>
  <c r="K1916" i="2"/>
  <c r="K1915" i="2"/>
  <c r="K1914" i="2"/>
  <c r="K1912" i="2"/>
  <c r="K1911" i="2"/>
  <c r="K1909" i="2"/>
  <c r="K1908" i="2"/>
  <c r="K1906" i="2"/>
  <c r="K1905" i="2"/>
  <c r="K1903" i="2"/>
  <c r="K1902" i="2"/>
  <c r="K1901" i="2"/>
  <c r="K1900" i="2"/>
  <c r="K1898" i="2"/>
  <c r="K1897" i="2"/>
  <c r="K1896" i="2"/>
  <c r="K1894" i="2"/>
  <c r="K1893" i="2"/>
  <c r="K1892" i="2"/>
  <c r="K1890" i="2"/>
  <c r="K1889" i="2"/>
  <c r="K1888" i="2"/>
  <c r="K1887" i="2"/>
  <c r="K1885" i="2"/>
  <c r="K1884" i="2"/>
  <c r="K1883" i="2"/>
  <c r="K1881" i="2"/>
  <c r="K1880" i="2"/>
  <c r="K1878" i="2"/>
  <c r="K1877" i="2"/>
  <c r="K1876" i="2"/>
  <c r="K1874" i="2"/>
  <c r="K1873" i="2"/>
  <c r="K1872" i="2"/>
  <c r="K1870" i="2"/>
  <c r="K1869" i="2"/>
  <c r="K1868" i="2"/>
  <c r="K1866" i="2"/>
  <c r="K1865" i="2"/>
  <c r="K1864" i="2"/>
  <c r="K1863" i="2"/>
  <c r="K1861" i="2"/>
  <c r="K1860" i="2"/>
  <c r="K1859" i="2"/>
  <c r="K1858" i="2"/>
  <c r="K1856" i="2"/>
  <c r="K1855" i="2"/>
  <c r="K1854" i="2"/>
  <c r="K1852" i="2"/>
  <c r="K1851" i="2"/>
  <c r="K1850" i="2"/>
  <c r="K1848" i="2"/>
  <c r="K1847" i="2"/>
  <c r="K1846" i="2"/>
  <c r="K1844" i="2"/>
  <c r="K1843" i="2"/>
  <c r="K1842" i="2"/>
  <c r="K1841" i="2"/>
  <c r="K1839" i="2"/>
  <c r="K1838" i="2"/>
  <c r="K1837" i="2"/>
  <c r="K1835" i="2"/>
  <c r="K1834" i="2"/>
  <c r="K1833" i="2"/>
  <c r="K1832" i="2"/>
  <c r="K1830" i="2"/>
  <c r="K1829" i="2"/>
  <c r="K1828" i="2"/>
  <c r="K1826" i="2"/>
  <c r="K1825" i="2"/>
  <c r="K1824" i="2"/>
  <c r="K1823" i="2"/>
  <c r="K1821" i="2"/>
  <c r="K1820" i="2"/>
  <c r="K1819" i="2"/>
  <c r="K1818" i="2"/>
  <c r="K1816" i="2"/>
  <c r="K1815" i="2"/>
  <c r="K1814" i="2"/>
  <c r="K1813" i="2"/>
  <c r="K1811" i="2"/>
  <c r="K1810" i="2"/>
  <c r="K1809" i="2"/>
  <c r="K1808" i="2"/>
  <c r="K1806" i="2"/>
  <c r="K1805" i="2"/>
  <c r="K1804" i="2"/>
  <c r="K1803" i="2"/>
  <c r="K1801" i="2"/>
  <c r="K1800" i="2"/>
  <c r="K1799" i="2"/>
  <c r="K1798" i="2"/>
  <c r="K1796" i="2"/>
  <c r="K1795" i="2"/>
  <c r="K1794" i="2"/>
  <c r="K1793" i="2"/>
  <c r="K1791" i="2"/>
  <c r="K1790" i="2"/>
  <c r="K1789" i="2"/>
  <c r="K1788" i="2"/>
  <c r="K1786" i="2"/>
  <c r="K1785" i="2"/>
  <c r="K1784" i="2"/>
  <c r="K1782" i="2"/>
  <c r="K1781" i="2"/>
  <c r="K1779" i="2"/>
  <c r="K1778" i="2"/>
  <c r="K1777" i="2"/>
  <c r="K1775" i="2"/>
  <c r="K1774" i="2"/>
  <c r="K1773" i="2"/>
  <c r="K1771" i="2"/>
  <c r="K1770" i="2"/>
  <c r="K1768" i="2"/>
  <c r="K1767" i="2"/>
  <c r="K1765" i="2"/>
  <c r="K1764" i="2"/>
  <c r="K1762" i="2"/>
  <c r="K1761" i="2"/>
  <c r="K1760" i="2"/>
  <c r="K1758" i="2"/>
  <c r="K1757" i="2"/>
  <c r="K1756" i="2"/>
  <c r="K1754" i="2"/>
  <c r="K1753" i="2"/>
  <c r="K1751" i="2"/>
  <c r="K1750" i="2"/>
  <c r="K1748" i="2"/>
  <c r="K1747" i="2"/>
  <c r="K1746" i="2"/>
  <c r="K1744" i="2"/>
  <c r="K1743" i="2"/>
  <c r="K1742" i="2"/>
  <c r="K1740" i="2"/>
  <c r="K1739" i="2"/>
  <c r="K1738" i="2"/>
  <c r="K1736" i="2"/>
  <c r="K1735" i="2"/>
  <c r="K1733" i="2"/>
  <c r="K1732" i="2"/>
  <c r="K1730" i="2"/>
  <c r="K1729" i="2"/>
  <c r="K1728" i="2"/>
  <c r="K1726" i="2"/>
  <c r="K1725" i="2"/>
  <c r="K1723" i="2"/>
  <c r="K1722" i="2"/>
  <c r="K1720" i="2"/>
  <c r="K1719" i="2"/>
  <c r="K1717" i="2"/>
  <c r="K1716" i="2"/>
  <c r="K1715" i="2"/>
  <c r="K1713" i="2"/>
  <c r="K1712" i="2"/>
  <c r="K1711" i="2"/>
  <c r="K1710" i="2"/>
  <c r="K1708" i="2"/>
  <c r="K1707" i="2"/>
  <c r="K1706" i="2"/>
  <c r="K1704" i="2"/>
  <c r="K1703" i="2"/>
  <c r="K1701" i="2"/>
  <c r="K1700" i="2"/>
  <c r="K1699" i="2"/>
  <c r="K1698" i="2"/>
  <c r="K1696" i="2"/>
  <c r="K1695" i="2"/>
  <c r="K1694" i="2"/>
  <c r="K1692" i="2"/>
  <c r="K1691" i="2"/>
  <c r="K1690" i="2"/>
  <c r="K1689" i="2"/>
  <c r="K1687" i="2"/>
  <c r="K1686" i="2"/>
  <c r="K1685" i="2"/>
  <c r="K1683" i="2"/>
  <c r="K1682" i="2"/>
  <c r="K1681" i="2"/>
  <c r="K1679" i="2"/>
  <c r="K1678" i="2"/>
  <c r="K1677" i="2"/>
  <c r="K1675" i="2"/>
  <c r="K1674" i="2"/>
  <c r="K1673" i="2"/>
  <c r="K1672" i="2"/>
  <c r="K1670" i="2"/>
  <c r="K1669" i="2"/>
  <c r="K1668" i="2"/>
  <c r="K1666" i="2"/>
  <c r="K1665" i="2"/>
  <c r="K1664" i="2"/>
  <c r="K1662" i="2"/>
  <c r="K1661" i="2"/>
  <c r="K1660" i="2"/>
  <c r="K1658" i="2"/>
  <c r="K1657" i="2"/>
  <c r="K1656" i="2"/>
  <c r="K1654" i="2"/>
  <c r="K1653" i="2"/>
  <c r="K1652" i="2"/>
  <c r="K1650" i="2"/>
  <c r="K1649" i="2"/>
  <c r="K1648" i="2"/>
  <c r="K1646" i="2"/>
  <c r="K1645" i="2"/>
  <c r="K1644" i="2"/>
  <c r="K1642" i="2"/>
  <c r="K1641" i="2"/>
  <c r="K1640" i="2"/>
  <c r="K1638" i="2"/>
  <c r="K1637" i="2"/>
  <c r="K1636" i="2"/>
  <c r="K1634" i="2"/>
  <c r="K1633" i="2"/>
  <c r="K1632" i="2"/>
  <c r="K1630" i="2"/>
  <c r="K1629" i="2"/>
  <c r="K1628" i="2"/>
  <c r="K1626" i="2"/>
  <c r="K1625" i="2"/>
  <c r="K1624" i="2"/>
  <c r="K1622" i="2"/>
  <c r="K1621" i="2"/>
  <c r="K1620" i="2"/>
  <c r="K1619" i="2"/>
  <c r="K1617" i="2"/>
  <c r="K1616" i="2"/>
  <c r="K1615" i="2"/>
  <c r="K1613" i="2"/>
  <c r="K1612" i="2"/>
  <c r="K1611" i="2"/>
  <c r="K1609" i="2"/>
  <c r="K1608" i="2"/>
  <c r="K1607" i="2"/>
  <c r="K1605" i="2"/>
  <c r="K1604" i="2"/>
  <c r="K1603" i="2"/>
  <c r="K1601" i="2"/>
  <c r="K1600" i="2"/>
  <c r="K1599" i="2"/>
  <c r="K1598" i="2"/>
  <c r="K1596" i="2"/>
  <c r="K1595" i="2"/>
  <c r="K1594" i="2"/>
  <c r="K1593" i="2"/>
  <c r="K1591" i="2"/>
  <c r="K1590" i="2"/>
  <c r="K1589" i="2"/>
  <c r="K1588" i="2"/>
  <c r="K1586" i="2"/>
  <c r="K1585" i="2"/>
  <c r="K1584" i="2"/>
  <c r="K1582" i="2"/>
  <c r="K1581" i="2"/>
  <c r="K1580" i="2"/>
  <c r="K1579" i="2"/>
  <c r="K1577" i="2"/>
  <c r="K1576" i="2"/>
  <c r="K1575" i="2"/>
  <c r="K1574" i="2"/>
  <c r="K1572" i="2"/>
  <c r="K1571" i="2"/>
  <c r="K1570" i="2"/>
  <c r="K1568" i="2"/>
  <c r="K1567" i="2"/>
  <c r="K1566" i="2"/>
  <c r="K1564" i="2"/>
  <c r="K1563" i="2"/>
  <c r="K1562" i="2"/>
  <c r="K1561" i="2"/>
  <c r="K1559" i="2"/>
  <c r="K1558" i="2"/>
  <c r="K1557" i="2"/>
  <c r="K1555" i="2"/>
  <c r="K1554" i="2"/>
  <c r="K1553" i="2"/>
  <c r="K1551" i="2"/>
  <c r="K1550" i="2"/>
  <c r="K1549" i="2"/>
  <c r="K1548" i="2"/>
  <c r="K1546" i="2"/>
  <c r="K1545" i="2"/>
  <c r="K1544" i="2"/>
  <c r="K1543" i="2"/>
  <c r="K1541" i="2"/>
  <c r="K1540" i="2"/>
  <c r="K1539" i="2"/>
  <c r="K1538" i="2"/>
  <c r="K1536" i="2"/>
  <c r="K1535" i="2"/>
  <c r="K1534" i="2"/>
  <c r="K1533" i="2"/>
  <c r="K1531" i="2"/>
  <c r="K1530" i="2"/>
  <c r="K1529" i="2"/>
  <c r="K1527" i="2"/>
  <c r="K1526" i="2"/>
  <c r="K1525" i="2"/>
  <c r="K1524" i="2"/>
  <c r="K1522" i="2"/>
  <c r="K1521" i="2"/>
  <c r="K1520" i="2"/>
  <c r="K1518" i="2"/>
  <c r="K1517" i="2"/>
  <c r="K1516" i="2"/>
  <c r="K1515" i="2"/>
  <c r="K1513" i="2"/>
  <c r="K1512" i="2"/>
  <c r="K1511" i="2"/>
  <c r="K1509" i="2"/>
  <c r="K1508" i="2"/>
  <c r="K1506" i="2"/>
  <c r="K1505" i="2"/>
  <c r="K1504" i="2"/>
  <c r="K1502" i="2"/>
  <c r="K1501" i="2"/>
  <c r="K1499" i="2"/>
  <c r="K1498" i="2"/>
  <c r="K1497" i="2"/>
  <c r="K1495" i="2"/>
  <c r="K1494" i="2"/>
  <c r="K1493" i="2"/>
  <c r="K1491" i="2"/>
  <c r="K1490" i="2"/>
  <c r="K1488" i="2"/>
  <c r="K1487" i="2"/>
  <c r="K1486" i="2"/>
  <c r="K1484" i="2"/>
  <c r="K1483" i="2"/>
  <c r="K1482" i="2"/>
  <c r="K1480" i="2"/>
  <c r="K1479" i="2"/>
  <c r="K1478" i="2"/>
  <c r="K1476" i="2"/>
  <c r="K1475" i="2"/>
  <c r="K1473" i="2"/>
  <c r="K1472" i="2"/>
  <c r="K1470" i="2"/>
  <c r="K1469" i="2"/>
  <c r="K1467" i="2"/>
  <c r="K1466" i="2"/>
  <c r="K1465" i="2"/>
  <c r="K1463" i="2"/>
  <c r="K1462" i="2"/>
  <c r="K1461" i="2"/>
  <c r="K1459" i="2"/>
  <c r="K1458" i="2"/>
  <c r="K1457" i="2"/>
  <c r="K1455" i="2"/>
  <c r="K1454" i="2"/>
  <c r="K1452" i="2"/>
  <c r="K1451" i="2"/>
  <c r="K1450" i="2"/>
  <c r="K1448" i="2"/>
  <c r="K1447" i="2"/>
  <c r="K1446" i="2"/>
  <c r="K1444" i="2"/>
  <c r="K1443" i="2"/>
  <c r="K1441" i="2"/>
  <c r="K1440" i="2"/>
  <c r="K1439" i="2"/>
  <c r="K1437" i="2"/>
  <c r="K1436" i="2"/>
  <c r="K1435" i="2"/>
  <c r="K1433" i="2"/>
  <c r="K1432" i="2"/>
  <c r="K1430" i="2"/>
  <c r="K1429" i="2"/>
  <c r="K1427" i="2"/>
  <c r="K1426" i="2"/>
  <c r="K1425" i="2"/>
  <c r="K1424" i="2"/>
  <c r="K1422" i="2"/>
  <c r="K1421" i="2"/>
  <c r="K1420" i="2"/>
  <c r="K1419" i="2"/>
  <c r="K1417" i="2"/>
  <c r="K1416" i="2"/>
  <c r="K1414" i="2"/>
  <c r="K1413" i="2"/>
  <c r="K1412" i="2"/>
  <c r="K1410" i="2"/>
  <c r="K1409" i="2"/>
  <c r="K1408" i="2"/>
  <c r="K1406" i="2"/>
  <c r="K1405" i="2"/>
  <c r="K1403" i="2"/>
  <c r="K1402" i="2"/>
  <c r="K1401" i="2"/>
  <c r="K1399" i="2"/>
  <c r="K1398" i="2"/>
  <c r="K1396" i="2"/>
  <c r="K1395" i="2"/>
  <c r="K1393" i="2"/>
  <c r="K1392" i="2"/>
  <c r="K1391" i="2"/>
  <c r="K1389" i="2"/>
  <c r="K1388" i="2"/>
  <c r="K1387" i="2"/>
  <c r="K1385" i="2"/>
  <c r="K1384" i="2"/>
  <c r="K1383" i="2"/>
  <c r="K1382" i="2"/>
  <c r="K1380" i="2"/>
  <c r="K1379" i="2"/>
  <c r="K1378" i="2"/>
  <c r="K1376" i="2"/>
  <c r="K1375" i="2"/>
  <c r="K1374" i="2"/>
  <c r="K1372" i="2"/>
  <c r="K1371" i="2"/>
  <c r="K1370" i="2"/>
  <c r="K1368" i="2"/>
  <c r="K1367" i="2"/>
  <c r="K1366" i="2"/>
  <c r="K1365" i="2"/>
  <c r="K1363" i="2"/>
  <c r="K1362" i="2"/>
  <c r="K1361" i="2"/>
  <c r="K1360" i="2"/>
  <c r="K1358" i="2"/>
  <c r="K1357" i="2"/>
  <c r="K1356" i="2"/>
  <c r="K1354" i="2"/>
  <c r="K1353" i="2"/>
  <c r="K1352" i="2"/>
  <c r="K1350" i="2"/>
  <c r="K1349" i="2"/>
  <c r="K1348" i="2"/>
  <c r="K1346" i="2"/>
  <c r="K1345" i="2"/>
  <c r="K1344" i="2"/>
  <c r="K1342" i="2"/>
  <c r="K1341" i="2"/>
  <c r="K1340" i="2"/>
  <c r="K1338" i="2"/>
  <c r="K1337" i="2"/>
  <c r="K1336" i="2"/>
  <c r="K1334" i="2"/>
  <c r="K1333" i="2"/>
  <c r="K1332" i="2"/>
  <c r="K1331" i="2"/>
  <c r="K1329" i="2"/>
  <c r="K1328" i="2"/>
  <c r="K1327" i="2"/>
  <c r="K1326" i="2"/>
  <c r="K1324" i="2"/>
  <c r="K24" i="2"/>
  <c r="K22" i="2"/>
  <c r="K21" i="2"/>
  <c r="K20" i="2"/>
  <c r="K19" i="2"/>
  <c r="K17" i="2"/>
  <c r="K16" i="2"/>
  <c r="K15" i="2"/>
  <c r="K13" i="2"/>
  <c r="K12" i="2"/>
  <c r="K11" i="2"/>
  <c r="K9" i="2"/>
  <c r="K8" i="2"/>
  <c r="K7" i="2"/>
  <c r="K5" i="2"/>
  <c r="K4" i="2"/>
  <c r="K1323" i="2"/>
  <c r="K1322" i="2"/>
  <c r="K1321" i="2"/>
  <c r="K1319" i="2"/>
  <c r="K1318" i="2"/>
  <c r="K1317" i="2"/>
  <c r="K1316" i="2"/>
  <c r="K1314" i="2"/>
  <c r="K1313" i="2"/>
  <c r="K1312" i="2"/>
  <c r="K1310" i="2"/>
  <c r="K1309" i="2"/>
  <c r="K1308" i="2"/>
  <c r="K1306" i="2"/>
  <c r="K1305" i="2"/>
  <c r="K1304" i="2"/>
  <c r="K1302" i="2"/>
  <c r="K1301" i="2"/>
  <c r="K1300" i="2"/>
  <c r="K1299" i="2"/>
  <c r="K1297" i="2"/>
  <c r="K1296" i="2"/>
  <c r="K1294" i="2"/>
  <c r="K1293" i="2"/>
  <c r="K1292" i="2"/>
  <c r="K1290" i="2"/>
  <c r="K1289" i="2"/>
  <c r="K1288" i="2"/>
  <c r="K1287" i="2"/>
  <c r="K1285" i="2"/>
  <c r="K1284" i="2"/>
  <c r="K1283" i="2"/>
  <c r="K1281" i="2"/>
  <c r="K1280" i="2"/>
  <c r="K1279" i="2"/>
  <c r="K1278" i="2"/>
  <c r="K1276" i="2"/>
  <c r="K1275" i="2"/>
  <c r="K1274" i="2"/>
  <c r="K1273" i="2"/>
  <c r="K1271" i="2"/>
  <c r="K1270" i="2"/>
  <c r="K1269" i="2"/>
  <c r="K1267" i="2"/>
  <c r="K1266" i="2"/>
  <c r="K1265" i="2"/>
  <c r="K1263" i="2"/>
  <c r="K1262" i="2"/>
  <c r="K1261" i="2"/>
  <c r="K1259" i="2"/>
  <c r="K1258" i="2"/>
  <c r="K1257" i="2"/>
  <c r="K1256" i="2"/>
  <c r="K1254" i="2"/>
  <c r="K1253" i="2"/>
  <c r="K1252" i="2"/>
  <c r="K1251" i="2"/>
  <c r="K1249" i="2"/>
  <c r="K1248" i="2"/>
  <c r="K1247" i="2"/>
  <c r="K1246" i="2"/>
  <c r="K1244" i="2"/>
  <c r="K1243" i="2"/>
  <c r="K1242" i="2"/>
  <c r="K1241" i="2"/>
  <c r="K1240" i="2"/>
  <c r="K1238" i="2"/>
  <c r="K1237" i="2"/>
  <c r="K1236" i="2"/>
  <c r="K1235" i="2"/>
  <c r="K1233" i="2"/>
  <c r="K1232" i="2"/>
  <c r="K1231" i="2"/>
  <c r="K1229" i="2"/>
  <c r="K1228" i="2"/>
  <c r="K1227" i="2"/>
  <c r="K1226" i="2"/>
  <c r="K1224" i="2"/>
  <c r="K1223" i="2"/>
  <c r="K1222" i="2"/>
  <c r="K1221" i="2"/>
  <c r="K1219" i="2"/>
  <c r="K1218" i="2"/>
  <c r="K1217" i="2"/>
  <c r="K1216" i="2"/>
  <c r="K1214" i="2"/>
  <c r="K1213" i="2"/>
  <c r="K1212" i="2"/>
  <c r="K1211" i="2"/>
  <c r="K1209" i="2"/>
  <c r="K1208" i="2"/>
  <c r="K1206" i="2"/>
  <c r="K1205" i="2"/>
  <c r="K1204" i="2"/>
  <c r="K1203" i="2"/>
  <c r="K1201" i="2"/>
  <c r="K1200" i="2"/>
  <c r="K1199" i="2"/>
  <c r="K1198" i="2"/>
  <c r="K1196" i="2"/>
  <c r="K1195" i="2"/>
  <c r="K1194" i="2"/>
  <c r="K1192" i="2"/>
  <c r="K1191" i="2"/>
  <c r="K1190" i="2"/>
  <c r="K1189" i="2"/>
  <c r="K1187" i="2"/>
  <c r="K1186" i="2"/>
  <c r="K1185" i="2"/>
  <c r="K1184" i="2"/>
  <c r="K1182" i="2"/>
  <c r="K1181" i="2"/>
  <c r="K1180" i="2"/>
  <c r="K1179" i="2"/>
  <c r="K1177" i="2"/>
  <c r="K1176" i="2"/>
  <c r="K1175" i="2"/>
  <c r="K1174" i="2"/>
  <c r="K1172" i="2"/>
  <c r="K1171" i="2"/>
  <c r="K1170" i="2"/>
  <c r="K1168" i="2"/>
  <c r="K1167" i="2"/>
  <c r="K1166" i="2"/>
  <c r="K1164" i="2"/>
  <c r="K1163" i="2"/>
  <c r="K1162" i="2"/>
  <c r="K1160" i="2"/>
  <c r="K1159" i="2"/>
  <c r="K1158" i="2"/>
  <c r="K1156" i="2"/>
  <c r="K1155" i="2"/>
  <c r="K1154" i="2"/>
  <c r="K1152" i="2"/>
  <c r="K1151" i="2"/>
  <c r="K1150" i="2"/>
  <c r="K1148" i="2"/>
  <c r="K1147" i="2"/>
  <c r="K1146" i="2"/>
  <c r="K1144" i="2"/>
  <c r="K1143" i="2"/>
  <c r="K1142" i="2"/>
  <c r="K1140" i="2"/>
  <c r="K1139" i="2"/>
  <c r="K1138" i="2"/>
  <c r="K1136" i="2"/>
  <c r="K1135" i="2"/>
  <c r="K1134" i="2"/>
  <c r="K1132" i="2"/>
  <c r="K1131" i="2"/>
  <c r="K1129" i="2"/>
  <c r="K1128" i="2"/>
  <c r="K1127" i="2"/>
  <c r="K1125" i="2"/>
  <c r="K1124" i="2"/>
  <c r="K1123" i="2"/>
  <c r="K1121" i="2"/>
  <c r="K1120" i="2"/>
  <c r="K1119" i="2"/>
  <c r="K1117" i="2"/>
  <c r="K1116" i="2"/>
  <c r="K1115" i="2"/>
  <c r="K1113" i="2"/>
  <c r="K1112" i="2"/>
  <c r="K1111" i="2"/>
  <c r="K1109" i="2"/>
  <c r="K1108" i="2"/>
  <c r="K1107" i="2"/>
  <c r="K1105" i="2"/>
  <c r="K1104" i="2"/>
  <c r="K1102" i="2"/>
  <c r="K1101" i="2"/>
  <c r="K1100" i="2"/>
  <c r="K1099" i="2"/>
  <c r="K1097" i="2"/>
  <c r="K1096" i="2"/>
  <c r="K1095" i="2"/>
  <c r="K1093" i="2"/>
  <c r="K1092" i="2"/>
  <c r="K1091" i="2"/>
  <c r="K1089" i="2"/>
  <c r="K1088" i="2"/>
  <c r="K1087" i="2"/>
  <c r="K1085" i="2"/>
  <c r="K1084" i="2"/>
  <c r="K1083" i="2"/>
  <c r="K1082" i="2"/>
  <c r="K1081" i="2"/>
  <c r="K1079" i="2"/>
  <c r="K1078" i="2"/>
  <c r="K1077" i="2"/>
  <c r="K1076" i="2"/>
  <c r="K1074" i="2"/>
  <c r="K1073" i="2"/>
  <c r="K1072" i="2"/>
  <c r="K1071" i="2"/>
  <c r="K1069" i="2"/>
  <c r="K1068" i="2"/>
  <c r="K1067" i="2"/>
  <c r="K1066" i="2"/>
  <c r="K1064" i="2"/>
  <c r="K1063" i="2"/>
  <c r="K1062" i="2"/>
  <c r="K1061" i="2"/>
  <c r="K1059" i="2"/>
  <c r="K1058" i="2"/>
  <c r="K1057" i="2"/>
  <c r="K1056" i="2"/>
  <c r="K1054" i="2"/>
  <c r="K1053" i="2"/>
  <c r="K1052" i="2"/>
  <c r="K1051" i="2"/>
  <c r="K1049" i="2"/>
  <c r="K1048" i="2"/>
  <c r="K1046" i="2"/>
  <c r="K1045" i="2"/>
  <c r="K1044" i="2"/>
  <c r="K1042" i="2"/>
  <c r="K1041" i="2"/>
  <c r="K1040" i="2"/>
  <c r="K1038" i="2"/>
  <c r="K1037" i="2"/>
  <c r="K1036" i="2"/>
  <c r="K1034" i="2"/>
  <c r="K1033" i="2"/>
  <c r="K1031" i="2"/>
  <c r="K1030" i="2"/>
  <c r="K1029" i="2"/>
  <c r="K1028" i="2"/>
  <c r="K1026" i="2"/>
  <c r="K1025" i="2"/>
  <c r="K1024" i="2"/>
  <c r="K1022" i="2"/>
  <c r="K1021" i="2"/>
  <c r="K1019" i="2"/>
  <c r="K1018" i="2"/>
  <c r="K1017" i="2"/>
  <c r="K1015" i="2"/>
  <c r="K1014" i="2"/>
  <c r="K1013" i="2"/>
  <c r="K1011" i="2"/>
  <c r="K1010" i="2"/>
  <c r="K1009" i="2"/>
  <c r="K1007" i="2"/>
  <c r="K1006" i="2"/>
  <c r="K1005" i="2"/>
  <c r="K1003" i="2"/>
  <c r="K1002" i="2"/>
  <c r="K1001" i="2"/>
  <c r="K999" i="2"/>
  <c r="K998" i="2"/>
  <c r="K997" i="2"/>
  <c r="K995" i="2"/>
  <c r="K994" i="2"/>
  <c r="K993" i="2"/>
  <c r="K991" i="2"/>
  <c r="K990" i="2"/>
  <c r="K989" i="2"/>
  <c r="K987" i="2"/>
  <c r="K986" i="2"/>
  <c r="K985" i="2"/>
  <c r="K983" i="2"/>
  <c r="K982" i="2"/>
  <c r="K981" i="2"/>
  <c r="K979" i="2"/>
  <c r="K978" i="2"/>
  <c r="K977" i="2"/>
  <c r="K975" i="2"/>
  <c r="K974" i="2"/>
  <c r="K973" i="2"/>
  <c r="K971" i="2"/>
  <c r="K970" i="2"/>
  <c r="K969" i="2"/>
  <c r="K967" i="2"/>
  <c r="K966" i="2"/>
  <c r="K965" i="2"/>
  <c r="K963" i="2"/>
  <c r="K962" i="2"/>
  <c r="K961" i="2"/>
  <c r="K959" i="2"/>
  <c r="K958" i="2"/>
  <c r="K957" i="2"/>
  <c r="K955" i="2"/>
  <c r="K954" i="2"/>
  <c r="K953" i="2"/>
  <c r="K951" i="2"/>
  <c r="K950" i="2"/>
  <c r="K949" i="2"/>
  <c r="K948" i="2"/>
  <c r="K946" i="2"/>
  <c r="K945" i="2"/>
  <c r="K944" i="2"/>
  <c r="K943" i="2"/>
  <c r="K941" i="2"/>
  <c r="K940" i="2"/>
  <c r="K939" i="2"/>
  <c r="K938" i="2"/>
  <c r="K936" i="2"/>
  <c r="K935" i="2"/>
  <c r="K934" i="2"/>
  <c r="K933" i="2"/>
  <c r="K931" i="2"/>
  <c r="K930" i="2"/>
  <c r="K929" i="2"/>
  <c r="K927" i="2"/>
  <c r="K926" i="2"/>
  <c r="K924" i="2"/>
  <c r="K923" i="2"/>
  <c r="K922" i="2"/>
  <c r="K920" i="2"/>
  <c r="K919" i="2"/>
  <c r="K918" i="2"/>
  <c r="K916" i="2"/>
  <c r="K915" i="2"/>
  <c r="K914" i="2"/>
  <c r="K912" i="2"/>
  <c r="K911" i="2"/>
  <c r="K909" i="2"/>
  <c r="K908" i="2"/>
  <c r="K906" i="2"/>
  <c r="K905" i="2"/>
  <c r="K904" i="2"/>
  <c r="K903" i="2"/>
  <c r="K901" i="2"/>
  <c r="K900" i="2"/>
  <c r="K899" i="2"/>
  <c r="K897" i="2"/>
  <c r="K896" i="2"/>
  <c r="K895" i="2"/>
  <c r="K893" i="2"/>
  <c r="K892" i="2"/>
  <c r="K890" i="2"/>
  <c r="K889" i="2"/>
  <c r="K888" i="2"/>
  <c r="K886" i="2"/>
  <c r="K885" i="2"/>
  <c r="K883" i="2"/>
  <c r="K882" i="2"/>
  <c r="K881" i="2"/>
  <c r="K879" i="2"/>
  <c r="K878" i="2"/>
  <c r="K877" i="2"/>
  <c r="K875" i="2"/>
  <c r="K874" i="2"/>
  <c r="K872" i="2"/>
  <c r="K871" i="2"/>
  <c r="K870" i="2"/>
  <c r="K868" i="2"/>
  <c r="K867" i="2"/>
  <c r="K865" i="2"/>
  <c r="K864" i="2"/>
  <c r="K862" i="2"/>
  <c r="K861" i="2"/>
  <c r="K860" i="2"/>
  <c r="K858" i="2"/>
  <c r="K857" i="2"/>
  <c r="K855" i="2"/>
  <c r="K854" i="2"/>
  <c r="K853" i="2"/>
  <c r="K851" i="2"/>
  <c r="K850" i="2"/>
  <c r="K849" i="2"/>
  <c r="K848" i="2"/>
  <c r="K847" i="2"/>
  <c r="K845" i="2"/>
  <c r="K844" i="2"/>
  <c r="K843" i="2"/>
  <c r="K842" i="2"/>
  <c r="K840" i="2"/>
  <c r="K839" i="2"/>
  <c r="K838" i="2"/>
  <c r="K836" i="2"/>
  <c r="K835" i="2"/>
  <c r="K834" i="2"/>
  <c r="K833" i="2"/>
  <c r="K831" i="2"/>
  <c r="K830" i="2"/>
  <c r="K828" i="2"/>
  <c r="K827" i="2"/>
  <c r="K826" i="2"/>
  <c r="K824" i="2"/>
  <c r="K823" i="2"/>
  <c r="K822" i="2"/>
  <c r="K821" i="2"/>
  <c r="K819" i="2"/>
  <c r="K818" i="2"/>
  <c r="K817" i="2"/>
  <c r="K816" i="2"/>
  <c r="K814" i="2"/>
  <c r="K813" i="2"/>
  <c r="K812" i="2"/>
  <c r="K810" i="2"/>
  <c r="K809" i="2"/>
  <c r="K807" i="2"/>
  <c r="K806" i="2"/>
  <c r="K804" i="2"/>
  <c r="K803" i="2"/>
  <c r="K802" i="2"/>
  <c r="K801" i="2"/>
  <c r="K799" i="2"/>
  <c r="K798" i="2"/>
  <c r="K797" i="2"/>
  <c r="K796" i="2"/>
  <c r="K794" i="2"/>
  <c r="K793" i="2"/>
  <c r="K792" i="2"/>
  <c r="K790" i="2"/>
  <c r="K789" i="2"/>
  <c r="K788" i="2"/>
  <c r="K786" i="2"/>
  <c r="K785" i="2"/>
  <c r="K783" i="2"/>
  <c r="K782" i="2"/>
  <c r="K780" i="2"/>
  <c r="K779" i="2"/>
  <c r="K777" i="2"/>
  <c r="K776" i="2"/>
  <c r="K774" i="2"/>
  <c r="K773" i="2"/>
  <c r="K772" i="2"/>
  <c r="K770" i="2"/>
  <c r="K769" i="2"/>
  <c r="K768" i="2"/>
  <c r="K766" i="2"/>
  <c r="K765" i="2"/>
  <c r="K764" i="2"/>
  <c r="K762" i="2"/>
  <c r="K761" i="2"/>
  <c r="K760" i="2"/>
  <c r="K758" i="2"/>
  <c r="K757" i="2"/>
  <c r="K756" i="2"/>
  <c r="K755" i="2"/>
  <c r="K753" i="2"/>
  <c r="K752" i="2"/>
  <c r="K751" i="2"/>
  <c r="K749" i="2"/>
  <c r="K748" i="2"/>
  <c r="K747" i="2"/>
  <c r="K746" i="2"/>
  <c r="K744" i="2"/>
  <c r="K743" i="2"/>
  <c r="K741" i="2"/>
  <c r="K740" i="2"/>
  <c r="K739" i="2"/>
  <c r="K737" i="2"/>
  <c r="K736" i="2"/>
  <c r="K735" i="2"/>
  <c r="K734" i="2"/>
  <c r="K732" i="2"/>
  <c r="K731" i="2"/>
  <c r="K729" i="2"/>
  <c r="K728" i="2"/>
  <c r="K727" i="2"/>
  <c r="K726" i="2"/>
  <c r="K724" i="2"/>
  <c r="K723" i="2"/>
  <c r="K722" i="2"/>
  <c r="K721" i="2"/>
  <c r="K719" i="2"/>
  <c r="K718" i="2"/>
  <c r="K717" i="2"/>
  <c r="K716" i="2"/>
  <c r="K714" i="2"/>
  <c r="K713" i="2"/>
  <c r="K712" i="2"/>
  <c r="K711" i="2"/>
  <c r="K709" i="2"/>
  <c r="K708" i="2"/>
  <c r="K707" i="2"/>
  <c r="K706" i="2"/>
  <c r="K704" i="2"/>
  <c r="K703" i="2"/>
  <c r="K702" i="2"/>
  <c r="K701" i="2"/>
  <c r="K699" i="2"/>
  <c r="K698" i="2"/>
  <c r="K697" i="2"/>
  <c r="K696" i="2"/>
  <c r="K694" i="2"/>
  <c r="K693" i="2"/>
  <c r="K691" i="2"/>
  <c r="K690" i="2"/>
  <c r="K688" i="2"/>
  <c r="K687" i="2"/>
  <c r="K686" i="2"/>
  <c r="K684" i="2"/>
  <c r="K683" i="2"/>
  <c r="K682" i="2"/>
  <c r="K681" i="2"/>
  <c r="K679" i="2"/>
  <c r="K678" i="2"/>
  <c r="K677" i="2"/>
  <c r="K675" i="2"/>
  <c r="K674" i="2"/>
  <c r="K673" i="2"/>
  <c r="K672" i="2"/>
  <c r="K670" i="2"/>
  <c r="K669" i="2"/>
  <c r="K668" i="2"/>
  <c r="K666" i="2"/>
  <c r="K665" i="2"/>
  <c r="K664" i="2"/>
  <c r="K662" i="2"/>
  <c r="K661" i="2"/>
  <c r="K660" i="2"/>
  <c r="K658" i="2"/>
  <c r="K657" i="2"/>
  <c r="K656" i="2"/>
  <c r="K654" i="2"/>
  <c r="K653" i="2"/>
  <c r="K652" i="2"/>
  <c r="K650" i="2"/>
  <c r="K649" i="2"/>
  <c r="K648" i="2"/>
  <c r="K646" i="2"/>
  <c r="K645" i="2"/>
  <c r="K644" i="2"/>
  <c r="K643" i="2"/>
  <c r="K641" i="2"/>
  <c r="K640" i="2"/>
  <c r="K639" i="2"/>
  <c r="K638" i="2"/>
  <c r="K636" i="2"/>
  <c r="K635" i="2"/>
  <c r="K634" i="2"/>
  <c r="K633" i="2"/>
  <c r="K631" i="2"/>
  <c r="K630" i="2"/>
  <c r="K629" i="2"/>
  <c r="K627" i="2"/>
  <c r="K626" i="2"/>
  <c r="K625" i="2"/>
  <c r="K624" i="2"/>
  <c r="K622" i="2"/>
  <c r="K621" i="2"/>
  <c r="K620" i="2"/>
  <c r="K619" i="2"/>
  <c r="K617" i="2"/>
  <c r="K616" i="2"/>
  <c r="K615" i="2"/>
  <c r="K614" i="2"/>
  <c r="K612" i="2"/>
  <c r="K611" i="2"/>
  <c r="K610" i="2"/>
  <c r="K608" i="2"/>
  <c r="K607" i="2"/>
  <c r="K606" i="2"/>
  <c r="K604" i="2"/>
  <c r="K603" i="2"/>
  <c r="K602" i="2"/>
  <c r="K600" i="2"/>
  <c r="K599" i="2"/>
  <c r="K598" i="2"/>
  <c r="K596" i="2"/>
  <c r="K595" i="2"/>
  <c r="K594" i="2"/>
  <c r="K592" i="2"/>
  <c r="K591" i="2"/>
  <c r="K590" i="2"/>
  <c r="K588" i="2"/>
  <c r="K587" i="2"/>
  <c r="K586" i="2"/>
  <c r="K584" i="2"/>
  <c r="K583" i="2"/>
  <c r="K581" i="2"/>
  <c r="K580" i="2"/>
  <c r="K579" i="2"/>
  <c r="K577" i="2"/>
  <c r="K576" i="2"/>
  <c r="K574" i="2"/>
  <c r="K573" i="2"/>
  <c r="K572" i="2"/>
  <c r="K571" i="2"/>
  <c r="K569" i="2"/>
  <c r="K568" i="2"/>
  <c r="K567" i="2"/>
  <c r="K566" i="2"/>
  <c r="K564" i="2"/>
  <c r="K563" i="2"/>
  <c r="K562" i="2"/>
  <c r="K560" i="2"/>
  <c r="K559" i="2"/>
  <c r="K558" i="2"/>
  <c r="K556" i="2"/>
  <c r="K555" i="2"/>
  <c r="K554" i="2"/>
  <c r="K552" i="2"/>
  <c r="K551" i="2"/>
  <c r="K550" i="2"/>
  <c r="K548" i="2"/>
  <c r="K547" i="2"/>
  <c r="K546" i="2"/>
  <c r="K544" i="2"/>
  <c r="K543" i="2"/>
  <c r="K542" i="2"/>
  <c r="K541" i="2"/>
  <c r="K539" i="2"/>
  <c r="K538" i="2"/>
  <c r="K537" i="2"/>
  <c r="K535" i="2"/>
  <c r="K534" i="2"/>
  <c r="K533" i="2"/>
  <c r="K531" i="2"/>
  <c r="K530" i="2"/>
  <c r="K529" i="2"/>
  <c r="K527" i="2"/>
  <c r="K526" i="2"/>
  <c r="K525" i="2"/>
  <c r="K523" i="2"/>
  <c r="K522" i="2"/>
  <c r="K521" i="2"/>
  <c r="K519" i="2"/>
  <c r="K518" i="2"/>
  <c r="K517" i="2"/>
  <c r="K515" i="2"/>
  <c r="K514" i="2"/>
  <c r="K513" i="2"/>
  <c r="K511" i="2"/>
  <c r="K510" i="2"/>
  <c r="K509" i="2"/>
  <c r="K507" i="2"/>
  <c r="K506" i="2"/>
  <c r="K505" i="2"/>
  <c r="K504" i="2"/>
  <c r="K502" i="2"/>
  <c r="K501" i="2"/>
  <c r="K500" i="2"/>
  <c r="K498" i="2"/>
  <c r="K497" i="2"/>
  <c r="K496" i="2"/>
  <c r="K494" i="2"/>
  <c r="K493" i="2"/>
  <c r="K492" i="2"/>
  <c r="K491" i="2"/>
  <c r="K489" i="2"/>
  <c r="K488" i="2"/>
  <c r="K487" i="2"/>
  <c r="K485" i="2"/>
  <c r="K484" i="2"/>
  <c r="K483" i="2"/>
  <c r="K481" i="2"/>
  <c r="K480" i="2"/>
  <c r="K479" i="2"/>
  <c r="K478" i="2"/>
  <c r="K476" i="2"/>
  <c r="K475" i="2"/>
  <c r="K473" i="2"/>
  <c r="K472" i="2"/>
  <c r="K471" i="2"/>
  <c r="K469" i="2"/>
  <c r="K468" i="2"/>
  <c r="K467" i="2"/>
  <c r="K465" i="2"/>
  <c r="K464" i="2"/>
  <c r="K463" i="2"/>
  <c r="K461" i="2"/>
  <c r="K460" i="2"/>
  <c r="K459" i="2"/>
  <c r="K457" i="2"/>
  <c r="K456" i="2"/>
  <c r="K455" i="2"/>
  <c r="K453" i="2"/>
  <c r="K452" i="2"/>
  <c r="K451" i="2"/>
  <c r="K449" i="2"/>
  <c r="K448" i="2"/>
  <c r="K447" i="2"/>
  <c r="K445" i="2"/>
  <c r="K444" i="2"/>
  <c r="K443" i="2"/>
  <c r="K441" i="2"/>
  <c r="K440" i="2"/>
  <c r="K439" i="2"/>
  <c r="K438" i="2"/>
  <c r="K436" i="2"/>
  <c r="K435" i="2"/>
  <c r="K434" i="2"/>
  <c r="K432" i="2"/>
  <c r="K431" i="2"/>
  <c r="K430" i="2"/>
  <c r="K428" i="2"/>
  <c r="K427" i="2"/>
  <c r="K426" i="2"/>
  <c r="K424" i="2"/>
  <c r="K423" i="2"/>
  <c r="K422" i="2"/>
  <c r="K420" i="2"/>
  <c r="K419" i="2"/>
  <c r="K418" i="2"/>
  <c r="K417" i="2"/>
  <c r="K415" i="2"/>
  <c r="K414" i="2"/>
  <c r="K413" i="2"/>
  <c r="K411" i="2"/>
  <c r="K410" i="2"/>
  <c r="K409" i="2"/>
  <c r="K407" i="2"/>
  <c r="K406" i="2"/>
  <c r="K405" i="2"/>
  <c r="K403" i="2"/>
  <c r="K402" i="2"/>
  <c r="K401" i="2"/>
  <c r="K400" i="2"/>
  <c r="K398" i="2"/>
  <c r="K397" i="2"/>
  <c r="K396" i="2"/>
  <c r="K394" i="2"/>
  <c r="K393" i="2"/>
  <c r="K392" i="2"/>
  <c r="K390" i="2"/>
  <c r="K389" i="2"/>
  <c r="K388" i="2"/>
  <c r="K387" i="2"/>
  <c r="K385" i="2"/>
  <c r="K384" i="2"/>
  <c r="K383" i="2"/>
  <c r="K381" i="2"/>
  <c r="K380" i="2"/>
  <c r="K379" i="2"/>
  <c r="K377" i="2"/>
  <c r="K376" i="2"/>
  <c r="K375" i="2"/>
  <c r="K373" i="2"/>
  <c r="K372" i="2"/>
  <c r="K371" i="2"/>
  <c r="K369" i="2"/>
  <c r="K368" i="2"/>
  <c r="K367" i="2"/>
  <c r="K365" i="2"/>
  <c r="K364" i="2"/>
  <c r="K363" i="2"/>
  <c r="K361" i="2"/>
  <c r="K360" i="2"/>
  <c r="K359" i="2"/>
  <c r="K358" i="2"/>
  <c r="K356" i="2"/>
  <c r="K355" i="2"/>
  <c r="K354" i="2"/>
  <c r="K352" i="2"/>
  <c r="K351" i="2"/>
  <c r="K350" i="2"/>
  <c r="K348" i="2"/>
  <c r="K347" i="2"/>
  <c r="K346" i="2"/>
  <c r="K344" i="2"/>
  <c r="K343" i="2"/>
  <c r="K342" i="2"/>
  <c r="K340" i="2"/>
  <c r="K339" i="2"/>
  <c r="K338" i="2"/>
  <c r="K336" i="2"/>
  <c r="K335" i="2"/>
  <c r="K334" i="2"/>
  <c r="K332" i="2"/>
  <c r="K331" i="2"/>
  <c r="K330" i="2"/>
  <c r="K328" i="2"/>
  <c r="K327" i="2"/>
  <c r="K326" i="2"/>
  <c r="K324" i="2"/>
  <c r="K323" i="2"/>
  <c r="K322" i="2"/>
  <c r="K320" i="2"/>
  <c r="K319" i="2"/>
  <c r="K318" i="2"/>
  <c r="K316" i="2"/>
  <c r="K315" i="2"/>
  <c r="K314" i="2"/>
  <c r="K312" i="2"/>
  <c r="K311" i="2"/>
  <c r="K310" i="2"/>
  <c r="K308" i="2"/>
  <c r="K307" i="2"/>
  <c r="K306" i="2"/>
  <c r="K305" i="2"/>
  <c r="K303" i="2"/>
  <c r="K302" i="2"/>
  <c r="K301" i="2"/>
  <c r="K299" i="2"/>
  <c r="K298" i="2"/>
  <c r="K297" i="2"/>
  <c r="K296" i="2"/>
  <c r="K294" i="2"/>
  <c r="K293" i="2"/>
  <c r="K292" i="2"/>
  <c r="K290" i="2"/>
  <c r="K289" i="2"/>
  <c r="K288" i="2"/>
  <c r="K286" i="2"/>
  <c r="K285" i="2"/>
  <c r="K284" i="2"/>
  <c r="K283" i="2"/>
  <c r="K281" i="2"/>
  <c r="K280" i="2"/>
  <c r="K279" i="2"/>
  <c r="K277" i="2"/>
  <c r="K276" i="2"/>
  <c r="K275" i="2"/>
  <c r="K273" i="2"/>
  <c r="K272" i="2"/>
  <c r="K271" i="2"/>
  <c r="K270" i="2"/>
  <c r="K268" i="2"/>
  <c r="K267" i="2"/>
  <c r="K266" i="2"/>
  <c r="K265" i="2"/>
  <c r="K263" i="2"/>
  <c r="K262" i="2"/>
  <c r="K261" i="2"/>
  <c r="K260" i="2"/>
  <c r="K258" i="2"/>
  <c r="K257" i="2"/>
  <c r="K255" i="2"/>
  <c r="K254" i="2"/>
  <c r="K253" i="2"/>
  <c r="K252" i="2"/>
  <c r="K250" i="2"/>
  <c r="K249" i="2"/>
  <c r="K248" i="2"/>
  <c r="K246" i="2"/>
  <c r="K245" i="2"/>
  <c r="K244" i="2"/>
  <c r="K243" i="2"/>
  <c r="K241" i="2"/>
  <c r="K240" i="2"/>
  <c r="K239" i="2"/>
  <c r="K238" i="2"/>
  <c r="K236" i="2"/>
  <c r="K235" i="2"/>
  <c r="K234" i="2"/>
  <c r="K232" i="2"/>
  <c r="K231" i="2"/>
  <c r="K230" i="2"/>
  <c r="K229" i="2"/>
  <c r="K227" i="2"/>
  <c r="K226" i="2"/>
  <c r="K225" i="2"/>
  <c r="K223" i="2"/>
  <c r="K222" i="2"/>
  <c r="K221" i="2"/>
  <c r="K220" i="2"/>
  <c r="K218" i="2"/>
  <c r="K217" i="2"/>
  <c r="K216" i="2"/>
  <c r="K214" i="2"/>
  <c r="K213" i="2"/>
  <c r="K212" i="2"/>
  <c r="K210" i="2"/>
  <c r="K209" i="2"/>
  <c r="K208" i="2"/>
  <c r="K206" i="2"/>
  <c r="K205" i="2"/>
  <c r="K203" i="2"/>
  <c r="K202" i="2"/>
  <c r="K201" i="2"/>
  <c r="K199" i="2"/>
  <c r="K198" i="2"/>
  <c r="K197" i="2"/>
  <c r="K195" i="2"/>
  <c r="K194" i="2"/>
  <c r="K193" i="2"/>
  <c r="K191" i="2"/>
  <c r="K190" i="2"/>
  <c r="K189" i="2"/>
  <c r="K187" i="2"/>
  <c r="K186" i="2"/>
  <c r="K185" i="2"/>
  <c r="K183" i="2"/>
  <c r="K182" i="2"/>
  <c r="K180" i="2"/>
  <c r="K179" i="2"/>
  <c r="K178" i="2"/>
  <c r="K177" i="2"/>
  <c r="K175" i="2"/>
  <c r="K174" i="2"/>
  <c r="K173" i="2"/>
  <c r="K171" i="2"/>
  <c r="K170" i="2"/>
  <c r="K169" i="2"/>
  <c r="K167" i="2"/>
  <c r="K166" i="2"/>
  <c r="K164" i="2"/>
  <c r="K163" i="2"/>
  <c r="K162" i="2"/>
  <c r="K160" i="2"/>
  <c r="K159" i="2"/>
  <c r="K158" i="2"/>
  <c r="K156" i="2"/>
  <c r="K155" i="2"/>
  <c r="K154" i="2"/>
  <c r="K152" i="2"/>
  <c r="K151" i="2"/>
  <c r="K150" i="2"/>
  <c r="K148" i="2"/>
  <c r="K147" i="2"/>
  <c r="K146" i="2"/>
  <c r="K145" i="2"/>
  <c r="K143" i="2"/>
  <c r="K142" i="2"/>
  <c r="K141" i="2"/>
  <c r="K140" i="2"/>
  <c r="K138" i="2"/>
  <c r="K137" i="2"/>
  <c r="K136" i="2"/>
  <c r="K135" i="2"/>
  <c r="K133" i="2"/>
  <c r="K132" i="2"/>
  <c r="K131" i="2"/>
  <c r="K129" i="2"/>
  <c r="K128" i="2"/>
  <c r="K127" i="2"/>
  <c r="K125" i="2"/>
  <c r="K124" i="2"/>
  <c r="K123" i="2"/>
  <c r="K121" i="2"/>
  <c r="K120" i="2"/>
  <c r="K119" i="2"/>
  <c r="K117" i="2"/>
  <c r="K116" i="2"/>
  <c r="K115" i="2"/>
  <c r="K113" i="2"/>
  <c r="K112" i="2"/>
  <c r="K110" i="2"/>
  <c r="K109" i="2"/>
  <c r="K108" i="2"/>
  <c r="K106" i="2"/>
  <c r="K105" i="2"/>
  <c r="K104" i="2"/>
  <c r="K103" i="2"/>
  <c r="K101" i="2"/>
  <c r="K100" i="2"/>
  <c r="K99" i="2"/>
  <c r="K97" i="2"/>
  <c r="K96" i="2"/>
  <c r="K95" i="2"/>
  <c r="K93" i="2"/>
  <c r="K92" i="2"/>
  <c r="K91" i="2"/>
  <c r="K89" i="2"/>
  <c r="K88" i="2"/>
  <c r="K87" i="2"/>
  <c r="K85" i="2"/>
  <c r="K84" i="2"/>
  <c r="K82" i="2"/>
  <c r="K81" i="2"/>
  <c r="K80" i="2"/>
  <c r="K78" i="2"/>
  <c r="K77" i="2"/>
  <c r="K76" i="2"/>
  <c r="K74" i="2"/>
  <c r="K73" i="2"/>
  <c r="K72" i="2"/>
  <c r="K70" i="2"/>
  <c r="K69" i="2"/>
  <c r="K68" i="2"/>
  <c r="K66" i="2"/>
  <c r="K65" i="2"/>
  <c r="K63" i="2"/>
  <c r="K62" i="2"/>
  <c r="K60" i="2"/>
  <c r="K59" i="2"/>
  <c r="K57" i="2"/>
  <c r="K56" i="2"/>
  <c r="K55" i="2"/>
  <c r="K53" i="2"/>
  <c r="K52" i="2"/>
  <c r="K51" i="2"/>
  <c r="K49" i="2"/>
  <c r="K48" i="2"/>
  <c r="K47" i="2"/>
  <c r="K45" i="2"/>
  <c r="K44" i="2"/>
  <c r="K43" i="2"/>
  <c r="K41" i="2"/>
  <c r="K40" i="2"/>
  <c r="K39" i="2"/>
  <c r="K37" i="2"/>
  <c r="K36" i="2"/>
  <c r="K35" i="2"/>
  <c r="K33" i="2"/>
  <c r="K32" i="2"/>
  <c r="K30" i="2"/>
  <c r="K29" i="2"/>
  <c r="K28" i="2"/>
  <c r="K26" i="2"/>
  <c r="K25" i="2"/>
  <c r="R8" i="2"/>
  <c r="R7" i="2"/>
  <c r="R10" i="2"/>
  <c r="S11" i="2"/>
  <c r="R11" i="2" l="1"/>
  <c r="S12" i="2"/>
  <c r="R12" i="2" l="1"/>
  <c r="S13" i="2"/>
  <c r="S14" i="2" l="1"/>
  <c r="R13" i="2"/>
  <c r="R14" i="2" l="1"/>
  <c r="S15" i="2"/>
  <c r="R15" i="2" l="1"/>
  <c r="S16" i="2"/>
  <c r="R16" i="2" l="1"/>
  <c r="S17" i="2"/>
  <c r="R17" i="2" l="1"/>
  <c r="S18" i="2"/>
  <c r="R18" i="2" l="1"/>
  <c r="S19" i="2"/>
  <c r="S20" i="2" l="1"/>
  <c r="R19" i="2"/>
  <c r="R20" i="2" l="1"/>
  <c r="S21" i="2"/>
  <c r="R21" i="2" l="1"/>
  <c r="S22" i="2"/>
  <c r="R22" i="2" l="1"/>
  <c r="S23" i="2"/>
  <c r="R23" i="2" l="1"/>
  <c r="S24" i="2"/>
  <c r="R24" i="2" l="1"/>
  <c r="S25" i="2"/>
  <c r="S26" i="2" l="1"/>
  <c r="R25" i="2"/>
  <c r="R26" i="2" l="1"/>
  <c r="S27" i="2"/>
  <c r="R27" i="2" l="1"/>
  <c r="S28" i="2"/>
  <c r="R28" i="2" l="1"/>
  <c r="S29" i="2"/>
  <c r="R29" i="2" l="1"/>
  <c r="S30" i="2"/>
  <c r="R30" i="2" l="1"/>
  <c r="S31" i="2"/>
  <c r="S32" i="2" l="1"/>
  <c r="R31" i="2"/>
  <c r="R32" i="2" l="1"/>
  <c r="S33" i="2"/>
  <c r="R33" i="2" l="1"/>
  <c r="S34" i="2"/>
  <c r="R34" i="2" l="1"/>
  <c r="S35" i="2"/>
  <c r="R35" i="2" l="1"/>
  <c r="S36" i="2"/>
  <c r="R36" i="2" l="1"/>
  <c r="S37" i="2"/>
  <c r="S38" i="2" l="1"/>
  <c r="R37" i="2"/>
  <c r="R38" i="2" l="1"/>
  <c r="S39" i="2"/>
  <c r="R39" i="2" l="1"/>
  <c r="S40" i="2"/>
  <c r="R40" i="2" l="1"/>
  <c r="S41" i="2"/>
  <c r="R41" i="2" l="1"/>
  <c r="S42" i="2"/>
  <c r="R42" i="2" l="1"/>
  <c r="S43" i="2"/>
  <c r="R43" i="2" l="1"/>
  <c r="S44" i="2"/>
  <c r="R44" i="2" l="1"/>
  <c r="S45" i="2"/>
  <c r="S46" i="2" l="1"/>
  <c r="R45" i="2"/>
  <c r="R46" i="2" l="1"/>
  <c r="S47" i="2"/>
  <c r="S48" i="2" l="1"/>
  <c r="R47" i="2"/>
  <c r="R48" i="2" l="1"/>
  <c r="S49" i="2"/>
  <c r="R49" i="2" l="1"/>
  <c r="S50" i="2"/>
  <c r="R50" i="2" l="1"/>
  <c r="S51" i="2"/>
  <c r="S52" i="2" l="1"/>
  <c r="R51" i="2"/>
  <c r="R52" i="2" l="1"/>
  <c r="S53" i="2"/>
  <c r="R53" i="2" l="1"/>
  <c r="S54" i="2"/>
  <c r="S55" i="2" l="1"/>
  <c r="R54" i="2"/>
  <c r="R55" i="2" l="1"/>
  <c r="S56" i="2"/>
  <c r="R56" i="2" l="1"/>
  <c r="S57" i="2"/>
  <c r="S58" i="2" l="1"/>
  <c r="R57" i="2"/>
  <c r="S59" i="2" l="1"/>
  <c r="R58" i="2"/>
  <c r="S60" i="2" l="1"/>
  <c r="R59" i="2"/>
  <c r="R60" i="2" l="1"/>
  <c r="S61" i="2"/>
  <c r="S62" i="2" l="1"/>
  <c r="R61" i="2"/>
  <c r="R62" i="2" l="1"/>
  <c r="S63" i="2"/>
  <c r="R63" i="2" l="1"/>
  <c r="S64" i="2"/>
  <c r="R64" i="2" l="1"/>
  <c r="S65" i="2"/>
  <c r="R65" i="2" l="1"/>
  <c r="S66" i="2"/>
  <c r="S67" i="2" l="1"/>
  <c r="R66" i="2"/>
  <c r="S68" i="2" l="1"/>
  <c r="R67" i="2"/>
  <c r="R68" i="2" l="1"/>
  <c r="S69" i="2"/>
  <c r="R69" i="2" l="1"/>
  <c r="S70" i="2"/>
  <c r="R70" i="2" l="1"/>
  <c r="S71" i="2"/>
  <c r="R71" i="2" l="1"/>
  <c r="S72" i="2"/>
  <c r="S73" i="2" l="1"/>
  <c r="R72" i="2"/>
  <c r="S74" i="2" l="1"/>
  <c r="R73" i="2"/>
  <c r="R74" i="2" l="1"/>
  <c r="S75" i="2"/>
  <c r="R75" i="2" l="1"/>
  <c r="S76" i="2"/>
  <c r="R76" i="2" l="1"/>
  <c r="S77" i="2"/>
  <c r="R77" i="2" l="1"/>
  <c r="S78" i="2"/>
  <c r="S79" i="2" l="1"/>
  <c r="R78" i="2"/>
  <c r="S80" i="2" l="1"/>
  <c r="R79" i="2"/>
  <c r="R80" i="2" l="1"/>
  <c r="S81" i="2"/>
  <c r="R81" i="2" l="1"/>
  <c r="S82" i="2"/>
  <c r="R82" i="2" l="1"/>
  <c r="S83" i="2"/>
  <c r="R83" i="2" l="1"/>
  <c r="S84" i="2"/>
  <c r="R84" i="2" l="1"/>
  <c r="S85" i="2"/>
  <c r="S86" i="2" l="1"/>
  <c r="R85" i="2"/>
  <c r="S87" i="2" l="1"/>
  <c r="R86" i="2"/>
  <c r="S88" i="2" l="1"/>
  <c r="R87" i="2"/>
  <c r="R88" i="2" l="1"/>
  <c r="S89" i="2"/>
  <c r="R89" i="2" l="1"/>
  <c r="S90" i="2"/>
  <c r="S91" i="2" l="1"/>
  <c r="R90" i="2"/>
  <c r="R91" i="2" l="1"/>
  <c r="S92" i="2"/>
  <c r="R92" i="2" l="1"/>
  <c r="S93" i="2"/>
  <c r="R93" i="2" l="1"/>
  <c r="S94" i="2"/>
  <c r="R94" i="2" l="1"/>
  <c r="S95" i="2"/>
  <c r="R95" i="2" l="1"/>
  <c r="S96" i="2"/>
  <c r="S97" i="2" l="1"/>
  <c r="R96" i="2"/>
  <c r="S98" i="2" l="1"/>
  <c r="R97" i="2"/>
  <c r="S99" i="2" l="1"/>
  <c r="R98" i="2"/>
  <c r="R99" i="2" l="1"/>
  <c r="S100" i="2"/>
  <c r="S101" i="2" l="1"/>
  <c r="R100" i="2"/>
  <c r="R101" i="2" l="1"/>
  <c r="S102" i="2"/>
  <c r="S103" i="2" l="1"/>
  <c r="R102" i="2"/>
  <c r="S104" i="2" l="1"/>
  <c r="R103" i="2"/>
  <c r="S105" i="2" l="1"/>
  <c r="R104" i="2"/>
  <c r="R105" i="2" l="1"/>
  <c r="S106" i="2"/>
  <c r="R106" i="2" l="1"/>
  <c r="S107" i="2"/>
  <c r="R107" i="2" l="1"/>
  <c r="S108" i="2"/>
  <c r="S109" i="2" l="1"/>
  <c r="R108" i="2"/>
  <c r="S110" i="2" l="1"/>
  <c r="R109" i="2"/>
  <c r="S111" i="2" l="1"/>
  <c r="R110" i="2"/>
  <c r="R111" i="2" l="1"/>
  <c r="S112" i="2"/>
  <c r="R112" i="2" l="1"/>
  <c r="S113" i="2"/>
  <c r="R113" i="2" l="1"/>
  <c r="S114" i="2"/>
  <c r="S115" i="2" l="1"/>
  <c r="R114" i="2"/>
  <c r="R115" i="2" l="1"/>
  <c r="S116" i="2"/>
  <c r="S117" i="2" l="1"/>
  <c r="R116" i="2"/>
  <c r="R117" i="2" l="1"/>
  <c r="S118" i="2"/>
  <c r="S119" i="2" l="1"/>
  <c r="R118" i="2"/>
  <c r="R119" i="2" l="1"/>
  <c r="S120" i="2"/>
  <c r="S121" i="2" l="1"/>
  <c r="R120" i="2"/>
  <c r="S122" i="2" l="1"/>
  <c r="R121" i="2"/>
  <c r="R122" i="2" l="1"/>
  <c r="S123" i="2"/>
  <c r="R123" i="2" l="1"/>
  <c r="S124" i="2"/>
  <c r="R124" i="2" l="1"/>
  <c r="S125" i="2"/>
  <c r="R125" i="2" l="1"/>
  <c r="S126" i="2"/>
  <c r="S127" i="2" l="1"/>
  <c r="R126" i="2"/>
  <c r="S128" i="2" l="1"/>
  <c r="R127" i="2"/>
  <c r="R128" i="2" l="1"/>
  <c r="S129" i="2"/>
  <c r="R129" i="2" l="1"/>
  <c r="S130" i="2"/>
  <c r="S131" i="2" l="1"/>
  <c r="R130" i="2"/>
  <c r="R131" i="2" l="1"/>
  <c r="S132" i="2"/>
  <c r="S133" i="2" l="1"/>
  <c r="R132" i="2"/>
  <c r="S134" i="2" l="1"/>
  <c r="R133" i="2"/>
  <c r="R134" i="2" l="1"/>
  <c r="S135" i="2"/>
  <c r="R135" i="2" l="1"/>
  <c r="S136" i="2"/>
  <c r="S137" i="2" l="1"/>
  <c r="R136" i="2"/>
  <c r="R137" i="2" l="1"/>
  <c r="S138" i="2"/>
  <c r="S139" i="2" l="1"/>
  <c r="R138" i="2"/>
  <c r="S140" i="2" l="1"/>
  <c r="R139" i="2"/>
  <c r="R140" i="2" l="1"/>
  <c r="S141" i="2"/>
  <c r="S142" i="2" l="1"/>
  <c r="R141" i="2"/>
  <c r="S143" i="2" l="1"/>
  <c r="R142" i="2"/>
  <c r="R143" i="2" l="1"/>
  <c r="S144" i="2"/>
  <c r="S145" i="2" l="1"/>
  <c r="R144" i="2"/>
  <c r="S146" i="2" l="1"/>
  <c r="R145" i="2"/>
  <c r="S147" i="2" l="1"/>
  <c r="R146" i="2"/>
  <c r="S148" i="2" l="1"/>
  <c r="R147" i="2"/>
  <c r="S149" i="2" l="1"/>
  <c r="R148" i="2"/>
  <c r="R149" i="2" l="1"/>
  <c r="S150" i="2"/>
  <c r="S151" i="2" l="1"/>
  <c r="R150" i="2"/>
  <c r="S152" i="2" l="1"/>
  <c r="R151" i="2"/>
  <c r="S153" i="2" l="1"/>
  <c r="R152" i="2"/>
  <c r="R153" i="2" l="1"/>
  <c r="S154" i="2"/>
  <c r="R154" i="2" l="1"/>
  <c r="S155" i="2"/>
  <c r="R155" i="2" l="1"/>
  <c r="S156" i="2"/>
  <c r="R156" i="2" l="1"/>
  <c r="S157" i="2"/>
  <c r="S158" i="2" l="1"/>
  <c r="R157" i="2"/>
  <c r="R158" i="2" l="1"/>
  <c r="S159" i="2"/>
  <c r="R159" i="2" l="1"/>
  <c r="S160" i="2"/>
  <c r="R160" i="2" l="1"/>
  <c r="S161" i="2"/>
  <c r="R161" i="2" l="1"/>
  <c r="S162" i="2"/>
  <c r="S163" i="2" l="1"/>
  <c r="R162" i="2"/>
  <c r="S164" i="2" l="1"/>
  <c r="R163" i="2"/>
  <c r="R164" i="2" l="1"/>
  <c r="S165" i="2"/>
  <c r="R165" i="2" l="1"/>
  <c r="S166" i="2"/>
  <c r="R166" i="2" l="1"/>
  <c r="S167" i="2"/>
  <c r="R167" i="2" l="1"/>
  <c r="S168" i="2"/>
  <c r="S169" i="2" l="1"/>
  <c r="R168" i="2"/>
  <c r="S170" i="2" l="1"/>
  <c r="R169" i="2"/>
  <c r="S171" i="2" l="1"/>
  <c r="R171" i="2" s="1"/>
  <c r="R170" i="2"/>
</calcChain>
</file>

<file path=xl/sharedStrings.xml><?xml version="1.0" encoding="utf-8"?>
<sst xmlns="http://schemas.openxmlformats.org/spreadsheetml/2006/main" count="4977" uniqueCount="3099">
  <si>
    <t>CHƯƠNG I. QUY ĐỊNH CHUNG VÀ QUY TẮC GIAO THÔNG ĐƯỜNG BỘ</t>
  </si>
  <si>
    <t>Câu 1. Phần của đường bộ được sử dụng cho phương tiện giao thông đường bộ đi lại là gì?</t>
  </si>
  <si>
    <t>Phần mặt đường và lề đường.</t>
  </si>
  <si>
    <t>Phần đường xe cơ giới.</t>
  </si>
  <si>
    <t>Câu 2. Làn đường là gì?</t>
  </si>
  <si>
    <t>Là một phần của phần đường xe chạy được chia theo chiều dọc của đường, sử dụng cho xe chạy.</t>
  </si>
  <si>
    <t>Là đường cho xe ô tô chạy, dừng, đỗ an toàn.</t>
  </si>
  <si>
    <t>Câu 3. Khổ giới hạn của đường bộ được hiểu như thế nào là đúng?</t>
  </si>
  <si>
    <t>Là khoảng trống có kích thước giới hạn về chiều cao của cầu, bến phà, hầm trên đường bộ để các xe đi qua được an toàn.</t>
  </si>
  <si>
    <t>Câu 4. Dải phân cách được lắp đặt để làm gì?</t>
  </si>
  <si>
    <t>Để phân chia các làn đường dành cho xe cơ giới và xe thô sơ trên đường cao tốc.</t>
  </si>
  <si>
    <t>Để phân tách phần đường xe chạy và hành lang an toàn giao thông.</t>
  </si>
  <si>
    <t>Câu 5. Vạch kẻ đường là gì?</t>
  </si>
  <si>
    <t>Là báo hiệu đường bộ để hỗ trợ cảnh báo nguy hiểm cho người tham gia giao thông đường bộ.</t>
  </si>
  <si>
    <t>Là báo hiệu cho người tham gia giao thông đường bộ về các thông tin của đường bộ.</t>
  </si>
  <si>
    <t>Cả ba ý trên.</t>
  </si>
  <si>
    <t>Câu 6. Người điều khiển phương tiện tham gia giao thông đường bộ được hiểu như thế nào là đúng?</t>
  </si>
  <si>
    <t>Là người được giao nhiệm vụ hướng dẫn giao thông trên đường bộ.</t>
  </si>
  <si>
    <t>Cả hai ý trên.</t>
  </si>
  <si>
    <t>Câu 7. Người lái xe được hiểu như thế nào là đúng?</t>
  </si>
  <si>
    <t xml:space="preserve"> Là người điều khiển xe cơ giới.</t>
  </si>
  <si>
    <t>Là người điều khiển xe thô sơ.</t>
  </si>
  <si>
    <t>Là người điều khiển xe máy chuyên dùng.</t>
  </si>
  <si>
    <t>Câu 8. Trong nhóm các phương tiện giao thông đường bộ dưới đây, nhóm phương tiện nào là xe cơ giới?</t>
  </si>
  <si>
    <t>Xe ô tô; máy kéo; xe mô tô hai bánh; xe mô tô ba bánh; xe gắn máy; xe cơ giới dùng cho người khuyết tật và xe máy chuyên dùng; xe đạp, xe đạp máy, xe đạp điện.</t>
  </si>
  <si>
    <t>Câu 9. Trong nhóm các phương tiện giao thông đường bộ dưới đây, nhóm phương tiện nào là xe thô sơ?</t>
  </si>
  <si>
    <t xml:space="preserve"> Xe đạp, xe đạp máy, xe đạp điện; xe xích lô; xe lăn dùng cho người khuyết tật; xe vật nuôi kéo và các loại xe tương tự.</t>
  </si>
  <si>
    <t>Xe đạp (kể cả xe đạp máy, xe đạp điện), xe gắn máy, xe cơ giới dùng cho người khuyết tật và xe máy chuyên dùng.</t>
  </si>
  <si>
    <t>Xe ô tô, máy kéo, rơ moóc hoặc sơ mi rơ moóc được kéo bởi xe ô tô, máy kéo.</t>
  </si>
  <si>
    <t>Câu 10. Phương tiện giao thông đường bộ gồm những loại nào?</t>
  </si>
  <si>
    <t>Phương tiện giao thông cơ giới đường bộ.</t>
  </si>
  <si>
    <t>Phương tiện giao thông thô sơ đường bộ, xe máy chuyên dùng và các loại xe tương tự.</t>
  </si>
  <si>
    <t xml:space="preserve"> Cả hai ý trên.</t>
  </si>
  <si>
    <t>Câu 11. Người tham gia giao thông đường bộ gồm những đối tượng nào?</t>
  </si>
  <si>
    <t>Người điều khiển, người được chở trên phương tiện tham gia giao thông đường bộ.</t>
  </si>
  <si>
    <t>Người điều khiển, dẫn dắt vật nuôi trên đường bộ; người đi bộ trên đường bộ.</t>
  </si>
  <si>
    <t>Câu 12. Người điều khiển phương tiện tham gia giao thông đường bộ gồm những đối tượng nào dưới đây?</t>
  </si>
  <si>
    <t>Người điều khiển xe cơ giới, người điều khiển xe thô sơ.</t>
  </si>
  <si>
    <t>Người điều khiển xe máy chuyên dùng.</t>
  </si>
  <si>
    <t>Câu 13. Người điều khiển giao thông đường bộ được hiểu như thế nào là đúng?</t>
  </si>
  <si>
    <t>Là người điều khiển phương tiện tham gia giao thông đường bộ.</t>
  </si>
  <si>
    <t xml:space="preserve"> Là Cảnh sát giao thông và người được giao nhiệm vụ hướng dẫn giao thông trên đường bộ.</t>
  </si>
  <si>
    <t>Là người tham gia giao thông đường bộ.</t>
  </si>
  <si>
    <t>Câu 14. Dừng xe được hiểu như thế nào là đúng?</t>
  </si>
  <si>
    <t>Là trạng thái đứng yên của xe không giới hạn thời gian để cho người lên, xuống xe, xếp dỡ hàng hóa hoặc thực hiện công việc khác.</t>
  </si>
  <si>
    <t xml:space="preserve"> 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t>
  </si>
  <si>
    <t>Là trạng thái đứng yên của xe không giới hạn thời gian giữa 02 lần vận chuyển hàng hóa hoặc hành khách.</t>
  </si>
  <si>
    <t>Câu 15. Đỗ xe được hiểu như thế nào là đúng?</t>
  </si>
  <si>
    <t>Là trạng thái đứng yên của xe có giới hạn thời gian trong một khoảng thời gian cần thiết đủ để cho người lên, xuống xe đó, xếp dỡ hàng hóa hoặc thực hiện công việc khác.</t>
  </si>
  <si>
    <t xml:space="preserve">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t>
  </si>
  <si>
    <t>Câu 16. Đường cao tốc được hiểu như thế nào là đúng?</t>
  </si>
  <si>
    <t xml:space="preserve"> Là một cấp kỹ thuật của đường bộ, chỉ dành cho một số loại xe cơ giới, xe máy chuyên dùng tham gia giao thông theo quy định của pháp luật. Có dải phân cách phân chia hai chiều xe chạy riêng biệt, không giao nhau cùng mức với một hoặc các đường khác, chỉ cho xe ra, vào ở những điểm nhất định. Có hàng rào bảo vệ, trang thiết bị phục vụ, bảo đảm giao thông liên tục, an toàn, rút ngắn thời gian hành trình.</t>
  </si>
  <si>
    <t>Là đường nối liền Thủ đô Hà Nội với trung tâm hành chính cấp tỉnh; đường nối liền các trung tâm hành chính cấp tỉnh; đường có vị trí quan trọng đối với sự phát triển kinh tế- xã hội, bảo đảm quốc phòng, an ninh của vùng, khu vực.</t>
  </si>
  <si>
    <t>Câu 17. Thiết bị an toàn cho trẻ em được hiểu như thế nào là đúng?</t>
  </si>
  <si>
    <t xml:space="preserve">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t>
  </si>
  <si>
    <t>Là thiết bị có đủ khả năng bảo đảm an toàn cho trẻ em ở tư thế đứng hoặc nằm trên xe ô tô, được thiết kế để giảm nguy cơ chấn thương cho người dùng trong trường hợp xe ô tô lưu thông bình thường.</t>
  </si>
  <si>
    <t>Câu 18. Theo chức năng phục vụ thì đường bộ được phân loại như thế nào?</t>
  </si>
  <si>
    <t xml:space="preserve"> Đường chính, đường nhánh, đường gom, đường bên, đường dành cho giao thông công cộng, đường nội bộ, đường dành riêng cho người đi bộ, người đi xe đạp và các đường khác.</t>
  </si>
  <si>
    <t>Đường chính, đường nhánh, đường gom, đường dành cho giao thông công cộng, đường nội bộ, đường dành riêng cho người đi bộ, người đi xe đạp và các đường khác.</t>
  </si>
  <si>
    <t>Đường chính, đường nhánh, đường gom, đường bên, đường dành cho giao thông công cộng, đường dành riêng cho người đi bộ, người đi xe đạp và các đường khác.</t>
  </si>
  <si>
    <t>Câu 19. Hành vi nào dưới đây bị nghiêm cấm?</t>
  </si>
  <si>
    <t>Sử dụng xe đạp đi trên các tuyến quốc lộ.</t>
  </si>
  <si>
    <t xml:space="preserve"> Rải vật sắc nhọn, đổ chất gây trơn trượt trên đường bộ.</t>
  </si>
  <si>
    <t>Câu 20. Hành vi đưa xe cơ giới, xe máy chuyên dùng tham gia giao thông đường bộ nào dưới đây bị cấm?</t>
  </si>
  <si>
    <t>Không có chứng nhận kiểm định an toàn kỹ thuật và bảo vệ môi trường.</t>
  </si>
  <si>
    <t>Hết niên hạn sử dụng.</t>
  </si>
  <si>
    <t>Câu 21. Tổ chức đua xe được phép thực hiện khi nào?</t>
  </si>
  <si>
    <t>Trên đường phố không có người qua lại.</t>
  </si>
  <si>
    <t>Được người dân ủng hộ.</t>
  </si>
  <si>
    <t xml:space="preserve"> Được cơ quan có thẩm quyền cấp phép.</t>
  </si>
  <si>
    <t>Câu 22. Hành vi đua xe trái phép bị xử lý như thế nào?</t>
  </si>
  <si>
    <t>Chỉ bị nhắc nhở.</t>
  </si>
  <si>
    <t xml:space="preserve"> Tùy theo mức độ của hành vi vi phạm có thể bị xử lý hành chính hoặc xử lý hình sự.</t>
  </si>
  <si>
    <t>Câu 23. Hành vi của người điều khiển xe ô tô và các loại xe tương tự khi tham gia giao thông đường bộ mà trong cơ thể có chất ma túy thì bị áp dụng hình thức xử phạt vi phạm hành chính nào dưới đây?</t>
  </si>
  <si>
    <t>Bị phạt tiền.</t>
  </si>
  <si>
    <t>Bị tước giấy phép lái xe.</t>
  </si>
  <si>
    <t>Câu 24. Người điều khiển phương tiện tham gia giao thông đường bộ mà trong máu hoặc hơi thở có nồng độ cồn có bị nghiêm cấm không?</t>
  </si>
  <si>
    <t xml:space="preserve"> Bị nghiêm cấm.</t>
  </si>
  <si>
    <t>Không bị nghiêm cấm.</t>
  </si>
  <si>
    <t>Không bị nghiêm cấm, nếu nồng độ cồn trong máu ở mức nhẹ, có thể điều khiển phương tiện tham gia giao thông.</t>
  </si>
  <si>
    <t>Câu 25. Hành vi của người điều khiển xe ô tô và các loại xe tương tự khi tham gia giao thông đường bộ mà trong máu hoặc hơi thở có nồng độ cồn thì bị áp dụng hình thức xử phạt vi phạm hành chính nào dưới đây?</t>
  </si>
  <si>
    <t>Có thể bị tước giấy phép lái xe.</t>
  </si>
  <si>
    <t>Câu 26. Theo Luật Phòng chống tác hại của rượu, bia, đối tượng nào dưới đây bị cấm sử dụng rượu, bia khi tham gia giao thông?</t>
  </si>
  <si>
    <t xml:space="preserve"> Người điều khiển xe ô tô, xe mô tô, xe đạp, xe gắn máy.</t>
  </si>
  <si>
    <t>Người được chở trên xe cơ giới.</t>
  </si>
  <si>
    <t>Câu 27. Hành vi giao xe ô tô, mô tô cho người nào sau đây tham gia giao thông đường bộ bị nghiêm cấm?</t>
  </si>
  <si>
    <t>Người chưa đủ tuổi theo quy định.</t>
  </si>
  <si>
    <t>Người không có giấy phép lái xe.</t>
  </si>
  <si>
    <t>Người có giấy phép lái xe nhưng đã bị trừ hết 12 điểm.</t>
  </si>
  <si>
    <t xml:space="preserve"> Cả ba ý trên.</t>
  </si>
  <si>
    <t>Câu 28. Hành vi nào sau đây bị nghiêm cấm?</t>
  </si>
  <si>
    <t>Điều khiển xe cơ giới lạng lách, đánh võng, rú ga liên tục khi tham gia giao thông trên đường.</t>
  </si>
  <si>
    <t>Xúc phạm, đe dọa, cản trở, chống đối hoặc không chấp hành hiệu lệnh, hướng dẫn, yêu cầu kiểm tra, kiểm soát của người thi hành công vụ về bảo đảm trật tự, an toàn giao thông đường bộ.</t>
  </si>
  <si>
    <t>Câu 29. Các hành vi nào sau đây bị cấm đối với phương tiện tham gia giao thông đường bộ?</t>
  </si>
  <si>
    <t>Cải tạo xe ô tô loại khác thành xe ô tô chở người phục vụ mục đích quốc phòng, an ninh.</t>
  </si>
  <si>
    <t xml:space="preserve"> Cải tạo trái phép; cố ý can thiệp làm sai lệch chỉ số trên đồng hồ báo quãng đường đã chạy của xe ô tô; cắt, hàn, tẩy xóa, đục sửa, đóng lại trái phép số khung, số động cơ của xe cơ giới, xe máy chuyên dùng.</t>
  </si>
  <si>
    <t>Câu 30. Hành vi nào sau đây bị cấm?</t>
  </si>
  <si>
    <t>Lắp đặt, sử dụng thiết bị âm thanh, ánh sáng trên xe cơ giới, xe máy chuyên dùng gây mất trật tự, an toàn giao thông đường bộ.</t>
  </si>
  <si>
    <t>Cản trở người, phương tiện tham gia giao thông trên đường bộ; ném gạch, đất, đá, cát hoặc vật thể khác vào người, phương tiện đang tham gia giao thông trên đường bộ.</t>
  </si>
  <si>
    <t>Câu 31. Việc sản xuất, sử dụng, mua, bán trái phép biển số xe có bị nghiêm cấm hay không?</t>
  </si>
  <si>
    <t>Bị nghiêm cấm tuỳ trường hợp.</t>
  </si>
  <si>
    <t>Câu 32. Khi điều khiển phương tiện tham gia giao thông, những hành vi nào dưới đây bị nghiêm cấm?</t>
  </si>
  <si>
    <t>Thay đổi tốc độ của xe nhiều lần.</t>
  </si>
  <si>
    <t>Điều khiển phương tiện sau 23 giờ trong ngày.</t>
  </si>
  <si>
    <t xml:space="preserve"> Lạng lách, đánh võng, rú ga liên tục.</t>
  </si>
  <si>
    <t>Câu 33. Có bao nhiêu nhóm biển báo hiệu đường bộ?</t>
  </si>
  <si>
    <t>Ba nhóm: Biển báo cấm, biển báo nguy hiểm và biển hiệu lệnh.</t>
  </si>
  <si>
    <t>Bốn nhóm: Biển báo cấm, biển báo nguy hiểm, biển hiệu lệnh và biển phụ.</t>
  </si>
  <si>
    <t xml:space="preserve"> Năm nhóm: Biển báo cấm, biển báo nguy hiểm, biển hiệu lệnh, biển chỉ dẫn, biển phụ.</t>
  </si>
  <si>
    <t>Câu 34. Tại nơi có vạch kẻ đường hoặc tại nơi mà người đi bộ, xe lăn của người khuyết tật đang qua đường, người điều khiển phương tiện tham gia giao thông phải thực hiện như thế nào?</t>
  </si>
  <si>
    <t>Giảm tốc độ và nhường đường cho người đi bộ, xe lăn của người khuyết tật qua đường đảm bảo an toàn.</t>
  </si>
  <si>
    <t xml:space="preserve"> Quan sát, giảm tốc độ hoặc dừng lại để bảo đảm an toàn cho người đi bộ, xe lăn của người khuyết tật qua đường.</t>
  </si>
  <si>
    <t>Quan sát, tăng tốc độ và điều khiển phương tiện nhanh chóng đi qua.</t>
  </si>
  <si>
    <t>Câu 35. Người điều khiển xe mô tô phải phải quan sát, giảm tốc độ hoặc dừng lại để bảo đảm an toàn trong các trường hợp nào dưới đây?</t>
  </si>
  <si>
    <t>Đường hẹp, đường vòng, đường quanh co, đường đèo, dốc.</t>
  </si>
  <si>
    <t>Nơi cầu, cống hẹp, đập tràn, đường ngầm, hầm chui, hầm đường bộ.</t>
  </si>
  <si>
    <t>Trời mưa, gió, sương, khói, bụi, mặt đường trơn trượt, lầy lội, có nhiều đất đá, vật liệu rơi vãi ảnh hưởng đến an toàn giao thông đường bộ.</t>
  </si>
  <si>
    <t>Câu 36. Khi gặp hiệu lệnh điều khiển của Cảnh sát giao thông như hình dưới đây thì người tham gia giao thông đường bộ phải đi như thế nào là đúng quy tắc giao thông?</t>
  </si>
  <si>
    <t>Người tham gia giao thông đường bộ ở các hướng phải dừng lại.</t>
  </si>
  <si>
    <t>Người tham gia giao thông đường bộ ở các hướng được đi theo chiều gậy chỉ của Cảnh sát giao thông.</t>
  </si>
  <si>
    <t>Người tham gia giao thông đường bộ ở phía trước và phía sau người điều khiển được đi tất cả các hướng; người tham gia giao thông đường bộ ở phía bên phải và phía bên trái người điều khiển phải dừng lại.</t>
  </si>
  <si>
    <t xml:space="preserve"> Người tham gia giao thông đường bộ ở phía trước và phía sau người điều khiển phải dừng lại; người tham gia giao thông đường bộ ở phía bên phải và phía bên trái người điều khiển được đi tất cả các hướng.</t>
  </si>
  <si>
    <t>Câu 37. Khi gặp hiệu lệnh điều khiển của Cảnh sát giao thông như hình dưới đây thì người tham gia giao thông đường bộ phải đi như thế nào là đúng quy tắc giao thông?</t>
  </si>
  <si>
    <t>Người tham gia giao thông đường bộ ở phía sau Cảnh sát giao thông được đi, các hướng khác phải dừng lại.</t>
  </si>
  <si>
    <t>Người tham gia giao thông đường bộ được rẽ phải theo chiều mũi tên màu xanh ở bục Cảnh sát giao thông.</t>
  </si>
  <si>
    <t xml:space="preserve"> Người tham gia giao thông đường bộ ở tất cả các hướng phải dừng lại, trừ các xe đã ở trong khu vực giao nhau.</t>
  </si>
  <si>
    <t>Người tham gia giao thông đường bộ ở phía trước Cảnh sát giao thông phải dừng lại, các hướng khác được đi.</t>
  </si>
  <si>
    <t>Câu 38. Khi hiệu lệnh của người điều khiển giao thông trái với tín hiệu đèn giao thông hoặc biển báo hiệu đường bộ thì người tham gia giao thông đường bộ phải chấp hành báo hiệu đường bộ nào dưới đây?</t>
  </si>
  <si>
    <t xml:space="preserve"> Theo hiệu lệnh của người điều khiển giao thông.</t>
  </si>
  <si>
    <t>Theo tín hiệu đèn giao thông.</t>
  </si>
  <si>
    <t>Theo biển báo hiệu đường bộ.</t>
  </si>
  <si>
    <t>Câu 39. Khi ở một vị trí vừa có biển báo hiệu đặt cố định vừa có biển báo hiệu tạm thời mà hai biển có ý nghĩa khác nhau, người tham gia giao thông đường bộ phải chấp hành hiệu lệnh của biển báo hiệu nào?</t>
  </si>
  <si>
    <t>Biển báo hiệu đặt cố định.</t>
  </si>
  <si>
    <t xml:space="preserve"> Biển báo hiệu tạm thời.</t>
  </si>
  <si>
    <t>Theo quyết định của người tham gia giao thông nhưng phải bảo đảm an toàn.</t>
  </si>
  <si>
    <t>Câu 40. Tại nơi đường giao nhau, khi đèn điều khiển giao thông có tín hiệu màu vàng, người điều khiển phương tiện tham gia giao thông phải chấp hành như thế nào là đúng quy tắc giao thông?</t>
  </si>
  <si>
    <t xml:space="preserve">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t>
  </si>
  <si>
    <t>Tăng tốc độ nhanh chóng vượt qua nút giao.</t>
  </si>
  <si>
    <t>Quan sát, giảm tốc độ, từ từ vượt qua nút giao.</t>
  </si>
  <si>
    <t>Câu 41. Người lái xe trên đường cần chấp hành quy định về tốc độ tối đa như thế nào?</t>
  </si>
  <si>
    <t>Chỉ lớn hơn tốc độ tối đa cho phép khi đường vắng.</t>
  </si>
  <si>
    <t>Chỉ lớn hơn tốc độ tối đa cho phép khi vào ban đêm.</t>
  </si>
  <si>
    <t xml:space="preserve"> Không vượt quá tốc độ tối đa cho phép.</t>
  </si>
  <si>
    <t>Câu 42. Khi chở trẻ em dưới 10 tuổi và chiều cao dưới 1,35 mét trên xe ô tô, người lái xe phải thực hiện quy tắc nào dưới đây để bảo đảm an toàn?</t>
  </si>
  <si>
    <t xml:space="preserve"> Không được cho trẻ em ngồi cùng hàng ghế với người lái xe, trừ loại xe ô tô chỉ có một hàng ghế; người lái xe phải sử dụng, hướng dẫn sử dụng thiết bị an toàn phù hợp cho trẻ em.</t>
  </si>
  <si>
    <t>Cho trẻ em ngồi cùng hàng ghế với người lái xe, người lái xe phải sử dụng, hướng dẫn sử dụng thiết bị an toàn phù hợp cho trẻ em.</t>
  </si>
  <si>
    <t>Câu 43. Phương tiện tham gia giao thông đường bộ di chuyển với tốc độ thấp hơn phải đi như thế nào?</t>
  </si>
  <si>
    <t>Đi về bên trái theo chiều đi của mình.</t>
  </si>
  <si>
    <t xml:space="preserve"> Đi về bên phải theo chiều đi của mình.</t>
  </si>
  <si>
    <t>Đi ở bất cứ bên nào nhưng phải bấm đèn cảnh báo nguy hiểm để báo hiệu cho các phương tiện khác.</t>
  </si>
  <si>
    <t>Câu 44. Trên một chiều đường có vạch kẻ phân làn đường, người lái xe cơ giới, xe máy chuyên dùng phải điều khiển xe đi trên làn đường nào?</t>
  </si>
  <si>
    <t>Đi trên làn đường bên phải trong cùng.</t>
  </si>
  <si>
    <t xml:space="preserve"> Đi trên làn đường bên trái.</t>
  </si>
  <si>
    <t>Đi ở bất cứ làn nào nhưng phải bảo đảm tốc độ cho phép.</t>
  </si>
  <si>
    <t>Câu 45. Người lái xe phải giảm tốc độ, có tín hiệu rẽ phải và đi sát về bên phải của phần đường xe chạy trong các trường hợp nào dưới đây?</t>
  </si>
  <si>
    <t>Khi xe chạy phía trước có tín hiệu vượt xe khác.</t>
  </si>
  <si>
    <t>Khi phía trước có xe chạy ngược chiều.</t>
  </si>
  <si>
    <t xml:space="preserve"> Khi xe sau xin vượt nếu đủ điều kiện an toàn.</t>
  </si>
  <si>
    <t>Khi xe sau có tín hiệu vượt bên phải.</t>
  </si>
  <si>
    <t>Câu 46. Vượt xe là gì?</t>
  </si>
  <si>
    <t xml:space="preserve"> Là tình huống giao thông trên đường mà mỗi chiều đường xe chạy chỉ có một làn đường dành cho xe cơ giới, xe đi phía sau di chuyển sang bên trái để di chuyển lên trước xe phía trước.</t>
  </si>
  <si>
    <t>Là tình huống giao thông trên đường có từ hai làn đường dành cho xe cơ giới cùng chiều trở lên được phân biệt bằng vạch kẻ đường, xe đi phía sau di chuyển lên trước xe phía trước theo quy tắc sử dụng làn đường.</t>
  </si>
  <si>
    <t>Câu 47. Người lái xe được phép vượt xe trên cầu hẹp có một làn đường, đường cong có tầm nhìn bị hạn chế hay không?</t>
  </si>
  <si>
    <t>Được phép vượt khi đường vắng.</t>
  </si>
  <si>
    <t xml:space="preserve"> Không được phép vượt.</t>
  </si>
  <si>
    <t>Được phép vượt khi có việc gấp.</t>
  </si>
  <si>
    <t>Câu 48. Muốn vượt xe phía trước, người lái xe mô tô phải có tín hiệu như thế nào dưới đây để bảo đảm an toàn?</t>
  </si>
  <si>
    <t>Bấm còi liên tục để xe phía trước biết xe mình xin vượt.</t>
  </si>
  <si>
    <t>Rú ga liên tục để xe phía trước biết xe mình xin vượt.</t>
  </si>
  <si>
    <t xml:space="preserve"> Báo hiệu nhấp nháy bằng đèn chiếu sáng phía trước hoặc còi.</t>
  </si>
  <si>
    <t>Câu 49. Khi lái xe trong khu đông dân cư, khu vực cơ sở khám bệnh, chữa bệnh trừ các khu vực có biển cấm sử dụng còi, người lái xe được sử dụng còi trong thời gian nào?</t>
  </si>
  <si>
    <t>Từ 22 giờ ngày hôm trước đến 05 giờ ngày hôm sau.</t>
  </si>
  <si>
    <t xml:space="preserve"> Từ 05 giờ đến 22 giờ.</t>
  </si>
  <si>
    <t>Từ 23 giờ ngày hôm trước đến 05 giờ sáng hôm sau.</t>
  </si>
  <si>
    <t>Câu 50. Phương tiện tham gia giao thông đường bộ chỉ được sử dụng tín hiệu còi trong các trường hợp nào sau đây?</t>
  </si>
  <si>
    <t xml:space="preserve"> Để báo hiệu cho người tham gia giao thông đường bộ khi xuất hiện tình huống có thể mất an toàn giao thông hoặc báo hiệu chuẩn bị vượt xe.</t>
  </si>
  <si>
    <t>Để báo hiệu cho người tham gia giao thông đường bộ từ 22 giờ ngày hôm trước đến 05 giờ ngày hôm sau trong khu đông dân cư, khu vực cơ sở khám bệnh, chữa bệnh, trừ xe ưu tiên.</t>
  </si>
  <si>
    <t>Câu 51. Người lái xe sử dụng đèn như thế nào khi đi trên các đoạn đường qua khu đông dân cư có hệ thống chiếu sáng đang hoạt động?</t>
  </si>
  <si>
    <t>Chỉ bật đèn chiếu xa (đèn pha).</t>
  </si>
  <si>
    <t>Bật đèn chiếu xa (đèn pha) khi đường vắng, bật đèn chiếu gần (đèn cốt) khi có xe đi ngược chiều.</t>
  </si>
  <si>
    <t xml:space="preserve"> Chỉ bật đèn chiếu gần (đèn cốt).</t>
  </si>
  <si>
    <t>Câu 52. Khi điều khiển phương tiện tham gia giao thông, hành vi nào sau đây bị cấm?</t>
  </si>
  <si>
    <t xml:space="preserve"> Dùng tay cầm và sử dụng điện thoại hoặc thiết bị điện tử khác.</t>
  </si>
  <si>
    <t>Chỉ được chở người trên thùng xe ô tô chở hàng trong trường hợp chở người đi làm nhiệm vụ cứu nạn, cứu hộ, phòng, chống thiên tai, dịch bệnh hoặc thực hiện nhiệm vụ khẩn cấp.</t>
  </si>
  <si>
    <t>Câu 53. Người lái xe không được vượt xe khác khi gặp trường hợp nào dưới đây?</t>
  </si>
  <si>
    <t xml:space="preserve"> Trên cầu hẹp có một làn đường; nơi đường giao nhau, đường bộ giao nhau cùng mức với đường sắt; khi gặp xe ưu tiên.</t>
  </si>
  <si>
    <t>Trên cầu có từ 02 làn xe trở lên.</t>
  </si>
  <si>
    <t>Trên đường có 02 làn đường được phân chia làn bằng vạch kẻ nét đứt.</t>
  </si>
  <si>
    <t>Câu 54. Nơi nào cấm quay đầu xe?</t>
  </si>
  <si>
    <t>Ở phần đường dành cho người đi bộ qua đường, trên cầu, đầu cầu, gầm cầu vượt, ngầm.</t>
  </si>
  <si>
    <t>Tại nơi đường bộ giao nhau cùng mức với đường sắt, đường hẹp, đường dốc, đoạn đường cong tầm nhìn bị che khuất, trên đường cao tốc, trong hầm đường bộ, trên đường một chiều.</t>
  </si>
  <si>
    <t>Câu 55. Người lái xe không được quay đầu xe trong các trường hợp nào dưới đây?</t>
  </si>
  <si>
    <t xml:space="preserve"> Ở phần đường dành cho người đi bộ qua đường, trên cầu, đầu cầu, trên đường cao tốc, tại nơi đường bộ giao nhau cùng mức với đường sắt, đường hẹp, đường dốc.</t>
  </si>
  <si>
    <t>Ở phía trước hoặc phía sau của phần đường dành cho người đi bộ qua đường, trên đường quốc lộ.</t>
  </si>
  <si>
    <t>Câu 56. Trước khi cho xe chuyển hướng, người lái xe phải làm gì để bảo đảm an toàn giao thông?</t>
  </si>
  <si>
    <t>Phải quan sát, bảo đảm khoảng cách an toàn với xe phía sau.</t>
  </si>
  <si>
    <t>Giảm tốc độ và có tín hiệu báo hướng rẽ.</t>
  </si>
  <si>
    <t>Chuyển dần sang làn gần nhất với hướng rẽ. Khi bảo đảm an toàn, không gây trở ngại cho người và phương tiện khác mới được chuyển hướng.</t>
  </si>
  <si>
    <t>Câu 57. Khi chuyển làn đường, người lái xe phải bật đèn tín hiệu báo rẽ như thế nào là đúng quy tắc giao thông?</t>
  </si>
  <si>
    <t>Khi bắt đầu chuyển làn đường.</t>
  </si>
  <si>
    <t xml:space="preserve"> Trước khi thay đổi làn đường.</t>
  </si>
  <si>
    <t>Sau khi thay đổi làn đường.</t>
  </si>
  <si>
    <t>Câu 58. Người lái xe không được lùi xe ở những khu vực nào dưới đây?</t>
  </si>
  <si>
    <t>Ở đường một chiều, khu vực cấm dừng, trên phần đường dành cho người đi bộ qua đường.</t>
  </si>
  <si>
    <t>Nơi đường bộ giao nhau, đường bộ giao nhau cùng mức với đường sắt.</t>
  </si>
  <si>
    <t>Nơi tầm nhìn bị che khuất, trong hầm đường bộ, trên đường cao tốc.</t>
  </si>
  <si>
    <t>Câu 59. Người điều khiển phương tiện tham gia giao thông không được dừng xe, đỗ xe ở những vị trí nào sau đây?</t>
  </si>
  <si>
    <t>Trên miệng cống thoát nước, miệng hầm của đường điện thoại, điện cao thế, chỗ dành riêng cho xe chữa cháy lấy nước.</t>
  </si>
  <si>
    <t>Trong phạm vi an toàn của đường sắt.</t>
  </si>
  <si>
    <t>Câu 60. Trên đường phố, người điều khiển phương tiện tham gia giao thông đường bộ được dừng xe, đỗ xe sát theo lề đường, vỉa hè phía bên phải theo chiều đi của mình; bánh xe gần nhất không được cách xa lề đường, vỉa hè không quá bao nhiêu mét trong các trường hợp dưới đây và không gây cản trở, nguy hiểm cho người và phương tiện tham gia giao thông đường bộ?</t>
  </si>
  <si>
    <t xml:space="preserve"> 0,25 mét.</t>
  </si>
  <si>
    <t>0,3 mét.</t>
  </si>
  <si>
    <t>0,4 mét.</t>
  </si>
  <si>
    <t>0,5 mét.</t>
  </si>
  <si>
    <t>Câu 61. Khi dừng, đỗ xe trên đường phố hẹp, người lái xe ô tô phải dừng, đỗ xe ở vị trí cách xe ô tô đang đỗ ngược chiều khoảng cách tối thiểu là bao nhiêu mét trong các trường hợp dưới đây để bảo đảm an toàn?</t>
  </si>
  <si>
    <t>10 mét.</t>
  </si>
  <si>
    <t>15 mét.</t>
  </si>
  <si>
    <t xml:space="preserve"> 20 mét.</t>
  </si>
  <si>
    <t>25 mét.</t>
  </si>
  <si>
    <t>Câu 62. Người điều khiển phương tiện tham gia giao thông đường bộ không được dừng xe, đỗ xe tại các vị trí nào sau đây?</t>
  </si>
  <si>
    <t>Nơi có lề đường rộng hoặc khu đất ở bên ngoài phần đường xe chạy.</t>
  </si>
  <si>
    <t xml:space="preserve"> Song song cùng chiều với một xe khác đang dừng, đỗ trên đường; trên đoạn đường cong hoặc gần đầu dốc mà tầm nhìn bị che khuất; bên trái đường một chiều.</t>
  </si>
  <si>
    <t>Câu 63. Người điều khiển xe mô tô hai bánh, xe mô tô ba bánh, xe gắn máy có được phép sử dụng xe để kéo hoặc đẩy các phương tiện khác khi tham gia giao thông không?</t>
  </si>
  <si>
    <t>Được phép.</t>
  </si>
  <si>
    <t>Nếu phương tiện được kéo, đẩy có khối lượng nhỏ hơn phương tiện của mình.</t>
  </si>
  <si>
    <t>Tùy trường hợp.</t>
  </si>
  <si>
    <t xml:space="preserve"> Không được phép.</t>
  </si>
  <si>
    <t>Câu 64. Khi điều khiển xe mô tô hai bánh, xe mô tô ba bánh, xe gắn máy, những hành vi nào sau đây không được phép?</t>
  </si>
  <si>
    <t xml:space="preserve"> Buông cả hai tay; đứng, nằm trên xe điều khiển xe; sử dụng chân chống hoặc vật khác quệt xuống đường khi xe đang chạy.</t>
  </si>
  <si>
    <t>Chở tối đa hai người phía sau khi chở người bệnh đi cấp cứu, áp giải người có hành vi vi phạm pháp luật, trẻ em dưới 12 tuổi và người già yếu hoặc người khuyết tật.</t>
  </si>
  <si>
    <t>Câu 65. Khi điều khiển xe mô tô hai bánh, xe mô tô ba bánh, xe gắn máy, những hành vi nào sau đây không được phép?</t>
  </si>
  <si>
    <t xml:space="preserve"> Buông cả hai tay; sử dụng xe để kéo, đẩy xe khác, vật khác; sử dụng chân chống hoặc vật khác quệt xuống đường khi xe đang chạy.</t>
  </si>
  <si>
    <t>Sử dụng xe để chở người hoặc hàng hóa; để chân chạm xuống đất khi khởi hành.</t>
  </si>
  <si>
    <t>Đội mũ bảo hiểm; chạy xe đúng tốc độ quy định và chấp hành đúng quy tắc giao thông đường bộ.</t>
  </si>
  <si>
    <t>Chở người ngồi sau dưới 16 tuổi.</t>
  </si>
  <si>
    <t>Câu 66. Người được chở trên xe mô tô hai bánh, xe mô tô ba bánh, xe gắn máy khi tham gia giao thông đường bộ không được thực hiện hành vi nào sau đây?</t>
  </si>
  <si>
    <t>Mang, vác vật cồng kềnh.</t>
  </si>
  <si>
    <t>Bám, kéo hoặc đẩy các phương tiện khác.</t>
  </si>
  <si>
    <t>Dùng tay cầm điện thoại hoặc các thiết bị điện tử khác.</t>
  </si>
  <si>
    <t xml:space="preserve"> Ý 1 và ý 2.</t>
  </si>
  <si>
    <t>Câu 67. Người được chở trên xe mô tô hai bánh, xe mô tô ba bánh, xe gắn máy khi tham gia giao thông đường bộ có được bám, kéo hoặc đẩy các phương tiện khác không?</t>
  </si>
  <si>
    <t>Được bám trong trường hợp phương tiện của mình bị hỏng.</t>
  </si>
  <si>
    <t>Được kéo, đẩy trong trường hợp phương tiện khác bị hỏng.</t>
  </si>
  <si>
    <t>Câu 68. Người lái xe, người được chở trên xe mô tô hai bánh, xe mô tô ba bánh, xe gắn máy phải thực hiện quy định nào dưới đây?</t>
  </si>
  <si>
    <t xml:space="preserve"> Đội mũ bảo hiểm theo đúng quy chuẩn kỹ thuật quốc gia và cài quai đúng quy cách.</t>
  </si>
  <si>
    <t>Người lái xe phải đội mũ bảo hiểm, người được chở trên xe không nhất thiết phải đội mũ bảo hiểm.</t>
  </si>
  <si>
    <t>Phải đội mũ bảo hiểm nhưng không nhất thiết phải cài quai.</t>
  </si>
  <si>
    <t>Câu 69. Người lái xe mô tô hai bánh, xe gắn máy được phép chở tối đa hai người trong những trường hợp nào?</t>
  </si>
  <si>
    <t xml:space="preserve"> Chở người bệnh đi cấp cứu; áp giải người có hành vi vi phạm pháp luật; trẻ em dưới 12 tuổi; người già yếu hoặc người khuyết tật.</t>
  </si>
  <si>
    <t>Người đã uống rượu, bia; người trong cơ thể có chất ma tuý.</t>
  </si>
  <si>
    <t>Câu 70. Người lái xe mô tô hai bánh, xe mô tô ba bánh, xe gắn máy không được thực hiện các hành vi nào dưới đây?</t>
  </si>
  <si>
    <t>Đi xe dàn hàng ngang; buông cả hai tay.</t>
  </si>
  <si>
    <t>Sử dụng xe để kéo, đẩy xe khác, vật khác, dẫn dắt vật nuôi, mang, vác và chở vật cồng kềnh; chở người đứng trên xe, giá đèo hàng hoặc ngồi trên tay lái; xếp hàng hóa trên xe quá giới hạn quy định.</t>
  </si>
  <si>
    <t>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t>
  </si>
  <si>
    <t>Câu 71. Người lái xe mô tô hai bánh, xe mô tô ba bánh, xe gắn máy không được thực hiện các hành vi nào sau đây?</t>
  </si>
  <si>
    <t>Đi xe dàn hàng ngang; đi xe vào phần đường dành cho người đi bộ và phương tiện khác.</t>
  </si>
  <si>
    <t>Sử dụng ô, thiết bị âm thanh, trừ thiết bị trợ thính.</t>
  </si>
  <si>
    <t>Câu 72. Người lái xe mô tô hai bánh, xe mô tô ba bánh, xe gắn máy không được thực hiện hành vi nào sau đây?</t>
  </si>
  <si>
    <t>Đi trên phần đường, làn đường quy định, chấp hành hiệu lệnh của người điều khiển giao thông, đèn tín hiệu giao thông.</t>
  </si>
  <si>
    <t xml:space="preserve"> Đi xe dàn hàng ngang, đi xe vào phần đường dành cho người đi bộ.</t>
  </si>
  <si>
    <t>Câu 73. Người được chở trên xe mô tô hai bánh, xe mô tô ba bánh, xe gắn máy khi tham gia giao thông đường bộ có được sử dụng ô khi trời mưa hay không?</t>
  </si>
  <si>
    <t>Được sử dụng.</t>
  </si>
  <si>
    <t>Chỉ người ngồi sau được sử dụng.</t>
  </si>
  <si>
    <t xml:space="preserve"> Không được sử dụng.</t>
  </si>
  <si>
    <t>Được sử dụng nếu không có áo mưa.</t>
  </si>
  <si>
    <t>Câu 74. Người được chở trên xe mô tô có được kéo theo người đang điều khiển xe đạp hay không?</t>
  </si>
  <si>
    <t>Chỉ được phép nếu cả hai đội mũ bảo hiểm.</t>
  </si>
  <si>
    <t>Chỉ được thực hiện trên đường vắng.</t>
  </si>
  <si>
    <t>Câu 75. Trường hợp người được chở trên xe mô tô, xe gắn máy, các loại xe tương tự xe mô tô và các loại xe tương tự xe gắn máy không đội "mũ bảo hiểm cho người đi mô tô, xe máy" hoặc không cài quai đúng quy cách (trừ trường hợp chở người bệnh đi cấp cứu, trẻ em dưới 06 tuổi, áp giải người có hành vi vi phạm pháp luật) thì việc xử phạt vi phạm hành chính được quy định như thế nào?</t>
  </si>
  <si>
    <t>Không bị xử phạt chỉ bị nhắc nhở.</t>
  </si>
  <si>
    <t>Người được chở không bị xử phạt, chỉ xử phạt người điều khiển xe mô tô, xe gắn máy.</t>
  </si>
  <si>
    <t>Người được chở bị xử phạt, không xử phạt người điều khiển xe mô tô, xe gắn máy.</t>
  </si>
  <si>
    <t xml:space="preserve"> Xử phạt cả người điều khiển và người được chở trên xe mô tô, xe gắn máy.</t>
  </si>
  <si>
    <t>Câu 76. Trong các trường hợp dưới đây, để bảo đảm an toàn khi tham gia giao thông, người lái xe mô tô cần thực hiện như thế nào?</t>
  </si>
  <si>
    <t xml:space="preserve"> Phải đội mũ bảo hiểm theo đúng quy chuẩn kỹ thuật quốc gia và cài quai đúng quy cách, không sử dụng ô, điện thoại di động, thiết bị âm thanh (trừ thiết bị trợ thính).</t>
  </si>
  <si>
    <t>Phải đội mũ bảo hiểm khi trời mưa gió hoặc trời quá nắng; có thể sử dụng ô, điện thoại di động, thiết bị âm thanh nhưng phải bảo đảm an toàn.</t>
  </si>
  <si>
    <t>Phải đội mũ bảo hiểm khi cảm thấy mất an toàn giao thông hoặc khi chuẩn bị di chuyển quãng đường xa.</t>
  </si>
  <si>
    <t>Câu 77. Thứ tự xuống phà như thế nào là đúng quy tắc giao thông?</t>
  </si>
  <si>
    <t>Xe thô sơ, người đi bộ xuống trước, xe cơ giới, xe máy chuyên dùng xuống sau.</t>
  </si>
  <si>
    <t xml:space="preserve"> Xe cơ giới, xe máy chuyên dùng xuống trước, xe thô sơ, người đi bộ xuống sau.</t>
  </si>
  <si>
    <t>Xe cơ giới, xe thô sơ xuống trước, xe máy chuyên dùng, người đi bộ xuống sau.</t>
  </si>
  <si>
    <t>Câu 78. Trên đường có nhiều làn đường cho xe đi cùng chiều được phân biệt bằng vạch kẻ phân làn đường, người điều khiển phương tiện tham gia giao thông đường bộ phải cho xe đi như thế nào?</t>
  </si>
  <si>
    <t>Cho xe đi trên bất kỳ làn đường nào hoặc giữa 02 làn đường nếu không có xe đi phía trước; khi cần thiết phải chuyển làn đường, người lái xe phải quan sát xe phía trước để bảo đảm an toàn.</t>
  </si>
  <si>
    <t>Phải cho xe đi trong một làn đường, chỉ được chuyển làn đường khi vượt xe phía trước cùng làn đường.</t>
  </si>
  <si>
    <t>Câu 79. Trên đường một chiều có vạch kẻ phân làn đường, xe thô sơ và xe cơ giới phải đi như thế nào là đúng quy tắc giao thông?</t>
  </si>
  <si>
    <t>Xe thô sơ phải đi trên làn đường bên trái, xe cơ giới, xe máy chuyên dùng đi trên làn đường bên phải trong cùng.</t>
  </si>
  <si>
    <t xml:space="preserve"> Xe thô sơ phải đi trên làn đường bên phải trong cùng, xe cơ giới, xe máy chuyên dùng đi trên làn đường bên trái.</t>
  </si>
  <si>
    <t>Xe thô sơ phải đi trên làn đường bên phải trong cùng, xe cơ giới, xe máy chuyên dùng được đi trên tất cả các làn đường.</t>
  </si>
  <si>
    <t>Câu 80. Khi lái xe trong đô thị và khu đông dân cư trong thời gian từ 22 giờ ngày hôm trước đến 05 giờ ngày hôm sau, nếu cần vượt một xe khác, người lái xe phải báo hiệu như thế nào là đúng quy tắc giao thông?</t>
  </si>
  <si>
    <t>Chỉ được báo hiệu bằng còi.</t>
  </si>
  <si>
    <t>Phải báo hiệu bằng cả còi và đèn.</t>
  </si>
  <si>
    <t xml:space="preserve"> Chỉ được báo hiệu bằng đèn.</t>
  </si>
  <si>
    <t>Câu 81. Khi điều khiển xe chạy trên đường, biết có xe sau xin vượt, nếu đủ điều kiện an toàn người điều khiển phương tiện phải làm gì?</t>
  </si>
  <si>
    <t>Tăng tốc độ và ra hiệu cho xe sau vượt, không được gây trở ngại cho xe xin vượt.</t>
  </si>
  <si>
    <t xml:space="preserve">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t>
  </si>
  <si>
    <t>Cho xe đi sát về bên trái của phần đường xe chạy và ra hiệu cho xe sau vượt, không được gây trở ngại cho xe xin vượt.</t>
  </si>
  <si>
    <t>Câu 82. Khi điều khiển xe chạy trên đường, biết có xe sau xin vượt, nếu không đủ điều kiện an toàn người điều khiển phương tiện phải làm gì?</t>
  </si>
  <si>
    <t xml:space="preserve"> Có tín hiệu rẽ trái để báo hiệu cho người điều khiển phương tiện tham gia giao thông đường bộ phía sau biết là chưa được vượt.</t>
  </si>
  <si>
    <t>Tiếp tục đi cho đến khi đủ điều kiện an toàn, nếu xe sau vẫn xin vượt thì báo hiệu cho xe sau vượt.</t>
  </si>
  <si>
    <t>Tăng tốc độ để báo hiệu cho xe xin vượt biết là chưa được vượt.</t>
  </si>
  <si>
    <t>Câu 83. Khi chuyển hướng, người lái xe, người điều khiển xe máy chuyên dùng phải làm gì để bảo đảm an toàn?</t>
  </si>
  <si>
    <t xml:space="preserve"> Phải nhường đường cho người đi bộ, xe thô sơ, xe đi ngược chiều và chỉ chuyển hướng khi không gây trở ngại hoặc nguy hiểm cho người, phương tiện khác.</t>
  </si>
  <si>
    <t>Nhanh chóng chuyển hướng để không gây trở ngại hoặc nguy hiểm cho người, phương tiện khác.</t>
  </si>
  <si>
    <t>Ra tín hiệu chuyển hướng để yêu cầu các phương tiện khác dừng lại cho xe chuyển hướng di chuyển.</t>
  </si>
  <si>
    <t>Câu 84. Trước khi chuyển hướng, người điều khiển phương tiện tham gia giao thông đường bộ phải thực hiện như thế nào để bảo đảm an toàn?</t>
  </si>
  <si>
    <t>Quan sát gương, nếu không có phương tiện gần hướng rẽ thì nhanh chóng chuyển hướng.</t>
  </si>
  <si>
    <t xml:space="preserve">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t>
  </si>
  <si>
    <t>Quan sát gương, tăng tốc độ, ra tín hiệu và chuyển hướng.</t>
  </si>
  <si>
    <t>Câu 85. Khi lùi xe, người điều khiển phương tiện tham gia giao thông đường bộ phải làm gì để bảo đảm an toàn?</t>
  </si>
  <si>
    <t>Quan sát phía sau và cho lùi xe ở tốc độ chậm.</t>
  </si>
  <si>
    <t>Có tín hiệu báo lùi, nếu phía sau không có người hoặc phương tiện khác thì nhanh chóng lùi để bảo đảm an toàn.</t>
  </si>
  <si>
    <t xml:space="preserve"> Phải quan sát hai bên và phía sau xe, có tín hiệu lùi và chỉ lùi xe khi bảo đảm an toàn.</t>
  </si>
  <si>
    <t>Câu 86. Khi muốn lùi xe ở nơi có tầm nhìn bị che khuất, người lái xe phải xử lý như thế nào để đảm bảo an toàn?</t>
  </si>
  <si>
    <t>Phải lùi thật chậm.</t>
  </si>
  <si>
    <t>Bấm còi 3 lần liên tiếp trước khi lùi.</t>
  </si>
  <si>
    <t xml:space="preserve"> Không được lùi xe.</t>
  </si>
  <si>
    <t>Câu 87. Trên đường không phân chia thành hai chiều xe chạy riêng biệt, người điều khiển phương tiện tham gia giao thông đường bộ phải tránh xe đi ngược chiều như thế nào để bảo đảm an toàn?</t>
  </si>
  <si>
    <t xml:space="preserve"> Giảm tốc độ và cho xe đi về bên phải theo chiều xe chạy của mình.</t>
  </si>
  <si>
    <t>Một trong hai xe phải dừng lại cho xe kia đi qua mới được đi.</t>
  </si>
  <si>
    <t>Tăng tốc độ, cho xe đi về bên phải theo chiều xe chạy của mình để nhanh chóng vượt qua.</t>
  </si>
  <si>
    <t>Câu 88. Khi tránh xe đi ngược chiều, các xe phải nhường đường như thế nào là đúng quy tắc giao thông?</t>
  </si>
  <si>
    <t>Nơi đường hẹp chỉ đủ cho một xe chạy và có chỗ tránh xe thì xe nào ở gần chỗ tránh hơn phải vào vị trí tránh, nhường đường cho xe đi ngược chiều.</t>
  </si>
  <si>
    <t>Xe xuống dốc phải nhường đường cho xe lên dốc.</t>
  </si>
  <si>
    <t>Xe có chướng ngại vật phía trước phải nhường đường cho xe không có chướng ngại vật phía trước.</t>
  </si>
  <si>
    <t>Câu 89. Khi đang lái xe xuống dốc gặp một xe đang đi lên dốc, người lái xe phải làm gì?</t>
  </si>
  <si>
    <t>Tiếp tục đi và phát tín hiệu cho xe lên dốc nhường đường cho xe bạn.</t>
  </si>
  <si>
    <t xml:space="preserve"> Nhường đường cho xe lên dốc.</t>
  </si>
  <si>
    <t>Chỉ nhường đường khi xe lên dốc nháy đèn.</t>
  </si>
  <si>
    <t>Câu 90. Người lái xe phải làm gì để bảo đảm an toàn khi lái xe trên đường cong có tầm nhìn bị hạn chế?</t>
  </si>
  <si>
    <t xml:space="preserve"> Quan sát, giảm tốc độ hoặc dừng lại để bảo đảm an toàn.</t>
  </si>
  <si>
    <t>Đi sang làn đường của xe ngược chiều để mở rộng tầm nhìn và vượt xe khác.</t>
  </si>
  <si>
    <t>Cho xe đi sát bên phải làn đường, bật tín hiệu báo hiệu để vượt bên phải xe khác.</t>
  </si>
  <si>
    <t>Câu 91. Tại nơi đường giao nhau, người lái xe đang đi trên đường không ưu tiên, đường nhánh phải nhường đường như thế nào là đúng quy tắc giao thông?</t>
  </si>
  <si>
    <t>Nhường đường cho xe đi ở bên phải mình tới.</t>
  </si>
  <si>
    <t>Nhường đường cho xe đi ở bên trái mình tới.</t>
  </si>
  <si>
    <t xml:space="preserve"> Nhường đường cho xe đi trên đường ưu tiên hoặc đường chính từ bất kỳ hướng nào tới.</t>
  </si>
  <si>
    <t>Câu 92. Tại nơi đường giao nhau có báo hiệu đi theo vòng xuyến, người lái xe phải nhường đường như thế nào là đúng quy tắc giao thông?</t>
  </si>
  <si>
    <t>Nhường đường cho xe đi đến từ bên phải.</t>
  </si>
  <si>
    <t xml:space="preserve"> Nhường đường cho xe đi đến từ bên trái.</t>
  </si>
  <si>
    <t>Không phải nhường đường.</t>
  </si>
  <si>
    <t>Câu 93. Tại nơi đường giao nhau không có báo hiệu đi theo vòng xuyến, người điều khiển phương tiện phải nhường đường như thế nào là đúng quy tắc giao thông?</t>
  </si>
  <si>
    <t xml:space="preserve"> Phải nhường đường cho xe đi đến từ bên phải.</t>
  </si>
  <si>
    <t>Xe báo hiệu xin đường trước, xe đó được đi trước.</t>
  </si>
  <si>
    <t>Phải nhường đường cho xe đi đến từ bên trái.</t>
  </si>
  <si>
    <t>Câu 94. Người lái xe phải nhanh chóng giảm tốc độ, đi sát lề đường bên phải hoặc dừng lại để nhường đường cho các loại xe nào dưới đây?</t>
  </si>
  <si>
    <t>Xe chữa cháy của Cảnh sát phòng cháy, chữa cháy và cứu nạn, cứu hộ và xe chữa cháy của các lực lượng khác; xe của lực lượng quân sự, công an và kiểm sát; đoàn xe có xe Cảnh sát giao thông dẫn đường; xe cứu thương; xe hộ đê không có tín hiệu ưu tiên theo quy định.</t>
  </si>
  <si>
    <t xml:space="preserve"> Xe ưu tiên gồm xe chữa cháy của Cảnh sát phòng cháy, chữa cháy và cứu nạn, cứu hộ và xe chữa cháy của các lực lượng khác được huy động đi làm nhiệm vụ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theo quy định của pháp luật; đoàn xe tang.</t>
  </si>
  <si>
    <t>Xe ô tô, xe máy, đoàn xe đang diễu hành có tổ chức có báo tín hiệu xin vượt bằng còi và đèn.</t>
  </si>
  <si>
    <t>Câu 95. Xe ưu tiên (trừ đoàn xe tang) tham gia giao thông đường bộ khi đi làm nhiệm vụ được quyền ưu tiên nào dưới đây?</t>
  </si>
  <si>
    <t>Không bị hạn chế tốc độ.</t>
  </si>
  <si>
    <t>Được phép đi không phụ thuộc vào tín hiệu đèn giao thông, đi vào đường ngược chiều, các đường khác có thể đi được.</t>
  </si>
  <si>
    <t>Được đi ngược chiều trên làn dừng xe khẩn cấp trên đường cao tốc.</t>
  </si>
  <si>
    <t>Câu 96. Khi có tín hiệu của xe ưu tiên, người và phương tiện tham gia giao thông đường bộ phải tuân thủ quy định nào dưới đây?</t>
  </si>
  <si>
    <t xml:space="preserve"> Giảm tốc độ, đi sát lề đường bên phải hoặc dừng lại để nhường đường.</t>
  </si>
  <si>
    <t>Tăng tốc độ và đi sát lề đường bên phải để nhường đường.</t>
  </si>
  <si>
    <t>Giảm tốc độ, đi sát lề đường bên trái để nhường đường.</t>
  </si>
  <si>
    <t>Câu 97. Khi đang lái xe, phía trước có một xe Cảnh sát giao thông không phát tín hiệu ưu tiên, người lái xe có được phép vượt hay không?</t>
  </si>
  <si>
    <t>Không được vượt.</t>
  </si>
  <si>
    <t>Được phép vượt ở phần đường dành cho người đi bộ qua đường.</t>
  </si>
  <si>
    <t xml:space="preserve"> Được vượt khi bảo đảm an toàn.</t>
  </si>
  <si>
    <t>Câu 98. Khi đang lái xe, phía trước có một xe cứu thương đang phát tín hiệu ưu tiên, người lái xe có được phép vượt hay không?</t>
  </si>
  <si>
    <t xml:space="preserve"> Không được vượt.</t>
  </si>
  <si>
    <t>Được vượt khi đang đi trên cầu.</t>
  </si>
  <si>
    <t>Được phép vượt khi đi qua nơi giao nhau có ít phương tiện cùng tham gia giao thông.</t>
  </si>
  <si>
    <t>Được vượt khi bảo đảm an toàn.</t>
  </si>
  <si>
    <t>Câu 99. Khi tới đường ngang không có người gác, chắn đường bộ, chuông, đèn tín hiệu, người tham gia giao thông đường bộ phải làm gì để bảo đảm an toàn?</t>
  </si>
  <si>
    <t xml:space="preserve"> Dừng lại về bên phải đường của mình, trước vạch dừng xe và quan sát hai phía, khi không có phương tiện giao thông đường sắt tới mới được đi qua.</t>
  </si>
  <si>
    <t>Quan sát hai phía, khi không có phương tiện giao thông đường sắt tới thì nhanh chóng đi qua.</t>
  </si>
  <si>
    <t>Dừng lại khoảng cách tối thiểu 3 mét tính từ ray đường sắt gần nhất, khi không có phương tiện giao thông đường sắt tới thì nhanh chóng đi qua.</t>
  </si>
  <si>
    <t>Câu 100. Tại đường ngang, cầu chung đường sắt, khi có hiệu lệnh của nhân viên gác chắn, đèn đỏ sáng nhấp nháy, chuông kêu, chắn đường bộ đang dịch chuyển hoặc đã đóng, người tham gia giao thông đường bộ phải làm gì để bảo đảm an toàn?</t>
  </si>
  <si>
    <t>Dừng lại về bên trái đường của mình, trước vạch dừng xe.</t>
  </si>
  <si>
    <t>Dừng lại giữa đường của mình, trước vạch dừng xe.</t>
  </si>
  <si>
    <t xml:space="preserve"> Dừng lại về bên phải đường của mình, trước vạch dừng xe.</t>
  </si>
  <si>
    <t>Câu 101. Khi xe ô tô bị hư hỏng, bị tai nạn trên đường ngang, cầu chung đường sắt mà không thể di chuyển ngay khỏi phạm vi an toàn đường sắt, người lái xe và người có mặt xử lý như thế nào là đúng quy định?</t>
  </si>
  <si>
    <t xml:space="preserve"> Người lái xe và người có mặt phải ngay lập tức báo hiệu để dừng tàu, thực hiện các biện pháp bảo đảm an toàn.</t>
  </si>
  <si>
    <t>Để xe lại, tìm cách báo cho người quản lý đường sắt, nhà ga nơi gần nhất.</t>
  </si>
  <si>
    <t>Không di chuyển phương tiện, tự khắc phục sửa chữa.</t>
  </si>
  <si>
    <t>Câu 102. Người tham gia giao thông đường bộ phải dừng lại về bên phải đường của mình trước vạch dừng xe tại đường ngang, cầu chung đường sắt khi có báo hiệu nào dưới đây?</t>
  </si>
  <si>
    <t>Hiệu lệnh của nhân viên gác chắn.</t>
  </si>
  <si>
    <t>Đèn đỏ sáng nhấp nháy, chuông kêu.</t>
  </si>
  <si>
    <t>Chắn đường bộ đang dịch chuyển hoặc đã đóng.</t>
  </si>
  <si>
    <t>Câu 103. Người điều khiển phương tiện tham gia giao thông trong hầm đường bộ ngoài việc phải tuân thủ các quy tắc giao thông còn phải thực hiện những quy định nào dưới đây?</t>
  </si>
  <si>
    <t xml:space="preserve"> Xe cơ giới, xe máy chuyên dùng phải bật đèn chiếu gần; xe thô sơ phải bật đèn hoặc có vật phát sáng báo hiệu; không dừng xe, đỗ xe trong hầm đường bộ; trường hợp gặp sự cố kỹ thuật hoặc bất khả kháng khác buộc phải dừng xe, đỗ xe, người lái xe, người điều khiển xe máy chuyên dùng phải đưa xe vào vị trí dừng xe, đỗ xe khẩn cấp, nếu không di chuyển được, phải có báo hiệu bằng đèn khẩn cấp và đặt biển hoặc đèn cảnh báo về phía sau xe khoảng cách bảo đảm an toàn.</t>
  </si>
  <si>
    <t>Xe cơ giới, xe máy chuyên dùng phải bật đèn chiếu xa; được dừng xe, đỗ xe khi cần thiết.</t>
  </si>
  <si>
    <t>Phải cho xe chạy trên một làn đường và chỉ chuyển làn ở nơi được phép; được quay đầu xe, lùi xe khi cần thiết.</t>
  </si>
  <si>
    <t>Câu 104. Việc nối giữa xe kéo với xe được kéo trong trường hợp hệ thống hãm của xe được kéo không còn hiệu lực thì xe kéo nhau phải nối bằng cách nào?</t>
  </si>
  <si>
    <t>Nối bằng dây cáp có độ dài 6 mét.</t>
  </si>
  <si>
    <t>Nối bằng dây cáp có độ dài 8 mét.</t>
  </si>
  <si>
    <t xml:space="preserve"> Nối bằng thanh nối cứng.</t>
  </si>
  <si>
    <t>Câu 105. Xe kéo rơ moóc, xe ô tô đầu kéo khi tham gia giao thông đường bộ phải tuân thủ quy tắc giao thông nào ghi ở dưới đây?</t>
  </si>
  <si>
    <t xml:space="preserve"> Chỉ được kéo rơ moóc, sơ mi rơ moóc phù hợp với thiết kế của xe; việc kết nối xe kéo với rơ moóc, xe ô tô đầu kéo với sơ mi rơ moóc phải bảo đảm chắc chắn, an toàn.</t>
  </si>
  <si>
    <t>Phải có tổng trọng lượng tương đương tổng trọng lượng của rơ moóc hoặc phải có hệ thống hãm có hiệu lực cho rơ moóc.</t>
  </si>
  <si>
    <t>Phải được lắp phanh phụ theo quy định để đảm bảo an toàn.</t>
  </si>
  <si>
    <t>Câu 106. Luật Trật tự, an toàn giao thông đường bộ quy định về xe kéo xe, xe kéo rơ moóc và xe ô tô đầu kéo kéo sơ mi rơ moóc như thế nào dưới đây?</t>
  </si>
  <si>
    <t>Một xe ô tô được kéo theo nhiều xe ô tô hoặc xe máy chuyên dùng khác khi xe được kéo không tự chạy được (trừ trường hợp xe vận chuyển hàng siêu trường, siêu trọng).</t>
  </si>
  <si>
    <t xml:space="preserve"> 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t>
  </si>
  <si>
    <t>Câu 107. Người điều khiển phương tiện tham gia giao thông đường bộ phải quan sát, giảm tốc độ hoặc dừng lại để bảo đảm an toàn trong các trường hợp nào dưới đây?</t>
  </si>
  <si>
    <t>Có báo hiệu cảnh báo nguy hiểm hoặc có chướng ngại vật trên đường; chuyển hướng xe chạy hoặc tầm nhìn bị hạn chế.</t>
  </si>
  <si>
    <t>Nơi cầu, cống hẹp, đập tràn, đường ngầm, hầm chui, hầm đường bộ; có vật nuôi đi trên đường hoặc chăn thả ở ven đường.</t>
  </si>
  <si>
    <t>Điểm dừng xe, đỗ xe trên đường bộ có khách đang lên, xuống xe.</t>
  </si>
  <si>
    <t>Câu 108. Trên đường mà mỗi chiều đường xe chạy chỉ có một làn đường dành cho xe cơ giới, người lái xe không được vượt xe khác trong trường hợp nào dưới đây?</t>
  </si>
  <si>
    <t xml:space="preserve"> Có chướng ngại vật phía trước, xe chạy phía trước có tín hiệu vượt xe khác.</t>
  </si>
  <si>
    <t>Xe chạy phía trước đã có tín hiệu rẽ phải và tránh về bên phải.</t>
  </si>
  <si>
    <t>Câu 109. Người lái xe được phép vượt xe khác về bên phải trong trường hợp nào dưới đây?</t>
  </si>
  <si>
    <t xml:space="preserve"> Xe phía trước có tín hiệu rẽ trái hoặc đang rẽ trái hoặc khi xe chuyên dùng đang làm việc trên đường mà không thể vượt bên trái.</t>
  </si>
  <si>
    <t>Xe phía trước đang đi sát lề đường bên trái.</t>
  </si>
  <si>
    <t>Câu 110. Khi có xe xin vượt, người lái xe mô tô xử lý như thế nào nếu đủ điều kiện an toàn cho xe phía sau vượt?</t>
  </si>
  <si>
    <t>Lái xe vào lề đường bên trái và giảm tốc độ để xe phía sau vượt qua, không được gây trở ngại đối với xe xin vượt.</t>
  </si>
  <si>
    <t>Tăng tốc độ, đi sát về bên phải của phần đường xe chạy cho đến khi xe sau đã vượt qua.</t>
  </si>
  <si>
    <t>Câu 111. Những trường hợp nào dưới đây không được đi trên đường cao tốc, trừ người, phương tiện giao thông đường bộ và thiết bị phục vụ việc quản lý, bảo trì đường cao tốc?</t>
  </si>
  <si>
    <t xml:space="preserve">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t>
  </si>
  <si>
    <t>Xe máy chuyên dùng có tốc độ thiết kế lớn hơn tốc độ tối thiểu quy định đối với đường cao tốc.</t>
  </si>
  <si>
    <t>Xe ô tô và xe máy chuyên dùng có tốc độ thiết kế lớn hơn 80 km/h.</t>
  </si>
  <si>
    <t>Câu 112. Khi tham gia giao thông trên đường cao tốc, xe ưu tiên đi làm nhiệm vụ khẩn cấp được đi ngược chiều trong trường hợp nào dưới đây?</t>
  </si>
  <si>
    <t>Được đi ngược chiều bất cứ làn đường nào của đường cao tốc có thể đi được.</t>
  </si>
  <si>
    <t xml:space="preserve"> Chỉ được đi ngược chiều trên làn dừng xe khẩn cấp.</t>
  </si>
  <si>
    <t>Chỉ được đi ngược chiều trên làn đường sát dải phân cách của đường cao tốc.</t>
  </si>
  <si>
    <t>Câu 113. Khi tham gia giao thông trên đường cao tốc, người lái xe không được thực hiện hành vi nào sau đây?</t>
  </si>
  <si>
    <t>Dừng, đỗ xe trên phần đường xe chạy, trừ trường hợp xe không thể di chuyển được vào làn đường khẩn cấp.</t>
  </si>
  <si>
    <t>Lùi xe, quay đầu xe.</t>
  </si>
  <si>
    <t>Câu 114. Khi xe gặp sự cố kỹ thuật trên đường cao tốc, bạn phải xử lý như thế nào để bảo đảm an toàn giao thông?</t>
  </si>
  <si>
    <t>Bật đèn tín hiệu khẩn cấp, dừng xe ngay lập tức và đặt biển báo hiệu nguy hiểm để cảnh báo cho các xe khác.</t>
  </si>
  <si>
    <t>Bật tín hiệu khẩn cấp, lập tức đưa xe vào làn đường xe chạy bên phải trong cùng, đặt biển báo hiệu nguy hiểm để cảnh báo cho các xe khác.</t>
  </si>
  <si>
    <t xml:space="preserve">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t>
  </si>
  <si>
    <t>Câu 115. Trên đường cao tốc, người lái xe xử lý như thế nào khi đã vượt quá lối ra của đường định rẽ?</t>
  </si>
  <si>
    <t>Quay đầu xe, chạy trên lề đường có lối ra và rẽ khỏi đường cao tốc.</t>
  </si>
  <si>
    <t>Lùi xe trên lề đường có lối ra và rẽ khỏi đường cao tốc.</t>
  </si>
  <si>
    <t xml:space="preserve"> Tiếp tục lái xe và rẽ ở lối ra tiếp theo.</t>
  </si>
  <si>
    <t>Câu 116. Khi xảy ra ùn tắc trên đường cao tốc có làn dừng xe khẩn cấp, người lái xe có được cho xe chạy ở làn dừng xe khẩn cấp để nhanh chóng thoát khỏi khu vực ùn tắc không (trừ xe ưu tiên)?</t>
  </si>
  <si>
    <t>Có.</t>
  </si>
  <si>
    <t xml:space="preserve"> Không.</t>
  </si>
  <si>
    <t>Câu 117. Khi chuẩn bị nhập vào làn đường của đường cao tốc, người lái xe, người điều khiển xe máy chuyên dùng phải thực hiện như thế nào là đúng quy tắc giao thông?</t>
  </si>
  <si>
    <t>Có tín hiệu xin vào và phải nhường đường cho xe đang chạy trên đường.</t>
  </si>
  <si>
    <t>Quan sát xe phía sau bảo đảm khoảng cách an toàn mới cho xe nhập vào làn đường sát bên phải.</t>
  </si>
  <si>
    <t>Nếu có làn đường tăng tốc thì phải cho xe chạy trên làn đường đó trước khi nhập vào làn đường của đường cao tốc.</t>
  </si>
  <si>
    <t>Câu 118. 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</si>
  <si>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 xml:space="preserve"> 18 tuổi.</t>
  </si>
  <si>
    <t>17 tuổi.</t>
  </si>
  <si>
    <t>16 tuổi.</t>
  </si>
  <si>
    <t>Câu 119. Theo quy định về độ tuổi, người đủ bao nhiêu tuổi trở lên thì được cấp giấy phép lái xe mô tô hai bánh có dung tích xi lanh đến 125 cm3 và xe ô tô chở người đến 8 chỗ (không kể chỗ của người lái xe); xe ô tô tải và ô tô chuyên dùng có khối lượng toàn bộ theo thiết kế đến 3.500 kg?</t>
  </si>
  <si>
    <t>17 tuổi</t>
  </si>
  <si>
    <t>Câu 120. 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t>
  </si>
  <si>
    <t>23 tuổi.</t>
  </si>
  <si>
    <t>24 tuổi.</t>
  </si>
  <si>
    <t xml:space="preserve"> 27 tuổi.</t>
  </si>
  <si>
    <t>30 tuổi.</t>
  </si>
  <si>
    <t>Câu 121. Tuổi tối đa của người lái xe ô tô chở người (kể cả xe buýt) trên 29 chỗ (không kể chỗ của người lái xe), xe ô tô chở người giường nằm là bao nhiêu tuổi?</t>
  </si>
  <si>
    <t>Đủ 55 tuổi đối với nam và đủ 50 tuổi đối với nữ.</t>
  </si>
  <si>
    <t>Đủ 55 tuổi đối với nam và nữ.</t>
  </si>
  <si>
    <t xml:space="preserve"> Đủ 57 tuổi đối với nam và đủ 55 tuổi đối với nữ.</t>
  </si>
  <si>
    <t>Câu 122. Theo quy định về độ tuổi, người lái 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 phải đủ bao nhiêu tuổi trở lên?</t>
  </si>
  <si>
    <t xml:space="preserve"> 24 tuổi.</t>
  </si>
  <si>
    <t>22 tuổi.</t>
  </si>
  <si>
    <t>Câu 123. Người đủ 16 tuổi đến dưới 18 tuổi chỉ được điều khiển các loại xe nào dưới đây?</t>
  </si>
  <si>
    <t>Xe mô tô hai bánh có dung tích xi-lanh đến 125 cm3.</t>
  </si>
  <si>
    <t xml:space="preserve"> Xe gắn máy.</t>
  </si>
  <si>
    <t>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t>
  </si>
  <si>
    <t>Câu 124. Người có Giấy phép lái xe mô tô hạng A1 không được phép điều khiển loại xe nào dưới đây?</t>
  </si>
  <si>
    <t>Xe mô tô hai bánh có dung tích xi-lanh 125 cm3 hoặc có công suất động cơ điện đến 11 kW.</t>
  </si>
  <si>
    <t xml:space="preserve"> Xe mô tô ba bánh.</t>
  </si>
  <si>
    <t>Câu 125. Người có Giấy phép lái xe mô tô hạng A1 được cấp sau ngày 01/01/2025 được phép điều khiển loại xe nào dưới đây?</t>
  </si>
  <si>
    <t>Xe mô tô hai bánh có dung tích xi-lanh đến 125 cm3 hoặc có công suất động cơ điện đến 11 kW.</t>
  </si>
  <si>
    <t>Xe mô tô ba bánh.</t>
  </si>
  <si>
    <t>Câu 126. Người có Giấy phép lái xe mô tô hạng A được phép điều khiển loại xe nào dưới đây?</t>
  </si>
  <si>
    <t>Xe mô tô hai bánh có dung tích xi-lanh trên 125 cm3 hoặc có công suất động cơ điện trên 11 kW.</t>
  </si>
  <si>
    <t>Câu 127. Người có Giấy phép lái xe ô tô hạng B được phép điều khiển loại xe nào dưới đây?</t>
  </si>
  <si>
    <t>Xe ô tô chở người đến 08 chỗ (không kể chỗ của người lái xe).</t>
  </si>
  <si>
    <t>Xe ô tô tải và ô tô chuyên dùng có khối lượng toàn bộ theo thiết kế đến 3.500 kg.</t>
  </si>
  <si>
    <t>Câu 128. Người có Giấy phép lái xe hạng C1 được điều khiển loại xe nào dưới đây?</t>
  </si>
  <si>
    <t>Xe ô tô tải và ô tô chuyên dùng có khối lượng toàn bộ theo thiết kế trên 7.500 kg; các loại xe ô tô tải quy định cho giấy phép lái xe hạng C1 kéo rơ moóc có khối lượng toàn bộ theo thiết kế đến 750 kg.</t>
  </si>
  <si>
    <t xml:space="preserve"> 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</si>
  <si>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Câu 129. Người có Giấy phép lái xe hạng C được điều khiển loại xe nào dưới đây?</t>
  </si>
  <si>
    <t>Xe ô tô tải và ô tô chuyên dùng có khối lượng toàn bộ theo thiết kế trên 3.500 kg đến 7.500 kg; các loại xe ô tô tải quy định cho giấy phép lái xe hạng C1 kéo rơ moóc có khối lượng toàn bộ theo thiết kế đến 750 kg.</t>
  </si>
  <si>
    <t>Xe ô tô tải và ô tô chuyên dùng có khối lượng toàn bộ theo thiết kế trên 7.500 kg; các loại xe ô tô tải quy định cho giấy phép lái xe hạng C kéo rơ moóc có khối lượng toàn bộ theo thiết kế đến 750 kg.</t>
  </si>
  <si>
    <t>Câu 130. Người có Giấy phép lái xe hạng D1 được điều khiển loại xe nào dưới đây?</t>
  </si>
  <si>
    <t>Xe ô tô chở người (kể cả xe buýt) trên 16 chỗ (không kể chỗ của người lái xe) đến 29 chỗ (không kể chỗ của người lái xe); các loại xe ô tô chở người quy định cho giấy phép lái xe hạng D1 kéo rơ moóc có khối lượng toàn bộ theo thiết kế đến 750 kg.</t>
  </si>
  <si>
    <t xml:space="preserve">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t>
  </si>
  <si>
    <t>Câu 131. Người có Giấy phép lái xe hạng D2 được điều khiển loại xe nào dưới đây?</t>
  </si>
  <si>
    <t>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t>
  </si>
  <si>
    <t>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t>
  </si>
  <si>
    <t>Câu 132. Người có Giấy phép lái xe hạng D được điều khiển loại xe nào dưới đây?</t>
  </si>
  <si>
    <t>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t>
  </si>
  <si>
    <t>Xe ô tô chở người (kể cả xe buýt) trên 16 chỗ (không kể chỗ của người lái xe) đến 29 chỗ (không kể chỗ của người lái xe).</t>
  </si>
  <si>
    <t>Các loại xe ô tô quy định cho giấy phép lái xe hạng C kéo rơ moóc có khối lượng toàn bộ theo thiết kế trên 750 kg; xe ô tô đầu kéo kéo sơ mi rơ moóc.</t>
  </si>
  <si>
    <t>Câu 133. Người có Giấy phép lái xe hạng BE được điều khiển loại xe nào dưới đây?</t>
  </si>
  <si>
    <t>Xe ô tô chở người (kể cả xe buýt) trên 29 chỗ (không kể chỗ của người lái xe); xe ô tô chở người giường nằm.</t>
  </si>
  <si>
    <t xml:space="preserve"> Các loại xe ô tô quy định cho giấy phép lái xe hạng B kéo rơ moóc có khối lượng toàn bộ theo thiết kế trên 750 kg.</t>
  </si>
  <si>
    <t>Câu 134. Người có Giấy phép lái xe hạng CE được điều khiển loại xe nào dưới đây?</t>
  </si>
  <si>
    <t xml:space="preserve"> Các loại xe ô tô quy định cho giấy phép lái xe hạng C kéo rơ moóc có khối lượng toàn bộ theo thiết kế trên 750 kg; xe ô tô đầu kéo kéo sơ mi rơ moóc.</t>
  </si>
  <si>
    <t>Các loại xe ô tô quy định cho giấy phép lái xe hạng D1 kéo rơ moóc có khối lượng toàn bộ theo thiết kế trên 750 kg.</t>
  </si>
  <si>
    <t>Câu 135. Người có Giấy phép lái xe hạng DE được điều khiển loại xe nào dưới đây?</t>
  </si>
  <si>
    <t xml:space="preserve"> Các loại xe ô tô quy định cho giấy phép lái xe hạng D kéo rơ moóc có khối lượng toàn bộ theo thiết kế trên 750 kg; xe ô tô chở khách nối toa.</t>
  </si>
  <si>
    <t>Câu 136. Người tập lái xe ô tô khi tham gia giao thông đường bộ phải bảo đảm các điều kiện nào dưới đây?</t>
  </si>
  <si>
    <t xml:space="preserve"> Phải thực hành trên xe tập lái, trên tuyến đường tập lái và có giáo viên dạy lái bảo trợ tay lái.</t>
  </si>
  <si>
    <t>Phải mang theo giấy phép xe tập lái.</t>
  </si>
  <si>
    <t>Câu 137. Người lái xe khi tham gia giao thông đường bộ phải đảm bảo các điều kiện nào dưới đây?</t>
  </si>
  <si>
    <t xml:space="preserve"> Phải đủ tuổi, sức khỏe theo quy định của pháp luật; có giấy phép lái xe đang còn điểm, còn hiệu lực phù hợp với loại xe đang điều khiển do cơ quan có thẩm quyền cấp (trừ người lái xe gắn máy).</t>
  </si>
  <si>
    <t>Phải là người đứng tên trong đăng ký xe.</t>
  </si>
  <si>
    <t>Câu 138. Khi tham gia giao thông đường bộ, người lái xe phải mang theo các giấy tờ gì?</t>
  </si>
  <si>
    <t>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t>
  </si>
  <si>
    <t>Giấy phép lái xe phù hợp với loại xe đang điều khiển; chứng nhận kiểm định an toàn kỹ thuật và bảo vệ môi trường đối với xe cơ giới theo quy định của pháp luật; chứng nhận bảo hiểm bắt buộc trách nhiệm dân sự của chủ xe cơ giới.</t>
  </si>
  <si>
    <t>Trường hợp các giấy tờ nêu trên đã được tích hợp vào tài khoản định danh điện tử thì việc xuất trình, kiểm tra có thể thực hiện thông qua tài khoản định danh điện tử.</t>
  </si>
  <si>
    <t>Câu 139. Giấy phép lái xe bị thu hồi trong các trường hợp nào sau đây?</t>
  </si>
  <si>
    <t>Người được cấp giấy phép lái xe không đủ điều kiện sức khỏe theo kết luận của cơ sở khám bệnh, chữa bệnh đối với từng hạng giấy phép lái xe.</t>
  </si>
  <si>
    <t>Giấy phép lái xe được cấp sai quy định.</t>
  </si>
  <si>
    <t>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t>
  </si>
  <si>
    <t>Câu 140. Người có giấy phép lái xe chưa bị trừ hết 12 điểm, được phục hồi điểm giấy phép lái xe trong trường hợp nào sau đây?</t>
  </si>
  <si>
    <t>Không được phục hồi.</t>
  </si>
  <si>
    <t xml:space="preserve"> Được phục hồi đủ 12 điểm, nếu không bị trừ điểm trong thời hạn 12 tháng từ ngày bị trừ điểm gần nhất.</t>
  </si>
  <si>
    <t>Câu 141. Người có giấy phép lái xe đã bị trừ hết điểm phải làm gì để phục hồi điểm giấy phép lái xe?</t>
  </si>
  <si>
    <t>Không vi phạm pháp luật trật tự, an toàn giao thông đường bộ trong thời gian 12 tháng kể từ ngày bị trừ hết điểm.</t>
  </si>
  <si>
    <t xml:space="preserve"> Sau thời hạn ít nhất là 06 tháng kể từ ngày bị trừ hết điểm, người có phép lái xe được tham gia kiểm tra nội dung kiến thức pháp luật về trật tự, an toàn giao thông đường bộ theo quy định, có kết quả đạt yêu cầu thì được phục hồi đủ 12 điểm.</t>
  </si>
  <si>
    <t>Câu 142. Trách nhiệm của tổ chức, cá nhân đứng tên trong giấy chứng nhận đăng ký xe khi chưa thực hiện thu hồi chứng nhận đăng ký xe, biển số xe được quy định như thế nào?</t>
  </si>
  <si>
    <t xml:space="preserve"> Tiếp tục chịu trách nhiệm của chủ xe.</t>
  </si>
  <si>
    <t>Không chịu trách nhiệm sau khi đã chuyển nhượng, trao đổi, tặng, cho.</t>
  </si>
  <si>
    <t>Câu 143. Để bảo đảm điều kiện tham gia giao thông đường bộ, loại phương tiện nào phải lắp thiết bị giám sát hành trình?</t>
  </si>
  <si>
    <t>Xe ô tô kinh doanh vận tải.</t>
  </si>
  <si>
    <t>Xe ô tô chở người từ 08 chỗ trở lên (không kể chỗ của người lái xe) kinh doanh vận tải, xe ô tô đầu kéo, xe cứu thương.</t>
  </si>
  <si>
    <t>Câu 144. Tốc độ khai thác tối đa cho phép đối với xe máy chuyên dùng, xe gắn máy và các loại xe tương tự tham gia giao thông trên đường bộ (trừ đường cao tốc) là bao nhiêu km/h?</t>
  </si>
  <si>
    <t>50 km/h.</t>
  </si>
  <si>
    <t xml:space="preserve"> 40 km/h.</t>
  </si>
  <si>
    <t>60 km/h.</t>
  </si>
  <si>
    <t>Câu 145. Trên đường bộ, trong khu vực đông dân cư, đường đôi hoặc đường một chiều có từ hai làn xe cơ giới trở lên, xe mô tô hai bánh, ô tô chở người đến 28 chỗ không kể chỗ của người lái xe tham gia giao thông với tốc độ khai thác tối đa cho phép là bao nhiêu?</t>
  </si>
  <si>
    <t xml:space="preserve"> 60 km/h.</t>
  </si>
  <si>
    <t>40 km/h.</t>
  </si>
  <si>
    <t>Câu 146. Trên đường bộ (trừ đường cao tốc) trong khu vực đông dân cư, đường hai chiều hoặc đường một chiều có một làn xe cơ giới, xe mô tô hai</t>
  </si>
  <si>
    <t>bánh, ô tô chở người đến 28 chỗ không kể chỗ của người lái xe tham gia giao thông với tốc độ khai thác tối đa cho phép là bao nhiêu?</t>
  </si>
  <si>
    <t xml:space="preserve"> 50 km/h.</t>
  </si>
  <si>
    <t>Câu 147. Trên đường bộ (trừ đường cao tốc) trong khu vực đông dân cư, đường hai chiều hoặc đường một chiều có một làn xe cơ giới, loại xe nào dưới đây được tham gia giao thông với tốc độ khai thác tối đa cho phép là 50 km/h?</t>
  </si>
  <si>
    <t xml:space="preserve"> Ô tô tải, ô tô chở người trên 28 chỗ không kể chỗ của người lái xe.</t>
  </si>
  <si>
    <t>Xe gắn máy, xe máy chuyên dùng.</t>
  </si>
  <si>
    <t>Câu 148. Trên đường bộ (trừ đường cao tốc) trong khu vực đông dân cư, đường đôi hoặc đường một chiều có từ hai làn cơ giới trở lên, loại xe nào dưới đây được tham gia giao thông với tốc độ khai thác tối đa là 60 km/h?</t>
  </si>
  <si>
    <t>Câu 149. Trên đường bộ (trừ đường cao tốc) ngoài khu vực đông dân cư, đường đôi hoặc đường một chiều có từ hai làn xe cơ giới trở lên, loại xe nào dưới đây được tham gia giao thông với tốc độ khai thác tối đa cho phép là 90 km/h?</t>
  </si>
  <si>
    <t xml:space="preserve"> Xe ô tô chở người đến 28 chỗ không kể chỗ của người lái xe (trừ xe buýt); ô tô tải có trọng tải không lớn hơn 3,5 tấn.</t>
  </si>
  <si>
    <t>Xe ô tô chở người trên 28 chỗ không kể chỗ người lái xe (trừ xe buýt); ô tô tải có trọng tải trên 3,5 tấn (trừ ô tô xi téc).</t>
  </si>
  <si>
    <t>Xe buýt; ô tô đầu kéo kéo sơ mi rơ moóc (trừ ô tô đầu kéo kéo sơ mi rơ moóc xi téc); xe mô tô; ô tô chuyên dùng (trừ ô tô trộn vữa, ô tô trộn bê tông lưu động).</t>
  </si>
  <si>
    <t>Câu 150. 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80 km/h?</t>
  </si>
  <si>
    <t>Xe ô tô chở người đến 28 chỗ không kể chỗ của người lái xe (trừ xe buýt); ô tô tải có trọng tải không lớn hơn 3,5 tấn.</t>
  </si>
  <si>
    <t xml:space="preserve"> Xe ô tô chở người trên 28 chỗ không kể chỗ người lái xe (trừ xe buýt); ô tô tải có trọng tải trên 3,5 tấn (trừ ô tô xi téc).</t>
  </si>
  <si>
    <t>Ô tô kéo rơ moóc; ô tô kéo xe khác; ô tô trộn vữa, ô tô trộn bê tông lưu động, ô tô xi téc, ô tô đầu kéo kéo sơ mi rơ moóc xi téc, ô tô kéo theo rơ moóc xi téc).</t>
  </si>
  <si>
    <t>Câu 151. 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70 km/h?</t>
  </si>
  <si>
    <t xml:space="preserve"> Xe buýt; ô tô đầu kéo kéo sơ mi rơ moóc (trừ ô tô đầu kéo kéo sơ mi rơ moóc xi téc); xe mô tô; ô tô chuyên dùng (trừ ô tô trộn vữa, ô tô trộn bê tông lưu động).</t>
  </si>
  <si>
    <t>Ô tô kéo rơ moóc; ô tô kéo xe khác; ô tô trộn vữa, ô tô trộn bê tông lưu động, ô tô xi téc, ô tô đầu kéo kéo sơ mi rơ moóc xi téc, ô tô kéo theo rơ moóc xi téc.</t>
  </si>
  <si>
    <t>Câu 152. 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60 km/h?</t>
  </si>
  <si>
    <t xml:space="preserve"> Ô tô kéo rơ moóc; ô tô kéo xe khác; ô tô trộn vữa, ô tô trộn bê tông lưu động, ô tô xi téc, ô tô đầu kéo kéo sơ mi rơ moóc xi téc, ô tô kéo theo rơ moóc xi téc.</t>
  </si>
  <si>
    <t>Câu 153. Trên đường bộ ngoài khu vực đông dân cư, đường hai chiều hoặc đường một chiều có một làn xe cơ giới (trừ đường cao tốc), loại xe nào dưới đây được tham gia giao thông với tốc độ khai thác tối đa cho phép là 80 km/h?</t>
  </si>
  <si>
    <t>Câu 154. Trên đường bộ ngoài khu vực đông dân cư, đường hai chiều hoặc đường một chiều có một làn xe cơ giới (trừ đường cao tốc), loại xe nào dưới đây được tham gia giao thông với tốc độ khai thác tối đa cho phép là 70 km/h?</t>
  </si>
  <si>
    <t>Câu 155. Trên đường bộ ngoài khu vực đông dân cư, đường hai chiều hoặc đường một chiều có một làn xe cơ giới (trừ đường cao tốc), loại xe nào dưới đây được tham gia giao thông với tốc độ khai thác tối đa cho phép là 60 km/h?</t>
  </si>
  <si>
    <t>Câu 156. Trên đường bộ ngoài khu vực đông dân cư, đường hai chiều hoặc đường một chiều có một làn xe cơ giới (trừ đường cao tốc), loại xe nào dưới đây được tham gia giao thông với tốc độ khai thác tối đa cho phép là 50 km/h?</t>
  </si>
  <si>
    <t>Câu 157. Khi tham gia giao thông trên đường bộ (trừ đường cao tốc), loại xe nào dưới đây được tham gia giao thông với tốc độ khai thác tối đa cho phép là 50 km/h?</t>
  </si>
  <si>
    <t>Xe máy chuyên dùng, xe gắn máy và các loại xe tương tự.</t>
  </si>
  <si>
    <t>Xe chở người bốn bánh có gắn động cơ khi tham gia giao thông trong phạm vi và thời gian cho phép hoạt động.</t>
  </si>
  <si>
    <t xml:space="preserve"> Xe chở hàng bốn bánh có gắn động cơ khi tham gia giao thông trong phạm vi và thời gian cho phép hoạt động.</t>
  </si>
  <si>
    <t>Câu 158. 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80 km/h đến 100 km/h, người lái xe phải giữ khoảng cách an toàn với xe đang chạy liền trước tối thiểu là bao nhiêu?</t>
  </si>
  <si>
    <t>35 m.</t>
  </si>
  <si>
    <t>55 m.</t>
  </si>
  <si>
    <t xml:space="preserve"> 70 m.</t>
  </si>
  <si>
    <t>Câu 159. 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100 km/h đến 120 km/h, người lái xe phải giữ khoảng cách an toàn với xe đang chạy liền trước tối thiểu là bao nhiêu?</t>
  </si>
  <si>
    <t>70 m.</t>
  </si>
  <si>
    <t xml:space="preserve"> 100 m.</t>
  </si>
  <si>
    <t>Câu 160. 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60 km/h đến 80 km/h, người lái xe phải giữ khoảng cách an toàn với xe đang chạy liền trước tối thiểu là bao nhiêu?</t>
  </si>
  <si>
    <t xml:space="preserve"> 55 m.</t>
  </si>
  <si>
    <t>100 m.</t>
  </si>
  <si>
    <t>Câu 161. 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60 km/h, người lái xe phải giữ khoảng cách an toàn với xe đang chạy liền trước tối thiểu là bao nhiêu?</t>
  </si>
  <si>
    <t xml:space="preserve"> 35 m.</t>
  </si>
  <si>
    <t>Câu 162. Khi điều khiển xe chạy với tốc độ dưới 60 km/h, để bảo đảm khoảng cách an toàn giữa hai xe, người lái xe phải điều khiển xe như thế nào?</t>
  </si>
  <si>
    <t>Chủ động giữ khoảng cách an toàn phù hợp với xe chạy liền trước xe của mình.</t>
  </si>
  <si>
    <t>Bảo đảm khoảng cách an toàn tùy thuộc vào mật độ phương tiện, tình hình giao thông thực tế.</t>
  </si>
  <si>
    <t>Câu 163. Người lái xe phải giảm tốc độ thấp hơn tốc độ tối đa cho phép đến mức cần thiết, chú ý quan sát và chuẩn bị sẵn sàng những tình huống có thể xảy ra để phòng ngừa tai nạn trong các trường hợp nào dưới đây?</t>
  </si>
  <si>
    <t xml:space="preserve"> Gặp biển báo nguy hiểm và cảnh báo trên đường.</t>
  </si>
  <si>
    <t>Gặp biển chỉ dẫn trên đường.</t>
  </si>
  <si>
    <t>Gặp biển báo hết mọi lệnh cấm.</t>
  </si>
  <si>
    <t>Gặp biển báo hết hạn chế tốc độ tối đa cho phép.</t>
  </si>
  <si>
    <t>Câu 164. Xe đưa đón trẻ em mầm non, học sinh được ưu tiên gì khi tham gia giao thông đường bộ?</t>
  </si>
  <si>
    <t xml:space="preserve"> Tổ chức phân luồng, điều tiết giao thông, bố trí nơi dừng xe, đỗ xe tại khu vực trường học và tại các điểm trên lộ trình đưa đón trẻ em mầm non, học sinh.</t>
  </si>
  <si>
    <t>Được bố trí xe dẫn đường để bảo đảm an toàn giao thông.</t>
  </si>
  <si>
    <t>Câu 165. Người điều khiển phương tiện tham gia giao thông đường bộ phải quan sát, giảm tốc độ hoặc dừng lại để bảo đảm an toàn trong các trường hợp nào dưới đây?</t>
  </si>
  <si>
    <t>Tại nơi có vạch kẻ đường hoặc báo hiệu khác dành cho người đi bộ hoặc tại nơi mà người đi bộ, xe lăn của người khuyết tật đang qua đường.</t>
  </si>
  <si>
    <t>Nơi đường bộ giao nhau cùng mức với đường bộ, đường bộ giao nhau cùng mức với đường sắt; đường hẹp, đường vòng, đường quanh co, đường đèo, dốc.</t>
  </si>
  <si>
    <t>Khu vực có trường học, bệnh viện, bến xe, công trình công cộng tập trung đông người, khu vực đông dân cư, chợ, khu vực đang thi công trên đường bộ, hiện trường vụ tai nạn giao thông đường bộ.</t>
  </si>
  <si>
    <t>Câu 166. Tại những đoạn đường không bố trí biển báo hạn chế tốc độ, không bố trí biển báo khoảng cách an toàn tối thiểu giữa hai xe, người lái xe phải thực hiện quy định nào dưới đây để bảo đảm an toàn?</t>
  </si>
  <si>
    <t>Được phép lái xe không hạn chế tốc độ và khoảng cách an toàn tối thiểu với xe phía trước cùng làn đường hoặc phần đường.</t>
  </si>
  <si>
    <t>Được phép lái xe không hạn chế tốc độ và khoảng cách an toàn tối thiểu với xe phía trước cùng làn đường hoặc phần đường khi tham gia giao thông trên đường nhánh.</t>
  </si>
  <si>
    <t xml:space="preserve"> Chấp hành quy định về tốc độ, khoảng cách an toàn tối thiểu với xe phía trước cùng làn đường hoặc phần đường.</t>
  </si>
  <si>
    <t>Câu 167. Khi gặp xe buýt đang dừng đón, trả khách, người điều khiển xe mô tô phải xử lý như thế nào dưới đây?</t>
  </si>
  <si>
    <t>Tăng tốc độ để nhanh chóng vượt qua xe buýt.</t>
  </si>
  <si>
    <t xml:space="preserve"> Quan sát, giảm tốc độ đi qua xe buýt hoặc dừng lại để bảo đảm an toàn.</t>
  </si>
  <si>
    <t>Câu 168. Việc vận chuyển hành khách bằng xe ô tô phải tuân thủ các quy định nào dưới đây?</t>
  </si>
  <si>
    <t xml:space="preserve"> Đón, trả hành khách đúng nơi quy định;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t>
  </si>
  <si>
    <t>Đón, trả hành khách theo yêu cầu của hành khách trên xe;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t>
  </si>
  <si>
    <t>Câu 169. Trong hoạt động vận tải đường bộ, các hành vi nào dưới đây bị nghiêm cấm?</t>
  </si>
  <si>
    <t>Vận chuyển hàng hóa cấm lưu hành.</t>
  </si>
  <si>
    <t>Vận chuyển trái phép hoặc không thực hiện đầy đủ các quy định của pháp luật về vận chuyển hàng hóa nguy hiểm.</t>
  </si>
  <si>
    <t>Vận chuyển động vật hoang dã.</t>
  </si>
  <si>
    <t>Câu 170. Trong hoạt động vận tải hành khách, những hành vi nào dưới đây bị nghiêm cấm?</t>
  </si>
  <si>
    <t>Cạnh tranh nhau nhằm tăng lợi nhuận.</t>
  </si>
  <si>
    <t>Giảm giá để thu hút khách.</t>
  </si>
  <si>
    <t xml:space="preserve"> 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t>
  </si>
  <si>
    <t>Câu 171. Thời gian lái xe liên tục của người lái xe ô tô kinh doanh vận tải được quy định như thế nào để bảo đảm an toàn giao thông?</t>
  </si>
  <si>
    <t xml:space="preserve"> Không quá 4 giờ.</t>
  </si>
  <si>
    <t>Không quá 6 giờ.</t>
  </si>
  <si>
    <t>Không quá 8 giờ.</t>
  </si>
  <si>
    <t>Liên tục tùy thuộc vào sức khỏe và khả năng của người lái xe.</t>
  </si>
  <si>
    <t>Câu 172. Thời gian làm việc của người lái xe ô tô kinh doanh vận tải trong một ngày được quy định như thế nào để bảo đảm an toàn giao thông?</t>
  </si>
  <si>
    <t>Không quá 6 giờ trong một ngày.</t>
  </si>
  <si>
    <t>Không quá 8 giờ trong một ngày.</t>
  </si>
  <si>
    <t xml:space="preserve"> Không quá 10 giờ trong một ngày.</t>
  </si>
  <si>
    <t>Không hạn chế tùy thuộc vào sức khỏe và khả năng của người lái xe.</t>
  </si>
  <si>
    <t>Câu 173. Trước khi xe khởi hành, người lái xe, nhân viên phục vụ trên xe ô tô vận chuyển hành khách có trách nhiệm nào sau đây?</t>
  </si>
  <si>
    <t>Kiểm tra các điều kiện bảo đảm an toàn của xe.</t>
  </si>
  <si>
    <t>Hướng dẫn cho hành khách về an toàn giao thông đường bộ và thoát hiểm khi gặp sự cố.</t>
  </si>
  <si>
    <t>Kiểm tra nhân thân và hành lý của hành khách đi xe.</t>
  </si>
  <si>
    <t>Câu 174. Xe ô tô kinh doanh vận tải chở trẻ em mầm non, học sinh phải đáp ứng các yêu cầu nào dưới đây?</t>
  </si>
  <si>
    <t>Có thiết bị ghi nhận hình ảnh trẻ em mầm non, học sinh và thiết bị có chức năng cảnh báo, chống bỏ quên trẻ em trên xe; có niên hạn sử dụng không quá 20 năm; có màu sơn theo quy định của Chính phủ.</t>
  </si>
  <si>
    <t>Có dây đai an toàn phù hợp với lứa tuổi hoặc sử dụng xe có ghế ngồi phù hợp với lứa tuổi theo quy định của pháp luật.</t>
  </si>
  <si>
    <t>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t>
  </si>
  <si>
    <t>Câu 175. Việc vận chuyển động vật sống khi tham gia giao thông đường bộ phải thực hiện các yêu cầu nào dưới đây?</t>
  </si>
  <si>
    <t>Người lái xe phải mang đủ giấy tờ theo quy định của pháp luật.</t>
  </si>
  <si>
    <t>Phương tiện vận chuyển phải có kết cấu phù hợp với loại động vật chuyên chở.</t>
  </si>
  <si>
    <t>Trong quá trình vận chuyển phải chấp hành các quy định của pháp luật về trật tự, an toàn giao thông đường bộ, vệ sinh dịch tễ, phòng dịch và bảo đảm vệ sinh môi trường.</t>
  </si>
  <si>
    <t>Câu 176. Việc vận chuyển hàng hóa nguy hiểm khi tham gia giao thông đường bộ phải chấp hành các quy định nào dưới đây?</t>
  </si>
  <si>
    <t xml:space="preserve"> Phải có giấy phép vận chuyển; trong trường hợp cần thiết, đơn vị vận chuyển hàng hoá nguy hiểm phải bố trí người áp tải để bảo đảm trật tự, an toàn giao thông đường bộ.</t>
  </si>
  <si>
    <t>Phải có giấy phép vận chuyển; không phải bố trí người áp tải khi tham gia giao thông đường bộ.</t>
  </si>
  <si>
    <t>Câu 177. Việc lưu hành xe ô tô của người nước ngoài đăng ký tại nước ngoài có tay lái ở bên phải tham gia giao thông tại Việt Nam, xe cơ giới nước ngoài do người nước ngoài đưa vào Việt Nam du lịch được quy định như như thế nào?</t>
  </si>
  <si>
    <t>Phải chấp hành quy định của pháp luật về trật tự, an toàn giao thông đường bộ của Việt Nam. Trường hợp điều ước quốc tế mà nước Cộng hòa xã hội chủ nghĩa Việt Nam là thành viên có quy định khác thì áp dụng theo điều ước quốc tế đó.</t>
  </si>
  <si>
    <t>Tham gia giao thông đúng trong phạm vi, tuyến đường, thời gian đã được cơ quan có thẩm quyền của Việt Nam cấp phép.</t>
  </si>
  <si>
    <t>Xe ô tô của người nước ngoài đăng ký tại nước ngoài có tay lái ở bên phải phải đi theo đoàn và có người, phương tiện hỗ trợ, hướng dẫn giao thông.</t>
  </si>
  <si>
    <t>Câu 178. Việc sử dụng xe mô tô, xe gắn máy, xe thô sơ để vận chuyển hành khách, hàng hóa phải thực hiện các quy định nào dưới đây để đảm bảo an toàn giao thông?</t>
  </si>
  <si>
    <t>Kiểm tra điều kiện bảo đảm an toàn của xe trước khi tham gia giao thông đường bộ; mang đủ giấy tờ theo quy định của pháp luật.</t>
  </si>
  <si>
    <t>Kiểm tra việc sắp xếp hàng hóa bảo đảm an toàn; không chở quá số người, chở hành lý, hàng hoá vượt quá khối lượng cho phép hoặc vượt quá khổ giới hạn của xe.</t>
  </si>
  <si>
    <t>Câu 179. Xe vận chuyển hàng siêu trường, siêu trọng phải thực hiện các quy định nào dưới đây để bảo đảm an toàn giao thông?</t>
  </si>
  <si>
    <t xml:space="preserve"> Phải chạy với tốc độ quy định trong giấy phép và phải có báo hiệu kích thước của hàng; trường hợp cần thiết,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bộ.</t>
  </si>
  <si>
    <t>Phải chạy với tốc độ quy định trong giấy phép;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dành cho giao thông công cộng.</t>
  </si>
  <si>
    <t>Câu 180. Xe cứu hộ giao thông đường bộ cần thực hiện yêu cầu nào sau đây để bảo đảm trật tự an toàn giao thông?</t>
  </si>
  <si>
    <t>Xe cứu hộ giao thông đường bộ phải có dấu hiệu nhận diện, niêm yết thông tin trên xe, gắn thiết bị giám sát hành trình và thiết bị ghi nhận hình ảnh người lái xe.</t>
  </si>
  <si>
    <t>Phải tuân thủ quy định của pháp luật về khối lượng hàng hóa chuyên chở của xe cứu hộ và khối lượng của xe được cứu hộ ghi trên Chứng nhận kiểm định an toàn kỹ thuật và bảo vệ môi trường.</t>
  </si>
  <si>
    <t>CHƯƠNG II. VĂN HÓA GIAO THÔNG, ĐẠO ĐỨC NGƯỜI LÁI XE, KỸ NĂNG PHÒNG CHÁY, CHỮA CHÁY VÀ CỨU HỘ, CỨU NẠN</t>
  </si>
  <si>
    <t>Câu 181. Người lái xe kinh doanh vận tải khi thực hiện tốt việc rèn luyện, nâng cao trách nhiệm, đạo đức nghề nghiệp sẽ thu được kết quả như thế nào dưới đây?</t>
  </si>
  <si>
    <t xml:space="preserve"> Được khách hàng, xã hội tôn trọng; được đồng nghiệp quý mến, giúp đỡ; được doanh nghiệp tin dùng và đóng góp nhiều cho xã hội; thu hút được khách hàng, góp phần quan trọng trong xây dựng thương hiệu, kinh doanh có hiệu quả cao.</t>
  </si>
  <si>
    <t>Được cộng điểm vào giấy phép lái xe.</t>
  </si>
  <si>
    <t>Câu 182. Những hành vi nào sau đây thể hiện là người có văn hóa giao thông?</t>
  </si>
  <si>
    <t xml:space="preserve"> Luôn tuân thủ pháp luật về trật tự, an toàn giao thông đường bộ, nhường nhịn và giúp đỡ người khác.</t>
  </si>
  <si>
    <t>Đi nhanh, vượt đèn đỏ nếu không có lực lượng Công an.</t>
  </si>
  <si>
    <t>Bấm còi và nháy đèn liên tục để cảnh báo xe khác.</t>
  </si>
  <si>
    <t>Tránh nhường đường để đi nhanh hơn.</t>
  </si>
  <si>
    <t>Câu 183. Người lái xe kinh doanh vận tải cần thực hiện những công việc gì ghi ở dưới đây để thường xuyên rèn luyện nâng cao đạo đức nghề nghiệp?</t>
  </si>
  <si>
    <t>Quản lý và sử dụng xe tốt; bảo dưỡng xe đúng định kỳ; thực hành tiết kiệm vật tư, nhiên liệu; luôn tu dưỡng bản thân, có lối sống lành mạnh, tác phong làm việc công nghiệp.</t>
  </si>
  <si>
    <t>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</si>
  <si>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Câu 184. Người lái xe ô tô vận chuyển hành khách phải có những phẩm chất, đạo đức nghề nghiệp gì dưới đây?</t>
  </si>
  <si>
    <t>Phải có thái độ lịch sự, tôn trọng, thân mật với hành khách; giúp đỡ những người có hoàn cảnh khó khăn, người già, người khuyết tật, phụ nữ có thai, có con nhỏ và trẻ em.</t>
  </si>
  <si>
    <t>Luôn tu dưỡng bản thân, có lối sống lành mạnh, khiêm tốn, có tác phong làm việc công nghiệp, không tham gia vào các tệ nạn xã hội; tôn trọng người cùng tham gia giao thông đường bộ và có ý thức bảo vệ môi trường.</t>
  </si>
  <si>
    <t>Câu 185. Khái niệm về văn hóa giao thông được hiểu như thế nào là đúng?</t>
  </si>
  <si>
    <t>Là sự hiểu biết và chấp hành nghiêm chỉnh pháp luật về giao thông, là ý thức trách nhiệm với cộng đồng khi tham gia giao thông.</t>
  </si>
  <si>
    <t>Là sự tôn trọng, nhường nhịn, giúp đỡ và ứng xử có văn hóa giữa những người tham gia giao thông với nhau.</t>
  </si>
  <si>
    <t>Câu 186. Trên làn đường dành cho ô tô có vũng nước lớn, người lái xe ô tô bắt buộc phải đi qua vũng nước, trên làn đường bên cạnh có nhiều người đang lái xe mô tô tham gia giao thông, người lái xe ô tô xử lý như thế nào khi lái xe qua vũng nước là có văn hóa giao thông?</t>
  </si>
  <si>
    <t>Cho xe chạy thật nhanh qua vũng nước.</t>
  </si>
  <si>
    <t xml:space="preserve"> Giảm tốc độ cho xe chạy chậm qua vũng nước.</t>
  </si>
  <si>
    <t xml:space="preserve"> Là thiếu văn hóa giao thông, vi phạm pháp luật về trật tự, an toàn giao thông đường bộ.</t>
  </si>
  <si>
    <t>Là thiếu văn hóa giao thông.</t>
  </si>
  <si>
    <t>Câu 188. Khi sơ cứu người bị tai nạn giao thông đường bộ, có vết thương chảy máu ngoài, phun thành tia và phun mạnh khi mạch đập, bạn phải làm gì dưới đây?</t>
  </si>
  <si>
    <t>Thực hiện cầm máu trực tiếp.</t>
  </si>
  <si>
    <t xml:space="preserve"> Thực hiện cầm máu không trực tiếp (chặn động mạch).</t>
  </si>
  <si>
    <t>Câu 189. Người lái xe có văn hóa giao thông khi tham gia giao thông đường bộ phải đáp ứng các điều kiện nào dưới đây?</t>
  </si>
  <si>
    <t xml:space="preserve"> Hiểu biết và chấp hành nghiêm chỉnh pháp luật về giao thông đường bộ; có ý thức trách nhiệm với cộng đồng khi tham gia giao thông; tôn trọng, nhường nhịn, giúp đỡ và ứng xử có văn hóa với những người cùng tham gia giao thông.</t>
  </si>
  <si>
    <t>Điều khiển xe vượt quá tốc độ, đi không đúng làn đường.</t>
  </si>
  <si>
    <t>Câu 190. Người lái xe có văn hóa giao thông khi tham gia giao thông phải tuân thủ những quy định nào dưới đây?</t>
  </si>
  <si>
    <t>Điều khiển xe đi trên phần đường, làn đường có ít phương tiện tham gia giao thông, chỉ đội mũ bảo hiểm ở nơi có biển báo bắt buộc đội mũ bảo hiểm.</t>
  </si>
  <si>
    <t xml:space="preserve"> Chấp hành hiệu lệnh, chỉ dẫn của người điều khiển giao thông, quy định về tốc độ, tín hiệu đèn, biển báo hiệu, vạch kẻ đường khi lái xe; nhường đường cho người đi bộ, người già, trẻ em, người khuyết tật.</t>
  </si>
  <si>
    <t>Câu 191. Người lái xe mô tô có văn hóa giao thông khi tham gia giao thông phải tuân thủ những quy định nào dưới đây?</t>
  </si>
  <si>
    <t xml:space="preserve"> Điều khiển xe đi bên phải theo chiều đi của mình; đi đúng phần đường, làn đường quy định; đội mũ bảo hiểm đúng quy chuẩn kỹ thuật quốc gia, cài quai đúng quy cách.</t>
  </si>
  <si>
    <t>Điều khiển xe đi trên phần đường, làn đường có ít phương tiện tham gia giao thông.</t>
  </si>
  <si>
    <t xml:space="preserve"> Điều khiển xe đi bên phải theo chiều đi của mình; đi đúng phần đường, làn đường quy định; dừng, đỗ xe đúng nơi quy định; đã uống rượu, bia thì không lái xe.</t>
  </si>
  <si>
    <t>Điều khiển xe đi trên phần đường, làn đường có ít phương tiện giao thông; dừng xe, đỗ xe ở nơi thuận tiện hoặc theo yêu cầu của hành khách, của người thân.</t>
  </si>
  <si>
    <t>Dừng và đỗ xe ở nơi thuận tiện cho việc chuyên chở hành khách và giao nhận hàng hóa; sử dụng ít rượu, bia thì có thể lái xe.</t>
  </si>
  <si>
    <t>Câu 193. Khi tham gia giao thông việc sử dụng còi xe nên dùng như thế nào để thể hiện là người có văn hóa giao thông?</t>
  </si>
  <si>
    <t xml:space="preserve"> Chỉ bấm còi khi thật sự cần thiết, không bấm còi liên tục hoặc kéo dài, sử dụng còi với mức âm lượng theo quy định.</t>
  </si>
  <si>
    <t>Bấm còi liên tục để các xe khác nhường đường.</t>
  </si>
  <si>
    <t>Bấm còi to khi đi qua khu vực đông dân cư.</t>
  </si>
  <si>
    <t>Không cần dùng còi, tránh gây tiếng ồn là văn minh.</t>
  </si>
  <si>
    <t>Câu 194. Người điều khiển phương tiện tham giao thông đường bộ gây ra tai nạn giao thông đường bộ, người liên quan đến vụ tai nạn giao thông đường bộ có trách nhiệm gì dưới đây?</t>
  </si>
  <si>
    <t>Dừng ngay phương tiện, cảnh báo nguy hiểm, giữ nguyên hiện trường, trợ giúp người bị nạn và báo tin cho cơ quan Công an, cơ sở khám bệnh, chữa bệnh.</t>
  </si>
  <si>
    <t>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</si>
  <si>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Cung cấp thông tin xác định danh tính về bản thân, người liên quan đến vụ tai nạn giao thông đường bộ và thông tin liên quan của vụ tai nạn giao thông đường bộ cho cơ quan có thẩm quyền.</t>
  </si>
  <si>
    <t>Câu 195. Người có mặt tại nơi xảy ra vụ tai giao thông đường bộ có trách nhiệm gì dưới đây?</t>
  </si>
  <si>
    <t xml:space="preserve"> Giúp đỡ, cứu chữa kịp thời người bị nạn; báo tin ngay cho cơ quan Công an, cơ sở khám bệnh, chữa bệnh hoặc Ủy ban nhân dân nơi gần nhất; tham gia bảo vệ hiện trường; tham gia bảo vệ tài sản của người bị nạn; cung cấp thông tin liên quan về vụ tai nạn theo yêu cầu của cơ quan có thẩm quyền.</t>
  </si>
  <si>
    <t>Chụp lại hình ảnh vụ tai nạn (nếu có thiết bị ghi hình) và nhanh chóng rời khỏi hiện trường vụ tai nạn.</t>
  </si>
  <si>
    <t>Câu 196. Khi sơ cứu ban đầu cho người bị tai nạn giao thông đường bộ không còn hô hấp, người lái xe và người có mặt tại hiện trường vụ tai nạn phải thực hiện các công việc gì dưới đây?</t>
  </si>
  <si>
    <t xml:space="preserve"> Đặt nạn nhân nằm ngửa, khai thông đường thở của nạn nhân; thực hiện các biện pháp hô hấp nhân tạo.</t>
  </si>
  <si>
    <t>Thực hiện các biện pháp hô hấp nhân tạo.</t>
  </si>
  <si>
    <t>Câu 197. Hành vi bỏ trốn sau khi gây tai nạn để trốn tránh trách nhiệm hoặc khi có điều kiện mà cố ý không cứu giúp người bị tai nạn giao thông có bị nghiêm cấm hay không?</t>
  </si>
  <si>
    <t>Nghiêm cấm tuỳ từng trường hợp cụ thể.</t>
  </si>
  <si>
    <t>Câu 198. Khi đang lái xe, thấy một người đi bộ đang sang đường trên vạch kẻ đường dành cho người đi bộ, người lái xe nên làm gì?</t>
  </si>
  <si>
    <t xml:space="preserve"> Giảm tốc độ và nhường đường cho người đi bộ.</t>
  </si>
  <si>
    <t>Bấm còi để họ đi nhanh hơn.</t>
  </si>
  <si>
    <t>Tiếp tục đi nếu đang vội.</t>
  </si>
  <si>
    <t>Vượt qua nếu thấy khoảng trống đủ rộng.</t>
  </si>
  <si>
    <t>Câu 199. Khi gặp vụ tai nạn giao thông, người lái xe nên hành động như thế nào?</t>
  </si>
  <si>
    <t>Chạy đi để tránh rắc rối.</t>
  </si>
  <si>
    <t xml:space="preserve"> Dừng xe, hỗ trợ nạn nhân và báo cho cơ quan chức năng.</t>
  </si>
  <si>
    <t>Chỉ quan sát rồi tiếp tục di chuyển.</t>
  </si>
  <si>
    <t>Chỉ giúp đỡ nếu có người thân trong vụ tai nạn.</t>
  </si>
  <si>
    <t>Câu 200. Trong đoạn đường hai chiều tại khu đông dân cư đang ùn tắc, người điều khiển xe mô tô có văn hóa giao thông sẽ lựa chọn cách xử lý tình huống nào dưới đây?</t>
  </si>
  <si>
    <t>Cho xe lấn sang làn ngược chiều để nhanh chóng thoát khỏi nơi ùn tắc.</t>
  </si>
  <si>
    <t>Điều khiển xe trên vỉa hè để nhanh chóng thoát khỏi nơi ùn tắc.</t>
  </si>
  <si>
    <t xml:space="preserve"> Kiên nhẫn tuân thủ hướng dẫn của người điều khiển giao thông hoặc tín hiệu đèn giao thông, di chuyển trên đúng phần đường bên phải theo chiều đi, nhường đường cho các phương tiện đi ngược chiều.</t>
  </si>
  <si>
    <t>Câu 201. Khi điều khiển phương tiện tham gia giao thông trên đoạn đường bộ đang xảy ra ùn tắc, những hành vi nào dưới đây là thiếu văn hóa?</t>
  </si>
  <si>
    <t xml:space="preserve"> Bấm còi liên tục thúc giục các phương tiện phía trước nhường đường; đi trên vỉa hè, tận dụng mọi khoảng trống để nhanh chóng thoát khỏi nơi ùn tắc; lấn sang trái đường cố gắng vượt lên xe khác.</t>
  </si>
  <si>
    <t>Tuân thủ hướng dẫn của người điều khiển giao thông hoặc tín hiệu giao thông, đi đúng phần đường, làn đường quy định.</t>
  </si>
  <si>
    <t>Câu 202. Người lái xe, chủ phương tiện giao thông cơ giới đường bộ nên thực hiện các biện pháp phòng cháy, chữa cháy như thế nào dưới đây?</t>
  </si>
  <si>
    <t>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(khó nổ, có hơi xăng, có tiếng kêu bất thường, nhiệt độ của máy cao, có mùi khét) cần khắc phục ngay.</t>
  </si>
  <si>
    <t>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có thể gây hỏng xe hoặc dẫn đến nguy cơ xảy ra cháy cao.</t>
  </si>
  <si>
    <t>Không để các chất dễ cháy, dễ bắt lửa trong xe, dưới yên xe, trong cốp xe, trong khoang động cơ. Đối với xe điện cần chọn địa điểm sạc an toàn, sử dụng các thiết bị sạc đúng cách và giám sát quá trình sạc.</t>
  </si>
  <si>
    <t>Câu 203. Người điều khiển phương tiện cơ giới đường bộ phải thực hiện những biện pháp gì dưới đây để chữa cháy trong trường hợp phương tiện bị cháy, xét thấy có khả năng dập tắt đám cháy?</t>
  </si>
  <si>
    <t>Tắt khoá điện, hô hoán để mọi người đến trợ giúp chữa cháy, gọi Cảnh sát phòng cháy chữa cháy và cứu nạn cứu hộ (điện thoại 114).</t>
  </si>
  <si>
    <t>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t>
  </si>
  <si>
    <t>Câu 204. Khi phát hiện thấy có ngọn lửa, khói hoặc nhiệt độ cao bất thường từ phương tiện giao thông do mình điều khiển người lái xe phải làm gì trước tiên?</t>
  </si>
  <si>
    <t xml:space="preserve"> Bình tĩnh, đưa xe sát vào lề đường, tránh xa nơi có nhiều người, nhiều chất dễ cháy và tắt khóa điện, thực hiện các bước chữa cháy.</t>
  </si>
  <si>
    <t>Hô hoán để mọi người đến trợ giúp chữa cháy, gọi Cảnh sát giao thông, Cảnh sát phòng cháy, chữa cháy và cứu nạn, cứu hộ, lực lượng y tế để sẵn sàng hỗ trợ cứu người.</t>
  </si>
  <si>
    <t>Nếu nhiên liệu trào ra ngoài, ngọn lửa chưa cháy dữ dội thì tiếp tục sử dụng nước, hoặc bất kỳ chất, phương tiện chữa cháy có được để dập lửa.</t>
  </si>
  <si>
    <t>Câu 205. Khi gặp nạn nhân bị bỏng trong vụ tai nạn giao thông, người lái xe cần làm gì?</t>
  </si>
  <si>
    <t>Gọi số 115 để thông báo về tình trạng tai nạn và yêu cầu hỗ trợ y tế ngay lập tức. Quan sát hiện trường để giúp nạn nhân, đồng thời tránh gây tổn thương cho mình.</t>
  </si>
  <si>
    <t>Nhanh chóng loại bỏ nguyên nhân gây bỏng bằng cách tách nạn nhân khỏi vật gây cháy, cởi bỏ quần áo nếu bén lửa, ngâm vùng da bị bỏng vào nước sạch hoặc đắp khăn mát, lưu ý không dùng khăn hoặc nước quá lạnh.</t>
  </si>
  <si>
    <t>Nếu nạn nhân còn tỉnh, cần cho uống bù nước. Trong thời tiết lạnh, cần giữ ấm cho cơ thể nạn nhân, sau đó nhanh chóng đưa đến cơ sở y tế gần nhất.</t>
  </si>
  <si>
    <t>CHƯƠNG III. KỸ THUẬT LÁI XE</t>
  </si>
  <si>
    <t>Câu 206. Khi điều khiển xe mô tô tay ga xuống đường dốc dài, độ dốc cao, người lái xe cần thực hiện các thao tác nào dưới đây để bảo đảm an toàn?</t>
  </si>
  <si>
    <t xml:space="preserve"> Giữ tay ga ở mức độ phù hợp, sử dụng phanh trước và phanh sau để giảm tốc độ.</t>
  </si>
  <si>
    <t>Nhả hết tay ga, tắt động cơ, sử dụng phanh trước và phanh sau để giảm tốc độ.</t>
  </si>
  <si>
    <t>Sử dụng phanh trước để giảm tốc độ kết hợp với tắt chìa khóa điện của xe.</t>
  </si>
  <si>
    <t>Câu 207. Khi vào số để khởi hành xe ô tô có số tự động, người lái xe phải thực hiện các thao tác nào để bảo đảm an toàn?</t>
  </si>
  <si>
    <t xml:space="preserve"> Đạp bàn đạp phanh chân hết hành trình, vào số và nhả phanh đỗ, kiểm tra lại xem có bị nhầm số không rồi mới cho xe lăn bánh.</t>
  </si>
  <si>
    <t>Đạp bàn đạp để tăng ga với mức độ phù hợp, vào số và kiểm tra lại xem có bị nhầm số không rồi mới cho xe lăn bánh.</t>
  </si>
  <si>
    <t>Câu 208. Khi nhả phanh đỗ cơ khí điều khiển bằng tay (phanh tay), người lái xe cần phải thực hiện các thao tác nào?</t>
  </si>
  <si>
    <t>Dùng lực tay phải kéo cần phanh tay về phía sau hết hành trình; nếu khóa hãm bị kẹt cứng phải đẩy mạnh phanh tay về phía trước, sau đó bóp khóa hãm.</t>
  </si>
  <si>
    <t xml:space="preserve"> Dùng lực tay phải bóp khóa hãm đẩy cần phanh tay về phía trước hết hành trình; nếu khóa hãm bị kẹt cứng phải kéo cần phanh tay về phía sau đồng thời bóp khóa hãm.</t>
  </si>
  <si>
    <t>Dùng lực tay phải đẩy cần phanh tay về phía trước hết hành trình; nếu khóa hãm bị kẹt cứng phải đẩy mạnh phanh tay về phía trước, sau đó bóp khóa hãm.</t>
  </si>
  <si>
    <t>Câu 209. Khi khởi hành ô tô sử dụng hộp số cơ khí trên đường bằng, người lái xe cần thực hiện các thao tác nào theo trình tự dưới đây?</t>
  </si>
  <si>
    <t>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côn để cho xe ô tô chuyển động.</t>
  </si>
  <si>
    <t xml:space="preserve"> Kiểm tra an toàn xung quanh xe ô tô; đạp ly hợp (côn) hết hành trình; vào số 1; nhả hết phanh tay, báo hiệu bằng còi, đèn trước khi xuất phát; tăng ga đủ để xuất phát; nhả từ từ đến 1/2 hành trình bàn đạp côn và giữ trong khoảng 3 giây, sau đó vừa tăng ga vừa nhả hết côn để cho xe ô tô chuyển động.</t>
  </si>
  <si>
    <t>Câu 210. Khi quay đầu xe, người lái xe cần phải quan sát và thực hiện các thao tác nào để bảo đảm an toàn giao thông?</t>
  </si>
  <si>
    <t>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t>
  </si>
  <si>
    <t>Câu 211. Khi ngồi lái ô tô tư thế chân, lưng, tay của người lái xe như thế nào là đúng để bảo đảm an toàn và thoải mái?</t>
  </si>
  <si>
    <t xml:space="preserve"> Điều chỉnh ghế sao cho chân có thể đạp phanh và ga dễ dàng, ngồi thẳng lưng, hai tay nắm vô lăng, tay trái nắm ở vị trí 9 đến 10 giờ và tay phải nắm ở vị trí từ 2 đến 4 giờ.</t>
  </si>
  <si>
    <t>Ngồi sát vô lăng để dễ quan sát hoặc ngồi tự do, không cần điều chỉnh ghế.</t>
  </si>
  <si>
    <t>Ngồi ngả người về phía sau nhiều để thư giãn, chân trái để ở vị trí chân ga, hai tay nắm vô lăng ở vị trí bất kỳ.</t>
  </si>
  <si>
    <t>Câu 212. Khi điều khiển ô tô lên dốc cao, người lái xe cần thực hiện các thao tác nào dưới đây để bảo đảm an toàn?</t>
  </si>
  <si>
    <t>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</si>
  <si>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 xml:space="preserve"> Về số thấp từ chân dốc, điều chỉnh ga cho xe từ từ lên dốc; đến gần đỉnh dốc phải đi chậm, đi sát về phía bên phải đường, có tín hiệu (còi, đèn) để báo cho người lái xe đi ngược chiều biết.</t>
  </si>
  <si>
    <t>Câu 213. Khi điều khiển ô tô xuống dốc dài, người lái xe cần thực hiện các thao tác nào dưới đây để bảo đảm an toàn?</t>
  </si>
  <si>
    <t>Tăng lên số cao, nhả bàn đạp ga ở mức độ phù hợp, kết hợp với phanh chân để khống chế tốc độ.</t>
  </si>
  <si>
    <t xml:space="preserve"> Về số thấp, nhả bàn đạp ga ở mức độ phù hợp, kết hợp với phanh chân để khống chế tốc độ.</t>
  </si>
  <si>
    <t>Về số không (0), nhả bàn đạp ga ở mức độ phù hợp, kết hợp với phanh chân để khống chế tốc độ.</t>
  </si>
  <si>
    <t>Câu 214. Khi xuống dốc, muốn dừng xe, người lái xe cần thực hiện các thao tác nào để bảo đảm an toàn?</t>
  </si>
  <si>
    <t xml:space="preserve"> Có tín hiệu rẽ phải, điều khiển xe sát vào lề đường bên phải; đạp phanh sớm và mạnh hơn lúc dừng xe trên đường bằng để xe đi với tốc độ chậm đến mức dễ dàng dừng lại được; về số 1, đạp 1/2 ly hợp (côn) cho xe đến chỗ dừng; khi xe đã dừng, về số không (N), đạp phanh chân, sử dụng phanh đỗ.</t>
  </si>
  <si>
    <t>Có tín hiệu rẽ phải, điều khiển xe sát vào lề đường bên trái; đạp hết hành trình ly hợp (côn) và nhả bàn đạp ga để xe đi với tốc độ chậm đến mức dễ dàng dừng lại được tại chỗ dừng; khi xe đã dừng, đạp và giữ phanh chân.</t>
  </si>
  <si>
    <t>Có tín hiệu rẽ trái, điều khiển xe sát vào lề đường bên phải; đạp phanh sớm và mạnh hơn lúc dừng xe trên đường bằng để xe đi với tốc độ chậm đến mức dễ dàng dừng lại được; về số không (N) để xe đi đến chỗ dừng, khi xe đã dừng, sử dụng phanh đỗ.</t>
  </si>
  <si>
    <t>Câu 215. Khi điều khiển xe trên đường vòng người lái xe cần phải làm gì để bảo đảm an toàn?</t>
  </si>
  <si>
    <t xml:space="preserve"> Quan sát cẩn thận các chướng ngại vật và báo hiệu bằng coi, đèn; giảm tốc độ tới mức cần thiết, về số thấp và thực hiện quay vòng với tốc độ phù hợp với bán kính cong của đường vòng.</t>
  </si>
  <si>
    <t>Quan sát cẩn thận các chướng ngại vật và báo hiệu bằng còi, đèn; tăng tốc để nhanh chóng qua đường vòng và giảm tốc độ sau khi qua đường vòng.</t>
  </si>
  <si>
    <t>Câu 216. Khi điều khiển xe ô tô rẽ phải, người lái xe cần thực hiện các thao tác nào để bảo đảm an toàn?</t>
  </si>
  <si>
    <t>Có tín hiệu rẽ phải; quan sát an toàn phía sau; điều khiển xe sang làn đường bên trái; giảm tốc độ và quan sát an toàn phía bên phải để điều khiển xe qua chỗ đường giao nhau.</t>
  </si>
  <si>
    <t xml:space="preserve"> Cách chỗ rẽ một khoảng cách an toàn có tín hiệu rẽ phải; giảm tốc độ, quan sát an toàn phía trước, sau, bên phải và điều khiển xe từ từ rẽ phải.</t>
  </si>
  <si>
    <t>Cách chỗ rẽ một khoảng cách an toàn có tín hiệu rẽ phải; quan sát an toàn phía sau; điều khiển xe bám sát vào phía phải đường; tăng tốc độ và quan sát an toàn phía bên trái để điều khiển xe qua chỗ đường giao nhau.</t>
  </si>
  <si>
    <t>Câu 217. Khi điều khiển xe ô tô rẽ trái, người lái xe cần thực hiện các thao tác nào để bảo đảm an toàn?</t>
  </si>
  <si>
    <t xml:space="preserve"> Cách chỗ rẽ một khoảng cách an toàn có tín hiệu rẽ trái; giảm tốc độ, quan sát an toàn xung quanh đặc biệt là bên trái; đổi sang làn đường bên trái và điều khiển xe từ từ rẽ trái.</t>
  </si>
  <si>
    <t>Cách chỗ rẽ một khoảng cách an toàn có tín hiệu rẽ trái, tăng tốc độ để xe nhanh chóng qua chỗ đường giao nhau; có tín hiệu xin đổi làn đường; quan sát an toàn xung quanh đặc biệt là bên trái; đổi làn đường sang phải để mở rộng vòng cua.</t>
  </si>
  <si>
    <t>Câu 218. Khi điều khiển xe sử dụng hộp số cơ khí vượt qua rãnh lớn cắt ngang mặt đường, người lái xe cần thực hiện các thao tác nào để đảm bảo an toàn?</t>
  </si>
  <si>
    <t>Vào số một (1) và từ từ cho hai bánh xe trước xuống rãnh, tăng ga cho hai bánh xe trước vượt lên khỏi rãnh, tăng số, tăng tốc độ để bánh xe sau vượt qua rãnh.</t>
  </si>
  <si>
    <t>Tăng ga, tăng số để hai bánh xe trước và bánh xe sau vượt qua khỏi rãnh và chạy bình thường.</t>
  </si>
  <si>
    <t xml:space="preserve"> Vào số một (1) và từ từ cho hai bánh xe trước xuống rãnh, tăng ga cho hai bánh xe trước vượt lên khỏi rãnh, tiếp tục để bánh xe sau từ từ xuống rãnh rồi tăng dần ga cho xe ô tô lên khỏi rãnh.</t>
  </si>
  <si>
    <t>Câu 219. Khi điều khiển xe qua đường sắt, người lái xe cần phải thực hiện các thao tác nào dưới đây để bảo đảm an toàn?</t>
  </si>
  <si>
    <t>Khi có chuông báo hoặc thanh chắn đã hạ xuống, người lái xe phải dừng xe tạm thời đúng khoảng cách an toàn, kéo phanh tay nếu đường dốc hoặc phải chờ lâu.</t>
  </si>
  <si>
    <t>Khi không có chuông báo hoặc thanh chắn không hạ xuống, người lái xe cần phải quan sát nếu thấy đủ điều kiện an toàn thì về số thấp, tăng ga nhẹ và không thay đổi số trong quá trình vượt qua đường sắt để tránh động cơ chết máy cho xe cho vượt qua.</t>
  </si>
  <si>
    <t>Câu 220. Khi điều khiển xe ô tô tự đổ, người lái xe cần chú ý những điểm gì để bảo đảm an toàn?</t>
  </si>
  <si>
    <t>Khi chạy trên đường xấu, nhiều ổ gà nên chạy chậm để thùng xe không bị lắc mạnh, không gây hiện tượng lệch "ben"; khi chạy vào đường vòng, cần giảm tốc độ, không lấy lái gấp và không phanh gấp.</t>
  </si>
  <si>
    <t>Khi chạy trên đường quốc lộ, đường bằng phẳng không cần hạ hết thùng xe xuống.</t>
  </si>
  <si>
    <t>Khi đổ hàng phải chọn vị trí có nền đường cứng và phẳng, dừng hẳn xe, kéo hết phanh đỗ; sau đó mới điều khiển cơ cấu nâng "ben" để đổ hàng, đổ xong hàng mới hạ thùng xuống.</t>
  </si>
  <si>
    <t xml:space="preserve"> Ý 1 và ý 3.</t>
  </si>
  <si>
    <t>Câu 221. Khi điều khiển xe tăng số, người lái xe cần chú ý những điểm gì để bảo đảm an toàn?</t>
  </si>
  <si>
    <t xml:space="preserve"> Không được nhìn xuống buồng lái, cần phải tăng thứ tự từ thấp đến cao, phối hợp các động tác phải nhịp nhàng, chính xác.</t>
  </si>
  <si>
    <t>Nhìn xuống buồng lái để biết chính xác vị trí các tay số, cần phải giảm thứ tự từ cao xuống thấp, phối hợp các động tác phải nhịp nhàng, chính xác.</t>
  </si>
  <si>
    <t xml:space="preserve"> Không được nhìn xuống buồng lái, cần phải giảm thứ tự từ cao xuống thấp, phối hợp các động tác phải nhịp nhàng, chính xác, vù ga phải phù hợp với tốc độ.</t>
  </si>
  <si>
    <t>Câu 223. Để giảm tốc độ khi ô tô đi xuống đường dốc dài, người lái xe phải thực hiện các thao tác nào để bảo đảm an toàn?</t>
  </si>
  <si>
    <t>Nhả bàn đạp ga, đạp ly hợp (côn) hết hành trình, đạp mạnh phanh chân để giảm tốc độ.</t>
  </si>
  <si>
    <t xml:space="preserve"> Về số thấp phù hợp, nhả bàn đạp ga, kết hợp đạp phanh chân với mức độ phù hợp để giảm tốc độ.</t>
  </si>
  <si>
    <t>Nhả bàn đạp ga, tăng lên số cao, đạp phanh chân với mức độ phù hợp để giảm tốc độ.</t>
  </si>
  <si>
    <t>Câu 224. Khi điều khiển ô tô qua đường ngập nước, người lái xe cần thực hiện các thao tác nào để đảm bảo an toàn?</t>
  </si>
  <si>
    <t>Tăng lên số cao, tăng ga và giảm ga liên tục để thay đổi tốc độ, giữ vững tay lái để ô tô vượt qua đoạn đường ngập nước.</t>
  </si>
  <si>
    <t>Đạp ly hợp (côn) hết hành trình, tăng ga và giảm ga liên tục để thay đổi tốc độ, giữ vững tay lái để ô tô vượt qua đoạn đường ngập nước.</t>
  </si>
  <si>
    <t xml:space="preserve"> Chuyển từ đèn chiếu xa sang đèn chiếu gần; không nhìn thẳng vào đèn của xe chạy ngược chiều mà nhìn chếch sang phía phải theo chiều chuyển động của xe mình.</t>
  </si>
  <si>
    <t>Chuyển từ đèn chiếu gần sang đèn chiếu xa; không nhìn thẳng vào đèn của xe chạy ngược chiều mà nhìn chếch sang phía phải theo chiều chuyển động của xe mình.</t>
  </si>
  <si>
    <t>Chuyển từ đèn chiếu xa sang đèn chiếu gần; nhìn thẳng vào đèn của xe chạy ngược chiều để tránh xe bảo đảm an toàn.</t>
  </si>
  <si>
    <t>Câu 226. Khi điều khiển xe ô tô trên đường trơn cần chú ý những điểm gì để bảo đảm an toàn?</t>
  </si>
  <si>
    <t>Giữ vững tay lái cho xe đi đúng vệt bánh xe đi trước, sử dụng số thấp đi chậm, giữ đều ga, đánh lái ngoặt và phanh gấp khi cần thiết.</t>
  </si>
  <si>
    <t xml:space="preserve"> Đang sử dụng phanh đỗ.</t>
  </si>
  <si>
    <t>Nhiệt độ nước làm mát quá mức cho phép.</t>
  </si>
  <si>
    <t>Cửa xe đang mở.</t>
  </si>
  <si>
    <t>Câu 228. Khi động cơ xe ô tô đã khởi động, bảng đồng hồ xuất hiện ký hiệu như hình vẽ dưới đây là báo hiệu tình trạng gì của xe ô tô?</t>
  </si>
  <si>
    <t>Đang sử dụng phanh đỗ.</t>
  </si>
  <si>
    <t>Thiếu dầu phanh.</t>
  </si>
  <si>
    <t>Nhiệt độ nước làm mát tăng quá mức cho phép.</t>
  </si>
  <si>
    <t xml:space="preserve"> Áp suất dầu ở mức thấp.</t>
  </si>
  <si>
    <t>Câu 229. Khi động cơ xe ô tô đã khởi động, bảng đồng hồ xuất hiện ký hiệu như hình vẽ dưới đây là báo hiệu tình trạng gì của xe ô tô?</t>
  </si>
  <si>
    <t xml:space="preserve"> Cửa xe đóng chưa chặt hoặc có cửa xe chưa đóng.</t>
  </si>
  <si>
    <t>Bộ nạp ắc quy gặp sự cố kỹ thuật.</t>
  </si>
  <si>
    <t>Dầu bôi trơn bị thiếu.</t>
  </si>
  <si>
    <t>Ý 2 và ý 3.</t>
  </si>
  <si>
    <t>Câu 230. Khi động cơ xe ô tô đã khởi động, bảng đồng hồ xuất hiện ký hiệu như hình vẽ dưới đây là báo hiệu tình trạng gì của xe ô tô?</t>
  </si>
  <si>
    <t>Thiếu dầu phanh, phanh tay đang hãm.</t>
  </si>
  <si>
    <t>Hệ thống túi khí an toàn gặp sự cố.</t>
  </si>
  <si>
    <t xml:space="preserve"> Lái xe và người ngồi ghế trước chưa cài dây đai an toàn.</t>
  </si>
  <si>
    <t>Cửa đóng chưa chặt, có cửa chưa đóng.</t>
  </si>
  <si>
    <t>Câu 231. Khi động cơ xe ô tô đã khởi động, bảng đồng hồ xuất hiện ký hiệu như hình vẽ dưới đây là báo hiệu tình trạng gì của xe ô tô?</t>
  </si>
  <si>
    <t>Báo hiệu thiếu dầu phanh.</t>
  </si>
  <si>
    <t>Áp suất lốp không đủ.</t>
  </si>
  <si>
    <t xml:space="preserve"> Sắp hết nhiên liệu.</t>
  </si>
  <si>
    <t>Câu 232. Trong các loại nhiên liệu dưới đây, loại nhiên liệu nào giảm thiểu ô nhiễm môi trường?</t>
  </si>
  <si>
    <t>Xăng và dầu diesel.</t>
  </si>
  <si>
    <t xml:space="preserve"> Xăng sinh học và khí sinh học.</t>
  </si>
  <si>
    <t>Ý 1 và ý 2.</t>
  </si>
  <si>
    <t>Câu 233. Các biện pháp tiết kiệm nhiên liệu khi chạy xe?</t>
  </si>
  <si>
    <t>Bảo dưỡng xe theo định kỳ và có kế hoạch lộ trình trước khi xe chạy.</t>
  </si>
  <si>
    <t>Kiểm tra áp suất lốp theo quy định và chạy xe với tốc độ phù hợp với tình trạng mặt đường và mật độ giao thông trên đường.</t>
  </si>
  <si>
    <t>Câu 234. Khi đã đỗ xe ô tô sát lề đường bên phải, người lái xe phải thực hiện các thao tác nào dưới đây khi mở cửa xuống xe để đảm bảo an toàn?</t>
  </si>
  <si>
    <t xml:space="preserve"> Quan sát tình hình giao thông phía trước, phía sau và phía bên mở cửa xe, mở hé cánh cửa, nếu đảm bảo an toàn thì mở cửa ở mức cần thiết để xuống xe ô tô.</t>
  </si>
  <si>
    <t>Mở cánh cửa và quan sát tình hình giao thông phía trước, nếu đảm bảo an toàn thì mở cửa ở mức cần thiết để xuống xe ô tô.</t>
  </si>
  <si>
    <t>Mở cánh cửa hết hành trình và nhanh chóng ra khỏi xe ô tô.</t>
  </si>
  <si>
    <t>Câu 235. Khi điều khiển xe ô tô qua đường sắt không có rào chắn, không có người điều khiển giao thông, người lái xe phải xử lý như thế nào?</t>
  </si>
  <si>
    <t>Giảm tốc độ, dừng lại trước vạch dừng, quan sát cả hai phía, nếu không có tàu đi tới, tăng ga nhẹ vượt qua đường sắt.</t>
  </si>
  <si>
    <t>Nếu thấy có tàu đi tới thì dừng lại trước vạch dừng, chỉ khi tàu đi qua mới được đi.</t>
  </si>
  <si>
    <t>Câu 236. Khi lái xe ô tô qua đường sắt không có rào chắn, không có người điều khiển giao thông, người lái xe thực hiện thao tác: “giảm tốc độ, dừng lại trước vạch dừng, quan sát cả hai phía, nếu không có tàu đi tới, tăng ga nhẹ vượt qua đường sắt. Nếu thấy có tàu đi tới thì dừng lại trước vạch dừng, chỉ khi tàu đi qua mới được đi” để đảm bảo an toàn là đúng hay không?</t>
  </si>
  <si>
    <t>Không đúng.</t>
  </si>
  <si>
    <t xml:space="preserve"> Đúng.</t>
  </si>
  <si>
    <t>Không cần thiết, vì nếu nhìn thấy tàu còn cách xa, người lái xe có thể tăng số cao, tăng ga để cho xe nhanh chóng vượt qua đường sắt.</t>
  </si>
  <si>
    <t>Câu 237. Khi điều khiển xe ô tô có hộp số tự động đi vào đường trơn trượt, lầy lội, người lái xe phải xử lý như thế nào để đảm bảo an toàn?</t>
  </si>
  <si>
    <t xml:space="preserve"> Về số thấp, kết hợp phanh chân để giảm tốc độ.</t>
  </si>
  <si>
    <t>Giữ nguyên tay số D, kết hợp phanh đỗ để giảm tốc độ.</t>
  </si>
  <si>
    <t>Về số N (số 0), kết hợp phanh chân để giảm tốc độ.</t>
  </si>
  <si>
    <t>Câu 238. Khi động cơ ô tô đã khởi động, muốn điều chỉnh ghế của người lái, người lái xe phải để cần số ở vị trí nào?</t>
  </si>
  <si>
    <t xml:space="preserve"> Vị trí N hoặc vị trí P hoặc số 0.</t>
  </si>
  <si>
    <t>Vị trí D hoặc số 1.</t>
  </si>
  <si>
    <t>Vị trí R.</t>
  </si>
  <si>
    <t>Câu 239. Khi điều khiển xe ô tô có hộp số tự động, người lái xe sử dụng chân như thế nào là đúng để bảo đảm an toàn?</t>
  </si>
  <si>
    <t xml:space="preserve"> Không sử dụng chân trái; chân phải điều khiển bàn đạp phanh và bàn đạp ga.</t>
  </si>
  <si>
    <t>Chân trái điều khiển bàn đạp phanh, chân phải điều khiển bàn đạp ga.</t>
  </si>
  <si>
    <t>Tăng tốc độ, chạy gần xe trước, nhìn đèn hậu để định hướng.</t>
  </si>
  <si>
    <t xml:space="preserve"> Giảm tốc độ, chạy cách xa xe trước với khoảng cách an toàn, bật đèn sương mù và đèn chiếu gần.</t>
  </si>
  <si>
    <t>Tăng tốc độ, bật đèn pha vượt qua xe chạy trước.</t>
  </si>
  <si>
    <t>Câu 241. Khi đèn pha của xe đi ngược chiều gây chói mắt, làm giảm khả năng quan sát trên đường, người lái xe xử lý như thế nào dưới đây để bảo đảm an toàn?</t>
  </si>
  <si>
    <t xml:space="preserve"> Giảm tốc độ, giữ vững tay lái, nhìn chếch sang lề đường bên phải.</t>
  </si>
  <si>
    <t>Bật đèn pha chiếu xa và giữ nguyên tốc độ.</t>
  </si>
  <si>
    <t>Tăng tốc độ, bật đèn pha đối diện xe phía trước.</t>
  </si>
  <si>
    <t>Câu 242. Để đạt được hiệu quả phanh cao nhất, người lái xe mô tô phải sử dụng các kỹ năng như thế nào dưới đây?</t>
  </si>
  <si>
    <t>Sử dụng phanh trước.</t>
  </si>
  <si>
    <t>Sử dụng phanh sau.</t>
  </si>
  <si>
    <t xml:space="preserve"> Giảm hết ga, sử dụng đồng thời cả phanh sau và phanh trước.</t>
  </si>
  <si>
    <t>Câu 243. Khi lái xe ô tô trên mặt đường có nhiều "ổ gà", người lái xe phải thực hiện thao tác như thế nào để bảo đảm an toàn?</t>
  </si>
  <si>
    <t xml:space="preserve"> Giảm tốc độ, về số thấp và giữ đều ga.</t>
  </si>
  <si>
    <t>Tăng tốc độ cho xe lướt qua nhanh.</t>
  </si>
  <si>
    <t>Tăng tốc độ, đánh lái liên tục để tránh "ổ gà".</t>
  </si>
  <si>
    <t>Câu 244. Khi điều khiển xe ô tô gặp mưa to hoặc sương mù, người lái xe phải làm gì để bảo đảm an toàn?</t>
  </si>
  <si>
    <t xml:space="preserve"> Bật đèn chiếu gần và đèn vàng (nếu có), điều khiển gạt nước, điều khiển ô tô đi với tốc độ chậm để có thể quan sát được; tìm chỗ an toàn dừng xe, bật đèn dừng khẩn cấp báo hiệu cho các xe khác biết.</t>
  </si>
  <si>
    <t>Bật đèn chiếu xa và đèn vàng, điều khiển gạt nước, tăng tốc độ điều khiển ô tô qua khỏi khu vực mưa hoặc sương mù.</t>
  </si>
  <si>
    <t>Tăng tốc độ, bật đèn pha vượt qua xe chạy phía trước.</t>
  </si>
  <si>
    <t>Câu 245. Điều khiển xe ô tô trong trời mưa, người lái xe phải xử lý như thế nào để bảo đảm an toàn?</t>
  </si>
  <si>
    <t xml:space="preserve"> Giảm tốc độ, tăng cường quan sát, không nên phanh gấp, không nên tăng ga hay đánh vô lăng đột ngột, bật đèn chiếu gần, mở chế độ gạt nước ở chế độ phù hợp để đảm bảo quan sát.</t>
  </si>
  <si>
    <t>Phanh gấp khi xe đi vào vũng nước và tăng ga ngay sau khi ra khỏi vũng nước.</t>
  </si>
  <si>
    <t>Bật đèn chiếu xa, tăng tốc độ điều khiển ô tô qua khỏi khu vực mưa.</t>
  </si>
  <si>
    <t>Câu 246. Khi lùi xe, người lái xe phải xử lý như thế nào để bảo đảm an toàn giao thông?</t>
  </si>
  <si>
    <t xml:space="preserve"> Quan sát bên trái, bên phải, phía sau xe, có tín hiệu cần thiết và lùi xe với tốc độ phù hợp.</t>
  </si>
  <si>
    <t>Quan sát phía trước xe và lùi xe với tốc độ nhanh.</t>
  </si>
  <si>
    <t>Quan sát bên trái và phía trước của xe và lùi xe với tốc độ nhanh.</t>
  </si>
  <si>
    <t>Câu 247. Điều khiển xe ô tô trong khu vực đông dân cư cần lưu ý điều gì dưới đây?</t>
  </si>
  <si>
    <t>Giảm tốc độ đến mức an toàn, quan sát, nhường đường cho người đi bộ, giữ khoảng cách an toàn với các xe phía trước.</t>
  </si>
  <si>
    <t>Đi đúng làn đường quy định, chỉ được chuyển làn đường ở nơi cho phép, nhưng phải quan sát.</t>
  </si>
  <si>
    <t>Câu 248. Khi điều khiển xe ô tô nhập vào đường cao tốc người lái xe cần thực hiện như thế nào dưới đây để bảo đảm an toàn giao thông?</t>
  </si>
  <si>
    <t xml:space="preserve"> Quan sát, phát tín hiệu, nhường đường cho các xe đang chạy trên đường cao tốc, khi đủ điều kiện an toàn thì tăng tốc độ cho xe nhập vào làn đường cao tốc, nếu có làn đường tăng tốc thì phải cho xe chạy trên làn đường đó trước khi cho xe nhập vào làn của đường cao tốc.</t>
  </si>
  <si>
    <t>Phát tín hiệu, quan sát các xe đang chạy phía trước, nếu bảo đảm các điều kiện an toàn thì tăng tốc độ cho xe nhập ngay vào làn đường cao tốc.</t>
  </si>
  <si>
    <t>Phát tín hiệu và lái xe nhập vào làn đường tăng tốc, quan sát các xe phía sau đang chạy trên đường cao tốc, khi đủ điều kiện an toàn thì giảm tốc độ, từ từ cho xe nhập vào làn đường cao tốc.</t>
  </si>
  <si>
    <t>Câu 249. Khi điều khiển xe ô tô ra khỏi đường cao tốc người lái xe cần thực hiện như thế nào dưới đây để bảo đảm an toàn giao thông?</t>
  </si>
  <si>
    <t xml:space="preserve"> Quan sát phía trước để tìm biển báo chỉ dẫn "lối ra đường cao tốc", kiểm tra tình trạng giao thông phía sau và bên phải, nếu bảo đảm điều kiện an toàn thì phát tín hiệu và điều khiển xe chuyển dần sang làn bên phải, nếu có làn đường giảm tốc thì phải cho xe di chuyển trên làn đường đó trước khi ra khỏi đường cao tốc.</t>
  </si>
  <si>
    <t>Quan sát phía trước để tìm biển báo chỉ dẫn "lối ra đường cao tốc", trường hợp vượt qua "lối ra đường cao tốc" thì phát tín hiệu, di chuyển sang làn đường giảm tốc và lùi xe quay trở lại.</t>
  </si>
  <si>
    <t>Câu 250. Người lái xe được dừng xe, đỗ xe trên làn dừng khẩn cấp của đường cao tốc trong trường hợp nào dưới đây?</t>
  </si>
  <si>
    <t xml:space="preserve"> Xe gặp sự cố, tai nạn hoặc trường hợp khẩn cấp không thể di chuyển bình thường.</t>
  </si>
  <si>
    <t>Để nghỉ ngơi, đi vệ sinh, chụp ảnh, làm việc riêng...</t>
  </si>
  <si>
    <t>Câu 251. Trên đường đôi muốn vượt xe kéo rơ moóc phía trước, người lái xe phải xử lý như thế nào?</t>
  </si>
  <si>
    <t>Giữ khoảng cách an toàn, tránh đi vào vị trí điểm mù của xe kéo rơ moóc, bật xi nhan trái đồng thời kết hợp đèn, còi xin vượt.</t>
  </si>
  <si>
    <t>Khi xe kéo rơ moóc đã có tín hiệu cho vượt (không có chướng ngại vật phía trước và xe đi ngược chiều), thấy đủ điều kiện an toàn thì vượt dứt khoát, không di chuyển song song bên cạnh xe kéo rơ moóc.</t>
  </si>
  <si>
    <t>Khi vượt qua, phải quan sát gương chiếu hậu bên phải nếu có khoảng trống an toàn mới được cho xe chạy vào làn của mình, tắt xi nhan và tiếp tục hành trình.</t>
  </si>
  <si>
    <t>Câu 252. Khi điều khiển xe ô tô xuống đường dốc dài, độ dốc cao, người lái xe số tự động cần thực hiện các thao tác nào dưới đây để bảo đảm an toàn?</t>
  </si>
  <si>
    <t xml:space="preserve"> Nhả bàn đạp ga, về số thấp, đạp phanh chân với mức độ phù hợp để giảm tốc độ.</t>
  </si>
  <si>
    <t>Nhả bàn đạp ga, về số N đạp phanh chân và kéo phanh tay để giảm tốc độ.</t>
  </si>
  <si>
    <t>Câu 253. Khi đi từ đường nhánh ra đường chính, người lái xe phải xử lý như thế nào là đúng?</t>
  </si>
  <si>
    <t xml:space="preserve"> Quan sát, giảm tốc độ, phát tín hiệu, nhường đường cho xe trên đường chính từ bất kỳ hướng nào tới.</t>
  </si>
  <si>
    <t>Nháy đèn, bấm còi để xe đi trên đường chính biết và tăng tốc độ cho xe đi ra đường chính.</t>
  </si>
  <si>
    <t>Giảm tốc độ để bảo đảm an toàn với xe phía trước và sử dụng điện thoại để liên lạc.</t>
  </si>
  <si>
    <t xml:space="preserve"> Giảm tốc độ để dừng xe ở nơi cho phép sau đó sử dụng điện thoại để liên lạc.</t>
  </si>
  <si>
    <t>Tăng tốc độ để cách xa xe phía sau và sử dụng điện thoại để liên lạc.</t>
  </si>
  <si>
    <t>Câu 255. Những thói quen nào dưới đây khi điều khiển xe mô tô tay ga tham gia giao thông dễ gây tai nạn nguy hiểm?</t>
  </si>
  <si>
    <t>Sử dụng còi.</t>
  </si>
  <si>
    <t>Phanh đồng thời cả phanh trước và phanh sau.</t>
  </si>
  <si>
    <t xml:space="preserve"> Chỉ sử dụng phanh trước.</t>
  </si>
  <si>
    <t>Câu 256. Người ngồi trên xe ô tô cần thực hiện những thao tác mở cửa như thế nào dưới đây để xuống xe để bảo đảm an toàn?</t>
  </si>
  <si>
    <t xml:space="preserve"> Quan sát phía trước, phía sau và bên phía mở cửa để phát hiện các phương tiện đang di chuyển tới gần, khi đủ điều kiện an toàn, mở hé cửa, sau đó mở ở mức cần thiết để xuống xe.</t>
  </si>
  <si>
    <t>Quan sát tình hình giao thông phía trước, không cần quan sát phía sau và bên mở cửa; mở cánh cửa hết hành trình và nhanh chóng ra khỏi xe ô tô.</t>
  </si>
  <si>
    <t>Câu 257. Khi điều khiển xe mô tô quay đầu, người lái xe cần thực hiện như thế nào để bảo đảm an toàn?</t>
  </si>
  <si>
    <t>Bật tín hiệu báo rẽ trước khi quay đầu, từ từ giảm tốc độ đến mức có thể dừng lại.</t>
  </si>
  <si>
    <t>Chỉ quay đầu xe tại những nơi được phép quay đầu.</t>
  </si>
  <si>
    <t>Quan sát an toàn các phương tiện tới từ phía trước, phía sau, hai bên đồng thời nhường đường cho xe từ bên phải và phía trước đi tới.</t>
  </si>
  <si>
    <t>Câu 258. Tay ga trên xe mô tô hai bánh có tác dụng gì dưới đây?</t>
  </si>
  <si>
    <t>Để điều khiển xe chạy về phía trước.</t>
  </si>
  <si>
    <t>Để điều tiết công suất động cơ qua đó điều khiển tốc độ của xe.</t>
  </si>
  <si>
    <t>Để điều khiển xe chạy lùi.</t>
  </si>
  <si>
    <t>Câu 259. Gương chiếu hậu của xe mô tô hai bánh có tác dụng gì dưới đây?</t>
  </si>
  <si>
    <t>Để quan sát an toàn phía bên trái khi chuẩn bị rẽ trái.</t>
  </si>
  <si>
    <t>Để quan sát an toàn phía bên phải khi chuẩn bị rẽ phải.</t>
  </si>
  <si>
    <t xml:space="preserve"> Để quan sát an toàn phía sau của bên trái và bên phải trước khi chuyển hướng.</t>
  </si>
  <si>
    <t>Tăng ga thật mạnh, giảm ga từ từ.</t>
  </si>
  <si>
    <t>Tăng ga thật mạnh, giảm ga thật nhanh.</t>
  </si>
  <si>
    <t xml:space="preserve"> Tăng ga từ từ, giảm ga thật nhanh.</t>
  </si>
  <si>
    <t>Tăng ga từ từ, giảm ga từ từ.</t>
  </si>
  <si>
    <t>Câu 261. Để tránh đổ, ngã khi điều khiển xe mô tô hai bánh ở nơi đường xấu, nhỏ và hẹp, người lái xe cần xử lý như thế nào?</t>
  </si>
  <si>
    <t>Đi ở tốc độ thấp, quan sát liên tục khoảng cách từ 05 m đến 10 m phía trước để điều chỉnh sớm hướng di chuyển.</t>
  </si>
  <si>
    <t>Trong quá trình di chuyển không nên dùng phanh trước tránh làm khóa bánh dẫn hướng.</t>
  </si>
  <si>
    <t>Không được lắc người sang trái hoặc phải nhiều, trọng tâm cơ thể cần trùng với trọng tâm của xe.</t>
  </si>
  <si>
    <t>Câu 262. Khi lái xe ô tô điện xuống dốc dài, đổ đèo, người lái xe cần chú ý những vấn đề gì để bảo đảm an toàn?</t>
  </si>
  <si>
    <t>Kiểm tra hệ thống an toàn, pin của xe trước khi xuất phát.</t>
  </si>
  <si>
    <t>Nhả chân ga để phanh tái sinh hoạt động.</t>
  </si>
  <si>
    <t>Rà phanh chân để kịp thời xử lý tình huống khẩn cấp.</t>
  </si>
  <si>
    <t>Câu 263. Khi lái xe ô tô điện qua khu vực ngập nước, người lái xe cần phải chú ý những vấn đề gì?</t>
  </si>
  <si>
    <t>Người lái xe phải tìm hiểu khả năng chìm trong nước của xe để xác định cung đường di chuyển.</t>
  </si>
  <si>
    <t>Giữ vững tay lái, đi đều ga, tránh không để xe chết máy giữa dòng, không nên dừng xe trên đường ngập nước.</t>
  </si>
  <si>
    <t>Lái xe tốc độ chậm, không tạo sóng và giữ khoảng cách an toàn với các phương tiện xung quanh, nhất là người đi bộ.</t>
  </si>
  <si>
    <t>CHƯƠNG IV. CẤU TẠO VÀ SỬA CHỮA</t>
  </si>
  <si>
    <t>Câu 264. Phương pháp kiểm tra mức dầu bôi trơn động cơ nào dưới đây là đúng?</t>
  </si>
  <si>
    <t>Kiểm tra que thăm dầu trên các-te. Quan sát vệt dầu trên que thăm, mức dầu này phải nằm ở mức tối đa được thể hiện trên que thăm.</t>
  </si>
  <si>
    <t>Rút que thăm dầu trên các-te. Quan sát vệt dầu trên que thăm, mức dầu này phải nằm ở mức tối thiểu được thể hiện trên que thăm.</t>
  </si>
  <si>
    <t xml:space="preserve"> Rút que thăm dầu trên các-te, lau sạch que thăm sau đó cắm vào các-te và rút ra quan sát vệt dầu trên que thăm, mức dầu phải nằm trong khoảng vạch mức tối thiểu và tối đa được thể hiện trên que thăm.</t>
  </si>
  <si>
    <t>Câu 265. Xe ô tô tham gia giao thông đường bộ phải bảo đảm các quy định về chất lượng, an toàn kỹ thuật và bảo vệ môi trường nào dưới đây?</t>
  </si>
  <si>
    <t>Kính chắn gió, kính cửa phải là loại kính an toàn, bảo đảm tầm nhìn cho người điều khiển; có đủ hệ thống hãm và hệ thống chuyển hướng có hiệu lực, tay lái xe ô tô ở bên trái của xe, có còi với âm lượng đúng quy chuẩn kỹ thuật.</t>
  </si>
  <si>
    <t>Có đủ đèn chiếu sáng gần và xa, đèn soi biển số, đèn báo hãm, đèn tín hiệu; có đủ bộ phận giảm thanh, giảm khói, các kết cấu phải đủ độ bền và bảo đảm tính năng vận hành ổn định.</t>
  </si>
  <si>
    <t>Câu 266. Xe mô tô và xe ô tô tham gia giao thông trên đường bộ có bắt buộc phải đủ bộ phận giảm thanh không?</t>
  </si>
  <si>
    <t>Không bắt buộc.</t>
  </si>
  <si>
    <t xml:space="preserve"> Bắt buộc.</t>
  </si>
  <si>
    <t>Tùy từng trường hợp.</t>
  </si>
  <si>
    <t>Câu 267. Xe ô tô tham gia giao thông trên đường bộ phải có đủ các loại đèn nào dưới đây?</t>
  </si>
  <si>
    <t>Đèn chiếu sáng gần và xa.</t>
  </si>
  <si>
    <t>Đèn soi biển số, đèn báo hãm và đèn tín hiệu.</t>
  </si>
  <si>
    <t>Dàn đèn pha trên nóc xe.</t>
  </si>
  <si>
    <t>Câu 268. Kính chắn gió của xe ô tô phải bảo đảm yêu cầu nào dưới đây?</t>
  </si>
  <si>
    <t xml:space="preserve"> Là loại kính an toàn, kính nhiều lớp, đúng quy cách, không rạn nứt, bảo đảm hình ảnh quan sát rõ ràng, không bị méo mó.</t>
  </si>
  <si>
    <t>Là loại kính trong suốt, không rạn nứt, bảo đảm tầm nhìn cho người điều khiển về phía trước mặt và hai bên.</t>
  </si>
  <si>
    <t>Câu 269. Bánh xe, lốp lắp cho xe ô tô phải bảo đảm an toàn kỹ thuật như thế</t>
  </si>
  <si>
    <t>nào dưới đây?</t>
  </si>
  <si>
    <t>Bánh xe phải có kết cấu chắc chắn, lắp đặt đúng quy cách của nhà sản xuât.</t>
  </si>
  <si>
    <t>Lốp phải đủ số lượng, đủ áp suất, không phồng rộp, đúng cỡ lốp của nhà sản xuất hoặc tài liệu kỹ thuật quy định; lốp trên cùng một trục của xe sử dụng trong điều kiện hoạt động bình thường phải cùng kiểu loại.</t>
  </si>
  <si>
    <t>Câu 270. Hệ thống lái trên xe ô tô phải bảo đảm yêu cầu nào dưới đây?</t>
  </si>
  <si>
    <t>Bảo đảm cho xe chuyển hướng chính xác, điều khiển nhẹ nhàng, an toàn ở mọi vận tốc và tải trọng trong phạm vi tính năng kỹ thuật cho phép của xe.</t>
  </si>
  <si>
    <t>Khi hoạt động các cơ cấu chuyển động của hệ thống lái không được va chạm với bất kỳ bộ phận nào của xe; khi quay vô lăng lái về bên phải và bên trái thì không được có sự khác biệt đáng kể về lực tác động lên vành tay lái.</t>
  </si>
  <si>
    <t>Câu 271. Mục đích của bảo dưỡng thường xuyên đối với xe ô tô có tác dụng gì dưới đây?</t>
  </si>
  <si>
    <t>Bảo dưỡng ô tô thường xuyên làm cho ô tô luôn luôn có tính năng kỹ thuật tốt, giảm cường độ hao mòn của các chi tiết, kéo dài tuổi thọ của xe.</t>
  </si>
  <si>
    <t>Ngăn ngừa và phát hiện kịp thời các hư hỏng và sai lệch kỹ thuật để khắc phục, giữ gìn được hình thức bên ngoài.</t>
  </si>
  <si>
    <t>Câu 272. Trong các nguyên nhân nêu dưới đây, nguyên nhân nào làm động cơ diesel không nổ?</t>
  </si>
  <si>
    <t xml:space="preserve"> Hết nhiên liệu, lõi lọc nhiên liệu bị tắc, lọc khí bị tắc, nhiên liệu lẫn không khí, tạp chất.</t>
  </si>
  <si>
    <t>Hết nhiên liệu, lõi lọc nhiên liệu bị tắc, lọc khí bị tắc, nhiên liệu lẫn không khí, không có tia lửa điện.</t>
  </si>
  <si>
    <t>Hết nhiên liệu, lõi lọc nhiên liệu bị tắc, lọc khí bị tắc, nhiên liệu lẫn không khí và nước, không có tia lửa điện.</t>
  </si>
  <si>
    <t>Câu 273. Ống xả lắp trên xe ô tô phải bảo đảm yêu cầu an toàn kỹthuật nào dưới đây?</t>
  </si>
  <si>
    <t>Ống xả không được đặt ở vị trí có thể gây cháy xe hoặc ảnh hưởng đến người ngồi trên xe và gây cản trở hoạt động của hệ thống khác.</t>
  </si>
  <si>
    <t>Miệng thoát khí thải của ống xả không được hướng về phía trước và không được hướng về bên phải theo chiều tiến của xe.</t>
  </si>
  <si>
    <t>Câu 274. Dây đai an toàn lắp trên xe ô tô phải bảo đảm yêu cầu an toàn kỹ thuật nào dưới đây?</t>
  </si>
  <si>
    <t xml:space="preserve"> Đủ số lượng, lắp đặt chắc chắn không bị rách, đứt, khóa cài đóng, mở nhẹ nhàng, không tự mở, không bị kẹt; kéo ra thu vào dễ dàng, cơ cấu hãm giữ chặt dây khi giật dây đột ngột.</t>
  </si>
  <si>
    <t>Đủ số lượng, lắp đặt chắc chắn không bị rách, đứt, khóa cài đóng, mở nhẹ nhàng, không tự mở, không bị kẹt; kéo ra thu vào dễ dàng, cơ cấu hãm mở ra khi giật dây đột ngột.</t>
  </si>
  <si>
    <t>Câu 275. Thế nào là động cơ 4 kỳ?</t>
  </si>
  <si>
    <t>Là loại động cơ: để hoàn thành một chu trình công tác của động cơ, pít tông thực hiện 2 (hai) hành trình, trong đó có một lần sinh công.</t>
  </si>
  <si>
    <t xml:space="preserve"> Là loại động cơ: để hoàn thành một chu trình công tác của động cơ, pít tông thực hiện 4 (bốn) hành trình, trong đó có một lần sinh công.</t>
  </si>
  <si>
    <t>Câu 276. Công dụng của hệ thống bôi trơn đối với động cơ ô tô?</t>
  </si>
  <si>
    <t xml:space="preserve"> Cung cấp một lượng dầu bôi trơn đủ và sạch dưới áp suất nhất định đi bôi trơn cho các chi tiết của động cơ để giảm ma sát, giảm mài mòn, làm kín, làm sạch, làm mát và chống gỉ.</t>
  </si>
  <si>
    <t>Cung cấp một lượng nhiên liệu đầy đủ và sạch để cho động cơ ô tô hoạt động.</t>
  </si>
  <si>
    <t>Câu 277. Niên hạn sử dụng của xe ô tô tải (tính bắt đầu từ năm sản xuất) không quá bao nhiêu năm?</t>
  </si>
  <si>
    <t>15 năm.</t>
  </si>
  <si>
    <t>20 năm.</t>
  </si>
  <si>
    <t xml:space="preserve"> 25 năm.</t>
  </si>
  <si>
    <t>Câu 278. Niên hạn sử dụng của xe ô tô chở người trên 8 chỗ ngồi (không kể chỗ của người lái xe) tính bắt đầu từ năm sản xuất không quá bao nhiêu năm?</t>
  </si>
  <si>
    <t>5 năm.</t>
  </si>
  <si>
    <t xml:space="preserve"> 20 năm.</t>
  </si>
  <si>
    <t>25 năm.</t>
  </si>
  <si>
    <t>Câu 279. Hãy nêu công dụng của động cơ xe ô tô?</t>
  </si>
  <si>
    <t xml:space="preserve"> Khi làm việc, nhiệt năng được biến đổi thành cơ năng làm trục khủy động cơ quay, truyền lực đến các bánh xe chủ động tạo ra chuyển động tịnh tiến cho xe ô tô.</t>
  </si>
  <si>
    <t>Khi làm việc, cơ năng được biến đổi thành nhiệt năng và truyền đến các bánh xe chủ động tạo ra chuyển động tịnh tiến cho xe ô tô.</t>
  </si>
  <si>
    <t>Câu 280. Hãy nêu công dụng hệ thống truyền lực của xe ô tô?</t>
  </si>
  <si>
    <t xml:space="preserve"> Dùng để truyền mô men quay từ động cơ tới các bánh xe chủ động của xe ô tô.</t>
  </si>
  <si>
    <t>Dùng để thay đổi hướng chuyển động hoặc giữ cho xe ô tô chuyển động ổn định theo hướng xác định.</t>
  </si>
  <si>
    <t>Dùng để làm giảm tốc độ, dừng chuyển động của xe ô tô.</t>
  </si>
  <si>
    <t>Câu 281. Hãy nêu công dụng ly hợp (côn) của xe ô tô?</t>
  </si>
  <si>
    <t>Dùng để truyền mô men xoắn giữa các trục không cùng nằm trên một đường thẳng và góc lệch trục luôn thay đổi trong quá trình xe ô tô chuyển động.</t>
  </si>
  <si>
    <t xml:space="preserve"> Dùng để truyền hoặc ngắt truyền động từ động cơ đến hộp số của xe ô tô.</t>
  </si>
  <si>
    <t>Dùng để truyền truyền động từ hộp số đến bánh xe chủ động của ô tô.</t>
  </si>
  <si>
    <t>Câu 282. Hãy nêu công dụng hộp số của xe ô tô?</t>
  </si>
  <si>
    <t>Truyền và tăng mô men xoắn giữa các trục vuông góc nhau, bảo đảm cho các bánh xe chủ động quay với tốc độ khác nhau khi sức cản chuyển động ở bánh xe hai bên không bằng nhau.</t>
  </si>
  <si>
    <t>Truyền và thay đổi mô men xoắn giữa các trục không cùng nằm trên một đường thẳng và góc lệch trục luôn thay đổi trong quá trình ô tô chuyển động, chuyển số êm dịu, dễ điều khiển.</t>
  </si>
  <si>
    <t xml:space="preserve"> Truyền và thay đổi mô men từ động cơ đến bánh xe chủ động, cắt truyền động từ động cơ đến bánh xe chủ động, bảo đảm cho xe ô tô chuyển động lùi.</t>
  </si>
  <si>
    <t>Câu 283. Hãy nêu công dụng hệ thống lái của xe ô tô?</t>
  </si>
  <si>
    <t>Dùng để thay đổi mô men từ động cơ tới các bánh xe chủ động khi xe ô tô chuyển động theo hướng xác định.</t>
  </si>
  <si>
    <t>Dùng để thay đổi mô men giữa các trục vuông góc nhau khi xe ô tô chuyển động theo hướng xác định.</t>
  </si>
  <si>
    <t xml:space="preserve"> Dùng để thay đổi hướng chuyển động hoặc giữ cho xe ô tô chuyển động ổn định theo hướng xác định.</t>
  </si>
  <si>
    <t>Câu 284. Hãy nêu công dụng hệ thống phanh của xe ô tô?</t>
  </si>
  <si>
    <t xml:space="preserve"> Dùng để giảm tốc độ, dừng chuyển động của xe ô tô và giữ cho xe ô tô đứng yên trên dốc.</t>
  </si>
  <si>
    <t>Dùng để truyền hoặc ngắt truyền động từ động cơ đến bánh xe chủ động của xe ô tô.</t>
  </si>
  <si>
    <t>Câu 285. Đèn phanh trên xe mô tô có tác dụng gì dưới đây?</t>
  </si>
  <si>
    <t>Có tác dụng cảnh báo cho các xe phía sau biết xe đang giảm tốc để chủ động tránh hoặc giảm tốc để tránh va chạm.</t>
  </si>
  <si>
    <t>Có tác dụng định vị vào ban đêm với các xe từ phía sau tới để tránh va chạm.</t>
  </si>
  <si>
    <t>Câu 286. Khi động cơ ô tô đã khởi động, bảng đồng hồ xuất hiện ký hiệu như hình vẽ dưới đây, báo hiệu tình trạng như thế nào của xe ô tô?</t>
  </si>
  <si>
    <t xml:space="preserve"> Nhiệt độ nước làm mát động cơ quá ngưỡng cho phép.</t>
  </si>
  <si>
    <t>Đang hãm phanh tay.</t>
  </si>
  <si>
    <t>Cần kiểm tra động cơ.</t>
  </si>
  <si>
    <t>Câu 287. Khi động cơ ô tô đã khởi động, bảng đồng hồ xuất hiện ký hiệu như hình vẽ dưới đây, báo hiệu tình trạng như thế nào của xe ô tô?</t>
  </si>
  <si>
    <t>Báo hiệu hệ thống chống bó cứng khi phanh bị lỗi.</t>
  </si>
  <si>
    <t xml:space="preserve"> Cần kiểm tra động cơ.</t>
  </si>
  <si>
    <t>Câu 288. Khi động cơ ô tô đã khởi động, bảng đồng hồ xuất hiện ký hiệu như hình vẽ dưới đây, báo hiệu tình trạng như thế nào của xe ô tô?</t>
  </si>
  <si>
    <t xml:space="preserve"> Áp suất lốp không đủ.</t>
  </si>
  <si>
    <t>Sắp hết nhiên liệu.</t>
  </si>
  <si>
    <t>Câu 289. Khi động cơ ô tô đã khởi động, bảng đồng hồ xuất hiện ký hiệu như hình vẽ dưới đây, báo hiệu tình trạng như thế nào của xe ô tô?</t>
  </si>
  <si>
    <t xml:space="preserve"> Báo hiệu hệ thống chống bó cứng phanh bị lỗi.</t>
  </si>
  <si>
    <t>Câu 290. Khi khởi động xe ô tô số tự động có trang bị chìa khóa thông minh có cần đạp hết hành trình bàn đạp chân phanh hay không?</t>
  </si>
  <si>
    <t xml:space="preserve"> Phải đạp hết hành trình bàn đạp chân phanh.</t>
  </si>
  <si>
    <t>Không cần đạp phanh.</t>
  </si>
  <si>
    <t>Câu 291. Ắc quy được trang bị trên xe ô tô có tác dụng gì dưới đây?</t>
  </si>
  <si>
    <t>Giúp người lái xe kịp thời tạo xung lực tối đa lên hệ thống phanh trong khoảnh khắc đầu tiên của tình huống khẩn cấp.</t>
  </si>
  <si>
    <t>Ổn định chuyển động của xe ô tô khi đi vào đường vòng.</t>
  </si>
  <si>
    <t>Hỗ trợ người lái xe khởi hành ngang dốc.</t>
  </si>
  <si>
    <t xml:space="preserve"> Để tích trữ điện năng, cung cấp cho các phụ tải khi máy phát chưa làm việc.</t>
  </si>
  <si>
    <t>Câu 292. Máy phát điện được trang bị trên xe ô tô có tác dụng gì dưới đây?</t>
  </si>
  <si>
    <t xml:space="preserve"> Để phát điện năng cung cấp cho các phụ tải làm việc và nạp điện cho ắc quy.</t>
  </si>
  <si>
    <t>Để tích trữ điện năng và cung cấp điện cho các phụ tải làm việc.</t>
  </si>
  <si>
    <t>Câu 293. Dây đai an toàn được trang bị trên xe ô tô có tác dụng gì dưới đây?</t>
  </si>
  <si>
    <t xml:space="preserve"> Giữ chặt người lái và hành khách trên ghế ngồi khi xe ô tô đột ngột dừng lại.</t>
  </si>
  <si>
    <t>Câu 294. Túi khí được trang bị trên xe ô tô có tác dụng gì dưới đây?</t>
  </si>
  <si>
    <t>Giữ chặt người lái và hành khách trên ghế ngồi khi xe ô tô đột ngột dừng lại.</t>
  </si>
  <si>
    <t>Giảm khả năng va đập của một số bộ phận cơ thể quan trọng với các vật thể trong xe.</t>
  </si>
  <si>
    <t>Hấp thụ một phần lực va đập lên người lái và hành khách.</t>
  </si>
  <si>
    <t xml:space="preserve"> Ý 2 và ý 3.</t>
  </si>
  <si>
    <t>Câu 295. Khi động cơ ô tô đã khởi động, bảng đồng hồ xuất hiện ký hiệu như hình vẽ dưới đây không tắt trong thời gian dài, báo hiệu tình trạng như thế nào của xe ô tô?</t>
  </si>
  <si>
    <t>Nhiệt độ nước làm mát động cơ quá ngưỡng cho phép.</t>
  </si>
  <si>
    <t xml:space="preserve"> Hệ thống lái gặp sự cố.</t>
  </si>
  <si>
    <t>Câu 296. Trên xe ô tô có trang bị thiết bị như hình vẽ dưới đây có tác dụng gì?</t>
  </si>
  <si>
    <t xml:space="preserve"> Dùng để kích (hay nâng) xe ô tô.</t>
  </si>
  <si>
    <t>Vặn ốc lắp bánh xe.</t>
  </si>
  <si>
    <t>Câu 297. Trên xe ô tô có trang bị thiết bị như hình vẽ dưới đây, dùng để làm gì?</t>
  </si>
  <si>
    <t>Thay lốp xe.</t>
  </si>
  <si>
    <t>Chữa cháy.</t>
  </si>
  <si>
    <t xml:space="preserve"> Phá cửa kính xe ô tô trong các trường hợp khẩn cấp.</t>
  </si>
  <si>
    <t>Vặn ốc để tháo lắp bánh xe.</t>
  </si>
  <si>
    <t>Câu 298. Trên xe ô tô có trang bị thiết bị như hình vẽ dưới đây, dùng để làm gì?</t>
  </si>
  <si>
    <t xml:space="preserve"> Chữa cháy trong các trường hợp hỏa hoạn.</t>
  </si>
  <si>
    <t>Cầm máu cho người bị nạn.</t>
  </si>
  <si>
    <t>Câu 299. Nút bấm biểu tượng như hình vẽ trên xe ô tô có ý nghĩa như thế nào?</t>
  </si>
  <si>
    <t>Báo hiệu xin đường cho xe đi thẳng.</t>
  </si>
  <si>
    <t>Báo hiệu hệ thống phanh bị lỗi.</t>
  </si>
  <si>
    <t xml:space="preserve"> Báo hiệu xe đang ở tình huống nguy hiểm.</t>
  </si>
  <si>
    <t>Báo hiệu đến thời gian cần bảo dưỡng.</t>
  </si>
  <si>
    <t>Câu 300. Khi động cơ đã hoạt động, bảng đồng hồ xuất hiện biểu tượng hình vẽ dưới đây, báo hiệu tình trạng như thế nào của xe?</t>
  </si>
  <si>
    <t>Báo hiệu hệ thống túi khí đã bật.</t>
  </si>
  <si>
    <t>Báo hiệu đèn chiếu sáng xa đã bật.</t>
  </si>
  <si>
    <t xml:space="preserve"> Báo hiệu chế độ lái tiết kiệm nhiên liệu đã bật.</t>
  </si>
  <si>
    <t>Báo hiệu đèn cảnh báo khoảng cách đã bật.</t>
  </si>
  <si>
    <t>CHƯƠNG V. BÁO HIỆU ĐƯỜNG BỘ</t>
  </si>
  <si>
    <t>Câu 301. Biển nào cấm các loại xe cơ giới đi vào, trừ xe máy hai bánh, xe gắn máy và các loại xe ưu tiên theo quy định?</t>
  </si>
  <si>
    <t xml:space="preserve"> Biển 1.</t>
  </si>
  <si>
    <t>3. Biển 1 và biển 3.</t>
  </si>
  <si>
    <t>Biển 2.</t>
  </si>
  <si>
    <t>4. Cả ba biển.</t>
  </si>
  <si>
    <t>Câu 302. Biển nào cấm xe ô tô tải?</t>
  </si>
  <si>
    <t>Cả ba biển.</t>
  </si>
  <si>
    <t>Biển 2 và biển 3.</t>
  </si>
  <si>
    <t>4. Biển 1 và biển 2.</t>
  </si>
  <si>
    <t>Câu 303. Biển nào cấm máy kéo?</t>
  </si>
  <si>
    <t>Biển 1.</t>
  </si>
  <si>
    <t xml:space="preserve"> Biển 2 và biển 3.</t>
  </si>
  <si>
    <t>Biển 1 và biển 3.</t>
  </si>
  <si>
    <t>Câu 304. Biển nào báo hiệu cấm xe mô tô ba bánh chở hàng đi qua?</t>
  </si>
  <si>
    <t xml:space="preserve"> Biển 1 và biển 2.</t>
  </si>
  <si>
    <t>Câu 305. Biển nào dưới đây xe gắn máy được phép đi vào?</t>
  </si>
  <si>
    <t xml:space="preserve"> Cả hai biển.</t>
  </si>
  <si>
    <t>Câu 306. Biển nào báo hiệu cấm xe mô tô hai bánh đi vào?</t>
  </si>
  <si>
    <t>Biển 3.</t>
  </si>
  <si>
    <t>Câu 307. Khi gặp biển nào thì xe mô tô hai bánh được đi vào?</t>
  </si>
  <si>
    <t>Không biển nào.</t>
  </si>
  <si>
    <t>Biển 1 và biển 2.</t>
  </si>
  <si>
    <t>Câu 308. Biển nào cho phép xe ô tô con được vượt?</t>
  </si>
  <si>
    <t xml:space="preserve"> Biển 1 và biển 3.</t>
  </si>
  <si>
    <t>Câu 309. Biển nào không cho phép xe ô tô con vượt?</t>
  </si>
  <si>
    <t xml:space="preserve"> Biển 2.</t>
  </si>
  <si>
    <t>Câu 310. Biển nào cấm xe ô tô tải vượt?</t>
  </si>
  <si>
    <t>Câu 311. Biển nào cấm xe tải vượt?</t>
  </si>
  <si>
    <t>Câu 312. Biển nào xe ô tô con được phép vượt?</t>
  </si>
  <si>
    <t>Câu 313. Biển nào cấm quay đầu xe?</t>
  </si>
  <si>
    <t>Cả hai biển.</t>
  </si>
  <si>
    <t>Câu 314. Biển nào cấm xe rẽ trái?</t>
  </si>
  <si>
    <t>Câu 315. Khi gặp biển nào xe được rẽ trái?</t>
  </si>
  <si>
    <t>Câu 316. Biển nào cấm xe ô tô rẽ trái?</t>
  </si>
  <si>
    <t>Câu 317. Biển nào cấm các phương tiện rẽ phải?</t>
  </si>
  <si>
    <t>Câu 318. Biển nào cấm các phương tiện rẽ trái?</t>
  </si>
  <si>
    <t>Câu 319. Biển nào dưới đây chỉ cấm xe ô tô quay đầu?</t>
  </si>
  <si>
    <t>Câu 320. Biển nào dưới đây cấm xe ô tô rẽ trái và quay đầu?</t>
  </si>
  <si>
    <t>Câu 321. Biển nào cấm xe taxi mà không cấm các phương tiện khác?</t>
  </si>
  <si>
    <t>Câu 322. Biển nào xe được phép rẽ trái?</t>
  </si>
  <si>
    <t>Câu 323. Biển nào xe quay đầu không bị cấm?</t>
  </si>
  <si>
    <t>Câu 324. Biển nào xe được phép quay đầu nhưng không được rẽ trái?</t>
  </si>
  <si>
    <t>Câu 325. Biển nào là biển "Cấm đi ngược chiều"?</t>
  </si>
  <si>
    <t>Câu 326. Biển nào dưới đây các phương tiện không được phép đi vào?</t>
  </si>
  <si>
    <t>Câu 327. Gặp biển nào người lái xe không được đỗ xe vào ngày chẵn?</t>
  </si>
  <si>
    <t>Câu 328. Gặp biển nào người lái xe không được đỗ xe vào ngày lẻ?</t>
  </si>
  <si>
    <t>Câu 329. Khi gặp biển nào xe ưu tiên theo luật định vẫn phải dừng lại?</t>
  </si>
  <si>
    <t>Câu 330. Biển nào cấm tất cả các loại xe cơ giới và thô sơ đi lại trên đường, trừ xe ưu tiên theo luật định (nếu đường vẫn cho xe chạy được)?</t>
  </si>
  <si>
    <t>Câu 331. Biển nào là biển "Cấm xe chở hàng nguy hiểm"?</t>
  </si>
  <si>
    <t xml:space="preserve"> Biển 3.</t>
  </si>
  <si>
    <t>Câu 332. Gặp biển nào xe xích lô được phép đi vào?</t>
  </si>
  <si>
    <t>Câu 333. Gặp biển nào xe lam, xe xích lô máy được phép đi vào?</t>
  </si>
  <si>
    <t>Câu 334. Biển báo này có ý nghĩa như thế nào?</t>
  </si>
  <si>
    <t>Đường cấm súc vật vận tải hàng hóa.</t>
  </si>
  <si>
    <t>Đường cấm súc vật vận tải hành khách.</t>
  </si>
  <si>
    <t xml:space="preserve"> Đường cấm súc vật vận tải hàng hóa hoặc hành khách dù kéo xe hay chở trên lưng đi qua.</t>
  </si>
  <si>
    <t>Câu 335. Biển báo này có ý nghĩa như thế nào?</t>
  </si>
  <si>
    <t xml:space="preserve"> Tốc độ tối đa cho phép về ban đêm cho các phương tiện là 70 km/h.</t>
  </si>
  <si>
    <t>Tốc độ tối thiểu cho phép về ban đêm cho các phương tiện là 70 km/h.</t>
  </si>
  <si>
    <t>Câu 336. Khi gặp các biển này xe ưu tiên theo luật định (có tải trọng hay chiều cao toàn bộ vượt quá chỉ số ghi trên biển) có được phép đi qua hay không?</t>
  </si>
  <si>
    <t>Câu 337. Biển nào hạn chế chiều cao của xe và hàng?</t>
  </si>
  <si>
    <t>Câu 338. Biển số 2 có ý nghĩa như thế nào?</t>
  </si>
  <si>
    <t>Cho phép xe ô tô có tải trọng trục lớn hơn 7 tấn đi qua.</t>
  </si>
  <si>
    <t xml:space="preserve"> Cho phép xe ô tô có tải trọng trên trục xe từ 7 tấn trở xuống đi qua.</t>
  </si>
  <si>
    <t>Câu 339. Biển số 3 có ý nghĩa như thế nào?</t>
  </si>
  <si>
    <t xml:space="preserve"> Cấm các loại xe có tải trọng toàn bộ trên 10 tấn đi qua.</t>
  </si>
  <si>
    <t>Hạn chế khối lượng hàng hóa chở trên xe.</t>
  </si>
  <si>
    <t>Hạn chế tải trọng trên trục xe.</t>
  </si>
  <si>
    <t>Câu 340. Biển nào cấm máy kéo kéo theo rơ moóc?</t>
  </si>
  <si>
    <t>Câu 341. Khi gặp biển số 1, xe ô tô tải có được đi vào không?</t>
  </si>
  <si>
    <t xml:space="preserve"> Được đi vào.</t>
  </si>
  <si>
    <t>Không được đi vào.</t>
  </si>
  <si>
    <t>Câu 342. Biển nào không có hiệu lực đối với xe ô tô tải không kéo moóc?</t>
  </si>
  <si>
    <t>Câu 343. Biển nào cấm máy kéo?</t>
  </si>
  <si>
    <t>Câu 344. Khi gặp biển này, xe mô tô ba bánh chở hàng có được phép rẽ trái hoặc rẽ phải hay không?</t>
  </si>
  <si>
    <t>Câu 345. Biển này có hiệu lực đối với xe mô tô hai bánh, ba bánh chở hàng không?</t>
  </si>
  <si>
    <t xml:space="preserve"> Có.</t>
  </si>
  <si>
    <t>Không.</t>
  </si>
  <si>
    <t>Câu 346. Biển này có ý nghĩa như thế nào?</t>
  </si>
  <si>
    <t>Cấm xe cơ giới (trừ xe ưu tiên theo luật định) đi thẳng.</t>
  </si>
  <si>
    <t xml:space="preserve"> Cấm các loại xe cơ giới và xe mô tô (trừ xe ưu tiên theo luật định) đi về bên trái và bên phải.</t>
  </si>
  <si>
    <t>Hướng trái và phải không cấm xe cơ giới.</t>
  </si>
  <si>
    <t>Câu 347. Biển phụ đặt dưới biển cấm bóp còi có ý nghĩa như thế nào?</t>
  </si>
  <si>
    <t>Báo khoảng cách đến nơi cấm bóp còi.</t>
  </si>
  <si>
    <t xml:space="preserve"> Chiều dài đoạn đường cấm bóp còi từ nơi đặt biển.</t>
  </si>
  <si>
    <t>Báo cấm dùng còi có độ vang xa 500m.</t>
  </si>
  <si>
    <t>Câu 348. Chiều dài đoạn đường 500 m từ nơi đặt biển này, người lái xe có được phép bấm còi không?</t>
  </si>
  <si>
    <t>Câu 349. Biển nào xe mô tô hai bánh được đi vào?</t>
  </si>
  <si>
    <t>Câu 350. Biển nào xe mô tô hai bánh không được đi vào?</t>
  </si>
  <si>
    <t>Câu 351. Ba biển này có hiệu lực như thế nào?</t>
  </si>
  <si>
    <t xml:space="preserve"> Cấm các loại xe ở biển phụ đi vào.</t>
  </si>
  <si>
    <t>Cấm các loại xe cơ giới đi vào trừ loại xe ở biển phụ.</t>
  </si>
  <si>
    <t>Câu 352. Biển nào báo hiệu chiều dài đoạn đường phải giữ cự ly tối thiểu giữa hai xe?</t>
  </si>
  <si>
    <t>2. Biển 2.</t>
  </si>
  <si>
    <t>3. Cả hai biển.</t>
  </si>
  <si>
    <t>Câu 353. Biển nào báo hiệu khoảng cách thực tế từ nơi đặt biển đến nơi cần cự ly tối thiểu giữa hai xe?</t>
  </si>
  <si>
    <t>Câu 354. Biển này có ý nghĩa như thế nào?</t>
  </si>
  <si>
    <t>Cấm dừng xe về hướng bên trái.</t>
  </si>
  <si>
    <t xml:space="preserve"> Cấm dừng và đỗ xe theo hướng bên phải.</t>
  </si>
  <si>
    <t>Được phép đỗ xe và dừng xe theo hướng bên phải.</t>
  </si>
  <si>
    <t>Câu 355. Theo hướng bên phải có được phép đỗ xe, dừng xe không?</t>
  </si>
  <si>
    <t>Câu 356. Gặp biển này, xe ô tô sơ mi rơ moóc có chiều dài toàn bộ kể cả xe, moóc và hàng lớn hơn trị số ghi trên biển có được phép đi vào hay không?</t>
  </si>
  <si>
    <t>Câu 357. Xe ô tô chở hàng vượt quá phía trước và sau thùng xe, mỗi phía quá 10% chiều dài toàn bộ thân xe, tổng chiều dài xe (cả hàng) từ trước đến sau nhỏ hơn trị số ghi trên biển thì có được phép đi vào không?</t>
  </si>
  <si>
    <t>Câu 358. Biển này có ý nghĩa như thế nào?</t>
  </si>
  <si>
    <t>Cấm ô tô buýt.</t>
  </si>
  <si>
    <t xml:space="preserve"> Cấm xe ô tô khách.</t>
  </si>
  <si>
    <t>Cấm xe ô tô con.</t>
  </si>
  <si>
    <t>Câu 359. Biển này có ý nghĩa như thế nào?</t>
  </si>
  <si>
    <t>Hạn chế chiều cao của xe và hàng.</t>
  </si>
  <si>
    <t xml:space="preserve"> Hạn chế chiều ngang của xe và hàng.</t>
  </si>
  <si>
    <t>Hạn chế chiều dài của xe và hàng.</t>
  </si>
  <si>
    <t>Câu 360. Biển nào là biển "Tốc độ tối đa cho phép về ban đêm"?</t>
  </si>
  <si>
    <t>Câu 361. Biển báo nào báo hiệu bắt đầu đoạn đường vào phạm vi khu dân cư, các phương tiện tham gia giao thông phải tuân theo các quy định đi đường được áp dụng ở khu đông dân cư?</t>
  </si>
  <si>
    <t>Câu 362. Biển nào báo hiệu hạn chế tốc độ của phương tiện không vượt quá trị số ghi trên biển?</t>
  </si>
  <si>
    <t>Câu 363. Trong các biển báo dưới đây biển nào báo hiệu "Kết thúc đường cao tốc"?</t>
  </si>
  <si>
    <t>Câu 364. Số 50 ghi trên biển báo dưới đây có ý nghĩa như thế nào?</t>
  </si>
  <si>
    <t xml:space="preserve"> Tốc độ tối đa các xe cơ giới được phép chạy.</t>
  </si>
  <si>
    <t>Tốc độ tối thiểu các xe cơ giới được phép chạy.</t>
  </si>
  <si>
    <t>Câu 365. Biển nào dưới đây chỉ dẫn bắt đầu đường cao tốc phân làn đường có tốc độ khác nhau?</t>
  </si>
  <si>
    <t>Câu 366. Biển báo dưới đây có ý nghĩa như thế nào?</t>
  </si>
  <si>
    <t>Báo hiệu tốc độ tối đa cho phép các xe cơ giới chạy.</t>
  </si>
  <si>
    <t xml:space="preserve"> Báo hiệu tốc độ tối thiểu cho phép các xe cơ giới chạy.</t>
  </si>
  <si>
    <t>Câu 367. Gặp biển nào người lái xe phải nhường đường cho người đi bộ?</t>
  </si>
  <si>
    <t>Câu 368. Biển nào chỉ đường dành cho người đi bộ, các loại xe không được đi vào khi gặp biển này?</t>
  </si>
  <si>
    <t>Câu 369. Biển nào báo hiệu "Đường dành cho xe thô sơ"?</t>
  </si>
  <si>
    <t>Câu 370. Biển nào báo hiệu sắp đến chỗ giao nhau nguy hiểm?</t>
  </si>
  <si>
    <t xml:space="preserve"> Cả ba biển.</t>
  </si>
  <si>
    <t>Câu 371. Biển nào báo hiệu "Giao nhau với đường sắt có rào chắn"?</t>
  </si>
  <si>
    <t>Câu 372. Biển nào báo hiệu "Giao nhau có tín hiệu đèn"?</t>
  </si>
  <si>
    <t>Câu 373. Biển nào báo hiệu nguy hiểm giao nhau với đường sắt?</t>
  </si>
  <si>
    <t>Câu 374. Biển nào báo hiệu đường bộ giao nhau với đường sắt không có rào chắn?</t>
  </si>
  <si>
    <t>Câu 375. Biển nào báo hiệu sắp đến chỗ giao nhau giữa đường bộ và đường sắt?</t>
  </si>
  <si>
    <t>Câu 376. Biển nào báo hiệu "Cửa chui"?</t>
  </si>
  <si>
    <t>Câu 377. Hai biển này có ý nghĩa như thế nào?</t>
  </si>
  <si>
    <t xml:space="preserve"> Để chỉ nơi đường sắt giao vuông góc với đường bộ không có rào chắn.</t>
  </si>
  <si>
    <t>Để báo trước sắp đến vị trí giao cắt đường bộ với đường sắt cùng mức, không vuông góc và không có người gác, không có rào chắn.</t>
  </si>
  <si>
    <t>Nơi đường sắt giao nhau với đường bộ.</t>
  </si>
  <si>
    <t>Câu 378. Biển nào báo hiệu "Nơi đường sắt giao vuông góc với đường bộ"?</t>
  </si>
  <si>
    <t>Câu 379. Các biển này có ý nghĩa như thế nào?</t>
  </si>
  <si>
    <t>Nơi đường sắt giao vuông góc với đường bộ.</t>
  </si>
  <si>
    <t xml:space="preserve"> Để báo trước sắp đến vị trí đường sắt giao không vuông góc với đường bộ, không có người gác và không có rào chắn.</t>
  </si>
  <si>
    <t>Câu 380. Biển nào báo hiệu "Hết đoạn đường ưu tiên"?</t>
  </si>
  <si>
    <t>Câu 381. Biển nào báo hiệu, chỉ dẫn xe đi trên đường này được quyền ưu tiên qua nơi giao nhau?</t>
  </si>
  <si>
    <t>Câu 382. Biển nào báo hiệu "Giao nhau với đường không ưu tiên"?</t>
  </si>
  <si>
    <t>Câu 383. Biển nào báo hiệu "Giao nhau với đường ưu tiên"?</t>
  </si>
  <si>
    <t>Câu 384. Biển nào báo hiệu "Đường bị thu hẹp"?</t>
  </si>
  <si>
    <t>Câu 385. Khi gặp biển nào, người lái xe phải giảm tốc độ, chú ý xe đi ngược chiều, xe đi ở phía đường bị hẹp phải nhường đường cho xe đi ngược chiều?</t>
  </si>
  <si>
    <t>Câu 386. Biển nào báo hiệu "Giao nhau với đường ưu tiên"?</t>
  </si>
  <si>
    <t>Câu 387. Biển nào báo hiệu "Đường giao nhau" của các tuyến đường cùng cấp?</t>
  </si>
  <si>
    <t>Câu 388. Biển nào báo hiệu "Giao nhau với đường không ưu tiên"?</t>
  </si>
  <si>
    <t>Câu 389. Biển nào báo hiệu "Đường hai chiều"?</t>
  </si>
  <si>
    <t>Câu 390. Biển nào báo hiệu phải giảm tốc độ, nhường đường cho xe cơ giới đi ngược chiều qua đường hẹp?</t>
  </si>
  <si>
    <t>Câu 391. Biển nào chỉ dẫn "Được ưu tiên qua đường hẹp"?</t>
  </si>
  <si>
    <t>Câu 392. Biển nào báo hiệu "Đường đôi"?</t>
  </si>
  <si>
    <t>Câu 393. Biển nào báo hiệu "Đường đôi"?</t>
  </si>
  <si>
    <t>Câu 394. Biển nào báo hiệu "Kết thúc đường đôi"?</t>
  </si>
  <si>
    <t>Câu 395. Biển nào báo hiệu "Giao nhau với đường hai chiều"?</t>
  </si>
  <si>
    <t>Câu 396. Biển nào báo hiệu "Đường hai chiều"?</t>
  </si>
  <si>
    <t>Câu 397. Biển nào báo hiệu "Giao nhau với đường hai chiều"?</t>
  </si>
  <si>
    <t>Câu 398. Biển nào báo hiệu "Chú ý chướng ngại vật"?</t>
  </si>
  <si>
    <t>Câu 399. Biển nào chỉ dẫn cho người tham gia giao thông biết vị trí và khoảng cách có làn đường cứu nạn hay làn thoát xe khẩn cấp?</t>
  </si>
  <si>
    <t>Câu 400. Biển nào báo hiệu "Đường hầm"?</t>
  </si>
  <si>
    <t>Câu 401. Biển nào dưới đây là biển "Cầu hẹp"?</t>
  </si>
  <si>
    <t>Câu 402. Biển nào dưới đây là biển "Cầu quay - cầu cất"?</t>
  </si>
  <si>
    <t>Câu 403. Biển nào dưới đây là biển "Kè, vực sâu phía trước"?</t>
  </si>
  <si>
    <t>Câu 404. Biển nào sau đây là biển "Kè, vực sâu bên đường phía bên trái"?</t>
  </si>
  <si>
    <t>Câu 405. Biển nào sau đây là biển "Kè, vực sâu bên đường phía bên phải"?</t>
  </si>
  <si>
    <t>Câu 406. Biển nào sau đây là biển "Đường trơn"?</t>
  </si>
  <si>
    <t>Câu 407. Biển nào sau đây là biển "Lề đường nguy hiểm"?</t>
  </si>
  <si>
    <t>Câu 408. Biển nào sau đây báo trước gần tới đoạn đường đang tiến hành thi công sửa chữa?</t>
  </si>
  <si>
    <t>Câu 409. Biển nào sau đây cảnh báo nguy hiểm đoạn đường thường xảy ra tai nạn?</t>
  </si>
  <si>
    <t>Câu 410. Biển nào dưới đây báo hiệu đoạn đường hay xảy ra ùn tắc giao thông?</t>
  </si>
  <si>
    <t>Câu 411. Gặp biển nào người tham gia giao thông phải đi chậm và thận trọng đề phòng khả năng xuất hiện và di chuyển bất ngờ của trẻ em trên mặt đường?</t>
  </si>
  <si>
    <t>Câu 412. Biển nào chỉ dẫn nơi bắt đầu đoạn đường dành cho người đi bộ?</t>
  </si>
  <si>
    <t>Câu 413. Biển nào dưới đây báo hiệu gần đến đoạn đường thường có trẻ em đi ngang qua?</t>
  </si>
  <si>
    <t>Câu 414. Gặp biển nào dưới đây người tham gia giao thông cần phải điều chỉnh tốc độ xe chạy cho thích hợp, đề phòng gió ngang thổi mạnh gây lật xe?</t>
  </si>
  <si>
    <t>Câu 415. Biển nào sau đây là biển "Dốc xuống nguy hiểm"?</t>
  </si>
  <si>
    <t>Câu 416. Biển nào sau đây là biển "Dốc lên nguy hiểm"?</t>
  </si>
  <si>
    <t>Câu 417. Biển báo này có ý nghĩa như thế nào?</t>
  </si>
  <si>
    <t xml:space="preserve"> Chỗ ngoặt nguy hiểm có nguy cơ lật xe bên phải khi đường cong vòng sang trái.</t>
  </si>
  <si>
    <t>Chỗ ngoặt nguy hiểm có nguy cơ lật xe bên trái khi đường cong vòng sang phải.</t>
  </si>
  <si>
    <t>Câu 418. Biển báo này có ý nghĩa như thế nào?</t>
  </si>
  <si>
    <t>Báo trước đoạn đường có gió ngang.</t>
  </si>
  <si>
    <t>Báo trước đoạn đường trơn trượt.</t>
  </si>
  <si>
    <t xml:space="preserve"> Báo trước sắp đến bến phà.</t>
  </si>
  <si>
    <t>Câu 419. Biển báo này có ý nghĩa như thế nào?</t>
  </si>
  <si>
    <t xml:space="preserve"> Báo hiệu đường có ổ gà, lồi lõm.</t>
  </si>
  <si>
    <t>Báo hiệu đường có gồ giảm tốc phía trước.</t>
  </si>
  <si>
    <t>Câu 420. Biển báo này có ý nghĩa như thế nào?</t>
  </si>
  <si>
    <t>Báo hiệu đường có ổ gà, lồi lõm.</t>
  </si>
  <si>
    <t xml:space="preserve"> Báo hiệu đường có gồ giảm tốc phía trước.</t>
  </si>
  <si>
    <t>Câu 421. Biển báo dưới đây có ý nghĩa như thế nào?</t>
  </si>
  <si>
    <t>Để báo trước gần tới đoạn đường có hiện tượng đất đá từ trên ta luy dương sụt lở bất ngờ gây nguy hiểm cho xe cộ và người đi đường.</t>
  </si>
  <si>
    <t>Để báo trước nơi có kết cấu mặt đường rời rạc, khi phương tiện đi qua, làm cho các viên đá, sỏi văng lên gây nguy hiểm và mất an toàn cho người và phương tiện tham gia giao thông.</t>
  </si>
  <si>
    <t xml:space="preserve"> Để cảnh báo những đoạn nền đường yếu, đoạn đường đang theo dõi lún mà việc vận hành xe ở tốc độ cao có thể gây nguy hiểm.</t>
  </si>
  <si>
    <t>Câu 422. Các biển báo này có ý nghĩa như thế nào?</t>
  </si>
  <si>
    <t xml:space="preserve"> Để báo trước gần tới đoạn đường có hiện tượng đất đá từ trên ta luy dương sụt lở bất ngờ gây nguy hiểm cho xe cộ và người đi đường.</t>
  </si>
  <si>
    <t>Để cảnh báo những đoạn nền đường yếu, đoạn đường đang theo dõi lún mà việc vận hành xe ở tốc độ cao có thể gây nguy hiểm.</t>
  </si>
  <si>
    <t>Câu 423. Biển báo này có ý nghĩa như thế nào?</t>
  </si>
  <si>
    <t xml:space="preserve"> Để báo trước nơi có kết cấu mặt đường rời rạc, khi phương tiện đi qua, làm cho các viên đá, sỏi văng lên gây nguy hiểm và mất an toàn cho người và phương tiện tham gia giao thông.</t>
  </si>
  <si>
    <t>Câu 424. Gặp biển báo này người lái xe phải xử lý thế nào?</t>
  </si>
  <si>
    <t xml:space="preserve"> Đi chậm, quan sát và dừng lại nếu gặp gia súc trên đường.</t>
  </si>
  <si>
    <t>Bấm còi to để gia súc tránh đường và nhanh chóng di chuyển qua đoạn đường có gia súc.</t>
  </si>
  <si>
    <t>Câu 425. Biển báo này có ý nghĩa như thế nào?</t>
  </si>
  <si>
    <t>Báo hiệu khu vực nguy hiểm thường xuyên có sét đánh.</t>
  </si>
  <si>
    <t xml:space="preserve"> Báo hiệu khu vực có đường dây điện cắt ngang phía trên tuyến đường.</t>
  </si>
  <si>
    <t>Câu 426. Biển nào báo hiệu các phương tiện phải đi đúng làn đường quy định và tuân thủ tốc độ tối đa cho phép?</t>
  </si>
  <si>
    <t>Câu 427. Biển nào báo hiệu các phương tiện phải tuân thủ tốc độ tối đa cho phép trên từng làn đường?</t>
  </si>
  <si>
    <t>Câu 428. Biển nào báo hiệu "Đường dành cho xe ô tô"?</t>
  </si>
  <si>
    <t>Câu 429. Biển nào báo hiệu "Hết đoạn đường dành cho xe ô tô"?</t>
  </si>
  <si>
    <t>Câu 430. Khi gặp biển nào thì các phương tiện không được đi vào, trừ xe ô tô và xe mô tô?</t>
  </si>
  <si>
    <t>Câu 431. Biển này có ý nghĩa như thế nào?</t>
  </si>
  <si>
    <t>Chỉ hướng đi phải theo.</t>
  </si>
  <si>
    <t xml:space="preserve"> Biển báo hiệu cho người lái xe biết số lượng làn đường trên mặt đường và hướng đi trên mỗi làn đường phải theo.</t>
  </si>
  <si>
    <t>Chỉ hướng đường phải theo.</t>
  </si>
  <si>
    <t>Câu 432. Biển nào (đặt trước ngã ba, ngã tư) cho phép xe được rẽ sang hướng khác?</t>
  </si>
  <si>
    <t xml:space="preserve"> Không biển nào.</t>
  </si>
  <si>
    <t>Câu 433. Biển nào báo hiệu "Hướng đi thẳng phải theo"?</t>
  </si>
  <si>
    <t>Câu 434. Biển nào báo hiệu "Đường một chiều"?</t>
  </si>
  <si>
    <t>Câu 435. Trong các biển dưới đây biển nào là biển "Hết tốc độ tối đa cho phép"?</t>
  </si>
  <si>
    <t>Câu 436. Hiệu lực của biển "Tốc độ tối đa cho phép" hết tác dụng khi gặp biển nào dưới đây?</t>
  </si>
  <si>
    <t>Câu 437. Trong các biển dưới đây biển nào là biển "Hết tốc độ tối thiểu"?</t>
  </si>
  <si>
    <t>Câu 438. Biển nào dưới đây báo hiệu hết cấm vượt?</t>
  </si>
  <si>
    <t>Câu 439. Trong các biển dưới đây biển nào là biển "Hết mọi lệnh cấm"?</t>
  </si>
  <si>
    <t>Câu 440. Biển nào cho phép được quay đầu xe đi theo hướng ngược lại khi đặt biển trước ngã ba, ngã tư?</t>
  </si>
  <si>
    <t>Câu 441. Biển nào không cho phép rẽ phải?</t>
  </si>
  <si>
    <t>Câu 442. Khi đến chỗ giao nhau, gặp biển nào thì người lái xe không được cho xe đi thẳng, phải rẽ sang hướng khác?</t>
  </si>
  <si>
    <t>Câu 443. Biển nào cho phép quay đầu xe?</t>
  </si>
  <si>
    <t>Câu 444. Biển nào chỉ dẫn tên đường trên các tuyến đường đối ngoại?</t>
  </si>
  <si>
    <t>Câu 445. Biển số 1 có ý nghĩa như thế nào?</t>
  </si>
  <si>
    <t xml:space="preserve"> Biển chỉ dẫn hết cấm đỗ xe theo giờ trong khu vực.</t>
  </si>
  <si>
    <t>Biển chỉ dẫn hết hiệu lực khu vực đỗ xe trên các tuyến đường đối ngoại.</t>
  </si>
  <si>
    <t>Biển chỉ dẫn khu vực đỗ xe trên các tuyến đường đối ngoại.</t>
  </si>
  <si>
    <t>Câu 446. Biển số 3 có ý nghĩa như thế nào?</t>
  </si>
  <si>
    <t>Biển chỉ dẫn khu vực cấm đỗ xe trên các tuyến đường đối ngoại.</t>
  </si>
  <si>
    <t xml:space="preserve"> Biển hạn chế tốc độ tối đa trong khu vực.</t>
  </si>
  <si>
    <t>Biển chỉ dẫn hết hiệu lực khu vực cấm đỗ xe theo giờ trên các tuyến đường đối ngoại.</t>
  </si>
  <si>
    <t>Câu 447. Biển nào báo hiệu "Đường phía trước có làn đường dành cho ô tô khách"?</t>
  </si>
  <si>
    <t>Câu 448. Biển nào báo hiệu "Rẽ ra đường có làn đường dành cho ô tô khách"?</t>
  </si>
  <si>
    <t>Câu 449. Biển nào đặt trên đường chính trước khi đến nơi đường giao nhau để rẽ vào đường cụt?</t>
  </si>
  <si>
    <t xml:space="preserve"> Biển 1 và 2.</t>
  </si>
  <si>
    <t>Câu 450. Biển nào chỉ dẫn cho người đi bộ sử dụng cầu vượt qua đường?</t>
  </si>
  <si>
    <t>Câu 451. Biển nào chỉ dẫn cho người đi bộ sử dụng hầm chui qua đường?</t>
  </si>
  <si>
    <t>Câu 452. Biển nào báo hiệu "Nơi đỗ xe dành cho người khuyết tật"?</t>
  </si>
  <si>
    <t>Câu 453. Gặp biển báo này, người lái xe phải đỗ xe như thế nào?</t>
  </si>
  <si>
    <t>Đỗ xe hoàn toàn trên hè phố.</t>
  </si>
  <si>
    <t>Đỗ xe hoàn toàn dưới lòng đường.</t>
  </si>
  <si>
    <t xml:space="preserve"> Đỗ từ 1/2 thân xe trở lên trên hè phố.</t>
  </si>
  <si>
    <t>Câu 454. Gặp biển báo này, người tham gia giao thông phải xử lý như thế nào?</t>
  </si>
  <si>
    <t>Dừng xe tại khu vực có trạm Cảnh sát giao thông.</t>
  </si>
  <si>
    <t>Tiếp tục lưu thông với tốc độ bình thường.</t>
  </si>
  <si>
    <t xml:space="preserve"> Phải giảm tốc độ đến mức an toàn và không được vượt khi đi qua khu vực này.</t>
  </si>
  <si>
    <t>Câu 455. Gặp biển báo dưới đây, người lái xe có bắt buộc phải chạy vòng theo đảo an toàn theo hướng mũi tên khi muốn chuyển hướng hay không?</t>
  </si>
  <si>
    <t>Câu 456. Biển nào dưới đây chỉ dẫn địa giới hành chính giữa các thành phố, tỉnh, huyện?</t>
  </si>
  <si>
    <t>Câu 457. Biển nào báo hiệu "Cầu vượt liên thông"?</t>
  </si>
  <si>
    <t>Câu 458. Biển số 1 có ý nghĩa như thế nào?</t>
  </si>
  <si>
    <t>Đi thẳng hoặc rẽ trái trên cầu vượt.</t>
  </si>
  <si>
    <t>Đi thẳng hoặc rẽ phải trên cầu vượt.</t>
  </si>
  <si>
    <t xml:space="preserve"> Báo hiệu cầu vượt liên thông.</t>
  </si>
  <si>
    <t>Câu 459. Biển nào báo hiệu "Tuyến đường cầu vượt cắt qua"?</t>
  </si>
  <si>
    <t>Câu 460. Biển báo dưới đây có ý nghĩa như thế nào?</t>
  </si>
  <si>
    <t xml:space="preserve"> Chỉ dẫn khoảng cách đến làn đường cứu nạn (làn thoát xe khẩn cấp).</t>
  </si>
  <si>
    <t>Báo hiệu đường cụt phía trước.</t>
  </si>
  <si>
    <t>Báo hiệu nút giao gần nhất phía trước.</t>
  </si>
  <si>
    <t>Báo hiệu trạm dừng nghỉ phía trước.</t>
  </si>
  <si>
    <t>Câu 461. Tại đoạn đường có biển "Làn đường dành riêng cho từng loại xe" dưới đây, các phương tiện có được phép chuyển sang làn khác để đi theo hành trình mong muốn khi đến gần nơi đường bộ giao nhau hay không?</t>
  </si>
  <si>
    <t xml:space="preserve"> Được phép chuyển sang làn khác.</t>
  </si>
  <si>
    <t>Không được phép chuyển sang làn khác, chỉ được đi trong làn quy định theo biển.</t>
  </si>
  <si>
    <t>Câu 462. Tại đoạn đường có cắm biển dưới đây, xe tải và xe khách có được phép đi vào không?</t>
  </si>
  <si>
    <t>Câu 463. Tại đoạn đường có cắm biển dưới đây, xe tải và xe khách có được phép đi vào không?</t>
  </si>
  <si>
    <t>Câu 464. Biển nào báo hiệu kết thúc đường cao tốc?</t>
  </si>
  <si>
    <t>Câu 465. Biển này có ý nghĩa như thế nào?</t>
  </si>
  <si>
    <t>Chỉ dẫn sắp đến vị trí nhập làn xe.</t>
  </si>
  <si>
    <t xml:space="preserve"> Chỉ dẫn vị trí nhập làn xe cách 250 m.</t>
  </si>
  <si>
    <t>Chỉ dẫn vị trí nhập làn cách trạm thu phí 250 m.</t>
  </si>
  <si>
    <t>Câu 466. Biển nào chỉ dẫn nhập làn xe?</t>
  </si>
  <si>
    <t>Câu 467. Biển này có ý nghĩa như thế nào?</t>
  </si>
  <si>
    <t>Bắt đầu đường cao tốc.</t>
  </si>
  <si>
    <t>Chỉ dẫn địa giới đường cao tốc, chiều dài đường cao tốc.</t>
  </si>
  <si>
    <t>Tên và ký hiệu đường cao tốc, giá trị hạn chế tốc độ tối đa và tối thiểu.</t>
  </si>
  <si>
    <t>Câu 468. Ý nghĩa các biểu tượng ghi trên biển chỉ dẫn là như thế nào?</t>
  </si>
  <si>
    <t xml:space="preserve"> Xăng dầu, ăn uống, thông tin, sửa chữa xe.</t>
  </si>
  <si>
    <t>Xăng dầu, ăn uống, nhà nghỉ, sửa chữa xe.</t>
  </si>
  <si>
    <t>Xăng dầu, ăn uống, cấp cứu, sửa chữa xe.</t>
  </si>
  <si>
    <t>Câu 469. Biển này có ý nghĩa như thế nào?</t>
  </si>
  <si>
    <t>Chỉ dẫn đến trạm kiểm tra tải trọng xe.</t>
  </si>
  <si>
    <t>Chỉ dẫn hướng rẽ vào nơi đặt trạm kiểm tra tải trọng xe.</t>
  </si>
  <si>
    <t xml:space="preserve"> Chỉ dẫn khoảng cách đến trạm kiểm tra tải trọng xe cách 750 m.</t>
  </si>
  <si>
    <t>Câu 470. Trên đường cao tốc, gặp biển nào thì người lái xe đi theo hướng bên trái để tránh chướng ngại vật?</t>
  </si>
  <si>
    <t>Câu 471. Trên đường cao tốc, gặp biển nào thì người lái xe đi theo hướng bên phải để tránh chướng ngại vật?</t>
  </si>
  <si>
    <t>Câu 472. Trên đường cao tốc, gặp biển nào thì người lái xe đi được cả hai hướng (bên trái hoặc bên phải) để tránh chướng ngại vật?</t>
  </si>
  <si>
    <t>Câu 473. Trên đường cao tốc, gặp biển nào người lái xe phải chú ý đổi hướng đi khi sắp vào đường cong nguy hiểm?</t>
  </si>
  <si>
    <t>Câu 474. Biển nào chỉ dẫn người lái xe đi được cả hai hướng?</t>
  </si>
  <si>
    <t>Câu 475. Biển này có ý nghĩa như thế nào?</t>
  </si>
  <si>
    <t>Chỉ dẫn chướng ngại vật phía trước để cảnh báo phía trước có sự cản trở lưu thông bình thường (nằm bên trong phần xe chạy hay ngay sát phần đường xe chạy) và chỉ dẫn hướng đi qua đó cần đặt biển.</t>
  </si>
  <si>
    <t xml:space="preserve"> Chỉ dẫn hướng rẽ để nhắc người điều khiển phương tiện chuẩn bị đổi hướng đi khi sắp vào đường cong nguy hiểm, có bán kính cong nhỏ.</t>
  </si>
  <si>
    <t>Câu 476. Vạch mũi tên chỉ hướng trên mặt đường nào dưới đây cho phép xe chỉ được đi thẳng và rẽ phải?</t>
  </si>
  <si>
    <t>Vạch 1.</t>
  </si>
  <si>
    <t>Vạch 2 và vạch 3.</t>
  </si>
  <si>
    <t xml:space="preserve"> Vạch 3.</t>
  </si>
  <si>
    <t>Vạch 1 và vạch 2.</t>
  </si>
  <si>
    <t>Câu 477. Vạch kẻ đường nào dưới đây là vạch phân chia các làn xe cùng chiều?</t>
  </si>
  <si>
    <t>Vạch 2.</t>
  </si>
  <si>
    <t>Vạch 3.</t>
  </si>
  <si>
    <t xml:space="preserve"> Vạch 1 và vạch 2.</t>
  </si>
  <si>
    <t>Câu 478. Vạch kẻ đường nào dưới đây là vạch phân chia hai chiều xe chạy (vạch tim đường), xe không được lấn làn, không được đè lên vạch?</t>
  </si>
  <si>
    <t xml:space="preserve"> Vạch 2.</t>
  </si>
  <si>
    <t>Cả ba vạch.</t>
  </si>
  <si>
    <t>Câu 479. Vạch kẻ đường nào dưới đây là vạch phân chia hai chiều xe chạy (vạch tim đường)?</t>
  </si>
  <si>
    <t xml:space="preserve"> Vạch 1 và vạch 3.</t>
  </si>
  <si>
    <t>Câu 480. Các vạch dưới đây có tác dụng như thế nào?</t>
  </si>
  <si>
    <t xml:space="preserve"> Phân chia hai chiều xe chạy ngược chiều nhau.</t>
  </si>
  <si>
    <t>Phân chia các làn xe chạy cùng chiều nhau.</t>
  </si>
  <si>
    <t>Câu 481. Các vạch dưới đây có tác dụng như thế nào?</t>
  </si>
  <si>
    <t>Phân chia hai chiều xe chạy ngược chiều nhau.</t>
  </si>
  <si>
    <t xml:space="preserve"> Phân chia các làn xe chạy cùng chiều nhau.</t>
  </si>
  <si>
    <t>Câu 482. Khi gặp vạch kẻ đường nào các xe được phép đè vạch?</t>
  </si>
  <si>
    <t>Câu 483. Vạch dưới đây có tác dụng như thế nào?</t>
  </si>
  <si>
    <t>Để xác định làn đường.</t>
  </si>
  <si>
    <t>Báo hiệu người lái xe chỉ được phép đi thẳng.</t>
  </si>
  <si>
    <t xml:space="preserve"> Dùng để xác định khoảng cách giữa các phương tiện trên đường.</t>
  </si>
  <si>
    <t>Câu 484. Vạch dưới đây có ý nghĩa như thế nào?</t>
  </si>
  <si>
    <t>Báo cho người điều khiển không được dừng phương tiện trong phạm vi phần mặt đường có bố trí vạch để tránh ùn tắc giao thông.</t>
  </si>
  <si>
    <t xml:space="preserve"> Báo hiệu sắp đến chỗ có bố trí vạch đi bộ qua đường.</t>
  </si>
  <si>
    <t>Dùng để xác định khoảng cách giữa các phương tiện trên đường.</t>
  </si>
  <si>
    <t>Câu 485. Vạch dưới đây có ý nghĩa như thế nào?</t>
  </si>
  <si>
    <t xml:space="preserve"> Vị trí dừng xe của các phương tiện vận tải hành khách công cộng.</t>
  </si>
  <si>
    <t>Báo cho người điều khiển được dừng phương tiện trong phạm vi phần mặt đường có bố trí vạch để tránh ùn tắc giao thông.</t>
  </si>
  <si>
    <t>Dùng để xác định vị trí giữa các phương tiện trên đường.</t>
  </si>
  <si>
    <t>CHƯƠNG VI. GIẢI THẾ SA HÌNH VÀ KỸ NĂNG XỬ LÝ TÌNH HUỐNG GIAO THÔNG</t>
  </si>
  <si>
    <t>Câu 486. Theo hướng mũi tên, xe nào chấp hành đúng quy tắc giao thông?</t>
  </si>
  <si>
    <t>Xe khách, xe tải, xe mô tô.</t>
  </si>
  <si>
    <t>Xe tải, xe mô tô.</t>
  </si>
  <si>
    <t>Câu 487. Theo hướng mũi tên, thứ tự các xe đi như thế nào là đúng quy tắc giao thông?</t>
  </si>
  <si>
    <t>Xe tải, xe khách, xe con, xe mô tô.</t>
  </si>
  <si>
    <t xml:space="preserve"> Xe tải, xe mô tô, xe khách, xe con.</t>
  </si>
  <si>
    <t>Xe khách, xe tải, xe con, xe mô tô.</t>
  </si>
  <si>
    <t>Xe mô tô, xe khách, xe tải, xe con.</t>
  </si>
  <si>
    <t>Câu 488. Theo hướng mũi tên, thứ tự các xe đi như thế nào là đúng quy tắc giao thông?</t>
  </si>
  <si>
    <t xml:space="preserve"> Xe công an đi làm nhiệm vụ khẩn cấp, xe con, xe tải, xe khách.</t>
  </si>
  <si>
    <t>Xe công an đi làm nhiệm vụ khẩn cấp, xe khách, xe con, xe tải.</t>
  </si>
  <si>
    <t>Xe công an đi làm nhiệm vụ khẩn cấp, xe tải, xe khách, xe con.</t>
  </si>
  <si>
    <t>Xe con, xe công an đi làm nhiệm vụ khẩn cấp, xe tải, xe khách.</t>
  </si>
  <si>
    <t>Câu 489. Theo hướng mũi tên, thứ tự các xe đi như thế nào là đúng quy tắc giao thông?</t>
  </si>
  <si>
    <t>Xe tải, xe công an đi làm nhiệm vụ khẩn cấp, xe khách, xe con.</t>
  </si>
  <si>
    <t>Xe công an đi làm nhiệm vụ khẩn cấp, xe con, xe tải, xe khách.</t>
  </si>
  <si>
    <t xml:space="preserve"> Xe công an đi làm nhiệm vụ khẩn cấp, xe tải, xe khách, xe con.</t>
  </si>
  <si>
    <t>Câu 490. Theo hướng mũi tên, thứ tự các xe đi như thế nào là đúng quy tắc giao thông?</t>
  </si>
  <si>
    <t>Xe tải, xe con, xe mô tô.</t>
  </si>
  <si>
    <t>Xe con, xe tải, xe mô tô.</t>
  </si>
  <si>
    <t xml:space="preserve"> Xe mô tô, xe con, xe tải.</t>
  </si>
  <si>
    <t>Xe con, xe mô tô, xe tải.</t>
  </si>
  <si>
    <t>Câu 491. Xe nào phải nhường đường trong trường hợp này?</t>
  </si>
  <si>
    <t xml:space="preserve"> Xe con.</t>
  </si>
  <si>
    <t>Xe tải.</t>
  </si>
  <si>
    <t>Câu 492. Trường hợp này xe nào được quyền đi trước?</t>
  </si>
  <si>
    <t>Xe mô tô.</t>
  </si>
  <si>
    <t>Câu 493. Thứ tự các xe đi như thế nào là đúng quy tắc giao thông?</t>
  </si>
  <si>
    <t xml:space="preserve"> Xe con (A), xe cứu thương đi làm nhiệm vụ cấp cứu, xe con (B).</t>
  </si>
  <si>
    <t>Xe cứu thương đi làm nhiệm vụ cấp cứu, xe con (B), xe con (A).</t>
  </si>
  <si>
    <t>Xe con (B), xe con (A), xe cứu thương đi làm nhiệm vụ cấp cứu.</t>
  </si>
  <si>
    <t>Câu 494. Thứ tự các xe đi như thế nào là đúng quy tắc giao thông?</t>
  </si>
  <si>
    <t>Xe cứu thương đi làm nhiệm vụ cấp cứu, xe chữa cháy đi làm nhiệm vụ chữa cháy, xe con.</t>
  </si>
  <si>
    <t xml:space="preserve"> Xe chữa cháy đi làm nhiệm vụ chữa cháy, xe cứu thương đi làm nhiệm vụ cấp cứu, xe con.</t>
  </si>
  <si>
    <t>Xe cứu thương đi làm nhiệm vụ cấp cứu, xe con, xe chữa cháy đi làm nhiệm vụ chữa cháy.</t>
  </si>
  <si>
    <t>Câu 495. Xe nào được quyền đi trước trong trường hợp này?</t>
  </si>
  <si>
    <t xml:space="preserve"> Xe cứu thương đi làm nhiệm vụ cấp cứu.</t>
  </si>
  <si>
    <t>Câu 496. Theo hướng mũi tên, xe nào phải nhường đường đi cuối cùng qua nơi giao nhau này?</t>
  </si>
  <si>
    <t xml:space="preserve"> Xe khách.</t>
  </si>
  <si>
    <t>Xe con.</t>
  </si>
  <si>
    <t>Câu 497. Theo hướng mũi tên, xe nào phải nhường đường là đúng quy tắc giao thông?</t>
  </si>
  <si>
    <t>Câu 498. Xe nào được quyền đi trước trong trường hợp này?</t>
  </si>
  <si>
    <t>Xe công an đi làm nhiệm vụ khẩn cấp.</t>
  </si>
  <si>
    <t xml:space="preserve"> Xe chữa cháy đi làm nhiệm vụ chữa cháy.</t>
  </si>
  <si>
    <t>Câu 499. Theo tín hiệu đèn, xe nào được phép đi?</t>
  </si>
  <si>
    <t xml:space="preserve"> Xe con và xe khách.</t>
  </si>
  <si>
    <t>Câu 500. Theo tín hiệu đèn, xe nào đi là đúng quy tắc giao thông?</t>
  </si>
  <si>
    <t>Xe khách, xe mô tô.</t>
  </si>
  <si>
    <t xml:space="preserve"> Xe con, xe tải.</t>
  </si>
  <si>
    <t>Câu 501. Trong trường hợp này xe nào được quyền đi trước?</t>
  </si>
  <si>
    <t xml:space="preserve"> Xe quân sự đi làm nhiệm vụ khẩn cấp.</t>
  </si>
  <si>
    <t>Câu 502. Theo tín hiệu đèn, xe tải đi theo hướng nào là đúng quy tắc giao thông?</t>
  </si>
  <si>
    <t>Hướng 2, 3, 4.</t>
  </si>
  <si>
    <t xml:space="preserve"> Chỉ hướng 1.</t>
  </si>
  <si>
    <t>Hướng 1 và 2.</t>
  </si>
  <si>
    <t>Hướng 3 và 4.</t>
  </si>
  <si>
    <t>Câu 503. Các xe đi theo hướng mũi tên, những xe nào vi phạm quy tắc giao thông?</t>
  </si>
  <si>
    <t xml:space="preserve"> Xe khách, xe tải, xe mô tô.</t>
  </si>
  <si>
    <t>Xe khách, xe con, xe mô tô.</t>
  </si>
  <si>
    <t>Câu 504. Theo hướng mũi tên, thứ tự các xe đi như thế nào là đúng quy tắc giao thông?</t>
  </si>
  <si>
    <t>Xe khách, xe tải, xe mô tô, xe con.</t>
  </si>
  <si>
    <t>Xe con, xe khách, xe tải, xe mô tô.</t>
  </si>
  <si>
    <t xml:space="preserve"> Xe mô tô, xe tải, xe khách, xe con.</t>
  </si>
  <si>
    <t>Xe mô tô, xe tải, xe con, xe khách.</t>
  </si>
  <si>
    <t>Câu 505. Trong trường hợp này xe nào đỗ vi phạm quy tắc giao thông?</t>
  </si>
  <si>
    <t xml:space="preserve"> Xe tải.</t>
  </si>
  <si>
    <t>Xe con và mô tô.</t>
  </si>
  <si>
    <t>Cả ba xe.</t>
  </si>
  <si>
    <t>Xe con và xe tải.</t>
  </si>
  <si>
    <t>Câu 506. Theo hướng mũi tên, xe nào được quyền đi trước?</t>
  </si>
  <si>
    <t xml:space="preserve"> Xe con (B).</t>
  </si>
  <si>
    <t>Xe con (A).</t>
  </si>
  <si>
    <t>Câu 507: Theo hướng mũi tên, những hướng nào xe gắn máy được phép đi?</t>
  </si>
  <si>
    <t xml:space="preserve"> Cả ba hướng.</t>
  </si>
  <si>
    <t>Chỉ hướng 1 và 3.</t>
  </si>
  <si>
    <t>Chỉ hướng 1.</t>
  </si>
  <si>
    <t>Câu 508. Xe nào đỗ vi phạm quy tắc giao thông?</t>
  </si>
  <si>
    <t xml:space="preserve"> Cả hai xe.</t>
  </si>
  <si>
    <t>Không xe nào vi phạm.</t>
  </si>
  <si>
    <t>Chỉ xe mô tô vi phạm.</t>
  </si>
  <si>
    <t>Chỉ xe tải vi phạm.</t>
  </si>
  <si>
    <t>Câu 509. Xe nào đỗ vi phạm quy tắc giao thông?</t>
  </si>
  <si>
    <t>Chỉ xe mô tô.</t>
  </si>
  <si>
    <t>Chỉ xe tải.</t>
  </si>
  <si>
    <t xml:space="preserve"> Cả ba xe.</t>
  </si>
  <si>
    <t>Chỉ xe mô tô và xe tải.</t>
  </si>
  <si>
    <t>Câu 510. Xe tải kéo xe mô tô ba bánh như hình này có đúng quy tắc giao thông không?</t>
  </si>
  <si>
    <t>Đúng.</t>
  </si>
  <si>
    <t xml:space="preserve"> Không đúng.</t>
  </si>
  <si>
    <t>Câu 511. Theo hướng mũi tên, hướng nào xe không được phép đi?</t>
  </si>
  <si>
    <t>Hướng 2 và 5.</t>
  </si>
  <si>
    <t>Câu 512.Theo hướng mũi tên, những hướng nào xe ô tô không được phép đi?</t>
  </si>
  <si>
    <t xml:space="preserve"> Hướng 3.</t>
  </si>
  <si>
    <t>Hướng 1 và 4.</t>
  </si>
  <si>
    <t>Hướng 2 và 3.</t>
  </si>
  <si>
    <t>Câu 513. Xe nào vượt đúng quy tắc giao thông?</t>
  </si>
  <si>
    <t xml:space="preserve"> Cả hai xe đều đúng.</t>
  </si>
  <si>
    <t>Xe khách.</t>
  </si>
  <si>
    <t>Câu 514. Theo hướng mũi tên, gặp biển hướng đi phải theo đặt trước ngã tư, những hướng nào xe được phép đi?</t>
  </si>
  <si>
    <t xml:space="preserve"> Hướng 2 và 3.</t>
  </si>
  <si>
    <t>Hướng 1, 2 và 3.</t>
  </si>
  <si>
    <t>Hướng 1 và 3.</t>
  </si>
  <si>
    <t>Câu 515. Xe kéo nhau như hình này có vi phạm quy tắc giao thông không?</t>
  </si>
  <si>
    <t xml:space="preserve"> Vi phạm.</t>
  </si>
  <si>
    <t>Câu 516. Xe nào phải nhường đường trong trường hợp này?</t>
  </si>
  <si>
    <t>Câu 517. Xe nào được quyền đi trước trong trường hợp này?</t>
  </si>
  <si>
    <t xml:space="preserve"> Xe mô tô.</t>
  </si>
  <si>
    <t>Câu 518. Xe kéo nhau trong trường hợp này đúng quy định không?</t>
  </si>
  <si>
    <t>Câu 519. Theo hướng mũi tên, những hướng nào xe ô tô con được phép đi?</t>
  </si>
  <si>
    <t>Hướng 1.</t>
  </si>
  <si>
    <t xml:space="preserve"> Hướng 1, 3 và 4.</t>
  </si>
  <si>
    <t>Hướng 2, 3 và 4.</t>
  </si>
  <si>
    <t>Cả bốn hướng.</t>
  </si>
  <si>
    <t>Câu 520. Theo hướng mũi tên, thứ tự các xe đi như thế nào là đúng quy tắc giao thông?</t>
  </si>
  <si>
    <t>Xe con (A), xe mô tô, xe con (B), xe đạp.</t>
  </si>
  <si>
    <t>Xe con (B), xe đạp, xe mô tô, xe con (A).</t>
  </si>
  <si>
    <t>Xe con (A), xe con (B), xe mô tô + xe đạp.</t>
  </si>
  <si>
    <t xml:space="preserve"> Xe mô tô + xe đạp, xe con (A), xe con (B).</t>
  </si>
  <si>
    <t>Câu 521. Theo hướng mũi tên, những hướng nào xe tải được phép đi?</t>
  </si>
  <si>
    <t>Hướng 1, 3 và 4.</t>
  </si>
  <si>
    <t>Câu 522. Những hướng nào xe tải được phép đi?</t>
  </si>
  <si>
    <t>Cả ba hướng.</t>
  </si>
  <si>
    <t>Câu 523. Những hướng nào xe ô tô tải được phép đi?</t>
  </si>
  <si>
    <t xml:space="preserve"> Hướng 1 và 5.</t>
  </si>
  <si>
    <t>Hướng 1, 4 và 5.</t>
  </si>
  <si>
    <t>Câu 524. Những hướng nào xe ô tô tải được phép đi?</t>
  </si>
  <si>
    <t xml:space="preserve"> Trừ hướng 2.</t>
  </si>
  <si>
    <t>Trừ hướng 4.</t>
  </si>
  <si>
    <t>Câu 525. Xe nào được quyền đi trước trong trường hợp này?</t>
  </si>
  <si>
    <t>Câu 526. Xe ô tô con đi theo chiều mũi tên có vi phạm quy tắc giao thông không?</t>
  </si>
  <si>
    <t>Không vi phạm.</t>
  </si>
  <si>
    <t>Câu 527. Xe nào vi phạm quy tắc giao thông?</t>
  </si>
  <si>
    <t>Xe con và xe mô tô.</t>
  </si>
  <si>
    <t>Câu 528. Các xe đi như thế nào là đúng quy tắc giao thông?</t>
  </si>
  <si>
    <t>Các xe ở phía tay phải và tay trái của người điều khiển được phép đi thẳng.</t>
  </si>
  <si>
    <t>Cho phép các xe ở mọi hướng được phép rẽ phải.</t>
  </si>
  <si>
    <t xml:space="preserve"> Tất cả các xe phải dừng lại trước ngã tư, trừ những xe đã ở trong ngã tư được phép tiếp tục đi.</t>
  </si>
  <si>
    <t>Câu 529. Theo hướng mũi tên, xe nào được phép đi?</t>
  </si>
  <si>
    <t>Xe mô tô, xe con.</t>
  </si>
  <si>
    <t>Xe con, xe tải.</t>
  </si>
  <si>
    <t xml:space="preserve"> Xe mô tô, xe tải.</t>
  </si>
  <si>
    <t>Câu 530. Xe con vượt xe tải như trường hợp này có đúng không?</t>
  </si>
  <si>
    <t>Câu 531. Xe nào vượt đúng quy tắc giao thông?</t>
  </si>
  <si>
    <t>Cả hai xe.</t>
  </si>
  <si>
    <t>Câu 532. Đi theo hướng mũi tên, xe nào vi phạm quy tắc giao thông?</t>
  </si>
  <si>
    <t>Xe chữa cháy đi làm nhiệm vụ chữa cháy.</t>
  </si>
  <si>
    <t>Câu 533. Thứ tự các xe đi như thế nào là đúng quy tắc giao thông?</t>
  </si>
  <si>
    <t>Xe khách, xe tải, xe con.</t>
  </si>
  <si>
    <t>Xe con, xe tải, xe khách.</t>
  </si>
  <si>
    <t xml:space="preserve"> Xe tải, xe khách, xe con.</t>
  </si>
  <si>
    <t>Câu 534. Theo hướng mũi tên, thứ tự các xe đi như thế nào là đúng quy tắc giao thông?</t>
  </si>
  <si>
    <t xml:space="preserve"> Xe khách và xe tải, xe con.</t>
  </si>
  <si>
    <t>Xe tải, xe khách, xe con.</t>
  </si>
  <si>
    <t>Xe con, xe khách, xe tải.</t>
  </si>
  <si>
    <t>Câu 535. Những hướng nào xe ô tô tải được phép đi?</t>
  </si>
  <si>
    <t>Chỉ hướng 1 và 2.</t>
  </si>
  <si>
    <t xml:space="preserve"> Trừ hướng 4.</t>
  </si>
  <si>
    <t>Câu 536. Theo hướng mũi tên, thứ tự các xe đi như thế nào là đúng?</t>
  </si>
  <si>
    <t>Xe con, xe khách và xe công an đi làm nhiệm vụ khẩn cấp, xe tải.</t>
  </si>
  <si>
    <t>Xe công an đi làm nhiệm vụ khẩn cấp, xe con, xe khách, xe tải.</t>
  </si>
  <si>
    <t>Xe con, xe tải, xe khách, xe công an đi làm nhiệm vụ khẩn cấp.</t>
  </si>
  <si>
    <t>Câu 537. Những hướng nào ô tô tải được phép đi?</t>
  </si>
  <si>
    <t>Câu 538. Trong hình dưới đây, xe nào chấp hành đúng quy tắc giao thông?</t>
  </si>
  <si>
    <t>Chỉ xe khách, xe mô tô.</t>
  </si>
  <si>
    <t xml:space="preserve"> Tất cả các loại xe trên.</t>
  </si>
  <si>
    <t>Không xe nào chấp hành đúng quy tắc giao thông.</t>
  </si>
  <si>
    <t>Câu 539. Theo hướng mũi tên, những hướng nào xe mô tô được phép đi?</t>
  </si>
  <si>
    <t xml:space="preserve"> Hướng 1 và 3.</t>
  </si>
  <si>
    <t>Câu 540. Trong trường hợp này, thứ tự xe đi như thế nào là đúng quy tắc giao thông?</t>
  </si>
  <si>
    <t>Xe công an đi làm nhiệm vụ khẩn cấp, xe quân sự đi làm nhiệm vụ khẩn cấp, xe con + xe mô tô.</t>
  </si>
  <si>
    <t xml:space="preserve"> Xe quân sự đi làm nhiệm vụ khẩn cấp, xe công an đi làm nhiệm vụ khẩn cấp, xe con + xe mô tô.</t>
  </si>
  <si>
    <t>Xe mô tô + xe con, xe quân sự đi làm nhiệm vụ khẩn cấp, xe công an đi làm nhiệm vụ khẩn cấp.</t>
  </si>
  <si>
    <t>Câu 541. Xe nào phải nhường đường là đúng quy tắc giao thông?</t>
  </si>
  <si>
    <t xml:space="preserve"> Xe A.</t>
  </si>
  <si>
    <t>Xe B.</t>
  </si>
  <si>
    <t>Câu 542. Xe con quay đầu đi ngược lại như hình vẽ dưới có vi phạm quy tắc giao thông không?</t>
  </si>
  <si>
    <t>Câu 543. Trong hình dưới, những xe nào vi phạm quy tắc giao thông?</t>
  </si>
  <si>
    <t xml:space="preserve"> Xe con (E), xe mô tô (C).</t>
  </si>
  <si>
    <t>Xe tải (B), xe mô tô (D).</t>
  </si>
  <si>
    <t>Xe khách (A), xe mô tô (C).</t>
  </si>
  <si>
    <t>Xe khách (A), xe mô tô (D).</t>
  </si>
  <si>
    <t>Câu 544. Để điều khiển cho xe đi thẳng, người lái xe phải làm gì là đúng quy tắc giao thông?</t>
  </si>
  <si>
    <t xml:space="preserve"> Nhường xe con rẽ trái trước.</t>
  </si>
  <si>
    <t>Đi thẳng không nhường.</t>
  </si>
  <si>
    <t>Câu 545. Người lái xe điều khiển xe đi theo hướng nào là đúng quy tắc giao thông?</t>
  </si>
  <si>
    <t>Chỉ hướng 2.</t>
  </si>
  <si>
    <t xml:space="preserve"> Hướng 1 và 2.</t>
  </si>
  <si>
    <t>Tất cả các hướng trừ hướng 3.</t>
  </si>
  <si>
    <t>Tất cả các hướng trừ hướng 4.</t>
  </si>
  <si>
    <t>Câu 546. Xe nào phải nhường đường là đúng quy tắc giao thông?</t>
  </si>
  <si>
    <t>Câu 547. Người lái xe điều khiển xe rẽ trái như thế nào là đúng quy tắc giao thông?</t>
  </si>
  <si>
    <t>Rẽ trái ngay trước xe buýt.</t>
  </si>
  <si>
    <t>Rẽ trái trước xe tải.</t>
  </si>
  <si>
    <t xml:space="preserve"> Nhường đường cho xe buýt và xe tải.</t>
  </si>
  <si>
    <t>Câu 548. Trong hình dưới, những xe nào vi phạm quy tắc giao thông?</t>
  </si>
  <si>
    <t>Xe con (B), xe mô tô (C).</t>
  </si>
  <si>
    <t>Xe con (A), xe mô tô (C).</t>
  </si>
  <si>
    <t xml:space="preserve"> Xe con (E), xe mô tô (D).</t>
  </si>
  <si>
    <t>Tất cả các loại xe trên.</t>
  </si>
  <si>
    <t>Câu 549. Xe nào đi trước là đúng quy tắc giao thông?</t>
  </si>
  <si>
    <t>Xe của bạn.</t>
  </si>
  <si>
    <t>Câu 550. Người lái xe có thể quay đầu xe như thế nào là đúng quy tắc giao thông?</t>
  </si>
  <si>
    <t xml:space="preserve"> Quay đầu theo hướng A.</t>
  </si>
  <si>
    <t>Quay đầu theo hướng B.</t>
  </si>
  <si>
    <t>Cấm quay đầu.</t>
  </si>
  <si>
    <t>Câu 551. Thứ tự các xe đi như thế nào là đúng quy tắc giao thông?</t>
  </si>
  <si>
    <t>Xe con và xe tải, xe của bạn.</t>
  </si>
  <si>
    <t>Xe của bạn, xe tải, xe con.</t>
  </si>
  <si>
    <t xml:space="preserve"> Xe của bạn và xe con, xe tải.</t>
  </si>
  <si>
    <t>Xe của bạn, xe tải + xe con.</t>
  </si>
  <si>
    <t>Tăng tốc cho xe chạy vượt qua.</t>
  </si>
  <si>
    <t xml:space="preserve"> Bật tín hiệu báo hiệu bằng đèn hoặc còi, khi đủ điều kiện an toàn, tăng tốc cho xe chạy vượt qua.</t>
  </si>
  <si>
    <t>Đánh lái sang làn bên trái và tăng tốc cho xe chạy vượt qua.</t>
  </si>
  <si>
    <t>Câu 553. Theo tín hiệu đèn, xe nào phải dừng lại là đúng quy tắc giao thông?</t>
  </si>
  <si>
    <t>Xe tải ( D), xe con (B).</t>
  </si>
  <si>
    <t xml:space="preserve"> Xe con (A), xe con (C), xe con (E), xe buýt (G).</t>
  </si>
  <si>
    <t>Xe con (A), xe con (B), xe tải (D).</t>
  </si>
  <si>
    <t>Câu 555. Người lái xe có được phép vượt xe tải để đi thẳng trong trường hợp này không?</t>
  </si>
  <si>
    <t>Được vượt.</t>
  </si>
  <si>
    <t xml:space="preserve"> Cấm vượt.</t>
  </si>
  <si>
    <t>Cho phép.</t>
  </si>
  <si>
    <t>Câu 557. Người lái xe dừng tại vị trí nào là đúng quy tắc giao thông?</t>
  </si>
  <si>
    <t>Vị trí A và B.</t>
  </si>
  <si>
    <t>Vị trí A và C.</t>
  </si>
  <si>
    <t xml:space="preserve"> Vị trí B và C.</t>
  </si>
  <si>
    <t>Cả ba vị trí A, B, C.</t>
  </si>
  <si>
    <t>Được phép dừng ở vị trí A.</t>
  </si>
  <si>
    <t>Được phép dừng ở vị trí B.</t>
  </si>
  <si>
    <t>Được phép dừng ở vị trí A và B.</t>
  </si>
  <si>
    <t xml:space="preserve"> Không được dừng.</t>
  </si>
  <si>
    <t>Câu 559. Theo tín hiệu đèn của xe cơ giới, xe nào vi phạm quy tắc giao thông?</t>
  </si>
  <si>
    <t>Xe ô tô con.</t>
  </si>
  <si>
    <t>Câu 561. Các xe đi theo hướng mũi tên, những xe nào vi phạm quy tắc giao thông?</t>
  </si>
  <si>
    <t>Xe tải, xe con.</t>
  </si>
  <si>
    <t>Xe khách, xe con.</t>
  </si>
  <si>
    <t xml:space="preserve"> Xe khách, xe tải.</t>
  </si>
  <si>
    <t>Câu 562. Các xe đi theo hướng mũi tên, xe nào vi phạm quy tắc giao thông?</t>
  </si>
  <si>
    <t xml:space="preserve"> Xe tải, xe khách, xe mô tô.</t>
  </si>
  <si>
    <t>Xe khách, xe mô tô, xe con.</t>
  </si>
  <si>
    <t>Cả bốn xe.</t>
  </si>
  <si>
    <t>Câu 563. Các xe đi theo hướng mũi tên, xe nào vi phạm quy tắc giao thông?</t>
  </si>
  <si>
    <t>Câu 564. Trong tình huống dưới đây, để tránh xe phía trước bị hỏng đột xuất trên đường, người lái xe phải làm gì?</t>
  </si>
  <si>
    <t>Đánh lái sang trái cho xe vượt qua.</t>
  </si>
  <si>
    <t xml:space="preserve"> Quan sát phía trước, phía sau, khi đủ điều kiện an toàn, bật tín hiệu bằng đèn hoặc còi rồi cho xe chạy vượt qua.</t>
  </si>
  <si>
    <t>Cấm vượt.</t>
  </si>
  <si>
    <t>Câu 565. Các xe đi theo hướng mũi tên, xe nào chấp hành đúng quy tắc giao thông?</t>
  </si>
  <si>
    <t xml:space="preserve"> Xe khách, xe mô tô.</t>
  </si>
  <si>
    <t>Câu 566. Trong hình dưới, những xe nào vi phạm quy tắc giao thông?</t>
  </si>
  <si>
    <t>Xe tải (D), xe con (E), xe buýt (G).</t>
  </si>
  <si>
    <t xml:space="preserve"> Xe tải ( D), xe con (B).</t>
  </si>
  <si>
    <t>Xe con (B), xe con (C).</t>
  </si>
  <si>
    <t>Câu 567. Các xe đi theo thứ tự nào là đúng quy tắc giao thông đường bộ?</t>
  </si>
  <si>
    <t>Xe của bạn, xe mô tô, xe con.</t>
  </si>
  <si>
    <t>Xe con, xe của bạn, xe mô tô.</t>
  </si>
  <si>
    <t xml:space="preserve"> Xe mô tô, xe con, xe của bạn.</t>
  </si>
  <si>
    <t>Câu 568. Các xe đi theo thứ tự nào là đúng quy tắc giao thông đường bộ?</t>
  </si>
  <si>
    <t xml:space="preserve"> Xe con, xe của bạn, xe mô tô.</t>
  </si>
  <si>
    <t>Xe mô tô, xe con, xe của bạn.</t>
  </si>
  <si>
    <t>Câu 569. Xe nào phải dừng lại trong trường hợp này?</t>
  </si>
  <si>
    <t>Câu 570. Xe của bạn được đi theo hướng nào trong trường hợp này?</t>
  </si>
  <si>
    <t xml:space="preserve"> Đi thẳng, rẽ trái.</t>
  </si>
  <si>
    <t>Đi thẳng, rẽ phải.</t>
  </si>
  <si>
    <t>Rẽ trái.</t>
  </si>
  <si>
    <t>Đi thẳng, rẽ phải, rẽ trái.</t>
  </si>
  <si>
    <t>Câu 571. Xe của bạn được đi theo hướng nào trong trường hợp này?</t>
  </si>
  <si>
    <t>Chuyển sang làn đường bên phải và rẽ phải.</t>
  </si>
  <si>
    <t>Dừng lại trước vạch dừng và rẽ phải khi đèn xanh.</t>
  </si>
  <si>
    <t xml:space="preserve"> Dừng lại trước vạch dừng và đi thẳng hoặc rẽ trái khi đèn xanh.</t>
  </si>
  <si>
    <t>Câu 572. Bạn xử lý như thế nào trong trường hợp này?</t>
  </si>
  <si>
    <t>Tăng tốc độ, rẽ phải trước xe tải và xe đạp.</t>
  </si>
  <si>
    <t xml:space="preserve"> Giảm tốc độ, rẽ phải sau xe tải và xe đạp.</t>
  </si>
  <si>
    <t>Tăng tốc độ, rẽ phải trước xe đạp.</t>
  </si>
  <si>
    <t>Câu 573. Bạn xử lý như thế nào trong trường hợp này?</t>
  </si>
  <si>
    <t>Tăng tốc độ, rẽ phải trước xe con màu xanh phía trước và người đi bộ.</t>
  </si>
  <si>
    <t>Giảm tốc độ, để người đi bộ qua đường và rẽ phải trước xe con màu xanh.</t>
  </si>
  <si>
    <t xml:space="preserve"> Giảm tốc độ, để người đi bộ qua đường và rẽ phải sau xe con màu xanh.</t>
  </si>
  <si>
    <t>Nhường đường cho xe khách và đi trước xe đạp.</t>
  </si>
  <si>
    <t>Nhường đường cho xe đạp và đi trước xe khách.</t>
  </si>
  <si>
    <t xml:space="preserve"> Nhường đường cho xe đạp và xe khách.</t>
  </si>
  <si>
    <t>Câu 575. Xe nào phải nhường đường trong trường hợp này?</t>
  </si>
  <si>
    <t>Câu 576. Xe nào phải nhường đường trong trường hợp này?</t>
  </si>
  <si>
    <t>Xe đi ngược chiều.</t>
  </si>
  <si>
    <t xml:space="preserve"> Xe của bạn.</t>
  </si>
  <si>
    <t>Câu 577. Bạn xử lý như thế nào khi lái xe ô tô vượt qua đoàn người đi xe đạp có tổ chức?</t>
  </si>
  <si>
    <t>Tăng tốc độ, chuyển sang làn đường bên trái để vượt.</t>
  </si>
  <si>
    <t xml:space="preserve"> Không được vượt những người đi xe đạp.</t>
  </si>
  <si>
    <t>Câu 578. Phía trước có một xe đang lùi vào nơi đỗ, xe con phía trước đang chuyển sang làn đường bên trái, bạn xử lý như thế nào trong trường hợp này?</t>
  </si>
  <si>
    <t>Nếu phía sau không có xe xin vượt, chuyển sang làn đường bên trái.</t>
  </si>
  <si>
    <t>Nếu phía sau có xe xin vượt, thì giảm tốc độ, ở lại làn đường, dừng lại khi cần thiết.</t>
  </si>
  <si>
    <t>Tăng tốc độ trên làn đường của mình và vượt xe con.</t>
  </si>
  <si>
    <t>Câu 579. Bạn xử lý như thế nào khi xe phía trước đang lùi ra khỏi nơi đỗ?</t>
  </si>
  <si>
    <t>Chuyển sang nửa đường bên trái để đi tiếp.</t>
  </si>
  <si>
    <t>Bấm còi, nháy đèn báo hiệu và đi tiếp.</t>
  </si>
  <si>
    <t xml:space="preserve"> Giảm tốc độ, dừng lại nhường đường.</t>
  </si>
  <si>
    <t>Câu 580. Phía trước có một xe màu xanh đang vượt xe màu vàng trên làn đường của bạn, bạn xử lý như thế nào trong trường hợp này?</t>
  </si>
  <si>
    <t xml:space="preserve"> Phanh xe giảm tốc độ và đi sát lề đường bên phải.</t>
  </si>
  <si>
    <t>Bấm còi, nháy đèn báo hiệu, giữ nguyên tốc độ và đi tiếp.</t>
  </si>
  <si>
    <t>Phanh xe giảm tốc độ và đi sát vào lề đường bên trái.</t>
  </si>
  <si>
    <t>Câu 581. Xe tải phía trước có tín hiệu xin chuyển làn đường, bạn xử lý như thế nào trong trường hợp này?</t>
  </si>
  <si>
    <t>Bật tín hiệu xin chuyển làn đường sang trái để vượt xe tải.</t>
  </si>
  <si>
    <t xml:space="preserve"> Phanh xe giảm tốc độ chờ xe tải phía trước chuyển làn đường.</t>
  </si>
  <si>
    <t>Bấm còi báo hiệu và vượt qua xe tải trên làn đường của mình.</t>
  </si>
  <si>
    <t>Câu 582. Bạn xử lý như thế nào trong trường hợp này?</t>
  </si>
  <si>
    <t>Tăng tốc độ và đi thẳng qua ngã tư.</t>
  </si>
  <si>
    <t>Dừng xe trước vạch dừng.</t>
  </si>
  <si>
    <t xml:space="preserve"> Giảm tốc độ và đi thẳng qua ngã tư.</t>
  </si>
  <si>
    <t>Câu 583. Các xe đi theo thứ tự nào là đúng quy tắc giao thông đường bộ?</t>
  </si>
  <si>
    <t>Xe của bạn, xe mô tô, xe đạp.</t>
  </si>
  <si>
    <t>Xe mô tô, xe đạp, xe của bạn.</t>
  </si>
  <si>
    <t xml:space="preserve"> Xe đạp, xe mô tô, xe của bạn.</t>
  </si>
  <si>
    <t>Câu 584. Các xe đi theo thứ tự nào là đúng quy tắc giao thông đường bộ?</t>
  </si>
  <si>
    <t>Xe con, xe tải, xe của bạn.</t>
  </si>
  <si>
    <t>Xe tải, xe của bạn, xe con.</t>
  </si>
  <si>
    <t xml:space="preserve"> Xe của bạn, xe con, xe tải.</t>
  </si>
  <si>
    <t>Câu 585. Xe nào phải nhường đường trong trường hợp này?</t>
  </si>
  <si>
    <t>Câu 586. Xe nào phải nhường đường trong trường hợp này?</t>
  </si>
  <si>
    <t>Câu 587. Bạn xử lý như thế nào trong trường hợp này?</t>
  </si>
  <si>
    <t>Tăng tốc độ, đi qua vạch người đi bộ sang đường, để người đi bộ sang đường sau.</t>
  </si>
  <si>
    <t>Giảm tốc độ, đi qua vạch người đi bộ sang đường, để người đi bộ sang đường sau.</t>
  </si>
  <si>
    <t>Câu 588. Xe nào được đi trước trong trường hợp này?</t>
  </si>
  <si>
    <t>Câu 589. Các xe đi theo thứ tự nào là đúng quy tắc giao thông đường bộ?</t>
  </si>
  <si>
    <t xml:space="preserve"> Xe tải, xe con, xe của bạn.</t>
  </si>
  <si>
    <t>Câu 590. Bạn xử lý như thế nào trong trường hợp này?</t>
  </si>
  <si>
    <t>Tăng tốc độ cho xe lấn sang phần đường bên trái.</t>
  </si>
  <si>
    <t>Giảm tốc độ cho xe lấn sang phần đường bên trái.</t>
  </si>
  <si>
    <t xml:space="preserve"> Giảm tốc độ cho xe đi sát phần đường bên phải.</t>
  </si>
  <si>
    <t>Câu 591. Xe nào được đi trước trong trường hợp này?</t>
  </si>
  <si>
    <t>Câu 592. Xe nào dừng đúng theo quy tắc giao thông?</t>
  </si>
  <si>
    <t>Cả 2 xe đều đúng.</t>
  </si>
  <si>
    <t>Câu 593. Các xe đi theo thứ tự nào là đúng quy tắc giao thông đường bộ?</t>
  </si>
  <si>
    <t>Xe tải, xe đạp, xe của bạn.</t>
  </si>
  <si>
    <t>Xe của bạn, xe đạp, xe tải.</t>
  </si>
  <si>
    <t xml:space="preserve"> Xe của bạn, xe tải, xe đạp.</t>
  </si>
  <si>
    <t>Câu 594. Để điều khiển xe rẽ trái, bạn chọn hướng đi nào dưới đây?</t>
  </si>
  <si>
    <t xml:space="preserve"> Hướng 1.</t>
  </si>
  <si>
    <t>Hướng 2.</t>
  </si>
  <si>
    <t>Cả hai hướng đều được.</t>
  </si>
  <si>
    <t>Câu 595. Khi gặp xe ngược chiều bật đèn pha trong tình huống dưới dây, bạn xử lý như thế nào?</t>
  </si>
  <si>
    <t>Bật đèn chiếu xa, tăng tốc độ vượt xe cùng chiều.</t>
  </si>
  <si>
    <t xml:space="preserve"> Giữ nguyên đèn chiếu gần, giảm tốc độ, đi sau xe phía trước.</t>
  </si>
  <si>
    <t>Giữ nguyên đèn chiếu gần, tăng tốc độ vượt xe cùng chiều.</t>
  </si>
  <si>
    <t>Câu 596. Xe của bạn đang di chuyển gần đến khu vực giao cắt với đường sắt, khi rào chắn đang dịch chuyển, bạn điều khiển xe như thế nào là đúng quy tắc giao thông?</t>
  </si>
  <si>
    <t>Quan sát nếu thấy không có tàu thì tăng tốc cho xe vượt qua đường sắt.</t>
  </si>
  <si>
    <t xml:space="preserve"> Dừng lại trước rào chắn một khoảng cách an toàn.</t>
  </si>
  <si>
    <t>Ra tín hiệu, yêu cầu người gác chắn tàu kéo chậm barie để xe bạn qua.</t>
  </si>
  <si>
    <t>Câu 597. Trong tình huống dưới đây, xe con màu đỏ nhập làn đường cao tốc theo hướng mũi tên là đúng hay sai?</t>
  </si>
  <si>
    <t xml:space="preserve"> Sai.</t>
  </si>
  <si>
    <t>Câu 598. Trong tình huống dưới đây, xe con màu đỏ có được phép vượt khi xe con màu xanh đang vượt xe tải hay không?</t>
  </si>
  <si>
    <t>Câu 599. Trong tình huống dưới đây, xe con màu vàng vượt xe con màu đỏ là đúng quy tắc giao thông hay không?</t>
  </si>
  <si>
    <t>Câu 600. Trong tình huống dưới đây, xe đầu kéo kéo rơ moóc (xe container) đang rẽ phải, xe con màu xanh và xe máy phía sau xe container đi như thế nào để bảo đảm an toàn?</t>
  </si>
  <si>
    <t>Vượt về phía bên phải để đi tiếp.</t>
  </si>
  <si>
    <t xml:space="preserve"> Giảm tốc độ chờ xe container rẽ xong rồi tiếp tục đi.</t>
  </si>
  <si>
    <t>Vượt về phía bên trái để đi tiếp.</t>
  </si>
  <si>
    <t>Là khoảng trống có kích thước giới hạn về chiều rộng của đường, cầu, bến phà, hầm trên đường bộ để các xe kể cả hàng hóa xếp trên xe đi qua được an toàn.</t>
  </si>
  <si>
    <t xml:space="preserve">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t>
  </si>
  <si>
    <t>Câu 146. Trên đường bộ (trừ đường cao tốc) trong khu vực đông dân cư, đường hai chiều hoặc đường một chiều có một làn xe cơ giới, xe mô tô hai bánh, ô tô chở người đến 28 chỗ không kể chỗ của người lái xe tham gia giao thông với tốc độ khai thác tối đa cho phép là bao nhiêu?</t>
  </si>
  <si>
    <t xml:space="preserve"> Quan sát biển báo hiệu để biết nơi được phép quay đầu; quan sát kỹ địa hình nơi chọn để quay đầu; lựa chọn quỹ đạo quay đầu xe cho thích hợp; quay đầu xe với tốc độ thấp; thường xuyên báo tín hiệu để người, các phương tiện xung quanh được biết; nếu quay đầu xe ở nơi nguy hiểm thì đưa đầu xe về phía nguy hiểm, đưa đuôi xe về phía an toàn.</t>
  </si>
  <si>
    <t>Câu 269. Bánh xe, lốp lắp cho xe ô tô phải bảo đảm an toàn kỹ thuật như thế nào dưới đây?</t>
  </si>
  <si>
    <t>Câu 187. Người lái xe không điều khiển xe đi đúng làn đường quy định, phóng nhanh, vượt ẩu, vượt đèn đỏ, đi vào đường cấm được coi là hành vi nào trong các hành vi dưới đây?</t>
  </si>
  <si>
    <t>Điều khiển xe và đội mũ bảo hiểm ở nơi có biển báo bắt buộc đội mũ bảo hiểm.</t>
  </si>
  <si>
    <t>Câu 192. Trong các hành vi dưới đây, người lái xe có văn hóa giao thông phải ứng xử như thế nào?</t>
  </si>
  <si>
    <t>Giảm tốc độ cho xe chạy qua làn đường dành cho mô tô để tránh vũng nước.</t>
  </si>
  <si>
    <t>Nhìn xuống buồng lái để biết chính xác vị trí các tay số, cần phải tăng thứ tự từ thấp đến cao, phối hợp các động tác phải nhịp nhàng, vù ga phải phù hợp với tốc độ.</t>
  </si>
  <si>
    <t>Câu 222. Khi điều khiển xe giảm số, người lái xe cần phải chú ý những điểm gì để bảo đảm an toàn?</t>
  </si>
  <si>
    <t xml:space="preserve"> Quan sát, ước lượng độ ngập nước mà xe ô tô có thể vượt qua an toàn, về số thấp, giữ đều ga và giữ vững tay lái để ô tô vượt qua đoạn đường ngập nước.</t>
  </si>
  <si>
    <t>Câu 225. Khi điều khiển xe ô tô tới gần xe chạy ngược chiều vào ban đêm, người lái xe cần thực hiện các thao tác nào để bảo đảm an toàn?</t>
  </si>
  <si>
    <t xml:space="preserve"> Giữ vững tay lái cho xe đi đúng vệt bánh xe đi trước, sử dụng số thấp đi chậm, gài cầu (nếu có), giữ đều ga, không lấy nhiều lái, không đánh lái ngoặt và phanh gấp.</t>
  </si>
  <si>
    <t>Câu 227. Khi động cơ xe ô tô đã khởi động, bảng đồng hồ xuất hiện ký hiệu như hình vẽ dưới đây là báo hiệu tình trạng gì của xe ô tô?</t>
  </si>
  <si>
    <t>Không sử dụng chân phải; chân trái điều khiển bàn đạp phanh và bàn đạp ga.</t>
  </si>
  <si>
    <t>Câu 240. Khi tầm nhìn bị hạn chế bởi sương mù hoặc mưa to, người lái xe phải thực hiện các thao tác nào để bảo đảm an toàn?</t>
  </si>
  <si>
    <t>Quan sát xe đang đi trên đường chính, nếu là xe có kích thước lớn hơn thì nhường đường, xe có kích thước nhỏ hơn thì tăng tốc độ cho xe đi ra đường chính.</t>
  </si>
  <si>
    <t>Câu 254. Khi đang lái xe mô tô hoặc ô tô, nếu có nhu cầu sử dụng điện thoại để nhắn tin hoặc gọi điện, người lái xe phải thực hiện như thế nào trong các tình huống nêu dưới đây?</t>
  </si>
  <si>
    <t>Để quan sát an toàn phía trước cả bên trái và bên phải trước khi chuyển hướng.</t>
  </si>
  <si>
    <t>Câu 260. Để bảo đảm an toàn khi tham gia giao thông, người lái xe mô tô hai bánh cần điều khiển tay ga như thế nào?</t>
  </si>
  <si>
    <t>Câu 552. Khi muốn vượt xe tải, người lái xe phải làm gì là đúng quy tắc giao thông?</t>
  </si>
  <si>
    <t>Câu 554. Trong hình dưới, những xe nào chấp hành quy tắc giao thông?</t>
  </si>
  <si>
    <t>Câu 556. Bạn có được phép vượt xe mô tô phía trước không?</t>
  </si>
  <si>
    <t>Câu 558. Bạn được dừng xe ở vị trí nào trong tình huống này?</t>
  </si>
  <si>
    <t>Câu 560. Các xe đi theo hướng mũi tên, xe nào vi phạm quy tắc giao thông?</t>
  </si>
  <si>
    <t>Câu 574. Bạn xử lý như thế nào trong trường hợp này?</t>
  </si>
  <si>
    <t>Yêu cầu:</t>
  </si>
  <si>
    <t>Hướng dẫn cách sửa chi tiết đoạn code html trên như sau:</t>
  </si>
  <si>
    <t>- Khi chọn đáp án hiển thị phần giải thích nếu có bên dưới, có thể kèm hình ảnh thêm trong phần giải thích.</t>
  </si>
  <si>
    <t>- Câu hỏi để làm đề thi giấy phép lái xe, trong câu hỏi có thêm phần hình ảnh nếu có, hình ảnh tự co lại theo giao diện trình duyệt.</t>
  </si>
  <si>
    <t>- Khi xáo trộn đáp án thì câu A, B, C, D không đổi thứ tự, chỉ đổi nội dung lựa chọn, số lượng đáp án lựa chọn A, B, C, D có thể tăng giảm tùy câu hỏi</t>
  </si>
  <si>
    <t>- Câu hỏi điểm liệt đánh dấu sao đỏ lên.</t>
  </si>
  <si>
    <t>{</t>
  </si>
  <si>
    <t xml:space="preserve">    num:1,</t>
  </si>
  <si>
    <t xml:space="preserve">    id:510560270,</t>
  </si>
  <si>
    <t xml:space="preserve">    q:"Tạng Kinh...",</t>
  </si>
  <si>
    <t xml:space="preserve">    img:"images/1.png",</t>
  </si>
  <si>
    <t xml:space="preserve">    opts:{</t>
  </si>
  <si>
    <t xml:space="preserve">        A:"...",</t>
  </si>
  <si>
    <t xml:space="preserve">        B:"...",</t>
  </si>
  <si>
    <t xml:space="preserve">        C:"...",</t>
  </si>
  <si>
    <t xml:space="preserve">        D:"..."</t>
  </si>
  <si>
    <t xml:space="preserve">    },</t>
  </si>
  <si>
    <t xml:space="preserve">    answer:"D",</t>
  </si>
  <si>
    <t xml:space="preserve">    explain:"Đây là đáp án đúng vì...",</t>
  </si>
  <si>
    <t xml:space="preserve">    explainImg:"images/gt1.png",</t>
  </si>
  <si>
    <t xml:space="preserve">    danger:true</t>
  </si>
  <si>
    <t>}</t>
  </si>
  <si>
    <r>
      <t>1.</t>
    </r>
    <r>
      <rPr>
        <sz val="7"/>
        <color theme="1"/>
        <rFont val="Times New Roman"/>
        <family val="1"/>
      </rPr>
      <t xml:space="preserve">   </t>
    </r>
    <r>
      <rPr>
        <sz val="14"/>
        <color theme="1"/>
        <rFont val="Times New Roman"/>
        <family val="1"/>
      </rPr>
      <t>Phần mặt đường và lề đường.</t>
    </r>
  </si>
  <si>
    <r>
      <t>2.</t>
    </r>
    <r>
      <rPr>
        <sz val="7"/>
        <color theme="1"/>
        <rFont val="Times New Roman"/>
        <family val="1"/>
      </rPr>
      <t xml:space="preserve"> </t>
    </r>
    <r>
      <rPr>
        <u/>
        <sz val="14"/>
        <color theme="1"/>
        <rFont val="Times New Roman"/>
        <family val="1"/>
      </rPr>
      <t xml:space="preserve"> Phần đường xe chạy.</t>
    </r>
  </si>
  <si>
    <r>
      <t>3.</t>
    </r>
    <r>
      <rPr>
        <sz val="7"/>
        <color theme="1"/>
        <rFont val="Times New Roman"/>
        <family val="1"/>
      </rPr>
      <t xml:space="preserve">   </t>
    </r>
    <r>
      <rPr>
        <sz val="14"/>
        <color theme="1"/>
        <rFont val="Times New Roman"/>
        <family val="1"/>
      </rPr>
      <t>Phần đường xe cơ giới.</t>
    </r>
  </si>
  <si>
    <r>
      <t>1.</t>
    </r>
    <r>
      <rPr>
        <sz val="7"/>
        <color theme="1"/>
        <rFont val="Times New Roman"/>
        <family val="1"/>
      </rPr>
      <t xml:space="preserve">   </t>
    </r>
    <r>
      <rPr>
        <sz val="14"/>
        <color theme="1"/>
        <rFont val="Times New Roman"/>
        <family val="1"/>
      </rPr>
      <t>Là một phần của phần đường xe chạy được chia theo chiều dọc của đường, sử dụng cho xe chạy.</t>
    </r>
  </si>
  <si>
    <r>
      <t>2.</t>
    </r>
    <r>
      <rPr>
        <sz val="7"/>
        <color theme="1"/>
        <rFont val="Times New Roman"/>
        <family val="1"/>
      </rPr>
      <t xml:space="preserve"> </t>
    </r>
    <r>
      <rPr>
        <u/>
        <sz val="14"/>
        <color theme="1"/>
        <rFont val="Times New Roman"/>
        <family val="1"/>
      </rPr>
      <t xml:space="preserve"> Là một phần của phần đường xe chạy được chia theo chiều dọc của đường, có</t>
    </r>
    <r>
      <rPr>
        <sz val="14"/>
        <color theme="1"/>
        <rFont val="Times New Roman"/>
        <family val="1"/>
      </rPr>
      <t xml:space="preserve"> </t>
    </r>
    <r>
      <rPr>
        <u/>
        <sz val="14"/>
        <color theme="1"/>
        <rFont val="Times New Roman"/>
        <family val="1"/>
      </rPr>
      <t>đủ chiều rộng cho xe chạy an toàn.</t>
    </r>
  </si>
  <si>
    <r>
      <t>3.</t>
    </r>
    <r>
      <rPr>
        <sz val="7"/>
        <color theme="1"/>
        <rFont val="Times New Roman"/>
        <family val="1"/>
      </rPr>
      <t xml:space="preserve">   </t>
    </r>
    <r>
      <rPr>
        <sz val="14"/>
        <color theme="1"/>
        <rFont val="Times New Roman"/>
        <family val="1"/>
      </rPr>
      <t>Là đường cho xe ô tô chạy, dừng, đỗ an toàn.</t>
    </r>
  </si>
  <si>
    <r>
      <t>1.</t>
    </r>
    <r>
      <rPr>
        <sz val="7"/>
        <color theme="1"/>
        <rFont val="Times New Roman"/>
        <family val="1"/>
      </rPr>
      <t xml:space="preserve"> </t>
    </r>
    <r>
      <rPr>
        <u/>
        <sz val="14"/>
        <color theme="1"/>
        <rFont val="Times New Roman"/>
        <family val="1"/>
      </rPr>
      <t xml:space="preserve"> Khổ giới hạn của đường bộ là khoảng trống có kích thước giới hạn về chiều</t>
    </r>
    <r>
      <rPr>
        <sz val="14"/>
        <color theme="1"/>
        <rFont val="Times New Roman"/>
        <family val="1"/>
      </rPr>
      <t xml:space="preserve"> </t>
    </r>
    <r>
      <rPr>
        <u/>
        <sz val="14"/>
        <color theme="1"/>
        <rFont val="Times New Roman"/>
        <family val="1"/>
      </rPr>
      <t>rộng, chiều cao của đường bộ để các xe, bao gồm cả hàng hoá xếp trên xe đi qua</t>
    </r>
    <r>
      <rPr>
        <sz val="14"/>
        <color theme="1"/>
        <rFont val="Times New Roman"/>
        <family val="1"/>
      </rPr>
      <t xml:space="preserve"> </t>
    </r>
    <r>
      <rPr>
        <u/>
        <sz val="14"/>
        <color theme="1"/>
        <rFont val="Times New Roman"/>
        <family val="1"/>
      </rPr>
      <t>được an toàn và được xác định theo quy chuẩn, tiêu chuẩn kỹ thuật của đường bộ.</t>
    </r>
  </si>
  <si>
    <r>
      <t>3.</t>
    </r>
    <r>
      <rPr>
        <sz val="7"/>
        <color theme="1"/>
        <rFont val="Times New Roman"/>
        <family val="1"/>
      </rPr>
      <t xml:space="preserve">   </t>
    </r>
    <r>
      <rPr>
        <sz val="14"/>
        <color theme="1"/>
        <rFont val="Times New Roman"/>
        <family val="1"/>
      </rPr>
      <t>Là khoảng trống có kích thước giới hạn về chiều cao của cầu, bến phà, hầm trên đường bộ để các xe đi qua được an toàn.</t>
    </r>
  </si>
  <si>
    <r>
      <t>1.</t>
    </r>
    <r>
      <rPr>
        <sz val="7"/>
        <color theme="1"/>
        <rFont val="Times New Roman"/>
        <family val="1"/>
      </rPr>
      <t xml:space="preserve">  </t>
    </r>
    <r>
      <rPr>
        <sz val="14"/>
        <color theme="1"/>
        <rFont val="Times New Roman"/>
        <family val="1"/>
      </rPr>
      <t>Để phân chia các làn đường dành cho xe cơ giới và xe thô sơ trên đường cao tốc.</t>
    </r>
  </si>
  <si>
    <r>
      <t>2.</t>
    </r>
    <r>
      <rPr>
        <sz val="7"/>
        <color theme="1"/>
        <rFont val="Times New Roman"/>
        <family val="1"/>
      </rPr>
      <t xml:space="preserve"> </t>
    </r>
    <r>
      <rPr>
        <u/>
        <sz val="14"/>
        <color theme="1"/>
        <rFont val="Times New Roman"/>
        <family val="1"/>
      </rPr>
      <t xml:space="preserve"> Để phân chia phần đường xe chạy thành hai chiều riêng biệt hoặc để phân chia</t>
    </r>
    <r>
      <rPr>
        <sz val="14"/>
        <color theme="1"/>
        <rFont val="Times New Roman"/>
        <family val="1"/>
      </rPr>
      <t xml:space="preserve"> </t>
    </r>
    <r>
      <rPr>
        <u/>
        <sz val="14"/>
        <color theme="1"/>
        <rFont val="Times New Roman"/>
        <family val="1"/>
      </rPr>
      <t>phần đường dành cho xe cơ giới và xe thô sơ hoặc của nhiều loại xe khác nhau</t>
    </r>
    <r>
      <rPr>
        <sz val="14"/>
        <color theme="1"/>
        <rFont val="Times New Roman"/>
        <family val="1"/>
      </rPr>
      <t xml:space="preserve"> </t>
    </r>
    <r>
      <rPr>
        <u/>
        <sz val="14"/>
        <color theme="1"/>
        <rFont val="Times New Roman"/>
        <family val="1"/>
      </rPr>
      <t>trên cùng một chiều đường.</t>
    </r>
  </si>
  <si>
    <r>
      <t>3.</t>
    </r>
    <r>
      <rPr>
        <sz val="7"/>
        <color theme="1"/>
        <rFont val="Times New Roman"/>
        <family val="1"/>
      </rPr>
      <t xml:space="preserve">   </t>
    </r>
    <r>
      <rPr>
        <sz val="14"/>
        <color theme="1"/>
        <rFont val="Times New Roman"/>
        <family val="1"/>
      </rPr>
      <t>Để phân tách phần đường xe chạy và hành lang an toàn giao thông.</t>
    </r>
  </si>
  <si>
    <r>
      <t>1.</t>
    </r>
    <r>
      <rPr>
        <sz val="7"/>
        <color theme="1"/>
        <rFont val="Times New Roman"/>
        <family val="1"/>
      </rPr>
      <t xml:space="preserve">   </t>
    </r>
    <r>
      <rPr>
        <sz val="14"/>
        <color theme="1"/>
        <rFont val="Times New Roman"/>
        <family val="1"/>
      </rPr>
      <t>Là báo hiệu đường bộ để hỗ trợ cảnh báo nguy hiểm cho người tham gia giao thông đường bộ.</t>
    </r>
  </si>
  <si>
    <r>
      <t>2.</t>
    </r>
    <r>
      <rPr>
        <sz val="7"/>
        <color theme="1"/>
        <rFont val="Times New Roman"/>
        <family val="1"/>
      </rPr>
      <t xml:space="preserve"> </t>
    </r>
    <r>
      <rPr>
        <u/>
        <sz val="14"/>
        <color theme="1"/>
        <rFont val="Times New Roman"/>
        <family val="1"/>
      </rPr>
      <t xml:space="preserve"> Là vạch chỉ sự phân chia làn đường, vị trí hoặc hướng đi, vị trí dừng lại.</t>
    </r>
  </si>
  <si>
    <r>
      <t>3.</t>
    </r>
    <r>
      <rPr>
        <sz val="7"/>
        <color theme="1"/>
        <rFont val="Times New Roman"/>
        <family val="1"/>
      </rPr>
      <t xml:space="preserve">  </t>
    </r>
    <r>
      <rPr>
        <sz val="14"/>
        <color theme="1"/>
        <rFont val="Times New Roman"/>
        <family val="1"/>
      </rPr>
      <t>Là báo hiệu cho người tham gia giao thông đường bộ về các thông tin của đường bộ.</t>
    </r>
  </si>
  <si>
    <r>
      <t>4.</t>
    </r>
    <r>
      <rPr>
        <sz val="7"/>
        <color theme="1"/>
        <rFont val="Times New Roman"/>
        <family val="1"/>
      </rPr>
      <t xml:space="preserve">   </t>
    </r>
    <r>
      <rPr>
        <sz val="14"/>
        <color theme="1"/>
        <rFont val="Times New Roman"/>
        <family val="1"/>
      </rPr>
      <t>Cả ba ý trên.</t>
    </r>
  </si>
  <si>
    <r>
      <t>1.</t>
    </r>
    <r>
      <rPr>
        <sz val="7"/>
        <color theme="1"/>
        <rFont val="Times New Roman"/>
        <family val="1"/>
      </rPr>
      <t xml:space="preserve"> </t>
    </r>
    <r>
      <rPr>
        <u/>
        <sz val="14"/>
        <color theme="1"/>
        <rFont val="Times New Roman"/>
        <family val="1"/>
      </rPr>
      <t xml:space="preserve"> Là người điều khiển xe cơ giới, người điều khiển xe thô sơ, người điều khiển</t>
    </r>
    <r>
      <rPr>
        <sz val="14"/>
        <color theme="1"/>
        <rFont val="Times New Roman"/>
        <family val="1"/>
      </rPr>
      <t xml:space="preserve"> </t>
    </r>
    <r>
      <rPr>
        <u/>
        <sz val="14"/>
        <color theme="1"/>
        <rFont val="Times New Roman"/>
        <family val="1"/>
      </rPr>
      <t>xe máy chuyên dùng.</t>
    </r>
  </si>
  <si>
    <r>
      <t>2.</t>
    </r>
    <r>
      <rPr>
        <sz val="7"/>
        <color theme="1"/>
        <rFont val="Times New Roman"/>
        <family val="1"/>
      </rPr>
      <t xml:space="preserve">   </t>
    </r>
    <r>
      <rPr>
        <sz val="14"/>
        <color theme="1"/>
        <rFont val="Times New Roman"/>
        <family val="1"/>
      </rPr>
      <t>Là người được giao nhiệm vụ hướng dẫn giao thông trên đường bộ.</t>
    </r>
  </si>
  <si>
    <r>
      <t>3.</t>
    </r>
    <r>
      <rPr>
        <sz val="7"/>
        <color theme="1"/>
        <rFont val="Times New Roman"/>
        <family val="1"/>
      </rPr>
      <t xml:space="preserve">   </t>
    </r>
    <r>
      <rPr>
        <sz val="14"/>
        <color theme="1"/>
        <rFont val="Times New Roman"/>
        <family val="1"/>
      </rPr>
      <t>Cả hai ý trên.</t>
    </r>
  </si>
  <si>
    <r>
      <t>1.</t>
    </r>
    <r>
      <rPr>
        <sz val="7"/>
        <color theme="1"/>
        <rFont val="Times New Roman"/>
        <family val="1"/>
      </rPr>
      <t xml:space="preserve"> </t>
    </r>
    <r>
      <rPr>
        <u/>
        <sz val="14"/>
        <color theme="1"/>
        <rFont val="Times New Roman"/>
        <family val="1"/>
      </rPr>
      <t xml:space="preserve"> Là người điều khiển xe cơ giới.</t>
    </r>
  </si>
  <si>
    <r>
      <t>2.</t>
    </r>
    <r>
      <rPr>
        <sz val="7"/>
        <color theme="1"/>
        <rFont val="Times New Roman"/>
        <family val="1"/>
      </rPr>
      <t xml:space="preserve">   </t>
    </r>
    <r>
      <rPr>
        <sz val="14"/>
        <color theme="1"/>
        <rFont val="Times New Roman"/>
        <family val="1"/>
      </rPr>
      <t>Là người điều khiển xe thô sơ.</t>
    </r>
  </si>
  <si>
    <r>
      <t>3.</t>
    </r>
    <r>
      <rPr>
        <sz val="7"/>
        <color theme="1"/>
        <rFont val="Times New Roman"/>
        <family val="1"/>
      </rPr>
      <t xml:space="preserve">   </t>
    </r>
    <r>
      <rPr>
        <sz val="14"/>
        <color theme="1"/>
        <rFont val="Times New Roman"/>
        <family val="1"/>
      </rPr>
      <t>Là người điều khiển xe máy chuyên dùng.</t>
    </r>
  </si>
  <si>
    <r>
      <t>1.</t>
    </r>
    <r>
      <rPr>
        <sz val="7"/>
        <color theme="1"/>
        <rFont val="Times New Roman"/>
        <family val="1"/>
      </rPr>
      <t xml:space="preserve">   </t>
    </r>
    <r>
      <rPr>
        <sz val="14"/>
        <color theme="1"/>
        <rFont val="Times New Roman"/>
        <family val="1"/>
      </rPr>
      <t>Xe ô tô; máy kéo; xe mô tô hai bánh; xe mô tô ba bánh; xe gắn máy; xe cơ giới dùng cho người khuyết tật và xe máy chuyên dùng; xe đạp, xe đạp máy, xe đạp điện.</t>
    </r>
  </si>
  <si>
    <r>
      <t>2.</t>
    </r>
    <r>
      <rPr>
        <sz val="7"/>
        <color theme="1"/>
        <rFont val="Times New Roman"/>
        <family val="1"/>
      </rPr>
      <t xml:space="preserve"> </t>
    </r>
    <r>
      <rPr>
        <u/>
        <sz val="14"/>
        <color theme="1"/>
        <rFont val="Times New Roman"/>
        <family val="1"/>
      </rPr>
      <t xml:space="preserve"> Xe ô tô; rơ moóc được kéo bởi xe ô tô; sơ mi rơ moóc được kéo bởi ô tô đầu</t>
    </r>
    <r>
      <rPr>
        <sz val="14"/>
        <color theme="1"/>
        <rFont val="Times New Roman"/>
        <family val="1"/>
      </rPr>
      <t xml:space="preserve"> </t>
    </r>
    <r>
      <rPr>
        <u/>
        <sz val="14"/>
        <color theme="1"/>
        <rFont val="Times New Roman"/>
        <family val="1"/>
      </rPr>
      <t>kéo; xe chở người bốn bánh có gắn động cơ; xe chở hàng bốn bánh có gắn động</t>
    </r>
    <r>
      <rPr>
        <sz val="14"/>
        <color theme="1"/>
        <rFont val="Times New Roman"/>
        <family val="1"/>
      </rPr>
      <t xml:space="preserve"> </t>
    </r>
    <r>
      <rPr>
        <u/>
        <sz val="14"/>
        <color theme="1"/>
        <rFont val="Times New Roman"/>
        <family val="1"/>
      </rPr>
      <t>cơ; xe mô tô, xe gắn máy và các loại xe tương tự.</t>
    </r>
  </si>
  <si>
    <r>
      <t>1.</t>
    </r>
    <r>
      <rPr>
        <sz val="7"/>
        <color theme="1"/>
        <rFont val="Times New Roman"/>
        <family val="1"/>
      </rPr>
      <t xml:space="preserve"> </t>
    </r>
    <r>
      <rPr>
        <u/>
        <sz val="14"/>
        <color theme="1"/>
        <rFont val="Times New Roman"/>
        <family val="1"/>
      </rPr>
      <t xml:space="preserve"> Xe đạp, xe đạp máy, xe đạp điện; xe xích lô; xe lăn dùng cho người khuyết tật;</t>
    </r>
    <r>
      <rPr>
        <sz val="14"/>
        <color theme="1"/>
        <rFont val="Times New Roman"/>
        <family val="1"/>
      </rPr>
      <t xml:space="preserve"> </t>
    </r>
    <r>
      <rPr>
        <u/>
        <sz val="14"/>
        <color theme="1"/>
        <rFont val="Times New Roman"/>
        <family val="1"/>
      </rPr>
      <t>xe vật nuôi kéo và các loại xe tương tự.</t>
    </r>
  </si>
  <si>
    <r>
      <t>2.</t>
    </r>
    <r>
      <rPr>
        <sz val="7"/>
        <color theme="1"/>
        <rFont val="Times New Roman"/>
        <family val="1"/>
      </rPr>
      <t xml:space="preserve">  </t>
    </r>
    <r>
      <rPr>
        <sz val="14"/>
        <color theme="1"/>
        <rFont val="Times New Roman"/>
        <family val="1"/>
      </rPr>
      <t>Xe đạp (kể cả xe đạp máy, xe đạp điện), xe gắn máy, xe cơ giới dùng cho người khuyết tật và xe máy chuyên dùng.</t>
    </r>
  </si>
  <si>
    <r>
      <t>3.</t>
    </r>
    <r>
      <rPr>
        <sz val="7"/>
        <color theme="1"/>
        <rFont val="Times New Roman"/>
        <family val="1"/>
      </rPr>
      <t xml:space="preserve">   </t>
    </r>
    <r>
      <rPr>
        <sz val="14"/>
        <color theme="1"/>
        <rFont val="Times New Roman"/>
        <family val="1"/>
      </rPr>
      <t>Xe ô tô, máy kéo, rơ moóc hoặc sơ mi rơ moóc được kéo bởi xe ô tô, máy kéo.</t>
    </r>
  </si>
  <si>
    <r>
      <t>1.</t>
    </r>
    <r>
      <rPr>
        <sz val="7"/>
        <color theme="1"/>
        <rFont val="Times New Roman"/>
        <family val="1"/>
      </rPr>
      <t xml:space="preserve">   </t>
    </r>
    <r>
      <rPr>
        <sz val="14"/>
        <color theme="1"/>
        <rFont val="Times New Roman"/>
        <family val="1"/>
      </rPr>
      <t>Phương tiện giao thông cơ giới đường bộ.</t>
    </r>
  </si>
  <si>
    <r>
      <t>2.</t>
    </r>
    <r>
      <rPr>
        <sz val="7"/>
        <color theme="1"/>
        <rFont val="Times New Roman"/>
        <family val="1"/>
      </rPr>
      <t xml:space="preserve">   </t>
    </r>
    <r>
      <rPr>
        <sz val="14"/>
        <color theme="1"/>
        <rFont val="Times New Roman"/>
        <family val="1"/>
      </rPr>
      <t>Phương tiện giao thông thô sơ đường bộ, xe máy chuyên dùng và các loại xe tương tự.</t>
    </r>
  </si>
  <si>
    <r>
      <t>3.</t>
    </r>
    <r>
      <rPr>
        <sz val="7"/>
        <color theme="1"/>
        <rFont val="Times New Roman"/>
        <family val="1"/>
      </rPr>
      <t xml:space="preserve"> </t>
    </r>
    <r>
      <rPr>
        <u/>
        <sz val="14"/>
        <color theme="1"/>
        <rFont val="Times New Roman"/>
        <family val="1"/>
      </rPr>
      <t xml:space="preserve"> Cả hai ý trên.</t>
    </r>
  </si>
  <si>
    <r>
      <t>1.</t>
    </r>
    <r>
      <rPr>
        <sz val="7"/>
        <color theme="1"/>
        <rFont val="Times New Roman"/>
        <family val="1"/>
      </rPr>
      <t xml:space="preserve">   </t>
    </r>
    <r>
      <rPr>
        <sz val="14"/>
        <color theme="1"/>
        <rFont val="Times New Roman"/>
        <family val="1"/>
      </rPr>
      <t>Người điều khiển, người được chở trên phương tiện tham gia giao thông đường bộ.</t>
    </r>
  </si>
  <si>
    <r>
      <t>2.</t>
    </r>
    <r>
      <rPr>
        <sz val="7"/>
        <color theme="1"/>
        <rFont val="Times New Roman"/>
        <family val="1"/>
      </rPr>
      <t xml:space="preserve">   </t>
    </r>
    <r>
      <rPr>
        <sz val="14"/>
        <color theme="1"/>
        <rFont val="Times New Roman"/>
        <family val="1"/>
      </rPr>
      <t>Người điều khiển, dẫn dắt vật nuôi trên đường bộ; người đi bộ trên đường bộ.</t>
    </r>
  </si>
  <si>
    <r>
      <t>1.</t>
    </r>
    <r>
      <rPr>
        <sz val="7"/>
        <color theme="1"/>
        <rFont val="Times New Roman"/>
        <family val="1"/>
      </rPr>
      <t xml:space="preserve">   </t>
    </r>
    <r>
      <rPr>
        <sz val="14"/>
        <color theme="1"/>
        <rFont val="Times New Roman"/>
        <family val="1"/>
      </rPr>
      <t>Người điều khiển xe cơ giới, người điều khiển xe thô sơ.</t>
    </r>
  </si>
  <si>
    <r>
      <t>2.</t>
    </r>
    <r>
      <rPr>
        <sz val="7"/>
        <color theme="1"/>
        <rFont val="Times New Roman"/>
        <family val="1"/>
      </rPr>
      <t xml:space="preserve">   </t>
    </r>
    <r>
      <rPr>
        <sz val="14"/>
        <color theme="1"/>
        <rFont val="Times New Roman"/>
        <family val="1"/>
      </rPr>
      <t>Người điều khiển xe máy chuyên dùng.</t>
    </r>
  </si>
  <si>
    <r>
      <t>1.</t>
    </r>
    <r>
      <rPr>
        <sz val="7"/>
        <color theme="1"/>
        <rFont val="Times New Roman"/>
        <family val="1"/>
      </rPr>
      <t xml:space="preserve">   </t>
    </r>
    <r>
      <rPr>
        <sz val="14"/>
        <color theme="1"/>
        <rFont val="Times New Roman"/>
        <family val="1"/>
      </rPr>
      <t>Là người điều khiển phương tiện tham gia giao thông đường bộ.</t>
    </r>
  </si>
  <si>
    <r>
      <t>2.</t>
    </r>
    <r>
      <rPr>
        <sz val="7"/>
        <color theme="1"/>
        <rFont val="Times New Roman"/>
        <family val="1"/>
      </rPr>
      <t xml:space="preserve"> </t>
    </r>
    <r>
      <rPr>
        <u/>
        <sz val="14"/>
        <color theme="1"/>
        <rFont val="Times New Roman"/>
        <family val="1"/>
      </rPr>
      <t xml:space="preserve"> Là Cảnh sát giao thông và người được giao nhiệm vụ hướng dẫn giao thông</t>
    </r>
    <r>
      <rPr>
        <sz val="14"/>
        <color theme="1"/>
        <rFont val="Times New Roman"/>
        <family val="1"/>
      </rPr>
      <t xml:space="preserve"> </t>
    </r>
    <r>
      <rPr>
        <u/>
        <sz val="14"/>
        <color theme="1"/>
        <rFont val="Times New Roman"/>
        <family val="1"/>
      </rPr>
      <t>trên đường bộ.</t>
    </r>
  </si>
  <si>
    <r>
      <t>3.</t>
    </r>
    <r>
      <rPr>
        <sz val="7"/>
        <color theme="1"/>
        <rFont val="Times New Roman"/>
        <family val="1"/>
      </rPr>
      <t xml:space="preserve">   </t>
    </r>
    <r>
      <rPr>
        <sz val="14"/>
        <color theme="1"/>
        <rFont val="Times New Roman"/>
        <family val="1"/>
      </rPr>
      <t>Là người tham gia giao thông đường bộ.</t>
    </r>
  </si>
  <si>
    <r>
      <t>1.</t>
    </r>
    <r>
      <rPr>
        <sz val="7"/>
        <color theme="1"/>
        <rFont val="Times New Roman"/>
        <family val="1"/>
      </rPr>
      <t xml:space="preserve">  </t>
    </r>
    <r>
      <rPr>
        <sz val="14"/>
        <color theme="1"/>
        <rFont val="Times New Roman"/>
        <family val="1"/>
      </rPr>
      <t>Là trạng thái đứng yên của xe không giới hạn thời gian để cho người lên, xuống xe, xếp dỡ hàng hóa hoặc thực hiện công việc khác.</t>
    </r>
  </si>
  <si>
    <r>
      <t>2.</t>
    </r>
    <r>
      <rPr>
        <sz val="7"/>
        <color theme="1"/>
        <rFont val="Times New Roman"/>
        <family val="1"/>
      </rPr>
      <t xml:space="preserve"> </t>
    </r>
    <r>
      <rPr>
        <u/>
        <sz val="14"/>
        <color theme="1"/>
        <rFont val="Times New Roman"/>
        <family val="1"/>
      </rPr>
      <t xml:space="preserve"> Là trạng thái đứng yên tạm thời của xe trong một khoảng thời gian cần thiết đủ</t>
    </r>
    <r>
      <rPr>
        <sz val="14"/>
        <color theme="1"/>
        <rFont val="Times New Roman"/>
        <family val="1"/>
      </rPr>
      <t xml:space="preserve"> </t>
    </r>
    <r>
      <rPr>
        <u/>
        <sz val="14"/>
        <color theme="1"/>
        <rFont val="Times New Roman"/>
        <family val="1"/>
      </rPr>
      <t>để cho người lên xe, xuống xe, xếp dỡ hàng hóa, kiểm tra kỹ thuật xe hoặc hoạt</t>
    </r>
    <r>
      <rPr>
        <sz val="14"/>
        <color theme="1"/>
        <rFont val="Times New Roman"/>
        <family val="1"/>
      </rPr>
      <t xml:space="preserve"> </t>
    </r>
    <r>
      <rPr>
        <u/>
        <sz val="14"/>
        <color theme="1"/>
        <rFont val="Times New Roman"/>
        <family val="1"/>
      </rPr>
      <t>động khác. Khi dừng xe không được tắt máy và không được rời khỏi vị trí lái, trừ</t>
    </r>
    <r>
      <rPr>
        <sz val="14"/>
        <color theme="1"/>
        <rFont val="Times New Roman"/>
        <family val="1"/>
      </rPr>
      <t xml:space="preserve"> </t>
    </r>
    <r>
      <rPr>
        <u/>
        <sz val="14"/>
        <color theme="1"/>
        <rFont val="Times New Roman"/>
        <family val="1"/>
      </rPr>
      <t>trường hợp rời khỏi vị trí lái để đóng, mở cửa xe, xếp dỡ hàng hóa, kiểm tra kỹ</t>
    </r>
    <r>
      <rPr>
        <sz val="14"/>
        <color theme="1"/>
        <rFont val="Times New Roman"/>
        <family val="1"/>
      </rPr>
      <t xml:space="preserve"> </t>
    </r>
    <r>
      <rPr>
        <u/>
        <sz val="14"/>
        <color theme="1"/>
        <rFont val="Times New Roman"/>
        <family val="1"/>
      </rPr>
      <t>thuật xe nhưng phải sử dụng phanh đỗ xe hoặc thực hiện biện pháp an toàn khác.</t>
    </r>
  </si>
  <si>
    <r>
      <t>3.</t>
    </r>
    <r>
      <rPr>
        <sz val="7"/>
        <color theme="1"/>
        <rFont val="Times New Roman"/>
        <family val="1"/>
      </rPr>
      <t xml:space="preserve">   </t>
    </r>
    <r>
      <rPr>
        <sz val="14"/>
        <color theme="1"/>
        <rFont val="Times New Roman"/>
        <family val="1"/>
      </rPr>
      <t>Là trạng thái đứng yên của xe không giới hạn thời gian giữa 02 lần vận chuyển hàng hóa hoặc hành khách.</t>
    </r>
  </si>
  <si>
    <r>
      <t>1.</t>
    </r>
    <r>
      <rPr>
        <sz val="7"/>
        <color theme="1"/>
        <rFont val="Times New Roman"/>
        <family val="1"/>
      </rPr>
      <t xml:space="preserve">   </t>
    </r>
    <r>
      <rPr>
        <sz val="14"/>
        <color theme="1"/>
        <rFont val="Times New Roman"/>
        <family val="1"/>
      </rPr>
      <t>Là trạng thái đứng yên của xe có giới hạn thời gian trong một khoảng thời gian cần thiết đủ để cho người lên, xuống xe đó, xếp dỡ hàng hóa hoặc thực hiện công việc khác.</t>
    </r>
  </si>
  <si>
    <r>
      <t>2.</t>
    </r>
    <r>
      <rPr>
        <sz val="7"/>
        <color theme="1"/>
        <rFont val="Times New Roman"/>
        <family val="1"/>
      </rPr>
      <t xml:space="preserve"> </t>
    </r>
    <r>
      <rPr>
        <u/>
        <sz val="14"/>
        <color theme="1"/>
        <rFont val="Times New Roman"/>
        <family val="1"/>
      </rPr>
      <t xml:space="preserve"> Là trạng thái đứng yên của xe không giới hạn thời gian. Khi đỗ xe, người điều</t>
    </r>
    <r>
      <rPr>
        <sz val="14"/>
        <color theme="1"/>
        <rFont val="Times New Roman"/>
        <family val="1"/>
      </rPr>
      <t xml:space="preserve"> </t>
    </r>
    <r>
      <rPr>
        <u/>
        <sz val="14"/>
        <color theme="1"/>
        <rFont val="Times New Roman"/>
        <family val="1"/>
      </rPr>
      <t>khiển phương tiện tham gia giao thông đường bộ chỉ được rời khỏi xe khi đã sử</t>
    </r>
    <r>
      <rPr>
        <sz val="14"/>
        <color theme="1"/>
        <rFont val="Times New Roman"/>
        <family val="1"/>
      </rPr>
      <t xml:space="preserve"> </t>
    </r>
    <r>
      <rPr>
        <u/>
        <sz val="14"/>
        <color theme="1"/>
        <rFont val="Times New Roman"/>
        <family val="1"/>
      </rPr>
      <t>dụng phanh đỗ xe hoặc thực hiện biện pháp an toàn khác. Xe đỗ trên đoạn đường</t>
    </r>
    <r>
      <rPr>
        <sz val="14"/>
        <color theme="1"/>
        <rFont val="Times New Roman"/>
        <family val="1"/>
      </rPr>
      <t xml:space="preserve"> </t>
    </r>
    <r>
      <rPr>
        <u/>
        <sz val="14"/>
        <color theme="1"/>
        <rFont val="Times New Roman"/>
        <family val="1"/>
      </rPr>
      <t>dốc phải đánh lái về phía lề đường, chèn bánh.</t>
    </r>
  </si>
  <si>
    <r>
      <t>1.</t>
    </r>
    <r>
      <rPr>
        <sz val="7"/>
        <color theme="1"/>
        <rFont val="Times New Roman"/>
        <family val="1"/>
      </rPr>
      <t xml:space="preserve"> </t>
    </r>
    <r>
      <rPr>
        <u/>
        <sz val="14"/>
        <color theme="1"/>
        <rFont val="Times New Roman"/>
        <family val="1"/>
      </rPr>
      <t xml:space="preserve"> Là một cấp kỹ thuật của đường bộ, chỉ dành cho một số loại xe cơ giới, xe máy</t>
    </r>
    <r>
      <rPr>
        <sz val="14"/>
        <color theme="1"/>
        <rFont val="Times New Roman"/>
        <family val="1"/>
      </rPr>
      <t xml:space="preserve"> </t>
    </r>
    <r>
      <rPr>
        <u/>
        <sz val="14"/>
        <color theme="1"/>
        <rFont val="Times New Roman"/>
        <family val="1"/>
      </rPr>
      <t>chuyên dùng tham gia giao thông theo quy định của pháp luật. Có dải phân cách</t>
    </r>
    <r>
      <rPr>
        <sz val="14"/>
        <color theme="1"/>
        <rFont val="Times New Roman"/>
        <family val="1"/>
      </rPr>
      <t xml:space="preserve"> </t>
    </r>
    <r>
      <rPr>
        <u/>
        <sz val="14"/>
        <color theme="1"/>
        <rFont val="Times New Roman"/>
        <family val="1"/>
      </rPr>
      <t>phân chia hai chiều xe chạy riêng biệt, không giao nhau cùng mức với một hoặc</t>
    </r>
    <r>
      <rPr>
        <sz val="14"/>
        <color theme="1"/>
        <rFont val="Times New Roman"/>
        <family val="1"/>
      </rPr>
      <t xml:space="preserve"> </t>
    </r>
    <r>
      <rPr>
        <u/>
        <sz val="14"/>
        <color theme="1"/>
        <rFont val="Times New Roman"/>
        <family val="1"/>
      </rPr>
      <t>các đường khác, chỉ cho xe ra, vào ở những điểm nhất định. Có hàng rào bảo vệ,</t>
    </r>
    <r>
      <rPr>
        <sz val="14"/>
        <color theme="1"/>
        <rFont val="Times New Roman"/>
        <family val="1"/>
      </rPr>
      <t xml:space="preserve"> </t>
    </r>
    <r>
      <rPr>
        <u/>
        <sz val="14"/>
        <color theme="1"/>
        <rFont val="Times New Roman"/>
        <family val="1"/>
      </rPr>
      <t>trang thiết bị phục vụ, bảo đảm giao thông liên tục, an toàn, rút ngắn thời gian</t>
    </r>
    <r>
      <rPr>
        <sz val="14"/>
        <color theme="1"/>
        <rFont val="Times New Roman"/>
        <family val="1"/>
      </rPr>
      <t xml:space="preserve"> </t>
    </r>
    <r>
      <rPr>
        <u/>
        <sz val="14"/>
        <color theme="1"/>
        <rFont val="Times New Roman"/>
        <family val="1"/>
      </rPr>
      <t>hành trình.</t>
    </r>
  </si>
  <si>
    <r>
      <t>2.</t>
    </r>
    <r>
      <rPr>
        <sz val="7"/>
        <color theme="1"/>
        <rFont val="Times New Roman"/>
        <family val="1"/>
      </rPr>
      <t xml:space="preserve">   </t>
    </r>
    <r>
      <rPr>
        <sz val="14"/>
        <color theme="1"/>
        <rFont val="Times New Roman"/>
        <family val="1"/>
      </rPr>
      <t>Là đường nối liền Thủ đô Hà Nội với trung tâm hành chính cấp tỉnh; đường nối liền các trung tâm hành chính cấp tỉnh; đường có vị trí quan trọng đối với sự phát triển kinh tế- xã hội, bảo đảm quốc phòng, an ninh của vùng, khu vực.</t>
    </r>
  </si>
  <si>
    <r>
      <t>1.</t>
    </r>
    <r>
      <rPr>
        <sz val="7"/>
        <color theme="1"/>
        <rFont val="Times New Roman"/>
        <family val="1"/>
      </rPr>
      <t xml:space="preserve"> </t>
    </r>
    <r>
      <rPr>
        <u/>
        <sz val="14"/>
        <color theme="1"/>
        <rFont val="Times New Roman"/>
        <family val="1"/>
      </rPr>
      <t xml:space="preserve"> Là thiết bị có đủ khả năng bảo đảm an toàn cho trẻ em ở tư thế ngồi hoặc nằm</t>
    </r>
    <r>
      <rPr>
        <sz val="14"/>
        <color theme="1"/>
        <rFont val="Times New Roman"/>
        <family val="1"/>
      </rPr>
      <t xml:space="preserve"> </t>
    </r>
    <r>
      <rPr>
        <u/>
        <sz val="14"/>
        <color theme="1"/>
        <rFont val="Times New Roman"/>
        <family val="1"/>
      </rPr>
      <t>trên xe ô tô, được thiết kế để giảm nguy cơ chấn thương cho người dùng trong</t>
    </r>
    <r>
      <rPr>
        <sz val="14"/>
        <color theme="1"/>
        <rFont val="Times New Roman"/>
        <family val="1"/>
      </rPr>
      <t xml:space="preserve"> </t>
    </r>
    <r>
      <rPr>
        <u/>
        <sz val="14"/>
        <color theme="1"/>
        <rFont val="Times New Roman"/>
        <family val="1"/>
      </rPr>
      <t>trường hợp xảy ra va chạm hoặc xe ô tô giảm tốc độ đột ngột, bằng cách hạn chế</t>
    </r>
    <r>
      <rPr>
        <sz val="14"/>
        <color theme="1"/>
        <rFont val="Times New Roman"/>
        <family val="1"/>
      </rPr>
      <t xml:space="preserve"> </t>
    </r>
    <r>
      <rPr>
        <u/>
        <sz val="14"/>
        <color theme="1"/>
        <rFont val="Times New Roman"/>
        <family val="1"/>
      </rPr>
      <t>sự di chuyển của cơ thể trẻ em.</t>
    </r>
  </si>
  <si>
    <r>
      <t>2.</t>
    </r>
    <r>
      <rPr>
        <sz val="7"/>
        <color theme="1"/>
        <rFont val="Times New Roman"/>
        <family val="1"/>
      </rPr>
      <t xml:space="preserve">   </t>
    </r>
    <r>
      <rPr>
        <sz val="14"/>
        <color theme="1"/>
        <rFont val="Times New Roman"/>
        <family val="1"/>
      </rPr>
      <t>Là thiết bị có đủ khả năng bảo đảm an toàn cho trẻ em ở tư thế đứng hoặc nằm trên xe ô tô, được thiết kế để giảm nguy cơ chấn thương cho người dùng trong trường hợp xe ô tô lưu thông bình thường.</t>
    </r>
  </si>
  <si>
    <r>
      <t>1.</t>
    </r>
    <r>
      <rPr>
        <sz val="7"/>
        <color theme="1"/>
        <rFont val="Times New Roman"/>
        <family val="1"/>
      </rPr>
      <t xml:space="preserve"> </t>
    </r>
    <r>
      <rPr>
        <u/>
        <sz val="14"/>
        <color theme="1"/>
        <rFont val="Times New Roman"/>
        <family val="1"/>
      </rPr>
      <t xml:space="preserve"> Đường chính, đường nhánh, đường gom, đường bên, đường dành cho giao</t>
    </r>
    <r>
      <rPr>
        <sz val="14"/>
        <color theme="1"/>
        <rFont val="Times New Roman"/>
        <family val="1"/>
      </rPr>
      <t xml:space="preserve"> </t>
    </r>
    <r>
      <rPr>
        <u/>
        <sz val="14"/>
        <color theme="1"/>
        <rFont val="Times New Roman"/>
        <family val="1"/>
      </rPr>
      <t>thông công cộng, đường nội bộ, đường dành riêng cho người đi bộ, người đi xe</t>
    </r>
    <r>
      <rPr>
        <sz val="14"/>
        <color theme="1"/>
        <rFont val="Times New Roman"/>
        <family val="1"/>
      </rPr>
      <t xml:space="preserve"> </t>
    </r>
    <r>
      <rPr>
        <u/>
        <sz val="14"/>
        <color theme="1"/>
        <rFont val="Times New Roman"/>
        <family val="1"/>
      </rPr>
      <t>đạp và các đường khác.</t>
    </r>
  </si>
  <si>
    <r>
      <t>2.</t>
    </r>
    <r>
      <rPr>
        <sz val="7"/>
        <color theme="1"/>
        <rFont val="Times New Roman"/>
        <family val="1"/>
      </rPr>
      <t xml:space="preserve">    </t>
    </r>
    <r>
      <rPr>
        <sz val="14"/>
        <color theme="1"/>
        <rFont val="Times New Roman"/>
        <family val="1"/>
      </rPr>
      <t>Đường chính, đường nhánh, đường gom, đường dành cho giao thông công cộng, đường nội bộ, đường dành riêng cho người đi bộ, người đi xe đạp và các đường khác.</t>
    </r>
  </si>
  <si>
    <r>
      <t>3.</t>
    </r>
    <r>
      <rPr>
        <sz val="7"/>
        <color theme="1"/>
        <rFont val="Times New Roman"/>
        <family val="1"/>
      </rPr>
      <t xml:space="preserve">  </t>
    </r>
    <r>
      <rPr>
        <sz val="14"/>
        <color theme="1"/>
        <rFont val="Times New Roman"/>
        <family val="1"/>
      </rPr>
      <t>Đường chính, đường nhánh, đường gom, đường bên, đường dành cho giao thông công cộng, đường dành riêng cho người đi bộ, người đi xe đạp và các đường khác.</t>
    </r>
  </si>
  <si>
    <r>
      <t>1.</t>
    </r>
    <r>
      <rPr>
        <sz val="7"/>
        <color theme="1"/>
        <rFont val="Times New Roman"/>
        <family val="1"/>
      </rPr>
      <t xml:space="preserve">   </t>
    </r>
    <r>
      <rPr>
        <sz val="14"/>
        <color theme="1"/>
        <rFont val="Times New Roman"/>
        <family val="1"/>
      </rPr>
      <t>Sử dụng xe đạp đi trên các tuyến quốc lộ.</t>
    </r>
  </si>
  <si>
    <r>
      <t>2.</t>
    </r>
    <r>
      <rPr>
        <sz val="7"/>
        <color theme="1"/>
        <rFont val="Times New Roman"/>
        <family val="1"/>
      </rPr>
      <t xml:space="preserve"> </t>
    </r>
    <r>
      <rPr>
        <u/>
        <sz val="14"/>
        <color theme="1"/>
        <rFont val="Times New Roman"/>
        <family val="1"/>
      </rPr>
      <t xml:space="preserve"> Rải vật sắc nhọn, đổ chất gây trơn trượt trên đường bộ.</t>
    </r>
  </si>
  <si>
    <r>
      <t>1.</t>
    </r>
    <r>
      <rPr>
        <sz val="7"/>
        <color theme="1"/>
        <rFont val="Times New Roman"/>
        <family val="1"/>
      </rPr>
      <t xml:space="preserve">   </t>
    </r>
    <r>
      <rPr>
        <sz val="14"/>
        <color theme="1"/>
        <rFont val="Times New Roman"/>
        <family val="1"/>
      </rPr>
      <t>Không có chứng nhận kiểm định an toàn kỹ thuật và bảo vệ môi trường.</t>
    </r>
  </si>
  <si>
    <r>
      <t>2.</t>
    </r>
    <r>
      <rPr>
        <sz val="7"/>
        <color theme="1"/>
        <rFont val="Times New Roman"/>
        <family val="1"/>
      </rPr>
      <t xml:space="preserve">   </t>
    </r>
    <r>
      <rPr>
        <sz val="14"/>
        <color theme="1"/>
        <rFont val="Times New Roman"/>
        <family val="1"/>
      </rPr>
      <t>Hết niên hạn sử dụng.</t>
    </r>
  </si>
  <si>
    <r>
      <t>1.</t>
    </r>
    <r>
      <rPr>
        <sz val="7"/>
        <color theme="1"/>
        <rFont val="Times New Roman"/>
        <family val="1"/>
      </rPr>
      <t xml:space="preserve">   </t>
    </r>
    <r>
      <rPr>
        <sz val="14"/>
        <color theme="1"/>
        <rFont val="Times New Roman"/>
        <family val="1"/>
      </rPr>
      <t>Trên đường phố không có người qua lại.</t>
    </r>
  </si>
  <si>
    <r>
      <t>2.</t>
    </r>
    <r>
      <rPr>
        <sz val="7"/>
        <color theme="1"/>
        <rFont val="Times New Roman"/>
        <family val="1"/>
      </rPr>
      <t xml:space="preserve">   </t>
    </r>
    <r>
      <rPr>
        <sz val="14"/>
        <color theme="1"/>
        <rFont val="Times New Roman"/>
        <family val="1"/>
      </rPr>
      <t>Được người dân ủng hộ.</t>
    </r>
  </si>
  <si>
    <r>
      <t>3.</t>
    </r>
    <r>
      <rPr>
        <sz val="7"/>
        <color theme="1"/>
        <rFont val="Times New Roman"/>
        <family val="1"/>
      </rPr>
      <t xml:space="preserve"> </t>
    </r>
    <r>
      <rPr>
        <u/>
        <sz val="14"/>
        <color theme="1"/>
        <rFont val="Times New Roman"/>
        <family val="1"/>
      </rPr>
      <t xml:space="preserve"> Được cơ quan có thẩm quyền cấp phép.</t>
    </r>
  </si>
  <si>
    <r>
      <t>1.</t>
    </r>
    <r>
      <rPr>
        <sz val="7"/>
        <color theme="1"/>
        <rFont val="Times New Roman"/>
        <family val="1"/>
      </rPr>
      <t xml:space="preserve">   </t>
    </r>
    <r>
      <rPr>
        <sz val="14"/>
        <color theme="1"/>
        <rFont val="Times New Roman"/>
        <family val="1"/>
      </rPr>
      <t>Chỉ bị nhắc nhở.</t>
    </r>
  </si>
  <si>
    <r>
      <t>2.</t>
    </r>
    <r>
      <rPr>
        <sz val="7"/>
        <color theme="1"/>
        <rFont val="Times New Roman"/>
        <family val="1"/>
      </rPr>
      <t xml:space="preserve"> </t>
    </r>
    <r>
      <rPr>
        <u/>
        <sz val="14"/>
        <color theme="1"/>
        <rFont val="Times New Roman"/>
        <family val="1"/>
      </rPr>
      <t xml:space="preserve"> Tùy theo mức độ của hành vi vi phạm có thể bị xử lý hành chính hoặc xử lý</t>
    </r>
    <r>
      <rPr>
        <sz val="14"/>
        <color theme="1"/>
        <rFont val="Times New Roman"/>
        <family val="1"/>
      </rPr>
      <t xml:space="preserve"> </t>
    </r>
    <r>
      <rPr>
        <u/>
        <sz val="14"/>
        <color theme="1"/>
        <rFont val="Times New Roman"/>
        <family val="1"/>
      </rPr>
      <t>hình sự.</t>
    </r>
  </si>
  <si>
    <r>
      <t>1.</t>
    </r>
    <r>
      <rPr>
        <sz val="7"/>
        <color theme="1"/>
        <rFont val="Times New Roman"/>
        <family val="1"/>
      </rPr>
      <t xml:space="preserve">   </t>
    </r>
    <r>
      <rPr>
        <sz val="14"/>
        <color theme="1"/>
        <rFont val="Times New Roman"/>
        <family val="1"/>
      </rPr>
      <t>Bị phạt tiền.</t>
    </r>
  </si>
  <si>
    <r>
      <t>2.</t>
    </r>
    <r>
      <rPr>
        <sz val="7"/>
        <color theme="1"/>
        <rFont val="Times New Roman"/>
        <family val="1"/>
      </rPr>
      <t xml:space="preserve">   </t>
    </r>
    <r>
      <rPr>
        <sz val="14"/>
        <color theme="1"/>
        <rFont val="Times New Roman"/>
        <family val="1"/>
      </rPr>
      <t>Bị tước giấy phép lái xe.</t>
    </r>
  </si>
  <si>
    <r>
      <t>1.</t>
    </r>
    <r>
      <rPr>
        <sz val="7"/>
        <color theme="1"/>
        <rFont val="Times New Roman"/>
        <family val="1"/>
      </rPr>
      <t xml:space="preserve"> </t>
    </r>
    <r>
      <rPr>
        <u/>
        <sz val="14"/>
        <color theme="1"/>
        <rFont val="Times New Roman"/>
        <family val="1"/>
      </rPr>
      <t xml:space="preserve"> Bị nghiêm cấm.</t>
    </r>
  </si>
  <si>
    <r>
      <t>2.</t>
    </r>
    <r>
      <rPr>
        <sz val="7"/>
        <color theme="1"/>
        <rFont val="Times New Roman"/>
        <family val="1"/>
      </rPr>
      <t xml:space="preserve">   </t>
    </r>
    <r>
      <rPr>
        <sz val="14"/>
        <color theme="1"/>
        <rFont val="Times New Roman"/>
        <family val="1"/>
      </rPr>
      <t>Không bị nghiêm cấm.</t>
    </r>
  </si>
  <si>
    <r>
      <t>3.</t>
    </r>
    <r>
      <rPr>
        <sz val="7"/>
        <color theme="1"/>
        <rFont val="Times New Roman"/>
        <family val="1"/>
      </rPr>
      <t xml:space="preserve">  </t>
    </r>
    <r>
      <rPr>
        <sz val="14"/>
        <color theme="1"/>
        <rFont val="Times New Roman"/>
        <family val="1"/>
      </rPr>
      <t>Không bị nghiêm cấm, nếu nồng độ cồn trong máu ở mức nhẹ, có thể điều khiển phương tiện tham gia giao thông.</t>
    </r>
  </si>
  <si>
    <r>
      <t>2.</t>
    </r>
    <r>
      <rPr>
        <sz val="7"/>
        <color theme="1"/>
        <rFont val="Times New Roman"/>
        <family val="1"/>
      </rPr>
      <t xml:space="preserve">   </t>
    </r>
    <r>
      <rPr>
        <sz val="14"/>
        <color theme="1"/>
        <rFont val="Times New Roman"/>
        <family val="1"/>
      </rPr>
      <t>Có thể bị tước giấy phép lái xe.</t>
    </r>
  </si>
  <si>
    <r>
      <t>1.</t>
    </r>
    <r>
      <rPr>
        <sz val="7"/>
        <color theme="1"/>
        <rFont val="Times New Roman"/>
        <family val="1"/>
      </rPr>
      <t xml:space="preserve"> </t>
    </r>
    <r>
      <rPr>
        <u/>
        <sz val="14"/>
        <color theme="1"/>
        <rFont val="Times New Roman"/>
        <family val="1"/>
      </rPr>
      <t xml:space="preserve"> Người điều khiển xe ô tô, xe mô tô, xe đạp, xe gắn máy.</t>
    </r>
  </si>
  <si>
    <r>
      <t>2.</t>
    </r>
    <r>
      <rPr>
        <sz val="7"/>
        <color theme="1"/>
        <rFont val="Times New Roman"/>
        <family val="1"/>
      </rPr>
      <t xml:space="preserve">   </t>
    </r>
    <r>
      <rPr>
        <sz val="14"/>
        <color theme="1"/>
        <rFont val="Times New Roman"/>
        <family val="1"/>
      </rPr>
      <t>Người được chở trên xe cơ giới.</t>
    </r>
  </si>
  <si>
    <r>
      <t>1.</t>
    </r>
    <r>
      <rPr>
        <sz val="7"/>
        <color theme="1"/>
        <rFont val="Times New Roman"/>
        <family val="1"/>
      </rPr>
      <t xml:space="preserve">   </t>
    </r>
    <r>
      <rPr>
        <sz val="14"/>
        <color theme="1"/>
        <rFont val="Times New Roman"/>
        <family val="1"/>
      </rPr>
      <t>Người chưa đủ tuổi theo quy định.</t>
    </r>
  </si>
  <si>
    <r>
      <t>2.</t>
    </r>
    <r>
      <rPr>
        <sz val="7"/>
        <color theme="1"/>
        <rFont val="Times New Roman"/>
        <family val="1"/>
      </rPr>
      <t xml:space="preserve">   </t>
    </r>
    <r>
      <rPr>
        <sz val="14"/>
        <color theme="1"/>
        <rFont val="Times New Roman"/>
        <family val="1"/>
      </rPr>
      <t>Người không có giấy phép lái xe.</t>
    </r>
  </si>
  <si>
    <r>
      <t>3.</t>
    </r>
    <r>
      <rPr>
        <sz val="7"/>
        <color theme="1"/>
        <rFont val="Times New Roman"/>
        <family val="1"/>
      </rPr>
      <t xml:space="preserve">   </t>
    </r>
    <r>
      <rPr>
        <sz val="14"/>
        <color theme="1"/>
        <rFont val="Times New Roman"/>
        <family val="1"/>
      </rPr>
      <t>Người có giấy phép lái xe nhưng đã bị trừ hết 12 điểm.</t>
    </r>
  </si>
  <si>
    <r>
      <t>4.</t>
    </r>
    <r>
      <rPr>
        <sz val="7"/>
        <color theme="1"/>
        <rFont val="Times New Roman"/>
        <family val="1"/>
      </rPr>
      <t xml:space="preserve"> </t>
    </r>
    <r>
      <rPr>
        <u/>
        <sz val="14"/>
        <color theme="1"/>
        <rFont val="Times New Roman"/>
        <family val="1"/>
      </rPr>
      <t xml:space="preserve"> Cả ba ý trên.</t>
    </r>
  </si>
  <si>
    <r>
      <t>1.</t>
    </r>
    <r>
      <rPr>
        <sz val="7"/>
        <color theme="1"/>
        <rFont val="Times New Roman"/>
        <family val="1"/>
      </rPr>
      <t xml:space="preserve">   </t>
    </r>
    <r>
      <rPr>
        <sz val="14"/>
        <color theme="1"/>
        <rFont val="Times New Roman"/>
        <family val="1"/>
      </rPr>
      <t>Điều khiển xe cơ giới lạng lách, đánh võng, rú ga liên tục khi tham gia giao thông trên đường.</t>
    </r>
  </si>
  <si>
    <r>
      <t>2.</t>
    </r>
    <r>
      <rPr>
        <sz val="7"/>
        <color theme="1"/>
        <rFont val="Times New Roman"/>
        <family val="1"/>
      </rPr>
      <t xml:space="preserve">   </t>
    </r>
    <r>
      <rPr>
        <sz val="14"/>
        <color theme="1"/>
        <rFont val="Times New Roman"/>
        <family val="1"/>
      </rPr>
      <t>Xúc phạm, đe dọa, cản trở, chống đối hoặc không chấp hành hiệu lệnh, hướng dẫn, yêu cầu kiểm tra, kiểm soát của người thi hành công vụ về bảo đảm trật tự, an toàn giao thông đường bộ.</t>
    </r>
  </si>
  <si>
    <r>
      <t>1.</t>
    </r>
    <r>
      <rPr>
        <sz val="7"/>
        <color theme="1"/>
        <rFont val="Times New Roman"/>
        <family val="1"/>
      </rPr>
      <t xml:space="preserve">  </t>
    </r>
    <r>
      <rPr>
        <sz val="14"/>
        <color theme="1"/>
        <rFont val="Times New Roman"/>
        <family val="1"/>
      </rPr>
      <t>Cải tạo xe ô tô loại khác thành xe ô tô chở người phục vụ mục đích quốc phòng, an ninh.</t>
    </r>
  </si>
  <si>
    <r>
      <t>2.</t>
    </r>
    <r>
      <rPr>
        <sz val="7"/>
        <color theme="1"/>
        <rFont val="Times New Roman"/>
        <family val="1"/>
      </rPr>
      <t xml:space="preserve"> </t>
    </r>
    <r>
      <rPr>
        <u/>
        <sz val="14"/>
        <color theme="1"/>
        <rFont val="Times New Roman"/>
        <family val="1"/>
      </rPr>
      <t xml:space="preserve"> Cải tạo trái phép; cố ý can thiệp làm sai lệch chỉ số trên đồng hồ báo quãng</t>
    </r>
    <r>
      <rPr>
        <sz val="14"/>
        <color theme="1"/>
        <rFont val="Times New Roman"/>
        <family val="1"/>
      </rPr>
      <t xml:space="preserve"> </t>
    </r>
    <r>
      <rPr>
        <u/>
        <sz val="14"/>
        <color theme="1"/>
        <rFont val="Times New Roman"/>
        <family val="1"/>
      </rPr>
      <t>đường đã chạy của xe ô tô; cắt, hàn, tẩy xóa, đục sửa, đóng lại trái phép số khung,</t>
    </r>
    <r>
      <rPr>
        <sz val="14"/>
        <color theme="1"/>
        <rFont val="Times New Roman"/>
        <family val="1"/>
      </rPr>
      <t xml:space="preserve"> </t>
    </r>
    <r>
      <rPr>
        <u/>
        <sz val="14"/>
        <color theme="1"/>
        <rFont val="Times New Roman"/>
        <family val="1"/>
      </rPr>
      <t>số động cơ của xe cơ giới, xe máy chuyên dùng.</t>
    </r>
  </si>
  <si>
    <r>
      <t>1.</t>
    </r>
    <r>
      <rPr>
        <sz val="7"/>
        <color theme="1"/>
        <rFont val="Times New Roman"/>
        <family val="1"/>
      </rPr>
      <t xml:space="preserve">   </t>
    </r>
    <r>
      <rPr>
        <sz val="14"/>
        <color theme="1"/>
        <rFont val="Times New Roman"/>
        <family val="1"/>
      </rPr>
      <t>Lắp đặt, sử dụng thiết bị âm thanh, ánh sáng trên xe cơ giới, xe máy chuyên dùng gây mất trật tự, an toàn giao thông đường bộ.</t>
    </r>
  </si>
  <si>
    <r>
      <t>2.</t>
    </r>
    <r>
      <rPr>
        <sz val="7"/>
        <color theme="1"/>
        <rFont val="Times New Roman"/>
        <family val="1"/>
      </rPr>
      <t xml:space="preserve">   </t>
    </r>
    <r>
      <rPr>
        <sz val="14"/>
        <color theme="1"/>
        <rFont val="Times New Roman"/>
        <family val="1"/>
      </rPr>
      <t>Cản trở người, phương tiện tham gia giao thông trên đường bộ; ném gạch, đất, đá, cát hoặc vật thể khác vào người, phương tiện đang tham gia giao thông trên đường bộ.</t>
    </r>
  </si>
  <si>
    <r>
      <t>1.</t>
    </r>
    <r>
      <rPr>
        <sz val="7"/>
        <color theme="1"/>
        <rFont val="Times New Roman"/>
        <family val="1"/>
      </rPr>
      <t xml:space="preserve">   </t>
    </r>
    <r>
      <rPr>
        <sz val="14"/>
        <color theme="1"/>
        <rFont val="Times New Roman"/>
        <family val="1"/>
      </rPr>
      <t>Không bị nghiêm cấm.</t>
    </r>
  </si>
  <si>
    <r>
      <t>2.</t>
    </r>
    <r>
      <rPr>
        <sz val="7"/>
        <color theme="1"/>
        <rFont val="Times New Roman"/>
        <family val="1"/>
      </rPr>
      <t xml:space="preserve"> </t>
    </r>
    <r>
      <rPr>
        <u/>
        <sz val="14"/>
        <color theme="1"/>
        <rFont val="Times New Roman"/>
        <family val="1"/>
      </rPr>
      <t xml:space="preserve"> Bị nghiêm cấm.</t>
    </r>
  </si>
  <si>
    <r>
      <t>3.</t>
    </r>
    <r>
      <rPr>
        <sz val="7"/>
        <color theme="1"/>
        <rFont val="Times New Roman"/>
        <family val="1"/>
      </rPr>
      <t xml:space="preserve">   </t>
    </r>
    <r>
      <rPr>
        <sz val="14"/>
        <color theme="1"/>
        <rFont val="Times New Roman"/>
        <family val="1"/>
      </rPr>
      <t>Bị nghiêm cấm tuỳ trường hợp.</t>
    </r>
  </si>
  <si>
    <r>
      <t>1.</t>
    </r>
    <r>
      <rPr>
        <sz val="7"/>
        <color theme="1"/>
        <rFont val="Times New Roman"/>
        <family val="1"/>
      </rPr>
      <t xml:space="preserve">   </t>
    </r>
    <r>
      <rPr>
        <sz val="14"/>
        <color theme="1"/>
        <rFont val="Times New Roman"/>
        <family val="1"/>
      </rPr>
      <t>Thay đổi tốc độ của xe nhiều lần.</t>
    </r>
  </si>
  <si>
    <r>
      <t>2.</t>
    </r>
    <r>
      <rPr>
        <sz val="7"/>
        <color theme="1"/>
        <rFont val="Times New Roman"/>
        <family val="1"/>
      </rPr>
      <t xml:space="preserve">   </t>
    </r>
    <r>
      <rPr>
        <sz val="14"/>
        <color theme="1"/>
        <rFont val="Times New Roman"/>
        <family val="1"/>
      </rPr>
      <t>Điều khiển phương tiện sau 23 giờ trong ngày.</t>
    </r>
  </si>
  <si>
    <r>
      <t>3.</t>
    </r>
    <r>
      <rPr>
        <sz val="7"/>
        <color theme="1"/>
        <rFont val="Times New Roman"/>
        <family val="1"/>
      </rPr>
      <t xml:space="preserve"> </t>
    </r>
    <r>
      <rPr>
        <u/>
        <sz val="14"/>
        <color theme="1"/>
        <rFont val="Times New Roman"/>
        <family val="1"/>
      </rPr>
      <t xml:space="preserve"> Lạng lách, đánh võng, rú ga liên tục.</t>
    </r>
  </si>
  <si>
    <r>
      <t>1.</t>
    </r>
    <r>
      <rPr>
        <sz val="7"/>
        <color theme="1"/>
        <rFont val="Times New Roman"/>
        <family val="1"/>
      </rPr>
      <t xml:space="preserve">   </t>
    </r>
    <r>
      <rPr>
        <sz val="14"/>
        <color theme="1"/>
        <rFont val="Times New Roman"/>
        <family val="1"/>
      </rPr>
      <t>Ba nhóm: Biển báo cấm, biển báo nguy hiểm và biển hiệu lệnh.</t>
    </r>
  </si>
  <si>
    <r>
      <t>2.</t>
    </r>
    <r>
      <rPr>
        <sz val="7"/>
        <color theme="1"/>
        <rFont val="Times New Roman"/>
        <family val="1"/>
      </rPr>
      <t xml:space="preserve">   </t>
    </r>
    <r>
      <rPr>
        <sz val="14"/>
        <color theme="1"/>
        <rFont val="Times New Roman"/>
        <family val="1"/>
      </rPr>
      <t>Bốn nhóm: Biển báo cấm, biển báo nguy hiểm, biển hiệu lệnh và biển phụ.</t>
    </r>
  </si>
  <si>
    <r>
      <t>3.</t>
    </r>
    <r>
      <rPr>
        <sz val="7"/>
        <color theme="1"/>
        <rFont val="Times New Roman"/>
        <family val="1"/>
      </rPr>
      <t xml:space="preserve"> </t>
    </r>
    <r>
      <rPr>
        <u/>
        <sz val="14"/>
        <color theme="1"/>
        <rFont val="Times New Roman"/>
        <family val="1"/>
      </rPr>
      <t xml:space="preserve"> Năm nhóm: Biển báo cấm, biển báo nguy hiểm, biển hiệu lệnh, biển chỉ dẫn,</t>
    </r>
    <r>
      <rPr>
        <sz val="14"/>
        <color theme="1"/>
        <rFont val="Times New Roman"/>
        <family val="1"/>
      </rPr>
      <t xml:space="preserve"> </t>
    </r>
    <r>
      <rPr>
        <u/>
        <sz val="14"/>
        <color theme="1"/>
        <rFont val="Times New Roman"/>
        <family val="1"/>
      </rPr>
      <t>biển phụ.</t>
    </r>
  </si>
  <si>
    <r>
      <t>1.</t>
    </r>
    <r>
      <rPr>
        <sz val="7"/>
        <color theme="1"/>
        <rFont val="Times New Roman"/>
        <family val="1"/>
      </rPr>
      <t xml:space="preserve">  </t>
    </r>
    <r>
      <rPr>
        <sz val="14"/>
        <color theme="1"/>
        <rFont val="Times New Roman"/>
        <family val="1"/>
      </rPr>
      <t>Giảm tốc độ và nhường đường cho người đi bộ, xe lăn của người khuyết tật qua đường đảm bảo an toàn.</t>
    </r>
  </si>
  <si>
    <r>
      <t>2.</t>
    </r>
    <r>
      <rPr>
        <sz val="7"/>
        <color theme="1"/>
        <rFont val="Times New Roman"/>
        <family val="1"/>
      </rPr>
      <t xml:space="preserve"> </t>
    </r>
    <r>
      <rPr>
        <u/>
        <sz val="14"/>
        <color theme="1"/>
        <rFont val="Times New Roman"/>
        <family val="1"/>
      </rPr>
      <t xml:space="preserve"> Quan sát, giảm tốc độ hoặc dừng lại để bảo đảm an toàn cho người đi bộ, xe</t>
    </r>
    <r>
      <rPr>
        <sz val="14"/>
        <color theme="1"/>
        <rFont val="Times New Roman"/>
        <family val="1"/>
      </rPr>
      <t xml:space="preserve"> </t>
    </r>
    <r>
      <rPr>
        <u/>
        <sz val="14"/>
        <color theme="1"/>
        <rFont val="Times New Roman"/>
        <family val="1"/>
      </rPr>
      <t>lăn của người khuyết tật qua đường.</t>
    </r>
  </si>
  <si>
    <r>
      <t>3.</t>
    </r>
    <r>
      <rPr>
        <sz val="7"/>
        <color theme="1"/>
        <rFont val="Times New Roman"/>
        <family val="1"/>
      </rPr>
      <t xml:space="preserve">   </t>
    </r>
    <r>
      <rPr>
        <sz val="14"/>
        <color theme="1"/>
        <rFont val="Times New Roman"/>
        <family val="1"/>
      </rPr>
      <t>Quan sát, tăng tốc độ và điều khiển phương tiện nhanh chóng đi qua.</t>
    </r>
  </si>
  <si>
    <r>
      <t>1.</t>
    </r>
    <r>
      <rPr>
        <sz val="7"/>
        <color theme="1"/>
        <rFont val="Times New Roman"/>
        <family val="1"/>
      </rPr>
      <t xml:space="preserve">   </t>
    </r>
    <r>
      <rPr>
        <sz val="14"/>
        <color theme="1"/>
        <rFont val="Times New Roman"/>
        <family val="1"/>
      </rPr>
      <t>Đường hẹp, đường vòng, đường quanh co, đường đèo, dốc.</t>
    </r>
  </si>
  <si>
    <r>
      <t>2.</t>
    </r>
    <r>
      <rPr>
        <sz val="7"/>
        <color theme="1"/>
        <rFont val="Times New Roman"/>
        <family val="1"/>
      </rPr>
      <t xml:space="preserve">   </t>
    </r>
    <r>
      <rPr>
        <sz val="14"/>
        <color theme="1"/>
        <rFont val="Times New Roman"/>
        <family val="1"/>
      </rPr>
      <t>Nơi cầu, cống hẹp, đập tràn, đường ngầm, hầm chui, hầm đường bộ.</t>
    </r>
  </si>
  <si>
    <r>
      <t>3.</t>
    </r>
    <r>
      <rPr>
        <sz val="7"/>
        <color theme="1"/>
        <rFont val="Times New Roman"/>
        <family val="1"/>
      </rPr>
      <t xml:space="preserve">   </t>
    </r>
    <r>
      <rPr>
        <sz val="14"/>
        <color theme="1"/>
        <rFont val="Times New Roman"/>
        <family val="1"/>
      </rPr>
      <t>Trời mưa, gió, sương, khói, bụi, mặt đường trơn trượt, lầy lội, có nhiều đất đá, vật liệu rơi vãi ảnh hưởng đến an toàn giao thông đường bộ.</t>
    </r>
  </si>
  <si>
    <r>
      <t>1.</t>
    </r>
    <r>
      <rPr>
        <sz val="7"/>
        <color theme="1"/>
        <rFont val="Times New Roman"/>
        <family val="1"/>
      </rPr>
      <t xml:space="preserve">   </t>
    </r>
    <r>
      <rPr>
        <sz val="14"/>
        <color theme="1"/>
        <rFont val="Times New Roman"/>
        <family val="1"/>
      </rPr>
      <t>Người tham gia giao thông đường bộ ở các hướng phải dừng lại.</t>
    </r>
  </si>
  <si>
    <r>
      <t>2.</t>
    </r>
    <r>
      <rPr>
        <sz val="7"/>
        <color theme="1"/>
        <rFont val="Times New Roman"/>
        <family val="1"/>
      </rPr>
      <t xml:space="preserve">   </t>
    </r>
    <r>
      <rPr>
        <sz val="14"/>
        <color theme="1"/>
        <rFont val="Times New Roman"/>
        <family val="1"/>
      </rPr>
      <t>Người tham gia giao thông đường bộ ở các hướng được đi theo chiều gậy chỉ của Cảnh sát giao thông.</t>
    </r>
  </si>
  <si>
    <r>
      <t>3.</t>
    </r>
    <r>
      <rPr>
        <sz val="7"/>
        <color theme="1"/>
        <rFont val="Times New Roman"/>
        <family val="1"/>
      </rPr>
      <t xml:space="preserve">   </t>
    </r>
    <r>
      <rPr>
        <sz val="14"/>
        <color theme="1"/>
        <rFont val="Times New Roman"/>
        <family val="1"/>
      </rPr>
      <t>Người tham gia giao thông đường bộ ở phía trước và phía sau người điều khiển được đi tất cả các hướng; người tham gia giao thông đường bộ ở phía bên phải và phía bên trái người điều khiển phải dừng lại.</t>
    </r>
  </si>
  <si>
    <r>
      <t>4.</t>
    </r>
    <r>
      <rPr>
        <sz val="7"/>
        <color theme="1"/>
        <rFont val="Times New Roman"/>
        <family val="1"/>
      </rPr>
      <t xml:space="preserve"> </t>
    </r>
    <r>
      <rPr>
        <u/>
        <sz val="14"/>
        <color theme="1"/>
        <rFont val="Times New Roman"/>
        <family val="1"/>
      </rPr>
      <t xml:space="preserve"> Người tham gia giao thông đường bộ ở phía trước và phía sau người điều khiển</t>
    </r>
    <r>
      <rPr>
        <sz val="14"/>
        <color theme="1"/>
        <rFont val="Times New Roman"/>
        <family val="1"/>
      </rPr>
      <t xml:space="preserve"> </t>
    </r>
    <r>
      <rPr>
        <u/>
        <sz val="14"/>
        <color theme="1"/>
        <rFont val="Times New Roman"/>
        <family val="1"/>
      </rPr>
      <t>phải dừng lại; người tham gia giao thông đường bộ ở phía bên phải và phía bên</t>
    </r>
    <r>
      <rPr>
        <sz val="14"/>
        <color theme="1"/>
        <rFont val="Times New Roman"/>
        <family val="1"/>
      </rPr>
      <t xml:space="preserve"> </t>
    </r>
    <r>
      <rPr>
        <u/>
        <sz val="14"/>
        <color theme="1"/>
        <rFont val="Times New Roman"/>
        <family val="1"/>
      </rPr>
      <t>trái người điều khiển được đi tất cả các hướng.</t>
    </r>
  </si>
  <si>
    <r>
      <t>1.</t>
    </r>
    <r>
      <rPr>
        <sz val="7"/>
        <color theme="1"/>
        <rFont val="Times New Roman"/>
        <family val="1"/>
      </rPr>
      <t xml:space="preserve">   </t>
    </r>
    <r>
      <rPr>
        <sz val="14"/>
        <color theme="1"/>
        <rFont val="Times New Roman"/>
        <family val="1"/>
      </rPr>
      <t>Người tham gia giao thông đường bộ ở phía sau Cảnh sát giao thông được đi, các hướng khác phải dừng lại.</t>
    </r>
  </si>
  <si>
    <r>
      <t>2.</t>
    </r>
    <r>
      <rPr>
        <sz val="7"/>
        <color theme="1"/>
        <rFont val="Times New Roman"/>
        <family val="1"/>
      </rPr>
      <t xml:space="preserve">  </t>
    </r>
    <r>
      <rPr>
        <sz val="14"/>
        <color theme="1"/>
        <rFont val="Times New Roman"/>
        <family val="1"/>
      </rPr>
      <t>Người tham gia giao thông đường bộ được rẽ phải theo chiều mũi tên màu xanh ở bục Cảnh sát giao thông.</t>
    </r>
  </si>
  <si>
    <r>
      <t>3.</t>
    </r>
    <r>
      <rPr>
        <sz val="7"/>
        <color theme="1"/>
        <rFont val="Times New Roman"/>
        <family val="1"/>
      </rPr>
      <t xml:space="preserve"> </t>
    </r>
    <r>
      <rPr>
        <u/>
        <sz val="14"/>
        <color theme="1"/>
        <rFont val="Times New Roman"/>
        <family val="1"/>
      </rPr>
      <t xml:space="preserve"> Người tham gia giao thông đường bộ ở tất cả các hướng phải dừng lại, trừ các</t>
    </r>
    <r>
      <rPr>
        <sz val="14"/>
        <color theme="1"/>
        <rFont val="Times New Roman"/>
        <family val="1"/>
      </rPr>
      <t xml:space="preserve"> </t>
    </r>
    <r>
      <rPr>
        <u/>
        <sz val="14"/>
        <color theme="1"/>
        <rFont val="Times New Roman"/>
        <family val="1"/>
      </rPr>
      <t>xe đã ở trong khu vực giao nhau.</t>
    </r>
  </si>
  <si>
    <r>
      <t>4.</t>
    </r>
    <r>
      <rPr>
        <sz val="7"/>
        <color theme="1"/>
        <rFont val="Times New Roman"/>
        <family val="1"/>
      </rPr>
      <t xml:space="preserve">    </t>
    </r>
    <r>
      <rPr>
        <sz val="14"/>
        <color theme="1"/>
        <rFont val="Times New Roman"/>
        <family val="1"/>
      </rPr>
      <t>Người tham gia giao thông đường bộ ở phía trước Cảnh sát giao thông phải dừng lại, các hướng khác được đi.</t>
    </r>
  </si>
  <si>
    <r>
      <t>1.</t>
    </r>
    <r>
      <rPr>
        <sz val="7"/>
        <color theme="1"/>
        <rFont val="Times New Roman"/>
        <family val="1"/>
      </rPr>
      <t xml:space="preserve"> </t>
    </r>
    <r>
      <rPr>
        <u/>
        <sz val="14"/>
        <color theme="1"/>
        <rFont val="Times New Roman"/>
        <family val="1"/>
      </rPr>
      <t xml:space="preserve"> Theo hiệu lệnh của người điều khiển giao thông.</t>
    </r>
  </si>
  <si>
    <r>
      <t>2.</t>
    </r>
    <r>
      <rPr>
        <sz val="7"/>
        <color theme="1"/>
        <rFont val="Times New Roman"/>
        <family val="1"/>
      </rPr>
      <t xml:space="preserve">   </t>
    </r>
    <r>
      <rPr>
        <sz val="14"/>
        <color theme="1"/>
        <rFont val="Times New Roman"/>
        <family val="1"/>
      </rPr>
      <t>Theo tín hiệu đèn giao thông.</t>
    </r>
  </si>
  <si>
    <r>
      <t>3.</t>
    </r>
    <r>
      <rPr>
        <sz val="7"/>
        <color theme="1"/>
        <rFont val="Times New Roman"/>
        <family val="1"/>
      </rPr>
      <t xml:space="preserve">   </t>
    </r>
    <r>
      <rPr>
        <sz val="14"/>
        <color theme="1"/>
        <rFont val="Times New Roman"/>
        <family val="1"/>
      </rPr>
      <t>Theo biển báo hiệu đường bộ.</t>
    </r>
  </si>
  <si>
    <r>
      <t>1.</t>
    </r>
    <r>
      <rPr>
        <sz val="7"/>
        <color theme="1"/>
        <rFont val="Times New Roman"/>
        <family val="1"/>
      </rPr>
      <t xml:space="preserve">   </t>
    </r>
    <r>
      <rPr>
        <sz val="14"/>
        <color theme="1"/>
        <rFont val="Times New Roman"/>
        <family val="1"/>
      </rPr>
      <t>Biển báo hiệu đặt cố định.</t>
    </r>
  </si>
  <si>
    <r>
      <t>2.</t>
    </r>
    <r>
      <rPr>
        <sz val="7"/>
        <color theme="1"/>
        <rFont val="Times New Roman"/>
        <family val="1"/>
      </rPr>
      <t xml:space="preserve"> </t>
    </r>
    <r>
      <rPr>
        <u/>
        <sz val="14"/>
        <color theme="1"/>
        <rFont val="Times New Roman"/>
        <family val="1"/>
      </rPr>
      <t xml:space="preserve"> Biển báo hiệu tạm thời.</t>
    </r>
  </si>
  <si>
    <r>
      <t>3.</t>
    </r>
    <r>
      <rPr>
        <sz val="7"/>
        <color theme="1"/>
        <rFont val="Times New Roman"/>
        <family val="1"/>
      </rPr>
      <t xml:space="preserve">   </t>
    </r>
    <r>
      <rPr>
        <sz val="14"/>
        <color theme="1"/>
        <rFont val="Times New Roman"/>
        <family val="1"/>
      </rPr>
      <t>Theo quyết định của người tham gia giao thông nhưng phải bảo đảm an toàn.</t>
    </r>
  </si>
  <si>
    <r>
      <t>1.</t>
    </r>
    <r>
      <rPr>
        <sz val="7"/>
        <color theme="1"/>
        <rFont val="Times New Roman"/>
        <family val="1"/>
      </rPr>
      <t xml:space="preserve"> </t>
    </r>
    <r>
      <rPr>
        <u/>
        <sz val="14"/>
        <color theme="1"/>
        <rFont val="Times New Roman"/>
        <family val="1"/>
      </rPr>
      <t xml:space="preserve"> Dừng lại trước vạch dừng; trường hợp đang đi trên vạch dừng hoặc đã đi qua</t>
    </r>
    <r>
      <rPr>
        <sz val="14"/>
        <color theme="1"/>
        <rFont val="Times New Roman"/>
        <family val="1"/>
      </rPr>
      <t xml:space="preserve"> </t>
    </r>
    <r>
      <rPr>
        <u/>
        <sz val="14"/>
        <color theme="1"/>
        <rFont val="Times New Roman"/>
        <family val="1"/>
      </rPr>
      <t>vạch dừng mà tín hiệu đèn màu vàng thì được đi tiếp; trường hợp tín hiệu đèn màu</t>
    </r>
    <r>
      <rPr>
        <sz val="14"/>
        <color theme="1"/>
        <rFont val="Times New Roman"/>
        <family val="1"/>
      </rPr>
      <t xml:space="preserve"> </t>
    </r>
    <r>
      <rPr>
        <u/>
        <sz val="14"/>
        <color theme="1"/>
        <rFont val="Times New Roman"/>
        <family val="1"/>
      </rPr>
      <t>vàng nhấp nháy, người điều khiển phương tiện tham gia giao thông đường bộ</t>
    </r>
    <r>
      <rPr>
        <sz val="14"/>
        <color theme="1"/>
        <rFont val="Times New Roman"/>
        <family val="1"/>
      </rPr>
      <t xml:space="preserve"> </t>
    </r>
    <r>
      <rPr>
        <u/>
        <sz val="14"/>
        <color theme="1"/>
        <rFont val="Times New Roman"/>
        <family val="1"/>
      </rPr>
      <t>được đi nhưng phải quan sát, giảm tốc độ hoặc dừng lại nhường đường cho người</t>
    </r>
    <r>
      <rPr>
        <sz val="14"/>
        <color theme="1"/>
        <rFont val="Times New Roman"/>
        <family val="1"/>
      </rPr>
      <t xml:space="preserve"> </t>
    </r>
    <r>
      <rPr>
        <u/>
        <sz val="14"/>
        <color theme="1"/>
        <rFont val="Times New Roman"/>
        <family val="1"/>
      </rPr>
      <t>đi bộ, xe lăn của người khuyết tật qua đường hoặc các phương tiện khác.</t>
    </r>
  </si>
  <si>
    <r>
      <t>2.</t>
    </r>
    <r>
      <rPr>
        <sz val="7"/>
        <color theme="1"/>
        <rFont val="Times New Roman"/>
        <family val="1"/>
      </rPr>
      <t xml:space="preserve">   </t>
    </r>
    <r>
      <rPr>
        <sz val="14"/>
        <color theme="1"/>
        <rFont val="Times New Roman"/>
        <family val="1"/>
      </rPr>
      <t>Tăng tốc độ nhanh chóng vượt qua nút giao.</t>
    </r>
  </si>
  <si>
    <r>
      <t>3.</t>
    </r>
    <r>
      <rPr>
        <sz val="7"/>
        <color theme="1"/>
        <rFont val="Times New Roman"/>
        <family val="1"/>
      </rPr>
      <t xml:space="preserve">   </t>
    </r>
    <r>
      <rPr>
        <sz val="14"/>
        <color theme="1"/>
        <rFont val="Times New Roman"/>
        <family val="1"/>
      </rPr>
      <t>Quan sát, giảm tốc độ, từ từ vượt qua nút giao.</t>
    </r>
  </si>
  <si>
    <r>
      <t>1.</t>
    </r>
    <r>
      <rPr>
        <sz val="7"/>
        <color theme="1"/>
        <rFont val="Times New Roman"/>
        <family val="1"/>
      </rPr>
      <t xml:space="preserve">   </t>
    </r>
    <r>
      <rPr>
        <sz val="14"/>
        <color theme="1"/>
        <rFont val="Times New Roman"/>
        <family val="1"/>
      </rPr>
      <t>Chỉ lớn hơn tốc độ tối đa cho phép khi đường vắng.</t>
    </r>
  </si>
  <si>
    <r>
      <t>2.</t>
    </r>
    <r>
      <rPr>
        <sz val="7"/>
        <color theme="1"/>
        <rFont val="Times New Roman"/>
        <family val="1"/>
      </rPr>
      <t xml:space="preserve">   </t>
    </r>
    <r>
      <rPr>
        <sz val="14"/>
        <color theme="1"/>
        <rFont val="Times New Roman"/>
        <family val="1"/>
      </rPr>
      <t>Chỉ lớn hơn tốc độ tối đa cho phép khi vào ban đêm.</t>
    </r>
  </si>
  <si>
    <r>
      <t>3.</t>
    </r>
    <r>
      <rPr>
        <sz val="7"/>
        <color theme="1"/>
        <rFont val="Times New Roman"/>
        <family val="1"/>
      </rPr>
      <t xml:space="preserve"> </t>
    </r>
    <r>
      <rPr>
        <u/>
        <sz val="14"/>
        <color theme="1"/>
        <rFont val="Times New Roman"/>
        <family val="1"/>
      </rPr>
      <t xml:space="preserve"> Không vượt quá tốc độ tối đa cho phép.</t>
    </r>
  </si>
  <si>
    <r>
      <t>1.</t>
    </r>
    <r>
      <rPr>
        <sz val="7"/>
        <color theme="1"/>
        <rFont val="Times New Roman"/>
        <family val="1"/>
      </rPr>
      <t xml:space="preserve"> </t>
    </r>
    <r>
      <rPr>
        <u/>
        <sz val="14"/>
        <color theme="1"/>
        <rFont val="Times New Roman"/>
        <family val="1"/>
      </rPr>
      <t xml:space="preserve"> Không được cho trẻ em ngồi cùng hàng ghế với người lái xe, trừ loại xe ô tô</t>
    </r>
    <r>
      <rPr>
        <sz val="14"/>
        <color theme="1"/>
        <rFont val="Times New Roman"/>
        <family val="1"/>
      </rPr>
      <t xml:space="preserve"> </t>
    </r>
    <r>
      <rPr>
        <u/>
        <sz val="14"/>
        <color theme="1"/>
        <rFont val="Times New Roman"/>
        <family val="1"/>
      </rPr>
      <t>chỉ có một hàng ghế; người lái xe phải sử dụng, hướng dẫn sử dụng thiết bị an</t>
    </r>
    <r>
      <rPr>
        <sz val="14"/>
        <color theme="1"/>
        <rFont val="Times New Roman"/>
        <family val="1"/>
      </rPr>
      <t xml:space="preserve"> </t>
    </r>
    <r>
      <rPr>
        <u/>
        <sz val="14"/>
        <color theme="1"/>
        <rFont val="Times New Roman"/>
        <family val="1"/>
      </rPr>
      <t>toàn phù hợp cho trẻ em.</t>
    </r>
  </si>
  <si>
    <r>
      <t>2.</t>
    </r>
    <r>
      <rPr>
        <sz val="7"/>
        <color theme="1"/>
        <rFont val="Times New Roman"/>
        <family val="1"/>
      </rPr>
      <t xml:space="preserve">    </t>
    </r>
    <r>
      <rPr>
        <sz val="14"/>
        <color theme="1"/>
        <rFont val="Times New Roman"/>
        <family val="1"/>
      </rPr>
      <t>Cho trẻ em ngồi cùng hàng ghế với người lái xe, người lái xe phải sử dụng, hướng dẫn sử dụng thiết bị an toàn phù hợp cho trẻ em.</t>
    </r>
  </si>
  <si>
    <r>
      <t>1.</t>
    </r>
    <r>
      <rPr>
        <sz val="7"/>
        <color theme="1"/>
        <rFont val="Times New Roman"/>
        <family val="1"/>
      </rPr>
      <t xml:space="preserve">   </t>
    </r>
    <r>
      <rPr>
        <sz val="14"/>
        <color theme="1"/>
        <rFont val="Times New Roman"/>
        <family val="1"/>
      </rPr>
      <t>Đi về bên trái theo chiều đi của mình.</t>
    </r>
  </si>
  <si>
    <r>
      <t>2.</t>
    </r>
    <r>
      <rPr>
        <sz val="7"/>
        <color theme="1"/>
        <rFont val="Times New Roman"/>
        <family val="1"/>
      </rPr>
      <t xml:space="preserve"> </t>
    </r>
    <r>
      <rPr>
        <u/>
        <sz val="14"/>
        <color theme="1"/>
        <rFont val="Times New Roman"/>
        <family val="1"/>
      </rPr>
      <t xml:space="preserve"> Đi về bên phải theo chiều đi của mình.</t>
    </r>
  </si>
  <si>
    <r>
      <t>3.</t>
    </r>
    <r>
      <rPr>
        <sz val="7"/>
        <color theme="1"/>
        <rFont val="Times New Roman"/>
        <family val="1"/>
      </rPr>
      <t xml:space="preserve">   </t>
    </r>
    <r>
      <rPr>
        <sz val="14"/>
        <color theme="1"/>
        <rFont val="Times New Roman"/>
        <family val="1"/>
      </rPr>
      <t>Đi ở bất cứ bên nào nhưng phải bấm đèn cảnh báo nguy hiểm để báo hiệu cho các phương tiện khác.</t>
    </r>
  </si>
  <si>
    <r>
      <t>1.</t>
    </r>
    <r>
      <rPr>
        <sz val="7"/>
        <color theme="1"/>
        <rFont val="Times New Roman"/>
        <family val="1"/>
      </rPr>
      <t xml:space="preserve">   </t>
    </r>
    <r>
      <rPr>
        <sz val="14"/>
        <color theme="1"/>
        <rFont val="Times New Roman"/>
        <family val="1"/>
      </rPr>
      <t>Đi trên làn đường bên phải trong cùng.</t>
    </r>
  </si>
  <si>
    <r>
      <t>2.</t>
    </r>
    <r>
      <rPr>
        <sz val="7"/>
        <color theme="1"/>
        <rFont val="Times New Roman"/>
        <family val="1"/>
      </rPr>
      <t xml:space="preserve"> </t>
    </r>
    <r>
      <rPr>
        <u/>
        <sz val="14"/>
        <color theme="1"/>
        <rFont val="Times New Roman"/>
        <family val="1"/>
      </rPr>
      <t xml:space="preserve"> Đi trên làn đường bên trái.</t>
    </r>
  </si>
  <si>
    <r>
      <t>3.</t>
    </r>
    <r>
      <rPr>
        <sz val="7"/>
        <color theme="1"/>
        <rFont val="Times New Roman"/>
        <family val="1"/>
      </rPr>
      <t xml:space="preserve">   </t>
    </r>
    <r>
      <rPr>
        <sz val="14"/>
        <color theme="1"/>
        <rFont val="Times New Roman"/>
        <family val="1"/>
      </rPr>
      <t>Đi ở bất cứ làn nào nhưng phải bảo đảm tốc độ cho phép.</t>
    </r>
  </si>
  <si>
    <r>
      <t>1.</t>
    </r>
    <r>
      <rPr>
        <sz val="7"/>
        <color theme="1"/>
        <rFont val="Times New Roman"/>
        <family val="1"/>
      </rPr>
      <t xml:space="preserve">   </t>
    </r>
    <r>
      <rPr>
        <sz val="14"/>
        <color theme="1"/>
        <rFont val="Times New Roman"/>
        <family val="1"/>
      </rPr>
      <t>Khi xe chạy phía trước có tín hiệu vượt xe khác.</t>
    </r>
  </si>
  <si>
    <r>
      <t>2.</t>
    </r>
    <r>
      <rPr>
        <sz val="7"/>
        <color theme="1"/>
        <rFont val="Times New Roman"/>
        <family val="1"/>
      </rPr>
      <t xml:space="preserve">   </t>
    </r>
    <r>
      <rPr>
        <sz val="14"/>
        <color theme="1"/>
        <rFont val="Times New Roman"/>
        <family val="1"/>
      </rPr>
      <t>Khi phía trước có xe chạy ngược chiều.</t>
    </r>
  </si>
  <si>
    <r>
      <t>3.</t>
    </r>
    <r>
      <rPr>
        <sz val="7"/>
        <color theme="1"/>
        <rFont val="Times New Roman"/>
        <family val="1"/>
      </rPr>
      <t xml:space="preserve"> </t>
    </r>
    <r>
      <rPr>
        <u/>
        <sz val="14"/>
        <color theme="1"/>
        <rFont val="Times New Roman"/>
        <family val="1"/>
      </rPr>
      <t xml:space="preserve"> Khi xe sau xin vượt nếu đủ điều kiện an toàn.</t>
    </r>
  </si>
  <si>
    <r>
      <t>4.</t>
    </r>
    <r>
      <rPr>
        <sz val="7"/>
        <color theme="1"/>
        <rFont val="Times New Roman"/>
        <family val="1"/>
      </rPr>
      <t xml:space="preserve">   </t>
    </r>
    <r>
      <rPr>
        <sz val="14"/>
        <color theme="1"/>
        <rFont val="Times New Roman"/>
        <family val="1"/>
      </rPr>
      <t>Khi xe sau có tín hiệu vượt bên phải.</t>
    </r>
  </si>
  <si>
    <r>
      <t>1.</t>
    </r>
    <r>
      <rPr>
        <sz val="7"/>
        <color theme="1"/>
        <rFont val="Times New Roman"/>
        <family val="1"/>
      </rPr>
      <t xml:space="preserve"> </t>
    </r>
    <r>
      <rPr>
        <u/>
        <sz val="14"/>
        <color theme="1"/>
        <rFont val="Times New Roman"/>
        <family val="1"/>
      </rPr>
      <t xml:space="preserve"> Là tình huống giao thông trên đường mà mỗi chiều đường xe chạy chỉ có một</t>
    </r>
    <r>
      <rPr>
        <sz val="14"/>
        <color theme="1"/>
        <rFont val="Times New Roman"/>
        <family val="1"/>
      </rPr>
      <t xml:space="preserve"> </t>
    </r>
    <r>
      <rPr>
        <u/>
        <sz val="14"/>
        <color theme="1"/>
        <rFont val="Times New Roman"/>
        <family val="1"/>
      </rPr>
      <t>làn đường dành cho xe cơ giới, xe đi phía sau di chuyển sang bên trái để di chuyển</t>
    </r>
    <r>
      <rPr>
        <sz val="14"/>
        <color theme="1"/>
        <rFont val="Times New Roman"/>
        <family val="1"/>
      </rPr>
      <t xml:space="preserve"> </t>
    </r>
    <r>
      <rPr>
        <u/>
        <sz val="14"/>
        <color theme="1"/>
        <rFont val="Times New Roman"/>
        <family val="1"/>
      </rPr>
      <t>lên trước xe phía trước.</t>
    </r>
  </si>
  <si>
    <r>
      <t>2.</t>
    </r>
    <r>
      <rPr>
        <sz val="7"/>
        <color theme="1"/>
        <rFont val="Times New Roman"/>
        <family val="1"/>
      </rPr>
      <t xml:space="preserve">   </t>
    </r>
    <r>
      <rPr>
        <sz val="14"/>
        <color theme="1"/>
        <rFont val="Times New Roman"/>
        <family val="1"/>
      </rPr>
      <t>Là tình huống giao thông trên đường có từ hai làn đường dành cho xe cơ giới cùng chiều trở lên được phân biệt bằng vạch kẻ đường, xe đi phía sau di chuyển lên trước xe phía trước theo quy tắc sử dụng làn đường.</t>
    </r>
  </si>
  <si>
    <r>
      <t>1.</t>
    </r>
    <r>
      <rPr>
        <sz val="7"/>
        <color theme="1"/>
        <rFont val="Times New Roman"/>
        <family val="1"/>
      </rPr>
      <t xml:space="preserve">   </t>
    </r>
    <r>
      <rPr>
        <sz val="14"/>
        <color theme="1"/>
        <rFont val="Times New Roman"/>
        <family val="1"/>
      </rPr>
      <t>Được phép vượt khi đường vắng.</t>
    </r>
  </si>
  <si>
    <r>
      <t>2.</t>
    </r>
    <r>
      <rPr>
        <sz val="7"/>
        <color theme="1"/>
        <rFont val="Times New Roman"/>
        <family val="1"/>
      </rPr>
      <t xml:space="preserve"> </t>
    </r>
    <r>
      <rPr>
        <u/>
        <sz val="14"/>
        <color theme="1"/>
        <rFont val="Times New Roman"/>
        <family val="1"/>
      </rPr>
      <t xml:space="preserve"> Không được phép vượt.</t>
    </r>
  </si>
  <si>
    <r>
      <t>3.</t>
    </r>
    <r>
      <rPr>
        <sz val="7"/>
        <color theme="1"/>
        <rFont val="Times New Roman"/>
        <family val="1"/>
      </rPr>
      <t xml:space="preserve">   </t>
    </r>
    <r>
      <rPr>
        <sz val="14"/>
        <color theme="1"/>
        <rFont val="Times New Roman"/>
        <family val="1"/>
      </rPr>
      <t>Được phép vượt khi có việc gấp.</t>
    </r>
  </si>
  <si>
    <r>
      <t>1.</t>
    </r>
    <r>
      <rPr>
        <sz val="7"/>
        <color theme="1"/>
        <rFont val="Times New Roman"/>
        <family val="1"/>
      </rPr>
      <t xml:space="preserve">   </t>
    </r>
    <r>
      <rPr>
        <sz val="14"/>
        <color theme="1"/>
        <rFont val="Times New Roman"/>
        <family val="1"/>
      </rPr>
      <t>Bấm còi liên tục để xe phía trước biết xe mình xin vượt.</t>
    </r>
  </si>
  <si>
    <r>
      <t>2.</t>
    </r>
    <r>
      <rPr>
        <sz val="7"/>
        <color theme="1"/>
        <rFont val="Times New Roman"/>
        <family val="1"/>
      </rPr>
      <t xml:space="preserve">   </t>
    </r>
    <r>
      <rPr>
        <sz val="14"/>
        <color theme="1"/>
        <rFont val="Times New Roman"/>
        <family val="1"/>
      </rPr>
      <t>Rú ga liên tục để xe phía trước biết xe mình xin vượt.</t>
    </r>
  </si>
  <si>
    <r>
      <t>3.</t>
    </r>
    <r>
      <rPr>
        <sz val="7"/>
        <color theme="1"/>
        <rFont val="Times New Roman"/>
        <family val="1"/>
      </rPr>
      <t xml:space="preserve"> </t>
    </r>
    <r>
      <rPr>
        <u/>
        <sz val="14"/>
        <color theme="1"/>
        <rFont val="Times New Roman"/>
        <family val="1"/>
      </rPr>
      <t xml:space="preserve"> Báo hiệu nhấp nháy bằng đèn chiếu sáng phía trước hoặc còi.</t>
    </r>
  </si>
  <si>
    <r>
      <t>1.</t>
    </r>
    <r>
      <rPr>
        <sz val="7"/>
        <color theme="1"/>
        <rFont val="Times New Roman"/>
        <family val="1"/>
      </rPr>
      <t xml:space="preserve">   </t>
    </r>
    <r>
      <rPr>
        <sz val="14"/>
        <color theme="1"/>
        <rFont val="Times New Roman"/>
        <family val="1"/>
      </rPr>
      <t>Từ 22 giờ ngày hôm trước đến 05 giờ ngày hôm sau.</t>
    </r>
  </si>
  <si>
    <r>
      <t>2.</t>
    </r>
    <r>
      <rPr>
        <sz val="7"/>
        <color theme="1"/>
        <rFont val="Times New Roman"/>
        <family val="1"/>
      </rPr>
      <t xml:space="preserve"> </t>
    </r>
    <r>
      <rPr>
        <u/>
        <sz val="14"/>
        <color theme="1"/>
        <rFont val="Times New Roman"/>
        <family val="1"/>
      </rPr>
      <t xml:space="preserve"> Từ 05 giờ đến 22 giờ.</t>
    </r>
  </si>
  <si>
    <r>
      <t>3.</t>
    </r>
    <r>
      <rPr>
        <sz val="7"/>
        <color theme="1"/>
        <rFont val="Times New Roman"/>
        <family val="1"/>
      </rPr>
      <t xml:space="preserve">   </t>
    </r>
    <r>
      <rPr>
        <sz val="14"/>
        <color theme="1"/>
        <rFont val="Times New Roman"/>
        <family val="1"/>
      </rPr>
      <t>Từ 23 giờ ngày hôm trước đến 05 giờ sáng hôm sau.</t>
    </r>
  </si>
  <si>
    <r>
      <t>1.</t>
    </r>
    <r>
      <rPr>
        <sz val="7"/>
        <color theme="1"/>
        <rFont val="Times New Roman"/>
        <family val="1"/>
      </rPr>
      <t xml:space="preserve"> </t>
    </r>
    <r>
      <rPr>
        <u/>
        <sz val="14"/>
        <color theme="1"/>
        <rFont val="Times New Roman"/>
        <family val="1"/>
      </rPr>
      <t xml:space="preserve"> Để báo hiệu cho người tham gia giao thông đường bộ khi xuất hiện tình huống</t>
    </r>
    <r>
      <rPr>
        <sz val="14"/>
        <color theme="1"/>
        <rFont val="Times New Roman"/>
        <family val="1"/>
      </rPr>
      <t xml:space="preserve"> </t>
    </r>
    <r>
      <rPr>
        <u/>
        <sz val="14"/>
        <color theme="1"/>
        <rFont val="Times New Roman"/>
        <family val="1"/>
      </rPr>
      <t>có thể mất an toàn giao thông hoặc báo hiệu chuẩn bị vượt xe.</t>
    </r>
  </si>
  <si>
    <r>
      <t>2.</t>
    </r>
    <r>
      <rPr>
        <sz val="7"/>
        <color theme="1"/>
        <rFont val="Times New Roman"/>
        <family val="1"/>
      </rPr>
      <t xml:space="preserve">   </t>
    </r>
    <r>
      <rPr>
        <sz val="14"/>
        <color theme="1"/>
        <rFont val="Times New Roman"/>
        <family val="1"/>
      </rPr>
      <t>Để báo hiệu cho người tham gia giao thông đường bộ từ 22 giờ ngày hôm trước đến 05 giờ ngày hôm sau trong khu đông dân cư, khu vực cơ sở khám bệnh, chữa bệnh, trừ xe ưu tiên.</t>
    </r>
  </si>
  <si>
    <r>
      <t>1.</t>
    </r>
    <r>
      <rPr>
        <sz val="7"/>
        <color theme="1"/>
        <rFont val="Times New Roman"/>
        <family val="1"/>
      </rPr>
      <t xml:space="preserve">   </t>
    </r>
    <r>
      <rPr>
        <sz val="14"/>
        <color theme="1"/>
        <rFont val="Times New Roman"/>
        <family val="1"/>
      </rPr>
      <t>Chỉ bật đèn chiếu xa (đèn pha).</t>
    </r>
  </si>
  <si>
    <r>
      <t>2.</t>
    </r>
    <r>
      <rPr>
        <sz val="7"/>
        <color theme="1"/>
        <rFont val="Times New Roman"/>
        <family val="1"/>
      </rPr>
      <t xml:space="preserve">   </t>
    </r>
    <r>
      <rPr>
        <sz val="14"/>
        <color theme="1"/>
        <rFont val="Times New Roman"/>
        <family val="1"/>
      </rPr>
      <t>Bật đèn chiếu xa (đèn pha) khi đường vắng, bật đèn chiếu gần (đèn cốt) khi có xe đi ngược chiều.</t>
    </r>
  </si>
  <si>
    <r>
      <t>3.</t>
    </r>
    <r>
      <rPr>
        <sz val="7"/>
        <color theme="1"/>
        <rFont val="Times New Roman"/>
        <family val="1"/>
      </rPr>
      <t xml:space="preserve"> </t>
    </r>
    <r>
      <rPr>
        <u/>
        <sz val="14"/>
        <color theme="1"/>
        <rFont val="Times New Roman"/>
        <family val="1"/>
      </rPr>
      <t xml:space="preserve"> Chỉ bật đèn chiếu gần (đèn cốt).</t>
    </r>
  </si>
  <si>
    <r>
      <t>1.</t>
    </r>
    <r>
      <rPr>
        <sz val="7"/>
        <color theme="1"/>
        <rFont val="Times New Roman"/>
        <family val="1"/>
      </rPr>
      <t xml:space="preserve"> </t>
    </r>
    <r>
      <rPr>
        <u/>
        <sz val="14"/>
        <color theme="1"/>
        <rFont val="Times New Roman"/>
        <family val="1"/>
      </rPr>
      <t xml:space="preserve"> Dùng tay cầm và sử dụng điện thoại hoặc thiết bị điện tử khác.</t>
    </r>
  </si>
  <si>
    <r>
      <t>2.</t>
    </r>
    <r>
      <rPr>
        <sz val="7"/>
        <color theme="1"/>
        <rFont val="Times New Roman"/>
        <family val="1"/>
      </rPr>
      <t xml:space="preserve">   </t>
    </r>
    <r>
      <rPr>
        <sz val="14"/>
        <color theme="1"/>
        <rFont val="Times New Roman"/>
        <family val="1"/>
      </rPr>
      <t>Chỉ được chở người trên thùng xe ô tô chở hàng trong trường hợp chở người đi làm nhiệm vụ cứu nạn, cứu hộ, phòng, chống thiên tai, dịch bệnh hoặc thực hiện nhiệm vụ khẩn cấp.</t>
    </r>
  </si>
  <si>
    <r>
      <t>1.</t>
    </r>
    <r>
      <rPr>
        <sz val="7"/>
        <color theme="1"/>
        <rFont val="Times New Roman"/>
        <family val="1"/>
      </rPr>
      <t xml:space="preserve"> </t>
    </r>
    <r>
      <rPr>
        <u/>
        <sz val="14"/>
        <color theme="1"/>
        <rFont val="Times New Roman"/>
        <family val="1"/>
      </rPr>
      <t xml:space="preserve"> Trên cầu hẹp có một làn đường; nơi đường giao nhau, đường bộ giao nhau cùng</t>
    </r>
    <r>
      <rPr>
        <sz val="14"/>
        <color theme="1"/>
        <rFont val="Times New Roman"/>
        <family val="1"/>
      </rPr>
      <t xml:space="preserve"> </t>
    </r>
    <r>
      <rPr>
        <u/>
        <sz val="14"/>
        <color theme="1"/>
        <rFont val="Times New Roman"/>
        <family val="1"/>
      </rPr>
      <t>mức với đường sắt; khi gặp xe ưu tiên.</t>
    </r>
  </si>
  <si>
    <r>
      <t>2.</t>
    </r>
    <r>
      <rPr>
        <sz val="7"/>
        <color theme="1"/>
        <rFont val="Times New Roman"/>
        <family val="1"/>
      </rPr>
      <t xml:space="preserve">   </t>
    </r>
    <r>
      <rPr>
        <sz val="14"/>
        <color theme="1"/>
        <rFont val="Times New Roman"/>
        <family val="1"/>
      </rPr>
      <t>Trên cầu có từ 02 làn xe trở lên.</t>
    </r>
  </si>
  <si>
    <r>
      <t>3.</t>
    </r>
    <r>
      <rPr>
        <sz val="7"/>
        <color theme="1"/>
        <rFont val="Times New Roman"/>
        <family val="1"/>
      </rPr>
      <t xml:space="preserve">   </t>
    </r>
    <r>
      <rPr>
        <sz val="14"/>
        <color theme="1"/>
        <rFont val="Times New Roman"/>
        <family val="1"/>
      </rPr>
      <t>Trên đường có 02 làn đường được phân chia làn bằng vạch kẻ nét đứt.</t>
    </r>
  </si>
  <si>
    <r>
      <t>1.</t>
    </r>
    <r>
      <rPr>
        <sz val="7"/>
        <color theme="1"/>
        <rFont val="Times New Roman"/>
        <family val="1"/>
      </rPr>
      <t xml:space="preserve">    </t>
    </r>
    <r>
      <rPr>
        <sz val="14"/>
        <color theme="1"/>
        <rFont val="Times New Roman"/>
        <family val="1"/>
      </rPr>
      <t>Ở phần đường dành cho người đi bộ qua đường, trên cầu, đầu cầu, gầm cầu vượt, ngầm.</t>
    </r>
  </si>
  <si>
    <r>
      <t>2.</t>
    </r>
    <r>
      <rPr>
        <sz val="7"/>
        <color theme="1"/>
        <rFont val="Times New Roman"/>
        <family val="1"/>
      </rPr>
      <t xml:space="preserve">   </t>
    </r>
    <r>
      <rPr>
        <sz val="14"/>
        <color theme="1"/>
        <rFont val="Times New Roman"/>
        <family val="1"/>
      </rPr>
      <t>Tại nơi đường bộ giao nhau cùng mức với đường sắt, đường hẹp, đường dốc, đoạn đường cong tầm nhìn bị che khuất, trên đường cao tốc, trong hầm đường bộ, trên đường một chiều.</t>
    </r>
  </si>
  <si>
    <r>
      <t>1.</t>
    </r>
    <r>
      <rPr>
        <sz val="7"/>
        <color theme="1"/>
        <rFont val="Times New Roman"/>
        <family val="1"/>
      </rPr>
      <t xml:space="preserve"> </t>
    </r>
    <r>
      <rPr>
        <u/>
        <sz val="14"/>
        <color theme="1"/>
        <rFont val="Times New Roman"/>
        <family val="1"/>
      </rPr>
      <t xml:space="preserve"> Ở phần đường dành cho người đi bộ qua đường, trên cầu, đầu cầu, trên đường</t>
    </r>
    <r>
      <rPr>
        <sz val="14"/>
        <color theme="1"/>
        <rFont val="Times New Roman"/>
        <family val="1"/>
      </rPr>
      <t xml:space="preserve"> </t>
    </r>
    <r>
      <rPr>
        <u/>
        <sz val="14"/>
        <color theme="1"/>
        <rFont val="Times New Roman"/>
        <family val="1"/>
      </rPr>
      <t>cao tốc, tại nơi đường bộ giao nhau cùng mức với đường sắt, đường hẹp, đường dốc.</t>
    </r>
  </si>
  <si>
    <r>
      <t>2.</t>
    </r>
    <r>
      <rPr>
        <sz val="7"/>
        <color theme="1"/>
        <rFont val="Times New Roman"/>
        <family val="1"/>
      </rPr>
      <t xml:space="preserve">   </t>
    </r>
    <r>
      <rPr>
        <sz val="14"/>
        <color theme="1"/>
        <rFont val="Times New Roman"/>
        <family val="1"/>
      </rPr>
      <t>Ở phía trước hoặc phía sau của phần đường dành cho người đi bộ qua đường, trên đường quốc lộ.</t>
    </r>
  </si>
  <si>
    <r>
      <t>1.</t>
    </r>
    <r>
      <rPr>
        <sz val="7"/>
        <color theme="1"/>
        <rFont val="Times New Roman"/>
        <family val="1"/>
      </rPr>
      <t xml:space="preserve">   </t>
    </r>
    <r>
      <rPr>
        <sz val="14"/>
        <color theme="1"/>
        <rFont val="Times New Roman"/>
        <family val="1"/>
      </rPr>
      <t>Phải quan sát, bảo đảm khoảng cách an toàn với xe phía sau.</t>
    </r>
  </si>
  <si>
    <r>
      <t>2.</t>
    </r>
    <r>
      <rPr>
        <sz val="7"/>
        <color theme="1"/>
        <rFont val="Times New Roman"/>
        <family val="1"/>
      </rPr>
      <t xml:space="preserve">   </t>
    </r>
    <r>
      <rPr>
        <sz val="14"/>
        <color theme="1"/>
        <rFont val="Times New Roman"/>
        <family val="1"/>
      </rPr>
      <t>Giảm tốc độ và có tín hiệu báo hướng rẽ.</t>
    </r>
  </si>
  <si>
    <r>
      <t>3.</t>
    </r>
    <r>
      <rPr>
        <sz val="7"/>
        <color theme="1"/>
        <rFont val="Times New Roman"/>
        <family val="1"/>
      </rPr>
      <t xml:space="preserve">   </t>
    </r>
    <r>
      <rPr>
        <sz val="14"/>
        <color theme="1"/>
        <rFont val="Times New Roman"/>
        <family val="1"/>
      </rPr>
      <t>Chuyển dần sang làn gần nhất với hướng rẽ. Khi bảo đảm an toàn, không gây trở ngại cho người và phương tiện khác mới được chuyển hướng.</t>
    </r>
  </si>
  <si>
    <r>
      <t>1.</t>
    </r>
    <r>
      <rPr>
        <sz val="7"/>
        <color theme="1"/>
        <rFont val="Times New Roman"/>
        <family val="1"/>
      </rPr>
      <t xml:space="preserve">   </t>
    </r>
    <r>
      <rPr>
        <sz val="14"/>
        <color theme="1"/>
        <rFont val="Times New Roman"/>
        <family val="1"/>
      </rPr>
      <t>Khi bắt đầu chuyển làn đường.</t>
    </r>
  </si>
  <si>
    <r>
      <t>2.</t>
    </r>
    <r>
      <rPr>
        <sz val="7"/>
        <color theme="1"/>
        <rFont val="Times New Roman"/>
        <family val="1"/>
      </rPr>
      <t xml:space="preserve"> </t>
    </r>
    <r>
      <rPr>
        <u/>
        <sz val="14"/>
        <color theme="1"/>
        <rFont val="Times New Roman"/>
        <family val="1"/>
      </rPr>
      <t xml:space="preserve"> Trước khi thay đổi làn đường.</t>
    </r>
  </si>
  <si>
    <r>
      <t>3.</t>
    </r>
    <r>
      <rPr>
        <sz val="7"/>
        <color theme="1"/>
        <rFont val="Times New Roman"/>
        <family val="1"/>
      </rPr>
      <t xml:space="preserve">   </t>
    </r>
    <r>
      <rPr>
        <sz val="14"/>
        <color theme="1"/>
        <rFont val="Times New Roman"/>
        <family val="1"/>
      </rPr>
      <t>Sau khi thay đổi làn đường.</t>
    </r>
  </si>
  <si>
    <r>
      <t>1.</t>
    </r>
    <r>
      <rPr>
        <sz val="7"/>
        <color theme="1"/>
        <rFont val="Times New Roman"/>
        <family val="1"/>
      </rPr>
      <t xml:space="preserve">   </t>
    </r>
    <r>
      <rPr>
        <sz val="14"/>
        <color theme="1"/>
        <rFont val="Times New Roman"/>
        <family val="1"/>
      </rPr>
      <t>Ở đường một chiều, khu vực cấm dừng, trên phần đường dành cho người đi bộ qua đường.</t>
    </r>
  </si>
  <si>
    <r>
      <t>2.</t>
    </r>
    <r>
      <rPr>
        <sz val="7"/>
        <color theme="1"/>
        <rFont val="Times New Roman"/>
        <family val="1"/>
      </rPr>
      <t xml:space="preserve">   </t>
    </r>
    <r>
      <rPr>
        <sz val="14"/>
        <color theme="1"/>
        <rFont val="Times New Roman"/>
        <family val="1"/>
      </rPr>
      <t>Nơi đường bộ giao nhau, đường bộ giao nhau cùng mức với đường sắt.</t>
    </r>
  </si>
  <si>
    <r>
      <t>3.</t>
    </r>
    <r>
      <rPr>
        <sz val="7"/>
        <color theme="1"/>
        <rFont val="Times New Roman"/>
        <family val="1"/>
      </rPr>
      <t xml:space="preserve">   </t>
    </r>
    <r>
      <rPr>
        <sz val="14"/>
        <color theme="1"/>
        <rFont val="Times New Roman"/>
        <family val="1"/>
      </rPr>
      <t>Nơi tầm nhìn bị che khuất, trong hầm đường bộ, trên đường cao tốc.</t>
    </r>
  </si>
  <si>
    <r>
      <t>1.</t>
    </r>
    <r>
      <rPr>
        <sz val="7"/>
        <color theme="1"/>
        <rFont val="Times New Roman"/>
        <family val="1"/>
      </rPr>
      <t xml:space="preserve">   </t>
    </r>
    <r>
      <rPr>
        <sz val="14"/>
        <color theme="1"/>
        <rFont val="Times New Roman"/>
        <family val="1"/>
      </rPr>
      <t>Trên miệng cống thoát nước, miệng hầm của đường điện thoại, điện cao thế, chỗ dành riêng cho xe chữa cháy lấy nước.</t>
    </r>
  </si>
  <si>
    <r>
      <t>2.</t>
    </r>
    <r>
      <rPr>
        <sz val="7"/>
        <color theme="1"/>
        <rFont val="Times New Roman"/>
        <family val="1"/>
      </rPr>
      <t xml:space="preserve">   </t>
    </r>
    <r>
      <rPr>
        <sz val="14"/>
        <color theme="1"/>
        <rFont val="Times New Roman"/>
        <family val="1"/>
      </rPr>
      <t>Trong phạm vi an toàn của đường sắt.</t>
    </r>
  </si>
  <si>
    <r>
      <t>1.</t>
    </r>
    <r>
      <rPr>
        <sz val="7"/>
        <color theme="1"/>
        <rFont val="Times New Roman"/>
        <family val="1"/>
      </rPr>
      <t xml:space="preserve"> </t>
    </r>
    <r>
      <rPr>
        <u/>
        <sz val="14"/>
        <color theme="1"/>
        <rFont val="Times New Roman"/>
        <family val="1"/>
      </rPr>
      <t xml:space="preserve"> 0,25 mét.</t>
    </r>
  </si>
  <si>
    <r>
      <t>2.</t>
    </r>
    <r>
      <rPr>
        <sz val="7"/>
        <color theme="1"/>
        <rFont val="Times New Roman"/>
        <family val="1"/>
      </rPr>
      <t xml:space="preserve">   </t>
    </r>
    <r>
      <rPr>
        <sz val="14"/>
        <color theme="1"/>
        <rFont val="Times New Roman"/>
        <family val="1"/>
      </rPr>
      <t>0,3 mét.</t>
    </r>
  </si>
  <si>
    <r>
      <t>3.</t>
    </r>
    <r>
      <rPr>
        <sz val="7"/>
        <color theme="1"/>
        <rFont val="Times New Roman"/>
        <family val="1"/>
      </rPr>
      <t xml:space="preserve">   </t>
    </r>
    <r>
      <rPr>
        <sz val="14"/>
        <color theme="1"/>
        <rFont val="Times New Roman"/>
        <family val="1"/>
      </rPr>
      <t>0,4 mét.</t>
    </r>
  </si>
  <si>
    <r>
      <t>4.</t>
    </r>
    <r>
      <rPr>
        <sz val="7"/>
        <color theme="1"/>
        <rFont val="Times New Roman"/>
        <family val="1"/>
      </rPr>
      <t xml:space="preserve">   </t>
    </r>
    <r>
      <rPr>
        <sz val="14"/>
        <color theme="1"/>
        <rFont val="Times New Roman"/>
        <family val="1"/>
      </rPr>
      <t>0,5 mét.</t>
    </r>
  </si>
  <si>
    <r>
      <t>1.</t>
    </r>
    <r>
      <rPr>
        <sz val="7"/>
        <color theme="1"/>
        <rFont val="Times New Roman"/>
        <family val="1"/>
      </rPr>
      <t xml:space="preserve">   </t>
    </r>
    <r>
      <rPr>
        <sz val="14"/>
        <color theme="1"/>
        <rFont val="Times New Roman"/>
        <family val="1"/>
      </rPr>
      <t>10 mét.</t>
    </r>
  </si>
  <si>
    <r>
      <t>2.</t>
    </r>
    <r>
      <rPr>
        <sz val="7"/>
        <color theme="1"/>
        <rFont val="Times New Roman"/>
        <family val="1"/>
      </rPr>
      <t xml:space="preserve">   </t>
    </r>
    <r>
      <rPr>
        <sz val="14"/>
        <color theme="1"/>
        <rFont val="Times New Roman"/>
        <family val="1"/>
      </rPr>
      <t>15 mét.</t>
    </r>
  </si>
  <si>
    <r>
      <t>3.</t>
    </r>
    <r>
      <rPr>
        <sz val="7"/>
        <color theme="1"/>
        <rFont val="Times New Roman"/>
        <family val="1"/>
      </rPr>
      <t xml:space="preserve"> </t>
    </r>
    <r>
      <rPr>
        <u/>
        <sz val="14"/>
        <color theme="1"/>
        <rFont val="Times New Roman"/>
        <family val="1"/>
      </rPr>
      <t xml:space="preserve"> 20 mét.</t>
    </r>
  </si>
  <si>
    <r>
      <t>4.</t>
    </r>
    <r>
      <rPr>
        <sz val="7"/>
        <color theme="1"/>
        <rFont val="Times New Roman"/>
        <family val="1"/>
      </rPr>
      <t xml:space="preserve">   </t>
    </r>
    <r>
      <rPr>
        <sz val="14"/>
        <color theme="1"/>
        <rFont val="Times New Roman"/>
        <family val="1"/>
      </rPr>
      <t>25 mét.</t>
    </r>
  </si>
  <si>
    <r>
      <t>1.</t>
    </r>
    <r>
      <rPr>
        <sz val="7"/>
        <color theme="1"/>
        <rFont val="Times New Roman"/>
        <family val="1"/>
      </rPr>
      <t xml:space="preserve">   </t>
    </r>
    <r>
      <rPr>
        <sz val="14"/>
        <color theme="1"/>
        <rFont val="Times New Roman"/>
        <family val="1"/>
      </rPr>
      <t>Nơi có lề đường rộng hoặc khu đất ở bên ngoài phần đường xe chạy.</t>
    </r>
  </si>
  <si>
    <r>
      <t>2.</t>
    </r>
    <r>
      <rPr>
        <sz val="7"/>
        <color theme="1"/>
        <rFont val="Times New Roman"/>
        <family val="1"/>
      </rPr>
      <t xml:space="preserve"> </t>
    </r>
    <r>
      <rPr>
        <u/>
        <sz val="14"/>
        <color theme="1"/>
        <rFont val="Times New Roman"/>
        <family val="1"/>
      </rPr>
      <t xml:space="preserve"> Song song cùng chiều với một xe khác đang dừng, đỗ trên đường; trên đoạn</t>
    </r>
    <r>
      <rPr>
        <sz val="14"/>
        <color theme="1"/>
        <rFont val="Times New Roman"/>
        <family val="1"/>
      </rPr>
      <t xml:space="preserve"> </t>
    </r>
    <r>
      <rPr>
        <u/>
        <sz val="14"/>
        <color theme="1"/>
        <rFont val="Times New Roman"/>
        <family val="1"/>
      </rPr>
      <t>đường cong hoặc gần đầu dốc mà tầm nhìn bị che khuất; bên trái đường một chiều.</t>
    </r>
  </si>
  <si>
    <r>
      <t>1.</t>
    </r>
    <r>
      <rPr>
        <sz val="7"/>
        <color theme="1"/>
        <rFont val="Times New Roman"/>
        <family val="1"/>
      </rPr>
      <t xml:space="preserve">   </t>
    </r>
    <r>
      <rPr>
        <sz val="14"/>
        <color theme="1"/>
        <rFont val="Times New Roman"/>
        <family val="1"/>
      </rPr>
      <t>Được phép.</t>
    </r>
  </si>
  <si>
    <r>
      <t>2.</t>
    </r>
    <r>
      <rPr>
        <sz val="7"/>
        <color theme="1"/>
        <rFont val="Times New Roman"/>
        <family val="1"/>
      </rPr>
      <t xml:space="preserve">   </t>
    </r>
    <r>
      <rPr>
        <sz val="14"/>
        <color theme="1"/>
        <rFont val="Times New Roman"/>
        <family val="1"/>
      </rPr>
      <t>Nếu phương tiện được kéo, đẩy có khối lượng nhỏ hơn phương tiện của mình.</t>
    </r>
  </si>
  <si>
    <r>
      <t>3.</t>
    </r>
    <r>
      <rPr>
        <sz val="7"/>
        <color theme="1"/>
        <rFont val="Times New Roman"/>
        <family val="1"/>
      </rPr>
      <t xml:space="preserve">   </t>
    </r>
    <r>
      <rPr>
        <sz val="14"/>
        <color theme="1"/>
        <rFont val="Times New Roman"/>
        <family val="1"/>
      </rPr>
      <t>Tùy trường hợp.</t>
    </r>
  </si>
  <si>
    <r>
      <t>4.</t>
    </r>
    <r>
      <rPr>
        <sz val="7"/>
        <color theme="1"/>
        <rFont val="Times New Roman"/>
        <family val="1"/>
      </rPr>
      <t xml:space="preserve"> </t>
    </r>
    <r>
      <rPr>
        <u/>
        <sz val="14"/>
        <color theme="1"/>
        <rFont val="Times New Roman"/>
        <family val="1"/>
      </rPr>
      <t xml:space="preserve"> Không được phép.</t>
    </r>
  </si>
  <si>
    <r>
      <t>1.</t>
    </r>
    <r>
      <rPr>
        <sz val="7"/>
        <color theme="1"/>
        <rFont val="Times New Roman"/>
        <family val="1"/>
      </rPr>
      <t xml:space="preserve"> </t>
    </r>
    <r>
      <rPr>
        <u/>
        <sz val="14"/>
        <color theme="1"/>
        <rFont val="Times New Roman"/>
        <family val="1"/>
      </rPr>
      <t xml:space="preserve"> Buông cả hai tay; đứng, nằm trên xe điều khiển xe; sử dụng chân chống hoặc</t>
    </r>
    <r>
      <rPr>
        <sz val="14"/>
        <color theme="1"/>
        <rFont val="Times New Roman"/>
        <family val="1"/>
      </rPr>
      <t xml:space="preserve"> </t>
    </r>
    <r>
      <rPr>
        <u/>
        <sz val="14"/>
        <color theme="1"/>
        <rFont val="Times New Roman"/>
        <family val="1"/>
      </rPr>
      <t>vật khác quệt xuống đường khi xe đang chạy.</t>
    </r>
  </si>
  <si>
    <r>
      <t>2.</t>
    </r>
    <r>
      <rPr>
        <sz val="7"/>
        <color theme="1"/>
        <rFont val="Times New Roman"/>
        <family val="1"/>
      </rPr>
      <t xml:space="preserve">   </t>
    </r>
    <r>
      <rPr>
        <sz val="14"/>
        <color theme="1"/>
        <rFont val="Times New Roman"/>
        <family val="1"/>
      </rPr>
      <t>Chở tối đa hai người phía sau khi chở người bệnh đi cấp cứu, áp giải người có hành vi vi phạm pháp luật, trẻ em dưới 12 tuổi và người già yếu hoặc người khuyết tật.</t>
    </r>
  </si>
  <si>
    <r>
      <t>1.</t>
    </r>
    <r>
      <rPr>
        <sz val="7"/>
        <color theme="1"/>
        <rFont val="Times New Roman"/>
        <family val="1"/>
      </rPr>
      <t xml:space="preserve"> </t>
    </r>
    <r>
      <rPr>
        <u/>
        <sz val="14"/>
        <color theme="1"/>
        <rFont val="Times New Roman"/>
        <family val="1"/>
      </rPr>
      <t xml:space="preserve"> Buông cả hai tay; sử dụng xe để kéo, đẩy xe khác, vật khác; sử dụng chân chống</t>
    </r>
    <r>
      <rPr>
        <sz val="14"/>
        <color theme="1"/>
        <rFont val="Times New Roman"/>
        <family val="1"/>
      </rPr>
      <t xml:space="preserve"> </t>
    </r>
    <r>
      <rPr>
        <u/>
        <sz val="14"/>
        <color theme="1"/>
        <rFont val="Times New Roman"/>
        <family val="1"/>
      </rPr>
      <t>hoặc vật khác quệt xuống đường khi xe đang chạy.</t>
    </r>
  </si>
  <si>
    <r>
      <t>2.</t>
    </r>
    <r>
      <rPr>
        <sz val="7"/>
        <color theme="1"/>
        <rFont val="Times New Roman"/>
        <family val="1"/>
      </rPr>
      <t xml:space="preserve">  </t>
    </r>
    <r>
      <rPr>
        <sz val="14"/>
        <color theme="1"/>
        <rFont val="Times New Roman"/>
        <family val="1"/>
      </rPr>
      <t>Sử dụng xe để chở người hoặc hàng hóa; để chân chạm xuống đất khi khởi hành.</t>
    </r>
  </si>
  <si>
    <r>
      <t>3.</t>
    </r>
    <r>
      <rPr>
        <sz val="7"/>
        <color theme="1"/>
        <rFont val="Times New Roman"/>
        <family val="1"/>
      </rPr>
      <t xml:space="preserve">   </t>
    </r>
    <r>
      <rPr>
        <sz val="14"/>
        <color theme="1"/>
        <rFont val="Times New Roman"/>
        <family val="1"/>
      </rPr>
      <t>Đội mũ bảo hiểm; chạy xe đúng tốc độ quy định và chấp hành đúng quy tắc giao thông đường bộ.</t>
    </r>
  </si>
  <si>
    <r>
      <t>4.</t>
    </r>
    <r>
      <rPr>
        <sz val="7"/>
        <color theme="1"/>
        <rFont val="Times New Roman"/>
        <family val="1"/>
      </rPr>
      <t xml:space="preserve">   </t>
    </r>
    <r>
      <rPr>
        <sz val="14"/>
        <color theme="1"/>
        <rFont val="Times New Roman"/>
        <family val="1"/>
      </rPr>
      <t>Chở người ngồi sau dưới 16 tuổi.</t>
    </r>
  </si>
  <si>
    <r>
      <t>1.</t>
    </r>
    <r>
      <rPr>
        <sz val="7"/>
        <color theme="1"/>
        <rFont val="Times New Roman"/>
        <family val="1"/>
      </rPr>
      <t xml:space="preserve">   </t>
    </r>
    <r>
      <rPr>
        <sz val="14"/>
        <color theme="1"/>
        <rFont val="Times New Roman"/>
        <family val="1"/>
      </rPr>
      <t>Mang, vác vật cồng kềnh.</t>
    </r>
  </si>
  <si>
    <r>
      <t>2.</t>
    </r>
    <r>
      <rPr>
        <sz val="7"/>
        <color theme="1"/>
        <rFont val="Times New Roman"/>
        <family val="1"/>
      </rPr>
      <t xml:space="preserve">   </t>
    </r>
    <r>
      <rPr>
        <sz val="14"/>
        <color theme="1"/>
        <rFont val="Times New Roman"/>
        <family val="1"/>
      </rPr>
      <t>Bám, kéo hoặc đẩy các phương tiện khác.</t>
    </r>
  </si>
  <si>
    <r>
      <t>3.</t>
    </r>
    <r>
      <rPr>
        <sz val="7"/>
        <color theme="1"/>
        <rFont val="Times New Roman"/>
        <family val="1"/>
      </rPr>
      <t xml:space="preserve">   </t>
    </r>
    <r>
      <rPr>
        <sz val="14"/>
        <color theme="1"/>
        <rFont val="Times New Roman"/>
        <family val="1"/>
      </rPr>
      <t>Dùng tay cầm điện thoại hoặc các thiết bị điện tử khác.</t>
    </r>
  </si>
  <si>
    <r>
      <t>4.</t>
    </r>
    <r>
      <rPr>
        <sz val="7"/>
        <color theme="1"/>
        <rFont val="Times New Roman"/>
        <family val="1"/>
      </rPr>
      <t xml:space="preserve"> </t>
    </r>
    <r>
      <rPr>
        <u/>
        <sz val="14"/>
        <color theme="1"/>
        <rFont val="Times New Roman"/>
        <family val="1"/>
      </rPr>
      <t xml:space="preserve"> Ý 1 và ý 2.</t>
    </r>
  </si>
  <si>
    <r>
      <t>2.</t>
    </r>
    <r>
      <rPr>
        <sz val="7"/>
        <color theme="1"/>
        <rFont val="Times New Roman"/>
        <family val="1"/>
      </rPr>
      <t xml:space="preserve">   </t>
    </r>
    <r>
      <rPr>
        <sz val="14"/>
        <color theme="1"/>
        <rFont val="Times New Roman"/>
        <family val="1"/>
      </rPr>
      <t>Được bám trong trường hợp phương tiện của mình bị hỏng.</t>
    </r>
  </si>
  <si>
    <r>
      <t>3.</t>
    </r>
    <r>
      <rPr>
        <sz val="7"/>
        <color theme="1"/>
        <rFont val="Times New Roman"/>
        <family val="1"/>
      </rPr>
      <t xml:space="preserve">   </t>
    </r>
    <r>
      <rPr>
        <sz val="14"/>
        <color theme="1"/>
        <rFont val="Times New Roman"/>
        <family val="1"/>
      </rPr>
      <t>Được kéo, đẩy trong trường hợp phương tiện khác bị hỏng.</t>
    </r>
  </si>
  <si>
    <r>
      <t>1.</t>
    </r>
    <r>
      <rPr>
        <sz val="7"/>
        <color theme="1"/>
        <rFont val="Times New Roman"/>
        <family val="1"/>
      </rPr>
      <t xml:space="preserve"> </t>
    </r>
    <r>
      <rPr>
        <u/>
        <sz val="14"/>
        <color theme="1"/>
        <rFont val="Times New Roman"/>
        <family val="1"/>
      </rPr>
      <t xml:space="preserve"> Đội mũ bảo hiểm theo đúng quy chuẩn kỹ thuật quốc gia và cài quai đúng quy cách.</t>
    </r>
  </si>
  <si>
    <r>
      <t>2.</t>
    </r>
    <r>
      <rPr>
        <sz val="7"/>
        <color theme="1"/>
        <rFont val="Times New Roman"/>
        <family val="1"/>
      </rPr>
      <t xml:space="preserve">    </t>
    </r>
    <r>
      <rPr>
        <sz val="14"/>
        <color theme="1"/>
        <rFont val="Times New Roman"/>
        <family val="1"/>
      </rPr>
      <t>Người lái xe phải đội mũ bảo hiểm, người được chở trên xe không nhất thiết phải đội mũ bảo hiểm.</t>
    </r>
  </si>
  <si>
    <r>
      <t>3.</t>
    </r>
    <r>
      <rPr>
        <sz val="7"/>
        <color theme="1"/>
        <rFont val="Times New Roman"/>
        <family val="1"/>
      </rPr>
      <t xml:space="preserve">   </t>
    </r>
    <r>
      <rPr>
        <sz val="14"/>
        <color theme="1"/>
        <rFont val="Times New Roman"/>
        <family val="1"/>
      </rPr>
      <t>Phải đội mũ bảo hiểm nhưng không nhất thiết phải cài quai.</t>
    </r>
  </si>
  <si>
    <r>
      <t>1.</t>
    </r>
    <r>
      <rPr>
        <sz val="7"/>
        <color theme="1"/>
        <rFont val="Times New Roman"/>
        <family val="1"/>
      </rPr>
      <t xml:space="preserve"> </t>
    </r>
    <r>
      <rPr>
        <u/>
        <sz val="14"/>
        <color theme="1"/>
        <rFont val="Times New Roman"/>
        <family val="1"/>
      </rPr>
      <t xml:space="preserve"> Chở người bệnh đi cấp cứu; áp giải người có hành vi vi phạm pháp luật; trẻ em</t>
    </r>
    <r>
      <rPr>
        <sz val="14"/>
        <color theme="1"/>
        <rFont val="Times New Roman"/>
        <family val="1"/>
      </rPr>
      <t xml:space="preserve"> </t>
    </r>
    <r>
      <rPr>
        <u/>
        <sz val="14"/>
        <color theme="1"/>
        <rFont val="Times New Roman"/>
        <family val="1"/>
      </rPr>
      <t>dưới 12 tuổi; người già yếu hoặc người khuyết tật.</t>
    </r>
  </si>
  <si>
    <r>
      <t>2.</t>
    </r>
    <r>
      <rPr>
        <sz val="7"/>
        <color theme="1"/>
        <rFont val="Times New Roman"/>
        <family val="1"/>
      </rPr>
      <t xml:space="preserve">   </t>
    </r>
    <r>
      <rPr>
        <sz val="14"/>
        <color theme="1"/>
        <rFont val="Times New Roman"/>
        <family val="1"/>
      </rPr>
      <t>Người đã uống rượu, bia; người trong cơ thể có chất ma tuý.</t>
    </r>
  </si>
  <si>
    <r>
      <t>1.</t>
    </r>
    <r>
      <rPr>
        <sz val="7"/>
        <color theme="1"/>
        <rFont val="Times New Roman"/>
        <family val="1"/>
      </rPr>
      <t xml:space="preserve">   </t>
    </r>
    <r>
      <rPr>
        <sz val="14"/>
        <color theme="1"/>
        <rFont val="Times New Roman"/>
        <family val="1"/>
      </rPr>
      <t>Đi xe dàn hàng ngang; buông cả hai tay.</t>
    </r>
  </si>
  <si>
    <r>
      <t>2.</t>
    </r>
    <r>
      <rPr>
        <sz val="7"/>
        <color theme="1"/>
        <rFont val="Times New Roman"/>
        <family val="1"/>
      </rPr>
      <t xml:space="preserve">   </t>
    </r>
    <r>
      <rPr>
        <sz val="14"/>
        <color theme="1"/>
        <rFont val="Times New Roman"/>
        <family val="1"/>
      </rPr>
      <t>Sử dụng xe để kéo, đẩy xe khác, vật khác, dẫn dắt vật nuôi, mang, vác và chở vật cồng kềnh; chở người đứng trên xe, giá đèo hàng hoặc ngồi trên tay lái; xếp hàng hóa trên xe quá giới hạn quy định.</t>
    </r>
  </si>
  <si>
    <r>
      <t>3.</t>
    </r>
    <r>
      <rPr>
        <sz val="7"/>
        <color theme="1"/>
        <rFont val="Times New Roman"/>
        <family val="1"/>
      </rPr>
      <t xml:space="preserve">   </t>
    </r>
    <r>
      <rPr>
        <sz val="14"/>
        <color theme="1"/>
        <rFont val="Times New Roman"/>
        <family val="1"/>
      </rPr>
      <t>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t>
    </r>
  </si>
  <si>
    <r>
      <t>1.</t>
    </r>
    <r>
      <rPr>
        <sz val="7"/>
        <color theme="1"/>
        <rFont val="Times New Roman"/>
        <family val="1"/>
      </rPr>
      <t xml:space="preserve">   </t>
    </r>
    <r>
      <rPr>
        <sz val="14"/>
        <color theme="1"/>
        <rFont val="Times New Roman"/>
        <family val="1"/>
      </rPr>
      <t>Đi xe dàn hàng ngang; đi xe vào phần đường dành cho người đi bộ và phương tiện khác.</t>
    </r>
  </si>
  <si>
    <r>
      <t>2.</t>
    </r>
    <r>
      <rPr>
        <sz val="7"/>
        <color theme="1"/>
        <rFont val="Times New Roman"/>
        <family val="1"/>
      </rPr>
      <t xml:space="preserve">   </t>
    </r>
    <r>
      <rPr>
        <sz val="14"/>
        <color theme="1"/>
        <rFont val="Times New Roman"/>
        <family val="1"/>
      </rPr>
      <t>Sử dụng ô, thiết bị âm thanh, trừ thiết bị trợ thính.</t>
    </r>
  </si>
  <si>
    <r>
      <t>1.</t>
    </r>
    <r>
      <rPr>
        <sz val="7"/>
        <color theme="1"/>
        <rFont val="Times New Roman"/>
        <family val="1"/>
      </rPr>
      <t xml:space="preserve">   </t>
    </r>
    <r>
      <rPr>
        <sz val="14"/>
        <color theme="1"/>
        <rFont val="Times New Roman"/>
        <family val="1"/>
      </rPr>
      <t>Đi trên phần đường, làn đường quy định, chấp hành hiệu lệnh của người điều khiển giao thông, đèn tín hiệu giao thông.</t>
    </r>
  </si>
  <si>
    <r>
      <t>2.</t>
    </r>
    <r>
      <rPr>
        <sz val="7"/>
        <color theme="1"/>
        <rFont val="Times New Roman"/>
        <family val="1"/>
      </rPr>
      <t xml:space="preserve"> </t>
    </r>
    <r>
      <rPr>
        <u/>
        <sz val="14"/>
        <color theme="1"/>
        <rFont val="Times New Roman"/>
        <family val="1"/>
      </rPr>
      <t xml:space="preserve"> Đi xe dàn hàng ngang, đi xe vào phần đường dành cho người đi bộ.</t>
    </r>
  </si>
  <si>
    <r>
      <t>1.</t>
    </r>
    <r>
      <rPr>
        <sz val="7"/>
        <color theme="1"/>
        <rFont val="Times New Roman"/>
        <family val="1"/>
      </rPr>
      <t xml:space="preserve">   </t>
    </r>
    <r>
      <rPr>
        <sz val="14"/>
        <color theme="1"/>
        <rFont val="Times New Roman"/>
        <family val="1"/>
      </rPr>
      <t>Được sử dụng.</t>
    </r>
  </si>
  <si>
    <r>
      <t>2.</t>
    </r>
    <r>
      <rPr>
        <sz val="7"/>
        <color theme="1"/>
        <rFont val="Times New Roman"/>
        <family val="1"/>
      </rPr>
      <t xml:space="preserve">   </t>
    </r>
    <r>
      <rPr>
        <sz val="14"/>
        <color theme="1"/>
        <rFont val="Times New Roman"/>
        <family val="1"/>
      </rPr>
      <t>Chỉ người ngồi sau được sử dụng.</t>
    </r>
  </si>
  <si>
    <r>
      <t>3.</t>
    </r>
    <r>
      <rPr>
        <sz val="7"/>
        <color theme="1"/>
        <rFont val="Times New Roman"/>
        <family val="1"/>
      </rPr>
      <t xml:space="preserve"> </t>
    </r>
    <r>
      <rPr>
        <u/>
        <sz val="14"/>
        <color theme="1"/>
        <rFont val="Times New Roman"/>
        <family val="1"/>
      </rPr>
      <t xml:space="preserve"> Không được sử dụng.</t>
    </r>
  </si>
  <si>
    <r>
      <t>4.</t>
    </r>
    <r>
      <rPr>
        <sz val="7"/>
        <color theme="1"/>
        <rFont val="Times New Roman"/>
        <family val="1"/>
      </rPr>
      <t xml:space="preserve">   </t>
    </r>
    <r>
      <rPr>
        <sz val="14"/>
        <color theme="1"/>
        <rFont val="Times New Roman"/>
        <family val="1"/>
      </rPr>
      <t>Được sử dụng nếu không có áo mưa.</t>
    </r>
  </si>
  <si>
    <r>
      <t>1.</t>
    </r>
    <r>
      <rPr>
        <sz val="7"/>
        <color theme="1"/>
        <rFont val="Times New Roman"/>
        <family val="1"/>
      </rPr>
      <t xml:space="preserve">   </t>
    </r>
    <r>
      <rPr>
        <sz val="14"/>
        <color theme="1"/>
        <rFont val="Times New Roman"/>
        <family val="1"/>
      </rPr>
      <t>Chỉ được phép nếu cả hai đội mũ bảo hiểm.</t>
    </r>
  </si>
  <si>
    <r>
      <t>2.</t>
    </r>
    <r>
      <rPr>
        <sz val="7"/>
        <color theme="1"/>
        <rFont val="Times New Roman"/>
        <family val="1"/>
      </rPr>
      <t xml:space="preserve"> </t>
    </r>
    <r>
      <rPr>
        <u/>
        <sz val="14"/>
        <color theme="1"/>
        <rFont val="Times New Roman"/>
        <family val="1"/>
      </rPr>
      <t xml:space="preserve"> Không được phép.</t>
    </r>
  </si>
  <si>
    <r>
      <t>3.</t>
    </r>
    <r>
      <rPr>
        <sz val="7"/>
        <color theme="1"/>
        <rFont val="Times New Roman"/>
        <family val="1"/>
      </rPr>
      <t xml:space="preserve">   </t>
    </r>
    <r>
      <rPr>
        <sz val="14"/>
        <color theme="1"/>
        <rFont val="Times New Roman"/>
        <family val="1"/>
      </rPr>
      <t>Chỉ được thực hiện trên đường vắng.</t>
    </r>
  </si>
  <si>
    <r>
      <t>1.</t>
    </r>
    <r>
      <rPr>
        <sz val="7"/>
        <color theme="1"/>
        <rFont val="Times New Roman"/>
        <family val="1"/>
      </rPr>
      <t xml:space="preserve">   </t>
    </r>
    <r>
      <rPr>
        <sz val="14"/>
        <color theme="1"/>
        <rFont val="Times New Roman"/>
        <family val="1"/>
      </rPr>
      <t>Không bị xử phạt chỉ bị nhắc nhở.</t>
    </r>
  </si>
  <si>
    <r>
      <t>2.</t>
    </r>
    <r>
      <rPr>
        <sz val="7"/>
        <color theme="1"/>
        <rFont val="Times New Roman"/>
        <family val="1"/>
      </rPr>
      <t xml:space="preserve">   </t>
    </r>
    <r>
      <rPr>
        <sz val="14"/>
        <color theme="1"/>
        <rFont val="Times New Roman"/>
        <family val="1"/>
      </rPr>
      <t>Người được chở không bị xử phạt, chỉ xử phạt người điều khiển xe mô tô, xe gắn máy.</t>
    </r>
  </si>
  <si>
    <r>
      <t>3.</t>
    </r>
    <r>
      <rPr>
        <sz val="7"/>
        <color theme="1"/>
        <rFont val="Times New Roman"/>
        <family val="1"/>
      </rPr>
      <t xml:space="preserve">   </t>
    </r>
    <r>
      <rPr>
        <sz val="14"/>
        <color theme="1"/>
        <rFont val="Times New Roman"/>
        <family val="1"/>
      </rPr>
      <t>Người được chở bị xử phạt, không xử phạt người điều khiển xe mô tô, xe gắn máy.</t>
    </r>
  </si>
  <si>
    <r>
      <t>4.</t>
    </r>
    <r>
      <rPr>
        <sz val="7"/>
        <color theme="1"/>
        <rFont val="Times New Roman"/>
        <family val="1"/>
      </rPr>
      <t xml:space="preserve"> </t>
    </r>
    <r>
      <rPr>
        <u/>
        <sz val="14"/>
        <color theme="1"/>
        <rFont val="Times New Roman"/>
        <family val="1"/>
      </rPr>
      <t xml:space="preserve"> Xử phạt cả người điều khiển và người được chở trên xe mô tô, xe gắn máy.</t>
    </r>
  </si>
  <si>
    <r>
      <t>1.</t>
    </r>
    <r>
      <rPr>
        <sz val="7"/>
        <color theme="1"/>
        <rFont val="Times New Roman"/>
        <family val="1"/>
      </rPr>
      <t xml:space="preserve"> </t>
    </r>
    <r>
      <rPr>
        <u/>
        <sz val="14"/>
        <color theme="1"/>
        <rFont val="Times New Roman"/>
        <family val="1"/>
      </rPr>
      <t xml:space="preserve"> Phải đội mũ bảo hiểm theo đúng quy chuẩn kỹ thuật quốc gia và cài quai đúng</t>
    </r>
    <r>
      <rPr>
        <sz val="14"/>
        <color theme="1"/>
        <rFont val="Times New Roman"/>
        <family val="1"/>
      </rPr>
      <t xml:space="preserve"> </t>
    </r>
    <r>
      <rPr>
        <u/>
        <sz val="14"/>
        <color theme="1"/>
        <rFont val="Times New Roman"/>
        <family val="1"/>
      </rPr>
      <t>quy cách, không sử dụng ô, điện thoại di động, thiết bị âm thanh (trừ thiết bị trợ thính).</t>
    </r>
  </si>
  <si>
    <r>
      <t>2.</t>
    </r>
    <r>
      <rPr>
        <sz val="7"/>
        <color theme="1"/>
        <rFont val="Times New Roman"/>
        <family val="1"/>
      </rPr>
      <t xml:space="preserve">   </t>
    </r>
    <r>
      <rPr>
        <sz val="14"/>
        <color theme="1"/>
        <rFont val="Times New Roman"/>
        <family val="1"/>
      </rPr>
      <t>Phải đội mũ bảo hiểm khi trời mưa gió hoặc trời quá nắng; có thể sử dụng ô, điện thoại di động, thiết bị âm thanh nhưng phải bảo đảm an toàn.</t>
    </r>
  </si>
  <si>
    <r>
      <t>3.</t>
    </r>
    <r>
      <rPr>
        <sz val="7"/>
        <color theme="1"/>
        <rFont val="Times New Roman"/>
        <family val="1"/>
      </rPr>
      <t xml:space="preserve">   </t>
    </r>
    <r>
      <rPr>
        <sz val="14"/>
        <color theme="1"/>
        <rFont val="Times New Roman"/>
        <family val="1"/>
      </rPr>
      <t>Phải đội mũ bảo hiểm khi cảm thấy mất an toàn giao thông hoặc khi chuẩn bị di chuyển quãng đường xa.</t>
    </r>
  </si>
  <si>
    <r>
      <t>1.</t>
    </r>
    <r>
      <rPr>
        <sz val="7"/>
        <color theme="1"/>
        <rFont val="Times New Roman"/>
        <family val="1"/>
      </rPr>
      <t xml:space="preserve">  </t>
    </r>
    <r>
      <rPr>
        <sz val="14"/>
        <color theme="1"/>
        <rFont val="Times New Roman"/>
        <family val="1"/>
      </rPr>
      <t>Xe thô sơ, người đi bộ xuống trước, xe cơ giới, xe máy chuyên dùng xuống sau.</t>
    </r>
  </si>
  <si>
    <r>
      <t>2.</t>
    </r>
    <r>
      <rPr>
        <sz val="7"/>
        <color theme="1"/>
        <rFont val="Times New Roman"/>
        <family val="1"/>
      </rPr>
      <t xml:space="preserve"> </t>
    </r>
    <r>
      <rPr>
        <u/>
        <sz val="14"/>
        <color theme="1"/>
        <rFont val="Times New Roman"/>
        <family val="1"/>
      </rPr>
      <t xml:space="preserve"> Xe cơ giới, xe máy chuyên dùng xuống trước, xe thô sơ, người đi bộ xuống sau.</t>
    </r>
  </si>
  <si>
    <r>
      <t>3.</t>
    </r>
    <r>
      <rPr>
        <sz val="7"/>
        <color theme="1"/>
        <rFont val="Times New Roman"/>
        <family val="1"/>
      </rPr>
      <t xml:space="preserve">  </t>
    </r>
    <r>
      <rPr>
        <sz val="14"/>
        <color theme="1"/>
        <rFont val="Times New Roman"/>
        <family val="1"/>
      </rPr>
      <t>Xe cơ giới, xe thô sơ xuống trước, xe máy chuyên dùng, người đi bộ xuống sau.</t>
    </r>
  </si>
  <si>
    <r>
      <t>1.</t>
    </r>
    <r>
      <rPr>
        <sz val="7"/>
        <color theme="1"/>
        <rFont val="Times New Roman"/>
        <family val="1"/>
      </rPr>
      <t xml:space="preserve">   </t>
    </r>
    <r>
      <rPr>
        <sz val="14"/>
        <color theme="1"/>
        <rFont val="Times New Roman"/>
        <family val="1"/>
      </rPr>
      <t>Cho xe đi trên bất kỳ làn đường nào hoặc giữa 02 làn đường nếu không có xe đi phía trước; khi cần thiết phải chuyển làn đường, người lái xe phải quan sát xe phía trước để bảo đảm an toàn.</t>
    </r>
  </si>
  <si>
    <r>
      <t>2.</t>
    </r>
    <r>
      <rPr>
        <sz val="7"/>
        <color theme="1"/>
        <rFont val="Times New Roman"/>
        <family val="1"/>
      </rPr>
      <t xml:space="preserve"> </t>
    </r>
    <r>
      <rPr>
        <u/>
        <sz val="14"/>
        <color theme="1"/>
        <rFont val="Times New Roman"/>
        <family val="1"/>
      </rPr>
      <t xml:space="preserve"> Phải cho xe đi trong một làn đường và chỉ được chuyển làn đường ở những nơi</t>
    </r>
    <r>
      <rPr>
        <sz val="14"/>
        <color theme="1"/>
        <rFont val="Times New Roman"/>
        <family val="1"/>
      </rPr>
      <t xml:space="preserve"> </t>
    </r>
    <r>
      <rPr>
        <u/>
        <sz val="14"/>
        <color theme="1"/>
        <rFont val="Times New Roman"/>
        <family val="1"/>
      </rPr>
      <t>cho phép; mỗi lần chuyển làn đường chỉ được phép chuyển sang một làn đường</t>
    </r>
  </si>
  <si>
    <r>
      <t>liền kề; khi chuyển làn đường phải có tín hiệu báo trước; phải quan sát bảo đảm</t>
    </r>
    <r>
      <rPr>
        <sz val="14"/>
        <color theme="1"/>
        <rFont val="Times New Roman"/>
        <family val="1"/>
      </rPr>
      <t xml:space="preserve"> </t>
    </r>
    <r>
      <rPr>
        <u/>
        <sz val="14"/>
        <color theme="1"/>
        <rFont val="Times New Roman"/>
        <family val="1"/>
      </rPr>
      <t>khoảng cách an toàn với xe phía trước, phía sau và hai bên mới được chuyển làn.</t>
    </r>
  </si>
  <si>
    <r>
      <t>3.</t>
    </r>
    <r>
      <rPr>
        <sz val="7"/>
        <color theme="1"/>
        <rFont val="Times New Roman"/>
        <family val="1"/>
      </rPr>
      <t xml:space="preserve">   </t>
    </r>
    <r>
      <rPr>
        <sz val="14"/>
        <color theme="1"/>
        <rFont val="Times New Roman"/>
        <family val="1"/>
      </rPr>
      <t>Phải cho xe đi trong một làn đường, chỉ được chuyển làn đường khi vượt xe phía trước cùng làn đường.</t>
    </r>
  </si>
  <si>
    <r>
      <t>1.</t>
    </r>
    <r>
      <rPr>
        <sz val="7"/>
        <color theme="1"/>
        <rFont val="Times New Roman"/>
        <family val="1"/>
      </rPr>
      <t xml:space="preserve">   </t>
    </r>
    <r>
      <rPr>
        <sz val="14"/>
        <color theme="1"/>
        <rFont val="Times New Roman"/>
        <family val="1"/>
      </rPr>
      <t>Xe thô sơ phải đi trên làn đường bên trái, xe cơ giới, xe máy chuyên dùng đi trên làn đường bên phải trong cùng.</t>
    </r>
  </si>
  <si>
    <r>
      <t>2.</t>
    </r>
    <r>
      <rPr>
        <sz val="7"/>
        <color theme="1"/>
        <rFont val="Times New Roman"/>
        <family val="1"/>
      </rPr>
      <t xml:space="preserve"> </t>
    </r>
    <r>
      <rPr>
        <u/>
        <sz val="14"/>
        <color theme="1"/>
        <rFont val="Times New Roman"/>
        <family val="1"/>
      </rPr>
      <t xml:space="preserve"> Xe thô sơ phải đi trên làn đường bên phải trong cùng, xe cơ giới, xe máy chuyên</t>
    </r>
    <r>
      <rPr>
        <sz val="14"/>
        <color theme="1"/>
        <rFont val="Times New Roman"/>
        <family val="1"/>
      </rPr>
      <t xml:space="preserve"> </t>
    </r>
    <r>
      <rPr>
        <u/>
        <sz val="14"/>
        <color theme="1"/>
        <rFont val="Times New Roman"/>
        <family val="1"/>
      </rPr>
      <t>dùng đi trên làn đường bên trái.</t>
    </r>
  </si>
  <si>
    <r>
      <t>3.</t>
    </r>
    <r>
      <rPr>
        <sz val="7"/>
        <color theme="1"/>
        <rFont val="Times New Roman"/>
        <family val="1"/>
      </rPr>
      <t xml:space="preserve">  </t>
    </r>
    <r>
      <rPr>
        <sz val="14"/>
        <color theme="1"/>
        <rFont val="Times New Roman"/>
        <family val="1"/>
      </rPr>
      <t>Xe thô sơ phải đi trên làn đường bên phải trong cùng, xe cơ giới, xe máy chuyên dùng được đi trên tất cả các làn đường.</t>
    </r>
  </si>
  <si>
    <r>
      <t>1.</t>
    </r>
    <r>
      <rPr>
        <sz val="7"/>
        <color theme="1"/>
        <rFont val="Times New Roman"/>
        <family val="1"/>
      </rPr>
      <t xml:space="preserve">   </t>
    </r>
    <r>
      <rPr>
        <sz val="14"/>
        <color theme="1"/>
        <rFont val="Times New Roman"/>
        <family val="1"/>
      </rPr>
      <t>Chỉ được báo hiệu bằng còi.</t>
    </r>
  </si>
  <si>
    <r>
      <t>2.</t>
    </r>
    <r>
      <rPr>
        <sz val="7"/>
        <color theme="1"/>
        <rFont val="Times New Roman"/>
        <family val="1"/>
      </rPr>
      <t xml:space="preserve">   </t>
    </r>
    <r>
      <rPr>
        <sz val="14"/>
        <color theme="1"/>
        <rFont val="Times New Roman"/>
        <family val="1"/>
      </rPr>
      <t>Phải báo hiệu bằng cả còi và đèn.</t>
    </r>
  </si>
  <si>
    <r>
      <t>3.</t>
    </r>
    <r>
      <rPr>
        <sz val="7"/>
        <color theme="1"/>
        <rFont val="Times New Roman"/>
        <family val="1"/>
      </rPr>
      <t xml:space="preserve"> </t>
    </r>
    <r>
      <rPr>
        <u/>
        <sz val="14"/>
        <color theme="1"/>
        <rFont val="Times New Roman"/>
        <family val="1"/>
      </rPr>
      <t xml:space="preserve"> Chỉ được báo hiệu bằng đèn.</t>
    </r>
  </si>
  <si>
    <r>
      <t>1.</t>
    </r>
    <r>
      <rPr>
        <sz val="7"/>
        <color theme="1"/>
        <rFont val="Times New Roman"/>
        <family val="1"/>
      </rPr>
      <t xml:space="preserve">  </t>
    </r>
    <r>
      <rPr>
        <sz val="14"/>
        <color theme="1"/>
        <rFont val="Times New Roman"/>
        <family val="1"/>
      </rPr>
      <t>Tăng tốc độ và ra hiệu cho xe sau vượt, không được gây trở ngại cho xe xin vượt.</t>
    </r>
  </si>
  <si>
    <r>
      <t>2.</t>
    </r>
    <r>
      <rPr>
        <sz val="7"/>
        <color theme="1"/>
        <rFont val="Times New Roman"/>
        <family val="1"/>
      </rPr>
      <t xml:space="preserve"> </t>
    </r>
    <r>
      <rPr>
        <u/>
        <sz val="14"/>
        <color theme="1"/>
        <rFont val="Times New Roman"/>
        <family val="1"/>
      </rPr>
      <t xml:space="preserve"> Giảm tốc độ, có tín hiệu rẽ phải để báo hiệu cho người điều khiển phương tiện</t>
    </r>
    <r>
      <rPr>
        <sz val="14"/>
        <color theme="1"/>
        <rFont val="Times New Roman"/>
        <family val="1"/>
      </rPr>
      <t xml:space="preserve"> </t>
    </r>
    <r>
      <rPr>
        <u/>
        <sz val="14"/>
        <color theme="1"/>
        <rFont val="Times New Roman"/>
        <family val="1"/>
      </rPr>
      <t>tham gia giao thông đường bộ phía sau biết được vượt và đi sát về bên phải của</t>
    </r>
    <r>
      <rPr>
        <sz val="14"/>
        <color theme="1"/>
        <rFont val="Times New Roman"/>
        <family val="1"/>
      </rPr>
      <t xml:space="preserve"> </t>
    </r>
    <r>
      <rPr>
        <u/>
        <sz val="14"/>
        <color theme="1"/>
        <rFont val="Times New Roman"/>
        <family val="1"/>
      </rPr>
      <t>phần đường xe chạy cho đến khi xe sau đã vượt qua, không được cản trở đối với</t>
    </r>
    <r>
      <rPr>
        <sz val="14"/>
        <color theme="1"/>
        <rFont val="Times New Roman"/>
        <family val="1"/>
      </rPr>
      <t xml:space="preserve"> </t>
    </r>
    <r>
      <rPr>
        <u/>
        <sz val="14"/>
        <color theme="1"/>
        <rFont val="Times New Roman"/>
        <family val="1"/>
      </rPr>
      <t>xe xin vượt.</t>
    </r>
  </si>
  <si>
    <r>
      <t>3.</t>
    </r>
    <r>
      <rPr>
        <sz val="7"/>
        <color theme="1"/>
        <rFont val="Times New Roman"/>
        <family val="1"/>
      </rPr>
      <t xml:space="preserve">   </t>
    </r>
    <r>
      <rPr>
        <sz val="14"/>
        <color theme="1"/>
        <rFont val="Times New Roman"/>
        <family val="1"/>
      </rPr>
      <t>Cho xe đi sát về bên trái của phần đường xe chạy và ra hiệu cho xe sau vượt, không được gây trở ngại cho xe xin vượt.</t>
    </r>
  </si>
  <si>
    <r>
      <t>1.</t>
    </r>
    <r>
      <rPr>
        <sz val="7"/>
        <color theme="1"/>
        <rFont val="Times New Roman"/>
        <family val="1"/>
      </rPr>
      <t xml:space="preserve"> </t>
    </r>
    <r>
      <rPr>
        <u/>
        <sz val="14"/>
        <color theme="1"/>
        <rFont val="Times New Roman"/>
        <family val="1"/>
      </rPr>
      <t xml:space="preserve"> Có tín hiệu rẽ trái để báo hiệu cho người điều khiển phương tiện tham gia giao</t>
    </r>
    <r>
      <rPr>
        <sz val="14"/>
        <color theme="1"/>
        <rFont val="Times New Roman"/>
        <family val="1"/>
      </rPr>
      <t xml:space="preserve"> </t>
    </r>
    <r>
      <rPr>
        <u/>
        <sz val="14"/>
        <color theme="1"/>
        <rFont val="Times New Roman"/>
        <family val="1"/>
      </rPr>
      <t>thông đường bộ phía sau biết là chưa được vượt.</t>
    </r>
  </si>
  <si>
    <r>
      <t>2.</t>
    </r>
    <r>
      <rPr>
        <sz val="7"/>
        <color theme="1"/>
        <rFont val="Times New Roman"/>
        <family val="1"/>
      </rPr>
      <t xml:space="preserve">   </t>
    </r>
    <r>
      <rPr>
        <sz val="14"/>
        <color theme="1"/>
        <rFont val="Times New Roman"/>
        <family val="1"/>
      </rPr>
      <t>Tiếp tục đi cho đến khi đủ điều kiện an toàn, nếu xe sau vẫn xin vượt thì báo hiệu cho xe sau vượt.</t>
    </r>
  </si>
  <si>
    <r>
      <t>3.</t>
    </r>
    <r>
      <rPr>
        <sz val="7"/>
        <color theme="1"/>
        <rFont val="Times New Roman"/>
        <family val="1"/>
      </rPr>
      <t xml:space="preserve">   </t>
    </r>
    <r>
      <rPr>
        <sz val="14"/>
        <color theme="1"/>
        <rFont val="Times New Roman"/>
        <family val="1"/>
      </rPr>
      <t>Tăng tốc độ để báo hiệu cho xe xin vượt biết là chưa được vượt.</t>
    </r>
  </si>
  <si>
    <r>
      <t>1.</t>
    </r>
    <r>
      <rPr>
        <sz val="7"/>
        <color theme="1"/>
        <rFont val="Times New Roman"/>
        <family val="1"/>
      </rPr>
      <t xml:space="preserve"> </t>
    </r>
    <r>
      <rPr>
        <u/>
        <sz val="14"/>
        <color theme="1"/>
        <rFont val="Times New Roman"/>
        <family val="1"/>
      </rPr>
      <t xml:space="preserve"> Phải nhường đường cho người đi bộ, xe thô sơ, xe đi ngược chiều và chỉ chuyển</t>
    </r>
    <r>
      <rPr>
        <sz val="14"/>
        <color theme="1"/>
        <rFont val="Times New Roman"/>
        <family val="1"/>
      </rPr>
      <t xml:space="preserve"> </t>
    </r>
    <r>
      <rPr>
        <u/>
        <sz val="14"/>
        <color theme="1"/>
        <rFont val="Times New Roman"/>
        <family val="1"/>
      </rPr>
      <t>hướng khi không gây trở ngại hoặc nguy hiểm cho người, phương tiện khác.</t>
    </r>
  </si>
  <si>
    <r>
      <t>2.</t>
    </r>
    <r>
      <rPr>
        <sz val="7"/>
        <color theme="1"/>
        <rFont val="Times New Roman"/>
        <family val="1"/>
      </rPr>
      <t xml:space="preserve">   </t>
    </r>
    <r>
      <rPr>
        <sz val="14"/>
        <color theme="1"/>
        <rFont val="Times New Roman"/>
        <family val="1"/>
      </rPr>
      <t>Nhanh chóng chuyển hướng để không gây trở ngại hoặc nguy hiểm cho người, phương tiện khác.</t>
    </r>
  </si>
  <si>
    <r>
      <t>3.</t>
    </r>
    <r>
      <rPr>
        <sz val="7"/>
        <color theme="1"/>
        <rFont val="Times New Roman"/>
        <family val="1"/>
      </rPr>
      <t xml:space="preserve">    </t>
    </r>
    <r>
      <rPr>
        <sz val="14"/>
        <color theme="1"/>
        <rFont val="Times New Roman"/>
        <family val="1"/>
      </rPr>
      <t>Ra tín hiệu chuyển hướng để yêu cầu các phương tiện khác dừng lại cho xe chuyển hướng di chuyển.</t>
    </r>
  </si>
  <si>
    <r>
      <t>1.</t>
    </r>
    <r>
      <rPr>
        <sz val="7"/>
        <color theme="1"/>
        <rFont val="Times New Roman"/>
        <family val="1"/>
      </rPr>
      <t xml:space="preserve">    </t>
    </r>
    <r>
      <rPr>
        <sz val="14"/>
        <color theme="1"/>
        <rFont val="Times New Roman"/>
        <family val="1"/>
      </rPr>
      <t>Quan sát gương, nếu không có phương tiện gần hướng rẽ thì nhanh chóng chuyển hướng.</t>
    </r>
  </si>
  <si>
    <r>
      <t>2.</t>
    </r>
    <r>
      <rPr>
        <sz val="7"/>
        <color theme="1"/>
        <rFont val="Times New Roman"/>
        <family val="1"/>
      </rPr>
      <t xml:space="preserve"> </t>
    </r>
    <r>
      <rPr>
        <u/>
        <sz val="14"/>
        <color theme="1"/>
        <rFont val="Times New Roman"/>
        <family val="1"/>
      </rPr>
      <t xml:space="preserve"> Quan sát, bảo đảm khoảng cách an toàn với xe phía sau, giảm tốc độ và có tín</t>
    </r>
    <r>
      <rPr>
        <sz val="14"/>
        <color theme="1"/>
        <rFont val="Times New Roman"/>
        <family val="1"/>
      </rPr>
      <t xml:space="preserve"> </t>
    </r>
    <r>
      <rPr>
        <u/>
        <sz val="14"/>
        <color theme="1"/>
        <rFont val="Times New Roman"/>
        <family val="1"/>
      </rPr>
      <t>hiệu báo hướng rẽ hoặc có tín hiệu bằng tay theo hướng rẽ đối với xe thô sơ không</t>
    </r>
    <r>
      <rPr>
        <sz val="14"/>
        <color theme="1"/>
        <rFont val="Times New Roman"/>
        <family val="1"/>
      </rPr>
      <t xml:space="preserve"> </t>
    </r>
    <r>
      <rPr>
        <u/>
        <sz val="14"/>
        <color theme="1"/>
        <rFont val="Times New Roman"/>
        <family val="1"/>
      </rPr>
      <t>có đèn báo hướng rẽ, chuyển dần sang làn gần nhất với hướng rẽ. Tín hiệu báo</t>
    </r>
    <r>
      <rPr>
        <sz val="14"/>
        <color theme="1"/>
        <rFont val="Times New Roman"/>
        <family val="1"/>
      </rPr>
      <t xml:space="preserve"> </t>
    </r>
    <r>
      <rPr>
        <u/>
        <sz val="14"/>
        <color theme="1"/>
        <rFont val="Times New Roman"/>
        <family val="1"/>
      </rPr>
      <t>hướng rẽ hoặc tín hiệu bằng tay phải sử dụng liên tục trong quá trình chuyển</t>
    </r>
    <r>
      <rPr>
        <sz val="14"/>
        <color theme="1"/>
        <rFont val="Times New Roman"/>
        <family val="1"/>
      </rPr>
      <t xml:space="preserve"> </t>
    </r>
    <r>
      <rPr>
        <u/>
        <sz val="14"/>
        <color theme="1"/>
        <rFont val="Times New Roman"/>
        <family val="1"/>
      </rPr>
      <t>hướng. Khi bảo đảm an toàn, không gây trở ngại cho người và phương tiện khác</t>
    </r>
    <r>
      <rPr>
        <sz val="14"/>
        <color theme="1"/>
        <rFont val="Times New Roman"/>
        <family val="1"/>
      </rPr>
      <t xml:space="preserve"> </t>
    </r>
    <r>
      <rPr>
        <u/>
        <sz val="14"/>
        <color theme="1"/>
        <rFont val="Times New Roman"/>
        <family val="1"/>
      </rPr>
      <t>mới được chuyển hướng.</t>
    </r>
  </si>
  <si>
    <r>
      <t>3.</t>
    </r>
    <r>
      <rPr>
        <sz val="7"/>
        <color theme="1"/>
        <rFont val="Times New Roman"/>
        <family val="1"/>
      </rPr>
      <t xml:space="preserve">   </t>
    </r>
    <r>
      <rPr>
        <sz val="14"/>
        <color theme="1"/>
        <rFont val="Times New Roman"/>
        <family val="1"/>
      </rPr>
      <t>Quan sát gương, tăng tốc độ, ra tín hiệu và chuyển hướng.</t>
    </r>
  </si>
  <si>
    <r>
      <t>1.</t>
    </r>
    <r>
      <rPr>
        <sz val="7"/>
        <color theme="1"/>
        <rFont val="Times New Roman"/>
        <family val="1"/>
      </rPr>
      <t xml:space="preserve">   </t>
    </r>
    <r>
      <rPr>
        <sz val="14"/>
        <color theme="1"/>
        <rFont val="Times New Roman"/>
        <family val="1"/>
      </rPr>
      <t>Quan sát phía sau và cho lùi xe ở tốc độ chậm.</t>
    </r>
  </si>
  <si>
    <r>
      <t>2.</t>
    </r>
    <r>
      <rPr>
        <sz val="7"/>
        <color theme="1"/>
        <rFont val="Times New Roman"/>
        <family val="1"/>
      </rPr>
      <t xml:space="preserve">    </t>
    </r>
    <r>
      <rPr>
        <sz val="14"/>
        <color theme="1"/>
        <rFont val="Times New Roman"/>
        <family val="1"/>
      </rPr>
      <t>Có tín hiệu báo lùi, nếu phía sau không có người hoặc phương tiện khác thì nhanh chóng lùi để bảo đảm an toàn.</t>
    </r>
  </si>
  <si>
    <r>
      <t>3.</t>
    </r>
    <r>
      <rPr>
        <sz val="7"/>
        <color theme="1"/>
        <rFont val="Times New Roman"/>
        <family val="1"/>
      </rPr>
      <t xml:space="preserve"> </t>
    </r>
    <r>
      <rPr>
        <u/>
        <sz val="14"/>
        <color theme="1"/>
        <rFont val="Times New Roman"/>
        <family val="1"/>
      </rPr>
      <t xml:space="preserve"> Phải quan sát hai bên và phía sau xe, có tín hiệu lùi và chỉ lùi xe khi bảo đảm an toàn.</t>
    </r>
  </si>
  <si>
    <r>
      <t>1.</t>
    </r>
    <r>
      <rPr>
        <sz val="7"/>
        <color theme="1"/>
        <rFont val="Times New Roman"/>
        <family val="1"/>
      </rPr>
      <t xml:space="preserve">   </t>
    </r>
    <r>
      <rPr>
        <sz val="14"/>
        <color theme="1"/>
        <rFont val="Times New Roman"/>
        <family val="1"/>
      </rPr>
      <t>Phải lùi thật chậm.</t>
    </r>
  </si>
  <si>
    <r>
      <t>2.</t>
    </r>
    <r>
      <rPr>
        <sz val="7"/>
        <color theme="1"/>
        <rFont val="Times New Roman"/>
        <family val="1"/>
      </rPr>
      <t xml:space="preserve">   </t>
    </r>
    <r>
      <rPr>
        <sz val="14"/>
        <color theme="1"/>
        <rFont val="Times New Roman"/>
        <family val="1"/>
      </rPr>
      <t>Bấm còi 3 lần liên tiếp trước khi lùi.</t>
    </r>
  </si>
  <si>
    <r>
      <t>3.</t>
    </r>
    <r>
      <rPr>
        <sz val="7"/>
        <color theme="1"/>
        <rFont val="Times New Roman"/>
        <family val="1"/>
      </rPr>
      <t xml:space="preserve"> </t>
    </r>
    <r>
      <rPr>
        <u/>
        <sz val="14"/>
        <color theme="1"/>
        <rFont val="Times New Roman"/>
        <family val="1"/>
      </rPr>
      <t xml:space="preserve"> Không được lùi xe.</t>
    </r>
  </si>
  <si>
    <r>
      <t>1.</t>
    </r>
    <r>
      <rPr>
        <sz val="7"/>
        <color theme="1"/>
        <rFont val="Times New Roman"/>
        <family val="1"/>
      </rPr>
      <t xml:space="preserve"> </t>
    </r>
    <r>
      <rPr>
        <u/>
        <sz val="14"/>
        <color theme="1"/>
        <rFont val="Times New Roman"/>
        <family val="1"/>
      </rPr>
      <t xml:space="preserve"> Giảm tốc độ và cho xe đi về bên phải theo chiều xe chạy của mình.</t>
    </r>
  </si>
  <si>
    <r>
      <t>2.</t>
    </r>
    <r>
      <rPr>
        <sz val="7"/>
        <color theme="1"/>
        <rFont val="Times New Roman"/>
        <family val="1"/>
      </rPr>
      <t xml:space="preserve">   </t>
    </r>
    <r>
      <rPr>
        <sz val="14"/>
        <color theme="1"/>
        <rFont val="Times New Roman"/>
        <family val="1"/>
      </rPr>
      <t>Một trong hai xe phải dừng lại cho xe kia đi qua mới được đi.</t>
    </r>
  </si>
  <si>
    <r>
      <t>3.</t>
    </r>
    <r>
      <rPr>
        <sz val="7"/>
        <color theme="1"/>
        <rFont val="Times New Roman"/>
        <family val="1"/>
      </rPr>
      <t xml:space="preserve">  </t>
    </r>
    <r>
      <rPr>
        <sz val="14"/>
        <color theme="1"/>
        <rFont val="Times New Roman"/>
        <family val="1"/>
      </rPr>
      <t>Tăng tốc độ, cho xe đi về bên phải theo chiều xe chạy của mình để nhanh chóng vượt qua.</t>
    </r>
  </si>
  <si>
    <r>
      <t>1.</t>
    </r>
    <r>
      <rPr>
        <sz val="7"/>
        <color theme="1"/>
        <rFont val="Times New Roman"/>
        <family val="1"/>
      </rPr>
      <t xml:space="preserve">   </t>
    </r>
    <r>
      <rPr>
        <sz val="14"/>
        <color theme="1"/>
        <rFont val="Times New Roman"/>
        <family val="1"/>
      </rPr>
      <t>Nơi đường hẹp chỉ đủ cho một xe chạy và có chỗ tránh xe thì xe nào ở gần chỗ tránh hơn phải vào vị trí tránh, nhường đường cho xe đi ngược chiều.</t>
    </r>
  </si>
  <si>
    <r>
      <t>2.</t>
    </r>
    <r>
      <rPr>
        <sz val="7"/>
        <color theme="1"/>
        <rFont val="Times New Roman"/>
        <family val="1"/>
      </rPr>
      <t xml:space="preserve">   </t>
    </r>
    <r>
      <rPr>
        <sz val="14"/>
        <color theme="1"/>
        <rFont val="Times New Roman"/>
        <family val="1"/>
      </rPr>
      <t>Xe xuống dốc phải nhường đường cho xe lên dốc.</t>
    </r>
  </si>
  <si>
    <r>
      <t>3.</t>
    </r>
    <r>
      <rPr>
        <sz val="7"/>
        <color theme="1"/>
        <rFont val="Times New Roman"/>
        <family val="1"/>
      </rPr>
      <t xml:space="preserve">   </t>
    </r>
    <r>
      <rPr>
        <sz val="14"/>
        <color theme="1"/>
        <rFont val="Times New Roman"/>
        <family val="1"/>
      </rPr>
      <t>Xe có chướng ngại vật phía trước phải nhường đường cho xe không có chướng ngại vật phía trước.</t>
    </r>
  </si>
  <si>
    <r>
      <t>1.</t>
    </r>
    <r>
      <rPr>
        <sz val="7"/>
        <color theme="1"/>
        <rFont val="Times New Roman"/>
        <family val="1"/>
      </rPr>
      <t xml:space="preserve">   </t>
    </r>
    <r>
      <rPr>
        <sz val="14"/>
        <color theme="1"/>
        <rFont val="Times New Roman"/>
        <family val="1"/>
      </rPr>
      <t>Tiếp tục đi và phát tín hiệu cho xe lên dốc nhường đường cho xe bạn.</t>
    </r>
  </si>
  <si>
    <r>
      <t>2.</t>
    </r>
    <r>
      <rPr>
        <sz val="7"/>
        <color theme="1"/>
        <rFont val="Times New Roman"/>
        <family val="1"/>
      </rPr>
      <t xml:space="preserve"> </t>
    </r>
    <r>
      <rPr>
        <u/>
        <sz val="14"/>
        <color theme="1"/>
        <rFont val="Times New Roman"/>
        <family val="1"/>
      </rPr>
      <t xml:space="preserve"> Nhường đường cho xe lên dốc.</t>
    </r>
  </si>
  <si>
    <r>
      <t>3.</t>
    </r>
    <r>
      <rPr>
        <sz val="7"/>
        <color theme="1"/>
        <rFont val="Times New Roman"/>
        <family val="1"/>
      </rPr>
      <t xml:space="preserve">   </t>
    </r>
    <r>
      <rPr>
        <sz val="14"/>
        <color theme="1"/>
        <rFont val="Times New Roman"/>
        <family val="1"/>
      </rPr>
      <t>Chỉ nhường đường khi xe lên dốc nháy đèn.</t>
    </r>
  </si>
  <si>
    <r>
      <t>1.</t>
    </r>
    <r>
      <rPr>
        <sz val="7"/>
        <color theme="1"/>
        <rFont val="Times New Roman"/>
        <family val="1"/>
      </rPr>
      <t xml:space="preserve"> </t>
    </r>
    <r>
      <rPr>
        <u/>
        <sz val="14"/>
        <color theme="1"/>
        <rFont val="Times New Roman"/>
        <family val="1"/>
      </rPr>
      <t xml:space="preserve"> Quan sát, giảm tốc độ hoặc dừng lại để bảo đảm an toàn.</t>
    </r>
  </si>
  <si>
    <r>
      <t>2.</t>
    </r>
    <r>
      <rPr>
        <sz val="7"/>
        <color theme="1"/>
        <rFont val="Times New Roman"/>
        <family val="1"/>
      </rPr>
      <t xml:space="preserve">   </t>
    </r>
    <r>
      <rPr>
        <sz val="14"/>
        <color theme="1"/>
        <rFont val="Times New Roman"/>
        <family val="1"/>
      </rPr>
      <t>Đi sang làn đường của xe ngược chiều để mở rộng tầm nhìn và vượt xe khác.</t>
    </r>
  </si>
  <si>
    <r>
      <t>3.</t>
    </r>
    <r>
      <rPr>
        <sz val="7"/>
        <color theme="1"/>
        <rFont val="Times New Roman"/>
        <family val="1"/>
      </rPr>
      <t xml:space="preserve">  </t>
    </r>
    <r>
      <rPr>
        <sz val="14"/>
        <color theme="1"/>
        <rFont val="Times New Roman"/>
        <family val="1"/>
      </rPr>
      <t>Cho xe đi sát bên phải làn đường, bật tín hiệu báo hiệu để vượt bên phải xe khác.</t>
    </r>
  </si>
  <si>
    <r>
      <t>1.</t>
    </r>
    <r>
      <rPr>
        <sz val="7"/>
        <color theme="1"/>
        <rFont val="Times New Roman"/>
        <family val="1"/>
      </rPr>
      <t xml:space="preserve">   </t>
    </r>
    <r>
      <rPr>
        <sz val="14"/>
        <color theme="1"/>
        <rFont val="Times New Roman"/>
        <family val="1"/>
      </rPr>
      <t>Nhường đường cho xe đi ở bên phải mình tới.</t>
    </r>
  </si>
  <si>
    <r>
      <t>2.</t>
    </r>
    <r>
      <rPr>
        <sz val="7"/>
        <color theme="1"/>
        <rFont val="Times New Roman"/>
        <family val="1"/>
      </rPr>
      <t xml:space="preserve">   </t>
    </r>
    <r>
      <rPr>
        <sz val="14"/>
        <color theme="1"/>
        <rFont val="Times New Roman"/>
        <family val="1"/>
      </rPr>
      <t>Nhường đường cho xe đi ở bên trái mình tới.</t>
    </r>
  </si>
  <si>
    <r>
      <t>3.</t>
    </r>
    <r>
      <rPr>
        <sz val="7"/>
        <color theme="1"/>
        <rFont val="Times New Roman"/>
        <family val="1"/>
      </rPr>
      <t xml:space="preserve"> </t>
    </r>
    <r>
      <rPr>
        <u/>
        <sz val="14"/>
        <color theme="1"/>
        <rFont val="Times New Roman"/>
        <family val="1"/>
      </rPr>
      <t xml:space="preserve"> Nhường đường cho xe đi trên đường ưu tiên hoặc đường chính từ bất kỳ hướng</t>
    </r>
    <r>
      <rPr>
        <sz val="14"/>
        <color theme="1"/>
        <rFont val="Times New Roman"/>
        <family val="1"/>
      </rPr>
      <t xml:space="preserve"> </t>
    </r>
    <r>
      <rPr>
        <u/>
        <sz val="14"/>
        <color theme="1"/>
        <rFont val="Times New Roman"/>
        <family val="1"/>
      </rPr>
      <t>nào tới.</t>
    </r>
  </si>
  <si>
    <r>
      <t>1.</t>
    </r>
    <r>
      <rPr>
        <sz val="7"/>
        <color theme="1"/>
        <rFont val="Times New Roman"/>
        <family val="1"/>
      </rPr>
      <t xml:space="preserve">   </t>
    </r>
    <r>
      <rPr>
        <sz val="14"/>
        <color theme="1"/>
        <rFont val="Times New Roman"/>
        <family val="1"/>
      </rPr>
      <t>Nhường đường cho xe đi đến từ bên phải.</t>
    </r>
  </si>
  <si>
    <r>
      <t>2.</t>
    </r>
    <r>
      <rPr>
        <sz val="7"/>
        <color theme="1"/>
        <rFont val="Times New Roman"/>
        <family val="1"/>
      </rPr>
      <t xml:space="preserve"> </t>
    </r>
    <r>
      <rPr>
        <u/>
        <sz val="14"/>
        <color theme="1"/>
        <rFont val="Times New Roman"/>
        <family val="1"/>
      </rPr>
      <t xml:space="preserve"> Nhường đường cho xe đi đến từ bên trái.</t>
    </r>
  </si>
  <si>
    <r>
      <t>3.</t>
    </r>
    <r>
      <rPr>
        <sz val="7"/>
        <color theme="1"/>
        <rFont val="Times New Roman"/>
        <family val="1"/>
      </rPr>
      <t xml:space="preserve">   </t>
    </r>
    <r>
      <rPr>
        <sz val="14"/>
        <color theme="1"/>
        <rFont val="Times New Roman"/>
        <family val="1"/>
      </rPr>
      <t>Không phải nhường đường.</t>
    </r>
  </si>
  <si>
    <r>
      <t>1.</t>
    </r>
    <r>
      <rPr>
        <sz val="7"/>
        <color theme="1"/>
        <rFont val="Times New Roman"/>
        <family val="1"/>
      </rPr>
      <t xml:space="preserve"> </t>
    </r>
    <r>
      <rPr>
        <u/>
        <sz val="14"/>
        <color theme="1"/>
        <rFont val="Times New Roman"/>
        <family val="1"/>
      </rPr>
      <t xml:space="preserve"> Phải nhường đường cho xe đi đến từ bên phải.</t>
    </r>
  </si>
  <si>
    <r>
      <t>2.</t>
    </r>
    <r>
      <rPr>
        <sz val="7"/>
        <color theme="1"/>
        <rFont val="Times New Roman"/>
        <family val="1"/>
      </rPr>
      <t xml:space="preserve">   </t>
    </r>
    <r>
      <rPr>
        <sz val="14"/>
        <color theme="1"/>
        <rFont val="Times New Roman"/>
        <family val="1"/>
      </rPr>
      <t>Xe báo hiệu xin đường trước, xe đó được đi trước.</t>
    </r>
  </si>
  <si>
    <r>
      <t>3.</t>
    </r>
    <r>
      <rPr>
        <sz val="7"/>
        <color theme="1"/>
        <rFont val="Times New Roman"/>
        <family val="1"/>
      </rPr>
      <t xml:space="preserve">   </t>
    </r>
    <r>
      <rPr>
        <sz val="14"/>
        <color theme="1"/>
        <rFont val="Times New Roman"/>
        <family val="1"/>
      </rPr>
      <t>Phải nhường đường cho xe đi đến từ bên trái.</t>
    </r>
  </si>
  <si>
    <r>
      <t>Câu 94. Người lái xe phải nhanh chóng giảm tốc độ</t>
    </r>
    <r>
      <rPr>
        <sz val="14"/>
        <color theme="1"/>
        <rFont val="Times New Roman"/>
        <family val="1"/>
      </rPr>
      <t xml:space="preserve">, </t>
    </r>
    <r>
      <rPr>
        <b/>
        <sz val="14"/>
        <color theme="1"/>
        <rFont val="Times New Roman"/>
        <family val="1"/>
      </rPr>
      <t>đi sát lề đường bên phải hoặc dừng lại để nhường đường cho các loại xe nào dưới đây?</t>
    </r>
  </si>
  <si>
    <r>
      <t>1.</t>
    </r>
    <r>
      <rPr>
        <sz val="7"/>
        <color theme="1"/>
        <rFont val="Times New Roman"/>
        <family val="1"/>
      </rPr>
      <t xml:space="preserve">   </t>
    </r>
    <r>
      <rPr>
        <sz val="14"/>
        <color theme="1"/>
        <rFont val="Times New Roman"/>
        <family val="1"/>
      </rPr>
      <t>Xe chữa cháy của Cảnh sát phòng cháy, chữa cháy và cứu nạn, cứu hộ và xe chữa cháy của các lực lượng khác; xe của lực lượng quân sự, công an và kiểm sát; đoàn xe có xe Cảnh sát giao thông dẫn đường; xe cứu thương; xe hộ đê không có tín hiệu ưu tiên theo quy định.</t>
    </r>
  </si>
  <si>
    <r>
      <t>2.</t>
    </r>
    <r>
      <rPr>
        <sz val="7"/>
        <color theme="1"/>
        <rFont val="Times New Roman"/>
        <family val="1"/>
      </rPr>
      <t xml:space="preserve"> </t>
    </r>
    <r>
      <rPr>
        <u/>
        <sz val="14"/>
        <color theme="1"/>
        <rFont val="Times New Roman"/>
        <family val="1"/>
      </rPr>
      <t xml:space="preserve"> Xe ưu tiên gồm xe chữa cháy của Cảnh sát phòng cháy, chữa cháy và cứu nạn,</t>
    </r>
    <r>
      <rPr>
        <sz val="14"/>
        <color theme="1"/>
        <rFont val="Times New Roman"/>
        <family val="1"/>
      </rPr>
      <t xml:space="preserve"> </t>
    </r>
    <r>
      <rPr>
        <u/>
        <sz val="14"/>
        <color theme="1"/>
        <rFont val="Times New Roman"/>
        <family val="1"/>
      </rPr>
      <t>cứu hộ và xe chữa cháy của các lực lượng khác được huy động đi làm nhiệm vụ</t>
    </r>
    <r>
      <rPr>
        <sz val="14"/>
        <color theme="1"/>
        <rFont val="Times New Roman"/>
        <family val="1"/>
      </rPr>
      <t xml:space="preserve"> </t>
    </r>
    <r>
      <rPr>
        <u/>
        <sz val="14"/>
        <color theme="1"/>
        <rFont val="Times New Roman"/>
        <family val="1"/>
      </rPr>
      <t>chữa cháy; xe của lực lượng quân sự, công an và kiểm sát đi làm nhiệm vụ khẩn</t>
    </r>
    <r>
      <rPr>
        <sz val="14"/>
        <color theme="1"/>
        <rFont val="Times New Roman"/>
        <family val="1"/>
      </rPr>
      <t xml:space="preserve"> </t>
    </r>
    <r>
      <rPr>
        <u/>
        <sz val="14"/>
        <color theme="1"/>
        <rFont val="Times New Roman"/>
        <family val="1"/>
      </rPr>
      <t>cấp; đoàn xe có xe Cảnh sát giao thông dẫn đường; xe cứu thương đi làm nhiệm</t>
    </r>
    <r>
      <rPr>
        <sz val="14"/>
        <color theme="1"/>
        <rFont val="Times New Roman"/>
        <family val="1"/>
      </rPr>
      <t xml:space="preserve"> </t>
    </r>
    <r>
      <rPr>
        <u/>
        <sz val="14"/>
        <color theme="1"/>
        <rFont val="Times New Roman"/>
        <family val="1"/>
      </rPr>
      <t>vụ cấp cứu; xe hộ đê đi làm nhiệm vụ; xe đi làm nhiệm vụ cứu nạn, cứu hộ, khắc</t>
    </r>
    <r>
      <rPr>
        <sz val="14"/>
        <color theme="1"/>
        <rFont val="Times New Roman"/>
        <family val="1"/>
      </rPr>
      <t xml:space="preserve"> </t>
    </r>
    <r>
      <rPr>
        <u/>
        <sz val="14"/>
        <color theme="1"/>
        <rFont val="Times New Roman"/>
        <family val="1"/>
      </rPr>
      <t>phục sự cố thiên tai, dịch bệnh hoặc xe đi làm nhiệm vụ trong tình trạng khẩn cấp</t>
    </r>
    <r>
      <rPr>
        <sz val="14"/>
        <color theme="1"/>
        <rFont val="Times New Roman"/>
        <family val="1"/>
      </rPr>
      <t xml:space="preserve"> </t>
    </r>
    <r>
      <rPr>
        <u/>
        <sz val="14"/>
        <color theme="1"/>
        <rFont val="Times New Roman"/>
        <family val="1"/>
      </rPr>
      <t>theo quy định của pháp luật; đoàn xe tang.</t>
    </r>
  </si>
  <si>
    <r>
      <t>3.</t>
    </r>
    <r>
      <rPr>
        <sz val="7"/>
        <color theme="1"/>
        <rFont val="Times New Roman"/>
        <family val="1"/>
      </rPr>
      <t xml:space="preserve">   </t>
    </r>
    <r>
      <rPr>
        <sz val="14"/>
        <color theme="1"/>
        <rFont val="Times New Roman"/>
        <family val="1"/>
      </rPr>
      <t>Xe ô tô, xe máy, đoàn xe đang diễu hành có tổ chức có báo tín hiệu xin vượt bằng còi và đèn.</t>
    </r>
  </si>
  <si>
    <r>
      <t>1.</t>
    </r>
    <r>
      <rPr>
        <sz val="7"/>
        <color theme="1"/>
        <rFont val="Times New Roman"/>
        <family val="1"/>
      </rPr>
      <t xml:space="preserve">   </t>
    </r>
    <r>
      <rPr>
        <sz val="14"/>
        <color theme="1"/>
        <rFont val="Times New Roman"/>
        <family val="1"/>
      </rPr>
      <t>Không bị hạn chế tốc độ.</t>
    </r>
  </si>
  <si>
    <r>
      <t>2.</t>
    </r>
    <r>
      <rPr>
        <sz val="7"/>
        <color theme="1"/>
        <rFont val="Times New Roman"/>
        <family val="1"/>
      </rPr>
      <t xml:space="preserve">  </t>
    </r>
    <r>
      <rPr>
        <sz val="14"/>
        <color theme="1"/>
        <rFont val="Times New Roman"/>
        <family val="1"/>
      </rPr>
      <t>Được phép đi không phụ thuộc vào tín hiệu đèn giao thông, đi vào đường ngược chiều, các đường khác có thể đi được.</t>
    </r>
  </si>
  <si>
    <r>
      <t>3.</t>
    </r>
    <r>
      <rPr>
        <sz val="7"/>
        <color theme="1"/>
        <rFont val="Times New Roman"/>
        <family val="1"/>
      </rPr>
      <t xml:space="preserve">   </t>
    </r>
    <r>
      <rPr>
        <sz val="14"/>
        <color theme="1"/>
        <rFont val="Times New Roman"/>
        <family val="1"/>
      </rPr>
      <t>Được đi ngược chiều trên làn dừng xe khẩn cấp trên đường cao tốc.</t>
    </r>
  </si>
  <si>
    <r>
      <t>1.</t>
    </r>
    <r>
      <rPr>
        <sz val="7"/>
        <color theme="1"/>
        <rFont val="Times New Roman"/>
        <family val="1"/>
      </rPr>
      <t xml:space="preserve"> </t>
    </r>
    <r>
      <rPr>
        <u/>
        <sz val="14"/>
        <color theme="1"/>
        <rFont val="Times New Roman"/>
        <family val="1"/>
      </rPr>
      <t xml:space="preserve"> Giảm tốc độ, đi sát lề đường bên phải hoặc dừng lại để nhường đường.</t>
    </r>
  </si>
  <si>
    <r>
      <t>2.</t>
    </r>
    <r>
      <rPr>
        <sz val="7"/>
        <color theme="1"/>
        <rFont val="Times New Roman"/>
        <family val="1"/>
      </rPr>
      <t xml:space="preserve">   </t>
    </r>
    <r>
      <rPr>
        <sz val="14"/>
        <color theme="1"/>
        <rFont val="Times New Roman"/>
        <family val="1"/>
      </rPr>
      <t>Tăng tốc độ và đi sát lề đường bên phải để nhường đường.</t>
    </r>
  </si>
  <si>
    <r>
      <t>3.</t>
    </r>
    <r>
      <rPr>
        <sz val="7"/>
        <color theme="1"/>
        <rFont val="Times New Roman"/>
        <family val="1"/>
      </rPr>
      <t xml:space="preserve">   </t>
    </r>
    <r>
      <rPr>
        <sz val="14"/>
        <color theme="1"/>
        <rFont val="Times New Roman"/>
        <family val="1"/>
      </rPr>
      <t>Giảm tốc độ, đi sát lề đường bên trái để nhường đường.</t>
    </r>
  </si>
  <si>
    <r>
      <t>1.</t>
    </r>
    <r>
      <rPr>
        <sz val="7"/>
        <color theme="1"/>
        <rFont val="Times New Roman"/>
        <family val="1"/>
      </rPr>
      <t xml:space="preserve">   </t>
    </r>
    <r>
      <rPr>
        <sz val="14"/>
        <color theme="1"/>
        <rFont val="Times New Roman"/>
        <family val="1"/>
      </rPr>
      <t>Không được vượt.</t>
    </r>
  </si>
  <si>
    <r>
      <t>2.</t>
    </r>
    <r>
      <rPr>
        <sz val="7"/>
        <color theme="1"/>
        <rFont val="Times New Roman"/>
        <family val="1"/>
      </rPr>
      <t xml:space="preserve">   </t>
    </r>
    <r>
      <rPr>
        <sz val="14"/>
        <color theme="1"/>
        <rFont val="Times New Roman"/>
        <family val="1"/>
      </rPr>
      <t>Được phép vượt ở phần đường dành cho người đi bộ qua đường.</t>
    </r>
  </si>
  <si>
    <r>
      <t>3.</t>
    </r>
    <r>
      <rPr>
        <sz val="7"/>
        <color theme="1"/>
        <rFont val="Times New Roman"/>
        <family val="1"/>
      </rPr>
      <t xml:space="preserve"> </t>
    </r>
    <r>
      <rPr>
        <u/>
        <sz val="14"/>
        <color theme="1"/>
        <rFont val="Times New Roman"/>
        <family val="1"/>
      </rPr>
      <t xml:space="preserve"> Được vượt khi bảo đảm an toàn.</t>
    </r>
  </si>
  <si>
    <r>
      <t>1.</t>
    </r>
    <r>
      <rPr>
        <sz val="7"/>
        <color theme="1"/>
        <rFont val="Times New Roman"/>
        <family val="1"/>
      </rPr>
      <t xml:space="preserve"> </t>
    </r>
    <r>
      <rPr>
        <u/>
        <sz val="14"/>
        <color theme="1"/>
        <rFont val="Times New Roman"/>
        <family val="1"/>
      </rPr>
      <t xml:space="preserve"> Không được vượt.</t>
    </r>
  </si>
  <si>
    <r>
      <t>2.</t>
    </r>
    <r>
      <rPr>
        <sz val="7"/>
        <color theme="1"/>
        <rFont val="Times New Roman"/>
        <family val="1"/>
      </rPr>
      <t xml:space="preserve">   </t>
    </r>
    <r>
      <rPr>
        <sz val="14"/>
        <color theme="1"/>
        <rFont val="Times New Roman"/>
        <family val="1"/>
      </rPr>
      <t>Được vượt khi đang đi trên cầu.</t>
    </r>
  </si>
  <si>
    <r>
      <t>3.</t>
    </r>
    <r>
      <rPr>
        <sz val="7"/>
        <color theme="1"/>
        <rFont val="Times New Roman"/>
        <family val="1"/>
      </rPr>
      <t xml:space="preserve">   </t>
    </r>
    <r>
      <rPr>
        <sz val="14"/>
        <color theme="1"/>
        <rFont val="Times New Roman"/>
        <family val="1"/>
      </rPr>
      <t>Được phép vượt khi đi qua nơi giao nhau có ít phương tiện cùng tham gia giao thông.</t>
    </r>
  </si>
  <si>
    <r>
      <t>4.</t>
    </r>
    <r>
      <rPr>
        <sz val="7"/>
        <color theme="1"/>
        <rFont val="Times New Roman"/>
        <family val="1"/>
      </rPr>
      <t xml:space="preserve">   </t>
    </r>
    <r>
      <rPr>
        <sz val="14"/>
        <color theme="1"/>
        <rFont val="Times New Roman"/>
        <family val="1"/>
      </rPr>
      <t>Được vượt khi bảo đảm an toàn.</t>
    </r>
  </si>
  <si>
    <r>
      <t>1.</t>
    </r>
    <r>
      <rPr>
        <sz val="7"/>
        <color theme="1"/>
        <rFont val="Times New Roman"/>
        <family val="1"/>
      </rPr>
      <t xml:space="preserve"> </t>
    </r>
    <r>
      <rPr>
        <u/>
        <sz val="14"/>
        <color theme="1"/>
        <rFont val="Times New Roman"/>
        <family val="1"/>
      </rPr>
      <t xml:space="preserve"> Dừng lại về bên phải đường của mình, trước vạch dừng xe và quan sát hai phía,</t>
    </r>
    <r>
      <rPr>
        <sz val="14"/>
        <color theme="1"/>
        <rFont val="Times New Roman"/>
        <family val="1"/>
      </rPr>
      <t xml:space="preserve"> </t>
    </r>
    <r>
      <rPr>
        <u/>
        <sz val="14"/>
        <color theme="1"/>
        <rFont val="Times New Roman"/>
        <family val="1"/>
      </rPr>
      <t>khi không có phương tiện giao thông đường sắt tới mới được đi qua.</t>
    </r>
  </si>
  <si>
    <r>
      <t>2.</t>
    </r>
    <r>
      <rPr>
        <sz val="7"/>
        <color theme="1"/>
        <rFont val="Times New Roman"/>
        <family val="1"/>
      </rPr>
      <t xml:space="preserve">   </t>
    </r>
    <r>
      <rPr>
        <sz val="14"/>
        <color theme="1"/>
        <rFont val="Times New Roman"/>
        <family val="1"/>
      </rPr>
      <t>Quan sát hai phía, khi không có phương tiện giao thông đường sắt tới thì nhanh chóng đi qua.</t>
    </r>
  </si>
  <si>
    <r>
      <t>3.</t>
    </r>
    <r>
      <rPr>
        <sz val="7"/>
        <color theme="1"/>
        <rFont val="Times New Roman"/>
        <family val="1"/>
      </rPr>
      <t xml:space="preserve">   </t>
    </r>
    <r>
      <rPr>
        <sz val="14"/>
        <color theme="1"/>
        <rFont val="Times New Roman"/>
        <family val="1"/>
      </rPr>
      <t>Dừng lại khoảng cách tối thiểu 3 mét tính từ ray đường sắt gần nhất, khi không có phương tiện giao thông đường sắt tới thì nhanh chóng đi qua.</t>
    </r>
  </si>
  <si>
    <r>
      <t>1.</t>
    </r>
    <r>
      <rPr>
        <sz val="7"/>
        <color theme="1"/>
        <rFont val="Times New Roman"/>
        <family val="1"/>
      </rPr>
      <t xml:space="preserve">   </t>
    </r>
    <r>
      <rPr>
        <sz val="14"/>
        <color theme="1"/>
        <rFont val="Times New Roman"/>
        <family val="1"/>
      </rPr>
      <t>Dừng lại về bên trái đường của mình, trước vạch dừng xe.</t>
    </r>
  </si>
  <si>
    <r>
      <t>2.</t>
    </r>
    <r>
      <rPr>
        <sz val="7"/>
        <color theme="1"/>
        <rFont val="Times New Roman"/>
        <family val="1"/>
      </rPr>
      <t xml:space="preserve">   </t>
    </r>
    <r>
      <rPr>
        <sz val="14"/>
        <color theme="1"/>
        <rFont val="Times New Roman"/>
        <family val="1"/>
      </rPr>
      <t>Dừng lại giữa đường của mình, trước vạch dừng xe.</t>
    </r>
  </si>
  <si>
    <r>
      <t>3.</t>
    </r>
    <r>
      <rPr>
        <sz val="7"/>
        <color theme="1"/>
        <rFont val="Times New Roman"/>
        <family val="1"/>
      </rPr>
      <t xml:space="preserve"> </t>
    </r>
    <r>
      <rPr>
        <u/>
        <sz val="14"/>
        <color theme="1"/>
        <rFont val="Times New Roman"/>
        <family val="1"/>
      </rPr>
      <t xml:space="preserve"> Dừng lại về bên phải đường của mình, trước vạch dừng xe.</t>
    </r>
  </si>
  <si>
    <r>
      <t>1.</t>
    </r>
    <r>
      <rPr>
        <sz val="7"/>
        <color theme="1"/>
        <rFont val="Times New Roman"/>
        <family val="1"/>
      </rPr>
      <t xml:space="preserve"> </t>
    </r>
    <r>
      <rPr>
        <u/>
        <sz val="14"/>
        <color theme="1"/>
        <rFont val="Times New Roman"/>
        <family val="1"/>
      </rPr>
      <t xml:space="preserve"> Người lái xe và người có mặt phải ngay lập tức báo hiệu để dừng tàu, thực hiện</t>
    </r>
    <r>
      <rPr>
        <sz val="14"/>
        <color theme="1"/>
        <rFont val="Times New Roman"/>
        <family val="1"/>
      </rPr>
      <t xml:space="preserve"> </t>
    </r>
    <r>
      <rPr>
        <u/>
        <sz val="14"/>
        <color theme="1"/>
        <rFont val="Times New Roman"/>
        <family val="1"/>
      </rPr>
      <t>các biện pháp bảo đảm an toàn.</t>
    </r>
  </si>
  <si>
    <r>
      <t>2.</t>
    </r>
    <r>
      <rPr>
        <sz val="7"/>
        <color theme="1"/>
        <rFont val="Times New Roman"/>
        <family val="1"/>
      </rPr>
      <t xml:space="preserve">   </t>
    </r>
    <r>
      <rPr>
        <sz val="14"/>
        <color theme="1"/>
        <rFont val="Times New Roman"/>
        <family val="1"/>
      </rPr>
      <t>Để xe lại, tìm cách báo cho người quản lý đường sắt, nhà ga nơi gần nhất.</t>
    </r>
  </si>
  <si>
    <r>
      <t>3.</t>
    </r>
    <r>
      <rPr>
        <sz val="7"/>
        <color theme="1"/>
        <rFont val="Times New Roman"/>
        <family val="1"/>
      </rPr>
      <t xml:space="preserve">   </t>
    </r>
    <r>
      <rPr>
        <sz val="14"/>
        <color theme="1"/>
        <rFont val="Times New Roman"/>
        <family val="1"/>
      </rPr>
      <t>Không di chuyển phương tiện, tự khắc phục sửa chữa.</t>
    </r>
  </si>
  <si>
    <r>
      <t>1.</t>
    </r>
    <r>
      <rPr>
        <sz val="7"/>
        <color theme="1"/>
        <rFont val="Times New Roman"/>
        <family val="1"/>
      </rPr>
      <t xml:space="preserve">   </t>
    </r>
    <r>
      <rPr>
        <sz val="14"/>
        <color theme="1"/>
        <rFont val="Times New Roman"/>
        <family val="1"/>
      </rPr>
      <t>Hiệu lệnh của nhân viên gác chắn.</t>
    </r>
  </si>
  <si>
    <r>
      <t>2.</t>
    </r>
    <r>
      <rPr>
        <sz val="7"/>
        <color theme="1"/>
        <rFont val="Times New Roman"/>
        <family val="1"/>
      </rPr>
      <t xml:space="preserve">   </t>
    </r>
    <r>
      <rPr>
        <sz val="14"/>
        <color theme="1"/>
        <rFont val="Times New Roman"/>
        <family val="1"/>
      </rPr>
      <t>Đèn đỏ sáng nhấp nháy, chuông kêu.</t>
    </r>
  </si>
  <si>
    <r>
      <t>3.</t>
    </r>
    <r>
      <rPr>
        <sz val="7"/>
        <color theme="1"/>
        <rFont val="Times New Roman"/>
        <family val="1"/>
      </rPr>
      <t xml:space="preserve">   </t>
    </r>
    <r>
      <rPr>
        <sz val="14"/>
        <color theme="1"/>
        <rFont val="Times New Roman"/>
        <family val="1"/>
      </rPr>
      <t>Chắn đường bộ đang dịch chuyển hoặc đã đóng.</t>
    </r>
  </si>
  <si>
    <r>
      <t>1.</t>
    </r>
    <r>
      <rPr>
        <sz val="7"/>
        <color theme="1"/>
        <rFont val="Times New Roman"/>
        <family val="1"/>
      </rPr>
      <t xml:space="preserve"> </t>
    </r>
    <r>
      <rPr>
        <u/>
        <sz val="14"/>
        <color theme="1"/>
        <rFont val="Times New Roman"/>
        <family val="1"/>
      </rPr>
      <t xml:space="preserve"> Xe cơ giới, xe máy chuyên dùng phải bật đèn chiếu gần; xe thô sơ phải bật đèn</t>
    </r>
    <r>
      <rPr>
        <sz val="14"/>
        <color theme="1"/>
        <rFont val="Times New Roman"/>
        <family val="1"/>
      </rPr>
      <t xml:space="preserve"> </t>
    </r>
    <r>
      <rPr>
        <u/>
        <sz val="14"/>
        <color theme="1"/>
        <rFont val="Times New Roman"/>
        <family val="1"/>
      </rPr>
      <t>hoặc có vật phát sáng báo hiệu; không dừng xe, đỗ xe trong hầm đường bộ; trường</t>
    </r>
    <r>
      <rPr>
        <sz val="14"/>
        <color theme="1"/>
        <rFont val="Times New Roman"/>
        <family val="1"/>
      </rPr>
      <t xml:space="preserve"> </t>
    </r>
    <r>
      <rPr>
        <u/>
        <sz val="14"/>
        <color theme="1"/>
        <rFont val="Times New Roman"/>
        <family val="1"/>
      </rPr>
      <t>hợp gặp sự cố kỹ thuật hoặc bất khả kháng khác buộc phải dừng xe, đỗ xe, người</t>
    </r>
    <r>
      <rPr>
        <sz val="14"/>
        <color theme="1"/>
        <rFont val="Times New Roman"/>
        <family val="1"/>
      </rPr>
      <t xml:space="preserve"> </t>
    </r>
    <r>
      <rPr>
        <u/>
        <sz val="14"/>
        <color theme="1"/>
        <rFont val="Times New Roman"/>
        <family val="1"/>
      </rPr>
      <t>lái xe, người điều khiển xe máy chuyên dùng phải đưa xe vào vị trí dừng xe, đỗ</t>
    </r>
    <r>
      <rPr>
        <sz val="14"/>
        <color theme="1"/>
        <rFont val="Times New Roman"/>
        <family val="1"/>
      </rPr>
      <t xml:space="preserve"> </t>
    </r>
    <r>
      <rPr>
        <u/>
        <sz val="14"/>
        <color theme="1"/>
        <rFont val="Times New Roman"/>
        <family val="1"/>
      </rPr>
      <t>xe khẩn cấp, nếu không di chuyển được, phải có báo hiệu bằng đèn khẩn cấp và</t>
    </r>
    <r>
      <rPr>
        <sz val="14"/>
        <color theme="1"/>
        <rFont val="Times New Roman"/>
        <family val="1"/>
      </rPr>
      <t xml:space="preserve"> </t>
    </r>
    <r>
      <rPr>
        <u/>
        <sz val="14"/>
        <color theme="1"/>
        <rFont val="Times New Roman"/>
        <family val="1"/>
      </rPr>
      <t>đặt biển hoặc đèn cảnh báo về phía sau xe khoảng cách bảo đảm an toàn.</t>
    </r>
  </si>
  <si>
    <r>
      <t>2.</t>
    </r>
    <r>
      <rPr>
        <sz val="7"/>
        <color theme="1"/>
        <rFont val="Times New Roman"/>
        <family val="1"/>
      </rPr>
      <t xml:space="preserve">   </t>
    </r>
    <r>
      <rPr>
        <sz val="14"/>
        <color theme="1"/>
        <rFont val="Times New Roman"/>
        <family val="1"/>
      </rPr>
      <t>Xe cơ giới, xe máy chuyên dùng phải bật đèn chiếu xa; được dừng xe, đỗ xe khi cần thiết.</t>
    </r>
  </si>
  <si>
    <r>
      <t>3.</t>
    </r>
    <r>
      <rPr>
        <sz val="7"/>
        <color theme="1"/>
        <rFont val="Times New Roman"/>
        <family val="1"/>
      </rPr>
      <t xml:space="preserve">   </t>
    </r>
    <r>
      <rPr>
        <sz val="14"/>
        <color theme="1"/>
        <rFont val="Times New Roman"/>
        <family val="1"/>
      </rPr>
      <t>Phải cho xe chạy trên một làn đường và chỉ chuyển làn ở nơi được phép; được quay đầu xe, lùi xe khi cần thiết.</t>
    </r>
  </si>
  <si>
    <r>
      <t>1.</t>
    </r>
    <r>
      <rPr>
        <sz val="7"/>
        <color theme="1"/>
        <rFont val="Times New Roman"/>
        <family val="1"/>
      </rPr>
      <t xml:space="preserve">   </t>
    </r>
    <r>
      <rPr>
        <sz val="14"/>
        <color theme="1"/>
        <rFont val="Times New Roman"/>
        <family val="1"/>
      </rPr>
      <t>Nối bằng dây cáp có độ dài 6 mét.</t>
    </r>
  </si>
  <si>
    <r>
      <t>2.</t>
    </r>
    <r>
      <rPr>
        <sz val="7"/>
        <color theme="1"/>
        <rFont val="Times New Roman"/>
        <family val="1"/>
      </rPr>
      <t xml:space="preserve">   </t>
    </r>
    <r>
      <rPr>
        <sz val="14"/>
        <color theme="1"/>
        <rFont val="Times New Roman"/>
        <family val="1"/>
      </rPr>
      <t>Nối bằng dây cáp có độ dài 8 mét.</t>
    </r>
  </si>
  <si>
    <r>
      <t>3.</t>
    </r>
    <r>
      <rPr>
        <sz val="7"/>
        <color theme="1"/>
        <rFont val="Times New Roman"/>
        <family val="1"/>
      </rPr>
      <t xml:space="preserve"> </t>
    </r>
    <r>
      <rPr>
        <u/>
        <sz val="14"/>
        <color theme="1"/>
        <rFont val="Times New Roman"/>
        <family val="1"/>
      </rPr>
      <t xml:space="preserve"> Nối bằng thanh nối cứng.</t>
    </r>
  </si>
  <si>
    <r>
      <t>1.</t>
    </r>
    <r>
      <rPr>
        <sz val="7"/>
        <color theme="1"/>
        <rFont val="Times New Roman"/>
        <family val="1"/>
      </rPr>
      <t xml:space="preserve"> </t>
    </r>
    <r>
      <rPr>
        <u/>
        <sz val="14"/>
        <color theme="1"/>
        <rFont val="Times New Roman"/>
        <family val="1"/>
      </rPr>
      <t xml:space="preserve"> Chỉ được kéo rơ moóc, sơ mi rơ moóc phù hợp với thiết kế của xe; việc kết nối</t>
    </r>
    <r>
      <rPr>
        <sz val="14"/>
        <color theme="1"/>
        <rFont val="Times New Roman"/>
        <family val="1"/>
      </rPr>
      <t xml:space="preserve"> </t>
    </r>
    <r>
      <rPr>
        <u/>
        <sz val="14"/>
        <color theme="1"/>
        <rFont val="Times New Roman"/>
        <family val="1"/>
      </rPr>
      <t>xe kéo với rơ moóc, xe ô tô đầu kéo với sơ mi rơ moóc phải bảo đảm chắc chắn,</t>
    </r>
    <r>
      <rPr>
        <sz val="14"/>
        <color theme="1"/>
        <rFont val="Times New Roman"/>
        <family val="1"/>
      </rPr>
      <t xml:space="preserve"> </t>
    </r>
    <r>
      <rPr>
        <u/>
        <sz val="14"/>
        <color theme="1"/>
        <rFont val="Times New Roman"/>
        <family val="1"/>
      </rPr>
      <t>an toàn.</t>
    </r>
  </si>
  <si>
    <r>
      <t>2.</t>
    </r>
    <r>
      <rPr>
        <sz val="7"/>
        <color theme="1"/>
        <rFont val="Times New Roman"/>
        <family val="1"/>
      </rPr>
      <t xml:space="preserve">   </t>
    </r>
    <r>
      <rPr>
        <sz val="14"/>
        <color theme="1"/>
        <rFont val="Times New Roman"/>
        <family val="1"/>
      </rPr>
      <t>Phải có tổng trọng lượng tương đương tổng trọng lượng của rơ moóc hoặc phải có hệ thống hãm có hiệu lực cho rơ moóc.</t>
    </r>
  </si>
  <si>
    <r>
      <t>3.</t>
    </r>
    <r>
      <rPr>
        <sz val="7"/>
        <color theme="1"/>
        <rFont val="Times New Roman"/>
        <family val="1"/>
      </rPr>
      <t xml:space="preserve">   </t>
    </r>
    <r>
      <rPr>
        <sz val="14"/>
        <color theme="1"/>
        <rFont val="Times New Roman"/>
        <family val="1"/>
      </rPr>
      <t>Phải được lắp phanh phụ theo quy định để đảm bảo an toàn.</t>
    </r>
  </si>
  <si>
    <r>
      <t>1.</t>
    </r>
    <r>
      <rPr>
        <sz val="7"/>
        <color theme="1"/>
        <rFont val="Times New Roman"/>
        <family val="1"/>
      </rPr>
      <t xml:space="preserve">   </t>
    </r>
    <r>
      <rPr>
        <sz val="14"/>
        <color theme="1"/>
        <rFont val="Times New Roman"/>
        <family val="1"/>
      </rPr>
      <t>Một xe ô tô được kéo theo nhiều xe ô tô hoặc xe máy chuyên dùng khác khi xe được kéo không tự chạy được (trừ trường hợp xe vận chuyển hàng siêu trường, siêu trọng).</t>
    </r>
  </si>
  <si>
    <r>
      <t>2.</t>
    </r>
    <r>
      <rPr>
        <sz val="7"/>
        <color theme="1"/>
        <rFont val="Times New Roman"/>
        <family val="1"/>
      </rPr>
      <t xml:space="preserve"> </t>
    </r>
    <r>
      <rPr>
        <u/>
        <sz val="14"/>
        <color theme="1"/>
        <rFont val="Times New Roman"/>
        <family val="1"/>
      </rPr>
      <t xml:space="preserve"> Xe được kéo phải có người điều khiển và hệ thống lái của xe đó phải còn hiệu</t>
    </r>
    <r>
      <rPr>
        <sz val="14"/>
        <color theme="1"/>
        <rFont val="Times New Roman"/>
        <family val="1"/>
      </rPr>
      <t xml:space="preserve"> </t>
    </r>
    <r>
      <rPr>
        <u/>
        <sz val="14"/>
        <color theme="1"/>
        <rFont val="Times New Roman"/>
        <family val="1"/>
      </rPr>
      <t>lực; việc nối xe kéo với xe được kéo phải bảo đảm chắc chắn, an toàn; trường hợp</t>
    </r>
    <r>
      <rPr>
        <sz val="14"/>
        <color theme="1"/>
        <rFont val="Times New Roman"/>
        <family val="1"/>
      </rPr>
      <t xml:space="preserve"> </t>
    </r>
    <r>
      <rPr>
        <u/>
        <sz val="14"/>
        <color theme="1"/>
        <rFont val="Times New Roman"/>
        <family val="1"/>
      </rPr>
      <t>hệ thống hãm của xe được kéo không còn hiệu lực thì xe kéo nhau phải nối bằng</t>
    </r>
    <r>
      <rPr>
        <sz val="14"/>
        <color theme="1"/>
        <rFont val="Times New Roman"/>
        <family val="1"/>
      </rPr>
      <t xml:space="preserve"> </t>
    </r>
    <r>
      <rPr>
        <u/>
        <sz val="14"/>
        <color theme="1"/>
        <rFont val="Times New Roman"/>
        <family val="1"/>
      </rPr>
      <t>thanh nối cứng. Phía trước của xe kéo và phía sau của xe được kéo phải có biển</t>
    </r>
    <r>
      <rPr>
        <sz val="14"/>
        <color theme="1"/>
        <rFont val="Times New Roman"/>
        <family val="1"/>
      </rPr>
      <t xml:space="preserve"> </t>
    </r>
    <r>
      <rPr>
        <u/>
        <sz val="14"/>
        <color theme="1"/>
        <rFont val="Times New Roman"/>
        <family val="1"/>
      </rPr>
      <t>báo hiệu, có đèn cảnh báo nhấp nháy màu vàng.</t>
    </r>
  </si>
  <si>
    <r>
      <t>1.</t>
    </r>
    <r>
      <rPr>
        <sz val="7"/>
        <color theme="1"/>
        <rFont val="Times New Roman"/>
        <family val="1"/>
      </rPr>
      <t xml:space="preserve">   </t>
    </r>
    <r>
      <rPr>
        <sz val="14"/>
        <color theme="1"/>
        <rFont val="Times New Roman"/>
        <family val="1"/>
      </rPr>
      <t>Có báo hiệu cảnh báo nguy hiểm hoặc có chướng ngại vật trên đường; chuyển hướng xe chạy hoặc tầm nhìn bị hạn chế.</t>
    </r>
  </si>
  <si>
    <r>
      <t>2.</t>
    </r>
    <r>
      <rPr>
        <sz val="7"/>
        <color theme="1"/>
        <rFont val="Times New Roman"/>
        <family val="1"/>
      </rPr>
      <t xml:space="preserve">  </t>
    </r>
    <r>
      <rPr>
        <sz val="14"/>
        <color theme="1"/>
        <rFont val="Times New Roman"/>
        <family val="1"/>
      </rPr>
      <t>Nơi cầu, cống hẹp, đập tràn, đường ngầm, hầm chui, hầm đường bộ; có vật nuôi đi trên đường hoặc chăn thả ở ven đường.</t>
    </r>
  </si>
  <si>
    <r>
      <t>3.</t>
    </r>
    <r>
      <rPr>
        <sz val="7"/>
        <color theme="1"/>
        <rFont val="Times New Roman"/>
        <family val="1"/>
      </rPr>
      <t xml:space="preserve">   </t>
    </r>
    <r>
      <rPr>
        <sz val="14"/>
        <color theme="1"/>
        <rFont val="Times New Roman"/>
        <family val="1"/>
      </rPr>
      <t>Điểm dừng xe, đỗ xe trên đường bộ có khách đang lên, xuống xe.</t>
    </r>
  </si>
  <si>
    <r>
      <t>1.</t>
    </r>
    <r>
      <rPr>
        <sz val="7"/>
        <color theme="1"/>
        <rFont val="Times New Roman"/>
        <family val="1"/>
      </rPr>
      <t xml:space="preserve"> </t>
    </r>
    <r>
      <rPr>
        <u/>
        <sz val="14"/>
        <color theme="1"/>
        <rFont val="Times New Roman"/>
        <family val="1"/>
      </rPr>
      <t xml:space="preserve"> Có chướng ngại vật phía trước, xe chạy phía trước có tín hiệu vượt xe khác</t>
    </r>
    <r>
      <rPr>
        <sz val="14"/>
        <color theme="1"/>
        <rFont val="Times New Roman"/>
        <family val="1"/>
      </rPr>
      <t>.</t>
    </r>
  </si>
  <si>
    <r>
      <t>2.</t>
    </r>
    <r>
      <rPr>
        <sz val="7"/>
        <color theme="1"/>
        <rFont val="Times New Roman"/>
        <family val="1"/>
      </rPr>
      <t xml:space="preserve">   </t>
    </r>
    <r>
      <rPr>
        <sz val="14"/>
        <color theme="1"/>
        <rFont val="Times New Roman"/>
        <family val="1"/>
      </rPr>
      <t>Xe chạy phía trước đã có tín hiệu rẽ phải và tránh về bên phải.</t>
    </r>
  </si>
  <si>
    <r>
      <t>1.</t>
    </r>
    <r>
      <rPr>
        <sz val="7"/>
        <color theme="1"/>
        <rFont val="Times New Roman"/>
        <family val="1"/>
      </rPr>
      <t xml:space="preserve"> </t>
    </r>
    <r>
      <rPr>
        <u/>
        <sz val="14"/>
        <color theme="1"/>
        <rFont val="Times New Roman"/>
        <family val="1"/>
      </rPr>
      <t xml:space="preserve"> Xe phía trước có tín hiệu rẽ trái hoặc đang rẽ trái hoặc khi xe chuyên dùng đang</t>
    </r>
    <r>
      <rPr>
        <sz val="14"/>
        <color theme="1"/>
        <rFont val="Times New Roman"/>
        <family val="1"/>
      </rPr>
      <t xml:space="preserve"> </t>
    </r>
    <r>
      <rPr>
        <u/>
        <sz val="14"/>
        <color theme="1"/>
        <rFont val="Times New Roman"/>
        <family val="1"/>
      </rPr>
      <t>làm việc trên đường mà không thể vượt bên trái.</t>
    </r>
  </si>
  <si>
    <r>
      <t>2.</t>
    </r>
    <r>
      <rPr>
        <sz val="7"/>
        <color theme="1"/>
        <rFont val="Times New Roman"/>
        <family val="1"/>
      </rPr>
      <t xml:space="preserve">   </t>
    </r>
    <r>
      <rPr>
        <sz val="14"/>
        <color theme="1"/>
        <rFont val="Times New Roman"/>
        <family val="1"/>
      </rPr>
      <t>Xe phía trước đang đi sát lề đường bên trái.</t>
    </r>
  </si>
  <si>
    <r>
      <t>1.</t>
    </r>
    <r>
      <rPr>
        <sz val="7"/>
        <color theme="1"/>
        <rFont val="Times New Roman"/>
        <family val="1"/>
      </rPr>
      <t xml:space="preserve"> </t>
    </r>
    <r>
      <rPr>
        <u/>
        <sz val="14"/>
        <color theme="1"/>
        <rFont val="Times New Roman"/>
        <family val="1"/>
      </rPr>
      <t xml:space="preserve"> Giảm tốc độ, có tín hiệu rẽ phải để báo hiệu cho người điều khiển phương tiện</t>
    </r>
    <r>
      <rPr>
        <sz val="14"/>
        <color theme="1"/>
        <rFont val="Times New Roman"/>
        <family val="1"/>
      </rPr>
      <t xml:space="preserve"> </t>
    </r>
    <r>
      <rPr>
        <u/>
        <sz val="14"/>
        <color theme="1"/>
        <rFont val="Times New Roman"/>
        <family val="1"/>
      </rPr>
      <t>tham gia giao thông đường bộ phía sau biết được vượt và đi sát về bên phải của</t>
    </r>
    <r>
      <rPr>
        <sz val="14"/>
        <color theme="1"/>
        <rFont val="Times New Roman"/>
        <family val="1"/>
      </rPr>
      <t xml:space="preserve"> </t>
    </r>
    <r>
      <rPr>
        <u/>
        <sz val="14"/>
        <color theme="1"/>
        <rFont val="Times New Roman"/>
        <family val="1"/>
      </rPr>
      <t>phần đường xe chạy cho đến khi xe sau đã vượt qua, không được cản trở đối với</t>
    </r>
    <r>
      <rPr>
        <sz val="14"/>
        <color theme="1"/>
        <rFont val="Times New Roman"/>
        <family val="1"/>
      </rPr>
      <t xml:space="preserve"> </t>
    </r>
    <r>
      <rPr>
        <u/>
        <sz val="14"/>
        <color theme="1"/>
        <rFont val="Times New Roman"/>
        <family val="1"/>
      </rPr>
      <t>xe xin vượt.</t>
    </r>
  </si>
  <si>
    <r>
      <t>2.</t>
    </r>
    <r>
      <rPr>
        <sz val="7"/>
        <color theme="1"/>
        <rFont val="Times New Roman"/>
        <family val="1"/>
      </rPr>
      <t xml:space="preserve">   </t>
    </r>
    <r>
      <rPr>
        <sz val="14"/>
        <color theme="1"/>
        <rFont val="Times New Roman"/>
        <family val="1"/>
      </rPr>
      <t>Lái xe vào lề đường bên trái và giảm tốc độ để xe phía sau vượt qua, không được gây trở ngại đối với xe xin vượt.</t>
    </r>
  </si>
  <si>
    <r>
      <t>3.</t>
    </r>
    <r>
      <rPr>
        <sz val="7"/>
        <color theme="1"/>
        <rFont val="Times New Roman"/>
        <family val="1"/>
      </rPr>
      <t xml:space="preserve">   </t>
    </r>
    <r>
      <rPr>
        <sz val="14"/>
        <color theme="1"/>
        <rFont val="Times New Roman"/>
        <family val="1"/>
      </rPr>
      <t>Tăng tốc độ, đi sát về bên phải của phần đường xe chạy cho đến khi xe sau đã vượt qua.</t>
    </r>
  </si>
  <si>
    <r>
      <t>1.</t>
    </r>
    <r>
      <rPr>
        <sz val="7"/>
        <color theme="1"/>
        <rFont val="Times New Roman"/>
        <family val="1"/>
      </rPr>
      <t xml:space="preserve"> </t>
    </r>
    <r>
      <rPr>
        <u/>
        <sz val="14"/>
        <color theme="1"/>
        <rFont val="Times New Roman"/>
        <family val="1"/>
      </rPr>
      <t xml:space="preserve"> Xe máy chuyên dùng có tốc độ thiết kế nhỏ hơn tốc độ tối thiểu quy định đối</t>
    </r>
    <r>
      <rPr>
        <sz val="14"/>
        <color theme="1"/>
        <rFont val="Times New Roman"/>
        <family val="1"/>
      </rPr>
      <t xml:space="preserve"> </t>
    </r>
    <r>
      <rPr>
        <u/>
        <sz val="14"/>
        <color theme="1"/>
        <rFont val="Times New Roman"/>
        <family val="1"/>
      </rPr>
      <t>với đường cao tốc, xe chở người bốn bánh có gắn động cơ, xe chở hàng bốn bánh</t>
    </r>
    <r>
      <rPr>
        <sz val="14"/>
        <color theme="1"/>
        <rFont val="Times New Roman"/>
        <family val="1"/>
      </rPr>
      <t xml:space="preserve"> </t>
    </r>
    <r>
      <rPr>
        <u/>
        <sz val="14"/>
        <color theme="1"/>
        <rFont val="Times New Roman"/>
        <family val="1"/>
      </rPr>
      <t>có gắn động cơ, xe mô tô, xe gắn máy, các loại xe tương tự xe mô tô, xe gắn máy,</t>
    </r>
    <r>
      <rPr>
        <sz val="14"/>
        <color theme="1"/>
        <rFont val="Times New Roman"/>
        <family val="1"/>
      </rPr>
      <t xml:space="preserve"> </t>
    </r>
    <r>
      <rPr>
        <u/>
        <sz val="14"/>
        <color theme="1"/>
        <rFont val="Times New Roman"/>
        <family val="1"/>
      </rPr>
      <t>xe thô sơ, người đi bộ.</t>
    </r>
  </si>
  <si>
    <r>
      <t>2.</t>
    </r>
    <r>
      <rPr>
        <sz val="7"/>
        <color theme="1"/>
        <rFont val="Times New Roman"/>
        <family val="1"/>
      </rPr>
      <t xml:space="preserve">   </t>
    </r>
    <r>
      <rPr>
        <sz val="14"/>
        <color theme="1"/>
        <rFont val="Times New Roman"/>
        <family val="1"/>
      </rPr>
      <t>Xe máy chuyên dùng có tốc độ thiết kế lớn hơn tốc độ tối thiểu quy định đối với đường cao tốc.</t>
    </r>
  </si>
  <si>
    <r>
      <t>3.</t>
    </r>
    <r>
      <rPr>
        <sz val="7"/>
        <color theme="1"/>
        <rFont val="Times New Roman"/>
        <family val="1"/>
      </rPr>
      <t xml:space="preserve">   </t>
    </r>
    <r>
      <rPr>
        <sz val="14"/>
        <color theme="1"/>
        <rFont val="Times New Roman"/>
        <family val="1"/>
      </rPr>
      <t>Xe ô tô và xe máy chuyên dùng có tốc độ thiết kế lớn hơn 80 km/h.</t>
    </r>
  </si>
  <si>
    <r>
      <t>1.</t>
    </r>
    <r>
      <rPr>
        <sz val="7"/>
        <color theme="1"/>
        <rFont val="Times New Roman"/>
        <family val="1"/>
      </rPr>
      <t xml:space="preserve">   </t>
    </r>
    <r>
      <rPr>
        <sz val="14"/>
        <color theme="1"/>
        <rFont val="Times New Roman"/>
        <family val="1"/>
      </rPr>
      <t>Được đi ngược chiều bất cứ làn đường nào của đường cao tốc có thể đi được.</t>
    </r>
  </si>
  <si>
    <r>
      <t>2.</t>
    </r>
    <r>
      <rPr>
        <sz val="7"/>
        <color theme="1"/>
        <rFont val="Times New Roman"/>
        <family val="1"/>
      </rPr>
      <t xml:space="preserve"> </t>
    </r>
    <r>
      <rPr>
        <u/>
        <sz val="14"/>
        <color theme="1"/>
        <rFont val="Times New Roman"/>
        <family val="1"/>
      </rPr>
      <t xml:space="preserve"> Chỉ được đi ngược chiều trên làn dừng xe khẩn cấp.</t>
    </r>
  </si>
  <si>
    <r>
      <t>3.</t>
    </r>
    <r>
      <rPr>
        <sz val="7"/>
        <color theme="1"/>
        <rFont val="Times New Roman"/>
        <family val="1"/>
      </rPr>
      <t xml:space="preserve">   </t>
    </r>
    <r>
      <rPr>
        <sz val="14"/>
        <color theme="1"/>
        <rFont val="Times New Roman"/>
        <family val="1"/>
      </rPr>
      <t>Chỉ được đi ngược chiều trên làn đường sát dải phân cách của đường cao tốc.</t>
    </r>
  </si>
  <si>
    <r>
      <t>1.</t>
    </r>
    <r>
      <rPr>
        <sz val="7"/>
        <color theme="1"/>
        <rFont val="Times New Roman"/>
        <family val="1"/>
      </rPr>
      <t xml:space="preserve">   </t>
    </r>
    <r>
      <rPr>
        <sz val="14"/>
        <color theme="1"/>
        <rFont val="Times New Roman"/>
        <family val="1"/>
      </rPr>
      <t>Dừng, đỗ xe trên phần đường xe chạy, trừ trường hợp xe không thể di chuyển được vào làn đường khẩn cấp.</t>
    </r>
  </si>
  <si>
    <r>
      <t>2.</t>
    </r>
    <r>
      <rPr>
        <sz val="7"/>
        <color theme="1"/>
        <rFont val="Times New Roman"/>
        <family val="1"/>
      </rPr>
      <t xml:space="preserve">   </t>
    </r>
    <r>
      <rPr>
        <sz val="14"/>
        <color theme="1"/>
        <rFont val="Times New Roman"/>
        <family val="1"/>
      </rPr>
      <t>Lùi xe, quay đầu xe.</t>
    </r>
  </si>
  <si>
    <r>
      <t>1.</t>
    </r>
    <r>
      <rPr>
        <sz val="7"/>
        <color theme="1"/>
        <rFont val="Times New Roman"/>
        <family val="1"/>
      </rPr>
      <t xml:space="preserve">   </t>
    </r>
    <r>
      <rPr>
        <sz val="14"/>
        <color theme="1"/>
        <rFont val="Times New Roman"/>
        <family val="1"/>
      </rPr>
      <t>Bật đèn tín hiệu khẩn cấp, dừng xe ngay lập tức và đặt biển báo hiệu nguy hiểm để cảnh báo cho các xe khác.</t>
    </r>
  </si>
  <si>
    <r>
      <t>2.</t>
    </r>
    <r>
      <rPr>
        <sz val="7"/>
        <color theme="1"/>
        <rFont val="Times New Roman"/>
        <family val="1"/>
      </rPr>
      <t xml:space="preserve">    </t>
    </r>
    <r>
      <rPr>
        <sz val="14"/>
        <color theme="1"/>
        <rFont val="Times New Roman"/>
        <family val="1"/>
      </rPr>
      <t>Bật tín hiệu khẩn cấp, lập tức đưa xe vào làn đường xe chạy bên phải trong cùng, đặt biển báo hiệu nguy hiểm để cảnh báo cho các xe khác.</t>
    </r>
  </si>
  <si>
    <r>
      <t>3.</t>
    </r>
    <r>
      <rPr>
        <sz val="7"/>
        <color theme="1"/>
        <rFont val="Times New Roman"/>
        <family val="1"/>
      </rPr>
      <t xml:space="preserve"> </t>
    </r>
    <r>
      <rPr>
        <u/>
        <sz val="14"/>
        <color theme="1"/>
        <rFont val="Times New Roman"/>
        <family val="1"/>
      </rPr>
      <t xml:space="preserve"> Dừng xe, đỗ xe ở làn dừng khẩn cấp cùng chiều xe chạy và phải có báo hiệu</t>
    </r>
    <r>
      <rPr>
        <sz val="14"/>
        <color theme="1"/>
        <rFont val="Times New Roman"/>
        <family val="1"/>
      </rPr>
      <t xml:space="preserve"> </t>
    </r>
    <r>
      <rPr>
        <u/>
        <sz val="14"/>
        <color theme="1"/>
        <rFont val="Times New Roman"/>
        <family val="1"/>
      </rPr>
      <t>bằng đèn khẩn cấp; trường hợp xe không thể di chuyển được vào làn dừng khẩn</t>
    </r>
    <r>
      <rPr>
        <sz val="14"/>
        <color theme="1"/>
        <rFont val="Times New Roman"/>
        <family val="1"/>
      </rPr>
      <t xml:space="preserve"> </t>
    </r>
    <r>
      <rPr>
        <u/>
        <sz val="14"/>
        <color theme="1"/>
        <rFont val="Times New Roman"/>
        <family val="1"/>
      </rPr>
      <t>cấp, phải có báo hiệu bằng đèn khẩn cấp và đặt biển hoặc đèn cảnh báo về phía</t>
    </r>
    <r>
      <rPr>
        <sz val="14"/>
        <color theme="1"/>
        <rFont val="Times New Roman"/>
        <family val="1"/>
      </rPr>
      <t xml:space="preserve"> </t>
    </r>
    <r>
      <rPr>
        <u/>
        <sz val="14"/>
        <color theme="1"/>
        <rFont val="Times New Roman"/>
        <family val="1"/>
      </rPr>
      <t>sau xe khoảng cách tối thiểu 150 mét, nhanh chóng báo cho cơ quan Cảnh sát giao</t>
    </r>
    <r>
      <rPr>
        <sz val="14"/>
        <color theme="1"/>
        <rFont val="Times New Roman"/>
        <family val="1"/>
      </rPr>
      <t xml:space="preserve"> </t>
    </r>
    <r>
      <rPr>
        <u/>
        <sz val="14"/>
        <color theme="1"/>
        <rFont val="Times New Roman"/>
        <family val="1"/>
      </rPr>
      <t>thông thực hiện nhiệm vụ bảo đảm trật tự, an toàn giao thông trên tuyến hoặc cơ</t>
    </r>
    <r>
      <rPr>
        <sz val="14"/>
        <color theme="1"/>
        <rFont val="Times New Roman"/>
        <family val="1"/>
      </rPr>
      <t xml:space="preserve"> </t>
    </r>
    <r>
      <rPr>
        <u/>
        <sz val="14"/>
        <color theme="1"/>
        <rFont val="Times New Roman"/>
        <family val="1"/>
      </rPr>
      <t>quan quản lý đường cao tốc.</t>
    </r>
  </si>
  <si>
    <r>
      <t>1.</t>
    </r>
    <r>
      <rPr>
        <sz val="7"/>
        <color theme="1"/>
        <rFont val="Times New Roman"/>
        <family val="1"/>
      </rPr>
      <t xml:space="preserve">   </t>
    </r>
    <r>
      <rPr>
        <sz val="14"/>
        <color theme="1"/>
        <rFont val="Times New Roman"/>
        <family val="1"/>
      </rPr>
      <t>Quay đầu xe, chạy trên lề đường có lối ra và rẽ khỏi đường cao tốc.</t>
    </r>
  </si>
  <si>
    <r>
      <t>2.</t>
    </r>
    <r>
      <rPr>
        <sz val="7"/>
        <color theme="1"/>
        <rFont val="Times New Roman"/>
        <family val="1"/>
      </rPr>
      <t xml:space="preserve">   </t>
    </r>
    <r>
      <rPr>
        <sz val="14"/>
        <color theme="1"/>
        <rFont val="Times New Roman"/>
        <family val="1"/>
      </rPr>
      <t>Lùi xe trên lề đường có lối ra và rẽ khỏi đường cao tốc.</t>
    </r>
  </si>
  <si>
    <r>
      <t>3.</t>
    </r>
    <r>
      <rPr>
        <sz val="7"/>
        <color theme="1"/>
        <rFont val="Times New Roman"/>
        <family val="1"/>
      </rPr>
      <t xml:space="preserve"> </t>
    </r>
    <r>
      <rPr>
        <u/>
        <sz val="14"/>
        <color theme="1"/>
        <rFont val="Times New Roman"/>
        <family val="1"/>
      </rPr>
      <t xml:space="preserve"> Tiếp tục lái xe và rẽ ở lối ra tiếp theo.</t>
    </r>
  </si>
  <si>
    <r>
      <t>1.</t>
    </r>
    <r>
      <rPr>
        <sz val="7"/>
        <color theme="1"/>
        <rFont val="Times New Roman"/>
        <family val="1"/>
      </rPr>
      <t xml:space="preserve">   </t>
    </r>
    <r>
      <rPr>
        <sz val="14"/>
        <color theme="1"/>
        <rFont val="Times New Roman"/>
        <family val="1"/>
      </rPr>
      <t>Có.</t>
    </r>
  </si>
  <si>
    <r>
      <t>2.</t>
    </r>
    <r>
      <rPr>
        <sz val="7"/>
        <color theme="1"/>
        <rFont val="Times New Roman"/>
        <family val="1"/>
      </rPr>
      <t xml:space="preserve"> </t>
    </r>
    <r>
      <rPr>
        <u/>
        <sz val="14"/>
        <color theme="1"/>
        <rFont val="Times New Roman"/>
        <family val="1"/>
      </rPr>
      <t xml:space="preserve"> Không.</t>
    </r>
  </si>
  <si>
    <r>
      <t>1.</t>
    </r>
    <r>
      <rPr>
        <sz val="7"/>
        <color theme="1"/>
        <rFont val="Times New Roman"/>
        <family val="1"/>
      </rPr>
      <t xml:space="preserve">   </t>
    </r>
    <r>
      <rPr>
        <sz val="14"/>
        <color theme="1"/>
        <rFont val="Times New Roman"/>
        <family val="1"/>
      </rPr>
      <t>Có tín hiệu xin vào và phải nhường đường cho xe đang chạy trên đường.</t>
    </r>
  </si>
  <si>
    <r>
      <t>2.</t>
    </r>
    <r>
      <rPr>
        <sz val="7"/>
        <color theme="1"/>
        <rFont val="Times New Roman"/>
        <family val="1"/>
      </rPr>
      <t xml:space="preserve">   </t>
    </r>
    <r>
      <rPr>
        <sz val="14"/>
        <color theme="1"/>
        <rFont val="Times New Roman"/>
        <family val="1"/>
      </rPr>
      <t>Quan sát xe phía sau bảo đảm khoảng cách an toàn mới cho xe nhập vào làn đường sát bên phải.</t>
    </r>
  </si>
  <si>
    <r>
      <t>3.</t>
    </r>
    <r>
      <rPr>
        <sz val="7"/>
        <color theme="1"/>
        <rFont val="Times New Roman"/>
        <family val="1"/>
      </rPr>
      <t xml:space="preserve">    </t>
    </r>
    <r>
      <rPr>
        <sz val="14"/>
        <color theme="1"/>
        <rFont val="Times New Roman"/>
        <family val="1"/>
      </rPr>
      <t>Nếu có làn đường tăng tốc thì phải cho xe chạy trên làn đường đó trước khi nhập vào làn đường của đường cao tốc.</t>
    </r>
  </si>
  <si>
    <r>
      <t>1.</t>
    </r>
    <r>
      <rPr>
        <sz val="7"/>
        <color theme="1"/>
        <rFont val="Times New Roman"/>
        <family val="1"/>
      </rPr>
      <t xml:space="preserve"> </t>
    </r>
    <r>
      <rPr>
        <u/>
        <sz val="14"/>
        <color theme="1"/>
        <rFont val="Times New Roman"/>
        <family val="1"/>
      </rPr>
      <t xml:space="preserve"> 18 tuổi.</t>
    </r>
  </si>
  <si>
    <r>
      <t>2.</t>
    </r>
    <r>
      <rPr>
        <sz val="7"/>
        <color theme="1"/>
        <rFont val="Times New Roman"/>
        <family val="1"/>
      </rPr>
      <t xml:space="preserve">   </t>
    </r>
    <r>
      <rPr>
        <sz val="14"/>
        <color theme="1"/>
        <rFont val="Times New Roman"/>
        <family val="1"/>
      </rPr>
      <t>17 tuổi.</t>
    </r>
  </si>
  <si>
    <r>
      <t>3.</t>
    </r>
    <r>
      <rPr>
        <sz val="7"/>
        <color theme="1"/>
        <rFont val="Times New Roman"/>
        <family val="1"/>
      </rPr>
      <t xml:space="preserve">   </t>
    </r>
    <r>
      <rPr>
        <sz val="14"/>
        <color theme="1"/>
        <rFont val="Times New Roman"/>
        <family val="1"/>
      </rPr>
      <t>16 tuổi.</t>
    </r>
  </si>
  <si>
    <r>
      <t>1.</t>
    </r>
    <r>
      <rPr>
        <sz val="7"/>
        <color theme="1"/>
        <rFont val="Times New Roman"/>
        <family val="1"/>
      </rPr>
      <t xml:space="preserve">   </t>
    </r>
    <r>
      <rPr>
        <sz val="14"/>
        <color theme="1"/>
        <rFont val="Times New Roman"/>
        <family val="1"/>
      </rPr>
      <t>16 tuổi.</t>
    </r>
  </si>
  <si>
    <r>
      <t>2.</t>
    </r>
    <r>
      <rPr>
        <sz val="7"/>
        <color theme="1"/>
        <rFont val="Times New Roman"/>
        <family val="1"/>
      </rPr>
      <t xml:space="preserve">   </t>
    </r>
    <r>
      <rPr>
        <sz val="14"/>
        <color theme="1"/>
        <rFont val="Times New Roman"/>
        <family val="1"/>
      </rPr>
      <t>17 tuổi</t>
    </r>
  </si>
  <si>
    <r>
      <t>3.</t>
    </r>
    <r>
      <rPr>
        <sz val="7"/>
        <color theme="1"/>
        <rFont val="Times New Roman"/>
        <family val="1"/>
      </rPr>
      <t xml:space="preserve"> </t>
    </r>
    <r>
      <rPr>
        <u/>
        <sz val="14"/>
        <color theme="1"/>
        <rFont val="Times New Roman"/>
        <family val="1"/>
      </rPr>
      <t xml:space="preserve"> 18 tuổi.</t>
    </r>
  </si>
  <si>
    <r>
      <t>1.</t>
    </r>
    <r>
      <rPr>
        <sz val="7"/>
        <color theme="1"/>
        <rFont val="Times New Roman"/>
        <family val="1"/>
      </rPr>
      <t xml:space="preserve">   </t>
    </r>
    <r>
      <rPr>
        <sz val="14"/>
        <color theme="1"/>
        <rFont val="Times New Roman"/>
        <family val="1"/>
      </rPr>
      <t>23 tuổi.</t>
    </r>
  </si>
  <si>
    <r>
      <t>2.</t>
    </r>
    <r>
      <rPr>
        <sz val="7"/>
        <color theme="1"/>
        <rFont val="Times New Roman"/>
        <family val="1"/>
      </rPr>
      <t xml:space="preserve">   </t>
    </r>
    <r>
      <rPr>
        <sz val="14"/>
        <color theme="1"/>
        <rFont val="Times New Roman"/>
        <family val="1"/>
      </rPr>
      <t>24 tuổi.</t>
    </r>
  </si>
  <si>
    <r>
      <t>3.</t>
    </r>
    <r>
      <rPr>
        <sz val="7"/>
        <color theme="1"/>
        <rFont val="Times New Roman"/>
        <family val="1"/>
      </rPr>
      <t xml:space="preserve"> </t>
    </r>
    <r>
      <rPr>
        <u/>
        <sz val="14"/>
        <color theme="1"/>
        <rFont val="Times New Roman"/>
        <family val="1"/>
      </rPr>
      <t xml:space="preserve"> 27 tuổi.</t>
    </r>
  </si>
  <si>
    <r>
      <t>4.</t>
    </r>
    <r>
      <rPr>
        <sz val="7"/>
        <color theme="1"/>
        <rFont val="Times New Roman"/>
        <family val="1"/>
      </rPr>
      <t xml:space="preserve">   </t>
    </r>
    <r>
      <rPr>
        <sz val="14"/>
        <color theme="1"/>
        <rFont val="Times New Roman"/>
        <family val="1"/>
      </rPr>
      <t>30 tuổi.</t>
    </r>
  </si>
  <si>
    <r>
      <t>1.</t>
    </r>
    <r>
      <rPr>
        <sz val="7"/>
        <color theme="1"/>
        <rFont val="Times New Roman"/>
        <family val="1"/>
      </rPr>
      <t xml:space="preserve">   </t>
    </r>
    <r>
      <rPr>
        <sz val="14"/>
        <color theme="1"/>
        <rFont val="Times New Roman"/>
        <family val="1"/>
      </rPr>
      <t>Đủ 55 tuổi đối với nam và đủ 50 tuổi đối với nữ.</t>
    </r>
  </si>
  <si>
    <r>
      <t>2.</t>
    </r>
    <r>
      <rPr>
        <sz val="7"/>
        <color theme="1"/>
        <rFont val="Times New Roman"/>
        <family val="1"/>
      </rPr>
      <t xml:space="preserve">   </t>
    </r>
    <r>
      <rPr>
        <sz val="14"/>
        <color theme="1"/>
        <rFont val="Times New Roman"/>
        <family val="1"/>
      </rPr>
      <t>Đủ 55 tuổi đối với nam và nữ.</t>
    </r>
  </si>
  <si>
    <r>
      <t>3.</t>
    </r>
    <r>
      <rPr>
        <sz val="7"/>
        <color theme="1"/>
        <rFont val="Times New Roman"/>
        <family val="1"/>
      </rPr>
      <t xml:space="preserve"> </t>
    </r>
    <r>
      <rPr>
        <u/>
        <sz val="14"/>
        <color theme="1"/>
        <rFont val="Times New Roman"/>
        <family val="1"/>
      </rPr>
      <t xml:space="preserve"> Đủ 57 tuổi đối với nam và đủ 55 tuổi đối với nữ.</t>
    </r>
  </si>
  <si>
    <r>
      <t>2.</t>
    </r>
    <r>
      <rPr>
        <sz val="7"/>
        <color theme="1"/>
        <rFont val="Times New Roman"/>
        <family val="1"/>
      </rPr>
      <t xml:space="preserve"> </t>
    </r>
    <r>
      <rPr>
        <u/>
        <sz val="14"/>
        <color theme="1"/>
        <rFont val="Times New Roman"/>
        <family val="1"/>
      </rPr>
      <t xml:space="preserve"> 24 tuổi.</t>
    </r>
  </si>
  <si>
    <r>
      <t>3.</t>
    </r>
    <r>
      <rPr>
        <sz val="7"/>
        <color theme="1"/>
        <rFont val="Times New Roman"/>
        <family val="1"/>
      </rPr>
      <t xml:space="preserve">   </t>
    </r>
    <r>
      <rPr>
        <sz val="14"/>
        <color theme="1"/>
        <rFont val="Times New Roman"/>
        <family val="1"/>
      </rPr>
      <t>22 tuổi.</t>
    </r>
  </si>
  <si>
    <r>
      <t>1.</t>
    </r>
    <r>
      <rPr>
        <sz val="7"/>
        <color theme="1"/>
        <rFont val="Times New Roman"/>
        <family val="1"/>
      </rPr>
      <t xml:space="preserve">   </t>
    </r>
    <r>
      <rPr>
        <sz val="14"/>
        <color theme="1"/>
        <rFont val="Times New Roman"/>
        <family val="1"/>
      </rPr>
      <t>Xe mô tô hai bánh có dung tích xi-lanh đến 125 cm</t>
    </r>
    <r>
      <rPr>
        <vertAlign val="superscript"/>
        <sz val="14"/>
        <color theme="1"/>
        <rFont val="Times New Roman"/>
        <family val="1"/>
      </rPr>
      <t>3</t>
    </r>
    <r>
      <rPr>
        <vertAlign val="subscript"/>
        <sz val="14"/>
        <color theme="1"/>
        <rFont val="Times New Roman"/>
        <family val="1"/>
      </rPr>
      <t>.</t>
    </r>
  </si>
  <si>
    <r>
      <t>2.</t>
    </r>
    <r>
      <rPr>
        <sz val="7"/>
        <color theme="1"/>
        <rFont val="Times New Roman"/>
        <family val="1"/>
      </rPr>
      <t xml:space="preserve"> </t>
    </r>
    <r>
      <rPr>
        <u/>
        <sz val="14"/>
        <color theme="1"/>
        <rFont val="Times New Roman"/>
        <family val="1"/>
      </rPr>
      <t xml:space="preserve"> Xe gắn máy.</t>
    </r>
  </si>
  <si>
    <r>
      <t>3.</t>
    </r>
    <r>
      <rPr>
        <sz val="7"/>
        <color theme="1"/>
        <rFont val="Times New Roman"/>
        <family val="1"/>
      </rPr>
      <t xml:space="preserve">   </t>
    </r>
    <r>
      <rPr>
        <sz val="14"/>
        <color theme="1"/>
        <rFont val="Times New Roman"/>
        <family val="1"/>
      </rPr>
      <t>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t>
    </r>
  </si>
  <si>
    <r>
      <t>1.</t>
    </r>
    <r>
      <rPr>
        <sz val="7"/>
        <color theme="1"/>
        <rFont val="Times New Roman"/>
        <family val="1"/>
      </rPr>
      <t xml:space="preserve">  </t>
    </r>
    <r>
      <rPr>
        <sz val="14"/>
        <color theme="1"/>
        <rFont val="Times New Roman"/>
        <family val="1"/>
      </rPr>
      <t>Xe mô tô hai bánh có dung tích xi-lanh 125 cm</t>
    </r>
    <r>
      <rPr>
        <vertAlign val="superscript"/>
        <sz val="14"/>
        <color theme="1"/>
        <rFont val="Times New Roman"/>
        <family val="1"/>
      </rPr>
      <t>3</t>
    </r>
    <r>
      <rPr>
        <sz val="14"/>
        <color theme="1"/>
        <rFont val="Times New Roman"/>
        <family val="1"/>
      </rPr>
      <t xml:space="preserve"> hoặc có công suất động cơ điện đến 11 kW.</t>
    </r>
  </si>
  <si>
    <r>
      <t>2.</t>
    </r>
    <r>
      <rPr>
        <sz val="7"/>
        <color theme="1"/>
        <rFont val="Times New Roman"/>
        <family val="1"/>
      </rPr>
      <t xml:space="preserve"> </t>
    </r>
    <r>
      <rPr>
        <u/>
        <sz val="14"/>
        <color theme="1"/>
        <rFont val="Times New Roman"/>
        <family val="1"/>
      </rPr>
      <t xml:space="preserve"> Xe mô tô ba bánh.</t>
    </r>
  </si>
  <si>
    <r>
      <t>1.</t>
    </r>
    <r>
      <rPr>
        <sz val="7"/>
        <color theme="1"/>
        <rFont val="Times New Roman"/>
        <family val="1"/>
      </rPr>
      <t xml:space="preserve">  </t>
    </r>
  </si>
  <si>
    <r>
      <t>Xe mô tô hai bánh có dung tích xi-lanh đến 125 cm</t>
    </r>
    <r>
      <rPr>
        <vertAlign val="superscript"/>
        <sz val="14"/>
        <color theme="1"/>
        <rFont val="Times New Roman"/>
        <family val="1"/>
      </rPr>
      <t>3</t>
    </r>
    <r>
      <rPr>
        <sz val="14"/>
        <color theme="1"/>
        <rFont val="Times New Roman"/>
        <family val="1"/>
      </rPr>
      <t xml:space="preserve"> hoặc có công suất động cơ </t>
    </r>
    <r>
      <rPr>
        <u/>
        <sz val="14"/>
        <color theme="1"/>
        <rFont val="Times New Roman"/>
        <family val="1"/>
      </rPr>
      <t>điện đến 11 kW.</t>
    </r>
  </si>
  <si>
    <r>
      <t>2.</t>
    </r>
    <r>
      <rPr>
        <sz val="7"/>
        <color theme="1"/>
        <rFont val="Times New Roman"/>
        <family val="1"/>
      </rPr>
      <t xml:space="preserve">  </t>
    </r>
    <r>
      <rPr>
        <sz val="14"/>
        <color theme="1"/>
        <rFont val="Times New Roman"/>
        <family val="1"/>
      </rPr>
      <t>Xe mô tô ba bánh.</t>
    </r>
  </si>
  <si>
    <r>
      <t>3.</t>
    </r>
    <r>
      <rPr>
        <sz val="7"/>
        <color theme="1"/>
        <rFont val="Times New Roman"/>
        <family val="1"/>
      </rPr>
      <t xml:space="preserve">  </t>
    </r>
    <r>
      <rPr>
        <sz val="14"/>
        <color theme="1"/>
        <rFont val="Times New Roman"/>
        <family val="1"/>
      </rPr>
      <t>Cả hai ý trên.</t>
    </r>
  </si>
  <si>
    <r>
      <t>1.</t>
    </r>
    <r>
      <rPr>
        <sz val="7"/>
        <color theme="1"/>
        <rFont val="Times New Roman"/>
        <family val="1"/>
      </rPr>
      <t xml:space="preserve">   </t>
    </r>
    <r>
      <rPr>
        <sz val="14"/>
        <color theme="1"/>
        <rFont val="Times New Roman"/>
        <family val="1"/>
      </rPr>
      <t>Xe mô tô hai bánh có dung tích xi-lanh đến 125 cm</t>
    </r>
    <r>
      <rPr>
        <vertAlign val="superscript"/>
        <sz val="14"/>
        <color theme="1"/>
        <rFont val="Times New Roman"/>
        <family val="1"/>
      </rPr>
      <t>3</t>
    </r>
    <r>
      <rPr>
        <sz val="14"/>
        <color theme="1"/>
        <rFont val="Times New Roman"/>
        <family val="1"/>
      </rPr>
      <t xml:space="preserve"> hoặc có công suất động cơ điện đến 11 kW.</t>
    </r>
  </si>
  <si>
    <r>
      <t>2.</t>
    </r>
    <r>
      <rPr>
        <sz val="7"/>
        <color theme="1"/>
        <rFont val="Times New Roman"/>
        <family val="1"/>
      </rPr>
      <t xml:space="preserve">   </t>
    </r>
    <r>
      <rPr>
        <sz val="14"/>
        <color theme="1"/>
        <rFont val="Times New Roman"/>
        <family val="1"/>
      </rPr>
      <t>Xe mô tô hai bánh có dung tích xi-lanh trên 125 cm</t>
    </r>
    <r>
      <rPr>
        <vertAlign val="superscript"/>
        <sz val="14"/>
        <color theme="1"/>
        <rFont val="Times New Roman"/>
        <family val="1"/>
      </rPr>
      <t>3</t>
    </r>
    <r>
      <rPr>
        <sz val="14"/>
        <color theme="1"/>
        <rFont val="Times New Roman"/>
        <family val="1"/>
      </rPr>
      <t xml:space="preserve"> hoặc có công suất động cơ điện trên 11 kW.</t>
    </r>
  </si>
  <si>
    <r>
      <t>1.</t>
    </r>
    <r>
      <rPr>
        <sz val="7"/>
        <color theme="1"/>
        <rFont val="Times New Roman"/>
        <family val="1"/>
      </rPr>
      <t xml:space="preserve">   </t>
    </r>
    <r>
      <rPr>
        <sz val="14"/>
        <color theme="1"/>
        <rFont val="Times New Roman"/>
        <family val="1"/>
      </rPr>
      <t>Xe ô tô chở người đến 08 chỗ (không kể chỗ của người lái xe).</t>
    </r>
  </si>
  <si>
    <r>
      <t>2.</t>
    </r>
    <r>
      <rPr>
        <sz val="7"/>
        <color theme="1"/>
        <rFont val="Times New Roman"/>
        <family val="1"/>
      </rPr>
      <t xml:space="preserve">  </t>
    </r>
    <r>
      <rPr>
        <sz val="14"/>
        <color theme="1"/>
        <rFont val="Times New Roman"/>
        <family val="1"/>
      </rPr>
      <t>Xe ô tô tải và ô tô chuyên dùng có khối lượng toàn bộ theo thiết kế đến 3.500 kg.</t>
    </r>
  </si>
  <si>
    <r>
      <t>1.</t>
    </r>
    <r>
      <rPr>
        <sz val="7"/>
        <color theme="1"/>
        <rFont val="Times New Roman"/>
        <family val="1"/>
      </rPr>
      <t xml:space="preserve">   </t>
    </r>
    <r>
      <rPr>
        <sz val="14"/>
        <color theme="1"/>
        <rFont val="Times New Roman"/>
        <family val="1"/>
      </rPr>
      <t>Xe ô tô tải và ô tô chuyên dùng có khối lượng toàn bộ theo thiết kế trên 7.500 kg; các loại xe ô tô tải quy định cho giấy phép lái xe hạng C1 kéo rơ moóc có khối lượng toàn bộ theo thiết kế đến 750 kg.</t>
    </r>
  </si>
  <si>
    <r>
      <t>2.</t>
    </r>
    <r>
      <rPr>
        <sz val="7"/>
        <color theme="1"/>
        <rFont val="Times New Roman"/>
        <family val="1"/>
      </rPr>
      <t xml:space="preserve"> </t>
    </r>
    <r>
      <rPr>
        <u/>
        <sz val="14"/>
        <color theme="1"/>
        <rFont val="Times New Roman"/>
        <family val="1"/>
      </rPr>
      <t xml:space="preserve"> Xe ô tô tải và ô tô chuyên dùng có khối lượng toàn bộ theo thiết kế trên 3.500</t>
    </r>
    <r>
      <rPr>
        <sz val="14"/>
        <color theme="1"/>
        <rFont val="Times New Roman"/>
        <family val="1"/>
      </rPr>
      <t xml:space="preserve"> </t>
    </r>
    <r>
      <rPr>
        <u/>
        <sz val="14"/>
        <color theme="1"/>
        <rFont val="Times New Roman"/>
        <family val="1"/>
      </rPr>
      <t>kg đến 7.500 kg; các loại xe ô tô tải quy định cho giấy phép lái xe hạng C1 kéo rơ</t>
    </r>
    <r>
      <rPr>
        <sz val="14"/>
        <color theme="1"/>
        <rFont val="Times New Roman"/>
        <family val="1"/>
      </rPr>
      <t xml:space="preserve"> </t>
    </r>
    <r>
      <rPr>
        <u/>
        <sz val="14"/>
        <color theme="1"/>
        <rFont val="Times New Roman"/>
        <family val="1"/>
      </rPr>
      <t>moóc có khối lượng toàn bộ theo thiết kế đến 750 kg.</t>
    </r>
  </si>
  <si>
    <r>
      <t>1.</t>
    </r>
    <r>
      <rPr>
        <sz val="7"/>
        <color theme="1"/>
        <rFont val="Times New Roman"/>
        <family val="1"/>
      </rPr>
      <t xml:space="preserve">   </t>
    </r>
    <r>
      <rPr>
        <sz val="14"/>
        <color theme="1"/>
        <rFont val="Times New Roman"/>
        <family val="1"/>
      </rPr>
      <t>Xe ô tô tải và ô tô chuyên dùng có khối lượng toàn bộ theo thiết kế trên 3.500 kg đến 7.500 kg; các loại xe ô tô tải quy định cho giấy phép lái xe hạng C1 kéo rơ moóc có khối lượng toàn bộ theo thiết kế đến 750 kg.</t>
    </r>
  </si>
  <si>
    <r>
      <t>2.</t>
    </r>
    <r>
      <rPr>
        <sz val="7"/>
        <color theme="1"/>
        <rFont val="Times New Roman"/>
        <family val="1"/>
      </rPr>
      <t xml:space="preserve">   </t>
    </r>
    <r>
      <rPr>
        <sz val="14"/>
        <color theme="1"/>
        <rFont val="Times New Roman"/>
        <family val="1"/>
      </rPr>
      <t>Xe ô tô tải và ô tô chuyên dùng có khối lượng toàn bộ theo thiết kế trên 7.500 kg; các loại xe ô tô tải quy định cho giấy phép lái xe hạng C kéo rơ moóc có khối lượng toàn bộ theo thiết kế đến 750 kg.</t>
    </r>
  </si>
  <si>
    <r>
      <t>1.</t>
    </r>
    <r>
      <rPr>
        <sz val="7"/>
        <color theme="1"/>
        <rFont val="Times New Roman"/>
        <family val="1"/>
      </rPr>
      <t xml:space="preserve">   </t>
    </r>
    <r>
      <rPr>
        <sz val="14"/>
        <color theme="1"/>
        <rFont val="Times New Roman"/>
        <family val="1"/>
      </rPr>
      <t>Xe ô tô chở người (kể cả xe buýt) trên 16 chỗ (không kể chỗ của người lái xe) đến 29 chỗ (không kể chỗ của người lái xe); các loại xe ô tô chở người quy định cho giấy phép lái xe hạng D1 kéo rơ moóc có khối lượng toàn bộ theo thiết kế đến 750 kg.</t>
    </r>
  </si>
  <si>
    <r>
      <t>2.</t>
    </r>
    <r>
      <rPr>
        <sz val="7"/>
        <color theme="1"/>
        <rFont val="Times New Roman"/>
        <family val="1"/>
      </rPr>
      <t xml:space="preserve"> </t>
    </r>
    <r>
      <rPr>
        <u/>
        <sz val="14"/>
        <color theme="1"/>
        <rFont val="Times New Roman"/>
        <family val="1"/>
      </rPr>
      <t xml:space="preserve"> Xe ô tô chở người trên 08 chỗ (không kể chỗ của người lái xe) đến 16 chỗ</t>
    </r>
    <r>
      <rPr>
        <sz val="14"/>
        <color theme="1"/>
        <rFont val="Times New Roman"/>
        <family val="1"/>
      </rPr>
      <t xml:space="preserve"> </t>
    </r>
    <r>
      <rPr>
        <u/>
        <sz val="14"/>
        <color theme="1"/>
        <rFont val="Times New Roman"/>
        <family val="1"/>
      </rPr>
      <t>(không kể chỗ của người lái xe); các loại xe ô tô chở người quy định cho giấy</t>
    </r>
    <r>
      <rPr>
        <sz val="14"/>
        <color theme="1"/>
        <rFont val="Times New Roman"/>
        <family val="1"/>
      </rPr>
      <t xml:space="preserve"> </t>
    </r>
    <r>
      <rPr>
        <u/>
        <sz val="14"/>
        <color theme="1"/>
        <rFont val="Times New Roman"/>
        <family val="1"/>
      </rPr>
      <t>phép lái xe hạng D1 kéo rơ moóc có khối lượng toàn bộ theo thiết kế đến 750 kg.</t>
    </r>
  </si>
  <si>
    <r>
      <t>1.</t>
    </r>
    <r>
      <rPr>
        <sz val="7"/>
        <color theme="1"/>
        <rFont val="Times New Roman"/>
        <family val="1"/>
      </rPr>
      <t xml:space="preserve">   </t>
    </r>
    <r>
      <rPr>
        <sz val="14"/>
        <color theme="1"/>
        <rFont val="Times New Roman"/>
        <family val="1"/>
      </rPr>
      <t>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t>
    </r>
  </si>
  <si>
    <r>
      <t>2.</t>
    </r>
    <r>
      <rPr>
        <sz val="7"/>
        <color theme="1"/>
        <rFont val="Times New Roman"/>
        <family val="1"/>
      </rPr>
      <t xml:space="preserve">    </t>
    </r>
    <r>
      <rPr>
        <sz val="14"/>
        <color theme="1"/>
        <rFont val="Times New Roman"/>
        <family val="1"/>
      </rPr>
      <t>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t>
    </r>
  </si>
  <si>
    <r>
      <t>1.</t>
    </r>
    <r>
      <rPr>
        <sz val="7"/>
        <color theme="1"/>
        <rFont val="Times New Roman"/>
        <family val="1"/>
      </rPr>
      <t xml:space="preserve">   </t>
    </r>
    <r>
      <rPr>
        <sz val="14"/>
        <color theme="1"/>
        <rFont val="Times New Roman"/>
        <family val="1"/>
      </rPr>
      <t>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t>
    </r>
  </si>
  <si>
    <r>
      <t>2.</t>
    </r>
    <r>
      <rPr>
        <sz val="7"/>
        <color theme="1"/>
        <rFont val="Times New Roman"/>
        <family val="1"/>
      </rPr>
      <t xml:space="preserve">   </t>
    </r>
    <r>
      <rPr>
        <sz val="14"/>
        <color theme="1"/>
        <rFont val="Times New Roman"/>
        <family val="1"/>
      </rPr>
      <t>Xe ô tô chở người (kể cả xe buýt) trên 16 chỗ (không kể chỗ của người lái xe) đến 29 chỗ (không kể chỗ của người lái xe).</t>
    </r>
  </si>
  <si>
    <r>
      <t>3.</t>
    </r>
    <r>
      <rPr>
        <sz val="7"/>
        <color theme="1"/>
        <rFont val="Times New Roman"/>
        <family val="1"/>
      </rPr>
      <t xml:space="preserve">    </t>
    </r>
    <r>
      <rPr>
        <sz val="14"/>
        <color theme="1"/>
        <rFont val="Times New Roman"/>
        <family val="1"/>
      </rPr>
      <t>Các loại xe ô tô quy định cho giấy phép lái xe hạng C kéo rơ moóc có khối lượng toàn bộ theo thiết kế trên 750 kg; xe ô tô đầu kéo kéo sơ mi rơ moóc.</t>
    </r>
  </si>
  <si>
    <r>
      <t>1.</t>
    </r>
    <r>
      <rPr>
        <sz val="7"/>
        <color theme="1"/>
        <rFont val="Times New Roman"/>
        <family val="1"/>
      </rPr>
      <t xml:space="preserve">   </t>
    </r>
    <r>
      <rPr>
        <sz val="14"/>
        <color theme="1"/>
        <rFont val="Times New Roman"/>
        <family val="1"/>
      </rPr>
      <t>Xe ô tô chở người (kể cả xe buýt) trên 29 chỗ (không kể chỗ của người lái xe); xe ô tô chở người giường nằm.</t>
    </r>
  </si>
  <si>
    <r>
      <t>2.</t>
    </r>
    <r>
      <rPr>
        <sz val="7"/>
        <color theme="1"/>
        <rFont val="Times New Roman"/>
        <family val="1"/>
      </rPr>
      <t xml:space="preserve"> </t>
    </r>
    <r>
      <rPr>
        <u/>
        <sz val="14"/>
        <color theme="1"/>
        <rFont val="Times New Roman"/>
        <family val="1"/>
      </rPr>
      <t xml:space="preserve"> Các loại xe ô tô quy định cho giấy phép lái xe hạng B kéo rơ moóc có khối</t>
    </r>
    <r>
      <rPr>
        <sz val="14"/>
        <color theme="1"/>
        <rFont val="Times New Roman"/>
        <family val="1"/>
      </rPr>
      <t xml:space="preserve"> </t>
    </r>
    <r>
      <rPr>
        <u/>
        <sz val="14"/>
        <color theme="1"/>
        <rFont val="Times New Roman"/>
        <family val="1"/>
      </rPr>
      <t>lượng toàn bộ theo thiết kế trên 750 kg.</t>
    </r>
  </si>
  <si>
    <r>
      <t>3.</t>
    </r>
    <r>
      <rPr>
        <sz val="7"/>
        <color theme="1"/>
        <rFont val="Times New Roman"/>
        <family val="1"/>
      </rPr>
      <t xml:space="preserve">   </t>
    </r>
    <r>
      <rPr>
        <sz val="14"/>
        <color theme="1"/>
        <rFont val="Times New Roman"/>
        <family val="1"/>
      </rPr>
      <t>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t>
    </r>
  </si>
  <si>
    <r>
      <t>1.</t>
    </r>
    <r>
      <rPr>
        <sz val="7"/>
        <color theme="1"/>
        <rFont val="Times New Roman"/>
        <family val="1"/>
      </rPr>
      <t xml:space="preserve"> </t>
    </r>
    <r>
      <rPr>
        <u/>
        <sz val="14"/>
        <color theme="1"/>
        <rFont val="Times New Roman"/>
        <family val="1"/>
      </rPr>
      <t xml:space="preserve"> Các loại xe ô tô quy định cho giấy phép lái xe hạng C kéo rơ moóc có khối</t>
    </r>
    <r>
      <rPr>
        <sz val="14"/>
        <color theme="1"/>
        <rFont val="Times New Roman"/>
        <family val="1"/>
      </rPr>
      <t xml:space="preserve"> </t>
    </r>
    <r>
      <rPr>
        <u/>
        <sz val="14"/>
        <color theme="1"/>
        <rFont val="Times New Roman"/>
        <family val="1"/>
      </rPr>
      <t>lượng toàn bộ theo thiết kế trên 750 kg; xe ô tô đầu kéo kéo sơ mi rơ moóc.</t>
    </r>
  </si>
  <si>
    <r>
      <t>2.</t>
    </r>
    <r>
      <rPr>
        <sz val="7"/>
        <color theme="1"/>
        <rFont val="Times New Roman"/>
        <family val="1"/>
      </rPr>
      <t xml:space="preserve">   </t>
    </r>
    <r>
      <rPr>
        <sz val="14"/>
        <color theme="1"/>
        <rFont val="Times New Roman"/>
        <family val="1"/>
      </rPr>
      <t>Các loại xe ô tô quy định cho giấy phép lái xe hạng D1 kéo rơ moóc có khối lượng toàn bộ theo thiết kế trên 750 kg.</t>
    </r>
  </si>
  <si>
    <r>
      <t>1.</t>
    </r>
    <r>
      <rPr>
        <sz val="7"/>
        <color theme="1"/>
        <rFont val="Times New Roman"/>
        <family val="1"/>
      </rPr>
      <t xml:space="preserve"> </t>
    </r>
    <r>
      <rPr>
        <u/>
        <sz val="14"/>
        <color theme="1"/>
        <rFont val="Times New Roman"/>
        <family val="1"/>
      </rPr>
      <t xml:space="preserve"> Các loại xe ô tô quy định cho giấy phép lái xe hạng D kéo rơ moóc có khối</t>
    </r>
    <r>
      <rPr>
        <sz val="14"/>
        <color theme="1"/>
        <rFont val="Times New Roman"/>
        <family val="1"/>
      </rPr>
      <t xml:space="preserve"> </t>
    </r>
    <r>
      <rPr>
        <u/>
        <sz val="14"/>
        <color theme="1"/>
        <rFont val="Times New Roman"/>
        <family val="1"/>
      </rPr>
      <t>lượng toàn bộ theo thiết kế trên 750 kg; xe ô tô chở khách nối toa.</t>
    </r>
  </si>
  <si>
    <r>
      <t>2.</t>
    </r>
    <r>
      <rPr>
        <sz val="7"/>
        <color theme="1"/>
        <rFont val="Times New Roman"/>
        <family val="1"/>
      </rPr>
      <t xml:space="preserve">    </t>
    </r>
    <r>
      <rPr>
        <sz val="14"/>
        <color theme="1"/>
        <rFont val="Times New Roman"/>
        <family val="1"/>
      </rPr>
      <t>Các loại xe ô tô quy định cho giấy phép lái xe hạng C kéo rơ moóc có khối lượng toàn bộ theo thiết kế trên 750 kg; xe ô tô đầu kéo kéo sơ mi rơ moóc.</t>
    </r>
  </si>
  <si>
    <r>
      <t>1.</t>
    </r>
    <r>
      <rPr>
        <sz val="7"/>
        <color theme="1"/>
        <rFont val="Times New Roman"/>
        <family val="1"/>
      </rPr>
      <t xml:space="preserve"> </t>
    </r>
    <r>
      <rPr>
        <u/>
        <sz val="14"/>
        <color theme="1"/>
        <rFont val="Times New Roman"/>
        <family val="1"/>
      </rPr>
      <t xml:space="preserve"> Phải thực hành trên xe tập lái, trên tuyến đường tập lái và có giáo viên dạy lái</t>
    </r>
    <r>
      <rPr>
        <sz val="14"/>
        <color theme="1"/>
        <rFont val="Times New Roman"/>
        <family val="1"/>
      </rPr>
      <t xml:space="preserve"> </t>
    </r>
    <r>
      <rPr>
        <u/>
        <sz val="14"/>
        <color theme="1"/>
        <rFont val="Times New Roman"/>
        <family val="1"/>
      </rPr>
      <t>bảo trợ tay lái.</t>
    </r>
  </si>
  <si>
    <r>
      <t>2.</t>
    </r>
    <r>
      <rPr>
        <sz val="7"/>
        <color theme="1"/>
        <rFont val="Times New Roman"/>
        <family val="1"/>
      </rPr>
      <t xml:space="preserve">   </t>
    </r>
    <r>
      <rPr>
        <sz val="14"/>
        <color theme="1"/>
        <rFont val="Times New Roman"/>
        <family val="1"/>
      </rPr>
      <t>Phải mang theo giấy phép xe tập lái.</t>
    </r>
  </si>
  <si>
    <r>
      <t>1.</t>
    </r>
    <r>
      <rPr>
        <sz val="7"/>
        <color theme="1"/>
        <rFont val="Times New Roman"/>
        <family val="1"/>
      </rPr>
      <t xml:space="preserve"> </t>
    </r>
    <r>
      <rPr>
        <u/>
        <sz val="14"/>
        <color theme="1"/>
        <rFont val="Times New Roman"/>
        <family val="1"/>
      </rPr>
      <t xml:space="preserve"> Phải đủ tuổi, sức khỏe theo quy định của pháp luật; có giấy phép lái xe đang</t>
    </r>
    <r>
      <rPr>
        <sz val="14"/>
        <color theme="1"/>
        <rFont val="Times New Roman"/>
        <family val="1"/>
      </rPr>
      <t xml:space="preserve"> </t>
    </r>
    <r>
      <rPr>
        <u/>
        <sz val="14"/>
        <color theme="1"/>
        <rFont val="Times New Roman"/>
        <family val="1"/>
      </rPr>
      <t>còn điểm, còn hiệu lực phù hợp với loại xe đang điều khiển do cơ quan có thẩm</t>
    </r>
    <r>
      <rPr>
        <sz val="14"/>
        <color theme="1"/>
        <rFont val="Times New Roman"/>
        <family val="1"/>
      </rPr>
      <t xml:space="preserve"> </t>
    </r>
    <r>
      <rPr>
        <u/>
        <sz val="14"/>
        <color theme="1"/>
        <rFont val="Times New Roman"/>
        <family val="1"/>
      </rPr>
      <t>quyền cấp (trừ người lái xe gắn máy).</t>
    </r>
  </si>
  <si>
    <r>
      <t>2.</t>
    </r>
    <r>
      <rPr>
        <sz val="7"/>
        <color theme="1"/>
        <rFont val="Times New Roman"/>
        <family val="1"/>
      </rPr>
      <t xml:space="preserve">   </t>
    </r>
    <r>
      <rPr>
        <sz val="14"/>
        <color theme="1"/>
        <rFont val="Times New Roman"/>
        <family val="1"/>
      </rPr>
      <t>Phải là người đứng tên trong đăng ký xe.</t>
    </r>
  </si>
  <si>
    <r>
      <t>1.</t>
    </r>
    <r>
      <rPr>
        <sz val="7"/>
        <color theme="1"/>
        <rFont val="Times New Roman"/>
        <family val="1"/>
      </rPr>
      <t xml:space="preserve">   </t>
    </r>
    <r>
      <rPr>
        <sz val="14"/>
        <color theme="1"/>
        <rFont val="Times New Roman"/>
        <family val="1"/>
      </rPr>
      <t>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t>
    </r>
  </si>
  <si>
    <r>
      <t>2.</t>
    </r>
    <r>
      <rPr>
        <sz val="7"/>
        <color theme="1"/>
        <rFont val="Times New Roman"/>
        <family val="1"/>
      </rPr>
      <t xml:space="preserve">   </t>
    </r>
    <r>
      <rPr>
        <sz val="14"/>
        <color theme="1"/>
        <rFont val="Times New Roman"/>
        <family val="1"/>
      </rPr>
      <t>Giấy phép lái xe phù hợp với loại xe đang điều khiển; chứng nhận kiểm định an toàn kỹ thuật và bảo vệ môi trường đối với xe cơ giới theo quy định của pháp luật; chứng nhận bảo hiểm bắt buộc trách nhiệm dân sự của chủ xe cơ giới.</t>
    </r>
  </si>
  <si>
    <r>
      <t>3.</t>
    </r>
    <r>
      <rPr>
        <sz val="7"/>
        <color theme="1"/>
        <rFont val="Times New Roman"/>
        <family val="1"/>
      </rPr>
      <t xml:space="preserve">   </t>
    </r>
    <r>
      <rPr>
        <sz val="14"/>
        <color theme="1"/>
        <rFont val="Times New Roman"/>
        <family val="1"/>
      </rPr>
      <t>Trường hợp các giấy tờ nêu trên đã được tích hợp vào tài khoản định danh điện tử thì việc xuất trình, kiểm tra có thể thực hiện thông qua tài khoản định danh điện tử.</t>
    </r>
  </si>
  <si>
    <r>
      <t>1.</t>
    </r>
    <r>
      <rPr>
        <sz val="7"/>
        <color theme="1"/>
        <rFont val="Times New Roman"/>
        <family val="1"/>
      </rPr>
      <t xml:space="preserve">   </t>
    </r>
    <r>
      <rPr>
        <sz val="14"/>
        <color theme="1"/>
        <rFont val="Times New Roman"/>
        <family val="1"/>
      </rPr>
      <t>Người được cấp giấy phép lái xe không đủ điều kiện sức khỏe theo kết luận của cơ sở khám bệnh, chữa bệnh đối với từng hạng giấy phép lái xe.</t>
    </r>
  </si>
  <si>
    <r>
      <t>2.</t>
    </r>
    <r>
      <rPr>
        <sz val="7"/>
        <color theme="1"/>
        <rFont val="Times New Roman"/>
        <family val="1"/>
      </rPr>
      <t xml:space="preserve">   </t>
    </r>
    <r>
      <rPr>
        <sz val="14"/>
        <color theme="1"/>
        <rFont val="Times New Roman"/>
        <family val="1"/>
      </rPr>
      <t>Giấy phép lái xe được cấp sai quy định.</t>
    </r>
  </si>
  <si>
    <r>
      <t>3.</t>
    </r>
    <r>
      <rPr>
        <sz val="7"/>
        <color theme="1"/>
        <rFont val="Times New Roman"/>
        <family val="1"/>
      </rPr>
      <t xml:space="preserve">   </t>
    </r>
    <r>
      <rPr>
        <sz val="14"/>
        <color theme="1"/>
        <rFont val="Times New Roman"/>
        <family val="1"/>
      </rPr>
      <t>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t>
    </r>
  </si>
  <si>
    <r>
      <t>1.</t>
    </r>
    <r>
      <rPr>
        <sz val="7"/>
        <color theme="1"/>
        <rFont val="Times New Roman"/>
        <family val="1"/>
      </rPr>
      <t xml:space="preserve">   </t>
    </r>
    <r>
      <rPr>
        <sz val="14"/>
        <color theme="1"/>
        <rFont val="Times New Roman"/>
        <family val="1"/>
      </rPr>
      <t>Không được phục hồi.</t>
    </r>
  </si>
  <si>
    <r>
      <t>2.</t>
    </r>
    <r>
      <rPr>
        <sz val="7"/>
        <color theme="1"/>
        <rFont val="Times New Roman"/>
        <family val="1"/>
      </rPr>
      <t xml:space="preserve"> </t>
    </r>
    <r>
      <rPr>
        <u/>
        <sz val="14"/>
        <color theme="1"/>
        <rFont val="Times New Roman"/>
        <family val="1"/>
      </rPr>
      <t xml:space="preserve"> Được phục hồi đủ 12 điểm, nếu không bị trừ điểm trong thời hạn 12 tháng từ</t>
    </r>
    <r>
      <rPr>
        <sz val="14"/>
        <color theme="1"/>
        <rFont val="Times New Roman"/>
        <family val="1"/>
      </rPr>
      <t xml:space="preserve"> </t>
    </r>
    <r>
      <rPr>
        <u/>
        <sz val="14"/>
        <color theme="1"/>
        <rFont val="Times New Roman"/>
        <family val="1"/>
      </rPr>
      <t>ngày bị trừ điểm gần nhất.</t>
    </r>
  </si>
  <si>
    <r>
      <t>1.</t>
    </r>
    <r>
      <rPr>
        <sz val="7"/>
        <color theme="1"/>
        <rFont val="Times New Roman"/>
        <family val="1"/>
      </rPr>
      <t xml:space="preserve">   </t>
    </r>
    <r>
      <rPr>
        <sz val="14"/>
        <color theme="1"/>
        <rFont val="Times New Roman"/>
        <family val="1"/>
      </rPr>
      <t>Không vi phạm pháp luật trật tự, an toàn giao thông đường bộ trong thời gian 12 tháng kể từ ngày bị trừ hết điểm.</t>
    </r>
  </si>
  <si>
    <r>
      <t>2.</t>
    </r>
    <r>
      <rPr>
        <sz val="7"/>
        <color theme="1"/>
        <rFont val="Times New Roman"/>
        <family val="1"/>
      </rPr>
      <t xml:space="preserve"> </t>
    </r>
    <r>
      <rPr>
        <u/>
        <sz val="14"/>
        <color theme="1"/>
        <rFont val="Times New Roman"/>
        <family val="1"/>
      </rPr>
      <t xml:space="preserve"> Sau thời hạn ít nhất là 06 tháng kể từ ngày bị trừ hết điểm, người có phép lái xe</t>
    </r>
    <r>
      <rPr>
        <sz val="14"/>
        <color theme="1"/>
        <rFont val="Times New Roman"/>
        <family val="1"/>
      </rPr>
      <t xml:space="preserve"> </t>
    </r>
    <r>
      <rPr>
        <u/>
        <sz val="14"/>
        <color theme="1"/>
        <rFont val="Times New Roman"/>
        <family val="1"/>
      </rPr>
      <t>được tham gia kiểm tra nội dung kiến thức pháp luật về trật tự, an toàn giao thông</t>
    </r>
    <r>
      <rPr>
        <sz val="14"/>
        <color theme="1"/>
        <rFont val="Times New Roman"/>
        <family val="1"/>
      </rPr>
      <t xml:space="preserve"> </t>
    </r>
    <r>
      <rPr>
        <u/>
        <sz val="14"/>
        <color theme="1"/>
        <rFont val="Times New Roman"/>
        <family val="1"/>
      </rPr>
      <t>đường bộ theo quy định, có kết quả đạt yêu cầu thì được phục hồi đủ 12 điểm.</t>
    </r>
  </si>
  <si>
    <r>
      <t>1.</t>
    </r>
    <r>
      <rPr>
        <sz val="7"/>
        <color theme="1"/>
        <rFont val="Times New Roman"/>
        <family val="1"/>
      </rPr>
      <t xml:space="preserve"> </t>
    </r>
    <r>
      <rPr>
        <u/>
        <sz val="14"/>
        <color theme="1"/>
        <rFont val="Times New Roman"/>
        <family val="1"/>
      </rPr>
      <t xml:space="preserve"> Tiếp tục chịu trách nhiệm của chủ xe.</t>
    </r>
  </si>
  <si>
    <r>
      <t>2.</t>
    </r>
    <r>
      <rPr>
        <sz val="7"/>
        <color theme="1"/>
        <rFont val="Times New Roman"/>
        <family val="1"/>
      </rPr>
      <t xml:space="preserve">   </t>
    </r>
    <r>
      <rPr>
        <sz val="14"/>
        <color theme="1"/>
        <rFont val="Times New Roman"/>
        <family val="1"/>
      </rPr>
      <t>Không chịu trách nhiệm sau khi đã chuyển nhượng, trao đổi, tặng, cho.</t>
    </r>
  </si>
  <si>
    <r>
      <t>1.</t>
    </r>
    <r>
      <rPr>
        <sz val="7"/>
        <color theme="1"/>
        <rFont val="Times New Roman"/>
        <family val="1"/>
      </rPr>
      <t xml:space="preserve">   </t>
    </r>
    <r>
      <rPr>
        <sz val="14"/>
        <color theme="1"/>
        <rFont val="Times New Roman"/>
        <family val="1"/>
      </rPr>
      <t>Xe ô tô kinh doanh vận tải.</t>
    </r>
  </si>
  <si>
    <r>
      <t>2.</t>
    </r>
    <r>
      <rPr>
        <sz val="7"/>
        <color theme="1"/>
        <rFont val="Times New Roman"/>
        <family val="1"/>
      </rPr>
      <t xml:space="preserve">   </t>
    </r>
    <r>
      <rPr>
        <sz val="14"/>
        <color theme="1"/>
        <rFont val="Times New Roman"/>
        <family val="1"/>
      </rPr>
      <t>Xe ô tô chở người từ 08 chỗ trở lên (không kể chỗ của người lái xe) kinh doanh vận tải, xe ô tô đầu kéo, xe cứu thương.</t>
    </r>
  </si>
  <si>
    <r>
      <t>1.</t>
    </r>
    <r>
      <rPr>
        <sz val="7"/>
        <color theme="1"/>
        <rFont val="Times New Roman"/>
        <family val="1"/>
      </rPr>
      <t xml:space="preserve">   </t>
    </r>
    <r>
      <rPr>
        <sz val="14"/>
        <color theme="1"/>
        <rFont val="Times New Roman"/>
        <family val="1"/>
      </rPr>
      <t>50 km/h.</t>
    </r>
  </si>
  <si>
    <r>
      <t>2.</t>
    </r>
    <r>
      <rPr>
        <sz val="7"/>
        <color theme="1"/>
        <rFont val="Times New Roman"/>
        <family val="1"/>
      </rPr>
      <t xml:space="preserve"> </t>
    </r>
    <r>
      <rPr>
        <u/>
        <sz val="14"/>
        <color theme="1"/>
        <rFont val="Times New Roman"/>
        <family val="1"/>
      </rPr>
      <t xml:space="preserve"> 40 km/h.</t>
    </r>
  </si>
  <si>
    <r>
      <t>3.</t>
    </r>
    <r>
      <rPr>
        <sz val="7"/>
        <color theme="1"/>
        <rFont val="Times New Roman"/>
        <family val="1"/>
      </rPr>
      <t xml:space="preserve">   </t>
    </r>
    <r>
      <rPr>
        <sz val="14"/>
        <color theme="1"/>
        <rFont val="Times New Roman"/>
        <family val="1"/>
      </rPr>
      <t>60 km/h.</t>
    </r>
  </si>
  <si>
    <r>
      <t>1.</t>
    </r>
    <r>
      <rPr>
        <sz val="7"/>
        <color theme="1"/>
        <rFont val="Times New Roman"/>
        <family val="1"/>
      </rPr>
      <t xml:space="preserve"> </t>
    </r>
    <r>
      <rPr>
        <u/>
        <sz val="14"/>
        <color theme="1"/>
        <rFont val="Times New Roman"/>
        <family val="1"/>
      </rPr>
      <t xml:space="preserve"> 60 km/h.</t>
    </r>
  </si>
  <si>
    <r>
      <t>2.</t>
    </r>
    <r>
      <rPr>
        <sz val="7"/>
        <color theme="1"/>
        <rFont val="Times New Roman"/>
        <family val="1"/>
      </rPr>
      <t xml:space="preserve">   </t>
    </r>
    <r>
      <rPr>
        <sz val="14"/>
        <color theme="1"/>
        <rFont val="Times New Roman"/>
        <family val="1"/>
      </rPr>
      <t>50 km/h.</t>
    </r>
  </si>
  <si>
    <r>
      <t>3.</t>
    </r>
    <r>
      <rPr>
        <sz val="7"/>
        <color theme="1"/>
        <rFont val="Times New Roman"/>
        <family val="1"/>
      </rPr>
      <t xml:space="preserve">   </t>
    </r>
    <r>
      <rPr>
        <sz val="14"/>
        <color theme="1"/>
        <rFont val="Times New Roman"/>
        <family val="1"/>
      </rPr>
      <t>40 km/h.</t>
    </r>
  </si>
  <si>
    <r>
      <t>1.</t>
    </r>
    <r>
      <rPr>
        <sz val="7"/>
        <color theme="1"/>
        <rFont val="Times New Roman"/>
        <family val="1"/>
      </rPr>
      <t xml:space="preserve">   </t>
    </r>
    <r>
      <rPr>
        <sz val="14"/>
        <color theme="1"/>
        <rFont val="Times New Roman"/>
        <family val="1"/>
      </rPr>
      <t>60 km/h.</t>
    </r>
  </si>
  <si>
    <r>
      <t>2.</t>
    </r>
    <r>
      <rPr>
        <sz val="7"/>
        <color theme="1"/>
        <rFont val="Times New Roman"/>
        <family val="1"/>
      </rPr>
      <t xml:space="preserve"> </t>
    </r>
    <r>
      <rPr>
        <u/>
        <sz val="14"/>
        <color theme="1"/>
        <rFont val="Times New Roman"/>
        <family val="1"/>
      </rPr>
      <t xml:space="preserve"> 50 km/h.</t>
    </r>
  </si>
  <si>
    <r>
      <t>1.</t>
    </r>
    <r>
      <rPr>
        <sz val="7"/>
        <color theme="1"/>
        <rFont val="Times New Roman"/>
        <family val="1"/>
      </rPr>
      <t xml:space="preserve"> </t>
    </r>
    <r>
      <rPr>
        <u/>
        <sz val="14"/>
        <color theme="1"/>
        <rFont val="Times New Roman"/>
        <family val="1"/>
      </rPr>
      <t xml:space="preserve"> Ô tô tải, ô tô chở người trên 28 chỗ không kể chỗ của người lái xe.</t>
    </r>
  </si>
  <si>
    <r>
      <t>2.</t>
    </r>
    <r>
      <rPr>
        <sz val="7"/>
        <color theme="1"/>
        <rFont val="Times New Roman"/>
        <family val="1"/>
      </rPr>
      <t xml:space="preserve">   </t>
    </r>
    <r>
      <rPr>
        <sz val="14"/>
        <color theme="1"/>
        <rFont val="Times New Roman"/>
        <family val="1"/>
      </rPr>
      <t>Xe gắn máy, xe máy chuyên dùng.</t>
    </r>
  </si>
  <si>
    <r>
      <t>1.</t>
    </r>
    <r>
      <rPr>
        <sz val="7"/>
        <color theme="1"/>
        <rFont val="Times New Roman"/>
        <family val="1"/>
      </rPr>
      <t xml:space="preserve"> </t>
    </r>
    <r>
      <rPr>
        <u/>
        <sz val="14"/>
        <color theme="1"/>
        <rFont val="Times New Roman"/>
        <family val="1"/>
      </rPr>
      <t xml:space="preserve"> Ô tô tải, ô tô chở người trên 28 chỗ không kể chỗ của người lái xe</t>
    </r>
    <r>
      <rPr>
        <sz val="14"/>
        <color theme="1"/>
        <rFont val="Times New Roman"/>
        <family val="1"/>
      </rPr>
      <t>.</t>
    </r>
  </si>
  <si>
    <r>
      <t>1.</t>
    </r>
    <r>
      <rPr>
        <sz val="7"/>
        <color theme="1"/>
        <rFont val="Times New Roman"/>
        <family val="1"/>
      </rPr>
      <t xml:space="preserve"> </t>
    </r>
    <r>
      <rPr>
        <u/>
        <sz val="14"/>
        <color theme="1"/>
        <rFont val="Times New Roman"/>
        <family val="1"/>
      </rPr>
      <t xml:space="preserve"> Xe ô tô chở người đến 28 chỗ không kể chỗ của người lái xe (trừ xe buýt); ô tô</t>
    </r>
    <r>
      <rPr>
        <sz val="14"/>
        <color theme="1"/>
        <rFont val="Times New Roman"/>
        <family val="1"/>
      </rPr>
      <t xml:space="preserve"> </t>
    </r>
    <r>
      <rPr>
        <u/>
        <sz val="14"/>
        <color theme="1"/>
        <rFont val="Times New Roman"/>
        <family val="1"/>
      </rPr>
      <t>tải có trọng tải không lớn hơn 3,5 tấn.</t>
    </r>
  </si>
  <si>
    <r>
      <t>2.</t>
    </r>
    <r>
      <rPr>
        <sz val="7"/>
        <color theme="1"/>
        <rFont val="Times New Roman"/>
        <family val="1"/>
      </rPr>
      <t xml:space="preserve">   </t>
    </r>
    <r>
      <rPr>
        <sz val="14"/>
        <color theme="1"/>
        <rFont val="Times New Roman"/>
        <family val="1"/>
      </rPr>
      <t>Xe ô tô chở người trên 28 chỗ không kể chỗ người lái xe (trừ xe buýt); ô tô tải có trọng tải trên 3,5 tấn (trừ ô tô xi téc).</t>
    </r>
  </si>
  <si>
    <r>
      <t>3.</t>
    </r>
    <r>
      <rPr>
        <sz val="7"/>
        <color theme="1"/>
        <rFont val="Times New Roman"/>
        <family val="1"/>
      </rPr>
      <t xml:space="preserve">   </t>
    </r>
    <r>
      <rPr>
        <sz val="14"/>
        <color theme="1"/>
        <rFont val="Times New Roman"/>
        <family val="1"/>
      </rPr>
      <t>Xe buýt; ô tô đầu kéo kéo sơ mi rơ moóc (trừ ô tô đầu kéo kéo sơ mi rơ moóc xi téc); xe mô tô; ô tô chuyên dùng (trừ ô tô trộn vữa, ô tô trộn bê tông lưu động).</t>
    </r>
  </si>
  <si>
    <r>
      <t>1.</t>
    </r>
    <r>
      <rPr>
        <sz val="7"/>
        <color theme="1"/>
        <rFont val="Times New Roman"/>
        <family val="1"/>
      </rPr>
      <t xml:space="preserve">   </t>
    </r>
    <r>
      <rPr>
        <sz val="14"/>
        <color theme="1"/>
        <rFont val="Times New Roman"/>
        <family val="1"/>
      </rPr>
      <t>Xe ô tô chở người đến 28 chỗ không kể chỗ của người lái xe (trừ xe buýt); ô tô tải có trọng tải không lớn hơn 3,5 tấn.</t>
    </r>
  </si>
  <si>
    <r>
      <t>2.</t>
    </r>
    <r>
      <rPr>
        <sz val="7"/>
        <color theme="1"/>
        <rFont val="Times New Roman"/>
        <family val="1"/>
      </rPr>
      <t xml:space="preserve"> </t>
    </r>
    <r>
      <rPr>
        <u/>
        <sz val="14"/>
        <color theme="1"/>
        <rFont val="Times New Roman"/>
        <family val="1"/>
      </rPr>
      <t xml:space="preserve"> Xe ô tô chở người trên 28 chỗ không kể chỗ người lái xe (trừ xe buýt); ô tô tải</t>
    </r>
    <r>
      <rPr>
        <sz val="14"/>
        <color theme="1"/>
        <rFont val="Times New Roman"/>
        <family val="1"/>
      </rPr>
      <t xml:space="preserve"> </t>
    </r>
    <r>
      <rPr>
        <u/>
        <sz val="14"/>
        <color theme="1"/>
        <rFont val="Times New Roman"/>
        <family val="1"/>
      </rPr>
      <t>có trọng tải trên 3,5 tấn (trừ ô tô xi téc).</t>
    </r>
  </si>
  <si>
    <r>
      <t>4.</t>
    </r>
    <r>
      <rPr>
        <sz val="7"/>
        <color theme="1"/>
        <rFont val="Times New Roman"/>
        <family val="1"/>
      </rPr>
      <t xml:space="preserve">   </t>
    </r>
    <r>
      <rPr>
        <sz val="14"/>
        <color theme="1"/>
        <rFont val="Times New Roman"/>
        <family val="1"/>
      </rPr>
      <t>Ô tô kéo rơ moóc; ô tô kéo xe khác; ô tô trộn vữa, ô tô trộn bê tông lưu động, ô tô xi téc, ô tô đầu kéo kéo sơ mi rơ moóc xi téc, ô tô kéo theo rơ moóc xi téc).</t>
    </r>
  </si>
  <si>
    <r>
      <t>3.</t>
    </r>
    <r>
      <rPr>
        <sz val="7"/>
        <color theme="1"/>
        <rFont val="Times New Roman"/>
        <family val="1"/>
      </rPr>
      <t xml:space="preserve"> </t>
    </r>
    <r>
      <rPr>
        <u/>
        <sz val="14"/>
        <color theme="1"/>
        <rFont val="Times New Roman"/>
        <family val="1"/>
      </rPr>
      <t xml:space="preserve"> Xe buýt; ô tô đầu kéo kéo sơ mi rơ moóc (trừ ô tô đầu kéo kéo sơ mi rơ moóc</t>
    </r>
    <r>
      <rPr>
        <sz val="14"/>
        <color theme="1"/>
        <rFont val="Times New Roman"/>
        <family val="1"/>
      </rPr>
      <t xml:space="preserve"> </t>
    </r>
    <r>
      <rPr>
        <u/>
        <sz val="14"/>
        <color theme="1"/>
        <rFont val="Times New Roman"/>
        <family val="1"/>
      </rPr>
      <t>xi téc); xe mô tô; ô tô chuyên dùng (trừ ô tô trộn vữa, ô tô trộn bê tông lưu động).</t>
    </r>
  </si>
  <si>
    <r>
      <t>4.</t>
    </r>
    <r>
      <rPr>
        <sz val="7"/>
        <color theme="1"/>
        <rFont val="Times New Roman"/>
        <family val="1"/>
      </rPr>
      <t xml:space="preserve">   </t>
    </r>
    <r>
      <rPr>
        <sz val="14"/>
        <color theme="1"/>
        <rFont val="Times New Roman"/>
        <family val="1"/>
      </rPr>
      <t>Ô tô kéo rơ moóc; ô tô kéo xe khác; ô tô trộn vữa, ô tô trộn bê tông lưu động, ô tô xi téc, ô tô đầu kéo kéo sơ mi rơ moóc xi téc, ô tô kéo theo rơ moóc xi téc.</t>
    </r>
  </si>
  <si>
    <r>
      <t>4.</t>
    </r>
    <r>
      <rPr>
        <sz val="7"/>
        <color theme="1"/>
        <rFont val="Times New Roman"/>
        <family val="1"/>
      </rPr>
      <t xml:space="preserve"> </t>
    </r>
    <r>
      <rPr>
        <u/>
        <sz val="14"/>
        <color theme="1"/>
        <rFont val="Times New Roman"/>
        <family val="1"/>
      </rPr>
      <t xml:space="preserve"> Ô tô kéo rơ moóc; ô tô kéo xe khác; ô tô trộn vữa, ô tô trộn bê tông lưu động,</t>
    </r>
    <r>
      <rPr>
        <sz val="14"/>
        <color theme="1"/>
        <rFont val="Times New Roman"/>
        <family val="1"/>
      </rPr>
      <t xml:space="preserve"> </t>
    </r>
    <r>
      <rPr>
        <u/>
        <sz val="14"/>
        <color theme="1"/>
        <rFont val="Times New Roman"/>
        <family val="1"/>
      </rPr>
      <t>ô tô xi téc, ô tô đầu kéo kéo sơ mi rơ moóc xi téc, ô tô kéo theo rơ moóc xi téc.</t>
    </r>
  </si>
  <si>
    <r>
      <t>1.</t>
    </r>
    <r>
      <rPr>
        <sz val="7"/>
        <color theme="1"/>
        <rFont val="Times New Roman"/>
        <family val="1"/>
      </rPr>
      <t xml:space="preserve">   </t>
    </r>
    <r>
      <rPr>
        <sz val="14"/>
        <color theme="1"/>
        <rFont val="Times New Roman"/>
        <family val="1"/>
      </rPr>
      <t>Xe máy chuyên dùng, xe gắn máy và các loại xe tương tự.</t>
    </r>
  </si>
  <si>
    <r>
      <t>2.</t>
    </r>
    <r>
      <rPr>
        <sz val="7"/>
        <color theme="1"/>
        <rFont val="Times New Roman"/>
        <family val="1"/>
      </rPr>
      <t xml:space="preserve">   </t>
    </r>
    <r>
      <rPr>
        <sz val="14"/>
        <color theme="1"/>
        <rFont val="Times New Roman"/>
        <family val="1"/>
      </rPr>
      <t>Xe chở người bốn bánh có gắn động cơ khi tham gia giao thông trong phạm vi và thời gian cho phép hoạt động.</t>
    </r>
  </si>
  <si>
    <r>
      <t>3.</t>
    </r>
    <r>
      <rPr>
        <sz val="7"/>
        <color theme="1"/>
        <rFont val="Times New Roman"/>
        <family val="1"/>
      </rPr>
      <t xml:space="preserve"> </t>
    </r>
    <r>
      <rPr>
        <u/>
        <sz val="14"/>
        <color theme="1"/>
        <rFont val="Times New Roman"/>
        <family val="1"/>
      </rPr>
      <t xml:space="preserve"> Xe chở hàng bốn bánh có gắn động cơ khi tham gia giao thông trong phạm vi</t>
    </r>
    <r>
      <rPr>
        <sz val="14"/>
        <color theme="1"/>
        <rFont val="Times New Roman"/>
        <family val="1"/>
      </rPr>
      <t xml:space="preserve"> </t>
    </r>
    <r>
      <rPr>
        <u/>
        <sz val="14"/>
        <color theme="1"/>
        <rFont val="Times New Roman"/>
        <family val="1"/>
      </rPr>
      <t>và thời gian cho phép hoạt động.</t>
    </r>
  </si>
  <si>
    <r>
      <t>1.</t>
    </r>
    <r>
      <rPr>
        <sz val="7"/>
        <color theme="1"/>
        <rFont val="Times New Roman"/>
        <family val="1"/>
      </rPr>
      <t xml:space="preserve">   </t>
    </r>
    <r>
      <rPr>
        <sz val="14"/>
        <color theme="1"/>
        <rFont val="Times New Roman"/>
        <family val="1"/>
      </rPr>
      <t>35 m.</t>
    </r>
  </si>
  <si>
    <r>
      <t>2.</t>
    </r>
    <r>
      <rPr>
        <sz val="7"/>
        <color theme="1"/>
        <rFont val="Times New Roman"/>
        <family val="1"/>
      </rPr>
      <t xml:space="preserve">   </t>
    </r>
    <r>
      <rPr>
        <sz val="14"/>
        <color theme="1"/>
        <rFont val="Times New Roman"/>
        <family val="1"/>
      </rPr>
      <t>55 m.</t>
    </r>
  </si>
  <si>
    <r>
      <t>3.</t>
    </r>
    <r>
      <rPr>
        <sz val="7"/>
        <color theme="1"/>
        <rFont val="Times New Roman"/>
        <family val="1"/>
      </rPr>
      <t xml:space="preserve"> </t>
    </r>
    <r>
      <rPr>
        <u/>
        <sz val="14"/>
        <color theme="1"/>
        <rFont val="Times New Roman"/>
        <family val="1"/>
      </rPr>
      <t xml:space="preserve"> 70 m.</t>
    </r>
  </si>
  <si>
    <r>
      <t>1.</t>
    </r>
    <r>
      <rPr>
        <sz val="7"/>
        <color theme="1"/>
        <rFont val="Times New Roman"/>
        <family val="1"/>
      </rPr>
      <t xml:space="preserve">   </t>
    </r>
    <r>
      <rPr>
        <sz val="14"/>
        <color theme="1"/>
        <rFont val="Times New Roman"/>
        <family val="1"/>
      </rPr>
      <t>55 m.</t>
    </r>
  </si>
  <si>
    <r>
      <t>2.</t>
    </r>
    <r>
      <rPr>
        <sz val="7"/>
        <color theme="1"/>
        <rFont val="Times New Roman"/>
        <family val="1"/>
      </rPr>
      <t xml:space="preserve">   </t>
    </r>
    <r>
      <rPr>
        <sz val="14"/>
        <color theme="1"/>
        <rFont val="Times New Roman"/>
        <family val="1"/>
      </rPr>
      <t>70 m.</t>
    </r>
  </si>
  <si>
    <r>
      <t>3.</t>
    </r>
    <r>
      <rPr>
        <sz val="7"/>
        <color theme="1"/>
        <rFont val="Times New Roman"/>
        <family val="1"/>
      </rPr>
      <t xml:space="preserve"> </t>
    </r>
    <r>
      <rPr>
        <u/>
        <sz val="14"/>
        <color theme="1"/>
        <rFont val="Times New Roman"/>
        <family val="1"/>
      </rPr>
      <t xml:space="preserve"> 100 m.</t>
    </r>
  </si>
  <si>
    <r>
      <t>1.</t>
    </r>
    <r>
      <rPr>
        <sz val="7"/>
        <color theme="1"/>
        <rFont val="Times New Roman"/>
        <family val="1"/>
      </rPr>
      <t xml:space="preserve"> </t>
    </r>
    <r>
      <rPr>
        <u/>
        <sz val="14"/>
        <color theme="1"/>
        <rFont val="Times New Roman"/>
        <family val="1"/>
      </rPr>
      <t xml:space="preserve"> 55 m.</t>
    </r>
  </si>
  <si>
    <r>
      <t>3.</t>
    </r>
    <r>
      <rPr>
        <sz val="7"/>
        <color theme="1"/>
        <rFont val="Times New Roman"/>
        <family val="1"/>
      </rPr>
      <t xml:space="preserve">   </t>
    </r>
    <r>
      <rPr>
        <sz val="14"/>
        <color theme="1"/>
        <rFont val="Times New Roman"/>
        <family val="1"/>
      </rPr>
      <t>100 m.</t>
    </r>
  </si>
  <si>
    <r>
      <t>1.</t>
    </r>
    <r>
      <rPr>
        <sz val="7"/>
        <color theme="1"/>
        <rFont val="Times New Roman"/>
        <family val="1"/>
      </rPr>
      <t xml:space="preserve"> </t>
    </r>
    <r>
      <rPr>
        <u/>
        <sz val="14"/>
        <color theme="1"/>
        <rFont val="Times New Roman"/>
        <family val="1"/>
      </rPr>
      <t xml:space="preserve"> 35 m.</t>
    </r>
  </si>
  <si>
    <r>
      <t>3.</t>
    </r>
    <r>
      <rPr>
        <sz val="7"/>
        <color theme="1"/>
        <rFont val="Times New Roman"/>
        <family val="1"/>
      </rPr>
      <t xml:space="preserve">   </t>
    </r>
    <r>
      <rPr>
        <sz val="14"/>
        <color theme="1"/>
        <rFont val="Times New Roman"/>
        <family val="1"/>
      </rPr>
      <t>70 m.</t>
    </r>
  </si>
  <si>
    <r>
      <t>1.</t>
    </r>
    <r>
      <rPr>
        <sz val="7"/>
        <color theme="1"/>
        <rFont val="Times New Roman"/>
        <family val="1"/>
      </rPr>
      <t xml:space="preserve">   </t>
    </r>
    <r>
      <rPr>
        <sz val="14"/>
        <color theme="1"/>
        <rFont val="Times New Roman"/>
        <family val="1"/>
      </rPr>
      <t>Chủ động giữ khoảng cách an toàn phù hợp với xe chạy liền trước xe của mình.</t>
    </r>
  </si>
  <si>
    <r>
      <t>2.</t>
    </r>
    <r>
      <rPr>
        <sz val="7"/>
        <color theme="1"/>
        <rFont val="Times New Roman"/>
        <family val="1"/>
      </rPr>
      <t xml:space="preserve">   </t>
    </r>
    <r>
      <rPr>
        <sz val="14"/>
        <color theme="1"/>
        <rFont val="Times New Roman"/>
        <family val="1"/>
      </rPr>
      <t>Bảo đảm khoảng cách an toàn tùy thuộc vào mật độ phương tiện, tình hình giao thông thực tế.</t>
    </r>
  </si>
  <si>
    <r>
      <t>1.</t>
    </r>
    <r>
      <rPr>
        <sz val="7"/>
        <color theme="1"/>
        <rFont val="Times New Roman"/>
        <family val="1"/>
      </rPr>
      <t xml:space="preserve"> </t>
    </r>
    <r>
      <rPr>
        <u/>
        <sz val="14"/>
        <color theme="1"/>
        <rFont val="Times New Roman"/>
        <family val="1"/>
      </rPr>
      <t xml:space="preserve"> Gặp biển báo nguy hiểm và cảnh báo trên đường.</t>
    </r>
  </si>
  <si>
    <r>
      <t>2.</t>
    </r>
    <r>
      <rPr>
        <sz val="7"/>
        <color theme="1"/>
        <rFont val="Times New Roman"/>
        <family val="1"/>
      </rPr>
      <t xml:space="preserve">   </t>
    </r>
    <r>
      <rPr>
        <sz val="14"/>
        <color theme="1"/>
        <rFont val="Times New Roman"/>
        <family val="1"/>
      </rPr>
      <t>Gặp biển chỉ dẫn trên đường.</t>
    </r>
  </si>
  <si>
    <r>
      <t>3.</t>
    </r>
    <r>
      <rPr>
        <sz val="7"/>
        <color theme="1"/>
        <rFont val="Times New Roman"/>
        <family val="1"/>
      </rPr>
      <t xml:space="preserve">   </t>
    </r>
    <r>
      <rPr>
        <sz val="14"/>
        <color theme="1"/>
        <rFont val="Times New Roman"/>
        <family val="1"/>
      </rPr>
      <t>Gặp biển báo hết mọi lệnh cấm.</t>
    </r>
  </si>
  <si>
    <r>
      <t>4.</t>
    </r>
    <r>
      <rPr>
        <sz val="7"/>
        <color theme="1"/>
        <rFont val="Times New Roman"/>
        <family val="1"/>
      </rPr>
      <t xml:space="preserve">   </t>
    </r>
    <r>
      <rPr>
        <sz val="14"/>
        <color theme="1"/>
        <rFont val="Times New Roman"/>
        <family val="1"/>
      </rPr>
      <t>Gặp biển báo hết hạn chế tốc độ tối đa cho phép.</t>
    </r>
  </si>
  <si>
    <r>
      <t>1.</t>
    </r>
    <r>
      <rPr>
        <sz val="7"/>
        <color theme="1"/>
        <rFont val="Times New Roman"/>
        <family val="1"/>
      </rPr>
      <t xml:space="preserve"> </t>
    </r>
    <r>
      <rPr>
        <u/>
        <sz val="14"/>
        <color theme="1"/>
        <rFont val="Times New Roman"/>
        <family val="1"/>
      </rPr>
      <t xml:space="preserve"> Tổ chức phân luồng, điều tiết giao thông, bố trí nơi dừng xe, đỗ xe tại khu vực</t>
    </r>
    <r>
      <rPr>
        <sz val="14"/>
        <color theme="1"/>
        <rFont val="Times New Roman"/>
        <family val="1"/>
      </rPr>
      <t xml:space="preserve"> </t>
    </r>
    <r>
      <rPr>
        <u/>
        <sz val="14"/>
        <color theme="1"/>
        <rFont val="Times New Roman"/>
        <family val="1"/>
      </rPr>
      <t>trường học và tại các điểm trên lộ trình đưa đón trẻ em mầm non, học sinh.</t>
    </r>
  </si>
  <si>
    <r>
      <t>2.</t>
    </r>
    <r>
      <rPr>
        <sz val="7"/>
        <color theme="1"/>
        <rFont val="Times New Roman"/>
        <family val="1"/>
      </rPr>
      <t xml:space="preserve">   </t>
    </r>
    <r>
      <rPr>
        <sz val="14"/>
        <color theme="1"/>
        <rFont val="Times New Roman"/>
        <family val="1"/>
      </rPr>
      <t>Được bố trí xe dẫn đường để bảo đảm an toàn giao thông.</t>
    </r>
  </si>
  <si>
    <r>
      <t>1.</t>
    </r>
    <r>
      <rPr>
        <sz val="7"/>
        <color theme="1"/>
        <rFont val="Times New Roman"/>
        <family val="1"/>
      </rPr>
      <t xml:space="preserve">      </t>
    </r>
    <r>
      <rPr>
        <sz val="14"/>
        <color theme="1"/>
        <rFont val="Times New Roman"/>
        <family val="1"/>
      </rPr>
      <t>Tại nơi có vạch kẻ đường hoặc báo hiệu khác dành cho người đi bộ hoặc tại nơi mà người đi bộ, xe lăn của người khuyết tật đang qua đường.</t>
    </r>
  </si>
  <si>
    <r>
      <t>2.</t>
    </r>
    <r>
      <rPr>
        <sz val="7"/>
        <color theme="1"/>
        <rFont val="Times New Roman"/>
        <family val="1"/>
      </rPr>
      <t xml:space="preserve">    </t>
    </r>
    <r>
      <rPr>
        <sz val="14"/>
        <color theme="1"/>
        <rFont val="Times New Roman"/>
        <family val="1"/>
      </rPr>
      <t>Nơi đường bộ giao nhau cùng mức với đường bộ, đường bộ giao nhau cùng mức với đường sắt; đường hẹp, đường vòng, đường quanh co, đường đèo, dốc.</t>
    </r>
  </si>
  <si>
    <r>
      <t>3.</t>
    </r>
    <r>
      <rPr>
        <sz val="7"/>
        <color theme="1"/>
        <rFont val="Times New Roman"/>
        <family val="1"/>
      </rPr>
      <t xml:space="preserve">  </t>
    </r>
    <r>
      <rPr>
        <sz val="14"/>
        <color theme="1"/>
        <rFont val="Times New Roman"/>
        <family val="1"/>
      </rPr>
      <t>Khu vực có trường học, bệnh viện, bến xe, công trình công cộng tập trung đông người, khu vực đông dân cư, chợ, khu vực đang thi công trên đường bộ, hiện trường vụ tai nạn giao thông đường bộ.</t>
    </r>
  </si>
  <si>
    <r>
      <t>1.</t>
    </r>
    <r>
      <rPr>
        <sz val="7"/>
        <color theme="1"/>
        <rFont val="Times New Roman"/>
        <family val="1"/>
      </rPr>
      <t xml:space="preserve">   </t>
    </r>
    <r>
      <rPr>
        <sz val="14"/>
        <color theme="1"/>
        <rFont val="Times New Roman"/>
        <family val="1"/>
      </rPr>
      <t>Được phép lái xe không hạn chế tốc độ và khoảng cách an toàn tối thiểu với xe phía trước cùng làn đường hoặc phần đường.</t>
    </r>
  </si>
  <si>
    <r>
      <t>2.</t>
    </r>
    <r>
      <rPr>
        <sz val="7"/>
        <color theme="1"/>
        <rFont val="Times New Roman"/>
        <family val="1"/>
      </rPr>
      <t xml:space="preserve">   </t>
    </r>
    <r>
      <rPr>
        <sz val="14"/>
        <color theme="1"/>
        <rFont val="Times New Roman"/>
        <family val="1"/>
      </rPr>
      <t>Được phép lái xe không hạn chế tốc độ và khoảng cách an toàn tối thiểu với xe phía trước cùng làn đường hoặc phần đường khi tham gia giao thông trên đường nhánh.</t>
    </r>
  </si>
  <si>
    <r>
      <t>3.</t>
    </r>
    <r>
      <rPr>
        <sz val="7"/>
        <color theme="1"/>
        <rFont val="Times New Roman"/>
        <family val="1"/>
      </rPr>
      <t xml:space="preserve"> </t>
    </r>
    <r>
      <rPr>
        <u/>
        <sz val="14"/>
        <color theme="1"/>
        <rFont val="Times New Roman"/>
        <family val="1"/>
      </rPr>
      <t xml:space="preserve"> Chấp hành quy định về tốc độ, khoảng cách an toàn tối thiểu với xe phía trước</t>
    </r>
    <r>
      <rPr>
        <sz val="14"/>
        <color theme="1"/>
        <rFont val="Times New Roman"/>
        <family val="1"/>
      </rPr>
      <t xml:space="preserve"> </t>
    </r>
    <r>
      <rPr>
        <u/>
        <sz val="14"/>
        <color theme="1"/>
        <rFont val="Times New Roman"/>
        <family val="1"/>
      </rPr>
      <t>cùng làn đường hoặc phần đường.</t>
    </r>
  </si>
  <si>
    <r>
      <t>1.</t>
    </r>
    <r>
      <rPr>
        <sz val="7"/>
        <color theme="1"/>
        <rFont val="Times New Roman"/>
        <family val="1"/>
      </rPr>
      <t xml:space="preserve">   </t>
    </r>
    <r>
      <rPr>
        <sz val="14"/>
        <color theme="1"/>
        <rFont val="Times New Roman"/>
        <family val="1"/>
      </rPr>
      <t>Tăng tốc độ để nhanh chóng vượt qua xe buýt.</t>
    </r>
  </si>
  <si>
    <r>
      <t>2.</t>
    </r>
    <r>
      <rPr>
        <sz val="7"/>
        <color theme="1"/>
        <rFont val="Times New Roman"/>
        <family val="1"/>
      </rPr>
      <t xml:space="preserve"> </t>
    </r>
    <r>
      <rPr>
        <u/>
        <sz val="14"/>
        <color theme="1"/>
        <rFont val="Times New Roman"/>
        <family val="1"/>
      </rPr>
      <t xml:space="preserve"> Quan sát, giảm tốc độ đi qua xe buýt hoặc dừng lại để bảo đảm an toàn.</t>
    </r>
  </si>
  <si>
    <r>
      <t>1.</t>
    </r>
    <r>
      <rPr>
        <sz val="7"/>
        <color theme="1"/>
        <rFont val="Times New Roman"/>
        <family val="1"/>
      </rPr>
      <t xml:space="preserve"> </t>
    </r>
    <r>
      <rPr>
        <u/>
        <sz val="14"/>
        <color theme="1"/>
        <rFont val="Times New Roman"/>
        <family val="1"/>
      </rPr>
      <t xml:space="preserve"> Đón, trả hành khách đúng nơi quy định; hướng dẫn sử dụng trang thiết bị an</t>
    </r>
    <r>
      <rPr>
        <sz val="14"/>
        <color theme="1"/>
        <rFont val="Times New Roman"/>
        <family val="1"/>
      </rPr>
      <t xml:space="preserve"> </t>
    </r>
    <r>
      <rPr>
        <u/>
        <sz val="14"/>
        <color theme="1"/>
        <rFont val="Times New Roman"/>
        <family val="1"/>
      </rPr>
      <t>toàn trên xe; có biện pháp giữ gìn vệ sinh trong xe; vận chuyển hành khách đúng</t>
    </r>
    <r>
      <rPr>
        <sz val="14"/>
        <color theme="1"/>
        <rFont val="Times New Roman"/>
        <family val="1"/>
      </rPr>
      <t xml:space="preserve"> </t>
    </r>
    <r>
      <rPr>
        <u/>
        <sz val="14"/>
        <color theme="1"/>
        <rFont val="Times New Roman"/>
        <family val="1"/>
      </rPr>
      <t>lịch trình, lộ trình đã đăng ký, trừ trường hợp bất khả kháng; không chở hành</t>
    </r>
    <r>
      <rPr>
        <sz val="14"/>
        <color theme="1"/>
        <rFont val="Times New Roman"/>
        <family val="1"/>
      </rPr>
      <t xml:space="preserve"> </t>
    </r>
    <r>
      <rPr>
        <u/>
        <sz val="14"/>
        <color theme="1"/>
        <rFont val="Times New Roman"/>
        <family val="1"/>
      </rPr>
      <t>khách trên nóc xe, trong khoang chở hành lý hoặc để hành khách đu, bám bên</t>
    </r>
    <r>
      <rPr>
        <sz val="14"/>
        <color theme="1"/>
        <rFont val="Times New Roman"/>
        <family val="1"/>
      </rPr>
      <t xml:space="preserve"> </t>
    </r>
    <r>
      <rPr>
        <u/>
        <sz val="14"/>
        <color theme="1"/>
        <rFont val="Times New Roman"/>
        <family val="1"/>
      </rPr>
      <t>ngoài xe.</t>
    </r>
  </si>
  <si>
    <r>
      <t>2.</t>
    </r>
    <r>
      <rPr>
        <sz val="7"/>
        <color theme="1"/>
        <rFont val="Times New Roman"/>
        <family val="1"/>
      </rPr>
      <t xml:space="preserve">   </t>
    </r>
    <r>
      <rPr>
        <sz val="14"/>
        <color theme="1"/>
        <rFont val="Times New Roman"/>
        <family val="1"/>
      </rPr>
      <t>Đón, trả hành khách theo yêu cầu của hành khách trên xe;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t>
    </r>
  </si>
  <si>
    <r>
      <t>1.</t>
    </r>
    <r>
      <rPr>
        <sz val="7"/>
        <color theme="1"/>
        <rFont val="Times New Roman"/>
        <family val="1"/>
      </rPr>
      <t xml:space="preserve">   </t>
    </r>
    <r>
      <rPr>
        <sz val="14"/>
        <color theme="1"/>
        <rFont val="Times New Roman"/>
        <family val="1"/>
      </rPr>
      <t>Vận chuyển hàng hóa cấm lưu hành.</t>
    </r>
  </si>
  <si>
    <r>
      <t>2.</t>
    </r>
    <r>
      <rPr>
        <sz val="7"/>
        <color theme="1"/>
        <rFont val="Times New Roman"/>
        <family val="1"/>
      </rPr>
      <t xml:space="preserve">   </t>
    </r>
    <r>
      <rPr>
        <sz val="14"/>
        <color theme="1"/>
        <rFont val="Times New Roman"/>
        <family val="1"/>
      </rPr>
      <t>Vận chuyển trái phép hoặc không thực hiện đầy đủ các quy định của pháp luật về vận chuyển hàng hóa nguy hiểm.</t>
    </r>
  </si>
  <si>
    <r>
      <t>3.</t>
    </r>
    <r>
      <rPr>
        <sz val="7"/>
        <color theme="1"/>
        <rFont val="Times New Roman"/>
        <family val="1"/>
      </rPr>
      <t xml:space="preserve">   </t>
    </r>
    <r>
      <rPr>
        <sz val="14"/>
        <color theme="1"/>
        <rFont val="Times New Roman"/>
        <family val="1"/>
      </rPr>
      <t>Vận chuyển động vật hoang dã.</t>
    </r>
  </si>
  <si>
    <r>
      <t>1.</t>
    </r>
    <r>
      <rPr>
        <sz val="7"/>
        <color theme="1"/>
        <rFont val="Times New Roman"/>
        <family val="1"/>
      </rPr>
      <t xml:space="preserve">   </t>
    </r>
    <r>
      <rPr>
        <sz val="14"/>
        <color theme="1"/>
        <rFont val="Times New Roman"/>
        <family val="1"/>
      </rPr>
      <t>Cạnh tranh nhau nhằm tăng lợi nhuận.</t>
    </r>
  </si>
  <si>
    <r>
      <t>2.</t>
    </r>
    <r>
      <rPr>
        <sz val="7"/>
        <color theme="1"/>
        <rFont val="Times New Roman"/>
        <family val="1"/>
      </rPr>
      <t xml:space="preserve">   </t>
    </r>
    <r>
      <rPr>
        <sz val="14"/>
        <color theme="1"/>
        <rFont val="Times New Roman"/>
        <family val="1"/>
      </rPr>
      <t>Giảm giá để thu hút khách.</t>
    </r>
  </si>
  <si>
    <r>
      <t>3.</t>
    </r>
    <r>
      <rPr>
        <sz val="7"/>
        <color theme="1"/>
        <rFont val="Times New Roman"/>
        <family val="1"/>
      </rPr>
      <t xml:space="preserve"> </t>
    </r>
    <r>
      <rPr>
        <u/>
        <sz val="14"/>
        <color theme="1"/>
        <rFont val="Times New Roman"/>
        <family val="1"/>
      </rPr>
      <t xml:space="preserve"> Đe dọa, xúc phạm, tranh giành, lôi kéo hành khách; đe doạ, cưỡng ép hành</t>
    </r>
    <r>
      <rPr>
        <sz val="14"/>
        <color theme="1"/>
        <rFont val="Times New Roman"/>
        <family val="1"/>
      </rPr>
      <t xml:space="preserve"> </t>
    </r>
    <r>
      <rPr>
        <u/>
        <sz val="14"/>
        <color theme="1"/>
        <rFont val="Times New Roman"/>
        <family val="1"/>
      </rPr>
      <t>khách sử dụng dịch vụ ngoài ý muốn; chuyển tải, xuống khách hoặc các hành vi</t>
    </r>
    <r>
      <rPr>
        <sz val="14"/>
        <color theme="1"/>
        <rFont val="Times New Roman"/>
        <family val="1"/>
      </rPr>
      <t xml:space="preserve"> </t>
    </r>
    <r>
      <rPr>
        <u/>
        <sz val="14"/>
        <color theme="1"/>
        <rFont val="Times New Roman"/>
        <family val="1"/>
      </rPr>
      <t>khác nhằm trốn tránh phát hiện xe chở quá tải, quá số người theo quy định của</t>
    </r>
    <r>
      <rPr>
        <sz val="14"/>
        <color theme="1"/>
        <rFont val="Times New Roman"/>
        <family val="1"/>
      </rPr>
      <t xml:space="preserve"> </t>
    </r>
    <r>
      <rPr>
        <u/>
        <sz val="14"/>
        <color theme="1"/>
        <rFont val="Times New Roman"/>
        <family val="1"/>
      </rPr>
      <t>pháp luật.</t>
    </r>
  </si>
  <si>
    <r>
      <t>1.</t>
    </r>
    <r>
      <rPr>
        <sz val="7"/>
        <color theme="1"/>
        <rFont val="Times New Roman"/>
        <family val="1"/>
      </rPr>
      <t xml:space="preserve"> </t>
    </r>
    <r>
      <rPr>
        <u/>
        <sz val="14"/>
        <color theme="1"/>
        <rFont val="Times New Roman"/>
        <family val="1"/>
      </rPr>
      <t xml:space="preserve"> Không quá 4 giờ.</t>
    </r>
  </si>
  <si>
    <r>
      <t>2.</t>
    </r>
    <r>
      <rPr>
        <sz val="7"/>
        <color theme="1"/>
        <rFont val="Times New Roman"/>
        <family val="1"/>
      </rPr>
      <t xml:space="preserve">   </t>
    </r>
    <r>
      <rPr>
        <sz val="14"/>
        <color theme="1"/>
        <rFont val="Times New Roman"/>
        <family val="1"/>
      </rPr>
      <t>Không quá 6 giờ.</t>
    </r>
  </si>
  <si>
    <r>
      <t>3.</t>
    </r>
    <r>
      <rPr>
        <sz val="7"/>
        <color theme="1"/>
        <rFont val="Times New Roman"/>
        <family val="1"/>
      </rPr>
      <t xml:space="preserve">   </t>
    </r>
    <r>
      <rPr>
        <sz val="14"/>
        <color theme="1"/>
        <rFont val="Times New Roman"/>
        <family val="1"/>
      </rPr>
      <t>Không quá 8 giờ.</t>
    </r>
  </si>
  <si>
    <r>
      <t>4.</t>
    </r>
    <r>
      <rPr>
        <sz val="7"/>
        <color theme="1"/>
        <rFont val="Times New Roman"/>
        <family val="1"/>
      </rPr>
      <t xml:space="preserve">   </t>
    </r>
    <r>
      <rPr>
        <sz val="14"/>
        <color theme="1"/>
        <rFont val="Times New Roman"/>
        <family val="1"/>
      </rPr>
      <t>Liên tục tùy thuộc vào sức khỏe và khả năng của người lái xe.</t>
    </r>
  </si>
  <si>
    <r>
      <t>1.</t>
    </r>
    <r>
      <rPr>
        <sz val="7"/>
        <color theme="1"/>
        <rFont val="Times New Roman"/>
        <family val="1"/>
      </rPr>
      <t xml:space="preserve">   </t>
    </r>
    <r>
      <rPr>
        <sz val="14"/>
        <color theme="1"/>
        <rFont val="Times New Roman"/>
        <family val="1"/>
      </rPr>
      <t>Không quá 6 giờ trong một ngày.</t>
    </r>
  </si>
  <si>
    <r>
      <t>2.</t>
    </r>
    <r>
      <rPr>
        <sz val="7"/>
        <color theme="1"/>
        <rFont val="Times New Roman"/>
        <family val="1"/>
      </rPr>
      <t xml:space="preserve">   </t>
    </r>
    <r>
      <rPr>
        <sz val="14"/>
        <color theme="1"/>
        <rFont val="Times New Roman"/>
        <family val="1"/>
      </rPr>
      <t>Không quá 8 giờ trong một ngày.</t>
    </r>
  </si>
  <si>
    <r>
      <t>3.</t>
    </r>
    <r>
      <rPr>
        <sz val="7"/>
        <color theme="1"/>
        <rFont val="Times New Roman"/>
        <family val="1"/>
      </rPr>
      <t xml:space="preserve"> </t>
    </r>
    <r>
      <rPr>
        <u/>
        <sz val="14"/>
        <color theme="1"/>
        <rFont val="Times New Roman"/>
        <family val="1"/>
      </rPr>
      <t xml:space="preserve"> Không quá 10 giờ trong một ngày.</t>
    </r>
  </si>
  <si>
    <r>
      <t>4.</t>
    </r>
    <r>
      <rPr>
        <sz val="7"/>
        <color theme="1"/>
        <rFont val="Times New Roman"/>
        <family val="1"/>
      </rPr>
      <t xml:space="preserve">   </t>
    </r>
    <r>
      <rPr>
        <sz val="14"/>
        <color theme="1"/>
        <rFont val="Times New Roman"/>
        <family val="1"/>
      </rPr>
      <t>Không hạn chế tùy thuộc vào sức khỏe và khả năng của người lái xe.</t>
    </r>
  </si>
  <si>
    <r>
      <t>1.</t>
    </r>
    <r>
      <rPr>
        <sz val="7"/>
        <color theme="1"/>
        <rFont val="Times New Roman"/>
        <family val="1"/>
      </rPr>
      <t xml:space="preserve">   </t>
    </r>
    <r>
      <rPr>
        <sz val="14"/>
        <color theme="1"/>
        <rFont val="Times New Roman"/>
        <family val="1"/>
      </rPr>
      <t>Kiểm tra các điều kiện bảo đảm an toàn của xe.</t>
    </r>
  </si>
  <si>
    <r>
      <t>2.</t>
    </r>
    <r>
      <rPr>
        <sz val="7"/>
        <color theme="1"/>
        <rFont val="Times New Roman"/>
        <family val="1"/>
      </rPr>
      <t xml:space="preserve">   </t>
    </r>
    <r>
      <rPr>
        <sz val="14"/>
        <color theme="1"/>
        <rFont val="Times New Roman"/>
        <family val="1"/>
      </rPr>
      <t>Hướng dẫn cho hành khách về an toàn giao thông đường bộ và thoát hiểm khi gặp sự cố.</t>
    </r>
  </si>
  <si>
    <r>
      <t>3.</t>
    </r>
    <r>
      <rPr>
        <sz val="7"/>
        <color theme="1"/>
        <rFont val="Times New Roman"/>
        <family val="1"/>
      </rPr>
      <t xml:space="preserve">   </t>
    </r>
    <r>
      <rPr>
        <sz val="14"/>
        <color theme="1"/>
        <rFont val="Times New Roman"/>
        <family val="1"/>
      </rPr>
      <t>Kiểm tra nhân thân và hành lý của hành khách đi xe.</t>
    </r>
  </si>
  <si>
    <r>
      <t>1.</t>
    </r>
    <r>
      <rPr>
        <sz val="7"/>
        <color theme="1"/>
        <rFont val="Times New Roman"/>
        <family val="1"/>
      </rPr>
      <t xml:space="preserve">  </t>
    </r>
    <r>
      <rPr>
        <sz val="14"/>
        <color theme="1"/>
        <rFont val="Times New Roman"/>
        <family val="1"/>
      </rPr>
      <t>Có thiết bị ghi nhận hình ảnh trẻ em mầm non, học sinh và thiết bị có chức năng cảnh báo, chống bỏ quên trẻ em trên xe; có niên hạn sử dụng không quá 20 năm; có màu sơn theo quy định của Chính phủ.</t>
    </r>
  </si>
  <si>
    <r>
      <t>2.</t>
    </r>
    <r>
      <rPr>
        <sz val="7"/>
        <color theme="1"/>
        <rFont val="Times New Roman"/>
        <family val="1"/>
      </rPr>
      <t xml:space="preserve">   </t>
    </r>
    <r>
      <rPr>
        <sz val="14"/>
        <color theme="1"/>
        <rFont val="Times New Roman"/>
        <family val="1"/>
      </rPr>
      <t>Có dây đai an toàn phù hợp với lứa tuổi hoặc sử dụng xe có ghế ngồi phù hợp với lứa tuổi theo quy định của pháp luật.</t>
    </r>
  </si>
  <si>
    <r>
      <t>3.</t>
    </r>
    <r>
      <rPr>
        <sz val="7"/>
        <color theme="1"/>
        <rFont val="Times New Roman"/>
        <family val="1"/>
      </rPr>
      <t xml:space="preserve">   </t>
    </r>
    <r>
      <rPr>
        <sz val="14"/>
        <color theme="1"/>
        <rFont val="Times New Roman"/>
        <family val="1"/>
      </rPr>
      <t>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t>
    </r>
  </si>
  <si>
    <r>
      <t>1.</t>
    </r>
    <r>
      <rPr>
        <sz val="7"/>
        <color theme="1"/>
        <rFont val="Times New Roman"/>
        <family val="1"/>
      </rPr>
      <t xml:space="preserve">   </t>
    </r>
    <r>
      <rPr>
        <sz val="14"/>
        <color theme="1"/>
        <rFont val="Times New Roman"/>
        <family val="1"/>
      </rPr>
      <t>Người lái xe phải mang đủ giấy tờ theo quy định của pháp luật.</t>
    </r>
  </si>
  <si>
    <r>
      <t>2.</t>
    </r>
    <r>
      <rPr>
        <sz val="7"/>
        <color theme="1"/>
        <rFont val="Times New Roman"/>
        <family val="1"/>
      </rPr>
      <t xml:space="preserve">   </t>
    </r>
    <r>
      <rPr>
        <sz val="14"/>
        <color theme="1"/>
        <rFont val="Times New Roman"/>
        <family val="1"/>
      </rPr>
      <t>Phương tiện vận chuyển phải có kết cấu phù hợp với loại động vật chuyên chở.</t>
    </r>
  </si>
  <si>
    <r>
      <t>3.</t>
    </r>
    <r>
      <rPr>
        <sz val="7"/>
        <color theme="1"/>
        <rFont val="Times New Roman"/>
        <family val="1"/>
      </rPr>
      <t xml:space="preserve">   </t>
    </r>
    <r>
      <rPr>
        <sz val="14"/>
        <color theme="1"/>
        <rFont val="Times New Roman"/>
        <family val="1"/>
      </rPr>
      <t>Trong quá trình vận chuyển phải chấp hành các quy định của pháp luật về trật tự, an toàn giao thông đường bộ, vệ sinh dịch tễ, phòng dịch và bảo đảm vệ sinh môi trường.</t>
    </r>
  </si>
  <si>
    <r>
      <t>1.</t>
    </r>
    <r>
      <rPr>
        <sz val="7"/>
        <color theme="1"/>
        <rFont val="Times New Roman"/>
        <family val="1"/>
      </rPr>
      <t xml:space="preserve"> </t>
    </r>
    <r>
      <rPr>
        <u/>
        <sz val="14"/>
        <color theme="1"/>
        <rFont val="Times New Roman"/>
        <family val="1"/>
      </rPr>
      <t xml:space="preserve"> Phải có giấy phép vận chuyển; trong trường hợp cần thiết, đơn vị vận chuyển</t>
    </r>
    <r>
      <rPr>
        <sz val="14"/>
        <color theme="1"/>
        <rFont val="Times New Roman"/>
        <family val="1"/>
      </rPr>
      <t xml:space="preserve"> </t>
    </r>
    <r>
      <rPr>
        <u/>
        <sz val="14"/>
        <color theme="1"/>
        <rFont val="Times New Roman"/>
        <family val="1"/>
      </rPr>
      <t>hàng hoá nguy hiểm phải bố trí người áp tải để bảo đảm trật tự, an toàn giao thông</t>
    </r>
    <r>
      <rPr>
        <sz val="14"/>
        <color theme="1"/>
        <rFont val="Times New Roman"/>
        <family val="1"/>
      </rPr>
      <t xml:space="preserve"> </t>
    </r>
    <r>
      <rPr>
        <u/>
        <sz val="14"/>
        <color theme="1"/>
        <rFont val="Times New Roman"/>
        <family val="1"/>
      </rPr>
      <t>đường bộ</t>
    </r>
    <r>
      <rPr>
        <sz val="14"/>
        <color theme="1"/>
        <rFont val="Times New Roman"/>
        <family val="1"/>
      </rPr>
      <t>.</t>
    </r>
  </si>
  <si>
    <r>
      <t>2.</t>
    </r>
    <r>
      <rPr>
        <sz val="7"/>
        <color theme="1"/>
        <rFont val="Times New Roman"/>
        <family val="1"/>
      </rPr>
      <t xml:space="preserve">   </t>
    </r>
    <r>
      <rPr>
        <sz val="14"/>
        <color theme="1"/>
        <rFont val="Times New Roman"/>
        <family val="1"/>
      </rPr>
      <t>Phải có giấy phép vận chuyển; không phải bố trí người áp tải khi tham gia giao thông đường bộ.</t>
    </r>
  </si>
  <si>
    <r>
      <t>1.</t>
    </r>
    <r>
      <rPr>
        <sz val="7"/>
        <color theme="1"/>
        <rFont val="Times New Roman"/>
        <family val="1"/>
      </rPr>
      <t xml:space="preserve">   </t>
    </r>
    <r>
      <rPr>
        <sz val="14"/>
        <color theme="1"/>
        <rFont val="Times New Roman"/>
        <family val="1"/>
      </rPr>
      <t>Phải chấp hành quy định của pháp luật về trật tự, an toàn giao thông đường bộ của Việt Nam. Trường hợp điều ước quốc tế mà nước Cộng hòa xã hội chủ nghĩa Việt Nam là thành viên có quy định khác thì áp dụng theo điều ước quốc tế đó.</t>
    </r>
  </si>
  <si>
    <r>
      <t>2.</t>
    </r>
    <r>
      <rPr>
        <sz val="7"/>
        <color theme="1"/>
        <rFont val="Times New Roman"/>
        <family val="1"/>
      </rPr>
      <t xml:space="preserve">   </t>
    </r>
    <r>
      <rPr>
        <sz val="14"/>
        <color theme="1"/>
        <rFont val="Times New Roman"/>
        <family val="1"/>
      </rPr>
      <t>Tham gia giao thông đúng trong phạm vi, tuyến đường, thời gian đã được cơ quan có thẩm quyền của Việt Nam cấp phép.</t>
    </r>
  </si>
  <si>
    <r>
      <t>3.</t>
    </r>
    <r>
      <rPr>
        <sz val="7"/>
        <color theme="1"/>
        <rFont val="Times New Roman"/>
        <family val="1"/>
      </rPr>
      <t xml:space="preserve">   </t>
    </r>
    <r>
      <rPr>
        <sz val="14"/>
        <color theme="1"/>
        <rFont val="Times New Roman"/>
        <family val="1"/>
      </rPr>
      <t>Xe ô tô của người nước ngoài đăng ký tại nước ngoài có tay lái ở bên phải phải đi theo đoàn và có người, phương tiện hỗ trợ, hướng dẫn giao thông.</t>
    </r>
  </si>
  <si>
    <r>
      <t>1.</t>
    </r>
    <r>
      <rPr>
        <sz val="7"/>
        <color theme="1"/>
        <rFont val="Times New Roman"/>
        <family val="1"/>
      </rPr>
      <t xml:space="preserve">  </t>
    </r>
    <r>
      <rPr>
        <sz val="14"/>
        <color theme="1"/>
        <rFont val="Times New Roman"/>
        <family val="1"/>
      </rPr>
      <t>Kiểm tra điều kiện bảo đảm an toàn của xe trước khi tham gia giao thông đường bộ; mang đủ giấy tờ theo quy định của pháp luật.</t>
    </r>
  </si>
  <si>
    <r>
      <t>2.</t>
    </r>
    <r>
      <rPr>
        <sz val="7"/>
        <color theme="1"/>
        <rFont val="Times New Roman"/>
        <family val="1"/>
      </rPr>
      <t xml:space="preserve">   </t>
    </r>
    <r>
      <rPr>
        <sz val="14"/>
        <color theme="1"/>
        <rFont val="Times New Roman"/>
        <family val="1"/>
      </rPr>
      <t>Kiểm tra việc sắp xếp hàng hóa bảo đảm an toàn; không chở quá số người, chở hành lý, hàng hoá vượt quá khối lượng cho phép hoặc vượt quá khổ giới hạn của xe.</t>
    </r>
  </si>
  <si>
    <r>
      <t>3.</t>
    </r>
    <r>
      <rPr>
        <sz val="7"/>
        <color theme="1"/>
        <rFont val="Times New Roman"/>
        <family val="1"/>
      </rPr>
      <t xml:space="preserve"> </t>
    </r>
    <r>
      <rPr>
        <u/>
        <sz val="14"/>
        <color theme="1"/>
        <rFont val="Times New Roman"/>
        <family val="1"/>
      </rPr>
      <t xml:space="preserve"> Cả hai ý trên</t>
    </r>
    <r>
      <rPr>
        <sz val="14"/>
        <color theme="1"/>
        <rFont val="Times New Roman"/>
        <family val="1"/>
      </rPr>
      <t>.</t>
    </r>
  </si>
  <si>
    <r>
      <t>1.</t>
    </r>
    <r>
      <rPr>
        <sz val="7"/>
        <color theme="1"/>
        <rFont val="Times New Roman"/>
        <family val="1"/>
      </rPr>
      <t xml:space="preserve"> </t>
    </r>
    <r>
      <rPr>
        <u/>
        <sz val="14"/>
        <color theme="1"/>
        <rFont val="Times New Roman"/>
        <family val="1"/>
      </rPr>
      <t xml:space="preserve"> Phải chạy với tốc độ quy định trong giấy phép và phải có báo hiệu kích thước</t>
    </r>
    <r>
      <rPr>
        <sz val="14"/>
        <color theme="1"/>
        <rFont val="Times New Roman"/>
        <family val="1"/>
      </rPr>
      <t xml:space="preserve"> </t>
    </r>
    <r>
      <rPr>
        <u/>
        <sz val="14"/>
        <color theme="1"/>
        <rFont val="Times New Roman"/>
        <family val="1"/>
      </rPr>
      <t>của hàng; trường hợp cần thiết, phải có người, phương tiện hỗ trợ lái xe, cảnh báo</t>
    </r>
    <r>
      <rPr>
        <sz val="14"/>
        <color theme="1"/>
        <rFont val="Times New Roman"/>
        <family val="1"/>
      </rPr>
      <t xml:space="preserve"> </t>
    </r>
    <r>
      <rPr>
        <u/>
        <sz val="14"/>
        <color theme="1"/>
        <rFont val="Times New Roman"/>
        <family val="1"/>
      </rPr>
      <t>cho người, phương tiện tham gia giao thông đường bộ khác và thực hiện các biện</t>
    </r>
    <r>
      <rPr>
        <sz val="14"/>
        <color theme="1"/>
        <rFont val="Times New Roman"/>
        <family val="1"/>
      </rPr>
      <t xml:space="preserve"> </t>
    </r>
    <r>
      <rPr>
        <u/>
        <sz val="14"/>
        <color theme="1"/>
        <rFont val="Times New Roman"/>
        <family val="1"/>
      </rPr>
      <t>pháp bảo đảm an toàn giao thông khi vận chuyển hàng siêu trường, siêu trọng trên</t>
    </r>
    <r>
      <rPr>
        <sz val="14"/>
        <color theme="1"/>
        <rFont val="Times New Roman"/>
        <family val="1"/>
      </rPr>
      <t xml:space="preserve"> </t>
    </r>
    <r>
      <rPr>
        <u/>
        <sz val="14"/>
        <color theme="1"/>
        <rFont val="Times New Roman"/>
        <family val="1"/>
      </rPr>
      <t>đường bộ.</t>
    </r>
  </si>
  <si>
    <r>
      <t>2.</t>
    </r>
    <r>
      <rPr>
        <sz val="7"/>
        <color theme="1"/>
        <rFont val="Times New Roman"/>
        <family val="1"/>
      </rPr>
      <t xml:space="preserve">   </t>
    </r>
    <r>
      <rPr>
        <sz val="14"/>
        <color theme="1"/>
        <rFont val="Times New Roman"/>
        <family val="1"/>
      </rPr>
      <t>Phải chạy với tốc độ quy định trong giấy phép;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dành cho giao thông công cộng.</t>
    </r>
  </si>
  <si>
    <r>
      <t>1.</t>
    </r>
    <r>
      <rPr>
        <sz val="7"/>
        <color theme="1"/>
        <rFont val="Times New Roman"/>
        <family val="1"/>
      </rPr>
      <t xml:space="preserve">   </t>
    </r>
    <r>
      <rPr>
        <sz val="14"/>
        <color theme="1"/>
        <rFont val="Times New Roman"/>
        <family val="1"/>
      </rPr>
      <t>Xe cứu hộ giao thông đường bộ phải có dấu hiệu nhận diện, niêm yết thông tin trên xe, gắn thiết bị giám sát hành trình và thiết bị ghi nhận hình ảnh người lái xe.</t>
    </r>
  </si>
  <si>
    <r>
      <t>2.</t>
    </r>
    <r>
      <rPr>
        <sz val="7"/>
        <color theme="1"/>
        <rFont val="Times New Roman"/>
        <family val="1"/>
      </rPr>
      <t xml:space="preserve">   </t>
    </r>
    <r>
      <rPr>
        <sz val="14"/>
        <color theme="1"/>
        <rFont val="Times New Roman"/>
        <family val="1"/>
      </rPr>
      <t>Phải tuân thủ quy định của pháp luật về khối lượng hàng hóa chuyên chở của xe cứu hộ và khối lượng của xe được cứu hộ ghi trên Chứng nhận kiểm định an toàn kỹ thuật và bảo vệ môi trường.</t>
    </r>
  </si>
  <si>
    <r>
      <t>1.</t>
    </r>
    <r>
      <rPr>
        <sz val="7"/>
        <color theme="1"/>
        <rFont val="Times New Roman"/>
        <family val="1"/>
      </rPr>
      <t xml:space="preserve"> </t>
    </r>
    <r>
      <rPr>
        <u/>
        <sz val="14"/>
        <color theme="1"/>
        <rFont val="Times New Roman"/>
        <family val="1"/>
      </rPr>
      <t xml:space="preserve"> Được khách hàng, xã hội tôn trọng; được đồng nghiệp quý mến, giúp đỡ; được</t>
    </r>
    <r>
      <rPr>
        <sz val="14"/>
        <color theme="1"/>
        <rFont val="Times New Roman"/>
        <family val="1"/>
      </rPr>
      <t xml:space="preserve"> </t>
    </r>
    <r>
      <rPr>
        <u/>
        <sz val="14"/>
        <color theme="1"/>
        <rFont val="Times New Roman"/>
        <family val="1"/>
      </rPr>
      <t>doanh nghiệp tin dùng và đóng góp nhiều cho xã hội; thu hút được khách hàng,</t>
    </r>
    <r>
      <rPr>
        <sz val="14"/>
        <color theme="1"/>
        <rFont val="Times New Roman"/>
        <family val="1"/>
      </rPr>
      <t xml:space="preserve"> </t>
    </r>
    <r>
      <rPr>
        <u/>
        <sz val="14"/>
        <color theme="1"/>
        <rFont val="Times New Roman"/>
        <family val="1"/>
      </rPr>
      <t>góp phần quan trọng trong xây dựng thương hiệu, kinh doanh có hiệu quả cao.</t>
    </r>
  </si>
  <si>
    <r>
      <t>2.</t>
    </r>
    <r>
      <rPr>
        <sz val="7"/>
        <color theme="1"/>
        <rFont val="Times New Roman"/>
        <family val="1"/>
      </rPr>
      <t xml:space="preserve">   </t>
    </r>
    <r>
      <rPr>
        <sz val="14"/>
        <color theme="1"/>
        <rFont val="Times New Roman"/>
        <family val="1"/>
      </rPr>
      <t>Được cộng điểm vào giấy phép lái xe.</t>
    </r>
  </si>
  <si>
    <r>
      <t>1.</t>
    </r>
    <r>
      <rPr>
        <sz val="7"/>
        <color theme="1"/>
        <rFont val="Times New Roman"/>
        <family val="1"/>
      </rPr>
      <t xml:space="preserve"> </t>
    </r>
    <r>
      <rPr>
        <u/>
        <sz val="14"/>
        <color theme="1"/>
        <rFont val="Times New Roman"/>
        <family val="1"/>
      </rPr>
      <t xml:space="preserve"> Luôn tuân thủ pháp luật về trật tự, an toàn giao thông đường bộ, nhường nhịn</t>
    </r>
    <r>
      <rPr>
        <sz val="14"/>
        <color theme="1"/>
        <rFont val="Times New Roman"/>
        <family val="1"/>
      </rPr>
      <t xml:space="preserve"> </t>
    </r>
    <r>
      <rPr>
        <u/>
        <sz val="14"/>
        <color theme="1"/>
        <rFont val="Times New Roman"/>
        <family val="1"/>
      </rPr>
      <t>và giúp đỡ người khác.</t>
    </r>
  </si>
  <si>
    <r>
      <t>2.</t>
    </r>
    <r>
      <rPr>
        <sz val="7"/>
        <color theme="1"/>
        <rFont val="Times New Roman"/>
        <family val="1"/>
      </rPr>
      <t xml:space="preserve">   </t>
    </r>
    <r>
      <rPr>
        <sz val="14"/>
        <color theme="1"/>
        <rFont val="Times New Roman"/>
        <family val="1"/>
      </rPr>
      <t>Đi nhanh, vượt đèn đỏ nếu không có lực lượng Công an.</t>
    </r>
  </si>
  <si>
    <r>
      <t>3.</t>
    </r>
    <r>
      <rPr>
        <sz val="7"/>
        <color theme="1"/>
        <rFont val="Times New Roman"/>
        <family val="1"/>
      </rPr>
      <t xml:space="preserve">   </t>
    </r>
    <r>
      <rPr>
        <sz val="14"/>
        <color theme="1"/>
        <rFont val="Times New Roman"/>
        <family val="1"/>
      </rPr>
      <t>Bấm còi và nháy đèn liên tục để cảnh báo xe khác.</t>
    </r>
  </si>
  <si>
    <r>
      <t>4.</t>
    </r>
    <r>
      <rPr>
        <sz val="7"/>
        <color theme="1"/>
        <rFont val="Times New Roman"/>
        <family val="1"/>
      </rPr>
      <t xml:space="preserve">   </t>
    </r>
    <r>
      <rPr>
        <sz val="14"/>
        <color theme="1"/>
        <rFont val="Times New Roman"/>
        <family val="1"/>
      </rPr>
      <t>Tránh nhường đường để đi nhanh hơn.</t>
    </r>
  </si>
  <si>
    <r>
      <t>1.</t>
    </r>
    <r>
      <rPr>
        <sz val="7"/>
        <color theme="1"/>
        <rFont val="Times New Roman"/>
        <family val="1"/>
      </rPr>
      <t xml:space="preserve">  </t>
    </r>
    <r>
      <rPr>
        <sz val="14"/>
        <color theme="1"/>
        <rFont val="Times New Roman"/>
        <family val="1"/>
      </rPr>
      <t>Quản lý và sử dụng xe tốt; bảo dưỡng xe đúng định kỳ; thực hành tiết kiệm vật tư, nhiên liệu; luôn tu dưỡng bản thân, có lối sống lành mạnh, tác phong làm việc công nghiệp.</t>
    </r>
  </si>
  <si>
    <r>
      <t>2.</t>
    </r>
    <r>
      <rPr>
        <sz val="7"/>
        <color theme="1"/>
        <rFont val="Times New Roman"/>
        <family val="1"/>
      </rPr>
      <t xml:space="preserve">   </t>
    </r>
    <r>
      <rPr>
        <sz val="14"/>
        <color theme="1"/>
        <rFont val="Times New Roman"/>
        <family val="1"/>
      </rPr>
      <t>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r>
  </si>
  <si>
    <r>
      <t>1.</t>
    </r>
    <r>
      <rPr>
        <sz val="7"/>
        <color theme="1"/>
        <rFont val="Times New Roman"/>
        <family val="1"/>
      </rPr>
      <t xml:space="preserve">  </t>
    </r>
    <r>
      <rPr>
        <sz val="14"/>
        <color theme="1"/>
        <rFont val="Times New Roman"/>
        <family val="1"/>
      </rPr>
      <t>Phải có thái độ lịch sự, tôn trọng, thân mật với hành khách; giúp đỡ những người có hoàn cảnh khó khăn, người già, người khuyết tật, phụ nữ có thai, có con nhỏ và trẻ em.</t>
    </r>
  </si>
  <si>
    <r>
      <t>2.</t>
    </r>
    <r>
      <rPr>
        <sz val="7"/>
        <color theme="1"/>
        <rFont val="Times New Roman"/>
        <family val="1"/>
      </rPr>
      <t xml:space="preserve">   </t>
    </r>
    <r>
      <rPr>
        <sz val="14"/>
        <color theme="1"/>
        <rFont val="Times New Roman"/>
        <family val="1"/>
      </rPr>
      <t>Luôn tu dưỡng bản thân, có lối sống lành mạnh, khiêm tốn, có tác phong làm việc công nghiệp, không tham gia vào các tệ nạn xã hội; tôn trọng người cùng tham gia giao thông đường bộ và có ý thức bảo vệ môi trường.</t>
    </r>
  </si>
  <si>
    <r>
      <t>1.</t>
    </r>
    <r>
      <rPr>
        <sz val="7"/>
        <color theme="1"/>
        <rFont val="Times New Roman"/>
        <family val="1"/>
      </rPr>
      <t xml:space="preserve">   </t>
    </r>
    <r>
      <rPr>
        <sz val="14"/>
        <color theme="1"/>
        <rFont val="Times New Roman"/>
        <family val="1"/>
      </rPr>
      <t>Là sự hiểu biết và chấp hành nghiêm chỉnh pháp luật về giao thông, là ý thức trách nhiệm với cộng đồng khi tham gia giao thông.</t>
    </r>
  </si>
  <si>
    <r>
      <t>2.</t>
    </r>
    <r>
      <rPr>
        <sz val="7"/>
        <color theme="1"/>
        <rFont val="Times New Roman"/>
        <family val="1"/>
      </rPr>
      <t xml:space="preserve">   </t>
    </r>
    <r>
      <rPr>
        <sz val="14"/>
        <color theme="1"/>
        <rFont val="Times New Roman"/>
        <family val="1"/>
      </rPr>
      <t>Là sự tôn trọng, nhường nhịn, giúp đỡ và ứng xử có văn hóa giữa những người tham gia giao thông với nhau.</t>
    </r>
  </si>
  <si>
    <r>
      <t>1.</t>
    </r>
    <r>
      <rPr>
        <sz val="7"/>
        <color theme="1"/>
        <rFont val="Times New Roman"/>
        <family val="1"/>
      </rPr>
      <t xml:space="preserve">   </t>
    </r>
    <r>
      <rPr>
        <sz val="14"/>
        <color theme="1"/>
        <rFont val="Times New Roman"/>
        <family val="1"/>
      </rPr>
      <t>Cho xe chạy thật nhanh qua vũng nước.</t>
    </r>
  </si>
  <si>
    <r>
      <t>2.</t>
    </r>
    <r>
      <rPr>
        <sz val="7"/>
        <color theme="1"/>
        <rFont val="Times New Roman"/>
        <family val="1"/>
      </rPr>
      <t xml:space="preserve"> </t>
    </r>
    <r>
      <rPr>
        <u/>
        <sz val="14"/>
        <color theme="1"/>
        <rFont val="Times New Roman"/>
        <family val="1"/>
      </rPr>
      <t xml:space="preserve"> Giảm tốc độ cho xe chạy chậm qua vũng nước.</t>
    </r>
  </si>
  <si>
    <r>
      <t>1.</t>
    </r>
    <r>
      <rPr>
        <sz val="7"/>
        <color theme="1"/>
        <rFont val="Times New Roman"/>
        <family val="1"/>
      </rPr>
      <t xml:space="preserve"> </t>
    </r>
    <r>
      <rPr>
        <u/>
        <sz val="14"/>
        <color theme="1"/>
        <rFont val="Times New Roman"/>
        <family val="1"/>
      </rPr>
      <t xml:space="preserve"> Là thiếu văn hóa giao thông, vi phạm pháp luật về trật tự, an toàn giao thông</t>
    </r>
    <r>
      <rPr>
        <sz val="14"/>
        <color theme="1"/>
        <rFont val="Times New Roman"/>
        <family val="1"/>
      </rPr>
      <t xml:space="preserve"> </t>
    </r>
    <r>
      <rPr>
        <u/>
        <sz val="14"/>
        <color theme="1"/>
        <rFont val="Times New Roman"/>
        <family val="1"/>
      </rPr>
      <t>đường bộ.</t>
    </r>
  </si>
  <si>
    <r>
      <t>2.</t>
    </r>
    <r>
      <rPr>
        <sz val="7"/>
        <color theme="1"/>
        <rFont val="Times New Roman"/>
        <family val="1"/>
      </rPr>
      <t xml:space="preserve">   </t>
    </r>
    <r>
      <rPr>
        <sz val="14"/>
        <color theme="1"/>
        <rFont val="Times New Roman"/>
        <family val="1"/>
      </rPr>
      <t>Là thiếu văn hóa giao thông.</t>
    </r>
  </si>
  <si>
    <r>
      <t>1.</t>
    </r>
    <r>
      <rPr>
        <sz val="7"/>
        <color theme="1"/>
        <rFont val="Times New Roman"/>
        <family val="1"/>
      </rPr>
      <t xml:space="preserve">   </t>
    </r>
    <r>
      <rPr>
        <sz val="14"/>
        <color theme="1"/>
        <rFont val="Times New Roman"/>
        <family val="1"/>
      </rPr>
      <t>Thực hiện cầm máu trực tiếp.</t>
    </r>
  </si>
  <si>
    <r>
      <t>2.</t>
    </r>
    <r>
      <rPr>
        <sz val="7"/>
        <color theme="1"/>
        <rFont val="Times New Roman"/>
        <family val="1"/>
      </rPr>
      <t xml:space="preserve"> </t>
    </r>
    <r>
      <rPr>
        <u/>
        <sz val="14"/>
        <color theme="1"/>
        <rFont val="Times New Roman"/>
        <family val="1"/>
      </rPr>
      <t xml:space="preserve"> Thực hiện cầm máu không trực tiếp (chặn động mạch).</t>
    </r>
  </si>
  <si>
    <r>
      <t>1.</t>
    </r>
    <r>
      <rPr>
        <sz val="7"/>
        <color theme="1"/>
        <rFont val="Times New Roman"/>
        <family val="1"/>
      </rPr>
      <t xml:space="preserve"> </t>
    </r>
    <r>
      <rPr>
        <u/>
        <sz val="14"/>
        <color theme="1"/>
        <rFont val="Times New Roman"/>
        <family val="1"/>
      </rPr>
      <t xml:space="preserve"> Hiểu biết và chấp hành nghiêm chỉnh pháp luật về giao thông đường bộ; có ý</t>
    </r>
    <r>
      <rPr>
        <sz val="14"/>
        <color theme="1"/>
        <rFont val="Times New Roman"/>
        <family val="1"/>
      </rPr>
      <t xml:space="preserve"> </t>
    </r>
    <r>
      <rPr>
        <u/>
        <sz val="14"/>
        <color theme="1"/>
        <rFont val="Times New Roman"/>
        <family val="1"/>
      </rPr>
      <t>thức trách nhiệm với cộng đồng khi tham gia giao thông; tôn trọng, nhường nhịn,</t>
    </r>
    <r>
      <rPr>
        <sz val="14"/>
        <color theme="1"/>
        <rFont val="Times New Roman"/>
        <family val="1"/>
      </rPr>
      <t xml:space="preserve"> </t>
    </r>
    <r>
      <rPr>
        <u/>
        <sz val="14"/>
        <color theme="1"/>
        <rFont val="Times New Roman"/>
        <family val="1"/>
      </rPr>
      <t>giúp đỡ và ứng xử có văn hóa với những người cùng tham gia giao thông</t>
    </r>
    <r>
      <rPr>
        <sz val="14"/>
        <color theme="1"/>
        <rFont val="Times New Roman"/>
        <family val="1"/>
      </rPr>
      <t>.</t>
    </r>
  </si>
  <si>
    <r>
      <t>2.</t>
    </r>
    <r>
      <rPr>
        <sz val="7"/>
        <color theme="1"/>
        <rFont val="Times New Roman"/>
        <family val="1"/>
      </rPr>
      <t xml:space="preserve">   </t>
    </r>
    <r>
      <rPr>
        <sz val="14"/>
        <color theme="1"/>
        <rFont val="Times New Roman"/>
        <family val="1"/>
      </rPr>
      <t>Điều khiển xe vượt quá tốc độ, đi không đúng làn đường.</t>
    </r>
  </si>
  <si>
    <r>
      <t>1.</t>
    </r>
    <r>
      <rPr>
        <sz val="7"/>
        <color theme="1"/>
        <rFont val="Times New Roman"/>
        <family val="1"/>
      </rPr>
      <t xml:space="preserve">   </t>
    </r>
    <r>
      <rPr>
        <sz val="14"/>
        <color theme="1"/>
        <rFont val="Times New Roman"/>
        <family val="1"/>
      </rPr>
      <t>Điều khiển xe đi trên phần đường, làn đường có ít phương tiện tham gia giao thông, chỉ đội mũ bảo hiểm ở nơi có biển báo bắt buộc đội mũ bảo hiểm.</t>
    </r>
  </si>
  <si>
    <r>
      <t>2.</t>
    </r>
    <r>
      <rPr>
        <sz val="7"/>
        <color theme="1"/>
        <rFont val="Times New Roman"/>
        <family val="1"/>
      </rPr>
      <t xml:space="preserve"> </t>
    </r>
    <r>
      <rPr>
        <u/>
        <sz val="14"/>
        <color theme="1"/>
        <rFont val="Times New Roman"/>
        <family val="1"/>
      </rPr>
      <t xml:space="preserve"> Chấp hành hiệu lệnh, chỉ dẫn của người điều khiển giao thông, quy định về tốc</t>
    </r>
    <r>
      <rPr>
        <sz val="14"/>
        <color theme="1"/>
        <rFont val="Times New Roman"/>
        <family val="1"/>
      </rPr>
      <t xml:space="preserve"> </t>
    </r>
    <r>
      <rPr>
        <u/>
        <sz val="14"/>
        <color theme="1"/>
        <rFont val="Times New Roman"/>
        <family val="1"/>
      </rPr>
      <t>độ, tín hiệu đèn, biển báo hiệu, vạch kẻ đường khi lái xe; nhường đường cho người</t>
    </r>
    <r>
      <rPr>
        <sz val="14"/>
        <color theme="1"/>
        <rFont val="Times New Roman"/>
        <family val="1"/>
      </rPr>
      <t xml:space="preserve"> </t>
    </r>
    <r>
      <rPr>
        <u/>
        <sz val="14"/>
        <color theme="1"/>
        <rFont val="Times New Roman"/>
        <family val="1"/>
      </rPr>
      <t>đi bộ, người già, trẻ em, người khuyết tật.</t>
    </r>
  </si>
  <si>
    <r>
      <t>1.</t>
    </r>
    <r>
      <rPr>
        <sz val="7"/>
        <color theme="1"/>
        <rFont val="Times New Roman"/>
        <family val="1"/>
      </rPr>
      <t xml:space="preserve"> </t>
    </r>
    <r>
      <rPr>
        <u/>
        <sz val="14"/>
        <color theme="1"/>
        <rFont val="Times New Roman"/>
        <family val="1"/>
      </rPr>
      <t xml:space="preserve"> Điều khiển xe đi bên phải theo chiều đi của mình; đi đúng phần đường, làn</t>
    </r>
    <r>
      <rPr>
        <sz val="14"/>
        <color theme="1"/>
        <rFont val="Times New Roman"/>
        <family val="1"/>
      </rPr>
      <t xml:space="preserve"> </t>
    </r>
    <r>
      <rPr>
        <u/>
        <sz val="14"/>
        <color theme="1"/>
        <rFont val="Times New Roman"/>
        <family val="1"/>
      </rPr>
      <t>đường quy định; đội mũ bảo hiểm đúng quy chuẩn kỹ thuật quốc gia, cài quai</t>
    </r>
    <r>
      <rPr>
        <sz val="14"/>
        <color theme="1"/>
        <rFont val="Times New Roman"/>
        <family val="1"/>
      </rPr>
      <t xml:space="preserve"> </t>
    </r>
    <r>
      <rPr>
        <u/>
        <sz val="14"/>
        <color theme="1"/>
        <rFont val="Times New Roman"/>
        <family val="1"/>
      </rPr>
      <t>đúng quy cách.</t>
    </r>
  </si>
  <si>
    <r>
      <t>2.</t>
    </r>
    <r>
      <rPr>
        <sz val="7"/>
        <color theme="1"/>
        <rFont val="Times New Roman"/>
        <family val="1"/>
      </rPr>
      <t xml:space="preserve">  </t>
    </r>
    <r>
      <rPr>
        <sz val="14"/>
        <color theme="1"/>
        <rFont val="Times New Roman"/>
        <family val="1"/>
      </rPr>
      <t>Điều khiển xe đi trên phần đường, làn đường có ít phương tiện tham gia giao thông.</t>
    </r>
  </si>
  <si>
    <r>
      <t>1.</t>
    </r>
    <r>
      <rPr>
        <sz val="7"/>
        <color theme="1"/>
        <rFont val="Times New Roman"/>
        <family val="1"/>
      </rPr>
      <t xml:space="preserve"> </t>
    </r>
    <r>
      <rPr>
        <u/>
        <sz val="14"/>
        <color theme="1"/>
        <rFont val="Times New Roman"/>
        <family val="1"/>
      </rPr>
      <t xml:space="preserve"> Điều khiển xe đi bên phải theo chiều đi của mình; đi đúng phần đường, làn</t>
    </r>
    <r>
      <rPr>
        <sz val="14"/>
        <color theme="1"/>
        <rFont val="Times New Roman"/>
        <family val="1"/>
      </rPr>
      <t xml:space="preserve"> </t>
    </r>
    <r>
      <rPr>
        <u/>
        <sz val="14"/>
        <color theme="1"/>
        <rFont val="Times New Roman"/>
        <family val="1"/>
      </rPr>
      <t>đường quy định; dừng, đỗ xe đúng nơi quy định; đã uống rượu, bia thì không lái xe.</t>
    </r>
  </si>
  <si>
    <r>
      <t>2.</t>
    </r>
    <r>
      <rPr>
        <sz val="7"/>
        <color theme="1"/>
        <rFont val="Times New Roman"/>
        <family val="1"/>
      </rPr>
      <t xml:space="preserve">  </t>
    </r>
    <r>
      <rPr>
        <sz val="14"/>
        <color theme="1"/>
        <rFont val="Times New Roman"/>
        <family val="1"/>
      </rPr>
      <t>Điều khiển xe đi trên phần đường, làn đường có ít phương tiện giao thông; dừng xe, đỗ xe ở nơi thuận tiện hoặc theo yêu cầu của hành khách, của người thân.</t>
    </r>
  </si>
  <si>
    <r>
      <t>3.</t>
    </r>
    <r>
      <rPr>
        <sz val="7"/>
        <color theme="1"/>
        <rFont val="Times New Roman"/>
        <family val="1"/>
      </rPr>
      <t xml:space="preserve">   </t>
    </r>
    <r>
      <rPr>
        <sz val="14"/>
        <color theme="1"/>
        <rFont val="Times New Roman"/>
        <family val="1"/>
      </rPr>
      <t>Dừng và đỗ xe ở nơi thuận tiện cho việc chuyên chở hành khách và giao nhận hàng hóa; sử dụng ít rượu, bia thì có thể lái xe.</t>
    </r>
  </si>
  <si>
    <r>
      <t>1.</t>
    </r>
    <r>
      <rPr>
        <sz val="7"/>
        <color theme="1"/>
        <rFont val="Times New Roman"/>
        <family val="1"/>
      </rPr>
      <t xml:space="preserve"> </t>
    </r>
    <r>
      <rPr>
        <u/>
        <sz val="14"/>
        <color theme="1"/>
        <rFont val="Times New Roman"/>
        <family val="1"/>
      </rPr>
      <t xml:space="preserve"> Chỉ bấm còi khi thật sự cần thiết, không bấm còi liên tục hoặc kéo dài, sử</t>
    </r>
    <r>
      <rPr>
        <sz val="14"/>
        <color theme="1"/>
        <rFont val="Times New Roman"/>
        <family val="1"/>
      </rPr>
      <t xml:space="preserve"> </t>
    </r>
    <r>
      <rPr>
        <u/>
        <sz val="14"/>
        <color theme="1"/>
        <rFont val="Times New Roman"/>
        <family val="1"/>
      </rPr>
      <t>dụng còi với mức âm lượng theo quy định.</t>
    </r>
  </si>
  <si>
    <r>
      <t>2.</t>
    </r>
    <r>
      <rPr>
        <sz val="7"/>
        <color theme="1"/>
        <rFont val="Times New Roman"/>
        <family val="1"/>
      </rPr>
      <t xml:space="preserve">   </t>
    </r>
    <r>
      <rPr>
        <sz val="14"/>
        <color theme="1"/>
        <rFont val="Times New Roman"/>
        <family val="1"/>
      </rPr>
      <t>Bấm còi liên tục để các xe khác nhường đường.</t>
    </r>
  </si>
  <si>
    <r>
      <t>3.</t>
    </r>
    <r>
      <rPr>
        <sz val="7"/>
        <color theme="1"/>
        <rFont val="Times New Roman"/>
        <family val="1"/>
      </rPr>
      <t xml:space="preserve">   </t>
    </r>
    <r>
      <rPr>
        <sz val="14"/>
        <color theme="1"/>
        <rFont val="Times New Roman"/>
        <family val="1"/>
      </rPr>
      <t>Bấm còi to khi đi qua khu vực đông dân cư.</t>
    </r>
  </si>
  <si>
    <r>
      <t>4.</t>
    </r>
    <r>
      <rPr>
        <sz val="7"/>
        <color theme="1"/>
        <rFont val="Times New Roman"/>
        <family val="1"/>
      </rPr>
      <t xml:space="preserve">   </t>
    </r>
    <r>
      <rPr>
        <sz val="14"/>
        <color theme="1"/>
        <rFont val="Times New Roman"/>
        <family val="1"/>
      </rPr>
      <t>Không cần dùng còi, tránh gây tiếng ồn là văn minh.</t>
    </r>
  </si>
  <si>
    <r>
      <t>1.</t>
    </r>
    <r>
      <rPr>
        <sz val="7"/>
        <color theme="1"/>
        <rFont val="Times New Roman"/>
        <family val="1"/>
      </rPr>
      <t xml:space="preserve">   </t>
    </r>
    <r>
      <rPr>
        <sz val="14"/>
        <color theme="1"/>
        <rFont val="Times New Roman"/>
        <family val="1"/>
      </rPr>
      <t>Dừng ngay phương tiện, cảnh báo nguy hiểm, giữ nguyên hiện trường, trợ giúp người bị nạn và báo tin cho cơ quan Công an, cơ sở khám bệnh, chữa bệnh.</t>
    </r>
  </si>
  <si>
    <r>
      <t>2.</t>
    </r>
    <r>
      <rPr>
        <sz val="7"/>
        <color theme="1"/>
        <rFont val="Times New Roman"/>
        <family val="1"/>
      </rPr>
      <t xml:space="preserve">    </t>
    </r>
    <r>
      <rPr>
        <sz val="14"/>
        <color theme="1"/>
        <rFont val="Times New Roman"/>
        <family val="1"/>
      </rPr>
      <t>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r>
  </si>
  <si>
    <r>
      <t>3.</t>
    </r>
    <r>
      <rPr>
        <sz val="7"/>
        <color theme="1"/>
        <rFont val="Times New Roman"/>
        <family val="1"/>
      </rPr>
      <t xml:space="preserve">   </t>
    </r>
    <r>
      <rPr>
        <sz val="14"/>
        <color theme="1"/>
        <rFont val="Times New Roman"/>
        <family val="1"/>
      </rPr>
      <t>Cung cấp thông tin xác định danh tính về bản thân, người liên quan đến vụ tai nạn giao thông đường bộ và thông tin liên quan của vụ tai nạn giao thông đường bộ cho cơ quan có thẩm quyền.</t>
    </r>
  </si>
  <si>
    <r>
      <t>1.</t>
    </r>
    <r>
      <rPr>
        <sz val="7"/>
        <color theme="1"/>
        <rFont val="Times New Roman"/>
        <family val="1"/>
      </rPr>
      <t xml:space="preserve"> </t>
    </r>
    <r>
      <rPr>
        <u/>
        <sz val="14"/>
        <color theme="1"/>
        <rFont val="Times New Roman"/>
        <family val="1"/>
      </rPr>
      <t xml:space="preserve"> Giúp đỡ, cứu chữa kịp thời người bị nạn; báo tin ngay cho cơ quan Công an, cơ</t>
    </r>
    <r>
      <rPr>
        <sz val="14"/>
        <color theme="1"/>
        <rFont val="Times New Roman"/>
        <family val="1"/>
      </rPr>
      <t xml:space="preserve"> </t>
    </r>
    <r>
      <rPr>
        <u/>
        <sz val="14"/>
        <color theme="1"/>
        <rFont val="Times New Roman"/>
        <family val="1"/>
      </rPr>
      <t>sở khám bệnh, chữa bệnh hoặc Ủy ban nhân dân nơi gần nhất; tham gia bảo vệ</t>
    </r>
    <r>
      <rPr>
        <sz val="14"/>
        <color theme="1"/>
        <rFont val="Times New Roman"/>
        <family val="1"/>
      </rPr>
      <t xml:space="preserve"> </t>
    </r>
    <r>
      <rPr>
        <u/>
        <sz val="14"/>
        <color theme="1"/>
        <rFont val="Times New Roman"/>
        <family val="1"/>
      </rPr>
      <t>hiện trường; tham gia bảo vệ tài sản của người bị nạn; cung cấp thông tin liên</t>
    </r>
    <r>
      <rPr>
        <sz val="14"/>
        <color theme="1"/>
        <rFont val="Times New Roman"/>
        <family val="1"/>
      </rPr>
      <t xml:space="preserve"> </t>
    </r>
    <r>
      <rPr>
        <u/>
        <sz val="14"/>
        <color theme="1"/>
        <rFont val="Times New Roman"/>
        <family val="1"/>
      </rPr>
      <t>quan về vụ tai nạn theo yêu cầu của cơ quan có thẩm quyền.</t>
    </r>
  </si>
  <si>
    <r>
      <t>2.</t>
    </r>
    <r>
      <rPr>
        <sz val="7"/>
        <color theme="1"/>
        <rFont val="Times New Roman"/>
        <family val="1"/>
      </rPr>
      <t xml:space="preserve">   </t>
    </r>
    <r>
      <rPr>
        <sz val="14"/>
        <color theme="1"/>
        <rFont val="Times New Roman"/>
        <family val="1"/>
      </rPr>
      <t>Chụp lại hình ảnh vụ tai nạn (nếu có thiết bị ghi hình) và nhanh chóng rời khỏi hiện trường vụ tai nạn.</t>
    </r>
  </si>
  <si>
    <r>
      <t>1.</t>
    </r>
    <r>
      <rPr>
        <sz val="7"/>
        <color theme="1"/>
        <rFont val="Times New Roman"/>
        <family val="1"/>
      </rPr>
      <t xml:space="preserve"> </t>
    </r>
    <r>
      <rPr>
        <u/>
        <sz val="14"/>
        <color theme="1"/>
        <rFont val="Times New Roman"/>
        <family val="1"/>
      </rPr>
      <t xml:space="preserve"> Đặt nạn nhân nằm ngửa, khai thông đường thở của nạn nhân; thực hiện các biện</t>
    </r>
    <r>
      <rPr>
        <sz val="14"/>
        <color theme="1"/>
        <rFont val="Times New Roman"/>
        <family val="1"/>
      </rPr>
      <t xml:space="preserve"> </t>
    </r>
    <r>
      <rPr>
        <u/>
        <sz val="14"/>
        <color theme="1"/>
        <rFont val="Times New Roman"/>
        <family val="1"/>
      </rPr>
      <t>pháp hô hấp nhân tạo.</t>
    </r>
  </si>
  <si>
    <r>
      <t>2.</t>
    </r>
    <r>
      <rPr>
        <sz val="7"/>
        <color theme="1"/>
        <rFont val="Times New Roman"/>
        <family val="1"/>
      </rPr>
      <t xml:space="preserve">   </t>
    </r>
    <r>
      <rPr>
        <sz val="14"/>
        <color theme="1"/>
        <rFont val="Times New Roman"/>
        <family val="1"/>
      </rPr>
      <t>Thực hiện các biện pháp hô hấp nhân tạo.</t>
    </r>
  </si>
  <si>
    <r>
      <t>2.</t>
    </r>
    <r>
      <rPr>
        <sz val="7"/>
        <color theme="1"/>
        <rFont val="Times New Roman"/>
        <family val="1"/>
      </rPr>
      <t xml:space="preserve">   </t>
    </r>
    <r>
      <rPr>
        <sz val="14"/>
        <color theme="1"/>
        <rFont val="Times New Roman"/>
        <family val="1"/>
      </rPr>
      <t>Nghiêm cấm tuỳ từng trường hợp cụ thể.</t>
    </r>
  </si>
  <si>
    <r>
      <t>3.</t>
    </r>
    <r>
      <rPr>
        <sz val="7"/>
        <color theme="1"/>
        <rFont val="Times New Roman"/>
        <family val="1"/>
      </rPr>
      <t xml:space="preserve"> </t>
    </r>
    <r>
      <rPr>
        <u/>
        <sz val="14"/>
        <color theme="1"/>
        <rFont val="Times New Roman"/>
        <family val="1"/>
      </rPr>
      <t xml:space="preserve"> Bị nghiêm cấm.</t>
    </r>
  </si>
  <si>
    <r>
      <t>1.</t>
    </r>
    <r>
      <rPr>
        <sz val="7"/>
        <color theme="1"/>
        <rFont val="Times New Roman"/>
        <family val="1"/>
      </rPr>
      <t xml:space="preserve"> </t>
    </r>
    <r>
      <rPr>
        <u/>
        <sz val="14"/>
        <color theme="1"/>
        <rFont val="Times New Roman"/>
        <family val="1"/>
      </rPr>
      <t xml:space="preserve"> Giảm tốc độ và nhường đường cho người đi bộ</t>
    </r>
    <r>
      <rPr>
        <sz val="14"/>
        <color theme="1"/>
        <rFont val="Times New Roman"/>
        <family val="1"/>
      </rPr>
      <t>.</t>
    </r>
  </si>
  <si>
    <r>
      <t>2.</t>
    </r>
    <r>
      <rPr>
        <sz val="7"/>
        <color theme="1"/>
        <rFont val="Times New Roman"/>
        <family val="1"/>
      </rPr>
      <t xml:space="preserve">   </t>
    </r>
    <r>
      <rPr>
        <sz val="14"/>
        <color theme="1"/>
        <rFont val="Times New Roman"/>
        <family val="1"/>
      </rPr>
      <t>Bấm còi để họ đi nhanh hơn.</t>
    </r>
  </si>
  <si>
    <r>
      <t>3.</t>
    </r>
    <r>
      <rPr>
        <sz val="7"/>
        <color theme="1"/>
        <rFont val="Times New Roman"/>
        <family val="1"/>
      </rPr>
      <t xml:space="preserve">   </t>
    </r>
    <r>
      <rPr>
        <sz val="14"/>
        <color theme="1"/>
        <rFont val="Times New Roman"/>
        <family val="1"/>
      </rPr>
      <t>Tiếp tục đi nếu đang vội.</t>
    </r>
  </si>
  <si>
    <r>
      <t>4.</t>
    </r>
    <r>
      <rPr>
        <sz val="7"/>
        <color theme="1"/>
        <rFont val="Times New Roman"/>
        <family val="1"/>
      </rPr>
      <t xml:space="preserve">   </t>
    </r>
    <r>
      <rPr>
        <sz val="14"/>
        <color theme="1"/>
        <rFont val="Times New Roman"/>
        <family val="1"/>
      </rPr>
      <t>Vượt qua nếu thấy khoảng trống đủ rộng.</t>
    </r>
  </si>
  <si>
    <r>
      <t>1.</t>
    </r>
    <r>
      <rPr>
        <sz val="7"/>
        <color theme="1"/>
        <rFont val="Times New Roman"/>
        <family val="1"/>
      </rPr>
      <t xml:space="preserve">   </t>
    </r>
    <r>
      <rPr>
        <sz val="14"/>
        <color theme="1"/>
        <rFont val="Times New Roman"/>
        <family val="1"/>
      </rPr>
      <t>Chạy đi để tránh rắc rối.</t>
    </r>
  </si>
  <si>
    <r>
      <t>2.</t>
    </r>
    <r>
      <rPr>
        <sz val="7"/>
        <color theme="1"/>
        <rFont val="Times New Roman"/>
        <family val="1"/>
      </rPr>
      <t xml:space="preserve"> </t>
    </r>
    <r>
      <rPr>
        <u/>
        <sz val="14"/>
        <color theme="1"/>
        <rFont val="Times New Roman"/>
        <family val="1"/>
      </rPr>
      <t xml:space="preserve"> Dừng xe, hỗ trợ nạn nhân và báo cho cơ quan chức năng.</t>
    </r>
  </si>
  <si>
    <r>
      <t>3.</t>
    </r>
    <r>
      <rPr>
        <sz val="7"/>
        <color theme="1"/>
        <rFont val="Times New Roman"/>
        <family val="1"/>
      </rPr>
      <t xml:space="preserve">   </t>
    </r>
    <r>
      <rPr>
        <sz val="14"/>
        <color theme="1"/>
        <rFont val="Times New Roman"/>
        <family val="1"/>
      </rPr>
      <t>Chỉ quan sát rồi tiếp tục di chuyển.</t>
    </r>
  </si>
  <si>
    <r>
      <t>4.</t>
    </r>
    <r>
      <rPr>
        <sz val="7"/>
        <color theme="1"/>
        <rFont val="Times New Roman"/>
        <family val="1"/>
      </rPr>
      <t xml:space="preserve">   </t>
    </r>
    <r>
      <rPr>
        <sz val="14"/>
        <color theme="1"/>
        <rFont val="Times New Roman"/>
        <family val="1"/>
      </rPr>
      <t>Chỉ giúp đỡ nếu có người thân trong vụ tai nạn.</t>
    </r>
  </si>
  <si>
    <r>
      <t>1.</t>
    </r>
    <r>
      <rPr>
        <sz val="7"/>
        <color theme="1"/>
        <rFont val="Times New Roman"/>
        <family val="1"/>
      </rPr>
      <t xml:space="preserve">   </t>
    </r>
    <r>
      <rPr>
        <sz val="14"/>
        <color theme="1"/>
        <rFont val="Times New Roman"/>
        <family val="1"/>
      </rPr>
      <t>Cho xe lấn sang làn ngược chiều để nhanh chóng thoát khỏi nơi ùn tắc.</t>
    </r>
  </si>
  <si>
    <r>
      <t>2.</t>
    </r>
    <r>
      <rPr>
        <sz val="7"/>
        <color theme="1"/>
        <rFont val="Times New Roman"/>
        <family val="1"/>
      </rPr>
      <t xml:space="preserve">   </t>
    </r>
    <r>
      <rPr>
        <sz val="14"/>
        <color theme="1"/>
        <rFont val="Times New Roman"/>
        <family val="1"/>
      </rPr>
      <t>Điều khiển xe trên vỉa hè để nhanh chóng thoát khỏi nơi ùn tắc.</t>
    </r>
  </si>
  <si>
    <r>
      <t>3.</t>
    </r>
    <r>
      <rPr>
        <sz val="7"/>
        <color theme="1"/>
        <rFont val="Times New Roman"/>
        <family val="1"/>
      </rPr>
      <t xml:space="preserve"> </t>
    </r>
    <r>
      <rPr>
        <u/>
        <sz val="14"/>
        <color theme="1"/>
        <rFont val="Times New Roman"/>
        <family val="1"/>
      </rPr>
      <t xml:space="preserve"> Kiên nhẫn tuân thủ hướng dẫn của người điều khiển giao thông hoặc tín hiệu</t>
    </r>
    <r>
      <rPr>
        <sz val="14"/>
        <color theme="1"/>
        <rFont val="Times New Roman"/>
        <family val="1"/>
      </rPr>
      <t xml:space="preserve"> </t>
    </r>
    <r>
      <rPr>
        <u/>
        <sz val="14"/>
        <color theme="1"/>
        <rFont val="Times New Roman"/>
        <family val="1"/>
      </rPr>
      <t>đèn giao thông, di chuyển trên đúng phần đường bên phải theo chiều đi, nhường</t>
    </r>
    <r>
      <rPr>
        <sz val="14"/>
        <color theme="1"/>
        <rFont val="Times New Roman"/>
        <family val="1"/>
      </rPr>
      <t xml:space="preserve"> </t>
    </r>
    <r>
      <rPr>
        <u/>
        <sz val="14"/>
        <color theme="1"/>
        <rFont val="Times New Roman"/>
        <family val="1"/>
      </rPr>
      <t>đường cho các phương tiện đi ngược chiều.</t>
    </r>
  </si>
  <si>
    <r>
      <t>1.</t>
    </r>
    <r>
      <rPr>
        <sz val="7"/>
        <color theme="1"/>
        <rFont val="Times New Roman"/>
        <family val="1"/>
      </rPr>
      <t xml:space="preserve"> </t>
    </r>
    <r>
      <rPr>
        <u/>
        <sz val="14"/>
        <color theme="1"/>
        <rFont val="Times New Roman"/>
        <family val="1"/>
      </rPr>
      <t xml:space="preserve"> Bấm còi liên tục thúc giục các phương tiện phía trước nhường đường; đi trên</t>
    </r>
    <r>
      <rPr>
        <sz val="14"/>
        <color theme="1"/>
        <rFont val="Times New Roman"/>
        <family val="1"/>
      </rPr>
      <t xml:space="preserve"> </t>
    </r>
    <r>
      <rPr>
        <u/>
        <sz val="14"/>
        <color theme="1"/>
        <rFont val="Times New Roman"/>
        <family val="1"/>
      </rPr>
      <t>vỉa hè, tận dụng mọi khoảng trống để nhanh chóng thoát khỏi nơi ùn tắc; lấn sang</t>
    </r>
    <r>
      <rPr>
        <sz val="14"/>
        <color theme="1"/>
        <rFont val="Times New Roman"/>
        <family val="1"/>
      </rPr>
      <t xml:space="preserve"> </t>
    </r>
    <r>
      <rPr>
        <u/>
        <sz val="14"/>
        <color theme="1"/>
        <rFont val="Times New Roman"/>
        <family val="1"/>
      </rPr>
      <t>trái đường cố gắng vượt lên xe khác.</t>
    </r>
  </si>
  <si>
    <r>
      <t>2.</t>
    </r>
    <r>
      <rPr>
        <sz val="7"/>
        <color theme="1"/>
        <rFont val="Times New Roman"/>
        <family val="1"/>
      </rPr>
      <t xml:space="preserve">   </t>
    </r>
    <r>
      <rPr>
        <sz val="14"/>
        <color theme="1"/>
        <rFont val="Times New Roman"/>
        <family val="1"/>
      </rPr>
      <t>Tuân thủ hướng dẫn của người điều khiển giao thông hoặc tín hiệu giao thông, đi đúng phần đường, làn đường quy định.</t>
    </r>
  </si>
  <si>
    <r>
      <t>1.</t>
    </r>
    <r>
      <rPr>
        <sz val="7"/>
        <color theme="1"/>
        <rFont val="Times New Roman"/>
        <family val="1"/>
      </rPr>
      <t xml:space="preserve">   </t>
    </r>
    <r>
      <rPr>
        <sz val="14"/>
        <color theme="1"/>
        <rFont val="Times New Roman"/>
        <family val="1"/>
      </rPr>
      <t>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(khó nổ, có hơi xăng, có tiếng kêu bất thường, nhiệt độ của máy cao, có mùi khét) cần khắc phục ngay.</t>
    </r>
  </si>
  <si>
    <r>
      <t>2.</t>
    </r>
    <r>
      <rPr>
        <sz val="7"/>
        <color theme="1"/>
        <rFont val="Times New Roman"/>
        <family val="1"/>
      </rPr>
      <t xml:space="preserve">   </t>
    </r>
    <r>
      <rPr>
        <sz val="14"/>
        <color theme="1"/>
        <rFont val="Times New Roman"/>
        <family val="1"/>
      </rPr>
      <t>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có thể gây hỏng xe hoặc dẫn đến nguy cơ xảy ra cháy cao.</t>
    </r>
  </si>
  <si>
    <r>
      <t>3.</t>
    </r>
    <r>
      <rPr>
        <sz val="7"/>
        <color theme="1"/>
        <rFont val="Times New Roman"/>
        <family val="1"/>
      </rPr>
      <t xml:space="preserve">  </t>
    </r>
    <r>
      <rPr>
        <sz val="14"/>
        <color theme="1"/>
        <rFont val="Times New Roman"/>
        <family val="1"/>
      </rPr>
      <t>Không để các chất dễ cháy, dễ bắt lửa trong xe, dưới yên xe, trong cốp xe, trong khoang động cơ. Đối với xe điện cần chọn địa điểm sạc an toàn, sử dụng các thiết bị sạc đúng cách và giám sát quá trình sạc.</t>
    </r>
  </si>
  <si>
    <r>
      <t>1.</t>
    </r>
    <r>
      <rPr>
        <sz val="7"/>
        <color theme="1"/>
        <rFont val="Times New Roman"/>
        <family val="1"/>
      </rPr>
      <t xml:space="preserve">    </t>
    </r>
    <r>
      <rPr>
        <sz val="14"/>
        <color theme="1"/>
        <rFont val="Times New Roman"/>
        <family val="1"/>
      </rPr>
      <t>Tắt khoá điện, hô hoán để mọi người đến trợ giúp chữa cháy, gọi Cảnh sát phòng cháy chữa cháy và cứu nạn cứu hộ (điện thoại 114).</t>
    </r>
  </si>
  <si>
    <r>
      <t>2.</t>
    </r>
    <r>
      <rPr>
        <sz val="7"/>
        <color theme="1"/>
        <rFont val="Times New Roman"/>
        <family val="1"/>
      </rPr>
      <t xml:space="preserve">    </t>
    </r>
    <r>
      <rPr>
        <sz val="14"/>
        <color theme="1"/>
        <rFont val="Times New Roman"/>
        <family val="1"/>
      </rPr>
      <t>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t>
    </r>
  </si>
  <si>
    <r>
      <t>1.</t>
    </r>
    <r>
      <rPr>
        <sz val="7"/>
        <color rgb="FF202020"/>
        <rFont val="Times New Roman"/>
        <family val="1"/>
      </rPr>
      <t xml:space="preserve"> </t>
    </r>
    <r>
      <rPr>
        <u/>
        <sz val="14"/>
        <color rgb="FF202020"/>
        <rFont val="Times New Roman"/>
        <family val="1"/>
      </rPr>
      <t xml:space="preserve"> Bình tĩnh, đưa xe sát vào lề đường, tránh xa nơi có nhiều người, nhiều chất dễ</t>
    </r>
    <r>
      <rPr>
        <sz val="14"/>
        <color rgb="FF202020"/>
        <rFont val="Times New Roman"/>
        <family val="1"/>
      </rPr>
      <t xml:space="preserve"> </t>
    </r>
    <r>
      <rPr>
        <u/>
        <sz val="14"/>
        <color rgb="FF202020"/>
        <rFont val="Times New Roman"/>
        <family val="1"/>
      </rPr>
      <t>cháy và tắt khóa điện, thực hiện các bước chữa cháy.</t>
    </r>
  </si>
  <si>
    <r>
      <t>2.</t>
    </r>
    <r>
      <rPr>
        <sz val="7"/>
        <color rgb="FF202020"/>
        <rFont val="Times New Roman"/>
        <family val="1"/>
      </rPr>
      <t xml:space="preserve">   </t>
    </r>
    <r>
      <rPr>
        <sz val="14"/>
        <color rgb="FF202020"/>
        <rFont val="Times New Roman"/>
        <family val="1"/>
      </rPr>
      <t>Hô hoán để mọi người đến trợ giúp chữa cháy, gọi Cảnh sát giao thông, Cảnh sát phòng cháy, chữa cháy và cứu nạn, cứu hộ, lực lượng y tế để sẵn sàng hỗ trợ cứu người.</t>
    </r>
  </si>
  <si>
    <r>
      <t>3.</t>
    </r>
    <r>
      <rPr>
        <sz val="7"/>
        <color rgb="FF202020"/>
        <rFont val="Times New Roman"/>
        <family val="1"/>
      </rPr>
      <t xml:space="preserve">   </t>
    </r>
    <r>
      <rPr>
        <sz val="14"/>
        <color rgb="FF202020"/>
        <rFont val="Times New Roman"/>
        <family val="1"/>
      </rPr>
      <t>Nếu nhiên liệu trào ra ngoài, ngọn lửa chưa cháy dữ dội thì tiếp tục sử dụng nước, hoặc bất kỳ chất, phương tiện chữa cháy có được để dập lửa.</t>
    </r>
  </si>
  <si>
    <r>
      <t>4.</t>
    </r>
    <r>
      <rPr>
        <sz val="7"/>
        <color rgb="FF202020"/>
        <rFont val="Times New Roman"/>
        <family val="1"/>
      </rPr>
      <t xml:space="preserve">   </t>
    </r>
    <r>
      <rPr>
        <sz val="14"/>
        <color rgb="FF202020"/>
        <rFont val="Times New Roman"/>
        <family val="1"/>
      </rPr>
      <t>Cả ba ý trên.</t>
    </r>
  </si>
  <si>
    <r>
      <t>1.</t>
    </r>
    <r>
      <rPr>
        <sz val="7"/>
        <color theme="1"/>
        <rFont val="Times New Roman"/>
        <family val="1"/>
      </rPr>
      <t xml:space="preserve">   </t>
    </r>
    <r>
      <rPr>
        <sz val="14"/>
        <color theme="1"/>
        <rFont val="Times New Roman"/>
        <family val="1"/>
      </rPr>
      <t>Gọi số 115 để thông báo về tình trạng tai nạn và yêu cầu hỗ trợ y tế ngay lập tức. Quan sát hiện trường để giúp nạn nhân, đồng thời tránh gây tổn thương cho mình.</t>
    </r>
  </si>
  <si>
    <r>
      <t>2.</t>
    </r>
    <r>
      <rPr>
        <sz val="7"/>
        <color theme="1"/>
        <rFont val="Times New Roman"/>
        <family val="1"/>
      </rPr>
      <t xml:space="preserve">   </t>
    </r>
    <r>
      <rPr>
        <sz val="14"/>
        <color theme="1"/>
        <rFont val="Times New Roman"/>
        <family val="1"/>
      </rPr>
      <t>Nhanh chóng loại bỏ nguyên nhân gây bỏng bằng cách tách nạn nhân khỏi vật gây cháy, cởi bỏ quần áo nếu bén lửa, ngâm vùng da bị bỏng vào nước sạch hoặc đắp khăn mát, lưu ý không dùng khăn hoặc nước quá lạnh.</t>
    </r>
  </si>
  <si>
    <r>
      <t>3.</t>
    </r>
    <r>
      <rPr>
        <sz val="7"/>
        <color theme="1"/>
        <rFont val="Times New Roman"/>
        <family val="1"/>
      </rPr>
      <t xml:space="preserve">   </t>
    </r>
    <r>
      <rPr>
        <sz val="14"/>
        <color theme="1"/>
        <rFont val="Times New Roman"/>
        <family val="1"/>
      </rPr>
      <t>Nếu nạn nhân còn tỉnh, cần cho uống bù nước. Trong thời tiết lạnh, cần giữ ấm cho cơ thể nạn nhân, sau đó nhanh chóng đưa đến cơ sở y tế gần nhất.</t>
    </r>
  </si>
  <si>
    <r>
      <t>1.</t>
    </r>
    <r>
      <rPr>
        <sz val="7"/>
        <color theme="1"/>
        <rFont val="Times New Roman"/>
        <family val="1"/>
      </rPr>
      <t xml:space="preserve"> </t>
    </r>
    <r>
      <rPr>
        <u/>
        <sz val="14"/>
        <color theme="1"/>
        <rFont val="Times New Roman"/>
        <family val="1"/>
      </rPr>
      <t xml:space="preserve"> Giữ tay ga ở mức độ phù hợp, sử dụng phanh trước và phanh sau để giảm tốc độ.</t>
    </r>
  </si>
  <si>
    <r>
      <t>2.</t>
    </r>
    <r>
      <rPr>
        <sz val="7"/>
        <color theme="1"/>
        <rFont val="Times New Roman"/>
        <family val="1"/>
      </rPr>
      <t xml:space="preserve">   </t>
    </r>
    <r>
      <rPr>
        <sz val="14"/>
        <color theme="1"/>
        <rFont val="Times New Roman"/>
        <family val="1"/>
      </rPr>
      <t>Nhả hết tay ga, tắt động cơ, sử dụng phanh trước và phanh sau để giảm tốc độ.</t>
    </r>
  </si>
  <si>
    <r>
      <t>3.</t>
    </r>
    <r>
      <rPr>
        <sz val="7"/>
        <color theme="1"/>
        <rFont val="Times New Roman"/>
        <family val="1"/>
      </rPr>
      <t xml:space="preserve">   </t>
    </r>
    <r>
      <rPr>
        <sz val="14"/>
        <color theme="1"/>
        <rFont val="Times New Roman"/>
        <family val="1"/>
      </rPr>
      <t>Sử dụng phanh trước để giảm tốc độ kết hợp với tắt chìa khóa điện của xe.</t>
    </r>
  </si>
  <si>
    <r>
      <t>1.</t>
    </r>
    <r>
      <rPr>
        <sz val="7"/>
        <color theme="1"/>
        <rFont val="Times New Roman"/>
        <family val="1"/>
      </rPr>
      <t xml:space="preserve"> </t>
    </r>
    <r>
      <rPr>
        <u/>
        <sz val="14"/>
        <color theme="1"/>
        <rFont val="Times New Roman"/>
        <family val="1"/>
      </rPr>
      <t xml:space="preserve"> Đạp bàn đạp phanh chân hết hành trình, vào số và nhả phanh đỗ, kiểm tra lại</t>
    </r>
    <r>
      <rPr>
        <sz val="14"/>
        <color theme="1"/>
        <rFont val="Times New Roman"/>
        <family val="1"/>
      </rPr>
      <t xml:space="preserve"> </t>
    </r>
    <r>
      <rPr>
        <u/>
        <sz val="14"/>
        <color theme="1"/>
        <rFont val="Times New Roman"/>
        <family val="1"/>
      </rPr>
      <t>xem có bị nhầm số không rồi mới cho xe lăn bánh.</t>
    </r>
  </si>
  <si>
    <r>
      <t>2.</t>
    </r>
    <r>
      <rPr>
        <sz val="7"/>
        <color theme="1"/>
        <rFont val="Times New Roman"/>
        <family val="1"/>
      </rPr>
      <t xml:space="preserve">   </t>
    </r>
    <r>
      <rPr>
        <sz val="14"/>
        <color theme="1"/>
        <rFont val="Times New Roman"/>
        <family val="1"/>
      </rPr>
      <t>Đạp bàn đạp để tăng ga với mức độ phù hợp, vào số và kiểm tra lại xem có bị nhầm số không rồi mới cho xe lăn bánh.</t>
    </r>
  </si>
  <si>
    <r>
      <t>1.</t>
    </r>
    <r>
      <rPr>
        <sz val="7"/>
        <color theme="1"/>
        <rFont val="Times New Roman"/>
        <family val="1"/>
      </rPr>
      <t xml:space="preserve">   </t>
    </r>
    <r>
      <rPr>
        <sz val="14"/>
        <color theme="1"/>
        <rFont val="Times New Roman"/>
        <family val="1"/>
      </rPr>
      <t>Dùng lực tay phải kéo cần phanh tay về phía sau hết hành trình; nếu khóa hãm bị kẹt cứng phải đẩy mạnh phanh tay về phía trước, sau đó bóp khóa hãm.</t>
    </r>
  </si>
  <si>
    <r>
      <t>2.</t>
    </r>
    <r>
      <rPr>
        <sz val="7"/>
        <color theme="1"/>
        <rFont val="Times New Roman"/>
        <family val="1"/>
      </rPr>
      <t xml:space="preserve"> </t>
    </r>
    <r>
      <rPr>
        <u/>
        <sz val="14"/>
        <color theme="1"/>
        <rFont val="Times New Roman"/>
        <family val="1"/>
      </rPr>
      <t xml:space="preserve"> Dùng lực tay phải bóp khóa hãm đẩy cần phanh tay về phía trước hết hành</t>
    </r>
    <r>
      <rPr>
        <sz val="14"/>
        <color theme="1"/>
        <rFont val="Times New Roman"/>
        <family val="1"/>
      </rPr>
      <t xml:space="preserve"> </t>
    </r>
    <r>
      <rPr>
        <u/>
        <sz val="14"/>
        <color theme="1"/>
        <rFont val="Times New Roman"/>
        <family val="1"/>
      </rPr>
      <t>trình; nếu khóa hãm bị kẹt cứng phải kéo cần phanh tay về phía sau đồng thời</t>
    </r>
    <r>
      <rPr>
        <sz val="14"/>
        <color theme="1"/>
        <rFont val="Times New Roman"/>
        <family val="1"/>
      </rPr>
      <t xml:space="preserve"> </t>
    </r>
    <r>
      <rPr>
        <u/>
        <sz val="14"/>
        <color theme="1"/>
        <rFont val="Times New Roman"/>
        <family val="1"/>
      </rPr>
      <t>bóp khóa hãm.</t>
    </r>
  </si>
  <si>
    <r>
      <t>3.</t>
    </r>
    <r>
      <rPr>
        <sz val="7"/>
        <color theme="1"/>
        <rFont val="Times New Roman"/>
        <family val="1"/>
      </rPr>
      <t xml:space="preserve">    </t>
    </r>
    <r>
      <rPr>
        <sz val="14"/>
        <color theme="1"/>
        <rFont val="Times New Roman"/>
        <family val="1"/>
      </rPr>
      <t>Dùng lực tay phải đẩy cần phanh tay về phía trước hết hành trình; nếu khóa hãm bị kẹt cứng phải đẩy mạnh phanh tay về phía trước, sau đó bóp khóa hãm.</t>
    </r>
  </si>
  <si>
    <r>
      <t>1.</t>
    </r>
    <r>
      <rPr>
        <sz val="7"/>
        <color theme="1"/>
        <rFont val="Times New Roman"/>
        <family val="1"/>
      </rPr>
      <t xml:space="preserve">   </t>
    </r>
    <r>
      <rPr>
        <sz val="14"/>
        <color theme="1"/>
        <rFont val="Times New Roman"/>
        <family val="1"/>
      </rPr>
      <t>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côn để cho xe ô tô chuyển động.</t>
    </r>
  </si>
  <si>
    <r>
      <t>2.</t>
    </r>
    <r>
      <rPr>
        <sz val="7"/>
        <color theme="1"/>
        <rFont val="Times New Roman"/>
        <family val="1"/>
      </rPr>
      <t xml:space="preserve"> </t>
    </r>
    <r>
      <rPr>
        <u/>
        <sz val="14"/>
        <color theme="1"/>
        <rFont val="Times New Roman"/>
        <family val="1"/>
      </rPr>
      <t xml:space="preserve"> Kiểm tra an toàn xung quanh xe ô tô; đạp ly hợp (côn) hết hành trình; vào số 1;</t>
    </r>
    <r>
      <rPr>
        <sz val="14"/>
        <color theme="1"/>
        <rFont val="Times New Roman"/>
        <family val="1"/>
      </rPr>
      <t xml:space="preserve"> </t>
    </r>
    <r>
      <rPr>
        <u/>
        <sz val="14"/>
        <color theme="1"/>
        <rFont val="Times New Roman"/>
        <family val="1"/>
      </rPr>
      <t>nhả hết phanh tay, báo hiệu bằng còi, đèn trước khi xuất phát; tăng ga đủ để xuất</t>
    </r>
    <r>
      <rPr>
        <sz val="14"/>
        <color theme="1"/>
        <rFont val="Times New Roman"/>
        <family val="1"/>
      </rPr>
      <t xml:space="preserve"> </t>
    </r>
    <r>
      <rPr>
        <u/>
        <sz val="14"/>
        <color theme="1"/>
        <rFont val="Times New Roman"/>
        <family val="1"/>
      </rPr>
      <t>phát; nhả từ từ đến 1/2 hành trình bàn đạp côn và giữ trong khoảng 3 giây, sau đó</t>
    </r>
    <r>
      <rPr>
        <sz val="14"/>
        <color theme="1"/>
        <rFont val="Times New Roman"/>
        <family val="1"/>
      </rPr>
      <t xml:space="preserve"> </t>
    </r>
    <r>
      <rPr>
        <u/>
        <sz val="14"/>
        <color theme="1"/>
        <rFont val="Times New Roman"/>
        <family val="1"/>
      </rPr>
      <t>vừa tăng ga vừa nhả hết côn để cho xe ô tô chuyển động.</t>
    </r>
  </si>
  <si>
    <r>
      <t>1.</t>
    </r>
    <r>
      <rPr>
        <sz val="7"/>
        <color theme="1"/>
        <rFont val="Times New Roman"/>
        <family val="1"/>
      </rPr>
      <t xml:space="preserve"> </t>
    </r>
    <r>
      <rPr>
        <u/>
        <sz val="14"/>
        <color theme="1"/>
        <rFont val="Times New Roman"/>
        <family val="1"/>
      </rPr>
      <t xml:space="preserve"> Quan sát biển báo hiệu để biết nơi được phép quay đầu; quan sát kỹ địa hình</t>
    </r>
    <r>
      <rPr>
        <sz val="14"/>
        <color theme="1"/>
        <rFont val="Times New Roman"/>
        <family val="1"/>
      </rPr>
      <t xml:space="preserve"> </t>
    </r>
    <r>
      <rPr>
        <u/>
        <sz val="14"/>
        <color theme="1"/>
        <rFont val="Times New Roman"/>
        <family val="1"/>
      </rPr>
      <t>nơi chọn để quay đầu; lựa chọn quỹ đạo quay đầu xe cho thích hợp; quay đầu xe</t>
    </r>
  </si>
  <si>
    <r>
      <t>với tốc độ thấp; thường xuyên báo tín hiệu để người, các phương tiện xung quanh</t>
    </r>
    <r>
      <rPr>
        <sz val="14"/>
        <color theme="1"/>
        <rFont val="Times New Roman"/>
        <family val="1"/>
      </rPr>
      <t xml:space="preserve"> </t>
    </r>
    <r>
      <rPr>
        <u/>
        <sz val="14"/>
        <color theme="1"/>
        <rFont val="Times New Roman"/>
        <family val="1"/>
      </rPr>
      <t>được biết; nếu quay đầu xe ở nơi nguy hiểm thì đưa đầu xe về phía nguy hiểm,</t>
    </r>
    <r>
      <rPr>
        <sz val="14"/>
        <color theme="1"/>
        <rFont val="Times New Roman"/>
        <family val="1"/>
      </rPr>
      <t xml:space="preserve"> </t>
    </r>
    <r>
      <rPr>
        <u/>
        <sz val="14"/>
        <color theme="1"/>
        <rFont val="Times New Roman"/>
        <family val="1"/>
      </rPr>
      <t>đưa đuôi xe về phía an toàn.</t>
    </r>
  </si>
  <si>
    <r>
      <t>2.</t>
    </r>
    <r>
      <rPr>
        <sz val="7"/>
        <color theme="1"/>
        <rFont val="Times New Roman"/>
        <family val="1"/>
      </rPr>
      <t xml:space="preserve">   </t>
    </r>
    <r>
      <rPr>
        <sz val="14"/>
        <color theme="1"/>
        <rFont val="Times New Roman"/>
        <family val="1"/>
      </rPr>
      <t>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t>
    </r>
  </si>
  <si>
    <r>
      <t>1.</t>
    </r>
    <r>
      <rPr>
        <sz val="7"/>
        <color theme="1"/>
        <rFont val="Times New Roman"/>
        <family val="1"/>
      </rPr>
      <t xml:space="preserve"> </t>
    </r>
    <r>
      <rPr>
        <u/>
        <sz val="14"/>
        <color theme="1"/>
        <rFont val="Times New Roman"/>
        <family val="1"/>
      </rPr>
      <t xml:space="preserve"> Điều chỉnh ghế sao cho chân có thể đạp phanh và ga dễ dàng, ngồi thẳng lưng,</t>
    </r>
    <r>
      <rPr>
        <sz val="14"/>
        <color theme="1"/>
        <rFont val="Times New Roman"/>
        <family val="1"/>
      </rPr>
      <t xml:space="preserve"> </t>
    </r>
    <r>
      <rPr>
        <u/>
        <sz val="14"/>
        <color theme="1"/>
        <rFont val="Times New Roman"/>
        <family val="1"/>
      </rPr>
      <t>hai tay nắm vô lăng, tay trái nắm ở vị trí 9 đến 10 giờ và tay phải nắm ở vị trí từ 2 đến</t>
    </r>
    <r>
      <rPr>
        <sz val="14"/>
        <color theme="1"/>
        <rFont val="Times New Roman"/>
        <family val="1"/>
      </rPr>
      <t xml:space="preserve"> </t>
    </r>
    <r>
      <rPr>
        <u/>
        <sz val="14"/>
        <color theme="1"/>
        <rFont val="Times New Roman"/>
        <family val="1"/>
      </rPr>
      <t>4 giờ.</t>
    </r>
  </si>
  <si>
    <r>
      <t>2.</t>
    </r>
    <r>
      <rPr>
        <sz val="7"/>
        <color theme="1"/>
        <rFont val="Times New Roman"/>
        <family val="1"/>
      </rPr>
      <t xml:space="preserve">   </t>
    </r>
    <r>
      <rPr>
        <sz val="14"/>
        <color theme="1"/>
        <rFont val="Times New Roman"/>
        <family val="1"/>
      </rPr>
      <t>Ngồi sát vô lăng để dễ quan sát hoặc ngồi tự do, không cần điều chỉnh ghế.</t>
    </r>
  </si>
  <si>
    <r>
      <t>3.</t>
    </r>
    <r>
      <rPr>
        <sz val="7"/>
        <color theme="1"/>
        <rFont val="Times New Roman"/>
        <family val="1"/>
      </rPr>
      <t xml:space="preserve">   </t>
    </r>
    <r>
      <rPr>
        <sz val="14"/>
        <color theme="1"/>
        <rFont val="Times New Roman"/>
        <family val="1"/>
      </rPr>
      <t>Ngồi ngả người về phía sau nhiều để thư giãn, chân trái để ở vị trí chân ga, hai tay nắm vô lăng ở vị trí bất kỳ.</t>
    </r>
  </si>
  <si>
    <r>
      <t>1.</t>
    </r>
    <r>
      <rPr>
        <sz val="7"/>
        <color theme="1"/>
        <rFont val="Times New Roman"/>
        <family val="1"/>
      </rPr>
      <t xml:space="preserve">   </t>
    </r>
    <r>
      <rPr>
        <sz val="14"/>
        <color theme="1"/>
        <rFont val="Times New Roman"/>
        <family val="1"/>
      </rPr>
      <t>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r>
  </si>
  <si>
    <r>
      <t>2.</t>
    </r>
    <r>
      <rPr>
        <sz val="7"/>
        <color theme="1"/>
        <rFont val="Times New Roman"/>
        <family val="1"/>
      </rPr>
      <t xml:space="preserve"> </t>
    </r>
    <r>
      <rPr>
        <u/>
        <sz val="14"/>
        <color theme="1"/>
        <rFont val="Times New Roman"/>
        <family val="1"/>
      </rPr>
      <t xml:space="preserve"> Về số thấp từ chân dốc, điều chỉnh ga cho xe từ từ lên dốc; đến gần đỉnh dốc</t>
    </r>
    <r>
      <rPr>
        <sz val="14"/>
        <color theme="1"/>
        <rFont val="Times New Roman"/>
        <family val="1"/>
      </rPr>
      <t xml:space="preserve"> </t>
    </r>
    <r>
      <rPr>
        <u/>
        <sz val="14"/>
        <color theme="1"/>
        <rFont val="Times New Roman"/>
        <family val="1"/>
      </rPr>
      <t>phải đi chậm, đi sát về phía bên phải đường, có tín hiệu (còi, đèn) để báo cho</t>
    </r>
    <r>
      <rPr>
        <sz val="14"/>
        <color theme="1"/>
        <rFont val="Times New Roman"/>
        <family val="1"/>
      </rPr>
      <t xml:space="preserve"> </t>
    </r>
    <r>
      <rPr>
        <u/>
        <sz val="14"/>
        <color theme="1"/>
        <rFont val="Times New Roman"/>
        <family val="1"/>
      </rPr>
      <t>người lái xe đi ngược chiều biết.</t>
    </r>
  </si>
  <si>
    <r>
      <t>1.</t>
    </r>
    <r>
      <rPr>
        <sz val="7"/>
        <color theme="1"/>
        <rFont val="Times New Roman"/>
        <family val="1"/>
      </rPr>
      <t xml:space="preserve">   </t>
    </r>
    <r>
      <rPr>
        <sz val="14"/>
        <color theme="1"/>
        <rFont val="Times New Roman"/>
        <family val="1"/>
      </rPr>
      <t>Tăng lên số cao, nhả bàn đạp ga ở mức độ phù hợp, kết hợp với phanh chân để khống chế tốc độ.</t>
    </r>
  </si>
  <si>
    <r>
      <t>2.</t>
    </r>
    <r>
      <rPr>
        <sz val="7"/>
        <color theme="1"/>
        <rFont val="Times New Roman"/>
        <family val="1"/>
      </rPr>
      <t xml:space="preserve"> </t>
    </r>
    <r>
      <rPr>
        <u/>
        <sz val="14"/>
        <color theme="1"/>
        <rFont val="Times New Roman"/>
        <family val="1"/>
      </rPr>
      <t xml:space="preserve"> Về số thấp, nhả bàn đạp ga ở mức độ phù hợp, kết hợp với phanh chân để khống</t>
    </r>
    <r>
      <rPr>
        <sz val="14"/>
        <color theme="1"/>
        <rFont val="Times New Roman"/>
        <family val="1"/>
      </rPr>
      <t xml:space="preserve"> </t>
    </r>
    <r>
      <rPr>
        <u/>
        <sz val="14"/>
        <color theme="1"/>
        <rFont val="Times New Roman"/>
        <family val="1"/>
      </rPr>
      <t>chế tốc độ.</t>
    </r>
  </si>
  <si>
    <r>
      <t>3.</t>
    </r>
    <r>
      <rPr>
        <sz val="7"/>
        <color theme="1"/>
        <rFont val="Times New Roman"/>
        <family val="1"/>
      </rPr>
      <t xml:space="preserve">   </t>
    </r>
    <r>
      <rPr>
        <sz val="14"/>
        <color theme="1"/>
        <rFont val="Times New Roman"/>
        <family val="1"/>
      </rPr>
      <t>Về số không (0), nhả bàn đạp ga ở mức độ phù hợp, kết hợp với phanh chân để khống chế tốc độ.</t>
    </r>
  </si>
  <si>
    <r>
      <t>1.</t>
    </r>
    <r>
      <rPr>
        <sz val="7"/>
        <color theme="1"/>
        <rFont val="Times New Roman"/>
        <family val="1"/>
      </rPr>
      <t xml:space="preserve"> </t>
    </r>
    <r>
      <rPr>
        <u/>
        <sz val="14"/>
        <color theme="1"/>
        <rFont val="Times New Roman"/>
        <family val="1"/>
      </rPr>
      <t xml:space="preserve"> Có tín hiệu rẽ phải, điều khiển xe sát vào lề đường bên phải; đạp phanh sớm và</t>
    </r>
    <r>
      <rPr>
        <sz val="14"/>
        <color theme="1"/>
        <rFont val="Times New Roman"/>
        <family val="1"/>
      </rPr>
      <t xml:space="preserve"> </t>
    </r>
    <r>
      <rPr>
        <u/>
        <sz val="14"/>
        <color theme="1"/>
        <rFont val="Times New Roman"/>
        <family val="1"/>
      </rPr>
      <t>mạnh hơn lúc dừng xe trên đường bằng để xe đi với tốc độ chậm đến mức dễ dàng</t>
    </r>
    <r>
      <rPr>
        <sz val="14"/>
        <color theme="1"/>
        <rFont val="Times New Roman"/>
        <family val="1"/>
      </rPr>
      <t xml:space="preserve"> </t>
    </r>
    <r>
      <rPr>
        <u/>
        <sz val="14"/>
        <color theme="1"/>
        <rFont val="Times New Roman"/>
        <family val="1"/>
      </rPr>
      <t>dừng lại được; về số 1, đạp 1/2 ly hợp (côn) cho xe đến chỗ dừng; khi xe đã dừng,</t>
    </r>
    <r>
      <rPr>
        <sz val="14"/>
        <color theme="1"/>
        <rFont val="Times New Roman"/>
        <family val="1"/>
      </rPr>
      <t xml:space="preserve"> </t>
    </r>
    <r>
      <rPr>
        <u/>
        <sz val="14"/>
        <color theme="1"/>
        <rFont val="Times New Roman"/>
        <family val="1"/>
      </rPr>
      <t>về số không (N), đạp phanh chân, sử dụng phanh đỗ.</t>
    </r>
  </si>
  <si>
    <r>
      <t>2.</t>
    </r>
    <r>
      <rPr>
        <sz val="7"/>
        <color theme="1"/>
        <rFont val="Times New Roman"/>
        <family val="1"/>
      </rPr>
      <t xml:space="preserve">   </t>
    </r>
    <r>
      <rPr>
        <sz val="14"/>
        <color theme="1"/>
        <rFont val="Times New Roman"/>
        <family val="1"/>
      </rPr>
      <t>Có tín hiệu rẽ phải, điều khiển xe sát vào lề đường bên trái; đạp hết hành trình ly hợp (côn) và nhả bàn đạp ga để xe đi với tốc độ chậm đến mức dễ dàng dừng lại được tại chỗ dừng; khi xe đã dừng, đạp và giữ phanh chân.</t>
    </r>
  </si>
  <si>
    <r>
      <t>3.</t>
    </r>
    <r>
      <rPr>
        <sz val="7"/>
        <color theme="1"/>
        <rFont val="Times New Roman"/>
        <family val="1"/>
      </rPr>
      <t xml:space="preserve">   </t>
    </r>
    <r>
      <rPr>
        <sz val="14"/>
        <color theme="1"/>
        <rFont val="Times New Roman"/>
        <family val="1"/>
      </rPr>
      <t>Có tín hiệu rẽ trái, điều khiển xe sát vào lề đường bên phải; đạp phanh sớm và mạnh hơn lúc dừng xe trên đường bằng để xe đi với tốc độ chậm đến mức dễ dàng dừng lại được; về số không (N) để xe đi đến chỗ dừng, khi xe đã dừng, sử dụng phanh đỗ.</t>
    </r>
  </si>
  <si>
    <r>
      <t>1.</t>
    </r>
    <r>
      <rPr>
        <sz val="7"/>
        <color theme="1"/>
        <rFont val="Times New Roman"/>
        <family val="1"/>
      </rPr>
      <t xml:space="preserve"> </t>
    </r>
    <r>
      <rPr>
        <u/>
        <sz val="14"/>
        <color theme="1"/>
        <rFont val="Times New Roman"/>
        <family val="1"/>
      </rPr>
      <t xml:space="preserve"> Quan sát cẩn thận các chướng ngại vật và báo hiệu bằng coi, đèn; giảm tốc độ</t>
    </r>
    <r>
      <rPr>
        <sz val="14"/>
        <color theme="1"/>
        <rFont val="Times New Roman"/>
        <family val="1"/>
      </rPr>
      <t xml:space="preserve"> </t>
    </r>
    <r>
      <rPr>
        <u/>
        <sz val="14"/>
        <color theme="1"/>
        <rFont val="Times New Roman"/>
        <family val="1"/>
      </rPr>
      <t>tới mức cần thiết, về số thấp và thực hiện quay vòng với tốc độ phù hợp với bán</t>
    </r>
    <r>
      <rPr>
        <sz val="14"/>
        <color theme="1"/>
        <rFont val="Times New Roman"/>
        <family val="1"/>
      </rPr>
      <t xml:space="preserve"> </t>
    </r>
    <r>
      <rPr>
        <u/>
        <sz val="14"/>
        <color theme="1"/>
        <rFont val="Times New Roman"/>
        <family val="1"/>
      </rPr>
      <t>kính cong của đường vòng.</t>
    </r>
  </si>
  <si>
    <r>
      <t>2.</t>
    </r>
    <r>
      <rPr>
        <sz val="7"/>
        <color theme="1"/>
        <rFont val="Times New Roman"/>
        <family val="1"/>
      </rPr>
      <t xml:space="preserve">   </t>
    </r>
    <r>
      <rPr>
        <sz val="14"/>
        <color theme="1"/>
        <rFont val="Times New Roman"/>
        <family val="1"/>
      </rPr>
      <t>Quan sát cẩn thận các chướng ngại vật và báo hiệu bằng còi, đèn; tăng tốc để nhanh chóng qua đường vòng và giảm tốc độ sau khi qua đường vòng.</t>
    </r>
  </si>
  <si>
    <r>
      <t>1.</t>
    </r>
    <r>
      <rPr>
        <sz val="7"/>
        <color theme="1"/>
        <rFont val="Times New Roman"/>
        <family val="1"/>
      </rPr>
      <t xml:space="preserve">  </t>
    </r>
    <r>
      <rPr>
        <sz val="14"/>
        <color theme="1"/>
        <rFont val="Times New Roman"/>
        <family val="1"/>
      </rPr>
      <t>Có tín hiệu rẽ phải; quan sát an toàn phía sau; điều khiển xe sang làn đường bên trái; giảm tốc độ và quan sát an toàn phía bên phải để điều khiển xe qua chỗ đường giao nhau.</t>
    </r>
  </si>
  <si>
    <r>
      <t>2.</t>
    </r>
    <r>
      <rPr>
        <sz val="7"/>
        <color theme="1"/>
        <rFont val="Times New Roman"/>
        <family val="1"/>
      </rPr>
      <t xml:space="preserve"> </t>
    </r>
    <r>
      <rPr>
        <u/>
        <sz val="14"/>
        <color theme="1"/>
        <rFont val="Times New Roman"/>
        <family val="1"/>
      </rPr>
      <t xml:space="preserve"> Cách chỗ rẽ một khoảng cách an toàn có tín hiệu rẽ phải; giảm tốc độ, quan sát</t>
    </r>
    <r>
      <rPr>
        <sz val="14"/>
        <color theme="1"/>
        <rFont val="Times New Roman"/>
        <family val="1"/>
      </rPr>
      <t xml:space="preserve"> </t>
    </r>
    <r>
      <rPr>
        <u/>
        <sz val="14"/>
        <color theme="1"/>
        <rFont val="Times New Roman"/>
        <family val="1"/>
      </rPr>
      <t>an toàn phía trước, sau, bên phải và điều khiển xe từ từ rẽ phải.</t>
    </r>
  </si>
  <si>
    <r>
      <t>3.</t>
    </r>
    <r>
      <rPr>
        <sz val="7"/>
        <color theme="1"/>
        <rFont val="Times New Roman"/>
        <family val="1"/>
      </rPr>
      <t xml:space="preserve">   </t>
    </r>
    <r>
      <rPr>
        <sz val="14"/>
        <color theme="1"/>
        <rFont val="Times New Roman"/>
        <family val="1"/>
      </rPr>
      <t>Cách chỗ rẽ một khoảng cách an toàn có tín hiệu rẽ phải; quan sát an toàn phía sau; điều khiển xe bám sát vào phía phải đường; tăng tốc độ và quan sát an toàn phía bên trái để điều khiển xe qua chỗ đường giao nhau.</t>
    </r>
  </si>
  <si>
    <r>
      <t>1.</t>
    </r>
    <r>
      <rPr>
        <sz val="7"/>
        <color theme="1"/>
        <rFont val="Times New Roman"/>
        <family val="1"/>
      </rPr>
      <t xml:space="preserve"> </t>
    </r>
    <r>
      <rPr>
        <u/>
        <sz val="14"/>
        <color theme="1"/>
        <rFont val="Times New Roman"/>
        <family val="1"/>
      </rPr>
      <t xml:space="preserve"> Cách chỗ rẽ một khoảng cách an toàn có tín hiệu rẽ trái; giảm tốc độ, quan sát</t>
    </r>
    <r>
      <rPr>
        <sz val="14"/>
        <color theme="1"/>
        <rFont val="Times New Roman"/>
        <family val="1"/>
      </rPr>
      <t xml:space="preserve"> </t>
    </r>
    <r>
      <rPr>
        <u/>
        <sz val="14"/>
        <color theme="1"/>
        <rFont val="Times New Roman"/>
        <family val="1"/>
      </rPr>
      <t>an toàn xung quanh đặc biệt là bên trái; đổi sang làn đường bên trái và điều khiển</t>
    </r>
    <r>
      <rPr>
        <sz val="14"/>
        <color theme="1"/>
        <rFont val="Times New Roman"/>
        <family val="1"/>
      </rPr>
      <t xml:space="preserve"> </t>
    </r>
    <r>
      <rPr>
        <u/>
        <sz val="14"/>
        <color theme="1"/>
        <rFont val="Times New Roman"/>
        <family val="1"/>
      </rPr>
      <t>xe từ từ rẽ trái.</t>
    </r>
  </si>
  <si>
    <r>
      <t>2.</t>
    </r>
    <r>
      <rPr>
        <sz val="7"/>
        <color theme="1"/>
        <rFont val="Times New Roman"/>
        <family val="1"/>
      </rPr>
      <t xml:space="preserve">  </t>
    </r>
    <r>
      <rPr>
        <sz val="14"/>
        <color theme="1"/>
        <rFont val="Times New Roman"/>
        <family val="1"/>
      </rPr>
      <t>Cách chỗ rẽ một khoảng cách an toàn có tín hiệu rẽ trái, tăng tốc độ để xe nhanh chóng qua chỗ đường giao nhau; có tín hiệu xin đổi làn đường; quan sát an toàn xung quanh đặc biệt là bên trái; đổi làn đường sang phải để mở rộng vòng cua.</t>
    </r>
  </si>
  <si>
    <r>
      <t>1.</t>
    </r>
    <r>
      <rPr>
        <sz val="7"/>
        <color theme="1"/>
        <rFont val="Times New Roman"/>
        <family val="1"/>
      </rPr>
      <t xml:space="preserve">   </t>
    </r>
    <r>
      <rPr>
        <sz val="14"/>
        <color theme="1"/>
        <rFont val="Times New Roman"/>
        <family val="1"/>
      </rPr>
      <t>Vào số một (1) và từ từ cho hai bánh xe trước xuống rãnh, tăng ga cho hai bánh xe trước vượt lên khỏi rãnh, tăng số, tăng tốc độ để bánh xe sau vượt qua rãnh.</t>
    </r>
  </si>
  <si>
    <r>
      <t>2.</t>
    </r>
    <r>
      <rPr>
        <sz val="7"/>
        <color theme="1"/>
        <rFont val="Times New Roman"/>
        <family val="1"/>
      </rPr>
      <t xml:space="preserve">   </t>
    </r>
    <r>
      <rPr>
        <sz val="14"/>
        <color theme="1"/>
        <rFont val="Times New Roman"/>
        <family val="1"/>
      </rPr>
      <t>Tăng ga, tăng số để hai bánh xe trước và bánh xe sau vượt qua khỏi rãnh và chạy bình thường.</t>
    </r>
  </si>
  <si>
    <r>
      <t>3.</t>
    </r>
    <r>
      <rPr>
        <sz val="7"/>
        <color theme="1"/>
        <rFont val="Times New Roman"/>
        <family val="1"/>
      </rPr>
      <t xml:space="preserve"> </t>
    </r>
    <r>
      <rPr>
        <u/>
        <sz val="14"/>
        <color theme="1"/>
        <rFont val="Times New Roman"/>
        <family val="1"/>
      </rPr>
      <t xml:space="preserve"> Vào số một (1) và từ từ cho hai bánh xe trước xuống rãnh, tăng ga cho hai bánh</t>
    </r>
    <r>
      <rPr>
        <sz val="14"/>
        <color theme="1"/>
        <rFont val="Times New Roman"/>
        <family val="1"/>
      </rPr>
      <t xml:space="preserve"> </t>
    </r>
    <r>
      <rPr>
        <u/>
        <sz val="14"/>
        <color theme="1"/>
        <rFont val="Times New Roman"/>
        <family val="1"/>
      </rPr>
      <t>xe trước vượt lên khỏi rãnh, tiếp tục để bánh xe sau từ từ xuống rãnh rồi tăng dần</t>
    </r>
    <r>
      <rPr>
        <sz val="14"/>
        <color theme="1"/>
        <rFont val="Times New Roman"/>
        <family val="1"/>
      </rPr>
      <t xml:space="preserve"> </t>
    </r>
    <r>
      <rPr>
        <u/>
        <sz val="14"/>
        <color theme="1"/>
        <rFont val="Times New Roman"/>
        <family val="1"/>
      </rPr>
      <t>ga cho xe ô tô lên khỏi rãnh.</t>
    </r>
  </si>
  <si>
    <r>
      <t>1.</t>
    </r>
    <r>
      <rPr>
        <sz val="7"/>
        <color theme="1"/>
        <rFont val="Times New Roman"/>
        <family val="1"/>
      </rPr>
      <t xml:space="preserve">  </t>
    </r>
    <r>
      <rPr>
        <sz val="14"/>
        <color theme="1"/>
        <rFont val="Times New Roman"/>
        <family val="1"/>
      </rPr>
      <t>Khi có chuông báo hoặc thanh chắn đã hạ xuống, người lái xe phải dừng xe tạm thời đúng khoảng cách an toàn, kéo phanh tay nếu đường dốc hoặc phải chờ lâu.</t>
    </r>
  </si>
  <si>
    <r>
      <t>2.</t>
    </r>
    <r>
      <rPr>
        <sz val="7"/>
        <color theme="1"/>
        <rFont val="Times New Roman"/>
        <family val="1"/>
      </rPr>
      <t xml:space="preserve">   </t>
    </r>
    <r>
      <rPr>
        <sz val="14"/>
        <color theme="1"/>
        <rFont val="Times New Roman"/>
        <family val="1"/>
      </rPr>
      <t>Khi không có chuông báo hoặc thanh chắn không hạ xuống, người lái xe cần phải quan sát nếu thấy đủ điều kiện an toàn thì về số thấp, tăng ga nhẹ và không thay đổi số trong quá trình vượt qua đường sắt để tránh động cơ chết máy cho xe cho vượt qua.</t>
    </r>
  </si>
  <si>
    <r>
      <t>1.</t>
    </r>
    <r>
      <rPr>
        <sz val="7"/>
        <color theme="1"/>
        <rFont val="Times New Roman"/>
        <family val="1"/>
      </rPr>
      <t xml:space="preserve">   </t>
    </r>
    <r>
      <rPr>
        <sz val="14"/>
        <color theme="1"/>
        <rFont val="Times New Roman"/>
        <family val="1"/>
      </rPr>
      <t>Khi chạy trên đường xấu, nhiều ổ gà nên chạy chậm để thùng xe không bị lắc mạnh, không gây hiện tượng lệch "ben"; khi chạy vào đường vòng, cần giảm tốc độ, không lấy lái gấp và không phanh gấp.</t>
    </r>
  </si>
  <si>
    <r>
      <t>2.</t>
    </r>
    <r>
      <rPr>
        <sz val="7"/>
        <color theme="1"/>
        <rFont val="Times New Roman"/>
        <family val="1"/>
      </rPr>
      <t xml:space="preserve">  </t>
    </r>
    <r>
      <rPr>
        <sz val="14"/>
        <color theme="1"/>
        <rFont val="Times New Roman"/>
        <family val="1"/>
      </rPr>
      <t>Khi chạy trên đường quốc lộ, đường bằng phẳng không cần hạ hết thùng xe xuống.</t>
    </r>
  </si>
  <si>
    <r>
      <t>3.</t>
    </r>
    <r>
      <rPr>
        <sz val="7"/>
        <color theme="1"/>
        <rFont val="Times New Roman"/>
        <family val="1"/>
      </rPr>
      <t xml:space="preserve">   </t>
    </r>
    <r>
      <rPr>
        <sz val="14"/>
        <color theme="1"/>
        <rFont val="Times New Roman"/>
        <family val="1"/>
      </rPr>
      <t>Khi đổ hàng phải chọn vị trí có nền đường cứng và phẳng, dừng hẳn xe, kéo hết phanh đỗ; sau đó mới điều khiển cơ cấu nâng "ben" để đổ hàng, đổ xong hàng mới hạ thùng xuống.</t>
    </r>
  </si>
  <si>
    <r>
      <t>4.</t>
    </r>
    <r>
      <rPr>
        <sz val="7"/>
        <color theme="1"/>
        <rFont val="Times New Roman"/>
        <family val="1"/>
      </rPr>
      <t xml:space="preserve"> </t>
    </r>
    <r>
      <rPr>
        <u/>
        <sz val="14"/>
        <color theme="1"/>
        <rFont val="Times New Roman"/>
        <family val="1"/>
      </rPr>
      <t xml:space="preserve"> Ý 1 và ý 3.</t>
    </r>
  </si>
  <si>
    <r>
      <t>1.</t>
    </r>
    <r>
      <rPr>
        <sz val="7"/>
        <color theme="1"/>
        <rFont val="Times New Roman"/>
        <family val="1"/>
      </rPr>
      <t xml:space="preserve"> </t>
    </r>
    <r>
      <rPr>
        <u/>
        <sz val="14"/>
        <color theme="1"/>
        <rFont val="Times New Roman"/>
        <family val="1"/>
      </rPr>
      <t xml:space="preserve"> Không được nhìn xuống buồng lái, cần phải tăng thứ tự từ thấp đến cao, phối</t>
    </r>
    <r>
      <rPr>
        <sz val="14"/>
        <color theme="1"/>
        <rFont val="Times New Roman"/>
        <family val="1"/>
      </rPr>
      <t xml:space="preserve"> </t>
    </r>
    <r>
      <rPr>
        <u/>
        <sz val="14"/>
        <color theme="1"/>
        <rFont val="Times New Roman"/>
        <family val="1"/>
      </rPr>
      <t>hợp các động tác phải nhịp nhàng, chính xác.</t>
    </r>
  </si>
  <si>
    <r>
      <t>1.</t>
    </r>
    <r>
      <rPr>
        <sz val="7"/>
        <color theme="1"/>
        <rFont val="Times New Roman"/>
        <family val="1"/>
      </rPr>
      <t xml:space="preserve">   </t>
    </r>
    <r>
      <rPr>
        <sz val="14"/>
        <color theme="1"/>
        <rFont val="Times New Roman"/>
        <family val="1"/>
      </rPr>
      <t>Nhìn xuống buồng lái để biết chính xác vị trí các tay số, cần phải giảm thứ tự từ cao xuống thấp, phối hợp các động tác phải nhịp nhàng, chính xác.</t>
    </r>
  </si>
  <si>
    <r>
      <t>2.</t>
    </r>
    <r>
      <rPr>
        <sz val="7"/>
        <color theme="1"/>
        <rFont val="Times New Roman"/>
        <family val="1"/>
      </rPr>
      <t xml:space="preserve"> </t>
    </r>
    <r>
      <rPr>
        <u/>
        <sz val="14"/>
        <color theme="1"/>
        <rFont val="Times New Roman"/>
        <family val="1"/>
      </rPr>
      <t xml:space="preserve"> Không được nhìn xuống buồng lái, cần phải giảm thứ tự từ cao xuống thấp,</t>
    </r>
    <r>
      <rPr>
        <sz val="14"/>
        <color theme="1"/>
        <rFont val="Times New Roman"/>
        <family val="1"/>
      </rPr>
      <t xml:space="preserve"> </t>
    </r>
    <r>
      <rPr>
        <u/>
        <sz val="14"/>
        <color theme="1"/>
        <rFont val="Times New Roman"/>
        <family val="1"/>
      </rPr>
      <t>phối hợp các động tác phải nhịp nhàng, chính xác, vù ga phải phù hợp với tốc độ.</t>
    </r>
  </si>
  <si>
    <r>
      <t>1.</t>
    </r>
    <r>
      <rPr>
        <sz val="7"/>
        <color theme="1"/>
        <rFont val="Times New Roman"/>
        <family val="1"/>
      </rPr>
      <t xml:space="preserve">   </t>
    </r>
    <r>
      <rPr>
        <sz val="14"/>
        <color theme="1"/>
        <rFont val="Times New Roman"/>
        <family val="1"/>
      </rPr>
      <t>Nhả bàn đạp ga, đạp ly hợp (côn) hết hành trình, đạp mạnh phanh chân để giảm tốc độ.</t>
    </r>
  </si>
  <si>
    <r>
      <t>2.</t>
    </r>
    <r>
      <rPr>
        <sz val="7"/>
        <color theme="1"/>
        <rFont val="Times New Roman"/>
        <family val="1"/>
      </rPr>
      <t xml:space="preserve"> </t>
    </r>
    <r>
      <rPr>
        <u/>
        <sz val="14"/>
        <color theme="1"/>
        <rFont val="Times New Roman"/>
        <family val="1"/>
      </rPr>
      <t xml:space="preserve"> Về số thấp phù hợp, nhả bàn đạp ga, kết hợp đạp phanh chân với mức độ phù</t>
    </r>
    <r>
      <rPr>
        <sz val="14"/>
        <color theme="1"/>
        <rFont val="Times New Roman"/>
        <family val="1"/>
      </rPr>
      <t xml:space="preserve"> </t>
    </r>
    <r>
      <rPr>
        <u/>
        <sz val="14"/>
        <color theme="1"/>
        <rFont val="Times New Roman"/>
        <family val="1"/>
      </rPr>
      <t>hợp để giảm tốc độ.</t>
    </r>
  </si>
  <si>
    <r>
      <t>3.</t>
    </r>
    <r>
      <rPr>
        <sz val="7"/>
        <color theme="1"/>
        <rFont val="Times New Roman"/>
        <family val="1"/>
      </rPr>
      <t xml:space="preserve">   </t>
    </r>
    <r>
      <rPr>
        <sz val="14"/>
        <color theme="1"/>
        <rFont val="Times New Roman"/>
        <family val="1"/>
      </rPr>
      <t>Nhả bàn đạp ga, tăng lên số cao, đạp phanh chân với mức độ phù hợp để giảm tốc độ.</t>
    </r>
  </si>
  <si>
    <r>
      <t>1.</t>
    </r>
    <r>
      <rPr>
        <sz val="7"/>
        <color theme="1"/>
        <rFont val="Times New Roman"/>
        <family val="1"/>
      </rPr>
      <t xml:space="preserve">   </t>
    </r>
    <r>
      <rPr>
        <sz val="14"/>
        <color theme="1"/>
        <rFont val="Times New Roman"/>
        <family val="1"/>
      </rPr>
      <t>Tăng lên số cao, tăng ga và giảm ga liên tục để thay đổi tốc độ, giữ vững tay lái để ô tô vượt qua đoạn đường ngập nước.</t>
    </r>
  </si>
  <si>
    <r>
      <t>2.</t>
    </r>
    <r>
      <rPr>
        <sz val="7"/>
        <color theme="1"/>
        <rFont val="Times New Roman"/>
        <family val="1"/>
      </rPr>
      <t xml:space="preserve">   </t>
    </r>
    <r>
      <rPr>
        <sz val="14"/>
        <color theme="1"/>
        <rFont val="Times New Roman"/>
        <family val="1"/>
      </rPr>
      <t>Đạp ly hợp (côn) hết hành trình, tăng ga và giảm ga liên tục để thay đổi tốc độ, giữ vững tay lái để ô tô vượt qua đoạn đường ngập nước.</t>
    </r>
  </si>
  <si>
    <r>
      <t>1.</t>
    </r>
    <r>
      <rPr>
        <sz val="7"/>
        <color theme="1"/>
        <rFont val="Times New Roman"/>
        <family val="1"/>
      </rPr>
      <t xml:space="preserve"> </t>
    </r>
    <r>
      <rPr>
        <u/>
        <sz val="14"/>
        <color theme="1"/>
        <rFont val="Times New Roman"/>
        <family val="1"/>
      </rPr>
      <t xml:space="preserve"> Chuyển từ đèn chiếu xa sang đèn chiếu gần; không nhìn thẳng vào đèn của xe</t>
    </r>
    <r>
      <rPr>
        <sz val="14"/>
        <color theme="1"/>
        <rFont val="Times New Roman"/>
        <family val="1"/>
      </rPr>
      <t xml:space="preserve"> </t>
    </r>
    <r>
      <rPr>
        <u/>
        <sz val="14"/>
        <color theme="1"/>
        <rFont val="Times New Roman"/>
        <family val="1"/>
      </rPr>
      <t>chạy ngược chiều mà nhìn chếch sang phía phải theo chiều chuyển động của xe mình.</t>
    </r>
  </si>
  <si>
    <r>
      <t>2.</t>
    </r>
    <r>
      <rPr>
        <sz val="7"/>
        <color theme="1"/>
        <rFont val="Times New Roman"/>
        <family val="1"/>
      </rPr>
      <t xml:space="preserve">   </t>
    </r>
    <r>
      <rPr>
        <sz val="14"/>
        <color theme="1"/>
        <rFont val="Times New Roman"/>
        <family val="1"/>
      </rPr>
      <t>Chuyển từ đèn chiếu gần sang đèn chiếu xa; không nhìn thẳng vào đèn của xe chạy ngược chiều mà nhìn chếch sang phía phải theo chiều chuyển động của xe mình.</t>
    </r>
  </si>
  <si>
    <r>
      <t>3.</t>
    </r>
    <r>
      <rPr>
        <sz val="7"/>
        <color theme="1"/>
        <rFont val="Times New Roman"/>
        <family val="1"/>
      </rPr>
      <t xml:space="preserve">   </t>
    </r>
    <r>
      <rPr>
        <sz val="14"/>
        <color theme="1"/>
        <rFont val="Times New Roman"/>
        <family val="1"/>
      </rPr>
      <t>Chuyển từ đèn chiếu xa sang đèn chiếu gần; nhìn thẳng vào đèn của xe chạy ngược chiều để tránh xe bảo đảm an toàn.</t>
    </r>
  </si>
  <si>
    <r>
      <t>1.</t>
    </r>
    <r>
      <rPr>
        <sz val="7"/>
        <color theme="1"/>
        <rFont val="Times New Roman"/>
        <family val="1"/>
      </rPr>
      <t xml:space="preserve">   </t>
    </r>
    <r>
      <rPr>
        <sz val="14"/>
        <color theme="1"/>
        <rFont val="Times New Roman"/>
        <family val="1"/>
      </rPr>
      <t>Giữ vững tay lái cho xe đi đúng vệt bánh xe đi trước, sử dụng số thấp đi chậm, giữ đều ga, đánh lái ngoặt và phanh gấp khi cần thiết.</t>
    </r>
  </si>
  <si>
    <r>
      <t>1.</t>
    </r>
    <r>
      <rPr>
        <sz val="7"/>
        <color theme="1"/>
        <rFont val="Times New Roman"/>
        <family val="1"/>
      </rPr>
      <t xml:space="preserve"> </t>
    </r>
    <r>
      <rPr>
        <u/>
        <sz val="14"/>
        <color theme="1"/>
        <rFont val="Times New Roman"/>
        <family val="1"/>
      </rPr>
      <t xml:space="preserve"> Đang sử dụng phanh đỗ.</t>
    </r>
  </si>
  <si>
    <r>
      <t>2.</t>
    </r>
    <r>
      <rPr>
        <sz val="7"/>
        <color theme="1"/>
        <rFont val="Times New Roman"/>
        <family val="1"/>
      </rPr>
      <t xml:space="preserve">   </t>
    </r>
    <r>
      <rPr>
        <sz val="14"/>
        <color theme="1"/>
        <rFont val="Times New Roman"/>
        <family val="1"/>
      </rPr>
      <t>Nhiệt độ nước làm mát quá mức cho phép.</t>
    </r>
  </si>
  <si>
    <r>
      <t>3.</t>
    </r>
    <r>
      <rPr>
        <sz val="7"/>
        <color theme="1"/>
        <rFont val="Times New Roman"/>
        <family val="1"/>
      </rPr>
      <t xml:space="preserve">   </t>
    </r>
    <r>
      <rPr>
        <sz val="14"/>
        <color theme="1"/>
        <rFont val="Times New Roman"/>
        <family val="1"/>
      </rPr>
      <t>Cửa xe đang mở.</t>
    </r>
  </si>
  <si>
    <r>
      <t>1.</t>
    </r>
    <r>
      <rPr>
        <sz val="7"/>
        <color theme="1"/>
        <rFont val="Times New Roman"/>
        <family val="1"/>
      </rPr>
      <t xml:space="preserve">   </t>
    </r>
    <r>
      <rPr>
        <sz val="14"/>
        <color theme="1"/>
        <rFont val="Times New Roman"/>
        <family val="1"/>
      </rPr>
      <t>Đang sử dụng phanh đỗ.</t>
    </r>
  </si>
  <si>
    <r>
      <t>2.</t>
    </r>
    <r>
      <rPr>
        <sz val="7"/>
        <color theme="1"/>
        <rFont val="Times New Roman"/>
        <family val="1"/>
      </rPr>
      <t xml:space="preserve">   </t>
    </r>
    <r>
      <rPr>
        <sz val="14"/>
        <color theme="1"/>
        <rFont val="Times New Roman"/>
        <family val="1"/>
      </rPr>
      <t>Thiếu dầu phanh.</t>
    </r>
  </si>
  <si>
    <r>
      <t>3.</t>
    </r>
    <r>
      <rPr>
        <sz val="7"/>
        <color theme="1"/>
        <rFont val="Times New Roman"/>
        <family val="1"/>
      </rPr>
      <t xml:space="preserve">   </t>
    </r>
    <r>
      <rPr>
        <sz val="14"/>
        <color theme="1"/>
        <rFont val="Times New Roman"/>
        <family val="1"/>
      </rPr>
      <t>Nhiệt độ nước làm mát tăng quá mức cho phép.</t>
    </r>
  </si>
  <si>
    <r>
      <t>4.</t>
    </r>
    <r>
      <rPr>
        <sz val="7"/>
        <color theme="1"/>
        <rFont val="Times New Roman"/>
        <family val="1"/>
      </rPr>
      <t xml:space="preserve"> </t>
    </r>
    <r>
      <rPr>
        <u/>
        <sz val="14"/>
        <color theme="1"/>
        <rFont val="Times New Roman"/>
        <family val="1"/>
      </rPr>
      <t xml:space="preserve"> Áp suất dầu ở mức thấp</t>
    </r>
    <r>
      <rPr>
        <sz val="14"/>
        <color theme="1"/>
        <rFont val="Times New Roman"/>
        <family val="1"/>
      </rPr>
      <t>.</t>
    </r>
  </si>
  <si>
    <r>
      <t>1.</t>
    </r>
    <r>
      <rPr>
        <sz val="7"/>
        <color theme="1"/>
        <rFont val="Times New Roman"/>
        <family val="1"/>
      </rPr>
      <t xml:space="preserve"> </t>
    </r>
    <r>
      <rPr>
        <u/>
        <sz val="14"/>
        <color theme="1"/>
        <rFont val="Times New Roman"/>
        <family val="1"/>
      </rPr>
      <t xml:space="preserve"> Cửa xe đóng chưa chặt hoặc có cửa xe chưa đóng.</t>
    </r>
  </si>
  <si>
    <r>
      <t>2.</t>
    </r>
    <r>
      <rPr>
        <sz val="7"/>
        <color theme="1"/>
        <rFont val="Times New Roman"/>
        <family val="1"/>
      </rPr>
      <t xml:space="preserve">   </t>
    </r>
    <r>
      <rPr>
        <sz val="14"/>
        <color theme="1"/>
        <rFont val="Times New Roman"/>
        <family val="1"/>
      </rPr>
      <t>Bộ nạp ắc quy gặp sự cố kỹ thuật.</t>
    </r>
  </si>
  <si>
    <r>
      <t>3.</t>
    </r>
    <r>
      <rPr>
        <sz val="7"/>
        <color theme="1"/>
        <rFont val="Times New Roman"/>
        <family val="1"/>
      </rPr>
      <t xml:space="preserve">   </t>
    </r>
    <r>
      <rPr>
        <sz val="14"/>
        <color theme="1"/>
        <rFont val="Times New Roman"/>
        <family val="1"/>
      </rPr>
      <t>Dầu bôi trơn bị thiếu.</t>
    </r>
  </si>
  <si>
    <r>
      <t>4.</t>
    </r>
    <r>
      <rPr>
        <sz val="7"/>
        <color theme="1"/>
        <rFont val="Times New Roman"/>
        <family val="1"/>
      </rPr>
      <t xml:space="preserve">   </t>
    </r>
    <r>
      <rPr>
        <sz val="14"/>
        <color theme="1"/>
        <rFont val="Times New Roman"/>
        <family val="1"/>
      </rPr>
      <t>Ý 2 và ý 3.</t>
    </r>
  </si>
  <si>
    <r>
      <t>1.</t>
    </r>
    <r>
      <rPr>
        <sz val="7"/>
        <color theme="1"/>
        <rFont val="Times New Roman"/>
        <family val="1"/>
      </rPr>
      <t xml:space="preserve">   </t>
    </r>
    <r>
      <rPr>
        <sz val="14"/>
        <color theme="1"/>
        <rFont val="Times New Roman"/>
        <family val="1"/>
      </rPr>
      <t>Thiếu dầu phanh, phanh tay đang hãm.</t>
    </r>
  </si>
  <si>
    <r>
      <t>2.</t>
    </r>
    <r>
      <rPr>
        <sz val="7"/>
        <color theme="1"/>
        <rFont val="Times New Roman"/>
        <family val="1"/>
      </rPr>
      <t xml:space="preserve">   </t>
    </r>
    <r>
      <rPr>
        <sz val="14"/>
        <color theme="1"/>
        <rFont val="Times New Roman"/>
        <family val="1"/>
      </rPr>
      <t>Hệ thống túi khí an toàn gặp sự cố.</t>
    </r>
  </si>
  <si>
    <r>
      <t>3.</t>
    </r>
    <r>
      <rPr>
        <sz val="7"/>
        <color theme="1"/>
        <rFont val="Times New Roman"/>
        <family val="1"/>
      </rPr>
      <t xml:space="preserve"> </t>
    </r>
    <r>
      <rPr>
        <u/>
        <sz val="14"/>
        <color theme="1"/>
        <rFont val="Times New Roman"/>
        <family val="1"/>
      </rPr>
      <t xml:space="preserve"> Lái xe và người ngồi ghế trước chưa cài dây đai an toàn.</t>
    </r>
  </si>
  <si>
    <r>
      <t>4.</t>
    </r>
    <r>
      <rPr>
        <sz val="7"/>
        <color theme="1"/>
        <rFont val="Times New Roman"/>
        <family val="1"/>
      </rPr>
      <t xml:space="preserve">   </t>
    </r>
    <r>
      <rPr>
        <sz val="14"/>
        <color theme="1"/>
        <rFont val="Times New Roman"/>
        <family val="1"/>
      </rPr>
      <t>Cửa đóng chưa chặt, có cửa chưa đóng.</t>
    </r>
  </si>
  <si>
    <r>
      <t>1.</t>
    </r>
    <r>
      <rPr>
        <sz val="7"/>
        <color theme="1"/>
        <rFont val="Times New Roman"/>
        <family val="1"/>
      </rPr>
      <t xml:space="preserve">   </t>
    </r>
    <r>
      <rPr>
        <sz val="14"/>
        <color theme="1"/>
        <rFont val="Times New Roman"/>
        <family val="1"/>
      </rPr>
      <t>Báo hiệu thiếu dầu phanh.</t>
    </r>
  </si>
  <si>
    <r>
      <t>2.</t>
    </r>
    <r>
      <rPr>
        <sz val="7"/>
        <color theme="1"/>
        <rFont val="Times New Roman"/>
        <family val="1"/>
      </rPr>
      <t xml:space="preserve">   </t>
    </r>
    <r>
      <rPr>
        <sz val="14"/>
        <color theme="1"/>
        <rFont val="Times New Roman"/>
        <family val="1"/>
      </rPr>
      <t>Áp suất lốp không đủ.</t>
    </r>
  </si>
  <si>
    <r>
      <t>3.</t>
    </r>
    <r>
      <rPr>
        <sz val="7"/>
        <color theme="1"/>
        <rFont val="Times New Roman"/>
        <family val="1"/>
      </rPr>
      <t xml:space="preserve">   </t>
    </r>
    <r>
      <rPr>
        <sz val="14"/>
        <color theme="1"/>
        <rFont val="Times New Roman"/>
        <family val="1"/>
      </rPr>
      <t>Đang sử dụng phanh đỗ.</t>
    </r>
  </si>
  <si>
    <r>
      <t>4.</t>
    </r>
    <r>
      <rPr>
        <sz val="7"/>
        <color theme="1"/>
        <rFont val="Times New Roman"/>
        <family val="1"/>
      </rPr>
      <t xml:space="preserve"> </t>
    </r>
    <r>
      <rPr>
        <u/>
        <sz val="14"/>
        <color theme="1"/>
        <rFont val="Times New Roman"/>
        <family val="1"/>
      </rPr>
      <t xml:space="preserve"> Sắp hết nhiên liệu.</t>
    </r>
  </si>
  <si>
    <r>
      <t>1.</t>
    </r>
    <r>
      <rPr>
        <sz val="7"/>
        <color theme="1"/>
        <rFont val="Times New Roman"/>
        <family val="1"/>
      </rPr>
      <t xml:space="preserve">   </t>
    </r>
    <r>
      <rPr>
        <sz val="14"/>
        <color theme="1"/>
        <rFont val="Times New Roman"/>
        <family val="1"/>
      </rPr>
      <t>Xăng và dầu diesel.</t>
    </r>
  </si>
  <si>
    <r>
      <t>2.</t>
    </r>
    <r>
      <rPr>
        <sz val="7"/>
        <color theme="1"/>
        <rFont val="Times New Roman"/>
        <family val="1"/>
      </rPr>
      <t xml:space="preserve"> </t>
    </r>
    <r>
      <rPr>
        <u/>
        <sz val="14"/>
        <color theme="1"/>
        <rFont val="Times New Roman"/>
        <family val="1"/>
      </rPr>
      <t xml:space="preserve"> Xăng sinh học và khí sinh học.</t>
    </r>
  </si>
  <si>
    <r>
      <t>3.</t>
    </r>
    <r>
      <rPr>
        <sz val="7"/>
        <color theme="1"/>
        <rFont val="Times New Roman"/>
        <family val="1"/>
      </rPr>
      <t xml:space="preserve">   </t>
    </r>
    <r>
      <rPr>
        <sz val="14"/>
        <color theme="1"/>
        <rFont val="Times New Roman"/>
        <family val="1"/>
      </rPr>
      <t>Ý 1 và ý 2.</t>
    </r>
  </si>
  <si>
    <r>
      <t>1.</t>
    </r>
    <r>
      <rPr>
        <sz val="7"/>
        <color theme="1"/>
        <rFont val="Times New Roman"/>
        <family val="1"/>
      </rPr>
      <t xml:space="preserve">   </t>
    </r>
    <r>
      <rPr>
        <sz val="14"/>
        <color theme="1"/>
        <rFont val="Times New Roman"/>
        <family val="1"/>
      </rPr>
      <t>Bảo dưỡng xe theo định kỳ và có kế hoạch lộ trình trước khi xe chạy.</t>
    </r>
  </si>
  <si>
    <r>
      <t>2.</t>
    </r>
    <r>
      <rPr>
        <sz val="7"/>
        <color theme="1"/>
        <rFont val="Times New Roman"/>
        <family val="1"/>
      </rPr>
      <t xml:space="preserve">   </t>
    </r>
    <r>
      <rPr>
        <sz val="14"/>
        <color theme="1"/>
        <rFont val="Times New Roman"/>
        <family val="1"/>
      </rPr>
      <t>Kiểm tra áp suất lốp theo quy định và chạy xe với tốc độ phù hợp với tình trạng mặt đường và mật độ giao thông trên đường.</t>
    </r>
  </si>
  <si>
    <r>
      <t>1.</t>
    </r>
    <r>
      <rPr>
        <sz val="7"/>
        <color theme="1"/>
        <rFont val="Times New Roman"/>
        <family val="1"/>
      </rPr>
      <t xml:space="preserve"> </t>
    </r>
    <r>
      <rPr>
        <u/>
        <sz val="14"/>
        <color theme="1"/>
        <rFont val="Times New Roman"/>
        <family val="1"/>
      </rPr>
      <t xml:space="preserve"> Quan sát tình hình giao thông phía trước, phía sau và phía bên mở cửa xe, mở</t>
    </r>
    <r>
      <rPr>
        <sz val="14"/>
        <color theme="1"/>
        <rFont val="Times New Roman"/>
        <family val="1"/>
      </rPr>
      <t xml:space="preserve"> </t>
    </r>
    <r>
      <rPr>
        <u/>
        <sz val="14"/>
        <color theme="1"/>
        <rFont val="Times New Roman"/>
        <family val="1"/>
      </rPr>
      <t>hé cánh cửa, nếu đảm bảo an toàn thì mở cửa ở mức cần thiết để xuống xe ô tô.</t>
    </r>
  </si>
  <si>
    <r>
      <t>2.</t>
    </r>
    <r>
      <rPr>
        <sz val="7"/>
        <color theme="1"/>
        <rFont val="Times New Roman"/>
        <family val="1"/>
      </rPr>
      <t xml:space="preserve">   </t>
    </r>
    <r>
      <rPr>
        <sz val="14"/>
        <color theme="1"/>
        <rFont val="Times New Roman"/>
        <family val="1"/>
      </rPr>
      <t>Mở cánh cửa và quan sát tình hình giao thông phía trước, nếu đảm bảo an toàn thì mở cửa ở mức cần thiết để xuống xe ô tô.</t>
    </r>
  </si>
  <si>
    <r>
      <t>3.</t>
    </r>
    <r>
      <rPr>
        <sz val="7"/>
        <color theme="1"/>
        <rFont val="Times New Roman"/>
        <family val="1"/>
      </rPr>
      <t xml:space="preserve">   </t>
    </r>
    <r>
      <rPr>
        <sz val="14"/>
        <color theme="1"/>
        <rFont val="Times New Roman"/>
        <family val="1"/>
      </rPr>
      <t>Mở cánh cửa hết hành trình và nhanh chóng ra khỏi xe ô tô.</t>
    </r>
  </si>
  <si>
    <r>
      <t>1.</t>
    </r>
    <r>
      <rPr>
        <sz val="7"/>
        <color theme="1"/>
        <rFont val="Times New Roman"/>
        <family val="1"/>
      </rPr>
      <t xml:space="preserve">   </t>
    </r>
    <r>
      <rPr>
        <sz val="14"/>
        <color theme="1"/>
        <rFont val="Times New Roman"/>
        <family val="1"/>
      </rPr>
      <t>Giảm tốc độ, dừng lại trước vạch dừng, quan sát cả hai phía, nếu không có tàu đi tới, tăng ga nhẹ vượt qua đường sắt.</t>
    </r>
  </si>
  <si>
    <r>
      <t>2.</t>
    </r>
    <r>
      <rPr>
        <sz val="7"/>
        <color theme="1"/>
        <rFont val="Times New Roman"/>
        <family val="1"/>
      </rPr>
      <t xml:space="preserve">  </t>
    </r>
    <r>
      <rPr>
        <sz val="14"/>
        <color theme="1"/>
        <rFont val="Times New Roman"/>
        <family val="1"/>
      </rPr>
      <t>Nếu thấy có tàu đi tới thì dừng lại trước vạch dừng, chỉ khi tàu đi qua mới được đi.</t>
    </r>
  </si>
  <si>
    <r>
      <t>1.</t>
    </r>
    <r>
      <rPr>
        <sz val="7"/>
        <color theme="1"/>
        <rFont val="Times New Roman"/>
        <family val="1"/>
      </rPr>
      <t xml:space="preserve">   </t>
    </r>
    <r>
      <rPr>
        <sz val="14"/>
        <color theme="1"/>
        <rFont val="Times New Roman"/>
        <family val="1"/>
      </rPr>
      <t>Không đúng.</t>
    </r>
  </si>
  <si>
    <r>
      <t>2.</t>
    </r>
    <r>
      <rPr>
        <sz val="7"/>
        <color theme="1"/>
        <rFont val="Times New Roman"/>
        <family val="1"/>
      </rPr>
      <t xml:space="preserve"> </t>
    </r>
    <r>
      <rPr>
        <u/>
        <sz val="14"/>
        <color theme="1"/>
        <rFont val="Times New Roman"/>
        <family val="1"/>
      </rPr>
      <t xml:space="preserve"> Đúng.</t>
    </r>
  </si>
  <si>
    <r>
      <t>3.</t>
    </r>
    <r>
      <rPr>
        <sz val="7"/>
        <color theme="1"/>
        <rFont val="Times New Roman"/>
        <family val="1"/>
      </rPr>
      <t xml:space="preserve">   </t>
    </r>
    <r>
      <rPr>
        <sz val="14"/>
        <color theme="1"/>
        <rFont val="Times New Roman"/>
        <family val="1"/>
      </rPr>
      <t>Không cần thiết, vì nếu nhìn thấy tàu còn cách xa, người lái xe có thể tăng số cao, tăng ga để cho xe nhanh chóng vượt qua đường sắt.</t>
    </r>
  </si>
  <si>
    <r>
      <t>1.</t>
    </r>
    <r>
      <rPr>
        <sz val="7"/>
        <color theme="1"/>
        <rFont val="Times New Roman"/>
        <family val="1"/>
      </rPr>
      <t xml:space="preserve"> </t>
    </r>
    <r>
      <rPr>
        <u/>
        <sz val="14"/>
        <color theme="1"/>
        <rFont val="Times New Roman"/>
        <family val="1"/>
      </rPr>
      <t xml:space="preserve"> Về số thấp, kết hợp phanh chân để giảm tốc độ.</t>
    </r>
  </si>
  <si>
    <r>
      <t>2.</t>
    </r>
    <r>
      <rPr>
        <sz val="7"/>
        <color theme="1"/>
        <rFont val="Times New Roman"/>
        <family val="1"/>
      </rPr>
      <t xml:space="preserve">   </t>
    </r>
    <r>
      <rPr>
        <sz val="14"/>
        <color theme="1"/>
        <rFont val="Times New Roman"/>
        <family val="1"/>
      </rPr>
      <t>Giữ nguyên tay số D, kết hợp phanh đỗ để giảm tốc độ.</t>
    </r>
  </si>
  <si>
    <r>
      <t>3.</t>
    </r>
    <r>
      <rPr>
        <sz val="7"/>
        <color theme="1"/>
        <rFont val="Times New Roman"/>
        <family val="1"/>
      </rPr>
      <t xml:space="preserve">   </t>
    </r>
    <r>
      <rPr>
        <sz val="14"/>
        <color theme="1"/>
        <rFont val="Times New Roman"/>
        <family val="1"/>
      </rPr>
      <t>Về số N (số 0), kết hợp phanh chân để giảm tốc độ.</t>
    </r>
  </si>
  <si>
    <r>
      <t>1.</t>
    </r>
    <r>
      <rPr>
        <sz val="7"/>
        <color theme="1"/>
        <rFont val="Times New Roman"/>
        <family val="1"/>
      </rPr>
      <t xml:space="preserve"> </t>
    </r>
    <r>
      <rPr>
        <u/>
        <sz val="14"/>
        <color theme="1"/>
        <rFont val="Times New Roman"/>
        <family val="1"/>
      </rPr>
      <t xml:space="preserve"> Vị trí N hoặc vị trí P hoặc số 0.</t>
    </r>
  </si>
  <si>
    <r>
      <t>2.</t>
    </r>
    <r>
      <rPr>
        <sz val="7"/>
        <color theme="1"/>
        <rFont val="Times New Roman"/>
        <family val="1"/>
      </rPr>
      <t xml:space="preserve">   </t>
    </r>
    <r>
      <rPr>
        <sz val="14"/>
        <color theme="1"/>
        <rFont val="Times New Roman"/>
        <family val="1"/>
      </rPr>
      <t>Vị trí D hoặc số 1.</t>
    </r>
  </si>
  <si>
    <r>
      <t>3.</t>
    </r>
    <r>
      <rPr>
        <sz val="7"/>
        <color theme="1"/>
        <rFont val="Times New Roman"/>
        <family val="1"/>
      </rPr>
      <t xml:space="preserve">   </t>
    </r>
    <r>
      <rPr>
        <sz val="14"/>
        <color theme="1"/>
        <rFont val="Times New Roman"/>
        <family val="1"/>
      </rPr>
      <t>Vị trí R.</t>
    </r>
  </si>
  <si>
    <r>
      <t>1.</t>
    </r>
    <r>
      <rPr>
        <sz val="7"/>
        <color theme="1"/>
        <rFont val="Times New Roman"/>
        <family val="1"/>
      </rPr>
      <t xml:space="preserve"> </t>
    </r>
    <r>
      <rPr>
        <u/>
        <sz val="14"/>
        <color theme="1"/>
        <rFont val="Times New Roman"/>
        <family val="1"/>
      </rPr>
      <t xml:space="preserve"> Không sử dụng chân trái; chân phải điều khiển bàn đạp phanh và bàn đạp ga.</t>
    </r>
  </si>
  <si>
    <r>
      <t>2.</t>
    </r>
    <r>
      <rPr>
        <sz val="7"/>
        <color theme="1"/>
        <rFont val="Times New Roman"/>
        <family val="1"/>
      </rPr>
      <t xml:space="preserve">   </t>
    </r>
    <r>
      <rPr>
        <sz val="14"/>
        <color theme="1"/>
        <rFont val="Times New Roman"/>
        <family val="1"/>
      </rPr>
      <t>Chân trái điều khiển bàn đạp phanh, chân phải điều khiển bàn đạp ga.</t>
    </r>
  </si>
  <si>
    <r>
      <t>1.</t>
    </r>
    <r>
      <rPr>
        <sz val="7"/>
        <color theme="1"/>
        <rFont val="Times New Roman"/>
        <family val="1"/>
      </rPr>
      <t xml:space="preserve">   </t>
    </r>
    <r>
      <rPr>
        <sz val="14"/>
        <color theme="1"/>
        <rFont val="Times New Roman"/>
        <family val="1"/>
      </rPr>
      <t>Tăng tốc độ, chạy gần xe trước, nhìn đèn hậu để định hướng.</t>
    </r>
  </si>
  <si>
    <r>
      <t>2.</t>
    </r>
    <r>
      <rPr>
        <sz val="7"/>
        <color theme="1"/>
        <rFont val="Times New Roman"/>
        <family val="1"/>
      </rPr>
      <t xml:space="preserve"> </t>
    </r>
    <r>
      <rPr>
        <u/>
        <sz val="14"/>
        <color theme="1"/>
        <rFont val="Times New Roman"/>
        <family val="1"/>
      </rPr>
      <t xml:space="preserve"> Giảm tốc độ, chạy cách xa xe trước với khoảng cách an toàn, bật đèn sương mù</t>
    </r>
    <r>
      <rPr>
        <sz val="14"/>
        <color theme="1"/>
        <rFont val="Times New Roman"/>
        <family val="1"/>
      </rPr>
      <t xml:space="preserve"> </t>
    </r>
    <r>
      <rPr>
        <u/>
        <sz val="14"/>
        <color theme="1"/>
        <rFont val="Times New Roman"/>
        <family val="1"/>
      </rPr>
      <t>và đèn chiếu gần.</t>
    </r>
  </si>
  <si>
    <r>
      <t>3.</t>
    </r>
    <r>
      <rPr>
        <sz val="7"/>
        <color theme="1"/>
        <rFont val="Times New Roman"/>
        <family val="1"/>
      </rPr>
      <t xml:space="preserve">   </t>
    </r>
    <r>
      <rPr>
        <sz val="14"/>
        <color theme="1"/>
        <rFont val="Times New Roman"/>
        <family val="1"/>
      </rPr>
      <t>Tăng tốc độ, bật đèn pha vượt qua xe chạy trước.</t>
    </r>
  </si>
  <si>
    <r>
      <t>1.</t>
    </r>
    <r>
      <rPr>
        <sz val="7"/>
        <color theme="1"/>
        <rFont val="Times New Roman"/>
        <family val="1"/>
      </rPr>
      <t xml:space="preserve"> </t>
    </r>
    <r>
      <rPr>
        <u/>
        <sz val="14"/>
        <color theme="1"/>
        <rFont val="Times New Roman"/>
        <family val="1"/>
      </rPr>
      <t xml:space="preserve"> Giảm tốc độ, giữ vững tay lái, nhìn chếch sang lề đường bên phải.</t>
    </r>
  </si>
  <si>
    <r>
      <t>2.</t>
    </r>
    <r>
      <rPr>
        <sz val="7"/>
        <color theme="1"/>
        <rFont val="Times New Roman"/>
        <family val="1"/>
      </rPr>
      <t xml:space="preserve">   </t>
    </r>
    <r>
      <rPr>
        <sz val="14"/>
        <color theme="1"/>
        <rFont val="Times New Roman"/>
        <family val="1"/>
      </rPr>
      <t>Bật đèn pha chiếu xa và giữ nguyên tốc độ.</t>
    </r>
  </si>
  <si>
    <r>
      <t>3.</t>
    </r>
    <r>
      <rPr>
        <sz val="7"/>
        <color theme="1"/>
        <rFont val="Times New Roman"/>
        <family val="1"/>
      </rPr>
      <t xml:space="preserve">   </t>
    </r>
    <r>
      <rPr>
        <sz val="14"/>
        <color theme="1"/>
        <rFont val="Times New Roman"/>
        <family val="1"/>
      </rPr>
      <t>Tăng tốc độ, bật đèn pha đối diện xe phía trước.</t>
    </r>
  </si>
  <si>
    <r>
      <t>1.</t>
    </r>
    <r>
      <rPr>
        <sz val="7"/>
        <color theme="1"/>
        <rFont val="Times New Roman"/>
        <family val="1"/>
      </rPr>
      <t xml:space="preserve">   </t>
    </r>
    <r>
      <rPr>
        <sz val="14"/>
        <color theme="1"/>
        <rFont val="Times New Roman"/>
        <family val="1"/>
      </rPr>
      <t>Sử dụng phanh trước.</t>
    </r>
  </si>
  <si>
    <r>
      <t>2.</t>
    </r>
    <r>
      <rPr>
        <sz val="7"/>
        <color theme="1"/>
        <rFont val="Times New Roman"/>
        <family val="1"/>
      </rPr>
      <t xml:space="preserve">   </t>
    </r>
    <r>
      <rPr>
        <sz val="14"/>
        <color theme="1"/>
        <rFont val="Times New Roman"/>
        <family val="1"/>
      </rPr>
      <t>Sử dụng phanh sau.</t>
    </r>
  </si>
  <si>
    <r>
      <t>3.</t>
    </r>
    <r>
      <rPr>
        <sz val="7"/>
        <color theme="1"/>
        <rFont val="Times New Roman"/>
        <family val="1"/>
      </rPr>
      <t xml:space="preserve"> </t>
    </r>
    <r>
      <rPr>
        <u/>
        <sz val="14"/>
        <color theme="1"/>
        <rFont val="Times New Roman"/>
        <family val="1"/>
      </rPr>
      <t xml:space="preserve"> Giảm hết ga, sử dụng đồng thời cả phanh sau và phanh trước.</t>
    </r>
  </si>
  <si>
    <r>
      <t>1.</t>
    </r>
    <r>
      <rPr>
        <sz val="7"/>
        <color theme="1"/>
        <rFont val="Times New Roman"/>
        <family val="1"/>
      </rPr>
      <t xml:space="preserve"> </t>
    </r>
    <r>
      <rPr>
        <u/>
        <sz val="14"/>
        <color theme="1"/>
        <rFont val="Times New Roman"/>
        <family val="1"/>
      </rPr>
      <t xml:space="preserve"> Giảm tốc độ, về số thấp và giữ đều ga.</t>
    </r>
  </si>
  <si>
    <r>
      <t>2.</t>
    </r>
    <r>
      <rPr>
        <sz val="7"/>
        <color theme="1"/>
        <rFont val="Times New Roman"/>
        <family val="1"/>
      </rPr>
      <t xml:space="preserve">   </t>
    </r>
    <r>
      <rPr>
        <sz val="14"/>
        <color theme="1"/>
        <rFont val="Times New Roman"/>
        <family val="1"/>
      </rPr>
      <t>Tăng tốc độ cho xe lướt qua nhanh.</t>
    </r>
  </si>
  <si>
    <r>
      <t>3.</t>
    </r>
    <r>
      <rPr>
        <sz val="7"/>
        <color theme="1"/>
        <rFont val="Times New Roman"/>
        <family val="1"/>
      </rPr>
      <t xml:space="preserve">   </t>
    </r>
    <r>
      <rPr>
        <sz val="14"/>
        <color theme="1"/>
        <rFont val="Times New Roman"/>
        <family val="1"/>
      </rPr>
      <t>Tăng tốc độ, đánh lái liên tục để tránh "ổ gà".</t>
    </r>
  </si>
  <si>
    <r>
      <t>1.</t>
    </r>
    <r>
      <rPr>
        <sz val="7"/>
        <color theme="1"/>
        <rFont val="Times New Roman"/>
        <family val="1"/>
      </rPr>
      <t xml:space="preserve"> </t>
    </r>
    <r>
      <rPr>
        <u/>
        <sz val="14"/>
        <color theme="1"/>
        <rFont val="Times New Roman"/>
        <family val="1"/>
      </rPr>
      <t xml:space="preserve"> Bật đèn chiếu gần và đèn vàng (nếu có), điều khiển gạt nước, điều khiển ô tô đi</t>
    </r>
    <r>
      <rPr>
        <sz val="14"/>
        <color theme="1"/>
        <rFont val="Times New Roman"/>
        <family val="1"/>
      </rPr>
      <t xml:space="preserve"> </t>
    </r>
    <r>
      <rPr>
        <u/>
        <sz val="14"/>
        <color theme="1"/>
        <rFont val="Times New Roman"/>
        <family val="1"/>
      </rPr>
      <t>với tốc độ chậm để có thể quan sát được; tìm chỗ an toàn dừng xe, bật đèn dừng</t>
    </r>
    <r>
      <rPr>
        <sz val="14"/>
        <color theme="1"/>
        <rFont val="Times New Roman"/>
        <family val="1"/>
      </rPr>
      <t xml:space="preserve"> </t>
    </r>
    <r>
      <rPr>
        <u/>
        <sz val="14"/>
        <color theme="1"/>
        <rFont val="Times New Roman"/>
        <family val="1"/>
      </rPr>
      <t>khẩn cấp báo hiệu cho các xe khác biết.</t>
    </r>
  </si>
  <si>
    <r>
      <t>2.</t>
    </r>
    <r>
      <rPr>
        <sz val="7"/>
        <color theme="1"/>
        <rFont val="Times New Roman"/>
        <family val="1"/>
      </rPr>
      <t xml:space="preserve">   </t>
    </r>
    <r>
      <rPr>
        <sz val="14"/>
        <color theme="1"/>
        <rFont val="Times New Roman"/>
        <family val="1"/>
      </rPr>
      <t>Bật đèn chiếu xa và đèn vàng, điều khiển gạt nước, tăng tốc độ điều khiển ô tô qua khỏi khu vực mưa hoặc sương mù.</t>
    </r>
  </si>
  <si>
    <r>
      <t>3.</t>
    </r>
    <r>
      <rPr>
        <sz val="7"/>
        <color theme="1"/>
        <rFont val="Times New Roman"/>
        <family val="1"/>
      </rPr>
      <t xml:space="preserve">   </t>
    </r>
    <r>
      <rPr>
        <sz val="14"/>
        <color theme="1"/>
        <rFont val="Times New Roman"/>
        <family val="1"/>
      </rPr>
      <t>Tăng tốc độ, bật đèn pha vượt qua xe chạy phía trước.</t>
    </r>
  </si>
  <si>
    <r>
      <t>1.</t>
    </r>
    <r>
      <rPr>
        <sz val="7"/>
        <color theme="1"/>
        <rFont val="Times New Roman"/>
        <family val="1"/>
      </rPr>
      <t xml:space="preserve"> </t>
    </r>
    <r>
      <rPr>
        <u/>
        <sz val="14"/>
        <color theme="1"/>
        <rFont val="Times New Roman"/>
        <family val="1"/>
      </rPr>
      <t xml:space="preserve"> Giảm tốc độ, tăng cường quan sát, không nên phanh gấp, không nên tăng ga</t>
    </r>
    <r>
      <rPr>
        <sz val="14"/>
        <color theme="1"/>
        <rFont val="Times New Roman"/>
        <family val="1"/>
      </rPr>
      <t xml:space="preserve"> </t>
    </r>
    <r>
      <rPr>
        <u/>
        <sz val="14"/>
        <color theme="1"/>
        <rFont val="Times New Roman"/>
        <family val="1"/>
      </rPr>
      <t>hay đánh vô lăng đột ngột, bật đèn chiếu gần, mở chế độ gạt nước ở chế độ phù</t>
    </r>
    <r>
      <rPr>
        <sz val="14"/>
        <color theme="1"/>
        <rFont val="Times New Roman"/>
        <family val="1"/>
      </rPr>
      <t xml:space="preserve"> </t>
    </r>
    <r>
      <rPr>
        <u/>
        <sz val="14"/>
        <color theme="1"/>
        <rFont val="Times New Roman"/>
        <family val="1"/>
      </rPr>
      <t>hợp để đảm bảo quan sát.</t>
    </r>
  </si>
  <si>
    <r>
      <t>2.</t>
    </r>
    <r>
      <rPr>
        <sz val="7"/>
        <color theme="1"/>
        <rFont val="Times New Roman"/>
        <family val="1"/>
      </rPr>
      <t xml:space="preserve">   </t>
    </r>
    <r>
      <rPr>
        <sz val="14"/>
        <color theme="1"/>
        <rFont val="Times New Roman"/>
        <family val="1"/>
      </rPr>
      <t>Phanh gấp khi xe đi vào vũng nước và tăng ga ngay sau khi ra khỏi vũng nước.</t>
    </r>
  </si>
  <si>
    <r>
      <t>3.</t>
    </r>
    <r>
      <rPr>
        <sz val="7"/>
        <color theme="1"/>
        <rFont val="Times New Roman"/>
        <family val="1"/>
      </rPr>
      <t xml:space="preserve">   </t>
    </r>
    <r>
      <rPr>
        <sz val="14"/>
        <color theme="1"/>
        <rFont val="Times New Roman"/>
        <family val="1"/>
      </rPr>
      <t>Bật đèn chiếu xa, tăng tốc độ điều khiển ô tô qua khỏi khu vực mưa.</t>
    </r>
  </si>
  <si>
    <r>
      <t>1.</t>
    </r>
    <r>
      <rPr>
        <sz val="7"/>
        <color theme="1"/>
        <rFont val="Times New Roman"/>
        <family val="1"/>
      </rPr>
      <t xml:space="preserve"> </t>
    </r>
    <r>
      <rPr>
        <u/>
        <sz val="14"/>
        <color theme="1"/>
        <rFont val="Times New Roman"/>
        <family val="1"/>
      </rPr>
      <t xml:space="preserve"> Quan sát bên trái, bên phải, phía sau xe, có tín hiệu cần thiết và lùi xe với tốc</t>
    </r>
    <r>
      <rPr>
        <sz val="14"/>
        <color theme="1"/>
        <rFont val="Times New Roman"/>
        <family val="1"/>
      </rPr>
      <t xml:space="preserve"> </t>
    </r>
    <r>
      <rPr>
        <u/>
        <sz val="14"/>
        <color theme="1"/>
        <rFont val="Times New Roman"/>
        <family val="1"/>
      </rPr>
      <t>độ phù hợp.</t>
    </r>
  </si>
  <si>
    <r>
      <t>2.</t>
    </r>
    <r>
      <rPr>
        <sz val="7"/>
        <color theme="1"/>
        <rFont val="Times New Roman"/>
        <family val="1"/>
      </rPr>
      <t xml:space="preserve">   </t>
    </r>
    <r>
      <rPr>
        <sz val="14"/>
        <color theme="1"/>
        <rFont val="Times New Roman"/>
        <family val="1"/>
      </rPr>
      <t>Quan sát phía trước xe và lùi xe với tốc độ nhanh.</t>
    </r>
  </si>
  <si>
    <r>
      <t>3.</t>
    </r>
    <r>
      <rPr>
        <sz val="7"/>
        <color theme="1"/>
        <rFont val="Times New Roman"/>
        <family val="1"/>
      </rPr>
      <t xml:space="preserve">   </t>
    </r>
    <r>
      <rPr>
        <sz val="14"/>
        <color theme="1"/>
        <rFont val="Times New Roman"/>
        <family val="1"/>
      </rPr>
      <t>Quan sát bên trái và phía trước của xe và lùi xe với tốc độ nhanh.</t>
    </r>
  </si>
  <si>
    <r>
      <t>1.</t>
    </r>
    <r>
      <rPr>
        <sz val="7"/>
        <color theme="1"/>
        <rFont val="Times New Roman"/>
        <family val="1"/>
      </rPr>
      <t xml:space="preserve">   </t>
    </r>
    <r>
      <rPr>
        <sz val="14"/>
        <color theme="1"/>
        <rFont val="Times New Roman"/>
        <family val="1"/>
      </rPr>
      <t>Giảm tốc độ đến mức an toàn, quan sát, nhường đường cho người đi bộ, giữ khoảng cách an toàn với các xe phía trước.</t>
    </r>
  </si>
  <si>
    <r>
      <t>2.</t>
    </r>
    <r>
      <rPr>
        <sz val="7"/>
        <color theme="1"/>
        <rFont val="Times New Roman"/>
        <family val="1"/>
      </rPr>
      <t xml:space="preserve">  </t>
    </r>
    <r>
      <rPr>
        <sz val="14"/>
        <color theme="1"/>
        <rFont val="Times New Roman"/>
        <family val="1"/>
      </rPr>
      <t>Đi đúng làn đường quy định, chỉ được chuyển làn đường ở nơi cho phép, nhưng phải quan sát.</t>
    </r>
  </si>
  <si>
    <r>
      <t>1.</t>
    </r>
    <r>
      <rPr>
        <sz val="7"/>
        <color theme="1"/>
        <rFont val="Times New Roman"/>
        <family val="1"/>
      </rPr>
      <t xml:space="preserve"> </t>
    </r>
    <r>
      <rPr>
        <u/>
        <sz val="14"/>
        <color theme="1"/>
        <rFont val="Times New Roman"/>
        <family val="1"/>
      </rPr>
      <t xml:space="preserve"> Quan sát, phát tín hiệu, nhường đường cho các xe đang chạy trên đường cao</t>
    </r>
    <r>
      <rPr>
        <sz val="14"/>
        <color theme="1"/>
        <rFont val="Times New Roman"/>
        <family val="1"/>
      </rPr>
      <t xml:space="preserve"> </t>
    </r>
    <r>
      <rPr>
        <u/>
        <sz val="14"/>
        <color theme="1"/>
        <rFont val="Times New Roman"/>
        <family val="1"/>
      </rPr>
      <t>tốc, khi đủ điều kiện an toàn thì tăng tốc độ cho xe nhập vào làn đường cao tốc,</t>
    </r>
    <r>
      <rPr>
        <sz val="14"/>
        <color theme="1"/>
        <rFont val="Times New Roman"/>
        <family val="1"/>
      </rPr>
      <t xml:space="preserve"> </t>
    </r>
    <r>
      <rPr>
        <u/>
        <sz val="14"/>
        <color theme="1"/>
        <rFont val="Times New Roman"/>
        <family val="1"/>
      </rPr>
      <t>nếu có làn đường tăng tốc thì phải cho xe chạy trên làn đường đó trước khi cho</t>
    </r>
    <r>
      <rPr>
        <sz val="14"/>
        <color theme="1"/>
        <rFont val="Times New Roman"/>
        <family val="1"/>
      </rPr>
      <t xml:space="preserve"> </t>
    </r>
    <r>
      <rPr>
        <u/>
        <sz val="14"/>
        <color theme="1"/>
        <rFont val="Times New Roman"/>
        <family val="1"/>
      </rPr>
      <t>xe nhập vào làn của đường cao tốc.</t>
    </r>
  </si>
  <si>
    <r>
      <t>2.</t>
    </r>
    <r>
      <rPr>
        <sz val="7"/>
        <color theme="1"/>
        <rFont val="Times New Roman"/>
        <family val="1"/>
      </rPr>
      <t xml:space="preserve">   </t>
    </r>
    <r>
      <rPr>
        <sz val="14"/>
        <color theme="1"/>
        <rFont val="Times New Roman"/>
        <family val="1"/>
      </rPr>
      <t>Phát tín hiệu, quan sát các xe đang chạy phía trước, nếu bảo đảm các điều kiện an toàn thì tăng tốc độ cho xe nhập ngay vào làn đường cao tốc.</t>
    </r>
  </si>
  <si>
    <r>
      <t>3.</t>
    </r>
    <r>
      <rPr>
        <sz val="7"/>
        <color theme="1"/>
        <rFont val="Times New Roman"/>
        <family val="1"/>
      </rPr>
      <t xml:space="preserve">   </t>
    </r>
    <r>
      <rPr>
        <sz val="14"/>
        <color theme="1"/>
        <rFont val="Times New Roman"/>
        <family val="1"/>
      </rPr>
      <t>Phát tín hiệu và lái xe nhập vào làn đường tăng tốc, quan sát các xe phía sau đang chạy trên đường cao tốc, khi đủ điều kiện an toàn thì giảm tốc độ, từ từ cho xe nhập vào làn đường cao tốc.</t>
    </r>
  </si>
  <si>
    <r>
      <t>1.</t>
    </r>
    <r>
      <rPr>
        <sz val="7"/>
        <color theme="1"/>
        <rFont val="Times New Roman"/>
        <family val="1"/>
      </rPr>
      <t xml:space="preserve"> </t>
    </r>
    <r>
      <rPr>
        <u/>
        <sz val="14"/>
        <color theme="1"/>
        <rFont val="Times New Roman"/>
        <family val="1"/>
      </rPr>
      <t xml:space="preserve"> Quan sát phía trước để tìm biển báo chỉ dẫn "lối ra đường cao tốc", kiểm tra</t>
    </r>
    <r>
      <rPr>
        <sz val="14"/>
        <color theme="1"/>
        <rFont val="Times New Roman"/>
        <family val="1"/>
      </rPr>
      <t xml:space="preserve"> </t>
    </r>
    <r>
      <rPr>
        <u/>
        <sz val="14"/>
        <color theme="1"/>
        <rFont val="Times New Roman"/>
        <family val="1"/>
      </rPr>
      <t>tình trạng giao thông phía sau và bên phải, nếu bảo đảm điều kiện an toàn thì phát</t>
    </r>
    <r>
      <rPr>
        <sz val="14"/>
        <color theme="1"/>
        <rFont val="Times New Roman"/>
        <family val="1"/>
      </rPr>
      <t xml:space="preserve"> </t>
    </r>
    <r>
      <rPr>
        <u/>
        <sz val="14"/>
        <color theme="1"/>
        <rFont val="Times New Roman"/>
        <family val="1"/>
      </rPr>
      <t>tín hiệu và điều khiển xe chuyển dần sang làn bên phải, nếu có làn đường giảm</t>
    </r>
    <r>
      <rPr>
        <sz val="14"/>
        <color theme="1"/>
        <rFont val="Times New Roman"/>
        <family val="1"/>
      </rPr>
      <t xml:space="preserve"> </t>
    </r>
    <r>
      <rPr>
        <u/>
        <sz val="14"/>
        <color theme="1"/>
        <rFont val="Times New Roman"/>
        <family val="1"/>
      </rPr>
      <t>tốc thì phải cho xe di chuyển trên làn đường đó trước khi ra khỏi đường cao tốc.</t>
    </r>
  </si>
  <si>
    <r>
      <t>2.</t>
    </r>
    <r>
      <rPr>
        <sz val="7"/>
        <color theme="1"/>
        <rFont val="Times New Roman"/>
        <family val="1"/>
      </rPr>
      <t xml:space="preserve">   </t>
    </r>
    <r>
      <rPr>
        <sz val="14"/>
        <color theme="1"/>
        <rFont val="Times New Roman"/>
        <family val="1"/>
      </rPr>
      <t>Quan sát phía trước để tìm biển báo chỉ dẫn "lối ra đường cao tốc", trường hợp vượt qua "lối ra đường cao tốc" thì phát tín hiệu, di chuyển sang làn đường giảm tốc và lùi xe quay trở lại.</t>
    </r>
  </si>
  <si>
    <r>
      <t>1.</t>
    </r>
    <r>
      <rPr>
        <sz val="7"/>
        <color theme="1"/>
        <rFont val="Times New Roman"/>
        <family val="1"/>
      </rPr>
      <t xml:space="preserve"> </t>
    </r>
    <r>
      <rPr>
        <u/>
        <sz val="14"/>
        <color theme="1"/>
        <rFont val="Times New Roman"/>
        <family val="1"/>
      </rPr>
      <t xml:space="preserve"> Xe gặp sự cố, tai nạn hoặc trường hợp khẩn cấp không thể di chuyển bình</t>
    </r>
    <r>
      <rPr>
        <sz val="14"/>
        <color theme="1"/>
        <rFont val="Times New Roman"/>
        <family val="1"/>
      </rPr>
      <t xml:space="preserve"> </t>
    </r>
    <r>
      <rPr>
        <u/>
        <sz val="14"/>
        <color theme="1"/>
        <rFont val="Times New Roman"/>
        <family val="1"/>
      </rPr>
      <t>thường.</t>
    </r>
  </si>
  <si>
    <r>
      <t>2.</t>
    </r>
    <r>
      <rPr>
        <sz val="7"/>
        <color theme="1"/>
        <rFont val="Times New Roman"/>
        <family val="1"/>
      </rPr>
      <t xml:space="preserve">   </t>
    </r>
    <r>
      <rPr>
        <sz val="14"/>
        <color theme="1"/>
        <rFont val="Times New Roman"/>
        <family val="1"/>
      </rPr>
      <t>Để nghỉ ngơi, đi vệ sinh, chụp ảnh, làm việc riêng...</t>
    </r>
  </si>
  <si>
    <r>
      <t>1.</t>
    </r>
    <r>
      <rPr>
        <sz val="7"/>
        <color theme="1"/>
        <rFont val="Times New Roman"/>
        <family val="1"/>
      </rPr>
      <t xml:space="preserve">   </t>
    </r>
    <r>
      <rPr>
        <sz val="14"/>
        <color theme="1"/>
        <rFont val="Times New Roman"/>
        <family val="1"/>
      </rPr>
      <t>Giữ khoảng cách an toàn, tránh đi vào vị trí điểm mù của xe kéo rơ moóc, bật xi nhan trái đồng thời kết hợp đèn, còi xin vượt.</t>
    </r>
  </si>
  <si>
    <r>
      <t>2.</t>
    </r>
    <r>
      <rPr>
        <sz val="7"/>
        <color theme="1"/>
        <rFont val="Times New Roman"/>
        <family val="1"/>
      </rPr>
      <t xml:space="preserve">   </t>
    </r>
    <r>
      <rPr>
        <sz val="14"/>
        <color theme="1"/>
        <rFont val="Times New Roman"/>
        <family val="1"/>
      </rPr>
      <t>Khi xe kéo rơ moóc đã có tín hiệu cho vượt (không có chướng ngại vật phía trước và xe đi ngược chiều), thấy đủ điều kiện an toàn thì vượt dứt khoát, không di chuyển song song bên cạnh xe kéo rơ moóc.</t>
    </r>
  </si>
  <si>
    <r>
      <t>3.</t>
    </r>
    <r>
      <rPr>
        <sz val="7"/>
        <color theme="1"/>
        <rFont val="Times New Roman"/>
        <family val="1"/>
      </rPr>
      <t xml:space="preserve">   </t>
    </r>
    <r>
      <rPr>
        <sz val="14"/>
        <color theme="1"/>
        <rFont val="Times New Roman"/>
        <family val="1"/>
      </rPr>
      <t>Khi vượt qua, phải quan sát gương chiếu hậu bên phải nếu có khoảng trống an toàn mới được cho xe chạy vào làn của mình, tắt xi nhan và tiếp tục hành trình.</t>
    </r>
  </si>
  <si>
    <r>
      <t>1.</t>
    </r>
    <r>
      <rPr>
        <sz val="7"/>
        <color theme="1"/>
        <rFont val="Times New Roman"/>
        <family val="1"/>
      </rPr>
      <t xml:space="preserve"> </t>
    </r>
    <r>
      <rPr>
        <u/>
        <sz val="14"/>
        <color theme="1"/>
        <rFont val="Times New Roman"/>
        <family val="1"/>
      </rPr>
      <t xml:space="preserve"> Nhả bàn đạp ga, về số thấp, đạp phanh chân với mức độ phù hợp để giảm tốc độ.</t>
    </r>
  </si>
  <si>
    <r>
      <t>2.</t>
    </r>
    <r>
      <rPr>
        <sz val="7"/>
        <color theme="1"/>
        <rFont val="Times New Roman"/>
        <family val="1"/>
      </rPr>
      <t xml:space="preserve">   </t>
    </r>
    <r>
      <rPr>
        <sz val="14"/>
        <color theme="1"/>
        <rFont val="Times New Roman"/>
        <family val="1"/>
      </rPr>
      <t>Nhả bàn đạp ga, về số N đạp phanh chân và kéo phanh tay để giảm tốc độ.</t>
    </r>
  </si>
  <si>
    <r>
      <t>1.</t>
    </r>
    <r>
      <rPr>
        <sz val="7"/>
        <color theme="1"/>
        <rFont val="Times New Roman"/>
        <family val="1"/>
      </rPr>
      <t xml:space="preserve"> </t>
    </r>
    <r>
      <rPr>
        <u/>
        <sz val="14"/>
        <color theme="1"/>
        <rFont val="Times New Roman"/>
        <family val="1"/>
      </rPr>
      <t xml:space="preserve"> Quan sát, giảm tốc độ, phát tín hiệu, nhường đường cho xe trên đường chính</t>
    </r>
    <r>
      <rPr>
        <sz val="14"/>
        <color theme="1"/>
        <rFont val="Times New Roman"/>
        <family val="1"/>
      </rPr>
      <t xml:space="preserve"> </t>
    </r>
    <r>
      <rPr>
        <u/>
        <sz val="14"/>
        <color theme="1"/>
        <rFont val="Times New Roman"/>
        <family val="1"/>
      </rPr>
      <t>từ bất kỳ hướng nào tới.</t>
    </r>
  </si>
  <si>
    <r>
      <t>2.</t>
    </r>
    <r>
      <rPr>
        <sz val="7"/>
        <color theme="1"/>
        <rFont val="Times New Roman"/>
        <family val="1"/>
      </rPr>
      <t xml:space="preserve">   </t>
    </r>
    <r>
      <rPr>
        <sz val="14"/>
        <color theme="1"/>
        <rFont val="Times New Roman"/>
        <family val="1"/>
      </rPr>
      <t>Nháy đèn, bấm còi để xe đi trên đường chính biết và tăng tốc độ cho xe đi ra đường chính.</t>
    </r>
  </si>
  <si>
    <r>
      <t>1.</t>
    </r>
    <r>
      <rPr>
        <sz val="7"/>
        <color theme="1"/>
        <rFont val="Times New Roman"/>
        <family val="1"/>
      </rPr>
      <t xml:space="preserve">   </t>
    </r>
    <r>
      <rPr>
        <sz val="14"/>
        <color theme="1"/>
        <rFont val="Times New Roman"/>
        <family val="1"/>
      </rPr>
      <t>Giảm tốc độ để bảo đảm an toàn với xe phía trước và sử dụng điện thoại để liên lạc.</t>
    </r>
  </si>
  <si>
    <r>
      <t>2.</t>
    </r>
    <r>
      <rPr>
        <sz val="7"/>
        <color theme="1"/>
        <rFont val="Times New Roman"/>
        <family val="1"/>
      </rPr>
      <t xml:space="preserve"> </t>
    </r>
    <r>
      <rPr>
        <u/>
        <sz val="14"/>
        <color theme="1"/>
        <rFont val="Times New Roman"/>
        <family val="1"/>
      </rPr>
      <t xml:space="preserve"> Giảm tốc độ để dừng xe ở nơi cho phép sau đó sử dụng điện thoại để liên lạc.</t>
    </r>
  </si>
  <si>
    <r>
      <t>3.</t>
    </r>
    <r>
      <rPr>
        <sz val="7"/>
        <color theme="1"/>
        <rFont val="Times New Roman"/>
        <family val="1"/>
      </rPr>
      <t xml:space="preserve">   </t>
    </r>
    <r>
      <rPr>
        <sz val="14"/>
        <color theme="1"/>
        <rFont val="Times New Roman"/>
        <family val="1"/>
      </rPr>
      <t>Tăng tốc độ để cách xa xe phía sau và sử dụng điện thoại để liên lạc.</t>
    </r>
  </si>
  <si>
    <r>
      <t>1.</t>
    </r>
    <r>
      <rPr>
        <sz val="7"/>
        <color theme="1"/>
        <rFont val="Times New Roman"/>
        <family val="1"/>
      </rPr>
      <t xml:space="preserve">   </t>
    </r>
    <r>
      <rPr>
        <sz val="14"/>
        <color theme="1"/>
        <rFont val="Times New Roman"/>
        <family val="1"/>
      </rPr>
      <t>Sử dụng còi.</t>
    </r>
  </si>
  <si>
    <r>
      <t>2.</t>
    </r>
    <r>
      <rPr>
        <sz val="7"/>
        <color theme="1"/>
        <rFont val="Times New Roman"/>
        <family val="1"/>
      </rPr>
      <t xml:space="preserve">   </t>
    </r>
    <r>
      <rPr>
        <sz val="14"/>
        <color theme="1"/>
        <rFont val="Times New Roman"/>
        <family val="1"/>
      </rPr>
      <t>Phanh đồng thời cả phanh trước và phanh sau.</t>
    </r>
  </si>
  <si>
    <r>
      <t>3.</t>
    </r>
    <r>
      <rPr>
        <sz val="7"/>
        <color theme="1"/>
        <rFont val="Times New Roman"/>
        <family val="1"/>
      </rPr>
      <t xml:space="preserve"> </t>
    </r>
    <r>
      <rPr>
        <u/>
        <sz val="14"/>
        <color theme="1"/>
        <rFont val="Times New Roman"/>
        <family val="1"/>
      </rPr>
      <t xml:space="preserve"> Chỉ sử dụng phanh trước.</t>
    </r>
  </si>
  <si>
    <r>
      <t>1.</t>
    </r>
    <r>
      <rPr>
        <sz val="7"/>
        <color theme="1"/>
        <rFont val="Times New Roman"/>
        <family val="1"/>
      </rPr>
      <t xml:space="preserve"> </t>
    </r>
    <r>
      <rPr>
        <u/>
        <sz val="14"/>
        <color theme="1"/>
        <rFont val="Times New Roman"/>
        <family val="1"/>
      </rPr>
      <t xml:space="preserve"> Quan sát phía trước, phía sau và bên phía mở cửa để phát hiện các phương tiện</t>
    </r>
    <r>
      <rPr>
        <sz val="14"/>
        <color theme="1"/>
        <rFont val="Times New Roman"/>
        <family val="1"/>
      </rPr>
      <t xml:space="preserve"> </t>
    </r>
    <r>
      <rPr>
        <u/>
        <sz val="14"/>
        <color theme="1"/>
        <rFont val="Times New Roman"/>
        <family val="1"/>
      </rPr>
      <t>đang di chuyển tới gần, khi đủ điều kiện an toàn, mở hé cửa, sau đó mở ở mức</t>
    </r>
    <r>
      <rPr>
        <sz val="14"/>
        <color theme="1"/>
        <rFont val="Times New Roman"/>
        <family val="1"/>
      </rPr>
      <t xml:space="preserve"> </t>
    </r>
    <r>
      <rPr>
        <u/>
        <sz val="14"/>
        <color theme="1"/>
        <rFont val="Times New Roman"/>
        <family val="1"/>
      </rPr>
      <t>cần thiết để xuống xe.</t>
    </r>
  </si>
  <si>
    <r>
      <t>2.</t>
    </r>
    <r>
      <rPr>
        <sz val="7"/>
        <color theme="1"/>
        <rFont val="Times New Roman"/>
        <family val="1"/>
      </rPr>
      <t xml:space="preserve">   </t>
    </r>
    <r>
      <rPr>
        <sz val="14"/>
        <color theme="1"/>
        <rFont val="Times New Roman"/>
        <family val="1"/>
      </rPr>
      <t>Quan sát tình hình giao thông phía trước, không cần quan sát phía sau và bên mở cửa; mở cánh cửa hết hành trình và nhanh chóng ra khỏi xe ô tô.</t>
    </r>
  </si>
  <si>
    <r>
      <t>1.</t>
    </r>
    <r>
      <rPr>
        <sz val="7"/>
        <color theme="1"/>
        <rFont val="Times New Roman"/>
        <family val="1"/>
      </rPr>
      <t xml:space="preserve">  </t>
    </r>
    <r>
      <rPr>
        <sz val="14"/>
        <color theme="1"/>
        <rFont val="Times New Roman"/>
        <family val="1"/>
      </rPr>
      <t>Bật tín hiệu báo rẽ trước khi quay đầu, từ từ giảm tốc độ đến mức có thể dừng lại.</t>
    </r>
  </si>
  <si>
    <r>
      <t>2.</t>
    </r>
    <r>
      <rPr>
        <sz val="7"/>
        <color theme="1"/>
        <rFont val="Times New Roman"/>
        <family val="1"/>
      </rPr>
      <t xml:space="preserve">   </t>
    </r>
    <r>
      <rPr>
        <sz val="14"/>
        <color theme="1"/>
        <rFont val="Times New Roman"/>
        <family val="1"/>
      </rPr>
      <t>Chỉ quay đầu xe tại những nơi được phép quay đầu.</t>
    </r>
  </si>
  <si>
    <r>
      <t>3.</t>
    </r>
    <r>
      <rPr>
        <sz val="7"/>
        <color theme="1"/>
        <rFont val="Times New Roman"/>
        <family val="1"/>
      </rPr>
      <t xml:space="preserve">   </t>
    </r>
    <r>
      <rPr>
        <sz val="14"/>
        <color theme="1"/>
        <rFont val="Times New Roman"/>
        <family val="1"/>
      </rPr>
      <t>Quan sát an toàn các phương tiện tới từ phía trước, phía sau, hai bên đồng thời nhường đường cho xe từ bên phải và phía trước đi tới.</t>
    </r>
  </si>
  <si>
    <r>
      <t>1.</t>
    </r>
    <r>
      <rPr>
        <sz val="7"/>
        <color theme="1"/>
        <rFont val="Times New Roman"/>
        <family val="1"/>
      </rPr>
      <t xml:space="preserve">   </t>
    </r>
    <r>
      <rPr>
        <sz val="14"/>
        <color theme="1"/>
        <rFont val="Times New Roman"/>
        <family val="1"/>
      </rPr>
      <t>Để điều khiển xe chạy về phía trước.</t>
    </r>
  </si>
  <si>
    <r>
      <t>2.</t>
    </r>
    <r>
      <rPr>
        <sz val="7"/>
        <color theme="1"/>
        <rFont val="Times New Roman"/>
        <family val="1"/>
      </rPr>
      <t xml:space="preserve">   </t>
    </r>
    <r>
      <rPr>
        <sz val="14"/>
        <color theme="1"/>
        <rFont val="Times New Roman"/>
        <family val="1"/>
      </rPr>
      <t>Để điều tiết công suất động cơ qua đó điều khiển tốc độ của xe.</t>
    </r>
  </si>
  <si>
    <r>
      <t>3.</t>
    </r>
    <r>
      <rPr>
        <sz val="7"/>
        <color theme="1"/>
        <rFont val="Times New Roman"/>
        <family val="1"/>
      </rPr>
      <t xml:space="preserve">   </t>
    </r>
    <r>
      <rPr>
        <sz val="14"/>
        <color theme="1"/>
        <rFont val="Times New Roman"/>
        <family val="1"/>
      </rPr>
      <t>Để điều khiển xe chạy lùi.</t>
    </r>
  </si>
  <si>
    <r>
      <t>1.</t>
    </r>
    <r>
      <rPr>
        <sz val="7"/>
        <color theme="1"/>
        <rFont val="Times New Roman"/>
        <family val="1"/>
      </rPr>
      <t xml:space="preserve">   </t>
    </r>
    <r>
      <rPr>
        <sz val="14"/>
        <color theme="1"/>
        <rFont val="Times New Roman"/>
        <family val="1"/>
      </rPr>
      <t>Để quan sát an toàn phía bên trái khi chuẩn bị rẽ trái.</t>
    </r>
  </si>
  <si>
    <r>
      <t>2.</t>
    </r>
    <r>
      <rPr>
        <sz val="7"/>
        <color theme="1"/>
        <rFont val="Times New Roman"/>
        <family val="1"/>
      </rPr>
      <t xml:space="preserve">   </t>
    </r>
    <r>
      <rPr>
        <sz val="14"/>
        <color theme="1"/>
        <rFont val="Times New Roman"/>
        <family val="1"/>
      </rPr>
      <t>Để quan sát an toàn phía bên phải khi chuẩn bị rẽ phải.</t>
    </r>
  </si>
  <si>
    <r>
      <t>3.</t>
    </r>
    <r>
      <rPr>
        <sz val="7"/>
        <color theme="1"/>
        <rFont val="Times New Roman"/>
        <family val="1"/>
      </rPr>
      <t xml:space="preserve"> </t>
    </r>
    <r>
      <rPr>
        <u/>
        <sz val="14"/>
        <color theme="1"/>
        <rFont val="Times New Roman"/>
        <family val="1"/>
      </rPr>
      <t xml:space="preserve"> Để quan sát an toàn phía sau của bên trái và bên phải trước khi chuyển hướng.</t>
    </r>
  </si>
  <si>
    <r>
      <t>1.</t>
    </r>
    <r>
      <rPr>
        <sz val="7"/>
        <color theme="1"/>
        <rFont val="Times New Roman"/>
        <family val="1"/>
      </rPr>
      <t xml:space="preserve">   </t>
    </r>
    <r>
      <rPr>
        <sz val="14"/>
        <color theme="1"/>
        <rFont val="Times New Roman"/>
        <family val="1"/>
      </rPr>
      <t>Tăng ga thật mạnh, giảm ga từ từ.</t>
    </r>
  </si>
  <si>
    <r>
      <t>2.</t>
    </r>
    <r>
      <rPr>
        <sz val="7"/>
        <color theme="1"/>
        <rFont val="Times New Roman"/>
        <family val="1"/>
      </rPr>
      <t xml:space="preserve">   </t>
    </r>
    <r>
      <rPr>
        <sz val="14"/>
        <color theme="1"/>
        <rFont val="Times New Roman"/>
        <family val="1"/>
      </rPr>
      <t>Tăng ga thật mạnh, giảm ga thật nhanh.</t>
    </r>
  </si>
  <si>
    <r>
      <t>3.</t>
    </r>
    <r>
      <rPr>
        <sz val="7"/>
        <color theme="1"/>
        <rFont val="Times New Roman"/>
        <family val="1"/>
      </rPr>
      <t xml:space="preserve"> </t>
    </r>
    <r>
      <rPr>
        <u/>
        <sz val="14"/>
        <color theme="1"/>
        <rFont val="Times New Roman"/>
        <family val="1"/>
      </rPr>
      <t xml:space="preserve"> Tăng ga từ từ, giảm ga thật nhanh.</t>
    </r>
  </si>
  <si>
    <r>
      <t>4.</t>
    </r>
    <r>
      <rPr>
        <sz val="7"/>
        <color theme="1"/>
        <rFont val="Times New Roman"/>
        <family val="1"/>
      </rPr>
      <t xml:space="preserve">   </t>
    </r>
    <r>
      <rPr>
        <sz val="14"/>
        <color theme="1"/>
        <rFont val="Times New Roman"/>
        <family val="1"/>
      </rPr>
      <t>Tăng ga từ từ, giảm ga từ từ.</t>
    </r>
  </si>
  <si>
    <r>
      <t>1.</t>
    </r>
    <r>
      <rPr>
        <sz val="7"/>
        <color theme="1"/>
        <rFont val="Times New Roman"/>
        <family val="1"/>
      </rPr>
      <t xml:space="preserve">   </t>
    </r>
    <r>
      <rPr>
        <sz val="14"/>
        <color theme="1"/>
        <rFont val="Times New Roman"/>
        <family val="1"/>
      </rPr>
      <t>Đi ở tốc độ thấp, quan sát liên tục khoảng cách từ 05 m đến 10 m phía trước để điều chỉnh sớm hướng di chuyển.</t>
    </r>
  </si>
  <si>
    <r>
      <t>2.</t>
    </r>
    <r>
      <rPr>
        <sz val="7"/>
        <color theme="1"/>
        <rFont val="Times New Roman"/>
        <family val="1"/>
      </rPr>
      <t xml:space="preserve">    </t>
    </r>
    <r>
      <rPr>
        <sz val="14"/>
        <color theme="1"/>
        <rFont val="Times New Roman"/>
        <family val="1"/>
      </rPr>
      <t>Trong quá trình di chuyển không nên dùng phanh trước tránh làm khóa bánh dẫn hướng.</t>
    </r>
  </si>
  <si>
    <r>
      <t>3.</t>
    </r>
    <r>
      <rPr>
        <sz val="7"/>
        <color theme="1"/>
        <rFont val="Times New Roman"/>
        <family val="1"/>
      </rPr>
      <t xml:space="preserve">   </t>
    </r>
    <r>
      <rPr>
        <sz val="14"/>
        <color theme="1"/>
        <rFont val="Times New Roman"/>
        <family val="1"/>
      </rPr>
      <t>Không được lắc người sang trái hoặc phải nhiều, trọng tâm cơ thể cần trùng với trọng tâm của xe.</t>
    </r>
  </si>
  <si>
    <r>
      <t>1.</t>
    </r>
    <r>
      <rPr>
        <sz val="7"/>
        <color theme="1"/>
        <rFont val="Times New Roman"/>
        <family val="1"/>
      </rPr>
      <t xml:space="preserve">   </t>
    </r>
    <r>
      <rPr>
        <sz val="14"/>
        <color theme="1"/>
        <rFont val="Times New Roman"/>
        <family val="1"/>
      </rPr>
      <t>Kiểm tra hệ thống an toàn, pin của xe trước khi xuất phát.</t>
    </r>
  </si>
  <si>
    <r>
      <t>2.</t>
    </r>
    <r>
      <rPr>
        <sz val="7"/>
        <color theme="1"/>
        <rFont val="Times New Roman"/>
        <family val="1"/>
      </rPr>
      <t xml:space="preserve">   </t>
    </r>
    <r>
      <rPr>
        <sz val="14"/>
        <color theme="1"/>
        <rFont val="Times New Roman"/>
        <family val="1"/>
      </rPr>
      <t>Nhả chân ga để phanh tái sinh hoạt động.</t>
    </r>
  </si>
  <si>
    <r>
      <t>3.</t>
    </r>
    <r>
      <rPr>
        <sz val="7"/>
        <color theme="1"/>
        <rFont val="Times New Roman"/>
        <family val="1"/>
      </rPr>
      <t xml:space="preserve">   </t>
    </r>
    <r>
      <rPr>
        <sz val="14"/>
        <color theme="1"/>
        <rFont val="Times New Roman"/>
        <family val="1"/>
      </rPr>
      <t>Rà phanh chân để kịp thời xử lý tình huống khẩn cấp.</t>
    </r>
  </si>
  <si>
    <r>
      <t>1.</t>
    </r>
    <r>
      <rPr>
        <sz val="7"/>
        <color theme="1"/>
        <rFont val="Times New Roman"/>
        <family val="1"/>
      </rPr>
      <t xml:space="preserve">   </t>
    </r>
    <r>
      <rPr>
        <sz val="14"/>
        <color theme="1"/>
        <rFont val="Times New Roman"/>
        <family val="1"/>
      </rPr>
      <t>Người lái xe phải tìm hiểu khả năng chìm trong nước của xe để xác định cung đường di chuyển.</t>
    </r>
  </si>
  <si>
    <r>
      <t>2.</t>
    </r>
    <r>
      <rPr>
        <sz val="7"/>
        <color theme="1"/>
        <rFont val="Times New Roman"/>
        <family val="1"/>
      </rPr>
      <t xml:space="preserve">   </t>
    </r>
    <r>
      <rPr>
        <sz val="14"/>
        <color theme="1"/>
        <rFont val="Times New Roman"/>
        <family val="1"/>
      </rPr>
      <t>Giữ vững tay lái, đi đều ga, tránh không để xe chết máy giữa dòng, không nên dừng xe trên đường ngập nước.</t>
    </r>
  </si>
  <si>
    <r>
      <t>3.</t>
    </r>
    <r>
      <rPr>
        <sz val="7"/>
        <color theme="1"/>
        <rFont val="Times New Roman"/>
        <family val="1"/>
      </rPr>
      <t xml:space="preserve">  </t>
    </r>
    <r>
      <rPr>
        <sz val="14"/>
        <color theme="1"/>
        <rFont val="Times New Roman"/>
        <family val="1"/>
      </rPr>
      <t>Lái xe tốc độ chậm, không tạo sóng và giữ khoảng cách an toàn với các phương tiện xung quanh, nhất là người đi bộ.</t>
    </r>
  </si>
  <si>
    <r>
      <t>1.</t>
    </r>
    <r>
      <rPr>
        <sz val="7"/>
        <color theme="1"/>
        <rFont val="Times New Roman"/>
        <family val="1"/>
      </rPr>
      <t xml:space="preserve">   </t>
    </r>
    <r>
      <rPr>
        <sz val="14"/>
        <color theme="1"/>
        <rFont val="Times New Roman"/>
        <family val="1"/>
      </rPr>
      <t>Kiểm tra que thăm dầu trên các-te. Quan sát vệt dầu trên que thăm, mức dầu này phải nằm ở mức tối đa được thể hiện trên que thăm.</t>
    </r>
  </si>
  <si>
    <r>
      <t>2.</t>
    </r>
    <r>
      <rPr>
        <sz val="7"/>
        <color theme="1"/>
        <rFont val="Times New Roman"/>
        <family val="1"/>
      </rPr>
      <t xml:space="preserve">    </t>
    </r>
    <r>
      <rPr>
        <sz val="14"/>
        <color theme="1"/>
        <rFont val="Times New Roman"/>
        <family val="1"/>
      </rPr>
      <t>Rút que thăm dầu trên các-te. Quan sát vệt dầu trên que thăm, mức dầu này phải nằm ở mức tối thiểu được thể hiện trên que thăm.</t>
    </r>
  </si>
  <si>
    <r>
      <t>3.</t>
    </r>
    <r>
      <rPr>
        <sz val="7"/>
        <color theme="1"/>
        <rFont val="Times New Roman"/>
        <family val="1"/>
      </rPr>
      <t xml:space="preserve"> </t>
    </r>
    <r>
      <rPr>
        <u/>
        <sz val="14"/>
        <color theme="1"/>
        <rFont val="Times New Roman"/>
        <family val="1"/>
      </rPr>
      <t xml:space="preserve"> Rút que thăm dầu trên các-te, lau sạch que thăm sau đó cắm vào các-te và rút</t>
    </r>
    <r>
      <rPr>
        <sz val="14"/>
        <color theme="1"/>
        <rFont val="Times New Roman"/>
        <family val="1"/>
      </rPr>
      <t xml:space="preserve"> </t>
    </r>
    <r>
      <rPr>
        <u/>
        <sz val="14"/>
        <color theme="1"/>
        <rFont val="Times New Roman"/>
        <family val="1"/>
      </rPr>
      <t>ra quan sát vệt dầu trên que thăm, mức dầu phải nằm trong khoảng vạch mức tối</t>
    </r>
    <r>
      <rPr>
        <sz val="14"/>
        <color theme="1"/>
        <rFont val="Times New Roman"/>
        <family val="1"/>
      </rPr>
      <t xml:space="preserve"> </t>
    </r>
    <r>
      <rPr>
        <u/>
        <sz val="14"/>
        <color theme="1"/>
        <rFont val="Times New Roman"/>
        <family val="1"/>
      </rPr>
      <t>thiểu và tối đa được thể hiện trên que thăm.</t>
    </r>
  </si>
  <si>
    <r>
      <t>1.</t>
    </r>
    <r>
      <rPr>
        <sz val="7"/>
        <color theme="1"/>
        <rFont val="Times New Roman"/>
        <family val="1"/>
      </rPr>
      <t xml:space="preserve">   </t>
    </r>
    <r>
      <rPr>
        <sz val="14"/>
        <color theme="1"/>
        <rFont val="Times New Roman"/>
        <family val="1"/>
      </rPr>
      <t>Kính chắn gió, kính cửa phải là loại kính an toàn, bảo đảm tầm nhìn cho người điều khiển; có đủ hệ thống hãm và hệ thống chuyển hướng có hiệu lực, tay lái xe ô tô ở bên trái của xe, có còi với âm lượng đúng quy chuẩn kỹ thuật.</t>
    </r>
  </si>
  <si>
    <r>
      <t>2.</t>
    </r>
    <r>
      <rPr>
        <sz val="7"/>
        <color theme="1"/>
        <rFont val="Times New Roman"/>
        <family val="1"/>
      </rPr>
      <t xml:space="preserve">   </t>
    </r>
    <r>
      <rPr>
        <sz val="14"/>
        <color theme="1"/>
        <rFont val="Times New Roman"/>
        <family val="1"/>
      </rPr>
      <t>Có đủ đèn chiếu sáng gần và xa, đèn soi biển số, đèn báo hãm, đèn tín hiệu; có đủ bộ phận giảm thanh, giảm khói, các kết cấu phải đủ độ bền và bảo đảm tính năng vận hành ổn định.</t>
    </r>
  </si>
  <si>
    <r>
      <t>1.</t>
    </r>
    <r>
      <rPr>
        <sz val="7"/>
        <color theme="1"/>
        <rFont val="Times New Roman"/>
        <family val="1"/>
      </rPr>
      <t xml:space="preserve">   </t>
    </r>
    <r>
      <rPr>
        <sz val="14"/>
        <color theme="1"/>
        <rFont val="Times New Roman"/>
        <family val="1"/>
      </rPr>
      <t>Không bắt buộc.</t>
    </r>
  </si>
  <si>
    <r>
      <t>2.</t>
    </r>
    <r>
      <rPr>
        <sz val="7"/>
        <color theme="1"/>
        <rFont val="Times New Roman"/>
        <family val="1"/>
      </rPr>
      <t xml:space="preserve"> </t>
    </r>
    <r>
      <rPr>
        <u/>
        <sz val="14"/>
        <color theme="1"/>
        <rFont val="Times New Roman"/>
        <family val="1"/>
      </rPr>
      <t xml:space="preserve"> Bắt buộc.</t>
    </r>
  </si>
  <si>
    <r>
      <t>3.</t>
    </r>
    <r>
      <rPr>
        <sz val="7"/>
        <color theme="1"/>
        <rFont val="Times New Roman"/>
        <family val="1"/>
      </rPr>
      <t xml:space="preserve">   </t>
    </r>
    <r>
      <rPr>
        <sz val="14"/>
        <color theme="1"/>
        <rFont val="Times New Roman"/>
        <family val="1"/>
      </rPr>
      <t>Tùy từng trường hợp.</t>
    </r>
  </si>
  <si>
    <r>
      <t>1.</t>
    </r>
    <r>
      <rPr>
        <sz val="7"/>
        <color theme="1"/>
        <rFont val="Times New Roman"/>
        <family val="1"/>
      </rPr>
      <t xml:space="preserve">   </t>
    </r>
    <r>
      <rPr>
        <sz val="14"/>
        <color theme="1"/>
        <rFont val="Times New Roman"/>
        <family val="1"/>
      </rPr>
      <t>Đèn chiếu sáng gần và xa.</t>
    </r>
  </si>
  <si>
    <r>
      <t>2.</t>
    </r>
    <r>
      <rPr>
        <sz val="7"/>
        <color theme="1"/>
        <rFont val="Times New Roman"/>
        <family val="1"/>
      </rPr>
      <t xml:space="preserve">   </t>
    </r>
    <r>
      <rPr>
        <sz val="14"/>
        <color theme="1"/>
        <rFont val="Times New Roman"/>
        <family val="1"/>
      </rPr>
      <t>Đèn soi biển số, đèn báo hãm và đèn tín hiệu.</t>
    </r>
  </si>
  <si>
    <r>
      <t>3.</t>
    </r>
    <r>
      <rPr>
        <sz val="7"/>
        <color theme="1"/>
        <rFont val="Times New Roman"/>
        <family val="1"/>
      </rPr>
      <t xml:space="preserve">   </t>
    </r>
    <r>
      <rPr>
        <sz val="14"/>
        <color theme="1"/>
        <rFont val="Times New Roman"/>
        <family val="1"/>
      </rPr>
      <t>Dàn đèn pha trên nóc xe.</t>
    </r>
  </si>
  <si>
    <r>
      <t>Câu 268</t>
    </r>
    <r>
      <rPr>
        <sz val="14"/>
        <color theme="1"/>
        <rFont val="Times New Roman"/>
        <family val="1"/>
      </rPr>
      <t xml:space="preserve">. </t>
    </r>
    <r>
      <rPr>
        <b/>
        <sz val="14"/>
        <color theme="1"/>
        <rFont val="Times New Roman"/>
        <family val="1"/>
      </rPr>
      <t>Kính chắn gió của xe ô tô phải bảo đảm yêu cầu nào dưới đây?</t>
    </r>
  </si>
  <si>
    <r>
      <t>1.</t>
    </r>
    <r>
      <rPr>
        <sz val="7"/>
        <color theme="1"/>
        <rFont val="Times New Roman"/>
        <family val="1"/>
      </rPr>
      <t xml:space="preserve"> </t>
    </r>
    <r>
      <rPr>
        <u/>
        <sz val="14"/>
        <color theme="1"/>
        <rFont val="Times New Roman"/>
        <family val="1"/>
      </rPr>
      <t xml:space="preserve"> Là loại kính an toàn, kính nhiều lớp, đúng quy cách, không rạn nứt, bảo đảm</t>
    </r>
    <r>
      <rPr>
        <sz val="14"/>
        <color theme="1"/>
        <rFont val="Times New Roman"/>
        <family val="1"/>
      </rPr>
      <t xml:space="preserve"> </t>
    </r>
    <r>
      <rPr>
        <u/>
        <sz val="14"/>
        <color theme="1"/>
        <rFont val="Times New Roman"/>
        <family val="1"/>
      </rPr>
      <t>hình ảnh quan sát rõ ràng, không bị méo mó.</t>
    </r>
  </si>
  <si>
    <r>
      <t>2.</t>
    </r>
    <r>
      <rPr>
        <sz val="7"/>
        <color theme="1"/>
        <rFont val="Times New Roman"/>
        <family val="1"/>
      </rPr>
      <t xml:space="preserve">   </t>
    </r>
    <r>
      <rPr>
        <sz val="14"/>
        <color theme="1"/>
        <rFont val="Times New Roman"/>
        <family val="1"/>
      </rPr>
      <t>Là loại kính trong suốt, không rạn nứt, bảo đảm tầm nhìn cho người điều khiển về phía trước mặt và hai bên.</t>
    </r>
  </si>
  <si>
    <r>
      <t>1.</t>
    </r>
    <r>
      <rPr>
        <sz val="7"/>
        <color theme="1"/>
        <rFont val="Times New Roman"/>
        <family val="1"/>
      </rPr>
      <t xml:space="preserve">   </t>
    </r>
    <r>
      <rPr>
        <sz val="14"/>
        <color theme="1"/>
        <rFont val="Times New Roman"/>
        <family val="1"/>
      </rPr>
      <t>Bánh xe phải có kết cấu chắc chắn, lắp đặt đúng quy cách của nhà sản xuât.</t>
    </r>
  </si>
  <si>
    <r>
      <t>2.</t>
    </r>
    <r>
      <rPr>
        <sz val="7"/>
        <color theme="1"/>
        <rFont val="Times New Roman"/>
        <family val="1"/>
      </rPr>
      <t xml:space="preserve">   </t>
    </r>
    <r>
      <rPr>
        <sz val="14"/>
        <color theme="1"/>
        <rFont val="Times New Roman"/>
        <family val="1"/>
      </rPr>
      <t>Lốp phải đủ số lượng, đủ áp suất, không phồng rộp, đúng cỡ lốp của nhà sản xuất hoặc tài liệu kỹ thuật quy định; lốp trên cùng một trục của xe sử dụng trong điều kiện hoạt động bình thường phải cùng kiểu loại.</t>
    </r>
  </si>
  <si>
    <r>
      <t>1.</t>
    </r>
    <r>
      <rPr>
        <sz val="7"/>
        <color theme="1"/>
        <rFont val="Times New Roman"/>
        <family val="1"/>
      </rPr>
      <t xml:space="preserve">   </t>
    </r>
    <r>
      <rPr>
        <sz val="14"/>
        <color theme="1"/>
        <rFont val="Times New Roman"/>
        <family val="1"/>
      </rPr>
      <t>Bảo đảm cho xe chuyển hướng chính xác, điều khiển nhẹ nhàng, an toàn ở mọi vận tốc và tải trọng trong phạm vi tính năng kỹ thuật cho phép của xe.</t>
    </r>
  </si>
  <si>
    <r>
      <t>2.</t>
    </r>
    <r>
      <rPr>
        <sz val="7"/>
        <color theme="1"/>
        <rFont val="Times New Roman"/>
        <family val="1"/>
      </rPr>
      <t xml:space="preserve">   </t>
    </r>
    <r>
      <rPr>
        <sz val="14"/>
        <color theme="1"/>
        <rFont val="Times New Roman"/>
        <family val="1"/>
      </rPr>
      <t>Khi hoạt động các cơ cấu chuyển động của hệ thống lái không được va chạm với bất kỳ bộ phận nào của xe; khi quay vô lăng lái về bên phải và bên trái thì không được có sự khác biệt đáng kể về lực tác động lên vành tay lái.</t>
    </r>
  </si>
  <si>
    <r>
      <t>1.</t>
    </r>
    <r>
      <rPr>
        <sz val="7"/>
        <color theme="1"/>
        <rFont val="Times New Roman"/>
        <family val="1"/>
      </rPr>
      <t xml:space="preserve">   </t>
    </r>
    <r>
      <rPr>
        <sz val="14"/>
        <color theme="1"/>
        <rFont val="Times New Roman"/>
        <family val="1"/>
      </rPr>
      <t>Bảo dưỡng ô tô thường xuyên làm cho ô tô luôn luôn có tính năng kỹ thuật tốt, giảm cường độ hao mòn của các chi tiết, kéo dài tuổi thọ của xe.</t>
    </r>
  </si>
  <si>
    <r>
      <t>2.</t>
    </r>
    <r>
      <rPr>
        <sz val="7"/>
        <color theme="1"/>
        <rFont val="Times New Roman"/>
        <family val="1"/>
      </rPr>
      <t xml:space="preserve">   </t>
    </r>
    <r>
      <rPr>
        <sz val="14"/>
        <color theme="1"/>
        <rFont val="Times New Roman"/>
        <family val="1"/>
      </rPr>
      <t>Ngăn ngừa và phát hiện kịp thời các hư hỏng và sai lệch kỹ thuật để khắc phục, giữ gìn được hình thức bên ngoài.</t>
    </r>
  </si>
  <si>
    <r>
      <t>1.</t>
    </r>
    <r>
      <rPr>
        <sz val="7"/>
        <color theme="1"/>
        <rFont val="Times New Roman"/>
        <family val="1"/>
      </rPr>
      <t xml:space="preserve"> </t>
    </r>
    <r>
      <rPr>
        <u/>
        <sz val="14"/>
        <color theme="1"/>
        <rFont val="Times New Roman"/>
        <family val="1"/>
      </rPr>
      <t xml:space="preserve"> Hết nhiên liệu, lõi lọc nhiên liệu bị tắc, lọc khí bị tắc, nhiên liệu lẫn không khí,</t>
    </r>
    <r>
      <rPr>
        <sz val="14"/>
        <color theme="1"/>
        <rFont val="Times New Roman"/>
        <family val="1"/>
      </rPr>
      <t xml:space="preserve"> </t>
    </r>
    <r>
      <rPr>
        <u/>
        <sz val="14"/>
        <color theme="1"/>
        <rFont val="Times New Roman"/>
        <family val="1"/>
      </rPr>
      <t>tạp chất.</t>
    </r>
  </si>
  <si>
    <r>
      <t>2.</t>
    </r>
    <r>
      <rPr>
        <sz val="7"/>
        <color theme="1"/>
        <rFont val="Times New Roman"/>
        <family val="1"/>
      </rPr>
      <t xml:space="preserve">   </t>
    </r>
    <r>
      <rPr>
        <sz val="14"/>
        <color theme="1"/>
        <rFont val="Times New Roman"/>
        <family val="1"/>
      </rPr>
      <t>Hết nhiên liệu, lõi lọc nhiên liệu bị tắc, lọc khí bị tắc, nhiên liệu lẫn không khí, không có tia lửa điện.</t>
    </r>
  </si>
  <si>
    <r>
      <t>3.</t>
    </r>
    <r>
      <rPr>
        <sz val="7"/>
        <color theme="1"/>
        <rFont val="Times New Roman"/>
        <family val="1"/>
      </rPr>
      <t xml:space="preserve">   </t>
    </r>
    <r>
      <rPr>
        <sz val="14"/>
        <color theme="1"/>
        <rFont val="Times New Roman"/>
        <family val="1"/>
      </rPr>
      <t>Hết nhiên liệu, lõi lọc nhiên liệu bị tắc, lọc khí bị tắc, nhiên liệu lẫn không khí và nước, không có tia lửa điện.</t>
    </r>
  </si>
  <si>
    <r>
      <t>1.</t>
    </r>
    <r>
      <rPr>
        <sz val="7"/>
        <color theme="1"/>
        <rFont val="Times New Roman"/>
        <family val="1"/>
      </rPr>
      <t xml:space="preserve">   </t>
    </r>
    <r>
      <rPr>
        <sz val="14"/>
        <color theme="1"/>
        <rFont val="Times New Roman"/>
        <family val="1"/>
      </rPr>
      <t>Ống xả không được đặt ở vị trí có thể gây cháy xe hoặc ảnh hưởng đến người ngồi trên xe và gây cản trở hoạt động của hệ thống khác.</t>
    </r>
  </si>
  <si>
    <r>
      <t>2.</t>
    </r>
    <r>
      <rPr>
        <sz val="7"/>
        <color theme="1"/>
        <rFont val="Times New Roman"/>
        <family val="1"/>
      </rPr>
      <t xml:space="preserve">    </t>
    </r>
    <r>
      <rPr>
        <sz val="14"/>
        <color theme="1"/>
        <rFont val="Times New Roman"/>
        <family val="1"/>
      </rPr>
      <t>Miệng thoát khí thải của ống xả không được hướng về phía trước và không được hướng về bên phải theo chiều tiến của xe.</t>
    </r>
  </si>
  <si>
    <r>
      <t>1.</t>
    </r>
    <r>
      <rPr>
        <sz val="7"/>
        <color theme="1"/>
        <rFont val="Times New Roman"/>
        <family val="1"/>
      </rPr>
      <t xml:space="preserve"> </t>
    </r>
    <r>
      <rPr>
        <u/>
        <sz val="14"/>
        <color theme="1"/>
        <rFont val="Times New Roman"/>
        <family val="1"/>
      </rPr>
      <t xml:space="preserve"> Đủ số lượng, lắp đặt chắc chắn không bị rách, đứt, khóa cài đóng, mở nhẹ</t>
    </r>
    <r>
      <rPr>
        <sz val="14"/>
        <color theme="1"/>
        <rFont val="Times New Roman"/>
        <family val="1"/>
      </rPr>
      <t xml:space="preserve"> </t>
    </r>
    <r>
      <rPr>
        <u/>
        <sz val="14"/>
        <color theme="1"/>
        <rFont val="Times New Roman"/>
        <family val="1"/>
      </rPr>
      <t>nhàng, không tự mở, không bị kẹt; kéo ra thu vào dễ dàng, cơ cấu hãm giữ chặt</t>
    </r>
    <r>
      <rPr>
        <sz val="14"/>
        <color theme="1"/>
        <rFont val="Times New Roman"/>
        <family val="1"/>
      </rPr>
      <t xml:space="preserve"> </t>
    </r>
    <r>
      <rPr>
        <u/>
        <sz val="14"/>
        <color theme="1"/>
        <rFont val="Times New Roman"/>
        <family val="1"/>
      </rPr>
      <t>dây khi giật dây đột ngột.</t>
    </r>
  </si>
  <si>
    <r>
      <t>2.</t>
    </r>
    <r>
      <rPr>
        <sz val="7"/>
        <color theme="1"/>
        <rFont val="Times New Roman"/>
        <family val="1"/>
      </rPr>
      <t xml:space="preserve">    </t>
    </r>
    <r>
      <rPr>
        <sz val="14"/>
        <color theme="1"/>
        <rFont val="Times New Roman"/>
        <family val="1"/>
      </rPr>
      <t>Đủ số lượng, lắp đặt chắc chắn không bị rách, đứt, khóa cài đóng, mở nhẹ nhàng, không tự mở, không bị kẹt; kéo ra thu vào dễ dàng, cơ cấu hãm mở ra khi giật dây đột ngột.</t>
    </r>
  </si>
  <si>
    <r>
      <t>1.</t>
    </r>
    <r>
      <rPr>
        <sz val="7"/>
        <color theme="1"/>
        <rFont val="Times New Roman"/>
        <family val="1"/>
      </rPr>
      <t xml:space="preserve">   </t>
    </r>
    <r>
      <rPr>
        <sz val="14"/>
        <color theme="1"/>
        <rFont val="Times New Roman"/>
        <family val="1"/>
      </rPr>
      <t>Là loại động cơ: để hoàn thành một chu trình công tác của động cơ, pít tông thực hiện 2 (hai) hành trình, trong đó có một lần sinh công.</t>
    </r>
  </si>
  <si>
    <r>
      <t>2.</t>
    </r>
    <r>
      <rPr>
        <sz val="7"/>
        <color theme="1"/>
        <rFont val="Times New Roman"/>
        <family val="1"/>
      </rPr>
      <t xml:space="preserve"> </t>
    </r>
    <r>
      <rPr>
        <u/>
        <sz val="14"/>
        <color theme="1"/>
        <rFont val="Times New Roman"/>
        <family val="1"/>
      </rPr>
      <t xml:space="preserve"> Là loại động cơ: để hoàn thành một chu trình công tác của động cơ, pít tông</t>
    </r>
    <r>
      <rPr>
        <sz val="14"/>
        <color theme="1"/>
        <rFont val="Times New Roman"/>
        <family val="1"/>
      </rPr>
      <t xml:space="preserve"> </t>
    </r>
    <r>
      <rPr>
        <u/>
        <sz val="14"/>
        <color theme="1"/>
        <rFont val="Times New Roman"/>
        <family val="1"/>
      </rPr>
      <t>thực hiện 4 (bốn) hành trình, trong đó có một lần sinh công.</t>
    </r>
  </si>
  <si>
    <r>
      <t>1.</t>
    </r>
    <r>
      <rPr>
        <sz val="7"/>
        <color theme="1"/>
        <rFont val="Times New Roman"/>
        <family val="1"/>
      </rPr>
      <t xml:space="preserve"> </t>
    </r>
    <r>
      <rPr>
        <u/>
        <sz val="14"/>
        <color theme="1"/>
        <rFont val="Times New Roman"/>
        <family val="1"/>
      </rPr>
      <t xml:space="preserve"> Cung cấp một lượng dầu bôi trơn đủ và sạch dưới áp suất nhất định đi bôi trơn</t>
    </r>
    <r>
      <rPr>
        <sz val="14"/>
        <color theme="1"/>
        <rFont val="Times New Roman"/>
        <family val="1"/>
      </rPr>
      <t xml:space="preserve"> </t>
    </r>
    <r>
      <rPr>
        <u/>
        <sz val="14"/>
        <color theme="1"/>
        <rFont val="Times New Roman"/>
        <family val="1"/>
      </rPr>
      <t>cho các chi tiết của động cơ để giảm ma sát, giảm mài mòn, làm kín, làm sạch,</t>
    </r>
    <r>
      <rPr>
        <sz val="14"/>
        <color theme="1"/>
        <rFont val="Times New Roman"/>
        <family val="1"/>
      </rPr>
      <t xml:space="preserve"> </t>
    </r>
    <r>
      <rPr>
        <u/>
        <sz val="14"/>
        <color theme="1"/>
        <rFont val="Times New Roman"/>
        <family val="1"/>
      </rPr>
      <t>làm mát và chống gỉ.</t>
    </r>
  </si>
  <si>
    <r>
      <t>2.</t>
    </r>
    <r>
      <rPr>
        <sz val="7"/>
        <color theme="1"/>
        <rFont val="Times New Roman"/>
        <family val="1"/>
      </rPr>
      <t xml:space="preserve">   </t>
    </r>
    <r>
      <rPr>
        <sz val="14"/>
        <color theme="1"/>
        <rFont val="Times New Roman"/>
        <family val="1"/>
      </rPr>
      <t>Cung cấp một lượng nhiên liệu đầy đủ và sạch để cho động cơ ô tô hoạt động.</t>
    </r>
  </si>
  <si>
    <r>
      <t>1.</t>
    </r>
    <r>
      <rPr>
        <sz val="7"/>
        <color theme="1"/>
        <rFont val="Times New Roman"/>
        <family val="1"/>
      </rPr>
      <t xml:space="preserve">   </t>
    </r>
    <r>
      <rPr>
        <sz val="14"/>
        <color theme="1"/>
        <rFont val="Times New Roman"/>
        <family val="1"/>
      </rPr>
      <t>15 năm.</t>
    </r>
  </si>
  <si>
    <r>
      <t>2.</t>
    </r>
    <r>
      <rPr>
        <sz val="7"/>
        <color theme="1"/>
        <rFont val="Times New Roman"/>
        <family val="1"/>
      </rPr>
      <t xml:space="preserve">   </t>
    </r>
    <r>
      <rPr>
        <sz val="14"/>
        <color theme="1"/>
        <rFont val="Times New Roman"/>
        <family val="1"/>
      </rPr>
      <t>20 năm.</t>
    </r>
  </si>
  <si>
    <r>
      <t>3.</t>
    </r>
    <r>
      <rPr>
        <sz val="7"/>
        <color theme="1"/>
        <rFont val="Times New Roman"/>
        <family val="1"/>
      </rPr>
      <t xml:space="preserve"> </t>
    </r>
    <r>
      <rPr>
        <u/>
        <sz val="14"/>
        <color theme="1"/>
        <rFont val="Times New Roman"/>
        <family val="1"/>
      </rPr>
      <t xml:space="preserve"> 25 năm.</t>
    </r>
  </si>
  <si>
    <r>
      <t>1.</t>
    </r>
    <r>
      <rPr>
        <sz val="7"/>
        <color theme="1"/>
        <rFont val="Times New Roman"/>
        <family val="1"/>
      </rPr>
      <t xml:space="preserve">   </t>
    </r>
    <r>
      <rPr>
        <sz val="14"/>
        <color theme="1"/>
        <rFont val="Times New Roman"/>
        <family val="1"/>
      </rPr>
      <t>5 năm.</t>
    </r>
  </si>
  <si>
    <r>
      <t>2.</t>
    </r>
    <r>
      <rPr>
        <sz val="7"/>
        <color theme="1"/>
        <rFont val="Times New Roman"/>
        <family val="1"/>
      </rPr>
      <t xml:space="preserve"> </t>
    </r>
    <r>
      <rPr>
        <u/>
        <sz val="14"/>
        <color theme="1"/>
        <rFont val="Times New Roman"/>
        <family val="1"/>
      </rPr>
      <t xml:space="preserve"> 20 năm.</t>
    </r>
  </si>
  <si>
    <r>
      <t>3.</t>
    </r>
    <r>
      <rPr>
        <sz val="7"/>
        <color theme="1"/>
        <rFont val="Times New Roman"/>
        <family val="1"/>
      </rPr>
      <t xml:space="preserve">   </t>
    </r>
    <r>
      <rPr>
        <sz val="14"/>
        <color theme="1"/>
        <rFont val="Times New Roman"/>
        <family val="1"/>
      </rPr>
      <t>25 năm.</t>
    </r>
  </si>
  <si>
    <r>
      <t>1.</t>
    </r>
    <r>
      <rPr>
        <sz val="7"/>
        <color theme="1"/>
        <rFont val="Times New Roman"/>
        <family val="1"/>
      </rPr>
      <t xml:space="preserve"> </t>
    </r>
    <r>
      <rPr>
        <u/>
        <sz val="14"/>
        <color theme="1"/>
        <rFont val="Times New Roman"/>
        <family val="1"/>
      </rPr>
      <t xml:space="preserve"> Khi làm việc, nhiệt năng được biến đổi thành cơ năng làm trục khủy động cơ</t>
    </r>
    <r>
      <rPr>
        <sz val="14"/>
        <color theme="1"/>
        <rFont val="Times New Roman"/>
        <family val="1"/>
      </rPr>
      <t xml:space="preserve"> </t>
    </r>
    <r>
      <rPr>
        <u/>
        <sz val="14"/>
        <color theme="1"/>
        <rFont val="Times New Roman"/>
        <family val="1"/>
      </rPr>
      <t>quay, truyền lực đến các bánh xe chủ động tạo ra chuyển động tịnh tiến cho xe ô</t>
    </r>
    <r>
      <rPr>
        <sz val="14"/>
        <color theme="1"/>
        <rFont val="Times New Roman"/>
        <family val="1"/>
      </rPr>
      <t xml:space="preserve"> </t>
    </r>
    <r>
      <rPr>
        <u/>
        <sz val="14"/>
        <color theme="1"/>
        <rFont val="Times New Roman"/>
        <family val="1"/>
      </rPr>
      <t>tô.</t>
    </r>
  </si>
  <si>
    <r>
      <t>2.</t>
    </r>
    <r>
      <rPr>
        <sz val="7"/>
        <color theme="1"/>
        <rFont val="Times New Roman"/>
        <family val="1"/>
      </rPr>
      <t xml:space="preserve">   </t>
    </r>
    <r>
      <rPr>
        <sz val="14"/>
        <color theme="1"/>
        <rFont val="Times New Roman"/>
        <family val="1"/>
      </rPr>
      <t>Khi làm việc, cơ năng được biến đổi thành nhiệt năng và truyền đến các bánh xe chủ động tạo ra chuyển động tịnh tiến cho xe ô tô.</t>
    </r>
  </si>
  <si>
    <r>
      <t>1.</t>
    </r>
    <r>
      <rPr>
        <sz val="7"/>
        <color theme="1"/>
        <rFont val="Times New Roman"/>
        <family val="1"/>
      </rPr>
      <t xml:space="preserve"> </t>
    </r>
    <r>
      <rPr>
        <u/>
        <sz val="14"/>
        <color theme="1"/>
        <rFont val="Times New Roman"/>
        <family val="1"/>
      </rPr>
      <t xml:space="preserve"> Dùng để truyền mô men quay từ động cơ tới các bánh xe chủ động của xe ô tô</t>
    </r>
    <r>
      <rPr>
        <sz val="14"/>
        <color theme="1"/>
        <rFont val="Times New Roman"/>
        <family val="1"/>
      </rPr>
      <t>.</t>
    </r>
  </si>
  <si>
    <r>
      <t>2.</t>
    </r>
    <r>
      <rPr>
        <sz val="7"/>
        <color theme="1"/>
        <rFont val="Times New Roman"/>
        <family val="1"/>
      </rPr>
      <t xml:space="preserve">    </t>
    </r>
    <r>
      <rPr>
        <sz val="14"/>
        <color theme="1"/>
        <rFont val="Times New Roman"/>
        <family val="1"/>
      </rPr>
      <t>Dùng để thay đổi hướng chuyển động hoặc giữ cho xe ô tô chuyển động ổn định theo hướng xác định.</t>
    </r>
  </si>
  <si>
    <r>
      <t>3.</t>
    </r>
    <r>
      <rPr>
        <sz val="7"/>
        <color theme="1"/>
        <rFont val="Times New Roman"/>
        <family val="1"/>
      </rPr>
      <t xml:space="preserve">   </t>
    </r>
    <r>
      <rPr>
        <sz val="14"/>
        <color theme="1"/>
        <rFont val="Times New Roman"/>
        <family val="1"/>
      </rPr>
      <t>Dùng để làm giảm tốc độ, dừng chuyển động của xe ô tô.</t>
    </r>
  </si>
  <si>
    <r>
      <t>1.</t>
    </r>
    <r>
      <rPr>
        <sz val="7"/>
        <color theme="1"/>
        <rFont val="Times New Roman"/>
        <family val="1"/>
      </rPr>
      <t xml:space="preserve">   </t>
    </r>
    <r>
      <rPr>
        <sz val="14"/>
        <color theme="1"/>
        <rFont val="Times New Roman"/>
        <family val="1"/>
      </rPr>
      <t>Dùng để truyền mô men xoắn giữa các trục không cùng nằm trên một đường thẳng và góc lệch trục luôn thay đổi trong quá trình xe ô tô chuyển động.</t>
    </r>
  </si>
  <si>
    <r>
      <t>2.</t>
    </r>
    <r>
      <rPr>
        <sz val="7"/>
        <color theme="1"/>
        <rFont val="Times New Roman"/>
        <family val="1"/>
      </rPr>
      <t xml:space="preserve"> </t>
    </r>
    <r>
      <rPr>
        <u/>
        <sz val="14"/>
        <color theme="1"/>
        <rFont val="Times New Roman"/>
        <family val="1"/>
      </rPr>
      <t xml:space="preserve"> Dùng để truyền hoặc ngắt truyền động từ động cơ đến hộp số của xe ô tô.</t>
    </r>
  </si>
  <si>
    <r>
      <t>3.</t>
    </r>
    <r>
      <rPr>
        <sz val="7"/>
        <color theme="1"/>
        <rFont val="Times New Roman"/>
        <family val="1"/>
      </rPr>
      <t xml:space="preserve">   </t>
    </r>
    <r>
      <rPr>
        <sz val="14"/>
        <color theme="1"/>
        <rFont val="Times New Roman"/>
        <family val="1"/>
      </rPr>
      <t>Dùng để truyền truyền động từ hộp số đến bánh xe chủ động của ô tô.</t>
    </r>
  </si>
  <si>
    <r>
      <t>1.</t>
    </r>
    <r>
      <rPr>
        <sz val="7"/>
        <color theme="1"/>
        <rFont val="Times New Roman"/>
        <family val="1"/>
      </rPr>
      <t xml:space="preserve">   </t>
    </r>
    <r>
      <rPr>
        <sz val="14"/>
        <color theme="1"/>
        <rFont val="Times New Roman"/>
        <family val="1"/>
      </rPr>
      <t>Truyền và tăng mô men xoắn giữa các trục vuông góc nhau, bảo đảm cho các bánh xe chủ động quay với tốc độ khác nhau khi sức cản chuyển động ở bánh xe hai bên không bằng nhau.</t>
    </r>
  </si>
  <si>
    <r>
      <t>2.</t>
    </r>
    <r>
      <rPr>
        <sz val="7"/>
        <color theme="1"/>
        <rFont val="Times New Roman"/>
        <family val="1"/>
      </rPr>
      <t xml:space="preserve">  </t>
    </r>
    <r>
      <rPr>
        <sz val="14"/>
        <color theme="1"/>
        <rFont val="Times New Roman"/>
        <family val="1"/>
      </rPr>
      <t>Truyền và thay đổi mô men xoắn giữa các trục không cùng nằm trên một đường thẳng và góc lệch trục luôn thay đổi trong quá trình ô tô chuyển động, chuyển số êm dịu, dễ điều khiển.</t>
    </r>
  </si>
  <si>
    <r>
      <t>3.</t>
    </r>
    <r>
      <rPr>
        <sz val="7"/>
        <color theme="1"/>
        <rFont val="Times New Roman"/>
        <family val="1"/>
      </rPr>
      <t xml:space="preserve"> </t>
    </r>
    <r>
      <rPr>
        <u/>
        <sz val="14"/>
        <color theme="1"/>
        <rFont val="Times New Roman"/>
        <family val="1"/>
      </rPr>
      <t xml:space="preserve"> Truyền và thay đổi mô men từ động cơ đến bánh xe chủ động, cắt truyền động</t>
    </r>
    <r>
      <rPr>
        <sz val="14"/>
        <color theme="1"/>
        <rFont val="Times New Roman"/>
        <family val="1"/>
      </rPr>
      <t xml:space="preserve"> </t>
    </r>
    <r>
      <rPr>
        <u/>
        <sz val="14"/>
        <color theme="1"/>
        <rFont val="Times New Roman"/>
        <family val="1"/>
      </rPr>
      <t>từ động cơ đến bánh xe chủ động, bảo đảm cho xe ô tô chuyển động lùi.</t>
    </r>
  </si>
  <si>
    <r>
      <t>1.</t>
    </r>
    <r>
      <rPr>
        <sz val="7"/>
        <color theme="1"/>
        <rFont val="Times New Roman"/>
        <family val="1"/>
      </rPr>
      <t xml:space="preserve">    </t>
    </r>
    <r>
      <rPr>
        <sz val="14"/>
        <color theme="1"/>
        <rFont val="Times New Roman"/>
        <family val="1"/>
      </rPr>
      <t>Dùng để thay đổi mô men từ động cơ tới các bánh xe chủ động khi xe ô tô chuyển động theo hướng xác định.</t>
    </r>
  </si>
  <si>
    <r>
      <t>2.</t>
    </r>
    <r>
      <rPr>
        <sz val="7"/>
        <color theme="1"/>
        <rFont val="Times New Roman"/>
        <family val="1"/>
      </rPr>
      <t xml:space="preserve">    </t>
    </r>
    <r>
      <rPr>
        <sz val="14"/>
        <color theme="1"/>
        <rFont val="Times New Roman"/>
        <family val="1"/>
      </rPr>
      <t>Dùng để thay đổi mô men giữa các trục vuông góc nhau khi xe ô tô chuyển động theo hướng xác định.</t>
    </r>
  </si>
  <si>
    <r>
      <t>3.</t>
    </r>
    <r>
      <rPr>
        <sz val="7"/>
        <color theme="1"/>
        <rFont val="Times New Roman"/>
        <family val="1"/>
      </rPr>
      <t xml:space="preserve"> </t>
    </r>
    <r>
      <rPr>
        <u/>
        <sz val="14"/>
        <color theme="1"/>
        <rFont val="Times New Roman"/>
        <family val="1"/>
      </rPr>
      <t xml:space="preserve"> Dùng để thay đổi hướng chuyển động hoặc giữ cho xe ô tô chuyển động ổn</t>
    </r>
    <r>
      <rPr>
        <sz val="14"/>
        <color theme="1"/>
        <rFont val="Times New Roman"/>
        <family val="1"/>
      </rPr>
      <t xml:space="preserve"> </t>
    </r>
    <r>
      <rPr>
        <u/>
        <sz val="14"/>
        <color theme="1"/>
        <rFont val="Times New Roman"/>
        <family val="1"/>
      </rPr>
      <t>định theo hướng xác định.</t>
    </r>
  </si>
  <si>
    <r>
      <t>1.</t>
    </r>
    <r>
      <rPr>
        <sz val="7"/>
        <color theme="1"/>
        <rFont val="Times New Roman"/>
        <family val="1"/>
      </rPr>
      <t xml:space="preserve"> </t>
    </r>
    <r>
      <rPr>
        <u/>
        <sz val="14"/>
        <color theme="1"/>
        <rFont val="Times New Roman"/>
        <family val="1"/>
      </rPr>
      <t xml:space="preserve"> Dùng để giảm tốc độ, dừng chuyển động của xe ô tô và giữ cho xe ô tô đứng</t>
    </r>
    <r>
      <rPr>
        <sz val="14"/>
        <color theme="1"/>
        <rFont val="Times New Roman"/>
        <family val="1"/>
      </rPr>
      <t xml:space="preserve"> </t>
    </r>
    <r>
      <rPr>
        <u/>
        <sz val="14"/>
        <color theme="1"/>
        <rFont val="Times New Roman"/>
        <family val="1"/>
      </rPr>
      <t>yên trên dốc</t>
    </r>
    <r>
      <rPr>
        <sz val="14"/>
        <color theme="1"/>
        <rFont val="Times New Roman"/>
        <family val="1"/>
      </rPr>
      <t>.</t>
    </r>
  </si>
  <si>
    <r>
      <t>3.</t>
    </r>
    <r>
      <rPr>
        <sz val="7"/>
        <color theme="1"/>
        <rFont val="Times New Roman"/>
        <family val="1"/>
      </rPr>
      <t xml:space="preserve">  </t>
    </r>
    <r>
      <rPr>
        <sz val="14"/>
        <color theme="1"/>
        <rFont val="Times New Roman"/>
        <family val="1"/>
      </rPr>
      <t>Dùng để truyền hoặc ngắt truyền động từ động cơ đến bánh xe chủ động của xe ô tô.</t>
    </r>
  </si>
  <si>
    <r>
      <t>1.</t>
    </r>
    <r>
      <rPr>
        <sz val="7"/>
        <color theme="1"/>
        <rFont val="Times New Roman"/>
        <family val="1"/>
      </rPr>
      <t xml:space="preserve">   </t>
    </r>
    <r>
      <rPr>
        <sz val="14"/>
        <color theme="1"/>
        <rFont val="Times New Roman"/>
        <family val="1"/>
      </rPr>
      <t>Có tác dụng cảnh báo cho các xe phía sau biết xe đang giảm tốc để chủ động tránh hoặc giảm tốc để tránh va chạm.</t>
    </r>
  </si>
  <si>
    <r>
      <t>2.</t>
    </r>
    <r>
      <rPr>
        <sz val="7"/>
        <color theme="1"/>
        <rFont val="Times New Roman"/>
        <family val="1"/>
      </rPr>
      <t xml:space="preserve">   </t>
    </r>
    <r>
      <rPr>
        <sz val="14"/>
        <color theme="1"/>
        <rFont val="Times New Roman"/>
        <family val="1"/>
      </rPr>
      <t>Có tác dụng định vị vào ban đêm với các xe từ phía sau tới để tránh va chạm.</t>
    </r>
  </si>
  <si>
    <r>
      <t>1.</t>
    </r>
    <r>
      <rPr>
        <sz val="7"/>
        <color theme="1"/>
        <rFont val="Times New Roman"/>
        <family val="1"/>
      </rPr>
      <t xml:space="preserve"> </t>
    </r>
    <r>
      <rPr>
        <u/>
        <sz val="14"/>
        <color theme="1"/>
        <rFont val="Times New Roman"/>
        <family val="1"/>
      </rPr>
      <t xml:space="preserve"> Nhiệt độ nước làm mát động cơ quá ngưỡng cho phép.</t>
    </r>
  </si>
  <si>
    <r>
      <t>3.</t>
    </r>
    <r>
      <rPr>
        <sz val="7"/>
        <color theme="1"/>
        <rFont val="Times New Roman"/>
        <family val="1"/>
      </rPr>
      <t xml:space="preserve">   </t>
    </r>
    <r>
      <rPr>
        <sz val="14"/>
        <color theme="1"/>
        <rFont val="Times New Roman"/>
        <family val="1"/>
      </rPr>
      <t>Đang hãm phanh tay.</t>
    </r>
  </si>
  <si>
    <r>
      <t>4.</t>
    </r>
    <r>
      <rPr>
        <sz val="7"/>
        <color theme="1"/>
        <rFont val="Times New Roman"/>
        <family val="1"/>
      </rPr>
      <t xml:space="preserve">   </t>
    </r>
    <r>
      <rPr>
        <sz val="14"/>
        <color theme="1"/>
        <rFont val="Times New Roman"/>
        <family val="1"/>
      </rPr>
      <t>Cần kiểm tra động cơ.</t>
    </r>
  </si>
  <si>
    <r>
      <t>1.</t>
    </r>
    <r>
      <rPr>
        <sz val="7"/>
        <color theme="1"/>
        <rFont val="Times New Roman"/>
        <family val="1"/>
      </rPr>
      <t xml:space="preserve">   </t>
    </r>
    <r>
      <rPr>
        <sz val="14"/>
        <color theme="1"/>
        <rFont val="Times New Roman"/>
        <family val="1"/>
      </rPr>
      <t>Báo hiệu hệ thống chống bó cứng khi phanh bị lỗi.</t>
    </r>
  </si>
  <si>
    <r>
      <t>4.</t>
    </r>
    <r>
      <rPr>
        <sz val="7"/>
        <color theme="1"/>
        <rFont val="Times New Roman"/>
        <family val="1"/>
      </rPr>
      <t xml:space="preserve"> </t>
    </r>
    <r>
      <rPr>
        <u/>
        <sz val="14"/>
        <color theme="1"/>
        <rFont val="Times New Roman"/>
        <family val="1"/>
      </rPr>
      <t xml:space="preserve"> Cần kiểm tra động cơ.</t>
    </r>
  </si>
  <si>
    <r>
      <t>2.</t>
    </r>
    <r>
      <rPr>
        <sz val="7"/>
        <color theme="1"/>
        <rFont val="Times New Roman"/>
        <family val="1"/>
      </rPr>
      <t xml:space="preserve"> </t>
    </r>
    <r>
      <rPr>
        <u/>
        <sz val="14"/>
        <color theme="1"/>
        <rFont val="Times New Roman"/>
        <family val="1"/>
      </rPr>
      <t xml:space="preserve"> Áp suất lốp không đủ.</t>
    </r>
  </si>
  <si>
    <r>
      <t>4.</t>
    </r>
    <r>
      <rPr>
        <sz val="7"/>
        <color theme="1"/>
        <rFont val="Times New Roman"/>
        <family val="1"/>
      </rPr>
      <t xml:space="preserve">   </t>
    </r>
    <r>
      <rPr>
        <sz val="14"/>
        <color theme="1"/>
        <rFont val="Times New Roman"/>
        <family val="1"/>
      </rPr>
      <t>Sắp hết nhiên liệu.</t>
    </r>
  </si>
  <si>
    <r>
      <t>1.</t>
    </r>
    <r>
      <rPr>
        <sz val="7"/>
        <color theme="1"/>
        <rFont val="Times New Roman"/>
        <family val="1"/>
      </rPr>
      <t xml:space="preserve"> </t>
    </r>
    <r>
      <rPr>
        <u/>
        <sz val="14"/>
        <color theme="1"/>
        <rFont val="Times New Roman"/>
        <family val="1"/>
      </rPr>
      <t xml:space="preserve"> Báo hiệu hệ thống chống bó cứng phanh bị lỗi</t>
    </r>
    <r>
      <rPr>
        <sz val="14"/>
        <color theme="1"/>
        <rFont val="Times New Roman"/>
        <family val="1"/>
      </rPr>
      <t>.</t>
    </r>
  </si>
  <si>
    <r>
      <t>1.</t>
    </r>
    <r>
      <rPr>
        <sz val="7"/>
        <color theme="1"/>
        <rFont val="Times New Roman"/>
        <family val="1"/>
      </rPr>
      <t xml:space="preserve"> </t>
    </r>
    <r>
      <rPr>
        <u/>
        <sz val="14"/>
        <color theme="1"/>
        <rFont val="Times New Roman"/>
        <family val="1"/>
      </rPr>
      <t xml:space="preserve"> Phải đạp hết hành trình bàn đạp chân phanh.</t>
    </r>
  </si>
  <si>
    <r>
      <t>2.</t>
    </r>
    <r>
      <rPr>
        <sz val="7"/>
        <color theme="1"/>
        <rFont val="Times New Roman"/>
        <family val="1"/>
      </rPr>
      <t xml:space="preserve">   </t>
    </r>
    <r>
      <rPr>
        <sz val="14"/>
        <color theme="1"/>
        <rFont val="Times New Roman"/>
        <family val="1"/>
      </rPr>
      <t>Không cần đạp phanh.</t>
    </r>
  </si>
  <si>
    <r>
      <t>1.</t>
    </r>
    <r>
      <rPr>
        <sz val="7"/>
        <color theme="1"/>
        <rFont val="Times New Roman"/>
        <family val="1"/>
      </rPr>
      <t xml:space="preserve">   </t>
    </r>
    <r>
      <rPr>
        <sz val="14"/>
        <color theme="1"/>
        <rFont val="Times New Roman"/>
        <family val="1"/>
      </rPr>
      <t>Giúp người lái xe kịp thời tạo xung lực tối đa lên hệ thống phanh trong khoảnh khắc đầu tiên của tình huống khẩn cấp.</t>
    </r>
  </si>
  <si>
    <r>
      <t>2.</t>
    </r>
    <r>
      <rPr>
        <sz val="7"/>
        <color theme="1"/>
        <rFont val="Times New Roman"/>
        <family val="1"/>
      </rPr>
      <t xml:space="preserve">   </t>
    </r>
    <r>
      <rPr>
        <sz val="14"/>
        <color theme="1"/>
        <rFont val="Times New Roman"/>
        <family val="1"/>
      </rPr>
      <t>Ổn định chuyển động của xe ô tô khi đi vào đường vòng.</t>
    </r>
  </si>
  <si>
    <r>
      <t>3.</t>
    </r>
    <r>
      <rPr>
        <sz val="7"/>
        <color theme="1"/>
        <rFont val="Times New Roman"/>
        <family val="1"/>
      </rPr>
      <t xml:space="preserve">   </t>
    </r>
    <r>
      <rPr>
        <sz val="14"/>
        <color theme="1"/>
        <rFont val="Times New Roman"/>
        <family val="1"/>
      </rPr>
      <t>Hỗ trợ người lái xe khởi hành ngang dốc.</t>
    </r>
  </si>
  <si>
    <r>
      <t>4.</t>
    </r>
    <r>
      <rPr>
        <sz val="7"/>
        <color theme="1"/>
        <rFont val="Times New Roman"/>
        <family val="1"/>
      </rPr>
      <t xml:space="preserve"> </t>
    </r>
    <r>
      <rPr>
        <u/>
        <sz val="14"/>
        <color theme="1"/>
        <rFont val="Times New Roman"/>
        <family val="1"/>
      </rPr>
      <t xml:space="preserve"> Để tích trữ điện năng, cung cấp cho các phụ tải khi máy phát chưa làm việc.</t>
    </r>
  </si>
  <si>
    <r>
      <t>1.</t>
    </r>
    <r>
      <rPr>
        <sz val="7"/>
        <color theme="1"/>
        <rFont val="Times New Roman"/>
        <family val="1"/>
      </rPr>
      <t xml:space="preserve"> </t>
    </r>
    <r>
      <rPr>
        <u/>
        <sz val="14"/>
        <color theme="1"/>
        <rFont val="Times New Roman"/>
        <family val="1"/>
      </rPr>
      <t xml:space="preserve"> Để phát điện năng cung cấp cho các phụ tải làm việc và nạp điện cho ắc quy.</t>
    </r>
  </si>
  <si>
    <r>
      <t>4.</t>
    </r>
    <r>
      <rPr>
        <sz val="7"/>
        <color theme="1"/>
        <rFont val="Times New Roman"/>
        <family val="1"/>
      </rPr>
      <t xml:space="preserve">   </t>
    </r>
    <r>
      <rPr>
        <sz val="14"/>
        <color theme="1"/>
        <rFont val="Times New Roman"/>
        <family val="1"/>
      </rPr>
      <t>Để tích trữ điện năng và cung cấp điện cho các phụ tải làm việc.</t>
    </r>
  </si>
  <si>
    <r>
      <t>1.</t>
    </r>
    <r>
      <rPr>
        <sz val="7"/>
        <color theme="1"/>
        <rFont val="Times New Roman"/>
        <family val="1"/>
      </rPr>
      <t xml:space="preserve">   </t>
    </r>
    <r>
      <rPr>
        <sz val="14"/>
        <color theme="1"/>
        <rFont val="Times New Roman"/>
        <family val="1"/>
      </rPr>
      <t>Ổn định chuyển động của xe ô tô khi đi vào đường vòng.</t>
    </r>
  </si>
  <si>
    <r>
      <t>2.</t>
    </r>
    <r>
      <rPr>
        <sz val="7"/>
        <color theme="1"/>
        <rFont val="Times New Roman"/>
        <family val="1"/>
      </rPr>
      <t xml:space="preserve"> </t>
    </r>
    <r>
      <rPr>
        <u/>
        <sz val="14"/>
        <color theme="1"/>
        <rFont val="Times New Roman"/>
        <family val="1"/>
      </rPr>
      <t xml:space="preserve"> Giữ chặt người lái và hành khách trên ghế ngồi khi xe ô tô đột ngột dừng lại</t>
    </r>
    <r>
      <rPr>
        <sz val="14"/>
        <color theme="1"/>
        <rFont val="Times New Roman"/>
        <family val="1"/>
      </rPr>
      <t>.</t>
    </r>
  </si>
  <si>
    <r>
      <t>1.</t>
    </r>
    <r>
      <rPr>
        <sz val="7"/>
        <color theme="1"/>
        <rFont val="Times New Roman"/>
        <family val="1"/>
      </rPr>
      <t xml:space="preserve">   </t>
    </r>
    <r>
      <rPr>
        <sz val="14"/>
        <color theme="1"/>
        <rFont val="Times New Roman"/>
        <family val="1"/>
      </rPr>
      <t>Giữ chặt người lái và hành khách trên ghế ngồi khi xe ô tô đột ngột dừng lại.</t>
    </r>
  </si>
  <si>
    <r>
      <t>2.</t>
    </r>
    <r>
      <rPr>
        <sz val="7"/>
        <color theme="1"/>
        <rFont val="Times New Roman"/>
        <family val="1"/>
      </rPr>
      <t xml:space="preserve">   </t>
    </r>
    <r>
      <rPr>
        <sz val="14"/>
        <color theme="1"/>
        <rFont val="Times New Roman"/>
        <family val="1"/>
      </rPr>
      <t>Giảm khả năng va đập của một số bộ phận cơ thể quan trọng với các vật thể trong xe.</t>
    </r>
  </si>
  <si>
    <r>
      <t>3.</t>
    </r>
    <r>
      <rPr>
        <sz val="7"/>
        <color theme="1"/>
        <rFont val="Times New Roman"/>
        <family val="1"/>
      </rPr>
      <t xml:space="preserve">   </t>
    </r>
    <r>
      <rPr>
        <sz val="14"/>
        <color theme="1"/>
        <rFont val="Times New Roman"/>
        <family val="1"/>
      </rPr>
      <t>Hấp thụ một phần lực va đập lên người lái và hành khách.</t>
    </r>
  </si>
  <si>
    <r>
      <t>4.</t>
    </r>
    <r>
      <rPr>
        <sz val="7"/>
        <color theme="1"/>
        <rFont val="Times New Roman"/>
        <family val="1"/>
      </rPr>
      <t xml:space="preserve"> </t>
    </r>
    <r>
      <rPr>
        <u/>
        <sz val="14"/>
        <color theme="1"/>
        <rFont val="Times New Roman"/>
        <family val="1"/>
      </rPr>
      <t xml:space="preserve"> Ý 2 và ý 3.</t>
    </r>
  </si>
  <si>
    <r>
      <t>1.</t>
    </r>
    <r>
      <rPr>
        <sz val="7"/>
        <color theme="1"/>
        <rFont val="Times New Roman"/>
        <family val="1"/>
      </rPr>
      <t xml:space="preserve">   </t>
    </r>
    <r>
      <rPr>
        <sz val="14"/>
        <color theme="1"/>
        <rFont val="Times New Roman"/>
        <family val="1"/>
      </rPr>
      <t>Nhiệt độ nước làm mát động cơ quá ngưỡng cho phép.</t>
    </r>
  </si>
  <si>
    <r>
      <t>4.</t>
    </r>
    <r>
      <rPr>
        <sz val="7"/>
        <color theme="1"/>
        <rFont val="Times New Roman"/>
        <family val="1"/>
      </rPr>
      <t xml:space="preserve"> </t>
    </r>
    <r>
      <rPr>
        <u/>
        <sz val="14"/>
        <color theme="1"/>
        <rFont val="Times New Roman"/>
        <family val="1"/>
      </rPr>
      <t xml:space="preserve"> Hệ thống lái gặp sự cố.</t>
    </r>
  </si>
  <si>
    <r>
      <t>1.</t>
    </r>
    <r>
      <rPr>
        <sz val="7"/>
        <color theme="1"/>
        <rFont val="Times New Roman"/>
        <family val="1"/>
      </rPr>
      <t xml:space="preserve"> </t>
    </r>
    <r>
      <rPr>
        <u/>
        <sz val="14"/>
        <color theme="1"/>
        <rFont val="Times New Roman"/>
        <family val="1"/>
      </rPr>
      <t xml:space="preserve"> Dùng để kích (hay nâng) xe ô tô.</t>
    </r>
  </si>
  <si>
    <r>
      <t>2.</t>
    </r>
    <r>
      <rPr>
        <sz val="7"/>
        <color theme="1"/>
        <rFont val="Times New Roman"/>
        <family val="1"/>
      </rPr>
      <t xml:space="preserve">   </t>
    </r>
    <r>
      <rPr>
        <sz val="14"/>
        <color theme="1"/>
        <rFont val="Times New Roman"/>
        <family val="1"/>
      </rPr>
      <t>Vặn ốc lắp bánh xe.</t>
    </r>
  </si>
  <si>
    <r>
      <t>3.</t>
    </r>
    <r>
      <rPr>
        <sz val="7"/>
        <color theme="1"/>
        <rFont val="Times New Roman"/>
        <family val="1"/>
      </rPr>
      <t xml:space="preserve">   </t>
    </r>
    <r>
      <rPr>
        <sz val="14"/>
        <color theme="1"/>
        <rFont val="Times New Roman"/>
        <family val="1"/>
      </rPr>
      <t>Ổn định chuyển động của xe ô tô khi đi vào đường vòng.</t>
    </r>
  </si>
  <si>
    <r>
      <t>4.</t>
    </r>
    <r>
      <rPr>
        <sz val="7"/>
        <color theme="1"/>
        <rFont val="Times New Roman"/>
        <family val="1"/>
      </rPr>
      <t xml:space="preserve"> </t>
    </r>
    <r>
      <rPr>
        <sz val="14"/>
        <color theme="1"/>
        <rFont val="Times New Roman"/>
        <family val="1"/>
      </rPr>
      <t>Giữ chặt người lái và hành khách trên ghế ngồi khi xe ô tô đột ngột dừng lại.</t>
    </r>
  </si>
  <si>
    <r>
      <t>1.</t>
    </r>
    <r>
      <rPr>
        <sz val="7"/>
        <color theme="1"/>
        <rFont val="Times New Roman"/>
        <family val="1"/>
      </rPr>
      <t xml:space="preserve">   </t>
    </r>
    <r>
      <rPr>
        <sz val="14"/>
        <color theme="1"/>
        <rFont val="Times New Roman"/>
        <family val="1"/>
      </rPr>
      <t>Thay lốp xe.</t>
    </r>
  </si>
  <si>
    <r>
      <t>2.</t>
    </r>
    <r>
      <rPr>
        <sz val="7"/>
        <color theme="1"/>
        <rFont val="Times New Roman"/>
        <family val="1"/>
      </rPr>
      <t xml:space="preserve">   </t>
    </r>
    <r>
      <rPr>
        <sz val="14"/>
        <color theme="1"/>
        <rFont val="Times New Roman"/>
        <family val="1"/>
      </rPr>
      <t>Chữa cháy.</t>
    </r>
  </si>
  <si>
    <r>
      <t>3.</t>
    </r>
    <r>
      <rPr>
        <sz val="7"/>
        <color theme="1"/>
        <rFont val="Times New Roman"/>
        <family val="1"/>
      </rPr>
      <t xml:space="preserve"> </t>
    </r>
    <r>
      <rPr>
        <u/>
        <sz val="14"/>
        <color theme="1"/>
        <rFont val="Times New Roman"/>
        <family val="1"/>
      </rPr>
      <t xml:space="preserve"> Phá cửa kính xe ô tô trong các trường hợp khẩn cấp.</t>
    </r>
  </si>
  <si>
    <r>
      <t>4.</t>
    </r>
    <r>
      <rPr>
        <sz val="7"/>
        <color theme="1"/>
        <rFont val="Times New Roman"/>
        <family val="1"/>
      </rPr>
      <t xml:space="preserve">   </t>
    </r>
    <r>
      <rPr>
        <sz val="14"/>
        <color theme="1"/>
        <rFont val="Times New Roman"/>
        <family val="1"/>
      </rPr>
      <t>Vặn ốc để tháo lắp bánh xe.</t>
    </r>
  </si>
  <si>
    <r>
      <t>2.</t>
    </r>
    <r>
      <rPr>
        <sz val="7"/>
        <color theme="1"/>
        <rFont val="Times New Roman"/>
        <family val="1"/>
      </rPr>
      <t xml:space="preserve"> </t>
    </r>
    <r>
      <rPr>
        <u/>
        <sz val="14"/>
        <color theme="1"/>
        <rFont val="Times New Roman"/>
        <family val="1"/>
      </rPr>
      <t xml:space="preserve"> Chữa cháy trong các trường hợp hỏa hoạn.</t>
    </r>
  </si>
  <si>
    <r>
      <t>3.</t>
    </r>
    <r>
      <rPr>
        <sz val="7"/>
        <color theme="1"/>
        <rFont val="Times New Roman"/>
        <family val="1"/>
      </rPr>
      <t xml:space="preserve">   </t>
    </r>
    <r>
      <rPr>
        <sz val="14"/>
        <color theme="1"/>
        <rFont val="Times New Roman"/>
        <family val="1"/>
      </rPr>
      <t>Cầm máu cho người bị nạn.</t>
    </r>
  </si>
  <si>
    <r>
      <t>1.</t>
    </r>
    <r>
      <rPr>
        <sz val="7"/>
        <color theme="1"/>
        <rFont val="Times New Roman"/>
        <family val="1"/>
      </rPr>
      <t xml:space="preserve">   </t>
    </r>
    <r>
      <rPr>
        <sz val="14"/>
        <color theme="1"/>
        <rFont val="Times New Roman"/>
        <family val="1"/>
      </rPr>
      <t>Báo hiệu xin đường cho xe đi thẳng.</t>
    </r>
  </si>
  <si>
    <r>
      <t>2.</t>
    </r>
    <r>
      <rPr>
        <sz val="7"/>
        <color theme="1"/>
        <rFont val="Times New Roman"/>
        <family val="1"/>
      </rPr>
      <t xml:space="preserve">   </t>
    </r>
    <r>
      <rPr>
        <sz val="14"/>
        <color theme="1"/>
        <rFont val="Times New Roman"/>
        <family val="1"/>
      </rPr>
      <t>Báo hiệu hệ thống phanh bị lỗi.</t>
    </r>
  </si>
  <si>
    <r>
      <t>3.</t>
    </r>
    <r>
      <rPr>
        <sz val="7"/>
        <color theme="1"/>
        <rFont val="Times New Roman"/>
        <family val="1"/>
      </rPr>
      <t xml:space="preserve"> </t>
    </r>
    <r>
      <rPr>
        <u/>
        <sz val="14"/>
        <color theme="1"/>
        <rFont val="Times New Roman"/>
        <family val="1"/>
      </rPr>
      <t xml:space="preserve"> Báo hiệu xe đang ở tình huống nguy hiểm.</t>
    </r>
  </si>
  <si>
    <r>
      <t>4.</t>
    </r>
    <r>
      <rPr>
        <sz val="7"/>
        <color theme="1"/>
        <rFont val="Times New Roman"/>
        <family val="1"/>
      </rPr>
      <t xml:space="preserve">   </t>
    </r>
    <r>
      <rPr>
        <sz val="14"/>
        <color theme="1"/>
        <rFont val="Times New Roman"/>
        <family val="1"/>
      </rPr>
      <t>Báo hiệu đến thời gian cần bảo dưỡng.</t>
    </r>
  </si>
  <si>
    <r>
      <t>1.</t>
    </r>
    <r>
      <rPr>
        <sz val="7"/>
        <color theme="1"/>
        <rFont val="Times New Roman"/>
        <family val="1"/>
      </rPr>
      <t xml:space="preserve">   </t>
    </r>
    <r>
      <rPr>
        <sz val="14"/>
        <color theme="1"/>
        <rFont val="Times New Roman"/>
        <family val="1"/>
      </rPr>
      <t>Báo hiệu hệ thống túi khí đã bật.</t>
    </r>
  </si>
  <si>
    <r>
      <t>2.</t>
    </r>
    <r>
      <rPr>
        <sz val="7"/>
        <color theme="1"/>
        <rFont val="Times New Roman"/>
        <family val="1"/>
      </rPr>
      <t xml:space="preserve">   </t>
    </r>
    <r>
      <rPr>
        <sz val="14"/>
        <color theme="1"/>
        <rFont val="Times New Roman"/>
        <family val="1"/>
      </rPr>
      <t>Báo hiệu đèn chiếu sáng xa đã bật.</t>
    </r>
  </si>
  <si>
    <r>
      <t>3.</t>
    </r>
    <r>
      <rPr>
        <sz val="7"/>
        <color theme="1"/>
        <rFont val="Times New Roman"/>
        <family val="1"/>
      </rPr>
      <t xml:space="preserve"> </t>
    </r>
    <r>
      <rPr>
        <u/>
        <sz val="14"/>
        <color theme="1"/>
        <rFont val="Times New Roman"/>
        <family val="1"/>
      </rPr>
      <t xml:space="preserve"> Báo hiệu chế độ lái tiết kiệm nhiên liệu đã bật.</t>
    </r>
  </si>
  <si>
    <r>
      <t>4.</t>
    </r>
    <r>
      <rPr>
        <sz val="7"/>
        <color theme="1"/>
        <rFont val="Times New Roman"/>
        <family val="1"/>
      </rPr>
      <t xml:space="preserve">   </t>
    </r>
    <r>
      <rPr>
        <sz val="14"/>
        <color theme="1"/>
        <rFont val="Times New Roman"/>
        <family val="1"/>
      </rPr>
      <t>Báo hiệu đèn cảnh báo khoảng cách đã bật.</t>
    </r>
  </si>
  <si>
    <r>
      <t>1.</t>
    </r>
    <r>
      <rPr>
        <sz val="7"/>
        <color theme="1"/>
        <rFont val="Times New Roman"/>
        <family val="1"/>
      </rPr>
      <t xml:space="preserve"> </t>
    </r>
    <r>
      <rPr>
        <u/>
        <sz val="14"/>
        <color theme="1"/>
        <rFont val="Times New Roman"/>
        <family val="1"/>
      </rPr>
      <t xml:space="preserve"> Biển 1.</t>
    </r>
  </si>
  <si>
    <r>
      <t>2.</t>
    </r>
    <r>
      <rPr>
        <sz val="7"/>
        <color theme="1"/>
        <rFont val="Times New Roman"/>
        <family val="1"/>
      </rPr>
      <t xml:space="preserve">   </t>
    </r>
    <r>
      <rPr>
        <sz val="14"/>
        <color theme="1"/>
        <rFont val="Times New Roman"/>
        <family val="1"/>
      </rPr>
      <t>Biển 2.</t>
    </r>
  </si>
  <si>
    <r>
      <t>1.</t>
    </r>
    <r>
      <rPr>
        <sz val="7"/>
        <color theme="1"/>
        <rFont val="Times New Roman"/>
        <family val="1"/>
      </rPr>
      <t xml:space="preserve">  </t>
    </r>
    <r>
      <rPr>
        <sz val="14"/>
        <color theme="1"/>
        <rFont val="Times New Roman"/>
        <family val="1"/>
      </rPr>
      <t>Cả ba biển.</t>
    </r>
  </si>
  <si>
    <r>
      <t>2.</t>
    </r>
    <r>
      <rPr>
        <sz val="7"/>
        <color theme="1"/>
        <rFont val="Times New Roman"/>
        <family val="1"/>
      </rPr>
      <t xml:space="preserve">  </t>
    </r>
    <r>
      <rPr>
        <sz val="14"/>
        <color theme="1"/>
        <rFont val="Times New Roman"/>
        <family val="1"/>
      </rPr>
      <t>Biển 2 và biển 3.</t>
    </r>
  </si>
  <si>
    <r>
      <t>1.</t>
    </r>
    <r>
      <rPr>
        <sz val="7"/>
        <color theme="1"/>
        <rFont val="Times New Roman"/>
        <family val="1"/>
      </rPr>
      <t xml:space="preserve">   </t>
    </r>
    <r>
      <rPr>
        <sz val="14"/>
        <color theme="1"/>
        <rFont val="Times New Roman"/>
        <family val="1"/>
      </rPr>
      <t>Biển 1.</t>
    </r>
  </si>
  <si>
    <r>
      <t>2.</t>
    </r>
    <r>
      <rPr>
        <sz val="7"/>
        <color theme="1"/>
        <rFont val="Times New Roman"/>
        <family val="1"/>
      </rPr>
      <t xml:space="preserve"> </t>
    </r>
    <r>
      <rPr>
        <u/>
        <sz val="14"/>
        <color theme="1"/>
        <rFont val="Times New Roman"/>
        <family val="1"/>
      </rPr>
      <t xml:space="preserve"> Biển 2 và biển 3.</t>
    </r>
  </si>
  <si>
    <r>
      <t>3.</t>
    </r>
    <r>
      <rPr>
        <sz val="7"/>
        <color theme="1"/>
        <rFont val="Times New Roman"/>
        <family val="1"/>
      </rPr>
      <t xml:space="preserve">   </t>
    </r>
    <r>
      <rPr>
        <sz val="14"/>
        <color theme="1"/>
        <rFont val="Times New Roman"/>
        <family val="1"/>
      </rPr>
      <t>Biển 1 và biển 3.</t>
    </r>
  </si>
  <si>
    <r>
      <t>4.</t>
    </r>
    <r>
      <rPr>
        <sz val="7"/>
        <color theme="1"/>
        <rFont val="Times New Roman"/>
        <family val="1"/>
      </rPr>
      <t xml:space="preserve">   </t>
    </r>
    <r>
      <rPr>
        <sz val="14"/>
        <color theme="1"/>
        <rFont val="Times New Roman"/>
        <family val="1"/>
      </rPr>
      <t>Cả ba biển.</t>
    </r>
  </si>
  <si>
    <r>
      <t>1.</t>
    </r>
    <r>
      <rPr>
        <sz val="7"/>
        <color theme="1"/>
        <rFont val="Times New Roman"/>
        <family val="1"/>
      </rPr>
      <t xml:space="preserve"> </t>
    </r>
    <r>
      <rPr>
        <u/>
        <sz val="14"/>
        <color theme="1"/>
        <rFont val="Times New Roman"/>
        <family val="1"/>
      </rPr>
      <t xml:space="preserve"> Biển 1 và biển 2.</t>
    </r>
  </si>
  <si>
    <r>
      <t>2.</t>
    </r>
    <r>
      <rPr>
        <sz val="7"/>
        <color theme="1"/>
        <rFont val="Times New Roman"/>
        <family val="1"/>
      </rPr>
      <t xml:space="preserve">   </t>
    </r>
    <r>
      <rPr>
        <sz val="14"/>
        <color theme="1"/>
        <rFont val="Times New Roman"/>
        <family val="1"/>
      </rPr>
      <t>Biển 1 và biển 3.</t>
    </r>
  </si>
  <si>
    <r>
      <t>3.</t>
    </r>
    <r>
      <rPr>
        <sz val="7"/>
        <color theme="1"/>
        <rFont val="Times New Roman"/>
        <family val="1"/>
      </rPr>
      <t xml:space="preserve">   </t>
    </r>
    <r>
      <rPr>
        <sz val="14"/>
        <color theme="1"/>
        <rFont val="Times New Roman"/>
        <family val="1"/>
      </rPr>
      <t>Biển 2 và biển 3.</t>
    </r>
  </si>
  <si>
    <r>
      <t>3.</t>
    </r>
    <r>
      <rPr>
        <sz val="7"/>
        <color theme="1"/>
        <rFont val="Times New Roman"/>
        <family val="1"/>
      </rPr>
      <t xml:space="preserve"> </t>
    </r>
    <r>
      <rPr>
        <u/>
        <sz val="14"/>
        <color theme="1"/>
        <rFont val="Times New Roman"/>
        <family val="1"/>
      </rPr>
      <t xml:space="preserve"> Cả hai biển.</t>
    </r>
  </si>
  <si>
    <r>
      <t>3.</t>
    </r>
    <r>
      <rPr>
        <sz val="7"/>
        <color theme="1"/>
        <rFont val="Times New Roman"/>
        <family val="1"/>
      </rPr>
      <t xml:space="preserve">   </t>
    </r>
    <r>
      <rPr>
        <sz val="14"/>
        <color theme="1"/>
        <rFont val="Times New Roman"/>
        <family val="1"/>
      </rPr>
      <t>Biển 3.</t>
    </r>
  </si>
  <si>
    <r>
      <t>1.</t>
    </r>
    <r>
      <rPr>
        <sz val="7"/>
        <color theme="1"/>
        <rFont val="Times New Roman"/>
        <family val="1"/>
      </rPr>
      <t xml:space="preserve">   </t>
    </r>
    <r>
      <rPr>
        <sz val="14"/>
        <color theme="1"/>
        <rFont val="Times New Roman"/>
        <family val="1"/>
      </rPr>
      <t>Không biển nào.</t>
    </r>
  </si>
  <si>
    <r>
      <t>2.</t>
    </r>
    <r>
      <rPr>
        <sz val="7"/>
        <color theme="1"/>
        <rFont val="Times New Roman"/>
        <family val="1"/>
      </rPr>
      <t xml:space="preserve">   </t>
    </r>
    <r>
      <rPr>
        <sz val="14"/>
        <color theme="1"/>
        <rFont val="Times New Roman"/>
        <family val="1"/>
      </rPr>
      <t>Biển 1 và biển 2.</t>
    </r>
  </si>
  <si>
    <r>
      <t>3.</t>
    </r>
    <r>
      <rPr>
        <sz val="7"/>
        <color theme="1"/>
        <rFont val="Times New Roman"/>
        <family val="1"/>
      </rPr>
      <t xml:space="preserve"> </t>
    </r>
    <r>
      <rPr>
        <u/>
        <sz val="14"/>
        <color theme="1"/>
        <rFont val="Times New Roman"/>
        <family val="1"/>
      </rPr>
      <t xml:space="preserve"> Biển 2 và biển 3.</t>
    </r>
  </si>
  <si>
    <r>
      <t>1.</t>
    </r>
    <r>
      <rPr>
        <sz val="7"/>
        <color theme="1"/>
        <rFont val="Times New Roman"/>
        <family val="1"/>
      </rPr>
      <t xml:space="preserve">   </t>
    </r>
    <r>
      <rPr>
        <sz val="14"/>
        <color theme="1"/>
        <rFont val="Times New Roman"/>
        <family val="1"/>
      </rPr>
      <t>Biển 1 và biển 2.</t>
    </r>
  </si>
  <si>
    <r>
      <t>3.</t>
    </r>
    <r>
      <rPr>
        <sz val="7"/>
        <color theme="1"/>
        <rFont val="Times New Roman"/>
        <family val="1"/>
      </rPr>
      <t xml:space="preserve"> </t>
    </r>
    <r>
      <rPr>
        <u/>
        <sz val="14"/>
        <color theme="1"/>
        <rFont val="Times New Roman"/>
        <family val="1"/>
      </rPr>
      <t xml:space="preserve"> Biển 1 và biển 3.</t>
    </r>
  </si>
  <si>
    <r>
      <t>4.</t>
    </r>
    <r>
      <rPr>
        <sz val="7"/>
        <color theme="1"/>
        <rFont val="Times New Roman"/>
        <family val="1"/>
      </rPr>
      <t xml:space="preserve">   </t>
    </r>
    <r>
      <rPr>
        <sz val="14"/>
        <color theme="1"/>
        <rFont val="Times New Roman"/>
        <family val="1"/>
      </rPr>
      <t>Biển 2 và biển 3.</t>
    </r>
  </si>
  <si>
    <r>
      <t>2.</t>
    </r>
    <r>
      <rPr>
        <sz val="7"/>
        <color theme="1"/>
        <rFont val="Times New Roman"/>
        <family val="1"/>
      </rPr>
      <t xml:space="preserve"> </t>
    </r>
    <r>
      <rPr>
        <u/>
        <sz val="14"/>
        <color theme="1"/>
        <rFont val="Times New Roman"/>
        <family val="1"/>
      </rPr>
      <t xml:space="preserve"> Biển 2.</t>
    </r>
  </si>
  <si>
    <r>
      <t>4.</t>
    </r>
    <r>
      <rPr>
        <sz val="7"/>
        <color theme="1"/>
        <rFont val="Times New Roman"/>
        <family val="1"/>
      </rPr>
      <t xml:space="preserve"> </t>
    </r>
    <r>
      <rPr>
        <u/>
        <sz val="14"/>
        <color theme="1"/>
        <rFont val="Times New Roman"/>
        <family val="1"/>
      </rPr>
      <t xml:space="preserve"> Biển 2 và biển 3.</t>
    </r>
  </si>
  <si>
    <r>
      <t>3.</t>
    </r>
    <r>
      <rPr>
        <sz val="7"/>
        <color theme="1"/>
        <rFont val="Times New Roman"/>
        <family val="1"/>
      </rPr>
      <t xml:space="preserve">   </t>
    </r>
    <r>
      <rPr>
        <sz val="14"/>
        <color theme="1"/>
        <rFont val="Times New Roman"/>
        <family val="1"/>
      </rPr>
      <t>Không biển nào.</t>
    </r>
  </si>
  <si>
    <r>
      <t>4.</t>
    </r>
    <r>
      <rPr>
        <sz val="7"/>
        <color theme="1"/>
        <rFont val="Times New Roman"/>
        <family val="1"/>
      </rPr>
      <t xml:space="preserve">   </t>
    </r>
    <r>
      <rPr>
        <sz val="14"/>
        <color theme="1"/>
        <rFont val="Times New Roman"/>
        <family val="1"/>
      </rPr>
      <t>Cả hai biển.</t>
    </r>
  </si>
  <si>
    <r>
      <t>3.</t>
    </r>
    <r>
      <rPr>
        <sz val="7"/>
        <color theme="1"/>
        <rFont val="Times New Roman"/>
        <family val="1"/>
      </rPr>
      <t xml:space="preserve">   </t>
    </r>
    <r>
      <rPr>
        <sz val="14"/>
        <color theme="1"/>
        <rFont val="Times New Roman"/>
        <family val="1"/>
      </rPr>
      <t>Cả hai biển.</t>
    </r>
  </si>
  <si>
    <r>
      <t>4.</t>
    </r>
    <r>
      <rPr>
        <sz val="7"/>
        <color theme="1"/>
        <rFont val="Times New Roman"/>
        <family val="1"/>
      </rPr>
      <t xml:space="preserve">   </t>
    </r>
    <r>
      <rPr>
        <sz val="14"/>
        <color theme="1"/>
        <rFont val="Times New Roman"/>
        <family val="1"/>
      </rPr>
      <t>Biển 1 và biển 3.</t>
    </r>
  </si>
  <si>
    <r>
      <t>3.</t>
    </r>
    <r>
      <rPr>
        <sz val="7"/>
        <color theme="1"/>
        <rFont val="Times New Roman"/>
        <family val="1"/>
      </rPr>
      <t xml:space="preserve">   </t>
    </r>
    <r>
      <rPr>
        <sz val="14"/>
        <color theme="1"/>
        <rFont val="Times New Roman"/>
        <family val="1"/>
      </rPr>
      <t>Cả ba biển.</t>
    </r>
  </si>
  <si>
    <r>
      <t>3.</t>
    </r>
    <r>
      <rPr>
        <sz val="7"/>
        <color theme="1"/>
        <rFont val="Times New Roman"/>
        <family val="1"/>
      </rPr>
      <t xml:space="preserve"> </t>
    </r>
    <r>
      <rPr>
        <u/>
        <sz val="14"/>
        <color theme="1"/>
        <rFont val="Times New Roman"/>
        <family val="1"/>
      </rPr>
      <t xml:space="preserve"> Biển 1 và biển 2.</t>
    </r>
  </si>
  <si>
    <r>
      <t>2.</t>
    </r>
    <r>
      <rPr>
        <sz val="7"/>
        <color theme="1"/>
        <rFont val="Times New Roman"/>
        <family val="1"/>
      </rPr>
      <t xml:space="preserve"> </t>
    </r>
    <r>
      <rPr>
        <u/>
        <sz val="14"/>
        <color theme="1"/>
        <rFont val="Times New Roman"/>
        <family val="1"/>
      </rPr>
      <t xml:space="preserve"> Biển 1 và biển 3.</t>
    </r>
  </si>
  <si>
    <r>
      <t>4.</t>
    </r>
    <r>
      <rPr>
        <sz val="7"/>
        <color theme="1"/>
        <rFont val="Times New Roman"/>
        <family val="1"/>
      </rPr>
      <t xml:space="preserve">   </t>
    </r>
    <r>
      <rPr>
        <sz val="14"/>
        <color theme="1"/>
        <rFont val="Times New Roman"/>
        <family val="1"/>
      </rPr>
      <t>Biển 3.</t>
    </r>
  </si>
  <si>
    <r>
      <t>3.</t>
    </r>
    <r>
      <rPr>
        <sz val="7"/>
        <color theme="1"/>
        <rFont val="Times New Roman"/>
        <family val="1"/>
      </rPr>
      <t xml:space="preserve"> </t>
    </r>
    <r>
      <rPr>
        <u/>
        <sz val="14"/>
        <color theme="1"/>
        <rFont val="Times New Roman"/>
        <family val="1"/>
      </rPr>
      <t xml:space="preserve"> Biển 3.</t>
    </r>
  </si>
  <si>
    <r>
      <t>4.</t>
    </r>
    <r>
      <rPr>
        <sz val="7"/>
        <color theme="1"/>
        <rFont val="Times New Roman"/>
        <family val="1"/>
      </rPr>
      <t xml:space="preserve"> </t>
    </r>
    <r>
      <rPr>
        <u/>
        <sz val="14"/>
        <color theme="1"/>
        <rFont val="Times New Roman"/>
        <family val="1"/>
      </rPr>
      <t xml:space="preserve"> Biển 1 và biển 2.</t>
    </r>
  </si>
  <si>
    <r>
      <t>1.</t>
    </r>
    <r>
      <rPr>
        <sz val="7"/>
        <color theme="1"/>
        <rFont val="Times New Roman"/>
        <family val="1"/>
      </rPr>
      <t xml:space="preserve">   </t>
    </r>
    <r>
      <rPr>
        <sz val="14"/>
        <color theme="1"/>
        <rFont val="Times New Roman"/>
        <family val="1"/>
      </rPr>
      <t>Đường cấm súc vật vận tải hàng hóa.</t>
    </r>
  </si>
  <si>
    <r>
      <t>2.</t>
    </r>
    <r>
      <rPr>
        <sz val="7"/>
        <color theme="1"/>
        <rFont val="Times New Roman"/>
        <family val="1"/>
      </rPr>
      <t xml:space="preserve">   </t>
    </r>
    <r>
      <rPr>
        <sz val="14"/>
        <color theme="1"/>
        <rFont val="Times New Roman"/>
        <family val="1"/>
      </rPr>
      <t>Đường cấm súc vật vận tải hành khách.</t>
    </r>
  </si>
  <si>
    <r>
      <t>3.</t>
    </r>
    <r>
      <rPr>
        <sz val="7"/>
        <color theme="1"/>
        <rFont val="Times New Roman"/>
        <family val="1"/>
      </rPr>
      <t xml:space="preserve"> </t>
    </r>
    <r>
      <rPr>
        <u/>
        <sz val="14"/>
        <color theme="1"/>
        <rFont val="Times New Roman"/>
        <family val="1"/>
      </rPr>
      <t xml:space="preserve"> Đường cấm súc vật vận tải hàng hóa hoặc hành khách dù kéo xe hay chở trên</t>
    </r>
    <r>
      <rPr>
        <sz val="14"/>
        <color theme="1"/>
        <rFont val="Times New Roman"/>
        <family val="1"/>
      </rPr>
      <t xml:space="preserve"> </t>
    </r>
    <r>
      <rPr>
        <u/>
        <sz val="14"/>
        <color theme="1"/>
        <rFont val="Times New Roman"/>
        <family val="1"/>
      </rPr>
      <t>lưng đi qua.</t>
    </r>
  </si>
  <si>
    <r>
      <t>1.</t>
    </r>
    <r>
      <rPr>
        <sz val="7"/>
        <color theme="1"/>
        <rFont val="Times New Roman"/>
        <family val="1"/>
      </rPr>
      <t xml:space="preserve"> </t>
    </r>
    <r>
      <rPr>
        <u/>
        <sz val="14"/>
        <color theme="1"/>
        <rFont val="Times New Roman"/>
        <family val="1"/>
      </rPr>
      <t xml:space="preserve"> Tốc độ tối đa cho phép về ban đêm cho các phương tiện là 70 km/h.</t>
    </r>
  </si>
  <si>
    <r>
      <t>2.</t>
    </r>
    <r>
      <rPr>
        <sz val="7"/>
        <color theme="1"/>
        <rFont val="Times New Roman"/>
        <family val="1"/>
      </rPr>
      <t xml:space="preserve">   </t>
    </r>
    <r>
      <rPr>
        <sz val="14"/>
        <color theme="1"/>
        <rFont val="Times New Roman"/>
        <family val="1"/>
      </rPr>
      <t>Tốc độ tối thiểu cho phép về ban đêm cho các phương tiện là 70 km/h.</t>
    </r>
  </si>
  <si>
    <r>
      <t>1.</t>
    </r>
    <r>
      <rPr>
        <sz val="7"/>
        <color theme="1"/>
        <rFont val="Times New Roman"/>
        <family val="1"/>
      </rPr>
      <t xml:space="preserve">   </t>
    </r>
    <r>
      <rPr>
        <sz val="14"/>
        <color theme="1"/>
        <rFont val="Times New Roman"/>
        <family val="1"/>
      </rPr>
      <t>Cho phép xe ô tô có tải trọng trục lớn hơn 7 tấn đi qua.</t>
    </r>
  </si>
  <si>
    <r>
      <t>2.</t>
    </r>
    <r>
      <rPr>
        <sz val="7"/>
        <color theme="1"/>
        <rFont val="Times New Roman"/>
        <family val="1"/>
      </rPr>
      <t xml:space="preserve"> </t>
    </r>
    <r>
      <rPr>
        <u/>
        <sz val="14"/>
        <color theme="1"/>
        <rFont val="Times New Roman"/>
        <family val="1"/>
      </rPr>
      <t xml:space="preserve"> Cho phép xe ô tô có tải trọng trên trục xe từ 7 tấn trở xuống đi qua.</t>
    </r>
  </si>
  <si>
    <r>
      <t>1.</t>
    </r>
    <r>
      <rPr>
        <sz val="7"/>
        <color theme="1"/>
        <rFont val="Times New Roman"/>
        <family val="1"/>
      </rPr>
      <t xml:space="preserve"> </t>
    </r>
    <r>
      <rPr>
        <u/>
        <sz val="14"/>
        <color theme="1"/>
        <rFont val="Times New Roman"/>
        <family val="1"/>
      </rPr>
      <t xml:space="preserve"> Cấm các loại xe có tải trọng toàn bộ trên 10 tấn đi qua.</t>
    </r>
  </si>
  <si>
    <r>
      <t>2.</t>
    </r>
    <r>
      <rPr>
        <sz val="7"/>
        <color theme="1"/>
        <rFont val="Times New Roman"/>
        <family val="1"/>
      </rPr>
      <t xml:space="preserve">   </t>
    </r>
    <r>
      <rPr>
        <sz val="14"/>
        <color theme="1"/>
        <rFont val="Times New Roman"/>
        <family val="1"/>
      </rPr>
      <t>Hạn chế khối lượng hàng hóa chở trên xe.</t>
    </r>
  </si>
  <si>
    <r>
      <t>3.</t>
    </r>
    <r>
      <rPr>
        <sz val="7"/>
        <color theme="1"/>
        <rFont val="Times New Roman"/>
        <family val="1"/>
      </rPr>
      <t xml:space="preserve">   </t>
    </r>
    <r>
      <rPr>
        <sz val="14"/>
        <color theme="1"/>
        <rFont val="Times New Roman"/>
        <family val="1"/>
      </rPr>
      <t>Hạn chế tải trọng trên trục xe.</t>
    </r>
  </si>
  <si>
    <r>
      <t>1.</t>
    </r>
    <r>
      <rPr>
        <sz val="7"/>
        <color theme="1"/>
        <rFont val="Times New Roman"/>
        <family val="1"/>
      </rPr>
      <t xml:space="preserve"> </t>
    </r>
    <r>
      <rPr>
        <u/>
        <sz val="14"/>
        <color theme="1"/>
        <rFont val="Times New Roman"/>
        <family val="1"/>
      </rPr>
      <t xml:space="preserve"> Được đi vào.</t>
    </r>
  </si>
  <si>
    <r>
      <t>2.</t>
    </r>
    <r>
      <rPr>
        <sz val="7"/>
        <color theme="1"/>
        <rFont val="Times New Roman"/>
        <family val="1"/>
      </rPr>
      <t xml:space="preserve">   </t>
    </r>
    <r>
      <rPr>
        <sz val="14"/>
        <color theme="1"/>
        <rFont val="Times New Roman"/>
        <family val="1"/>
      </rPr>
      <t>Không được đi vào.</t>
    </r>
  </si>
  <si>
    <r>
      <t>2.</t>
    </r>
    <r>
      <rPr>
        <sz val="7"/>
        <color theme="1"/>
        <rFont val="Times New Roman"/>
        <family val="1"/>
      </rPr>
      <t xml:space="preserve">   </t>
    </r>
    <r>
      <rPr>
        <sz val="14"/>
        <color theme="1"/>
        <rFont val="Times New Roman"/>
        <family val="1"/>
      </rPr>
      <t>Biển 2 và biển 3.</t>
    </r>
  </si>
  <si>
    <r>
      <t>1.</t>
    </r>
    <r>
      <rPr>
        <sz val="7"/>
        <color theme="1"/>
        <rFont val="Times New Roman"/>
        <family val="1"/>
      </rPr>
      <t xml:space="preserve"> </t>
    </r>
    <r>
      <rPr>
        <u/>
        <sz val="14"/>
        <color theme="1"/>
        <rFont val="Times New Roman"/>
        <family val="1"/>
      </rPr>
      <t xml:space="preserve"> Có.</t>
    </r>
  </si>
  <si>
    <r>
      <t>2.</t>
    </r>
    <r>
      <rPr>
        <sz val="7"/>
        <color theme="1"/>
        <rFont val="Times New Roman"/>
        <family val="1"/>
      </rPr>
      <t xml:space="preserve">   </t>
    </r>
    <r>
      <rPr>
        <sz val="14"/>
        <color theme="1"/>
        <rFont val="Times New Roman"/>
        <family val="1"/>
      </rPr>
      <t>Không.</t>
    </r>
  </si>
  <si>
    <r>
      <t>1.</t>
    </r>
    <r>
      <rPr>
        <sz val="7"/>
        <color theme="1"/>
        <rFont val="Times New Roman"/>
        <family val="1"/>
      </rPr>
      <t xml:space="preserve">   </t>
    </r>
    <r>
      <rPr>
        <sz val="14"/>
        <color theme="1"/>
        <rFont val="Times New Roman"/>
        <family val="1"/>
      </rPr>
      <t>Cấm xe cơ giới (trừ xe ưu tiên theo luật định) đi thẳng.</t>
    </r>
  </si>
  <si>
    <r>
      <t>2.</t>
    </r>
    <r>
      <rPr>
        <sz val="7"/>
        <color theme="1"/>
        <rFont val="Times New Roman"/>
        <family val="1"/>
      </rPr>
      <t xml:space="preserve"> </t>
    </r>
    <r>
      <rPr>
        <u/>
        <sz val="14"/>
        <color theme="1"/>
        <rFont val="Times New Roman"/>
        <family val="1"/>
      </rPr>
      <t xml:space="preserve"> Cấm các loại xe cơ giới và xe mô tô (trừ xe ưu tiên theo luật định) đi về bên</t>
    </r>
    <r>
      <rPr>
        <sz val="14"/>
        <color theme="1"/>
        <rFont val="Times New Roman"/>
        <family val="1"/>
      </rPr>
      <t xml:space="preserve"> </t>
    </r>
    <r>
      <rPr>
        <u/>
        <sz val="14"/>
        <color theme="1"/>
        <rFont val="Times New Roman"/>
        <family val="1"/>
      </rPr>
      <t>trái và bên phải.</t>
    </r>
  </si>
  <si>
    <r>
      <t>3.</t>
    </r>
    <r>
      <rPr>
        <sz val="7"/>
        <color theme="1"/>
        <rFont val="Times New Roman"/>
        <family val="1"/>
      </rPr>
      <t xml:space="preserve">   </t>
    </r>
    <r>
      <rPr>
        <sz val="14"/>
        <color theme="1"/>
        <rFont val="Times New Roman"/>
        <family val="1"/>
      </rPr>
      <t>Hướng trái và phải không cấm xe cơ giới.</t>
    </r>
  </si>
  <si>
    <r>
      <t>1.</t>
    </r>
    <r>
      <rPr>
        <sz val="7"/>
        <color theme="1"/>
        <rFont val="Times New Roman"/>
        <family val="1"/>
      </rPr>
      <t xml:space="preserve">   </t>
    </r>
    <r>
      <rPr>
        <sz val="14"/>
        <color theme="1"/>
        <rFont val="Times New Roman"/>
        <family val="1"/>
      </rPr>
      <t>Báo khoảng cách đến nơi cấm bóp còi.</t>
    </r>
  </si>
  <si>
    <r>
      <t>2.</t>
    </r>
    <r>
      <rPr>
        <sz val="7"/>
        <color theme="1"/>
        <rFont val="Times New Roman"/>
        <family val="1"/>
      </rPr>
      <t xml:space="preserve"> </t>
    </r>
    <r>
      <rPr>
        <u/>
        <sz val="14"/>
        <color theme="1"/>
        <rFont val="Times New Roman"/>
        <family val="1"/>
      </rPr>
      <t xml:space="preserve"> Chiều dài đoạn đường cấm bóp còi từ nơi đặt biển.</t>
    </r>
  </si>
  <si>
    <r>
      <t>3.</t>
    </r>
    <r>
      <rPr>
        <sz val="7"/>
        <color theme="1"/>
        <rFont val="Times New Roman"/>
        <family val="1"/>
      </rPr>
      <t xml:space="preserve">   </t>
    </r>
    <r>
      <rPr>
        <sz val="14"/>
        <color theme="1"/>
        <rFont val="Times New Roman"/>
        <family val="1"/>
      </rPr>
      <t>Báo cấm dùng còi có độ vang xa 500m.</t>
    </r>
  </si>
  <si>
    <r>
      <t>1.</t>
    </r>
    <r>
      <rPr>
        <sz val="7"/>
        <color theme="1"/>
        <rFont val="Times New Roman"/>
        <family val="1"/>
      </rPr>
      <t xml:space="preserve"> </t>
    </r>
    <r>
      <rPr>
        <u/>
        <sz val="14"/>
        <color theme="1"/>
        <rFont val="Times New Roman"/>
        <family val="1"/>
      </rPr>
      <t xml:space="preserve"> Cấm các loại xe ở biển phụ đi vào.</t>
    </r>
  </si>
  <si>
    <r>
      <t>2.</t>
    </r>
    <r>
      <rPr>
        <sz val="7"/>
        <color theme="1"/>
        <rFont val="Times New Roman"/>
        <family val="1"/>
      </rPr>
      <t xml:space="preserve">   </t>
    </r>
    <r>
      <rPr>
        <sz val="14"/>
        <color theme="1"/>
        <rFont val="Times New Roman"/>
        <family val="1"/>
      </rPr>
      <t>Cấm các loại xe cơ giới đi vào trừ loại xe ở biển phụ.</t>
    </r>
  </si>
  <si>
    <r>
      <t>1. Biển 1</t>
    </r>
    <r>
      <rPr>
        <sz val="14"/>
        <color theme="1"/>
        <rFont val="Times New Roman"/>
        <family val="1"/>
      </rPr>
      <t>.</t>
    </r>
  </si>
  <si>
    <r>
      <t>1.</t>
    </r>
    <r>
      <rPr>
        <sz val="7"/>
        <color theme="1"/>
        <rFont val="Times New Roman"/>
        <family val="1"/>
      </rPr>
      <t xml:space="preserve">   </t>
    </r>
    <r>
      <rPr>
        <sz val="14"/>
        <color theme="1"/>
        <rFont val="Times New Roman"/>
        <family val="1"/>
      </rPr>
      <t>Cấm dừng xe về hướng bên trái.</t>
    </r>
  </si>
  <si>
    <r>
      <t>2.</t>
    </r>
    <r>
      <rPr>
        <sz val="7"/>
        <color theme="1"/>
        <rFont val="Times New Roman"/>
        <family val="1"/>
      </rPr>
      <t xml:space="preserve"> </t>
    </r>
    <r>
      <rPr>
        <u/>
        <sz val="14"/>
        <color theme="1"/>
        <rFont val="Times New Roman"/>
        <family val="1"/>
      </rPr>
      <t xml:space="preserve"> Cấm dừng và đỗ xe theo hướng bên phải.</t>
    </r>
  </si>
  <si>
    <r>
      <t>3.</t>
    </r>
    <r>
      <rPr>
        <sz val="7"/>
        <color theme="1"/>
        <rFont val="Times New Roman"/>
        <family val="1"/>
      </rPr>
      <t xml:space="preserve">   </t>
    </r>
    <r>
      <rPr>
        <sz val="14"/>
        <color theme="1"/>
        <rFont val="Times New Roman"/>
        <family val="1"/>
      </rPr>
      <t>Được phép đỗ xe và dừng xe theo hướng bên phải.</t>
    </r>
  </si>
  <si>
    <r>
      <t>1.</t>
    </r>
    <r>
      <rPr>
        <sz val="7"/>
        <color theme="1"/>
        <rFont val="Times New Roman"/>
        <family val="1"/>
      </rPr>
      <t xml:space="preserve"> </t>
    </r>
    <r>
      <rPr>
        <u/>
        <sz val="14"/>
        <color theme="1"/>
        <rFont val="Times New Roman"/>
        <family val="1"/>
      </rPr>
      <t xml:space="preserve"> Không được phép.</t>
    </r>
  </si>
  <si>
    <r>
      <t>2.</t>
    </r>
    <r>
      <rPr>
        <sz val="7"/>
        <color theme="1"/>
        <rFont val="Times New Roman"/>
        <family val="1"/>
      </rPr>
      <t xml:space="preserve">   </t>
    </r>
    <r>
      <rPr>
        <sz val="14"/>
        <color theme="1"/>
        <rFont val="Times New Roman"/>
        <family val="1"/>
      </rPr>
      <t>Được phép.</t>
    </r>
  </si>
  <si>
    <r>
      <t>1.</t>
    </r>
    <r>
      <rPr>
        <sz val="7"/>
        <color theme="1"/>
        <rFont val="Times New Roman"/>
        <family val="1"/>
      </rPr>
      <t xml:space="preserve">   </t>
    </r>
    <r>
      <rPr>
        <sz val="14"/>
        <color theme="1"/>
        <rFont val="Times New Roman"/>
        <family val="1"/>
      </rPr>
      <t>Cấm ô tô buýt.</t>
    </r>
  </si>
  <si>
    <r>
      <t>2.</t>
    </r>
    <r>
      <rPr>
        <sz val="7"/>
        <color theme="1"/>
        <rFont val="Times New Roman"/>
        <family val="1"/>
      </rPr>
      <t xml:space="preserve"> </t>
    </r>
    <r>
      <rPr>
        <u/>
        <sz val="14"/>
        <color theme="1"/>
        <rFont val="Times New Roman"/>
        <family val="1"/>
      </rPr>
      <t xml:space="preserve"> Cấm xe ô tô khách.</t>
    </r>
  </si>
  <si>
    <r>
      <t>3.</t>
    </r>
    <r>
      <rPr>
        <sz val="7"/>
        <color theme="1"/>
        <rFont val="Times New Roman"/>
        <family val="1"/>
      </rPr>
      <t xml:space="preserve">   </t>
    </r>
    <r>
      <rPr>
        <sz val="14"/>
        <color theme="1"/>
        <rFont val="Times New Roman"/>
        <family val="1"/>
      </rPr>
      <t>Cấm xe ô tô con.</t>
    </r>
  </si>
  <si>
    <r>
      <t>1.</t>
    </r>
    <r>
      <rPr>
        <sz val="7"/>
        <color theme="1"/>
        <rFont val="Times New Roman"/>
        <family val="1"/>
      </rPr>
      <t xml:space="preserve">   </t>
    </r>
    <r>
      <rPr>
        <sz val="14"/>
        <color theme="1"/>
        <rFont val="Times New Roman"/>
        <family val="1"/>
      </rPr>
      <t>Hạn chế chiều cao của xe và hàng.</t>
    </r>
  </si>
  <si>
    <r>
      <t>2.</t>
    </r>
    <r>
      <rPr>
        <sz val="7"/>
        <color theme="1"/>
        <rFont val="Times New Roman"/>
        <family val="1"/>
      </rPr>
      <t xml:space="preserve"> </t>
    </r>
    <r>
      <rPr>
        <u/>
        <sz val="14"/>
        <color theme="1"/>
        <rFont val="Times New Roman"/>
        <family val="1"/>
      </rPr>
      <t xml:space="preserve"> Hạn chế chiều ngang của xe và hàng.</t>
    </r>
  </si>
  <si>
    <r>
      <t>3.</t>
    </r>
    <r>
      <rPr>
        <sz val="7"/>
        <color theme="1"/>
        <rFont val="Times New Roman"/>
        <family val="1"/>
      </rPr>
      <t xml:space="preserve">   </t>
    </r>
    <r>
      <rPr>
        <sz val="14"/>
        <color theme="1"/>
        <rFont val="Times New Roman"/>
        <family val="1"/>
      </rPr>
      <t>Hạn chế chiều dài của xe và hàng.</t>
    </r>
  </si>
  <si>
    <r>
      <t>1.</t>
    </r>
    <r>
      <rPr>
        <sz val="7"/>
        <color theme="1"/>
        <rFont val="Times New Roman"/>
        <family val="1"/>
      </rPr>
      <t xml:space="preserve"> </t>
    </r>
    <r>
      <rPr>
        <u/>
        <sz val="14"/>
        <color theme="1"/>
        <rFont val="Times New Roman"/>
        <family val="1"/>
      </rPr>
      <t xml:space="preserve"> Tốc độ tối đa các xe cơ giới được phép chạy.</t>
    </r>
  </si>
  <si>
    <r>
      <t>2.</t>
    </r>
    <r>
      <rPr>
        <sz val="7"/>
        <color theme="1"/>
        <rFont val="Times New Roman"/>
        <family val="1"/>
      </rPr>
      <t xml:space="preserve">   </t>
    </r>
    <r>
      <rPr>
        <sz val="14"/>
        <color theme="1"/>
        <rFont val="Times New Roman"/>
        <family val="1"/>
      </rPr>
      <t>Tốc độ tối thiểu các xe cơ giới được phép chạy.</t>
    </r>
  </si>
  <si>
    <r>
      <t>1.</t>
    </r>
    <r>
      <rPr>
        <sz val="7"/>
        <color theme="1"/>
        <rFont val="Times New Roman"/>
        <family val="1"/>
      </rPr>
      <t xml:space="preserve">   </t>
    </r>
    <r>
      <rPr>
        <sz val="14"/>
        <color theme="1"/>
        <rFont val="Times New Roman"/>
        <family val="1"/>
      </rPr>
      <t>Báo hiệu tốc độ tối đa cho phép các xe cơ giới chạy.</t>
    </r>
  </si>
  <si>
    <r>
      <t>2.</t>
    </r>
    <r>
      <rPr>
        <sz val="7"/>
        <color theme="1"/>
        <rFont val="Times New Roman"/>
        <family val="1"/>
      </rPr>
      <t xml:space="preserve"> </t>
    </r>
    <r>
      <rPr>
        <u/>
        <sz val="14"/>
        <color theme="1"/>
        <rFont val="Times New Roman"/>
        <family val="1"/>
      </rPr>
      <t xml:space="preserve"> Báo hiệu tốc độ tối thiểu cho phép các xe cơ giới chạy.</t>
    </r>
  </si>
  <si>
    <r>
      <t>4.</t>
    </r>
    <r>
      <rPr>
        <sz val="7"/>
        <color theme="1"/>
        <rFont val="Times New Roman"/>
        <family val="1"/>
      </rPr>
      <t xml:space="preserve"> </t>
    </r>
    <r>
      <rPr>
        <u/>
        <sz val="14"/>
        <color theme="1"/>
        <rFont val="Times New Roman"/>
        <family val="1"/>
      </rPr>
      <t xml:space="preserve"> Cả ba biển.</t>
    </r>
  </si>
  <si>
    <r>
      <t>1.</t>
    </r>
    <r>
      <rPr>
        <sz val="7"/>
        <color theme="1"/>
        <rFont val="Times New Roman"/>
        <family val="1"/>
      </rPr>
      <t xml:space="preserve"> </t>
    </r>
    <r>
      <rPr>
        <u/>
        <sz val="14"/>
        <color theme="1"/>
        <rFont val="Times New Roman"/>
        <family val="1"/>
      </rPr>
      <t xml:space="preserve"> Để chỉ nơi đường sắt giao vuông góc với đường bộ không có rào chắn.</t>
    </r>
  </si>
  <si>
    <r>
      <t>2.</t>
    </r>
    <r>
      <rPr>
        <sz val="7"/>
        <color theme="1"/>
        <rFont val="Times New Roman"/>
        <family val="1"/>
      </rPr>
      <t xml:space="preserve">   </t>
    </r>
    <r>
      <rPr>
        <sz val="14"/>
        <color theme="1"/>
        <rFont val="Times New Roman"/>
        <family val="1"/>
      </rPr>
      <t>Để báo trước sắp đến vị trí giao cắt đường bộ với đường sắt cùng mức, không vuông góc và không có người gác, không có rào chắn.</t>
    </r>
  </si>
  <si>
    <r>
      <t>3.</t>
    </r>
    <r>
      <rPr>
        <sz val="7"/>
        <color theme="1"/>
        <rFont val="Times New Roman"/>
        <family val="1"/>
      </rPr>
      <t xml:space="preserve">   </t>
    </r>
    <r>
      <rPr>
        <sz val="14"/>
        <color theme="1"/>
        <rFont val="Times New Roman"/>
        <family val="1"/>
      </rPr>
      <t>Nơi đường sắt giao nhau với đường bộ.</t>
    </r>
  </si>
  <si>
    <r>
      <t>1.</t>
    </r>
    <r>
      <rPr>
        <sz val="7"/>
        <color theme="1"/>
        <rFont val="Times New Roman"/>
        <family val="1"/>
      </rPr>
      <t xml:space="preserve">   </t>
    </r>
    <r>
      <rPr>
        <sz val="14"/>
        <color theme="1"/>
        <rFont val="Times New Roman"/>
        <family val="1"/>
      </rPr>
      <t>Nơi đường sắt giao nhau với đường bộ.</t>
    </r>
  </si>
  <si>
    <r>
      <t>2.</t>
    </r>
    <r>
      <rPr>
        <sz val="7"/>
        <color theme="1"/>
        <rFont val="Times New Roman"/>
        <family val="1"/>
      </rPr>
      <t xml:space="preserve">   </t>
    </r>
    <r>
      <rPr>
        <sz val="14"/>
        <color theme="1"/>
        <rFont val="Times New Roman"/>
        <family val="1"/>
      </rPr>
      <t>Nơi đường sắt giao vuông góc với đường bộ.</t>
    </r>
  </si>
  <si>
    <r>
      <t>3.</t>
    </r>
    <r>
      <rPr>
        <sz val="7"/>
        <color theme="1"/>
        <rFont val="Times New Roman"/>
        <family val="1"/>
      </rPr>
      <t xml:space="preserve"> </t>
    </r>
    <r>
      <rPr>
        <u/>
        <sz val="14"/>
        <color theme="1"/>
        <rFont val="Times New Roman"/>
        <family val="1"/>
      </rPr>
      <t xml:space="preserve"> Để báo trước sắp đến vị trí đường sắt giao không vuông góc với đường bộ,</t>
    </r>
    <r>
      <rPr>
        <sz val="14"/>
        <color theme="1"/>
        <rFont val="Times New Roman"/>
        <family val="1"/>
      </rPr>
      <t xml:space="preserve"> </t>
    </r>
    <r>
      <rPr>
        <u/>
        <sz val="14"/>
        <color theme="1"/>
        <rFont val="Times New Roman"/>
        <family val="1"/>
      </rPr>
      <t>không có người gác và không có rào chắn.</t>
    </r>
  </si>
  <si>
    <r>
      <t>1.</t>
    </r>
    <r>
      <rPr>
        <sz val="7"/>
        <color theme="1"/>
        <rFont val="Times New Roman"/>
        <family val="1"/>
      </rPr>
      <t xml:space="preserve">   </t>
    </r>
    <r>
      <rPr>
        <sz val="14"/>
        <color theme="1"/>
        <rFont val="Times New Roman"/>
        <family val="1"/>
      </rPr>
      <t>Biển 1 và biển 3.</t>
    </r>
  </si>
  <si>
    <r>
      <t>1.</t>
    </r>
    <r>
      <rPr>
        <sz val="7"/>
        <color theme="1"/>
        <rFont val="Times New Roman"/>
        <family val="1"/>
      </rPr>
      <t xml:space="preserve">   </t>
    </r>
    <r>
      <rPr>
        <sz val="14"/>
        <color theme="1"/>
        <rFont val="Times New Roman"/>
        <family val="1"/>
      </rPr>
      <t>Cả ba biển.</t>
    </r>
  </si>
  <si>
    <r>
      <t>4.</t>
    </r>
    <r>
      <rPr>
        <sz val="7"/>
        <color theme="1"/>
        <rFont val="Times New Roman"/>
        <family val="1"/>
      </rPr>
      <t xml:space="preserve">   </t>
    </r>
    <r>
      <rPr>
        <sz val="14"/>
        <color theme="1"/>
        <rFont val="Times New Roman"/>
        <family val="1"/>
      </rPr>
      <t>Biển 1 và biển 2.</t>
    </r>
  </si>
  <si>
    <r>
      <t>4.</t>
    </r>
    <r>
      <rPr>
        <sz val="7"/>
        <color theme="1"/>
        <rFont val="Times New Roman"/>
        <family val="1"/>
      </rPr>
      <t xml:space="preserve">   </t>
    </r>
    <r>
      <rPr>
        <sz val="14"/>
        <color theme="1"/>
        <rFont val="Times New Roman"/>
        <family val="1"/>
      </rPr>
      <t>Không biển nào.</t>
    </r>
  </si>
  <si>
    <r>
      <t>1.</t>
    </r>
    <r>
      <rPr>
        <sz val="7"/>
        <color theme="1"/>
        <rFont val="Times New Roman"/>
        <family val="1"/>
      </rPr>
      <t xml:space="preserve"> </t>
    </r>
    <r>
      <rPr>
        <u/>
        <sz val="14"/>
        <color theme="1"/>
        <rFont val="Times New Roman"/>
        <family val="1"/>
      </rPr>
      <t xml:space="preserve"> Chỗ ngoặt nguy hiểm có nguy cơ lật xe bên phải khi đường cong vòng sang</t>
    </r>
    <r>
      <rPr>
        <sz val="14"/>
        <color theme="1"/>
        <rFont val="Times New Roman"/>
        <family val="1"/>
      </rPr>
      <t xml:space="preserve"> </t>
    </r>
    <r>
      <rPr>
        <u/>
        <sz val="14"/>
        <color theme="1"/>
        <rFont val="Times New Roman"/>
        <family val="1"/>
      </rPr>
      <t>trái.</t>
    </r>
  </si>
  <si>
    <r>
      <t>2.</t>
    </r>
    <r>
      <rPr>
        <sz val="7"/>
        <color theme="1"/>
        <rFont val="Times New Roman"/>
        <family val="1"/>
      </rPr>
      <t xml:space="preserve">  </t>
    </r>
    <r>
      <rPr>
        <sz val="14"/>
        <color theme="1"/>
        <rFont val="Times New Roman"/>
        <family val="1"/>
      </rPr>
      <t>Chỗ ngoặt nguy hiểm có nguy cơ lật xe bên trái khi đường cong vòng sang phải.</t>
    </r>
  </si>
  <si>
    <r>
      <t>1.</t>
    </r>
    <r>
      <rPr>
        <sz val="7"/>
        <color theme="1"/>
        <rFont val="Times New Roman"/>
        <family val="1"/>
      </rPr>
      <t xml:space="preserve">   </t>
    </r>
    <r>
      <rPr>
        <sz val="14"/>
        <color theme="1"/>
        <rFont val="Times New Roman"/>
        <family val="1"/>
      </rPr>
      <t>Báo trước đoạn đường có gió ngang.</t>
    </r>
  </si>
  <si>
    <r>
      <t>2.</t>
    </r>
    <r>
      <rPr>
        <sz val="7"/>
        <color theme="1"/>
        <rFont val="Times New Roman"/>
        <family val="1"/>
      </rPr>
      <t xml:space="preserve">   </t>
    </r>
    <r>
      <rPr>
        <sz val="14"/>
        <color theme="1"/>
        <rFont val="Times New Roman"/>
        <family val="1"/>
      </rPr>
      <t>Báo trước đoạn đường trơn trượt.</t>
    </r>
  </si>
  <si>
    <r>
      <t>3.</t>
    </r>
    <r>
      <rPr>
        <sz val="7"/>
        <color theme="1"/>
        <rFont val="Times New Roman"/>
        <family val="1"/>
      </rPr>
      <t xml:space="preserve"> </t>
    </r>
    <r>
      <rPr>
        <u/>
        <sz val="14"/>
        <color theme="1"/>
        <rFont val="Times New Roman"/>
        <family val="1"/>
      </rPr>
      <t xml:space="preserve"> Báo trước sắp đến bến phà.</t>
    </r>
  </si>
  <si>
    <r>
      <t>1.</t>
    </r>
    <r>
      <rPr>
        <sz val="7"/>
        <color theme="1"/>
        <rFont val="Times New Roman"/>
        <family val="1"/>
      </rPr>
      <t xml:space="preserve"> </t>
    </r>
    <r>
      <rPr>
        <u/>
        <sz val="14"/>
        <color theme="1"/>
        <rFont val="Times New Roman"/>
        <family val="1"/>
      </rPr>
      <t xml:space="preserve"> Báo hiệu đường có ổ gà, lồi lõm.</t>
    </r>
  </si>
  <si>
    <r>
      <t>2.</t>
    </r>
    <r>
      <rPr>
        <sz val="7"/>
        <color theme="1"/>
        <rFont val="Times New Roman"/>
        <family val="1"/>
      </rPr>
      <t xml:space="preserve">   </t>
    </r>
    <r>
      <rPr>
        <sz val="14"/>
        <color theme="1"/>
        <rFont val="Times New Roman"/>
        <family val="1"/>
      </rPr>
      <t>Báo hiệu đường có gồ giảm tốc phía trước.</t>
    </r>
  </si>
  <si>
    <r>
      <t>1.</t>
    </r>
    <r>
      <rPr>
        <sz val="7"/>
        <color theme="1"/>
        <rFont val="Times New Roman"/>
        <family val="1"/>
      </rPr>
      <t xml:space="preserve">   </t>
    </r>
    <r>
      <rPr>
        <sz val="14"/>
        <color theme="1"/>
        <rFont val="Times New Roman"/>
        <family val="1"/>
      </rPr>
      <t>Báo hiệu đường có ổ gà, lồi lõm.</t>
    </r>
  </si>
  <si>
    <r>
      <t>2.</t>
    </r>
    <r>
      <rPr>
        <sz val="7"/>
        <color theme="1"/>
        <rFont val="Times New Roman"/>
        <family val="1"/>
      </rPr>
      <t xml:space="preserve"> </t>
    </r>
    <r>
      <rPr>
        <u/>
        <sz val="14"/>
        <color theme="1"/>
        <rFont val="Times New Roman"/>
        <family val="1"/>
      </rPr>
      <t xml:space="preserve"> Báo hiệu đường có gồ giảm tốc phía trước.</t>
    </r>
  </si>
  <si>
    <r>
      <t>1.</t>
    </r>
    <r>
      <rPr>
        <sz val="7"/>
        <color theme="1"/>
        <rFont val="Times New Roman"/>
        <family val="1"/>
      </rPr>
      <t xml:space="preserve">   </t>
    </r>
    <r>
      <rPr>
        <sz val="14"/>
        <color theme="1"/>
        <rFont val="Times New Roman"/>
        <family val="1"/>
      </rPr>
      <t>Để báo trước gần tới đoạn đường có hiện tượng đất đá từ trên ta luy dương sụt lở bất ngờ gây nguy hiểm cho xe cộ và người đi đường.</t>
    </r>
  </si>
  <si>
    <r>
      <t>2.</t>
    </r>
    <r>
      <rPr>
        <sz val="7"/>
        <color theme="1"/>
        <rFont val="Times New Roman"/>
        <family val="1"/>
      </rPr>
      <t xml:space="preserve">   </t>
    </r>
    <r>
      <rPr>
        <sz val="14"/>
        <color theme="1"/>
        <rFont val="Times New Roman"/>
        <family val="1"/>
      </rPr>
      <t>Để báo trước nơi có kết cấu mặt đường rời rạc, khi phương tiện đi qua, làm cho các viên đá, sỏi văng lên gây nguy hiểm và mất an toàn cho người và phương tiện tham gia giao thông.</t>
    </r>
  </si>
  <si>
    <r>
      <t>3.</t>
    </r>
    <r>
      <rPr>
        <sz val="7"/>
        <color theme="1"/>
        <rFont val="Times New Roman"/>
        <family val="1"/>
      </rPr>
      <t xml:space="preserve"> </t>
    </r>
    <r>
      <rPr>
        <u/>
        <sz val="14"/>
        <color theme="1"/>
        <rFont val="Times New Roman"/>
        <family val="1"/>
      </rPr>
      <t xml:space="preserve"> Để cảnh báo những đoạn nền đường yếu, đoạn đường đang theo dõi lún mà việc</t>
    </r>
    <r>
      <rPr>
        <sz val="14"/>
        <color theme="1"/>
        <rFont val="Times New Roman"/>
        <family val="1"/>
      </rPr>
      <t xml:space="preserve"> </t>
    </r>
    <r>
      <rPr>
        <u/>
        <sz val="14"/>
        <color theme="1"/>
        <rFont val="Times New Roman"/>
        <family val="1"/>
      </rPr>
      <t>vận hành xe ở tốc độ cao có thể gây nguy hiểm.</t>
    </r>
  </si>
  <si>
    <r>
      <t>1.</t>
    </r>
    <r>
      <rPr>
        <sz val="7"/>
        <color theme="1"/>
        <rFont val="Times New Roman"/>
        <family val="1"/>
      </rPr>
      <t xml:space="preserve"> </t>
    </r>
    <r>
      <rPr>
        <u/>
        <sz val="14"/>
        <color theme="1"/>
        <rFont val="Times New Roman"/>
        <family val="1"/>
      </rPr>
      <t xml:space="preserve"> Để báo trước gần tới đoạn đường có hiện tượng đất đá từ trên ta luy dương sụt</t>
    </r>
    <r>
      <rPr>
        <sz val="14"/>
        <color theme="1"/>
        <rFont val="Times New Roman"/>
        <family val="1"/>
      </rPr>
      <t xml:space="preserve"> </t>
    </r>
    <r>
      <rPr>
        <u/>
        <sz val="14"/>
        <color theme="1"/>
        <rFont val="Times New Roman"/>
        <family val="1"/>
      </rPr>
      <t>lở bất ngờ gây nguy hiểm cho xe cộ và người đi đường.</t>
    </r>
  </si>
  <si>
    <r>
      <t>3.</t>
    </r>
    <r>
      <rPr>
        <sz val="7"/>
        <color theme="1"/>
        <rFont val="Times New Roman"/>
        <family val="1"/>
      </rPr>
      <t xml:space="preserve">  </t>
    </r>
    <r>
      <rPr>
        <sz val="14"/>
        <color theme="1"/>
        <rFont val="Times New Roman"/>
        <family val="1"/>
      </rPr>
      <t>Để cảnh báo những đoạn nền đường yếu, đoạn đường đang theo dõi lún mà việc vận hành xe ở tốc độ cao có thể gây nguy hiểm.</t>
    </r>
  </si>
  <si>
    <r>
      <t>2.</t>
    </r>
    <r>
      <rPr>
        <sz val="7"/>
        <color theme="1"/>
        <rFont val="Times New Roman"/>
        <family val="1"/>
      </rPr>
      <t xml:space="preserve"> </t>
    </r>
    <r>
      <rPr>
        <u/>
        <sz val="14"/>
        <color theme="1"/>
        <rFont val="Times New Roman"/>
        <family val="1"/>
      </rPr>
      <t xml:space="preserve"> Để báo trước nơi có kết cấu mặt đường rời rạc, khi phương tiện đi qua, làm cho</t>
    </r>
    <r>
      <rPr>
        <sz val="14"/>
        <color theme="1"/>
        <rFont val="Times New Roman"/>
        <family val="1"/>
      </rPr>
      <t xml:space="preserve"> </t>
    </r>
    <r>
      <rPr>
        <u/>
        <sz val="14"/>
        <color theme="1"/>
        <rFont val="Times New Roman"/>
        <family val="1"/>
      </rPr>
      <t>các viên đá, sỏi văng lên gây nguy hiểm và mất an toàn cho người và phương tiện</t>
    </r>
    <r>
      <rPr>
        <sz val="14"/>
        <color theme="1"/>
        <rFont val="Times New Roman"/>
        <family val="1"/>
      </rPr>
      <t xml:space="preserve"> </t>
    </r>
    <r>
      <rPr>
        <u/>
        <sz val="14"/>
        <color theme="1"/>
        <rFont val="Times New Roman"/>
        <family val="1"/>
      </rPr>
      <t>tham gia giao thông.</t>
    </r>
  </si>
  <si>
    <r>
      <t>1.</t>
    </r>
    <r>
      <rPr>
        <sz val="7"/>
        <color theme="1"/>
        <rFont val="Times New Roman"/>
        <family val="1"/>
      </rPr>
      <t xml:space="preserve"> </t>
    </r>
    <r>
      <rPr>
        <u/>
        <sz val="14"/>
        <color theme="1"/>
        <rFont val="Times New Roman"/>
        <family val="1"/>
      </rPr>
      <t xml:space="preserve"> Đi chậm, quan sát và dừng lại nếu gặp gia súc trên đường.</t>
    </r>
  </si>
  <si>
    <r>
      <t>2.</t>
    </r>
    <r>
      <rPr>
        <sz val="7"/>
        <color theme="1"/>
        <rFont val="Times New Roman"/>
        <family val="1"/>
      </rPr>
      <t xml:space="preserve">   </t>
    </r>
    <r>
      <rPr>
        <sz val="14"/>
        <color theme="1"/>
        <rFont val="Times New Roman"/>
        <family val="1"/>
      </rPr>
      <t>Bấm còi to để gia súc tránh đường và nhanh chóng di chuyển qua đoạn đường có gia súc.</t>
    </r>
  </si>
  <si>
    <r>
      <t>1.</t>
    </r>
    <r>
      <rPr>
        <sz val="7"/>
        <color theme="1"/>
        <rFont val="Times New Roman"/>
        <family val="1"/>
      </rPr>
      <t xml:space="preserve">   </t>
    </r>
    <r>
      <rPr>
        <sz val="14"/>
        <color theme="1"/>
        <rFont val="Times New Roman"/>
        <family val="1"/>
      </rPr>
      <t>Báo hiệu khu vực nguy hiểm thường xuyên có sét đánh.</t>
    </r>
  </si>
  <si>
    <r>
      <t>2.</t>
    </r>
    <r>
      <rPr>
        <sz val="7"/>
        <color theme="1"/>
        <rFont val="Times New Roman"/>
        <family val="1"/>
      </rPr>
      <t xml:space="preserve"> </t>
    </r>
    <r>
      <rPr>
        <u/>
        <sz val="14"/>
        <color theme="1"/>
        <rFont val="Times New Roman"/>
        <family val="1"/>
      </rPr>
      <t xml:space="preserve"> Báo hiệu khu vực có đường dây điện cắt ngang phía trên tuyến đường.</t>
    </r>
  </si>
  <si>
    <r>
      <t>1.</t>
    </r>
    <r>
      <rPr>
        <sz val="7"/>
        <color theme="1"/>
        <rFont val="Times New Roman"/>
        <family val="1"/>
      </rPr>
      <t xml:space="preserve">   </t>
    </r>
    <r>
      <rPr>
        <sz val="14"/>
        <color theme="1"/>
        <rFont val="Times New Roman"/>
        <family val="1"/>
      </rPr>
      <t>Chỉ hướng đi phải theo.</t>
    </r>
  </si>
  <si>
    <r>
      <t>2.</t>
    </r>
    <r>
      <rPr>
        <sz val="7"/>
        <color theme="1"/>
        <rFont val="Times New Roman"/>
        <family val="1"/>
      </rPr>
      <t xml:space="preserve"> </t>
    </r>
    <r>
      <rPr>
        <u/>
        <sz val="14"/>
        <color theme="1"/>
        <rFont val="Times New Roman"/>
        <family val="1"/>
      </rPr>
      <t xml:space="preserve"> Biển báo hiệu cho người lái xe biết số lượng làn đường trên mặt đường và</t>
    </r>
    <r>
      <rPr>
        <sz val="14"/>
        <color theme="1"/>
        <rFont val="Times New Roman"/>
        <family val="1"/>
      </rPr>
      <t xml:space="preserve"> </t>
    </r>
    <r>
      <rPr>
        <u/>
        <sz val="14"/>
        <color theme="1"/>
        <rFont val="Times New Roman"/>
        <family val="1"/>
      </rPr>
      <t>hướng đi trên mỗi làn đường phải theo.</t>
    </r>
  </si>
  <si>
    <r>
      <t>3.</t>
    </r>
    <r>
      <rPr>
        <sz val="7"/>
        <color theme="1"/>
        <rFont val="Times New Roman"/>
        <family val="1"/>
      </rPr>
      <t xml:space="preserve">   </t>
    </r>
    <r>
      <rPr>
        <sz val="14"/>
        <color theme="1"/>
        <rFont val="Times New Roman"/>
        <family val="1"/>
      </rPr>
      <t>Chỉ hướng đường phải theo.</t>
    </r>
  </si>
  <si>
    <r>
      <t>3.</t>
    </r>
    <r>
      <rPr>
        <sz val="7"/>
        <color theme="1"/>
        <rFont val="Times New Roman"/>
        <family val="1"/>
      </rPr>
      <t xml:space="preserve"> </t>
    </r>
    <r>
      <rPr>
        <u/>
        <sz val="14"/>
        <color theme="1"/>
        <rFont val="Times New Roman"/>
        <family val="1"/>
      </rPr>
      <t xml:space="preserve"> Không biển nào.</t>
    </r>
  </si>
  <si>
    <r>
      <t>1.</t>
    </r>
    <r>
      <rPr>
        <sz val="7"/>
        <color theme="1"/>
        <rFont val="Times New Roman"/>
        <family val="1"/>
      </rPr>
      <t xml:space="preserve"> </t>
    </r>
    <r>
      <rPr>
        <u/>
        <sz val="14"/>
        <color theme="1"/>
        <rFont val="Times New Roman"/>
        <family val="1"/>
      </rPr>
      <t xml:space="preserve"> Biển chỉ dẫn hết cấm đỗ xe theo giờ trong khu vực.</t>
    </r>
  </si>
  <si>
    <r>
      <t>2.</t>
    </r>
    <r>
      <rPr>
        <sz val="7"/>
        <color theme="1"/>
        <rFont val="Times New Roman"/>
        <family val="1"/>
      </rPr>
      <t xml:space="preserve">   </t>
    </r>
    <r>
      <rPr>
        <sz val="14"/>
        <color theme="1"/>
        <rFont val="Times New Roman"/>
        <family val="1"/>
      </rPr>
      <t>Biển chỉ dẫn hết hiệu lực khu vực đỗ xe trên các tuyến đường đối ngoại.</t>
    </r>
  </si>
  <si>
    <r>
      <t>3.</t>
    </r>
    <r>
      <rPr>
        <sz val="7"/>
        <color theme="1"/>
        <rFont val="Times New Roman"/>
        <family val="1"/>
      </rPr>
      <t xml:space="preserve">   </t>
    </r>
    <r>
      <rPr>
        <sz val="14"/>
        <color theme="1"/>
        <rFont val="Times New Roman"/>
        <family val="1"/>
      </rPr>
      <t>Biển chỉ dẫn khu vực đỗ xe trên các tuyến đường đối ngoại.</t>
    </r>
  </si>
  <si>
    <r>
      <t>1.</t>
    </r>
    <r>
      <rPr>
        <sz val="7"/>
        <color theme="1"/>
        <rFont val="Times New Roman"/>
        <family val="1"/>
      </rPr>
      <t xml:space="preserve">   </t>
    </r>
    <r>
      <rPr>
        <sz val="14"/>
        <color theme="1"/>
        <rFont val="Times New Roman"/>
        <family val="1"/>
      </rPr>
      <t>Biển chỉ dẫn khu vực cấm đỗ xe trên các tuyến đường đối ngoại.</t>
    </r>
  </si>
  <si>
    <r>
      <t>2.</t>
    </r>
    <r>
      <rPr>
        <sz val="7"/>
        <color theme="1"/>
        <rFont val="Times New Roman"/>
        <family val="1"/>
      </rPr>
      <t xml:space="preserve">   </t>
    </r>
    <r>
      <rPr>
        <sz val="14"/>
        <color theme="1"/>
        <rFont val="Times New Roman"/>
        <family val="1"/>
      </rPr>
      <t>Biển chỉ dẫn khu vực đỗ xe trên các tuyến đường đối ngoại.</t>
    </r>
  </si>
  <si>
    <r>
      <t>3.</t>
    </r>
    <r>
      <rPr>
        <sz val="7"/>
        <color theme="1"/>
        <rFont val="Times New Roman"/>
        <family val="1"/>
      </rPr>
      <t xml:space="preserve"> </t>
    </r>
    <r>
      <rPr>
        <u/>
        <sz val="14"/>
        <color theme="1"/>
        <rFont val="Times New Roman"/>
        <family val="1"/>
      </rPr>
      <t xml:space="preserve"> Biển hạn chế tốc độ tối đa trong khu vực.</t>
    </r>
  </si>
  <si>
    <r>
      <t>4.</t>
    </r>
    <r>
      <rPr>
        <sz val="7"/>
        <color theme="1"/>
        <rFont val="Times New Roman"/>
        <family val="1"/>
      </rPr>
      <t xml:space="preserve">   </t>
    </r>
    <r>
      <rPr>
        <sz val="14"/>
        <color theme="1"/>
        <rFont val="Times New Roman"/>
        <family val="1"/>
      </rPr>
      <t>Biển chỉ dẫn hết hiệu lực khu vực cấm đỗ xe theo giờ trên các tuyến đường đối ngoại.</t>
    </r>
  </si>
  <si>
    <r>
      <t>1.</t>
    </r>
    <r>
      <rPr>
        <sz val="7"/>
        <color theme="1"/>
        <rFont val="Times New Roman"/>
        <family val="1"/>
      </rPr>
      <t xml:space="preserve"> </t>
    </r>
    <r>
      <rPr>
        <u/>
        <sz val="14"/>
        <color theme="1"/>
        <rFont val="Times New Roman"/>
        <family val="1"/>
      </rPr>
      <t xml:space="preserve"> Biển 1 và 2.</t>
    </r>
  </si>
  <si>
    <r>
      <t>2.</t>
    </r>
    <r>
      <rPr>
        <sz val="7"/>
        <color theme="1"/>
        <rFont val="Times New Roman"/>
        <family val="1"/>
      </rPr>
      <t xml:space="preserve">   </t>
    </r>
    <r>
      <rPr>
        <sz val="14"/>
        <color theme="1"/>
        <rFont val="Times New Roman"/>
        <family val="1"/>
      </rPr>
      <t>Cả ba biển.</t>
    </r>
  </si>
  <si>
    <r>
      <t>1.</t>
    </r>
    <r>
      <rPr>
        <sz val="7"/>
        <color theme="1"/>
        <rFont val="Times New Roman"/>
        <family val="1"/>
      </rPr>
      <t xml:space="preserve">   </t>
    </r>
    <r>
      <rPr>
        <sz val="14"/>
        <color theme="1"/>
        <rFont val="Times New Roman"/>
        <family val="1"/>
      </rPr>
      <t>Đỗ xe hoàn toàn trên hè phố.</t>
    </r>
  </si>
  <si>
    <r>
      <t>2.</t>
    </r>
    <r>
      <rPr>
        <sz val="7"/>
        <color theme="1"/>
        <rFont val="Times New Roman"/>
        <family val="1"/>
      </rPr>
      <t xml:space="preserve">   </t>
    </r>
    <r>
      <rPr>
        <sz val="14"/>
        <color theme="1"/>
        <rFont val="Times New Roman"/>
        <family val="1"/>
      </rPr>
      <t>Đỗ xe hoàn toàn dưới lòng đường.</t>
    </r>
  </si>
  <si>
    <r>
      <t>3.</t>
    </r>
    <r>
      <rPr>
        <sz val="7"/>
        <color theme="1"/>
        <rFont val="Times New Roman"/>
        <family val="1"/>
      </rPr>
      <t xml:space="preserve"> </t>
    </r>
    <r>
      <rPr>
        <u/>
        <sz val="14"/>
        <color theme="1"/>
        <rFont val="Times New Roman"/>
        <family val="1"/>
      </rPr>
      <t xml:space="preserve"> Đỗ từ 1/2 thân xe trở lên trên hè phố.</t>
    </r>
  </si>
  <si>
    <r>
      <t>1.</t>
    </r>
    <r>
      <rPr>
        <sz val="7"/>
        <color theme="1"/>
        <rFont val="Times New Roman"/>
        <family val="1"/>
      </rPr>
      <t xml:space="preserve">   </t>
    </r>
    <r>
      <rPr>
        <sz val="14"/>
        <color theme="1"/>
        <rFont val="Times New Roman"/>
        <family val="1"/>
      </rPr>
      <t>Dừng xe tại khu vực có trạm Cảnh sát giao thông.</t>
    </r>
  </si>
  <si>
    <r>
      <t>2.</t>
    </r>
    <r>
      <rPr>
        <sz val="7"/>
        <color theme="1"/>
        <rFont val="Times New Roman"/>
        <family val="1"/>
      </rPr>
      <t xml:space="preserve">   </t>
    </r>
    <r>
      <rPr>
        <sz val="14"/>
        <color theme="1"/>
        <rFont val="Times New Roman"/>
        <family val="1"/>
      </rPr>
      <t>Tiếp tục lưu thông với tốc độ bình thường.</t>
    </r>
  </si>
  <si>
    <r>
      <t>3.</t>
    </r>
    <r>
      <rPr>
        <sz val="7"/>
        <color theme="1"/>
        <rFont val="Times New Roman"/>
        <family val="1"/>
      </rPr>
      <t xml:space="preserve"> </t>
    </r>
    <r>
      <rPr>
        <u/>
        <sz val="14"/>
        <color theme="1"/>
        <rFont val="Times New Roman"/>
        <family val="1"/>
      </rPr>
      <t xml:space="preserve"> Phải giảm tốc độ đến mức an toàn và không được vượt khi đi qua khu vực này.</t>
    </r>
  </si>
  <si>
    <r>
      <t>1.</t>
    </r>
    <r>
      <rPr>
        <sz val="7"/>
        <color theme="1"/>
        <rFont val="Times New Roman"/>
        <family val="1"/>
      </rPr>
      <t xml:space="preserve"> </t>
    </r>
    <r>
      <rPr>
        <u/>
        <sz val="14"/>
        <color theme="1"/>
        <rFont val="Times New Roman"/>
        <family val="1"/>
      </rPr>
      <t xml:space="preserve"> Bắt buộc.</t>
    </r>
  </si>
  <si>
    <r>
      <t>2.</t>
    </r>
    <r>
      <rPr>
        <sz val="7"/>
        <color theme="1"/>
        <rFont val="Times New Roman"/>
        <family val="1"/>
      </rPr>
      <t xml:space="preserve">   </t>
    </r>
    <r>
      <rPr>
        <sz val="14"/>
        <color theme="1"/>
        <rFont val="Times New Roman"/>
        <family val="1"/>
      </rPr>
      <t>Không bắt buộc.</t>
    </r>
  </si>
  <si>
    <r>
      <t>1.</t>
    </r>
    <r>
      <rPr>
        <sz val="7"/>
        <color theme="1"/>
        <rFont val="Times New Roman"/>
        <family val="1"/>
      </rPr>
      <t xml:space="preserve">   </t>
    </r>
    <r>
      <rPr>
        <sz val="14"/>
        <color theme="1"/>
        <rFont val="Times New Roman"/>
        <family val="1"/>
      </rPr>
      <t>Biển 2 và biển 3.</t>
    </r>
  </si>
  <si>
    <r>
      <t>1.</t>
    </r>
    <r>
      <rPr>
        <sz val="7"/>
        <color theme="1"/>
        <rFont val="Times New Roman"/>
        <family val="1"/>
      </rPr>
      <t xml:space="preserve">   </t>
    </r>
    <r>
      <rPr>
        <sz val="14"/>
        <color theme="1"/>
        <rFont val="Times New Roman"/>
        <family val="1"/>
      </rPr>
      <t>Đi thẳng hoặc rẽ trái trên cầu vượt.</t>
    </r>
  </si>
  <si>
    <r>
      <t>2.</t>
    </r>
    <r>
      <rPr>
        <sz val="7"/>
        <color theme="1"/>
        <rFont val="Times New Roman"/>
        <family val="1"/>
      </rPr>
      <t xml:space="preserve">   </t>
    </r>
    <r>
      <rPr>
        <sz val="14"/>
        <color theme="1"/>
        <rFont val="Times New Roman"/>
        <family val="1"/>
      </rPr>
      <t>Đi thẳng hoặc rẽ phải trên cầu vượt.</t>
    </r>
  </si>
  <si>
    <r>
      <t>3.</t>
    </r>
    <r>
      <rPr>
        <sz val="7"/>
        <color theme="1"/>
        <rFont val="Times New Roman"/>
        <family val="1"/>
      </rPr>
      <t xml:space="preserve"> </t>
    </r>
    <r>
      <rPr>
        <u/>
        <sz val="14"/>
        <color theme="1"/>
        <rFont val="Times New Roman"/>
        <family val="1"/>
      </rPr>
      <t xml:space="preserve"> Báo hiệu cầu vượt liên thông.</t>
    </r>
  </si>
  <si>
    <r>
      <t>1.</t>
    </r>
    <r>
      <rPr>
        <sz val="7"/>
        <color theme="1"/>
        <rFont val="Times New Roman"/>
        <family val="1"/>
      </rPr>
      <t xml:space="preserve"> </t>
    </r>
    <r>
      <rPr>
        <u/>
        <sz val="14"/>
        <color theme="1"/>
        <rFont val="Times New Roman"/>
        <family val="1"/>
      </rPr>
      <t xml:space="preserve"> Chỉ dẫn khoảng cách đến làn đường cứu nạn (làn thoát xe khẩn cấp).</t>
    </r>
  </si>
  <si>
    <r>
      <t>2.</t>
    </r>
    <r>
      <rPr>
        <sz val="7"/>
        <color theme="1"/>
        <rFont val="Times New Roman"/>
        <family val="1"/>
      </rPr>
      <t xml:space="preserve">   </t>
    </r>
    <r>
      <rPr>
        <sz val="14"/>
        <color theme="1"/>
        <rFont val="Times New Roman"/>
        <family val="1"/>
      </rPr>
      <t>Báo hiệu đường cụt phía trước.</t>
    </r>
  </si>
  <si>
    <r>
      <t>3.</t>
    </r>
    <r>
      <rPr>
        <sz val="7"/>
        <color theme="1"/>
        <rFont val="Times New Roman"/>
        <family val="1"/>
      </rPr>
      <t xml:space="preserve">   </t>
    </r>
    <r>
      <rPr>
        <sz val="14"/>
        <color theme="1"/>
        <rFont val="Times New Roman"/>
        <family val="1"/>
      </rPr>
      <t>Báo hiệu nút giao gần nhất phía trước.</t>
    </r>
  </si>
  <si>
    <r>
      <t>4.</t>
    </r>
    <r>
      <rPr>
        <sz val="7"/>
        <color theme="1"/>
        <rFont val="Times New Roman"/>
        <family val="1"/>
      </rPr>
      <t xml:space="preserve">   </t>
    </r>
    <r>
      <rPr>
        <sz val="14"/>
        <color theme="1"/>
        <rFont val="Times New Roman"/>
        <family val="1"/>
      </rPr>
      <t>Báo hiệu trạm dừng nghỉ phía trước.</t>
    </r>
  </si>
  <si>
    <r>
      <t>1.</t>
    </r>
    <r>
      <rPr>
        <sz val="7"/>
        <color theme="1"/>
        <rFont val="Times New Roman"/>
        <family val="1"/>
      </rPr>
      <t xml:space="preserve"> </t>
    </r>
    <r>
      <rPr>
        <u/>
        <sz val="14"/>
        <color theme="1"/>
        <rFont val="Times New Roman"/>
        <family val="1"/>
      </rPr>
      <t xml:space="preserve"> Được phép chuyển sang làn khác.</t>
    </r>
  </si>
  <si>
    <r>
      <t>2.</t>
    </r>
    <r>
      <rPr>
        <sz val="7"/>
        <color theme="1"/>
        <rFont val="Times New Roman"/>
        <family val="1"/>
      </rPr>
      <t xml:space="preserve">   </t>
    </r>
    <r>
      <rPr>
        <sz val="14"/>
        <color theme="1"/>
        <rFont val="Times New Roman"/>
        <family val="1"/>
      </rPr>
      <t>Không được phép chuyển sang làn khác, chỉ được đi trong làn quy định theo biển.</t>
    </r>
  </si>
  <si>
    <r>
      <t>1.</t>
    </r>
    <r>
      <rPr>
        <sz val="7"/>
        <color theme="1"/>
        <rFont val="Times New Roman"/>
        <family val="1"/>
      </rPr>
      <t xml:space="preserve">   </t>
    </r>
    <r>
      <rPr>
        <sz val="14"/>
        <color theme="1"/>
        <rFont val="Times New Roman"/>
        <family val="1"/>
      </rPr>
      <t>Chỉ dẫn sắp đến vị trí nhập làn xe.</t>
    </r>
  </si>
  <si>
    <r>
      <t>2.</t>
    </r>
    <r>
      <rPr>
        <sz val="7"/>
        <color theme="1"/>
        <rFont val="Times New Roman"/>
        <family val="1"/>
      </rPr>
      <t xml:space="preserve"> </t>
    </r>
    <r>
      <rPr>
        <u/>
        <sz val="14"/>
        <color theme="1"/>
        <rFont val="Times New Roman"/>
        <family val="1"/>
      </rPr>
      <t xml:space="preserve"> Chỉ dẫn vị trí nhập làn xe cách 250 m.</t>
    </r>
  </si>
  <si>
    <r>
      <t>3.</t>
    </r>
    <r>
      <rPr>
        <sz val="7"/>
        <color theme="1"/>
        <rFont val="Times New Roman"/>
        <family val="1"/>
      </rPr>
      <t xml:space="preserve">   </t>
    </r>
    <r>
      <rPr>
        <sz val="14"/>
        <color theme="1"/>
        <rFont val="Times New Roman"/>
        <family val="1"/>
      </rPr>
      <t>Chỉ dẫn vị trí nhập làn cách trạm thu phí 250 m.</t>
    </r>
  </si>
  <si>
    <r>
      <t>1.</t>
    </r>
    <r>
      <rPr>
        <sz val="7"/>
        <color theme="1"/>
        <rFont val="Times New Roman"/>
        <family val="1"/>
      </rPr>
      <t xml:space="preserve">   </t>
    </r>
    <r>
      <rPr>
        <sz val="14"/>
        <color theme="1"/>
        <rFont val="Times New Roman"/>
        <family val="1"/>
      </rPr>
      <t>Bắt đầu đường cao tốc.</t>
    </r>
  </si>
  <si>
    <r>
      <t>2.</t>
    </r>
    <r>
      <rPr>
        <sz val="7"/>
        <color theme="1"/>
        <rFont val="Times New Roman"/>
        <family val="1"/>
      </rPr>
      <t xml:space="preserve">   </t>
    </r>
    <r>
      <rPr>
        <sz val="14"/>
        <color theme="1"/>
        <rFont val="Times New Roman"/>
        <family val="1"/>
      </rPr>
      <t>Chỉ dẫn địa giới đường cao tốc, chiều dài đường cao tốc.</t>
    </r>
  </si>
  <si>
    <r>
      <t>3.</t>
    </r>
    <r>
      <rPr>
        <sz val="7"/>
        <color theme="1"/>
        <rFont val="Times New Roman"/>
        <family val="1"/>
      </rPr>
      <t xml:space="preserve">   </t>
    </r>
    <r>
      <rPr>
        <sz val="14"/>
        <color theme="1"/>
        <rFont val="Times New Roman"/>
        <family val="1"/>
      </rPr>
      <t>Tên và ký hiệu đường cao tốc, giá trị hạn chế tốc độ tối đa và tối thiểu.</t>
    </r>
  </si>
  <si>
    <r>
      <t>1.</t>
    </r>
    <r>
      <rPr>
        <sz val="7"/>
        <color theme="1"/>
        <rFont val="Times New Roman"/>
        <family val="1"/>
      </rPr>
      <t xml:space="preserve"> </t>
    </r>
    <r>
      <rPr>
        <u/>
        <sz val="14"/>
        <color theme="1"/>
        <rFont val="Times New Roman"/>
        <family val="1"/>
      </rPr>
      <t xml:space="preserve"> Xăng dầu, ăn uống, thông tin, sửa chữa xe.</t>
    </r>
  </si>
  <si>
    <r>
      <t>2.</t>
    </r>
    <r>
      <rPr>
        <sz val="7"/>
        <color theme="1"/>
        <rFont val="Times New Roman"/>
        <family val="1"/>
      </rPr>
      <t xml:space="preserve">   </t>
    </r>
    <r>
      <rPr>
        <sz val="14"/>
        <color theme="1"/>
        <rFont val="Times New Roman"/>
        <family val="1"/>
      </rPr>
      <t>Xăng dầu, ăn uống, nhà nghỉ, sửa chữa xe.</t>
    </r>
  </si>
  <si>
    <r>
      <t>3.</t>
    </r>
    <r>
      <rPr>
        <sz val="7"/>
        <color theme="1"/>
        <rFont val="Times New Roman"/>
        <family val="1"/>
      </rPr>
      <t xml:space="preserve">   </t>
    </r>
    <r>
      <rPr>
        <sz val="14"/>
        <color theme="1"/>
        <rFont val="Times New Roman"/>
        <family val="1"/>
      </rPr>
      <t>Xăng dầu, ăn uống, cấp cứu, sửa chữa xe.</t>
    </r>
  </si>
  <si>
    <r>
      <t>1.</t>
    </r>
    <r>
      <rPr>
        <sz val="7"/>
        <color theme="1"/>
        <rFont val="Times New Roman"/>
        <family val="1"/>
      </rPr>
      <t xml:space="preserve">   </t>
    </r>
    <r>
      <rPr>
        <sz val="14"/>
        <color theme="1"/>
        <rFont val="Times New Roman"/>
        <family val="1"/>
      </rPr>
      <t>Chỉ dẫn đến trạm kiểm tra tải trọng xe.</t>
    </r>
  </si>
  <si>
    <r>
      <t>2.</t>
    </r>
    <r>
      <rPr>
        <sz val="7"/>
        <color theme="1"/>
        <rFont val="Times New Roman"/>
        <family val="1"/>
      </rPr>
      <t xml:space="preserve">   </t>
    </r>
    <r>
      <rPr>
        <sz val="14"/>
        <color theme="1"/>
        <rFont val="Times New Roman"/>
        <family val="1"/>
      </rPr>
      <t>Chỉ dẫn hướng rẽ vào nơi đặt trạm kiểm tra tải trọng xe.</t>
    </r>
  </si>
  <si>
    <r>
      <t>3.</t>
    </r>
    <r>
      <rPr>
        <sz val="7"/>
        <color theme="1"/>
        <rFont val="Times New Roman"/>
        <family val="1"/>
      </rPr>
      <t xml:space="preserve"> </t>
    </r>
    <r>
      <rPr>
        <u/>
        <sz val="14"/>
        <color theme="1"/>
        <rFont val="Times New Roman"/>
        <family val="1"/>
      </rPr>
      <t xml:space="preserve"> Chỉ dẫn khoảng cách đến trạm kiểm tra tải trọng xe cách 750 m.</t>
    </r>
  </si>
  <si>
    <r>
      <t>3.</t>
    </r>
    <r>
      <rPr>
        <sz val="7"/>
        <color theme="1"/>
        <rFont val="Times New Roman"/>
        <family val="1"/>
      </rPr>
      <t xml:space="preserve">   </t>
    </r>
    <r>
      <rPr>
        <sz val="14"/>
        <color theme="1"/>
        <rFont val="Times New Roman"/>
        <family val="1"/>
      </rPr>
      <t>Biển 2.</t>
    </r>
  </si>
  <si>
    <r>
      <t>1.</t>
    </r>
    <r>
      <rPr>
        <sz val="7"/>
        <color theme="1"/>
        <rFont val="Times New Roman"/>
        <family val="1"/>
      </rPr>
      <t xml:space="preserve">    </t>
    </r>
  </si>
  <si>
    <r>
      <t>2.</t>
    </r>
    <r>
      <rPr>
        <sz val="7"/>
        <color theme="1"/>
        <rFont val="Times New Roman"/>
        <family val="1"/>
      </rPr>
      <t xml:space="preserve"> </t>
    </r>
    <r>
      <rPr>
        <u/>
        <sz val="14"/>
        <color theme="1"/>
        <rFont val="Times New Roman"/>
        <family val="1"/>
      </rPr>
      <t xml:space="preserve"> Chỉ dẫn hướng rẽ để nhắc người điều</t>
    </r>
    <r>
      <rPr>
        <sz val="14"/>
        <color theme="1"/>
        <rFont val="Times New Roman"/>
        <family val="1"/>
      </rPr>
      <t xml:space="preserve"> </t>
    </r>
    <r>
      <rPr>
        <u/>
        <sz val="14"/>
        <color theme="1"/>
        <rFont val="Times New Roman"/>
        <family val="1"/>
      </rPr>
      <t>khiển phương tiện chuẩn bị đổi hướng</t>
    </r>
    <r>
      <rPr>
        <sz val="14"/>
        <color theme="1"/>
        <rFont val="Times New Roman"/>
        <family val="1"/>
      </rPr>
      <t xml:space="preserve"> </t>
    </r>
    <r>
      <rPr>
        <u/>
        <sz val="14"/>
        <color theme="1"/>
        <rFont val="Times New Roman"/>
        <family val="1"/>
      </rPr>
      <t>đi khi sắp vào đường cong nguy hiểm,</t>
    </r>
    <r>
      <rPr>
        <sz val="14"/>
        <color theme="1"/>
        <rFont val="Times New Roman"/>
        <family val="1"/>
      </rPr>
      <t xml:space="preserve"> </t>
    </r>
    <r>
      <rPr>
        <u/>
        <sz val="14"/>
        <color theme="1"/>
        <rFont val="Times New Roman"/>
        <family val="1"/>
      </rPr>
      <t>có bán kính cong nhỏ.</t>
    </r>
  </si>
  <si>
    <r>
      <t>1.</t>
    </r>
    <r>
      <rPr>
        <sz val="7"/>
        <color theme="1"/>
        <rFont val="Times New Roman"/>
        <family val="1"/>
      </rPr>
      <t xml:space="preserve">   </t>
    </r>
    <r>
      <rPr>
        <sz val="14"/>
        <color theme="1"/>
        <rFont val="Times New Roman"/>
        <family val="1"/>
      </rPr>
      <t>Vạch 1.</t>
    </r>
  </si>
  <si>
    <r>
      <t>2.</t>
    </r>
    <r>
      <rPr>
        <sz val="7"/>
        <color theme="1"/>
        <rFont val="Times New Roman"/>
        <family val="1"/>
      </rPr>
      <t xml:space="preserve">   </t>
    </r>
    <r>
      <rPr>
        <sz val="14"/>
        <color theme="1"/>
        <rFont val="Times New Roman"/>
        <family val="1"/>
      </rPr>
      <t>Vạch 2 và vạch 3.</t>
    </r>
  </si>
  <si>
    <r>
      <t>3.</t>
    </r>
    <r>
      <rPr>
        <sz val="7"/>
        <color theme="1"/>
        <rFont val="Times New Roman"/>
        <family val="1"/>
      </rPr>
      <t xml:space="preserve"> </t>
    </r>
    <r>
      <rPr>
        <u/>
        <sz val="14"/>
        <color theme="1"/>
        <rFont val="Times New Roman"/>
        <family val="1"/>
      </rPr>
      <t xml:space="preserve"> Vạch 3.</t>
    </r>
  </si>
  <si>
    <r>
      <t>4.</t>
    </r>
    <r>
      <rPr>
        <sz val="7"/>
        <color theme="1"/>
        <rFont val="Times New Roman"/>
        <family val="1"/>
      </rPr>
      <t xml:space="preserve">   </t>
    </r>
    <r>
      <rPr>
        <sz val="14"/>
        <color theme="1"/>
        <rFont val="Times New Roman"/>
        <family val="1"/>
      </rPr>
      <t>Vạch 1 và vạch 2.</t>
    </r>
  </si>
  <si>
    <r>
      <t>2.</t>
    </r>
    <r>
      <rPr>
        <sz val="7"/>
        <color theme="1"/>
        <rFont val="Times New Roman"/>
        <family val="1"/>
      </rPr>
      <t xml:space="preserve">   </t>
    </r>
    <r>
      <rPr>
        <sz val="14"/>
        <color theme="1"/>
        <rFont val="Times New Roman"/>
        <family val="1"/>
      </rPr>
      <t>Vạch 2.</t>
    </r>
  </si>
  <si>
    <r>
      <t>3.</t>
    </r>
    <r>
      <rPr>
        <sz val="7"/>
        <color theme="1"/>
        <rFont val="Times New Roman"/>
        <family val="1"/>
      </rPr>
      <t xml:space="preserve">   </t>
    </r>
    <r>
      <rPr>
        <sz val="14"/>
        <color theme="1"/>
        <rFont val="Times New Roman"/>
        <family val="1"/>
      </rPr>
      <t>Vạch 3.</t>
    </r>
  </si>
  <si>
    <r>
      <t>4.</t>
    </r>
    <r>
      <rPr>
        <sz val="7"/>
        <color theme="1"/>
        <rFont val="Times New Roman"/>
        <family val="1"/>
      </rPr>
      <t xml:space="preserve"> </t>
    </r>
    <r>
      <rPr>
        <u/>
        <sz val="14"/>
        <color theme="1"/>
        <rFont val="Times New Roman"/>
        <family val="1"/>
      </rPr>
      <t xml:space="preserve"> Vạch 1 và vạch 2.</t>
    </r>
  </si>
  <si>
    <r>
      <t>2.</t>
    </r>
    <r>
      <rPr>
        <sz val="7"/>
        <color theme="1"/>
        <rFont val="Times New Roman"/>
        <family val="1"/>
      </rPr>
      <t xml:space="preserve"> </t>
    </r>
    <r>
      <rPr>
        <u/>
        <sz val="14"/>
        <color theme="1"/>
        <rFont val="Times New Roman"/>
        <family val="1"/>
      </rPr>
      <t xml:space="preserve"> Vạch 2.</t>
    </r>
  </si>
  <si>
    <r>
      <t>4.</t>
    </r>
    <r>
      <rPr>
        <sz val="7"/>
        <color theme="1"/>
        <rFont val="Times New Roman"/>
        <family val="1"/>
      </rPr>
      <t xml:space="preserve">   </t>
    </r>
    <r>
      <rPr>
        <sz val="14"/>
        <color theme="1"/>
        <rFont val="Times New Roman"/>
        <family val="1"/>
      </rPr>
      <t>Cả ba vạch.</t>
    </r>
  </si>
  <si>
    <r>
      <t>4.</t>
    </r>
    <r>
      <rPr>
        <sz val="7"/>
        <color theme="1"/>
        <rFont val="Times New Roman"/>
        <family val="1"/>
      </rPr>
      <t xml:space="preserve"> </t>
    </r>
    <r>
      <rPr>
        <u/>
        <sz val="14"/>
        <color theme="1"/>
        <rFont val="Times New Roman"/>
        <family val="1"/>
      </rPr>
      <t xml:space="preserve"> Vạch 1 và vạch 3.</t>
    </r>
  </si>
  <si>
    <r>
      <t>1.</t>
    </r>
    <r>
      <rPr>
        <sz val="7"/>
        <color theme="1"/>
        <rFont val="Times New Roman"/>
        <family val="1"/>
      </rPr>
      <t xml:space="preserve"> </t>
    </r>
    <r>
      <rPr>
        <u/>
        <sz val="14"/>
        <color theme="1"/>
        <rFont val="Times New Roman"/>
        <family val="1"/>
      </rPr>
      <t xml:space="preserve"> Phân chia hai chiều xe chạy ngược chiều nhau.</t>
    </r>
  </si>
  <si>
    <r>
      <t>2.</t>
    </r>
    <r>
      <rPr>
        <sz val="7"/>
        <color theme="1"/>
        <rFont val="Times New Roman"/>
        <family val="1"/>
      </rPr>
      <t xml:space="preserve">   </t>
    </r>
    <r>
      <rPr>
        <sz val="14"/>
        <color theme="1"/>
        <rFont val="Times New Roman"/>
        <family val="1"/>
      </rPr>
      <t>Phân chia các làn xe chạy cùng chiều nhau.</t>
    </r>
  </si>
  <si>
    <r>
      <t>1.</t>
    </r>
    <r>
      <rPr>
        <sz val="7"/>
        <color theme="1"/>
        <rFont val="Times New Roman"/>
        <family val="1"/>
      </rPr>
      <t xml:space="preserve">   </t>
    </r>
    <r>
      <rPr>
        <sz val="14"/>
        <color theme="1"/>
        <rFont val="Times New Roman"/>
        <family val="1"/>
      </rPr>
      <t>Phân chia hai chiều xe chạy ngược chiều nhau.</t>
    </r>
  </si>
  <si>
    <r>
      <t>2.</t>
    </r>
    <r>
      <rPr>
        <sz val="7"/>
        <color theme="1"/>
        <rFont val="Times New Roman"/>
        <family val="1"/>
      </rPr>
      <t xml:space="preserve"> </t>
    </r>
    <r>
      <rPr>
        <u/>
        <sz val="14"/>
        <color theme="1"/>
        <rFont val="Times New Roman"/>
        <family val="1"/>
      </rPr>
      <t xml:space="preserve"> Phân chia các làn xe chạy cùng chiều nhau.</t>
    </r>
  </si>
  <si>
    <r>
      <t>1.</t>
    </r>
    <r>
      <rPr>
        <sz val="7"/>
        <color theme="1"/>
        <rFont val="Times New Roman"/>
        <family val="1"/>
      </rPr>
      <t xml:space="preserve">   </t>
    </r>
    <r>
      <rPr>
        <sz val="14"/>
        <color theme="1"/>
        <rFont val="Times New Roman"/>
        <family val="1"/>
      </rPr>
      <t>Để xác định làn đường.</t>
    </r>
  </si>
  <si>
    <r>
      <t>2.</t>
    </r>
    <r>
      <rPr>
        <sz val="7"/>
        <color theme="1"/>
        <rFont val="Times New Roman"/>
        <family val="1"/>
      </rPr>
      <t xml:space="preserve">   </t>
    </r>
    <r>
      <rPr>
        <sz val="14"/>
        <color theme="1"/>
        <rFont val="Times New Roman"/>
        <family val="1"/>
      </rPr>
      <t>Báo hiệu người lái xe chỉ được phép đi thẳng.</t>
    </r>
  </si>
  <si>
    <r>
      <t>3.</t>
    </r>
    <r>
      <rPr>
        <sz val="7"/>
        <color theme="1"/>
        <rFont val="Times New Roman"/>
        <family val="1"/>
      </rPr>
      <t xml:space="preserve"> </t>
    </r>
    <r>
      <rPr>
        <u/>
        <sz val="14"/>
        <color theme="1"/>
        <rFont val="Times New Roman"/>
        <family val="1"/>
      </rPr>
      <t xml:space="preserve"> Dùng để xác định khoảng cách giữa các phương tiện trên đường.</t>
    </r>
  </si>
  <si>
    <r>
      <t>1.</t>
    </r>
    <r>
      <rPr>
        <sz val="7"/>
        <color theme="1"/>
        <rFont val="Times New Roman"/>
        <family val="1"/>
      </rPr>
      <t xml:space="preserve">   </t>
    </r>
    <r>
      <rPr>
        <sz val="14"/>
        <color theme="1"/>
        <rFont val="Times New Roman"/>
        <family val="1"/>
      </rPr>
      <t>Báo cho người điều khiển không được dừng phương tiện trong phạm vi phần mặt đường có bố trí vạch để tránh ùn tắc giao thông.</t>
    </r>
  </si>
  <si>
    <r>
      <t>2.</t>
    </r>
    <r>
      <rPr>
        <sz val="7"/>
        <color theme="1"/>
        <rFont val="Times New Roman"/>
        <family val="1"/>
      </rPr>
      <t xml:space="preserve"> </t>
    </r>
    <r>
      <rPr>
        <u/>
        <sz val="14"/>
        <color theme="1"/>
        <rFont val="Times New Roman"/>
        <family val="1"/>
      </rPr>
      <t xml:space="preserve"> Báo hiệu sắp đến chỗ có bố trí vạch đi bộ qua đường.</t>
    </r>
  </si>
  <si>
    <r>
      <t>3.</t>
    </r>
    <r>
      <rPr>
        <sz val="7"/>
        <color theme="1"/>
        <rFont val="Times New Roman"/>
        <family val="1"/>
      </rPr>
      <t xml:space="preserve">   </t>
    </r>
    <r>
      <rPr>
        <sz val="14"/>
        <color theme="1"/>
        <rFont val="Times New Roman"/>
        <family val="1"/>
      </rPr>
      <t>Dùng để xác định khoảng cách giữa các phương tiện trên đường.</t>
    </r>
  </si>
  <si>
    <r>
      <t>1.</t>
    </r>
    <r>
      <rPr>
        <sz val="7"/>
        <color theme="1"/>
        <rFont val="Times New Roman"/>
        <family val="1"/>
      </rPr>
      <t xml:space="preserve"> </t>
    </r>
    <r>
      <rPr>
        <u/>
        <sz val="14"/>
        <color theme="1"/>
        <rFont val="Times New Roman"/>
        <family val="1"/>
      </rPr>
      <t xml:space="preserve"> Vị trí dừng xe của các phương tiện vận tải hành khách công cộng.</t>
    </r>
  </si>
  <si>
    <r>
      <t>2.</t>
    </r>
    <r>
      <rPr>
        <sz val="7"/>
        <color theme="1"/>
        <rFont val="Times New Roman"/>
        <family val="1"/>
      </rPr>
      <t xml:space="preserve">    </t>
    </r>
    <r>
      <rPr>
        <sz val="14"/>
        <color theme="1"/>
        <rFont val="Times New Roman"/>
        <family val="1"/>
      </rPr>
      <t>Báo cho người điều khiển được dừng phương tiện trong phạm vi phần mặt đường có bố trí vạch để tránh ùn tắc giao thông.</t>
    </r>
  </si>
  <si>
    <r>
      <t>3.</t>
    </r>
    <r>
      <rPr>
        <sz val="7"/>
        <color theme="1"/>
        <rFont val="Times New Roman"/>
        <family val="1"/>
      </rPr>
      <t xml:space="preserve">   </t>
    </r>
    <r>
      <rPr>
        <sz val="14"/>
        <color theme="1"/>
        <rFont val="Times New Roman"/>
        <family val="1"/>
      </rPr>
      <t>Dùng để xác định vị trí giữa các phương tiện trên đường.</t>
    </r>
  </si>
  <si>
    <r>
      <t>1.</t>
    </r>
    <r>
      <rPr>
        <sz val="7"/>
        <color theme="1"/>
        <rFont val="Times New Roman"/>
        <family val="1"/>
      </rPr>
      <t xml:space="preserve">   </t>
    </r>
    <r>
      <rPr>
        <sz val="14"/>
        <color theme="1"/>
        <rFont val="Times New Roman"/>
        <family val="1"/>
      </rPr>
      <t>Xe khách, xe tải, xe mô tô.</t>
    </r>
  </si>
  <si>
    <r>
      <t>2.</t>
    </r>
    <r>
      <rPr>
        <sz val="7"/>
        <color theme="1"/>
        <rFont val="Times New Roman"/>
        <family val="1"/>
      </rPr>
      <t xml:space="preserve">   </t>
    </r>
    <r>
      <rPr>
        <sz val="14"/>
        <color theme="1"/>
        <rFont val="Times New Roman"/>
        <family val="1"/>
      </rPr>
      <t>Xe tải, xe mô tô.</t>
    </r>
  </si>
  <si>
    <r>
      <t>3.</t>
    </r>
    <r>
      <rPr>
        <sz val="7"/>
        <color theme="1"/>
        <rFont val="Times New Roman"/>
        <family val="1"/>
      </rPr>
      <t xml:space="preserve"> </t>
    </r>
    <r>
      <rPr>
        <u/>
        <sz val="14"/>
        <color theme="1"/>
        <rFont val="Times New Roman"/>
        <family val="1"/>
      </rPr>
      <t xml:space="preserve"> Chỉ xe con.</t>
    </r>
  </si>
  <si>
    <r>
      <t>1.</t>
    </r>
    <r>
      <rPr>
        <sz val="7"/>
        <color theme="1"/>
        <rFont val="Times New Roman"/>
        <family val="1"/>
      </rPr>
      <t xml:space="preserve">   </t>
    </r>
    <r>
      <rPr>
        <sz val="14"/>
        <color theme="1"/>
        <rFont val="Times New Roman"/>
        <family val="1"/>
      </rPr>
      <t>Xe tải, xe khách, xe con, xe mô tô.</t>
    </r>
  </si>
  <si>
    <r>
      <t>2.</t>
    </r>
    <r>
      <rPr>
        <sz val="7"/>
        <color theme="1"/>
        <rFont val="Times New Roman"/>
        <family val="1"/>
      </rPr>
      <t xml:space="preserve"> </t>
    </r>
    <r>
      <rPr>
        <u/>
        <sz val="14"/>
        <color theme="1"/>
        <rFont val="Times New Roman"/>
        <family val="1"/>
      </rPr>
      <t xml:space="preserve"> Xe tải, xe mô tô, xe khách, xe con.</t>
    </r>
  </si>
  <si>
    <r>
      <t>3.</t>
    </r>
    <r>
      <rPr>
        <sz val="7"/>
        <color theme="1"/>
        <rFont val="Times New Roman"/>
        <family val="1"/>
      </rPr>
      <t xml:space="preserve">   </t>
    </r>
    <r>
      <rPr>
        <sz val="14"/>
        <color theme="1"/>
        <rFont val="Times New Roman"/>
        <family val="1"/>
      </rPr>
      <t>Xe khách, xe tải, xe con, xe mô tô.</t>
    </r>
  </si>
  <si>
    <r>
      <t>4.</t>
    </r>
    <r>
      <rPr>
        <sz val="7"/>
        <color theme="1"/>
        <rFont val="Times New Roman"/>
        <family val="1"/>
      </rPr>
      <t xml:space="preserve">   </t>
    </r>
    <r>
      <rPr>
        <sz val="14"/>
        <color theme="1"/>
        <rFont val="Times New Roman"/>
        <family val="1"/>
      </rPr>
      <t>Xe mô tô, xe khách, xe tải, xe con.</t>
    </r>
  </si>
  <si>
    <r>
      <t>1.</t>
    </r>
    <r>
      <rPr>
        <sz val="7"/>
        <color theme="1"/>
        <rFont val="Times New Roman"/>
        <family val="1"/>
      </rPr>
      <t xml:space="preserve"> </t>
    </r>
    <r>
      <rPr>
        <u/>
        <sz val="14"/>
        <color theme="1"/>
        <rFont val="Times New Roman"/>
        <family val="1"/>
      </rPr>
      <t xml:space="preserve"> Xe công an đi làm nhiệm vụ khẩn cấp, xe con, xe tải, xe khách.</t>
    </r>
  </si>
  <si>
    <r>
      <t>2.</t>
    </r>
    <r>
      <rPr>
        <sz val="7"/>
        <color theme="1"/>
        <rFont val="Times New Roman"/>
        <family val="1"/>
      </rPr>
      <t xml:space="preserve">   </t>
    </r>
    <r>
      <rPr>
        <sz val="14"/>
        <color theme="1"/>
        <rFont val="Times New Roman"/>
        <family val="1"/>
      </rPr>
      <t>Xe công an đi làm nhiệm vụ khẩn cấp, xe khách, xe con, xe tải.</t>
    </r>
  </si>
  <si>
    <r>
      <t>3.</t>
    </r>
    <r>
      <rPr>
        <sz val="7"/>
        <color theme="1"/>
        <rFont val="Times New Roman"/>
        <family val="1"/>
      </rPr>
      <t xml:space="preserve">   </t>
    </r>
    <r>
      <rPr>
        <sz val="14"/>
        <color theme="1"/>
        <rFont val="Times New Roman"/>
        <family val="1"/>
      </rPr>
      <t>Xe công an đi làm nhiệm vụ khẩn cấp, xe tải, xe khách, xe con.</t>
    </r>
  </si>
  <si>
    <r>
      <t>4.</t>
    </r>
    <r>
      <rPr>
        <sz val="7"/>
        <color theme="1"/>
        <rFont val="Times New Roman"/>
        <family val="1"/>
      </rPr>
      <t xml:space="preserve">   </t>
    </r>
    <r>
      <rPr>
        <sz val="14"/>
        <color theme="1"/>
        <rFont val="Times New Roman"/>
        <family val="1"/>
      </rPr>
      <t>Xe con, xe công an đi làm nhiệm vụ khẩn cấp, xe tải, xe khách.</t>
    </r>
  </si>
  <si>
    <r>
      <t>1.</t>
    </r>
    <r>
      <rPr>
        <sz val="7"/>
        <color theme="1"/>
        <rFont val="Times New Roman"/>
        <family val="1"/>
      </rPr>
      <t xml:space="preserve">   </t>
    </r>
    <r>
      <rPr>
        <sz val="14"/>
        <color theme="1"/>
        <rFont val="Times New Roman"/>
        <family val="1"/>
      </rPr>
      <t>Xe tải, xe công an đi làm nhiệm vụ khẩn cấp, xe khách, xe con.</t>
    </r>
  </si>
  <si>
    <r>
      <t>3.</t>
    </r>
    <r>
      <rPr>
        <sz val="7"/>
        <color theme="1"/>
        <rFont val="Times New Roman"/>
        <family val="1"/>
      </rPr>
      <t xml:space="preserve">   </t>
    </r>
    <r>
      <rPr>
        <sz val="14"/>
        <color theme="1"/>
        <rFont val="Times New Roman"/>
        <family val="1"/>
      </rPr>
      <t>Xe công an đi làm nhiệm vụ khẩn cấp, xe con, xe tải, xe khách.</t>
    </r>
  </si>
  <si>
    <r>
      <t>4.</t>
    </r>
    <r>
      <rPr>
        <sz val="7"/>
        <color theme="1"/>
        <rFont val="Times New Roman"/>
        <family val="1"/>
      </rPr>
      <t xml:space="preserve"> </t>
    </r>
    <r>
      <rPr>
        <u/>
        <sz val="14"/>
        <color theme="1"/>
        <rFont val="Times New Roman"/>
        <family val="1"/>
      </rPr>
      <t xml:space="preserve"> Xe công an đi làm nhiệm vụ khẩn cấp, xe tải, xe khách, xe con.</t>
    </r>
  </si>
  <si>
    <r>
      <t>1.</t>
    </r>
    <r>
      <rPr>
        <sz val="7"/>
        <color theme="1"/>
        <rFont val="Times New Roman"/>
        <family val="1"/>
      </rPr>
      <t xml:space="preserve">   </t>
    </r>
    <r>
      <rPr>
        <sz val="14"/>
        <color theme="1"/>
        <rFont val="Times New Roman"/>
        <family val="1"/>
      </rPr>
      <t>Xe tải, xe con, xe mô tô.</t>
    </r>
  </si>
  <si>
    <r>
      <t>2.</t>
    </r>
    <r>
      <rPr>
        <sz val="7"/>
        <color theme="1"/>
        <rFont val="Times New Roman"/>
        <family val="1"/>
      </rPr>
      <t xml:space="preserve">   </t>
    </r>
    <r>
      <rPr>
        <sz val="14"/>
        <color theme="1"/>
        <rFont val="Times New Roman"/>
        <family val="1"/>
      </rPr>
      <t>Xe con, xe tải, xe mô tô.</t>
    </r>
  </si>
  <si>
    <r>
      <t>3.</t>
    </r>
    <r>
      <rPr>
        <sz val="7"/>
        <color theme="1"/>
        <rFont val="Times New Roman"/>
        <family val="1"/>
      </rPr>
      <t xml:space="preserve"> </t>
    </r>
    <r>
      <rPr>
        <u/>
        <sz val="14"/>
        <color theme="1"/>
        <rFont val="Times New Roman"/>
        <family val="1"/>
      </rPr>
      <t xml:space="preserve"> Xe mô tô, xe con, xe tải.</t>
    </r>
  </si>
  <si>
    <r>
      <t>4.</t>
    </r>
    <r>
      <rPr>
        <sz val="7"/>
        <color theme="1"/>
        <rFont val="Times New Roman"/>
        <family val="1"/>
      </rPr>
      <t xml:space="preserve">   </t>
    </r>
    <r>
      <rPr>
        <sz val="14"/>
        <color theme="1"/>
        <rFont val="Times New Roman"/>
        <family val="1"/>
      </rPr>
      <t>Xe con, xe mô tô, xe tải.</t>
    </r>
  </si>
  <si>
    <r>
      <t>1.</t>
    </r>
    <r>
      <rPr>
        <sz val="7"/>
        <color theme="1"/>
        <rFont val="Times New Roman"/>
        <family val="1"/>
      </rPr>
      <t xml:space="preserve"> </t>
    </r>
    <r>
      <rPr>
        <u/>
        <sz val="14"/>
        <color theme="1"/>
        <rFont val="Times New Roman"/>
        <family val="1"/>
      </rPr>
      <t xml:space="preserve"> Xe con.</t>
    </r>
  </si>
  <si>
    <r>
      <t>2.</t>
    </r>
    <r>
      <rPr>
        <sz val="7"/>
        <color theme="1"/>
        <rFont val="Times New Roman"/>
        <family val="1"/>
      </rPr>
      <t xml:space="preserve">   </t>
    </r>
    <r>
      <rPr>
        <sz val="14"/>
        <color theme="1"/>
        <rFont val="Times New Roman"/>
        <family val="1"/>
      </rPr>
      <t>Xe tải.</t>
    </r>
  </si>
  <si>
    <r>
      <t>1.</t>
    </r>
    <r>
      <rPr>
        <sz val="7"/>
        <color theme="1"/>
        <rFont val="Times New Roman"/>
        <family val="1"/>
      </rPr>
      <t xml:space="preserve">   </t>
    </r>
    <r>
      <rPr>
        <sz val="14"/>
        <color theme="1"/>
        <rFont val="Times New Roman"/>
        <family val="1"/>
      </rPr>
      <t>Xe mô tô.</t>
    </r>
  </si>
  <si>
    <r>
      <t>2.</t>
    </r>
    <r>
      <rPr>
        <sz val="7"/>
        <color theme="1"/>
        <rFont val="Times New Roman"/>
        <family val="1"/>
      </rPr>
      <t xml:space="preserve"> </t>
    </r>
    <r>
      <rPr>
        <u/>
        <sz val="14"/>
        <color theme="1"/>
        <rFont val="Times New Roman"/>
        <family val="1"/>
      </rPr>
      <t xml:space="preserve"> Xe con.</t>
    </r>
  </si>
  <si>
    <r>
      <t>1.</t>
    </r>
    <r>
      <rPr>
        <sz val="7"/>
        <color theme="1"/>
        <rFont val="Times New Roman"/>
        <family val="1"/>
      </rPr>
      <t xml:space="preserve"> </t>
    </r>
    <r>
      <rPr>
        <u/>
        <sz val="14"/>
        <color theme="1"/>
        <rFont val="Times New Roman"/>
        <family val="1"/>
      </rPr>
      <t xml:space="preserve"> Xe con (A), xe cứu thương đi làm nhiệm vụ cấp cứu, xe con (B).</t>
    </r>
  </si>
  <si>
    <r>
      <t>2.</t>
    </r>
    <r>
      <rPr>
        <sz val="7"/>
        <color theme="1"/>
        <rFont val="Times New Roman"/>
        <family val="1"/>
      </rPr>
      <t xml:space="preserve">   </t>
    </r>
    <r>
      <rPr>
        <sz val="14"/>
        <color theme="1"/>
        <rFont val="Times New Roman"/>
        <family val="1"/>
      </rPr>
      <t>Xe cứu thương đi làm nhiệm vụ cấp cứu, xe con (B), xe con (A).</t>
    </r>
  </si>
  <si>
    <r>
      <t>3.</t>
    </r>
    <r>
      <rPr>
        <sz val="7"/>
        <color theme="1"/>
        <rFont val="Times New Roman"/>
        <family val="1"/>
      </rPr>
      <t xml:space="preserve">   </t>
    </r>
    <r>
      <rPr>
        <sz val="14"/>
        <color theme="1"/>
        <rFont val="Times New Roman"/>
        <family val="1"/>
      </rPr>
      <t>Xe con (B), xe con (A), xe cứu thương đi làm nhiệm vụ cấp cứu.</t>
    </r>
  </si>
  <si>
    <r>
      <t>1.</t>
    </r>
    <r>
      <rPr>
        <sz val="7"/>
        <color theme="1"/>
        <rFont val="Times New Roman"/>
        <family val="1"/>
      </rPr>
      <t xml:space="preserve">   </t>
    </r>
    <r>
      <rPr>
        <sz val="14"/>
        <color theme="1"/>
        <rFont val="Times New Roman"/>
        <family val="1"/>
      </rPr>
      <t>Xe cứu thương đi làm nhiệm vụ cấp cứu, xe chữa cháy đi làm nhiệm vụ chữa cháy, xe con.</t>
    </r>
  </si>
  <si>
    <r>
      <t>2.</t>
    </r>
    <r>
      <rPr>
        <u/>
        <sz val="14"/>
        <color theme="1"/>
        <rFont val="Times New Roman"/>
        <family val="1"/>
      </rPr>
      <t xml:space="preserve"> Xe chữa cháy đi làm nhiệm vụ chữa cháy, xe cứu thương đi làm nhiệm vụ cấp cứu, xe con.</t>
    </r>
  </si>
  <si>
    <r>
      <t>3.</t>
    </r>
    <r>
      <rPr>
        <sz val="7"/>
        <color theme="1"/>
        <rFont val="Times New Roman"/>
        <family val="1"/>
      </rPr>
      <t xml:space="preserve">   </t>
    </r>
    <r>
      <rPr>
        <sz val="14"/>
        <color theme="1"/>
        <rFont val="Times New Roman"/>
        <family val="1"/>
      </rPr>
      <t>Xe cứu thương đi làm nhiệm vụ cấp cứu, xe con, xe chữa cháy đi làm nhiệm vụ chữa cháy.</t>
    </r>
  </si>
  <si>
    <r>
      <t>2.</t>
    </r>
    <r>
      <rPr>
        <sz val="7"/>
        <color theme="1"/>
        <rFont val="Times New Roman"/>
        <family val="1"/>
      </rPr>
      <t xml:space="preserve"> </t>
    </r>
    <r>
      <rPr>
        <u/>
        <sz val="14"/>
        <color theme="1"/>
        <rFont val="Times New Roman"/>
        <family val="1"/>
      </rPr>
      <t xml:space="preserve"> Xe cứu thương đi làm nhiệm vụ cấp cứu.</t>
    </r>
  </si>
  <si>
    <r>
      <t>1.</t>
    </r>
    <r>
      <rPr>
        <sz val="7"/>
        <color theme="1"/>
        <rFont val="Times New Roman"/>
        <family val="1"/>
      </rPr>
      <t xml:space="preserve"> </t>
    </r>
    <r>
      <rPr>
        <u/>
        <sz val="14"/>
        <color theme="1"/>
        <rFont val="Times New Roman"/>
        <family val="1"/>
      </rPr>
      <t xml:space="preserve"> Xe khách.</t>
    </r>
  </si>
  <si>
    <r>
      <t>3.</t>
    </r>
    <r>
      <rPr>
        <sz val="7"/>
        <color theme="1"/>
        <rFont val="Times New Roman"/>
        <family val="1"/>
      </rPr>
      <t xml:space="preserve">   </t>
    </r>
    <r>
      <rPr>
        <sz val="14"/>
        <color theme="1"/>
        <rFont val="Times New Roman"/>
        <family val="1"/>
      </rPr>
      <t>Xe con.</t>
    </r>
  </si>
  <si>
    <r>
      <t>1.</t>
    </r>
    <r>
      <rPr>
        <sz val="7"/>
        <color theme="1"/>
        <rFont val="Times New Roman"/>
        <family val="1"/>
      </rPr>
      <t xml:space="preserve">   </t>
    </r>
    <r>
      <rPr>
        <sz val="14"/>
        <color theme="1"/>
        <rFont val="Times New Roman"/>
        <family val="1"/>
      </rPr>
      <t>Xe công an đi làm nhiệm vụ khẩn cấp.</t>
    </r>
  </si>
  <si>
    <r>
      <t>2.</t>
    </r>
    <r>
      <rPr>
        <sz val="7"/>
        <color theme="1"/>
        <rFont val="Times New Roman"/>
        <family val="1"/>
      </rPr>
      <t xml:space="preserve"> </t>
    </r>
    <r>
      <rPr>
        <u/>
        <sz val="14"/>
        <color theme="1"/>
        <rFont val="Times New Roman"/>
        <family val="1"/>
      </rPr>
      <t xml:space="preserve"> Xe chữa cháy đi làm nhiệm vụ chữa cháy.</t>
    </r>
  </si>
  <si>
    <r>
      <t>1.</t>
    </r>
    <r>
      <rPr>
        <sz val="7"/>
        <color theme="1"/>
        <rFont val="Times New Roman"/>
        <family val="1"/>
      </rPr>
      <t xml:space="preserve"> </t>
    </r>
    <r>
      <rPr>
        <u/>
        <sz val="14"/>
        <color theme="1"/>
        <rFont val="Times New Roman"/>
        <family val="1"/>
      </rPr>
      <t xml:space="preserve"> Xe con và xe khách</t>
    </r>
    <r>
      <rPr>
        <sz val="14"/>
        <color theme="1"/>
        <rFont val="Times New Roman"/>
        <family val="1"/>
      </rPr>
      <t>.</t>
    </r>
  </si>
  <si>
    <r>
      <t>2.</t>
    </r>
    <r>
      <rPr>
        <sz val="7"/>
        <color theme="1"/>
        <rFont val="Times New Roman"/>
        <family val="1"/>
      </rPr>
      <t xml:space="preserve">   </t>
    </r>
    <r>
      <rPr>
        <sz val="14"/>
        <color theme="1"/>
        <rFont val="Times New Roman"/>
        <family val="1"/>
      </rPr>
      <t>Xe mô tô.</t>
    </r>
  </si>
  <si>
    <r>
      <t>1.</t>
    </r>
    <r>
      <rPr>
        <sz val="7"/>
        <color theme="1"/>
        <rFont val="Times New Roman"/>
        <family val="1"/>
      </rPr>
      <t xml:space="preserve">   </t>
    </r>
    <r>
      <rPr>
        <sz val="14"/>
        <color theme="1"/>
        <rFont val="Times New Roman"/>
        <family val="1"/>
      </rPr>
      <t>Xe khách, xe mô tô.</t>
    </r>
  </si>
  <si>
    <r>
      <t>2.</t>
    </r>
    <r>
      <rPr>
        <sz val="7"/>
        <color theme="1"/>
        <rFont val="Times New Roman"/>
        <family val="1"/>
      </rPr>
      <t xml:space="preserve"> </t>
    </r>
    <r>
      <rPr>
        <u/>
        <sz val="14"/>
        <color theme="1"/>
        <rFont val="Times New Roman"/>
        <family val="1"/>
      </rPr>
      <t xml:space="preserve"> Xe con, xe tải</t>
    </r>
    <r>
      <rPr>
        <sz val="14"/>
        <color theme="1"/>
        <rFont val="Times New Roman"/>
        <family val="1"/>
      </rPr>
      <t>.</t>
    </r>
  </si>
  <si>
    <r>
      <t>3.</t>
    </r>
    <r>
      <rPr>
        <sz val="7"/>
        <color theme="1"/>
        <rFont val="Times New Roman"/>
        <family val="1"/>
      </rPr>
      <t xml:space="preserve">   </t>
    </r>
    <r>
      <rPr>
        <sz val="14"/>
        <color theme="1"/>
        <rFont val="Times New Roman"/>
        <family val="1"/>
      </rPr>
      <t>Xe tải, xe mô tô.</t>
    </r>
  </si>
  <si>
    <r>
      <t>2.</t>
    </r>
    <r>
      <rPr>
        <sz val="7"/>
        <color theme="1"/>
        <rFont val="Times New Roman"/>
        <family val="1"/>
      </rPr>
      <t xml:space="preserve"> </t>
    </r>
    <r>
      <rPr>
        <u/>
        <sz val="14"/>
        <color theme="1"/>
        <rFont val="Times New Roman"/>
        <family val="1"/>
      </rPr>
      <t xml:space="preserve"> Xe quân sự đi làm nhiệm vụ khẩn cấp.</t>
    </r>
  </si>
  <si>
    <r>
      <t>1.</t>
    </r>
    <r>
      <rPr>
        <sz val="7"/>
        <color theme="1"/>
        <rFont val="Times New Roman"/>
        <family val="1"/>
      </rPr>
      <t xml:space="preserve">   </t>
    </r>
    <r>
      <rPr>
        <sz val="14"/>
        <color theme="1"/>
        <rFont val="Times New Roman"/>
        <family val="1"/>
      </rPr>
      <t>Hướng 2, 3, 4.</t>
    </r>
  </si>
  <si>
    <r>
      <t>2.</t>
    </r>
    <r>
      <rPr>
        <sz val="7"/>
        <color theme="1"/>
        <rFont val="Times New Roman"/>
        <family val="1"/>
      </rPr>
      <t xml:space="preserve"> </t>
    </r>
    <r>
      <rPr>
        <u/>
        <sz val="14"/>
        <color theme="1"/>
        <rFont val="Times New Roman"/>
        <family val="1"/>
      </rPr>
      <t xml:space="preserve"> Chỉ hướng 1</t>
    </r>
    <r>
      <rPr>
        <sz val="14"/>
        <color theme="1"/>
        <rFont val="Times New Roman"/>
        <family val="1"/>
      </rPr>
      <t>.</t>
    </r>
  </si>
  <si>
    <r>
      <t>3.</t>
    </r>
    <r>
      <rPr>
        <sz val="7"/>
        <color theme="1"/>
        <rFont val="Times New Roman"/>
        <family val="1"/>
      </rPr>
      <t xml:space="preserve">   </t>
    </r>
    <r>
      <rPr>
        <sz val="14"/>
        <color theme="1"/>
        <rFont val="Times New Roman"/>
        <family val="1"/>
      </rPr>
      <t>Hướng 1 và 2.</t>
    </r>
  </si>
  <si>
    <r>
      <t>4.</t>
    </r>
    <r>
      <rPr>
        <sz val="7"/>
        <color theme="1"/>
        <rFont val="Times New Roman"/>
        <family val="1"/>
      </rPr>
      <t xml:space="preserve">   </t>
    </r>
    <r>
      <rPr>
        <sz val="14"/>
        <color theme="1"/>
        <rFont val="Times New Roman"/>
        <family val="1"/>
      </rPr>
      <t>Hướng 3 và 4.</t>
    </r>
  </si>
  <si>
    <r>
      <t>1.</t>
    </r>
    <r>
      <rPr>
        <sz val="7"/>
        <color theme="1"/>
        <rFont val="Times New Roman"/>
        <family val="1"/>
      </rPr>
      <t xml:space="preserve"> </t>
    </r>
    <r>
      <rPr>
        <u/>
        <sz val="14"/>
        <color theme="1"/>
        <rFont val="Times New Roman"/>
        <family val="1"/>
      </rPr>
      <t xml:space="preserve"> Xe khách, xe tải, xe mô tô.</t>
    </r>
  </si>
  <si>
    <r>
      <t>2.</t>
    </r>
    <r>
      <rPr>
        <sz val="7"/>
        <color theme="1"/>
        <rFont val="Times New Roman"/>
        <family val="1"/>
      </rPr>
      <t xml:space="preserve">   </t>
    </r>
    <r>
      <rPr>
        <sz val="14"/>
        <color theme="1"/>
        <rFont val="Times New Roman"/>
        <family val="1"/>
      </rPr>
      <t>Xe tải, xe con, xe mô tô.</t>
    </r>
  </si>
  <si>
    <r>
      <t>3.</t>
    </r>
    <r>
      <rPr>
        <sz val="7"/>
        <color theme="1"/>
        <rFont val="Times New Roman"/>
        <family val="1"/>
      </rPr>
      <t xml:space="preserve">   </t>
    </r>
    <r>
      <rPr>
        <sz val="14"/>
        <color theme="1"/>
        <rFont val="Times New Roman"/>
        <family val="1"/>
      </rPr>
      <t>Xe khách, xe con, xe mô tô.</t>
    </r>
  </si>
  <si>
    <r>
      <t>1.</t>
    </r>
    <r>
      <rPr>
        <sz val="7"/>
        <color theme="1"/>
        <rFont val="Times New Roman"/>
        <family val="1"/>
      </rPr>
      <t xml:space="preserve">   </t>
    </r>
    <r>
      <rPr>
        <sz val="14"/>
        <color theme="1"/>
        <rFont val="Times New Roman"/>
        <family val="1"/>
      </rPr>
      <t>Xe khách, xe tải, xe mô tô, xe con.</t>
    </r>
  </si>
  <si>
    <r>
      <t>2.</t>
    </r>
    <r>
      <rPr>
        <sz val="7"/>
        <color theme="1"/>
        <rFont val="Times New Roman"/>
        <family val="1"/>
      </rPr>
      <t xml:space="preserve">   </t>
    </r>
    <r>
      <rPr>
        <sz val="14"/>
        <color theme="1"/>
        <rFont val="Times New Roman"/>
        <family val="1"/>
      </rPr>
      <t>Xe con, xe khách, xe tải, xe mô tô.</t>
    </r>
  </si>
  <si>
    <r>
      <t>3.</t>
    </r>
    <r>
      <rPr>
        <sz val="7"/>
        <color theme="1"/>
        <rFont val="Times New Roman"/>
        <family val="1"/>
      </rPr>
      <t xml:space="preserve"> </t>
    </r>
    <r>
      <rPr>
        <u/>
        <sz val="14"/>
        <color theme="1"/>
        <rFont val="Times New Roman"/>
        <family val="1"/>
      </rPr>
      <t xml:space="preserve"> Xe mô tô, xe tải, xe khách, xe con.</t>
    </r>
  </si>
  <si>
    <r>
      <t>4.</t>
    </r>
    <r>
      <rPr>
        <sz val="7"/>
        <color theme="1"/>
        <rFont val="Times New Roman"/>
        <family val="1"/>
      </rPr>
      <t xml:space="preserve">   </t>
    </r>
    <r>
      <rPr>
        <sz val="14"/>
        <color theme="1"/>
        <rFont val="Times New Roman"/>
        <family val="1"/>
      </rPr>
      <t>Xe mô tô, xe tải, xe con, xe khách.</t>
    </r>
  </si>
  <si>
    <r>
      <t>1.</t>
    </r>
    <r>
      <rPr>
        <sz val="7"/>
        <color theme="1"/>
        <rFont val="Times New Roman"/>
        <family val="1"/>
      </rPr>
      <t xml:space="preserve"> </t>
    </r>
    <r>
      <rPr>
        <u/>
        <sz val="14"/>
        <color theme="1"/>
        <rFont val="Times New Roman"/>
        <family val="1"/>
      </rPr>
      <t xml:space="preserve"> Xe tải.</t>
    </r>
  </si>
  <si>
    <r>
      <t>2.</t>
    </r>
    <r>
      <rPr>
        <sz val="7"/>
        <color theme="1"/>
        <rFont val="Times New Roman"/>
        <family val="1"/>
      </rPr>
      <t xml:space="preserve">   </t>
    </r>
    <r>
      <rPr>
        <sz val="14"/>
        <color theme="1"/>
        <rFont val="Times New Roman"/>
        <family val="1"/>
      </rPr>
      <t>Xe con và mô tô.</t>
    </r>
  </si>
  <si>
    <r>
      <t>3.</t>
    </r>
    <r>
      <rPr>
        <sz val="7"/>
        <color theme="1"/>
        <rFont val="Times New Roman"/>
        <family val="1"/>
      </rPr>
      <t xml:space="preserve">   </t>
    </r>
    <r>
      <rPr>
        <sz val="14"/>
        <color theme="1"/>
        <rFont val="Times New Roman"/>
        <family val="1"/>
      </rPr>
      <t>Cả ba xe.</t>
    </r>
  </si>
  <si>
    <r>
      <t>4.</t>
    </r>
    <r>
      <rPr>
        <sz val="7"/>
        <color theme="1"/>
        <rFont val="Times New Roman"/>
        <family val="1"/>
      </rPr>
      <t xml:space="preserve">   </t>
    </r>
    <r>
      <rPr>
        <sz val="14"/>
        <color theme="1"/>
        <rFont val="Times New Roman"/>
        <family val="1"/>
      </rPr>
      <t>Xe con và xe tải.</t>
    </r>
  </si>
  <si>
    <r>
      <t>1.</t>
    </r>
    <r>
      <rPr>
        <sz val="7"/>
        <color theme="1"/>
        <rFont val="Times New Roman"/>
        <family val="1"/>
      </rPr>
      <t xml:space="preserve">   </t>
    </r>
    <r>
      <rPr>
        <sz val="14"/>
        <color theme="1"/>
        <rFont val="Times New Roman"/>
        <family val="1"/>
      </rPr>
      <t>Xe tải.</t>
    </r>
  </si>
  <si>
    <r>
      <t>2.</t>
    </r>
    <r>
      <rPr>
        <sz val="7"/>
        <color theme="1"/>
        <rFont val="Times New Roman"/>
        <family val="1"/>
      </rPr>
      <t xml:space="preserve"> </t>
    </r>
    <r>
      <rPr>
        <u/>
        <sz val="14"/>
        <color theme="1"/>
        <rFont val="Times New Roman"/>
        <family val="1"/>
      </rPr>
      <t xml:space="preserve"> Xe con (B).</t>
    </r>
  </si>
  <si>
    <r>
      <t>3.</t>
    </r>
    <r>
      <rPr>
        <sz val="7"/>
        <color theme="1"/>
        <rFont val="Times New Roman"/>
        <family val="1"/>
      </rPr>
      <t xml:space="preserve">   </t>
    </r>
    <r>
      <rPr>
        <sz val="14"/>
        <color theme="1"/>
        <rFont val="Times New Roman"/>
        <family val="1"/>
      </rPr>
      <t>Xe con (A).</t>
    </r>
  </si>
  <si>
    <r>
      <t>1.</t>
    </r>
    <r>
      <rPr>
        <sz val="7"/>
        <color theme="1"/>
        <rFont val="Times New Roman"/>
        <family val="1"/>
      </rPr>
      <t xml:space="preserve"> </t>
    </r>
    <r>
      <rPr>
        <u/>
        <sz val="14"/>
        <color theme="1"/>
        <rFont val="Times New Roman"/>
        <family val="1"/>
      </rPr>
      <t xml:space="preserve"> Cả ba hướng.</t>
    </r>
  </si>
  <si>
    <r>
      <t>2.</t>
    </r>
    <r>
      <rPr>
        <sz val="7"/>
        <color theme="1"/>
        <rFont val="Times New Roman"/>
        <family val="1"/>
      </rPr>
      <t xml:space="preserve">   </t>
    </r>
    <r>
      <rPr>
        <sz val="14"/>
        <color theme="1"/>
        <rFont val="Times New Roman"/>
        <family val="1"/>
      </rPr>
      <t>Chỉ hướng 1 và 3.</t>
    </r>
  </si>
  <si>
    <r>
      <t>3.</t>
    </r>
    <r>
      <rPr>
        <sz val="7"/>
        <color theme="1"/>
        <rFont val="Times New Roman"/>
        <family val="1"/>
      </rPr>
      <t xml:space="preserve">   </t>
    </r>
    <r>
      <rPr>
        <sz val="14"/>
        <color theme="1"/>
        <rFont val="Times New Roman"/>
        <family val="1"/>
      </rPr>
      <t>Chỉ hướng 1.</t>
    </r>
  </si>
  <si>
    <r>
      <t>1.</t>
    </r>
    <r>
      <rPr>
        <sz val="7"/>
        <color theme="1"/>
        <rFont val="Times New Roman"/>
        <family val="1"/>
      </rPr>
      <t xml:space="preserve"> </t>
    </r>
    <r>
      <rPr>
        <u/>
        <sz val="14"/>
        <color theme="1"/>
        <rFont val="Times New Roman"/>
        <family val="1"/>
      </rPr>
      <t xml:space="preserve"> Cả hai xe.</t>
    </r>
  </si>
  <si>
    <r>
      <t>2.</t>
    </r>
    <r>
      <rPr>
        <sz val="7"/>
        <color theme="1"/>
        <rFont val="Times New Roman"/>
        <family val="1"/>
      </rPr>
      <t xml:space="preserve">   </t>
    </r>
    <r>
      <rPr>
        <sz val="14"/>
        <color theme="1"/>
        <rFont val="Times New Roman"/>
        <family val="1"/>
      </rPr>
      <t>Không xe nào vi phạm.</t>
    </r>
  </si>
  <si>
    <r>
      <t>3.</t>
    </r>
    <r>
      <rPr>
        <sz val="7"/>
        <color theme="1"/>
        <rFont val="Times New Roman"/>
        <family val="1"/>
      </rPr>
      <t xml:space="preserve">   </t>
    </r>
    <r>
      <rPr>
        <sz val="14"/>
        <color theme="1"/>
        <rFont val="Times New Roman"/>
        <family val="1"/>
      </rPr>
      <t>Chỉ xe mô tô vi phạm.</t>
    </r>
  </si>
  <si>
    <r>
      <t>4.</t>
    </r>
    <r>
      <rPr>
        <sz val="7"/>
        <color theme="1"/>
        <rFont val="Times New Roman"/>
        <family val="1"/>
      </rPr>
      <t xml:space="preserve">   </t>
    </r>
    <r>
      <rPr>
        <sz val="14"/>
        <color theme="1"/>
        <rFont val="Times New Roman"/>
        <family val="1"/>
      </rPr>
      <t>Chỉ xe tải vi phạm.</t>
    </r>
  </si>
  <si>
    <r>
      <t>1.</t>
    </r>
    <r>
      <rPr>
        <sz val="7"/>
        <color theme="1"/>
        <rFont val="Times New Roman"/>
        <family val="1"/>
      </rPr>
      <t xml:space="preserve">   </t>
    </r>
    <r>
      <rPr>
        <sz val="14"/>
        <color theme="1"/>
        <rFont val="Times New Roman"/>
        <family val="1"/>
      </rPr>
      <t>Chỉ xe mô tô.</t>
    </r>
  </si>
  <si>
    <r>
      <t>2.</t>
    </r>
    <r>
      <rPr>
        <sz val="7"/>
        <color theme="1"/>
        <rFont val="Times New Roman"/>
        <family val="1"/>
      </rPr>
      <t xml:space="preserve">   </t>
    </r>
    <r>
      <rPr>
        <sz val="14"/>
        <color theme="1"/>
        <rFont val="Times New Roman"/>
        <family val="1"/>
      </rPr>
      <t>Chỉ xe tải.</t>
    </r>
  </si>
  <si>
    <r>
      <t>3.</t>
    </r>
    <r>
      <rPr>
        <sz val="7"/>
        <color theme="1"/>
        <rFont val="Times New Roman"/>
        <family val="1"/>
      </rPr>
      <t xml:space="preserve"> </t>
    </r>
    <r>
      <rPr>
        <u/>
        <sz val="14"/>
        <color theme="1"/>
        <rFont val="Times New Roman"/>
        <family val="1"/>
      </rPr>
      <t xml:space="preserve"> Cả ba xe.</t>
    </r>
  </si>
  <si>
    <r>
      <t>4.</t>
    </r>
    <r>
      <rPr>
        <sz val="7"/>
        <color theme="1"/>
        <rFont val="Times New Roman"/>
        <family val="1"/>
      </rPr>
      <t xml:space="preserve">   </t>
    </r>
    <r>
      <rPr>
        <sz val="14"/>
        <color theme="1"/>
        <rFont val="Times New Roman"/>
        <family val="1"/>
      </rPr>
      <t>Chỉ xe mô tô và xe tải.</t>
    </r>
  </si>
  <si>
    <r>
      <t>1.</t>
    </r>
    <r>
      <rPr>
        <sz val="7"/>
        <color theme="1"/>
        <rFont val="Times New Roman"/>
        <family val="1"/>
      </rPr>
      <t xml:space="preserve">   </t>
    </r>
    <r>
      <rPr>
        <sz val="14"/>
        <color theme="1"/>
        <rFont val="Times New Roman"/>
        <family val="1"/>
      </rPr>
      <t>Đúng.</t>
    </r>
  </si>
  <si>
    <r>
      <t>2.</t>
    </r>
    <r>
      <rPr>
        <sz val="7"/>
        <color theme="1"/>
        <rFont val="Times New Roman"/>
        <family val="1"/>
      </rPr>
      <t xml:space="preserve"> </t>
    </r>
    <r>
      <rPr>
        <u/>
        <sz val="14"/>
        <color theme="1"/>
        <rFont val="Times New Roman"/>
        <family val="1"/>
      </rPr>
      <t xml:space="preserve"> Không đúng.</t>
    </r>
  </si>
  <si>
    <r>
      <t>1.</t>
    </r>
    <r>
      <rPr>
        <sz val="7"/>
        <color theme="1"/>
        <rFont val="Times New Roman"/>
        <family val="1"/>
      </rPr>
      <t xml:space="preserve">   </t>
    </r>
    <r>
      <rPr>
        <sz val="14"/>
        <color theme="1"/>
        <rFont val="Times New Roman"/>
        <family val="1"/>
      </rPr>
      <t>Hướng 2 và 5.</t>
    </r>
  </si>
  <si>
    <r>
      <t>2.</t>
    </r>
    <r>
      <rPr>
        <sz val="7"/>
        <color theme="1"/>
        <rFont val="Times New Roman"/>
        <family val="1"/>
      </rPr>
      <t xml:space="preserve"> </t>
    </r>
    <r>
      <rPr>
        <u/>
        <sz val="14"/>
        <color theme="1"/>
        <rFont val="Times New Roman"/>
        <family val="1"/>
      </rPr>
      <t xml:space="preserve"> Chỉ hướng 1.</t>
    </r>
  </si>
  <si>
    <r>
      <t>1.</t>
    </r>
    <r>
      <rPr>
        <sz val="7"/>
        <color theme="1"/>
        <rFont val="Times New Roman"/>
        <family val="1"/>
      </rPr>
      <t xml:space="preserve">   </t>
    </r>
    <r>
      <rPr>
        <sz val="14"/>
        <color theme="1"/>
        <rFont val="Times New Roman"/>
        <family val="1"/>
      </rPr>
      <t>Hướng 1 và 2.</t>
    </r>
  </si>
  <si>
    <r>
      <t>2.</t>
    </r>
    <r>
      <rPr>
        <sz val="7"/>
        <color theme="1"/>
        <rFont val="Times New Roman"/>
        <family val="1"/>
      </rPr>
      <t xml:space="preserve"> </t>
    </r>
    <r>
      <rPr>
        <u/>
        <sz val="14"/>
        <color theme="1"/>
        <rFont val="Times New Roman"/>
        <family val="1"/>
      </rPr>
      <t xml:space="preserve"> Hướng 3.</t>
    </r>
  </si>
  <si>
    <r>
      <t>3.</t>
    </r>
    <r>
      <rPr>
        <sz val="7"/>
        <color theme="1"/>
        <rFont val="Times New Roman"/>
        <family val="1"/>
      </rPr>
      <t xml:space="preserve">   </t>
    </r>
    <r>
      <rPr>
        <sz val="14"/>
        <color theme="1"/>
        <rFont val="Times New Roman"/>
        <family val="1"/>
      </rPr>
      <t>Hướng 1 và 4.</t>
    </r>
  </si>
  <si>
    <r>
      <t>4.</t>
    </r>
    <r>
      <rPr>
        <sz val="7"/>
        <color theme="1"/>
        <rFont val="Times New Roman"/>
        <family val="1"/>
      </rPr>
      <t xml:space="preserve">   </t>
    </r>
    <r>
      <rPr>
        <sz val="14"/>
        <color theme="1"/>
        <rFont val="Times New Roman"/>
        <family val="1"/>
      </rPr>
      <t>Hướng 2 và 3.</t>
    </r>
  </si>
  <si>
    <r>
      <t>1.</t>
    </r>
    <r>
      <rPr>
        <sz val="7"/>
        <color theme="1"/>
        <rFont val="Times New Roman"/>
        <family val="1"/>
      </rPr>
      <t xml:space="preserve"> </t>
    </r>
    <r>
      <rPr>
        <u/>
        <sz val="14"/>
        <color theme="1"/>
        <rFont val="Times New Roman"/>
        <family val="1"/>
      </rPr>
      <t xml:space="preserve"> Cả hai xe đều đúng.</t>
    </r>
  </si>
  <si>
    <r>
      <t>2.</t>
    </r>
    <r>
      <rPr>
        <sz val="7"/>
        <color theme="1"/>
        <rFont val="Times New Roman"/>
        <family val="1"/>
      </rPr>
      <t xml:space="preserve">   </t>
    </r>
    <r>
      <rPr>
        <sz val="14"/>
        <color theme="1"/>
        <rFont val="Times New Roman"/>
        <family val="1"/>
      </rPr>
      <t>Xe con.</t>
    </r>
  </si>
  <si>
    <r>
      <t>3.</t>
    </r>
    <r>
      <rPr>
        <sz val="7"/>
        <color theme="1"/>
        <rFont val="Times New Roman"/>
        <family val="1"/>
      </rPr>
      <t xml:space="preserve">   </t>
    </r>
    <r>
      <rPr>
        <sz val="14"/>
        <color theme="1"/>
        <rFont val="Times New Roman"/>
        <family val="1"/>
      </rPr>
      <t>Xe khách.</t>
    </r>
  </si>
  <si>
    <r>
      <t>1.</t>
    </r>
    <r>
      <rPr>
        <sz val="7"/>
        <color theme="1"/>
        <rFont val="Times New Roman"/>
        <family val="1"/>
      </rPr>
      <t xml:space="preserve"> </t>
    </r>
    <r>
      <rPr>
        <u/>
        <sz val="14"/>
        <color theme="1"/>
        <rFont val="Times New Roman"/>
        <family val="1"/>
      </rPr>
      <t xml:space="preserve"> Hướng 2 và 3.</t>
    </r>
  </si>
  <si>
    <r>
      <t>2.</t>
    </r>
    <r>
      <rPr>
        <sz val="7"/>
        <color theme="1"/>
        <rFont val="Times New Roman"/>
        <family val="1"/>
      </rPr>
      <t xml:space="preserve">   </t>
    </r>
    <r>
      <rPr>
        <sz val="14"/>
        <color theme="1"/>
        <rFont val="Times New Roman"/>
        <family val="1"/>
      </rPr>
      <t>Hướng 1, 2 và 3.</t>
    </r>
  </si>
  <si>
    <r>
      <t>3.</t>
    </r>
    <r>
      <rPr>
        <sz val="7"/>
        <color theme="1"/>
        <rFont val="Times New Roman"/>
        <family val="1"/>
      </rPr>
      <t xml:space="preserve">   </t>
    </r>
    <r>
      <rPr>
        <sz val="14"/>
        <color theme="1"/>
        <rFont val="Times New Roman"/>
        <family val="1"/>
      </rPr>
      <t>Hướng 1 và 3.</t>
    </r>
  </si>
  <si>
    <r>
      <t>1.</t>
    </r>
    <r>
      <rPr>
        <sz val="7"/>
        <color theme="1"/>
        <rFont val="Times New Roman"/>
        <family val="1"/>
      </rPr>
      <t xml:space="preserve">   </t>
    </r>
    <r>
      <rPr>
        <sz val="14"/>
        <color theme="1"/>
        <rFont val="Times New Roman"/>
        <family val="1"/>
      </rPr>
      <t>Không.</t>
    </r>
  </si>
  <si>
    <r>
      <t>2.</t>
    </r>
    <r>
      <rPr>
        <sz val="7"/>
        <color theme="1"/>
        <rFont val="Times New Roman"/>
        <family val="1"/>
      </rPr>
      <t xml:space="preserve"> </t>
    </r>
    <r>
      <rPr>
        <u/>
        <sz val="14"/>
        <color theme="1"/>
        <rFont val="Times New Roman"/>
        <family val="1"/>
      </rPr>
      <t xml:space="preserve"> Vi phạm.</t>
    </r>
  </si>
  <si>
    <r>
      <t>1.</t>
    </r>
    <r>
      <rPr>
        <sz val="7"/>
        <color theme="1"/>
        <rFont val="Times New Roman"/>
        <family val="1"/>
      </rPr>
      <t xml:space="preserve">   </t>
    </r>
    <r>
      <rPr>
        <sz val="14"/>
        <color theme="1"/>
        <rFont val="Times New Roman"/>
        <family val="1"/>
      </rPr>
      <t>Xe con.</t>
    </r>
  </si>
  <si>
    <r>
      <t>2.</t>
    </r>
    <r>
      <rPr>
        <sz val="7"/>
        <color theme="1"/>
        <rFont val="Times New Roman"/>
        <family val="1"/>
      </rPr>
      <t xml:space="preserve"> </t>
    </r>
    <r>
      <rPr>
        <u/>
        <sz val="14"/>
        <color theme="1"/>
        <rFont val="Times New Roman"/>
        <family val="1"/>
      </rPr>
      <t xml:space="preserve"> Xe mô tô.</t>
    </r>
  </si>
  <si>
    <r>
      <t>1.</t>
    </r>
    <r>
      <rPr>
        <sz val="7"/>
        <color theme="1"/>
        <rFont val="Times New Roman"/>
        <family val="1"/>
      </rPr>
      <t xml:space="preserve"> </t>
    </r>
    <r>
      <rPr>
        <u/>
        <sz val="14"/>
        <color theme="1"/>
        <rFont val="Times New Roman"/>
        <family val="1"/>
      </rPr>
      <t xml:space="preserve"> Không đúng.</t>
    </r>
  </si>
  <si>
    <r>
      <t>2.</t>
    </r>
    <r>
      <rPr>
        <sz val="7"/>
        <color theme="1"/>
        <rFont val="Times New Roman"/>
        <family val="1"/>
      </rPr>
      <t xml:space="preserve">   </t>
    </r>
    <r>
      <rPr>
        <sz val="14"/>
        <color theme="1"/>
        <rFont val="Times New Roman"/>
        <family val="1"/>
      </rPr>
      <t>Đúng.</t>
    </r>
  </si>
  <si>
    <r>
      <t>1.</t>
    </r>
    <r>
      <rPr>
        <sz val="7"/>
        <color theme="1"/>
        <rFont val="Times New Roman"/>
        <family val="1"/>
      </rPr>
      <t xml:space="preserve">   </t>
    </r>
    <r>
      <rPr>
        <sz val="14"/>
        <color theme="1"/>
        <rFont val="Times New Roman"/>
        <family val="1"/>
      </rPr>
      <t>Hướng 1.</t>
    </r>
  </si>
  <si>
    <r>
      <t>2.</t>
    </r>
    <r>
      <rPr>
        <sz val="7"/>
        <color theme="1"/>
        <rFont val="Times New Roman"/>
        <family val="1"/>
      </rPr>
      <t xml:space="preserve"> </t>
    </r>
    <r>
      <rPr>
        <u/>
        <sz val="14"/>
        <color theme="1"/>
        <rFont val="Times New Roman"/>
        <family val="1"/>
      </rPr>
      <t xml:space="preserve"> Hướng 1, 3 và 4.</t>
    </r>
  </si>
  <si>
    <r>
      <t>3.</t>
    </r>
    <r>
      <rPr>
        <sz val="7"/>
        <color theme="1"/>
        <rFont val="Times New Roman"/>
        <family val="1"/>
      </rPr>
      <t xml:space="preserve">   </t>
    </r>
    <r>
      <rPr>
        <sz val="14"/>
        <color theme="1"/>
        <rFont val="Times New Roman"/>
        <family val="1"/>
      </rPr>
      <t>Hướng 2, 3 và 4.</t>
    </r>
  </si>
  <si>
    <r>
      <t>4.</t>
    </r>
    <r>
      <rPr>
        <sz val="7"/>
        <color theme="1"/>
        <rFont val="Times New Roman"/>
        <family val="1"/>
      </rPr>
      <t xml:space="preserve">   </t>
    </r>
    <r>
      <rPr>
        <sz val="14"/>
        <color theme="1"/>
        <rFont val="Times New Roman"/>
        <family val="1"/>
      </rPr>
      <t>Cả bốn hướng.</t>
    </r>
  </si>
  <si>
    <r>
      <t>1.</t>
    </r>
    <r>
      <rPr>
        <sz val="7"/>
        <color theme="1"/>
        <rFont val="Times New Roman"/>
        <family val="1"/>
      </rPr>
      <t xml:space="preserve">   </t>
    </r>
    <r>
      <rPr>
        <sz val="14"/>
        <color theme="1"/>
        <rFont val="Times New Roman"/>
        <family val="1"/>
      </rPr>
      <t>Xe con (A), xe mô tô, xe con (B), xe đạp.</t>
    </r>
  </si>
  <si>
    <r>
      <t>2.</t>
    </r>
    <r>
      <rPr>
        <sz val="7"/>
        <color theme="1"/>
        <rFont val="Times New Roman"/>
        <family val="1"/>
      </rPr>
      <t xml:space="preserve">   </t>
    </r>
    <r>
      <rPr>
        <sz val="14"/>
        <color theme="1"/>
        <rFont val="Times New Roman"/>
        <family val="1"/>
      </rPr>
      <t>Xe con (B), xe đạp, xe mô tô, xe con (A).</t>
    </r>
  </si>
  <si>
    <r>
      <t>3.</t>
    </r>
    <r>
      <rPr>
        <sz val="7"/>
        <color theme="1"/>
        <rFont val="Times New Roman"/>
        <family val="1"/>
      </rPr>
      <t xml:space="preserve">   </t>
    </r>
    <r>
      <rPr>
        <sz val="14"/>
        <color theme="1"/>
        <rFont val="Times New Roman"/>
        <family val="1"/>
      </rPr>
      <t>Xe con (A), xe con (B), xe mô tô + xe đạp.</t>
    </r>
  </si>
  <si>
    <r>
      <t>4.</t>
    </r>
    <r>
      <rPr>
        <sz val="7"/>
        <color theme="1"/>
        <rFont val="Times New Roman"/>
        <family val="1"/>
      </rPr>
      <t xml:space="preserve"> </t>
    </r>
    <r>
      <rPr>
        <u/>
        <sz val="14"/>
        <color theme="1"/>
        <rFont val="Times New Roman"/>
        <family val="1"/>
      </rPr>
      <t xml:space="preserve"> Xe mô tô + xe đạp, xe con (A), xe con (B).</t>
    </r>
  </si>
  <si>
    <r>
      <t>1.</t>
    </r>
    <r>
      <rPr>
        <sz val="7"/>
        <color theme="1"/>
        <rFont val="Times New Roman"/>
        <family val="1"/>
      </rPr>
      <t xml:space="preserve"> </t>
    </r>
    <r>
      <rPr>
        <u/>
        <sz val="14"/>
        <color theme="1"/>
        <rFont val="Times New Roman"/>
        <family val="1"/>
      </rPr>
      <t xml:space="preserve"> Chỉ hướng 1.</t>
    </r>
  </si>
  <si>
    <r>
      <t>2.</t>
    </r>
    <r>
      <rPr>
        <sz val="7"/>
        <color theme="1"/>
        <rFont val="Times New Roman"/>
        <family val="1"/>
      </rPr>
      <t xml:space="preserve">   </t>
    </r>
    <r>
      <rPr>
        <sz val="14"/>
        <color theme="1"/>
        <rFont val="Times New Roman"/>
        <family val="1"/>
      </rPr>
      <t>Hướng 1, 3 và 4.</t>
    </r>
  </si>
  <si>
    <r>
      <t>3.</t>
    </r>
    <r>
      <rPr>
        <sz val="7"/>
        <color theme="1"/>
        <rFont val="Times New Roman"/>
        <family val="1"/>
      </rPr>
      <t xml:space="preserve">   </t>
    </r>
    <r>
      <rPr>
        <sz val="14"/>
        <color theme="1"/>
        <rFont val="Times New Roman"/>
        <family val="1"/>
      </rPr>
      <t>Hướng 1, 2 và 3.</t>
    </r>
  </si>
  <si>
    <r>
      <t>1.</t>
    </r>
    <r>
      <rPr>
        <sz val="7"/>
        <color theme="1"/>
        <rFont val="Times New Roman"/>
        <family val="1"/>
      </rPr>
      <t xml:space="preserve">   </t>
    </r>
    <r>
      <rPr>
        <sz val="14"/>
        <color theme="1"/>
        <rFont val="Times New Roman"/>
        <family val="1"/>
      </rPr>
      <t>Cả ba hướng.</t>
    </r>
  </si>
  <si>
    <r>
      <t>2.</t>
    </r>
    <r>
      <rPr>
        <sz val="7"/>
        <color theme="1"/>
        <rFont val="Times New Roman"/>
        <family val="1"/>
      </rPr>
      <t xml:space="preserve"> </t>
    </r>
    <r>
      <rPr>
        <u/>
        <sz val="14"/>
        <color theme="1"/>
        <rFont val="Times New Roman"/>
        <family val="1"/>
      </rPr>
      <t xml:space="preserve"> Hướng 2 và 3.</t>
    </r>
  </si>
  <si>
    <r>
      <t>1.</t>
    </r>
    <r>
      <rPr>
        <sz val="7"/>
        <color theme="1"/>
        <rFont val="Times New Roman"/>
        <family val="1"/>
      </rPr>
      <t xml:space="preserve">   </t>
    </r>
    <r>
      <rPr>
        <sz val="14"/>
        <color theme="1"/>
        <rFont val="Times New Roman"/>
        <family val="1"/>
      </rPr>
      <t>Chỉ hướng 1.</t>
    </r>
  </si>
  <si>
    <r>
      <t>2.</t>
    </r>
    <r>
      <rPr>
        <sz val="7"/>
        <color theme="1"/>
        <rFont val="Times New Roman"/>
        <family val="1"/>
      </rPr>
      <t xml:space="preserve">   </t>
    </r>
    <r>
      <rPr>
        <sz val="14"/>
        <color theme="1"/>
        <rFont val="Times New Roman"/>
        <family val="1"/>
      </rPr>
      <t>Hướng 1 và 4.</t>
    </r>
  </si>
  <si>
    <r>
      <t>3.</t>
    </r>
    <r>
      <rPr>
        <sz val="7"/>
        <color theme="1"/>
        <rFont val="Times New Roman"/>
        <family val="1"/>
      </rPr>
      <t xml:space="preserve"> </t>
    </r>
    <r>
      <rPr>
        <u/>
        <sz val="14"/>
        <color theme="1"/>
        <rFont val="Times New Roman"/>
        <family val="1"/>
      </rPr>
      <t xml:space="preserve"> Hướng 1 và 5.</t>
    </r>
  </si>
  <si>
    <r>
      <t>4.</t>
    </r>
    <r>
      <rPr>
        <sz val="7"/>
        <color theme="1"/>
        <rFont val="Times New Roman"/>
        <family val="1"/>
      </rPr>
      <t xml:space="preserve">   </t>
    </r>
    <r>
      <rPr>
        <sz val="14"/>
        <color theme="1"/>
        <rFont val="Times New Roman"/>
        <family val="1"/>
      </rPr>
      <t>Hướng 1, 4 và 5.</t>
    </r>
  </si>
  <si>
    <r>
      <t>1.</t>
    </r>
    <r>
      <rPr>
        <sz val="7"/>
        <color theme="1"/>
        <rFont val="Times New Roman"/>
        <family val="1"/>
      </rPr>
      <t xml:space="preserve">   </t>
    </r>
    <r>
      <rPr>
        <sz val="14"/>
        <color theme="1"/>
        <rFont val="Times New Roman"/>
        <family val="1"/>
      </rPr>
      <t>Cả bốn hướng.</t>
    </r>
  </si>
  <si>
    <r>
      <t>2.</t>
    </r>
    <r>
      <rPr>
        <sz val="7"/>
        <color theme="1"/>
        <rFont val="Times New Roman"/>
        <family val="1"/>
      </rPr>
      <t xml:space="preserve"> </t>
    </r>
    <r>
      <rPr>
        <u/>
        <sz val="14"/>
        <color theme="1"/>
        <rFont val="Times New Roman"/>
        <family val="1"/>
      </rPr>
      <t xml:space="preserve"> Trừ hướng 2.</t>
    </r>
  </si>
  <si>
    <r>
      <t>4.</t>
    </r>
    <r>
      <rPr>
        <sz val="7"/>
        <color theme="1"/>
        <rFont val="Times New Roman"/>
        <family val="1"/>
      </rPr>
      <t xml:space="preserve">   </t>
    </r>
    <r>
      <rPr>
        <sz val="14"/>
        <color theme="1"/>
        <rFont val="Times New Roman"/>
        <family val="1"/>
      </rPr>
      <t>Trừ hướng 4.</t>
    </r>
  </si>
  <si>
    <r>
      <t>1.</t>
    </r>
    <r>
      <rPr>
        <sz val="7"/>
        <color theme="1"/>
        <rFont val="Times New Roman"/>
        <family val="1"/>
      </rPr>
      <t xml:space="preserve"> </t>
    </r>
    <r>
      <rPr>
        <u/>
        <sz val="14"/>
        <color theme="1"/>
        <rFont val="Times New Roman"/>
        <family val="1"/>
      </rPr>
      <t xml:space="preserve"> Xe mô tô.</t>
    </r>
  </si>
  <si>
    <r>
      <t>1.</t>
    </r>
    <r>
      <rPr>
        <sz val="7"/>
        <color theme="1"/>
        <rFont val="Times New Roman"/>
        <family val="1"/>
      </rPr>
      <t xml:space="preserve">   </t>
    </r>
    <r>
      <rPr>
        <sz val="14"/>
        <color theme="1"/>
        <rFont val="Times New Roman"/>
        <family val="1"/>
      </rPr>
      <t>Không vi phạm.</t>
    </r>
  </si>
  <si>
    <r>
      <t>1.</t>
    </r>
    <r>
      <rPr>
        <sz val="7"/>
        <color theme="1"/>
        <rFont val="Times New Roman"/>
        <family val="1"/>
      </rPr>
      <t xml:space="preserve">   </t>
    </r>
    <r>
      <rPr>
        <sz val="14"/>
        <color theme="1"/>
        <rFont val="Times New Roman"/>
        <family val="1"/>
      </rPr>
      <t>Xe khách.</t>
    </r>
  </si>
  <si>
    <r>
      <t>3.</t>
    </r>
    <r>
      <rPr>
        <sz val="7"/>
        <color theme="1"/>
        <rFont val="Times New Roman"/>
        <family val="1"/>
      </rPr>
      <t xml:space="preserve"> </t>
    </r>
    <r>
      <rPr>
        <u/>
        <sz val="14"/>
        <color theme="1"/>
        <rFont val="Times New Roman"/>
        <family val="1"/>
      </rPr>
      <t xml:space="preserve"> Xe con.</t>
    </r>
  </si>
  <si>
    <r>
      <t>4.</t>
    </r>
    <r>
      <rPr>
        <sz val="7"/>
        <color theme="1"/>
        <rFont val="Times New Roman"/>
        <family val="1"/>
      </rPr>
      <t xml:space="preserve">   </t>
    </r>
    <r>
      <rPr>
        <sz val="14"/>
        <color theme="1"/>
        <rFont val="Times New Roman"/>
        <family val="1"/>
      </rPr>
      <t>Xe con và xe mô tô.</t>
    </r>
  </si>
  <si>
    <r>
      <t>1.</t>
    </r>
    <r>
      <rPr>
        <sz val="7"/>
        <color theme="1"/>
        <rFont val="Times New Roman"/>
        <family val="1"/>
      </rPr>
      <t xml:space="preserve">   </t>
    </r>
    <r>
      <rPr>
        <sz val="14"/>
        <color theme="1"/>
        <rFont val="Times New Roman"/>
        <family val="1"/>
      </rPr>
      <t>Các xe ở phía tay phải và tay trái của người điều khiển được phép đi thẳng.</t>
    </r>
  </si>
  <si>
    <r>
      <t>2.</t>
    </r>
    <r>
      <rPr>
        <sz val="7"/>
        <color theme="1"/>
        <rFont val="Times New Roman"/>
        <family val="1"/>
      </rPr>
      <t xml:space="preserve">   </t>
    </r>
    <r>
      <rPr>
        <sz val="14"/>
        <color theme="1"/>
        <rFont val="Times New Roman"/>
        <family val="1"/>
      </rPr>
      <t>Cho phép các xe ở mọi hướng được phép rẽ phải.</t>
    </r>
  </si>
  <si>
    <r>
      <t>3.</t>
    </r>
    <r>
      <rPr>
        <sz val="7"/>
        <color theme="1"/>
        <rFont val="Times New Roman"/>
        <family val="1"/>
      </rPr>
      <t xml:space="preserve"> </t>
    </r>
    <r>
      <rPr>
        <u/>
        <sz val="14"/>
        <color theme="1"/>
        <rFont val="Times New Roman"/>
        <family val="1"/>
      </rPr>
      <t xml:space="preserve"> Tất cả các xe phải dừng lại trước ngã tư, trừ những xe đã ở trong ngã tư được</t>
    </r>
    <r>
      <rPr>
        <sz val="14"/>
        <color theme="1"/>
        <rFont val="Times New Roman"/>
        <family val="1"/>
      </rPr>
      <t xml:space="preserve"> </t>
    </r>
    <r>
      <rPr>
        <u/>
        <sz val="14"/>
        <color theme="1"/>
        <rFont val="Times New Roman"/>
        <family val="1"/>
      </rPr>
      <t>phép tiếp tục đi.</t>
    </r>
  </si>
  <si>
    <r>
      <t>1.</t>
    </r>
    <r>
      <rPr>
        <sz val="7"/>
        <color theme="1"/>
        <rFont val="Times New Roman"/>
        <family val="1"/>
      </rPr>
      <t xml:space="preserve">   </t>
    </r>
    <r>
      <rPr>
        <sz val="14"/>
        <color theme="1"/>
        <rFont val="Times New Roman"/>
        <family val="1"/>
      </rPr>
      <t>Xe mô tô, xe con.</t>
    </r>
  </si>
  <si>
    <r>
      <t>2.</t>
    </r>
    <r>
      <rPr>
        <sz val="7"/>
        <color theme="1"/>
        <rFont val="Times New Roman"/>
        <family val="1"/>
      </rPr>
      <t xml:space="preserve">   </t>
    </r>
    <r>
      <rPr>
        <sz val="14"/>
        <color theme="1"/>
        <rFont val="Times New Roman"/>
        <family val="1"/>
      </rPr>
      <t>Xe con, xe tải.</t>
    </r>
  </si>
  <si>
    <r>
      <t>3.</t>
    </r>
    <r>
      <rPr>
        <sz val="7"/>
        <color theme="1"/>
        <rFont val="Times New Roman"/>
        <family val="1"/>
      </rPr>
      <t xml:space="preserve"> </t>
    </r>
    <r>
      <rPr>
        <u/>
        <sz val="14"/>
        <color theme="1"/>
        <rFont val="Times New Roman"/>
        <family val="1"/>
      </rPr>
      <t xml:space="preserve"> Xe mô tô, xe tải.</t>
    </r>
  </si>
  <si>
    <r>
      <t>4.</t>
    </r>
    <r>
      <rPr>
        <sz val="7"/>
        <color theme="1"/>
        <rFont val="Times New Roman"/>
        <family val="1"/>
      </rPr>
      <t xml:space="preserve">   </t>
    </r>
    <r>
      <rPr>
        <sz val="14"/>
        <color theme="1"/>
        <rFont val="Times New Roman"/>
        <family val="1"/>
      </rPr>
      <t>Cả ba xe.</t>
    </r>
  </si>
  <si>
    <r>
      <t>1.</t>
    </r>
    <r>
      <rPr>
        <sz val="7"/>
        <color theme="1"/>
        <rFont val="Times New Roman"/>
        <family val="1"/>
      </rPr>
      <t xml:space="preserve"> </t>
    </r>
    <r>
      <rPr>
        <u/>
        <sz val="14"/>
        <color theme="1"/>
        <rFont val="Times New Roman"/>
        <family val="1"/>
      </rPr>
      <t xml:space="preserve"> Đúng.</t>
    </r>
  </si>
  <si>
    <r>
      <t>2.</t>
    </r>
    <r>
      <rPr>
        <sz val="7"/>
        <color theme="1"/>
        <rFont val="Times New Roman"/>
        <family val="1"/>
      </rPr>
      <t xml:space="preserve">   </t>
    </r>
    <r>
      <rPr>
        <sz val="14"/>
        <color theme="1"/>
        <rFont val="Times New Roman"/>
        <family val="1"/>
      </rPr>
      <t>Không đúng.</t>
    </r>
  </si>
  <si>
    <r>
      <t>2.</t>
    </r>
    <r>
      <rPr>
        <sz val="7"/>
        <color theme="1"/>
        <rFont val="Times New Roman"/>
        <family val="1"/>
      </rPr>
      <t xml:space="preserve">   </t>
    </r>
    <r>
      <rPr>
        <sz val="14"/>
        <color theme="1"/>
        <rFont val="Times New Roman"/>
        <family val="1"/>
      </rPr>
      <t>Cả hai xe.</t>
    </r>
  </si>
  <si>
    <r>
      <t>1.</t>
    </r>
    <r>
      <rPr>
        <sz val="7"/>
        <color theme="1"/>
        <rFont val="Times New Roman"/>
        <family val="1"/>
      </rPr>
      <t xml:space="preserve">   </t>
    </r>
    <r>
      <rPr>
        <sz val="14"/>
        <color theme="1"/>
        <rFont val="Times New Roman"/>
        <family val="1"/>
      </rPr>
      <t>Xe chữa cháy đi làm nhiệm vụ chữa cháy.</t>
    </r>
  </si>
  <si>
    <r>
      <t>2.</t>
    </r>
    <r>
      <rPr>
        <sz val="7"/>
        <color theme="1"/>
        <rFont val="Times New Roman"/>
        <family val="1"/>
      </rPr>
      <t xml:space="preserve"> </t>
    </r>
    <r>
      <rPr>
        <u/>
        <sz val="14"/>
        <color theme="1"/>
        <rFont val="Times New Roman"/>
        <family val="1"/>
      </rPr>
      <t xml:space="preserve"> Xe tải.</t>
    </r>
  </si>
  <si>
    <r>
      <t>3.</t>
    </r>
    <r>
      <rPr>
        <sz val="7"/>
        <color theme="1"/>
        <rFont val="Times New Roman"/>
        <family val="1"/>
      </rPr>
      <t xml:space="preserve">   </t>
    </r>
    <r>
      <rPr>
        <sz val="14"/>
        <color theme="1"/>
        <rFont val="Times New Roman"/>
        <family val="1"/>
      </rPr>
      <t>Cả hai xe.</t>
    </r>
  </si>
  <si>
    <r>
      <t>1.</t>
    </r>
    <r>
      <rPr>
        <sz val="7"/>
        <color theme="1"/>
        <rFont val="Times New Roman"/>
        <family val="1"/>
      </rPr>
      <t xml:space="preserve">   </t>
    </r>
    <r>
      <rPr>
        <sz val="14"/>
        <color theme="1"/>
        <rFont val="Times New Roman"/>
        <family val="1"/>
      </rPr>
      <t>Xe khách, xe tải, xe con.</t>
    </r>
  </si>
  <si>
    <r>
      <t>2.</t>
    </r>
    <r>
      <rPr>
        <sz val="7"/>
        <color theme="1"/>
        <rFont val="Times New Roman"/>
        <family val="1"/>
      </rPr>
      <t xml:space="preserve">   </t>
    </r>
    <r>
      <rPr>
        <sz val="14"/>
        <color theme="1"/>
        <rFont val="Times New Roman"/>
        <family val="1"/>
      </rPr>
      <t>Xe con, xe tải, xe khách.</t>
    </r>
  </si>
  <si>
    <r>
      <t>3.</t>
    </r>
    <r>
      <rPr>
        <sz val="7"/>
        <color theme="1"/>
        <rFont val="Times New Roman"/>
        <family val="1"/>
      </rPr>
      <t xml:space="preserve"> </t>
    </r>
    <r>
      <rPr>
        <u/>
        <sz val="14"/>
        <color theme="1"/>
        <rFont val="Times New Roman"/>
        <family val="1"/>
      </rPr>
      <t xml:space="preserve"> Xe tải, xe khách, xe con.</t>
    </r>
  </si>
  <si>
    <r>
      <t>1.</t>
    </r>
    <r>
      <rPr>
        <sz val="7"/>
        <color theme="1"/>
        <rFont val="Times New Roman"/>
        <family val="1"/>
      </rPr>
      <t xml:space="preserve"> </t>
    </r>
    <r>
      <rPr>
        <u/>
        <sz val="14"/>
        <color theme="1"/>
        <rFont val="Times New Roman"/>
        <family val="1"/>
      </rPr>
      <t xml:space="preserve"> Xe khách và xe tải, xe con.</t>
    </r>
  </si>
  <si>
    <r>
      <t>2.</t>
    </r>
    <r>
      <rPr>
        <sz val="7"/>
        <color theme="1"/>
        <rFont val="Times New Roman"/>
        <family val="1"/>
      </rPr>
      <t xml:space="preserve">   </t>
    </r>
    <r>
      <rPr>
        <sz val="14"/>
        <color theme="1"/>
        <rFont val="Times New Roman"/>
        <family val="1"/>
      </rPr>
      <t>Xe tải, xe khách, xe con.</t>
    </r>
  </si>
  <si>
    <r>
      <t>3.</t>
    </r>
    <r>
      <rPr>
        <sz val="7"/>
        <color theme="1"/>
        <rFont val="Times New Roman"/>
        <family val="1"/>
      </rPr>
      <t xml:space="preserve">   </t>
    </r>
    <r>
      <rPr>
        <sz val="14"/>
        <color theme="1"/>
        <rFont val="Times New Roman"/>
        <family val="1"/>
      </rPr>
      <t>Xe con, xe khách, xe tải.</t>
    </r>
  </si>
  <si>
    <r>
      <t>2.</t>
    </r>
    <r>
      <rPr>
        <sz val="7"/>
        <color theme="1"/>
        <rFont val="Times New Roman"/>
        <family val="1"/>
      </rPr>
      <t xml:space="preserve">   </t>
    </r>
    <r>
      <rPr>
        <sz val="14"/>
        <color theme="1"/>
        <rFont val="Times New Roman"/>
        <family val="1"/>
      </rPr>
      <t>Chỉ hướng 1 và 2.</t>
    </r>
  </si>
  <si>
    <r>
      <t>3.</t>
    </r>
    <r>
      <rPr>
        <sz val="7"/>
        <color theme="1"/>
        <rFont val="Times New Roman"/>
        <family val="1"/>
      </rPr>
      <t xml:space="preserve"> </t>
    </r>
    <r>
      <rPr>
        <u/>
        <sz val="14"/>
        <color theme="1"/>
        <rFont val="Times New Roman"/>
        <family val="1"/>
      </rPr>
      <t xml:space="preserve"> Trừ hướng 4.</t>
    </r>
  </si>
  <si>
    <r>
      <t>2.</t>
    </r>
    <r>
      <rPr>
        <sz val="7"/>
        <color theme="1"/>
        <rFont val="Times New Roman"/>
        <family val="1"/>
      </rPr>
      <t xml:space="preserve">   </t>
    </r>
    <r>
      <rPr>
        <sz val="14"/>
        <color theme="1"/>
        <rFont val="Times New Roman"/>
        <family val="1"/>
      </rPr>
      <t>Xe con, xe khách và xe công an đi làm nhiệm vụ khẩn cấp, xe tải.</t>
    </r>
  </si>
  <si>
    <r>
      <t>3.</t>
    </r>
    <r>
      <rPr>
        <sz val="7"/>
        <color theme="1"/>
        <rFont val="Times New Roman"/>
        <family val="1"/>
      </rPr>
      <t xml:space="preserve">   </t>
    </r>
    <r>
      <rPr>
        <sz val="14"/>
        <color theme="1"/>
        <rFont val="Times New Roman"/>
        <family val="1"/>
      </rPr>
      <t>Xe công an đi làm nhiệm vụ khẩn cấp, xe con, xe khách, xe tải.</t>
    </r>
  </si>
  <si>
    <r>
      <t>4.</t>
    </r>
    <r>
      <rPr>
        <sz val="7"/>
        <color theme="1"/>
        <rFont val="Times New Roman"/>
        <family val="1"/>
      </rPr>
      <t xml:space="preserve">   </t>
    </r>
    <r>
      <rPr>
        <sz val="14"/>
        <color theme="1"/>
        <rFont val="Times New Roman"/>
        <family val="1"/>
      </rPr>
      <t>Xe con, xe tải, xe khách, xe công an đi làm nhiệm vụ khẩn cấp.</t>
    </r>
  </si>
  <si>
    <r>
      <t>4.</t>
    </r>
    <r>
      <rPr>
        <sz val="7"/>
        <color theme="1"/>
        <rFont val="Times New Roman"/>
        <family val="1"/>
      </rPr>
      <t xml:space="preserve"> </t>
    </r>
    <r>
      <rPr>
        <u/>
        <sz val="14"/>
        <color theme="1"/>
        <rFont val="Times New Roman"/>
        <family val="1"/>
      </rPr>
      <t xml:space="preserve"> Hướng 1, 3 và 4.</t>
    </r>
  </si>
  <si>
    <r>
      <t>1.</t>
    </r>
    <r>
      <rPr>
        <sz val="7"/>
        <color theme="1"/>
        <rFont val="Times New Roman"/>
        <family val="1"/>
      </rPr>
      <t xml:space="preserve">   </t>
    </r>
    <r>
      <rPr>
        <sz val="14"/>
        <color theme="1"/>
        <rFont val="Times New Roman"/>
        <family val="1"/>
      </rPr>
      <t>Chỉ xe khách, xe mô tô.</t>
    </r>
  </si>
  <si>
    <r>
      <t>2.</t>
    </r>
    <r>
      <rPr>
        <sz val="7"/>
        <color theme="1"/>
        <rFont val="Times New Roman"/>
        <family val="1"/>
      </rPr>
      <t xml:space="preserve"> </t>
    </r>
    <r>
      <rPr>
        <u/>
        <sz val="14"/>
        <color theme="1"/>
        <rFont val="Times New Roman"/>
        <family val="1"/>
      </rPr>
      <t xml:space="preserve"> Tất cả các loại xe trên.</t>
    </r>
  </si>
  <si>
    <r>
      <t>3.</t>
    </r>
    <r>
      <rPr>
        <sz val="7"/>
        <color theme="1"/>
        <rFont val="Times New Roman"/>
        <family val="1"/>
      </rPr>
      <t xml:space="preserve">   </t>
    </r>
    <r>
      <rPr>
        <sz val="14"/>
        <color theme="1"/>
        <rFont val="Times New Roman"/>
        <family val="1"/>
      </rPr>
      <t>Không xe nào chấp hành đúng quy tắc giao thông.</t>
    </r>
  </si>
  <si>
    <r>
      <t>2.</t>
    </r>
    <r>
      <rPr>
        <sz val="7"/>
        <color theme="1"/>
        <rFont val="Times New Roman"/>
        <family val="1"/>
      </rPr>
      <t xml:space="preserve">   </t>
    </r>
    <r>
      <rPr>
        <sz val="14"/>
        <color theme="1"/>
        <rFont val="Times New Roman"/>
        <family val="1"/>
      </rPr>
      <t>Hướng 1 và 2.</t>
    </r>
  </si>
  <si>
    <r>
      <t>3.</t>
    </r>
    <r>
      <rPr>
        <sz val="7"/>
        <color theme="1"/>
        <rFont val="Times New Roman"/>
        <family val="1"/>
      </rPr>
      <t xml:space="preserve"> </t>
    </r>
    <r>
      <rPr>
        <u/>
        <sz val="14"/>
        <color theme="1"/>
        <rFont val="Times New Roman"/>
        <family val="1"/>
      </rPr>
      <t xml:space="preserve"> Hướng 1 và 3.</t>
    </r>
  </si>
  <si>
    <r>
      <t>1.</t>
    </r>
    <r>
      <rPr>
        <sz val="7"/>
        <color theme="1"/>
        <rFont val="Times New Roman"/>
        <family val="1"/>
      </rPr>
      <t xml:space="preserve">   </t>
    </r>
    <r>
      <rPr>
        <sz val="14"/>
        <color theme="1"/>
        <rFont val="Times New Roman"/>
        <family val="1"/>
      </rPr>
      <t>Xe công an đi làm nhiệm vụ khẩn cấp, xe quân sự đi làm nhiệm vụ khẩn cấp, xe con + xe mô tô.</t>
    </r>
  </si>
  <si>
    <r>
      <t>2.</t>
    </r>
    <r>
      <rPr>
        <sz val="7"/>
        <color theme="1"/>
        <rFont val="Times New Roman"/>
        <family val="1"/>
      </rPr>
      <t xml:space="preserve"> </t>
    </r>
    <r>
      <rPr>
        <u/>
        <sz val="14"/>
        <color theme="1"/>
        <rFont val="Times New Roman"/>
        <family val="1"/>
      </rPr>
      <t xml:space="preserve"> Xe quân sự đi làm nhiệm vụ khẩn cấp, xe công an đi làm nhiệm vụ khẩn cấp,</t>
    </r>
    <r>
      <rPr>
        <sz val="14"/>
        <color theme="1"/>
        <rFont val="Times New Roman"/>
        <family val="1"/>
      </rPr>
      <t xml:space="preserve"> </t>
    </r>
    <r>
      <rPr>
        <u/>
        <sz val="14"/>
        <color theme="1"/>
        <rFont val="Times New Roman"/>
        <family val="1"/>
      </rPr>
      <t>xe con + xe mô tô.</t>
    </r>
  </si>
  <si>
    <r>
      <t>3.</t>
    </r>
    <r>
      <rPr>
        <sz val="7"/>
        <color theme="1"/>
        <rFont val="Times New Roman"/>
        <family val="1"/>
      </rPr>
      <t xml:space="preserve">   </t>
    </r>
    <r>
      <rPr>
        <sz val="14"/>
        <color theme="1"/>
        <rFont val="Times New Roman"/>
        <family val="1"/>
      </rPr>
      <t>Xe mô tô + xe con, xe quân sự đi làm nhiệm vụ khẩn cấp, xe công an đi làm nhiệm vụ khẩn cấp.</t>
    </r>
  </si>
  <si>
    <r>
      <t>1.</t>
    </r>
    <r>
      <rPr>
        <sz val="7"/>
        <color theme="1"/>
        <rFont val="Times New Roman"/>
        <family val="1"/>
      </rPr>
      <t xml:space="preserve"> </t>
    </r>
    <r>
      <rPr>
        <u/>
        <sz val="14"/>
        <color theme="1"/>
        <rFont val="Times New Roman"/>
        <family val="1"/>
      </rPr>
      <t xml:space="preserve"> Xe A.</t>
    </r>
  </si>
  <si>
    <r>
      <t>2.</t>
    </r>
    <r>
      <rPr>
        <sz val="7"/>
        <color theme="1"/>
        <rFont val="Times New Roman"/>
        <family val="1"/>
      </rPr>
      <t xml:space="preserve">   </t>
    </r>
    <r>
      <rPr>
        <sz val="14"/>
        <color theme="1"/>
        <rFont val="Times New Roman"/>
        <family val="1"/>
      </rPr>
      <t>Xe B.</t>
    </r>
  </si>
  <si>
    <r>
      <t>1.</t>
    </r>
    <r>
      <rPr>
        <sz val="7"/>
        <color theme="1"/>
        <rFont val="Times New Roman"/>
        <family val="1"/>
      </rPr>
      <t xml:space="preserve"> </t>
    </r>
    <r>
      <rPr>
        <u/>
        <sz val="14"/>
        <color theme="1"/>
        <rFont val="Times New Roman"/>
        <family val="1"/>
      </rPr>
      <t xml:space="preserve"> Xe con (E), xe mô tô (C).</t>
    </r>
  </si>
  <si>
    <r>
      <t>2.</t>
    </r>
    <r>
      <rPr>
        <sz val="7"/>
        <color theme="1"/>
        <rFont val="Times New Roman"/>
        <family val="1"/>
      </rPr>
      <t xml:space="preserve">   </t>
    </r>
    <r>
      <rPr>
        <sz val="14"/>
        <color theme="1"/>
        <rFont val="Times New Roman"/>
        <family val="1"/>
      </rPr>
      <t>Xe tải (B), xe mô tô (D).</t>
    </r>
  </si>
  <si>
    <r>
      <t>3.</t>
    </r>
    <r>
      <rPr>
        <sz val="7"/>
        <color theme="1"/>
        <rFont val="Times New Roman"/>
        <family val="1"/>
      </rPr>
      <t xml:space="preserve">   </t>
    </r>
    <r>
      <rPr>
        <sz val="14"/>
        <color theme="1"/>
        <rFont val="Times New Roman"/>
        <family val="1"/>
      </rPr>
      <t>Xe khách (A), xe mô tô (C).</t>
    </r>
  </si>
  <si>
    <r>
      <t>4.</t>
    </r>
    <r>
      <rPr>
        <sz val="7"/>
        <color theme="1"/>
        <rFont val="Times New Roman"/>
        <family val="1"/>
      </rPr>
      <t xml:space="preserve">   </t>
    </r>
    <r>
      <rPr>
        <sz val="14"/>
        <color theme="1"/>
        <rFont val="Times New Roman"/>
        <family val="1"/>
      </rPr>
      <t>Xe khách (A), xe mô tô (D).</t>
    </r>
  </si>
  <si>
    <r>
      <t>1.</t>
    </r>
    <r>
      <rPr>
        <sz val="7"/>
        <color theme="1"/>
        <rFont val="Times New Roman"/>
        <family val="1"/>
      </rPr>
      <t xml:space="preserve"> </t>
    </r>
    <r>
      <rPr>
        <u/>
        <sz val="14"/>
        <color theme="1"/>
        <rFont val="Times New Roman"/>
        <family val="1"/>
      </rPr>
      <t xml:space="preserve"> Nhường xe con rẽ trái trước.</t>
    </r>
  </si>
  <si>
    <r>
      <t>2.</t>
    </r>
    <r>
      <rPr>
        <sz val="7"/>
        <color theme="1"/>
        <rFont val="Times New Roman"/>
        <family val="1"/>
      </rPr>
      <t xml:space="preserve">   </t>
    </r>
    <r>
      <rPr>
        <sz val="14"/>
        <color theme="1"/>
        <rFont val="Times New Roman"/>
        <family val="1"/>
      </rPr>
      <t>Đi thẳng không nhường.</t>
    </r>
  </si>
  <si>
    <r>
      <t>1.</t>
    </r>
    <r>
      <rPr>
        <sz val="7"/>
        <color theme="1"/>
        <rFont val="Times New Roman"/>
        <family val="1"/>
      </rPr>
      <t xml:space="preserve">   </t>
    </r>
    <r>
      <rPr>
        <sz val="14"/>
        <color theme="1"/>
        <rFont val="Times New Roman"/>
        <family val="1"/>
      </rPr>
      <t>Chỉ hướng 2.</t>
    </r>
  </si>
  <si>
    <r>
      <t>2.</t>
    </r>
    <r>
      <rPr>
        <sz val="7"/>
        <color theme="1"/>
        <rFont val="Times New Roman"/>
        <family val="1"/>
      </rPr>
      <t xml:space="preserve"> </t>
    </r>
    <r>
      <rPr>
        <u/>
        <sz val="14"/>
        <color theme="1"/>
        <rFont val="Times New Roman"/>
        <family val="1"/>
      </rPr>
      <t xml:space="preserve"> Hướng 1 và 2</t>
    </r>
    <r>
      <rPr>
        <sz val="14"/>
        <color theme="1"/>
        <rFont val="Times New Roman"/>
        <family val="1"/>
      </rPr>
      <t>.</t>
    </r>
  </si>
  <si>
    <r>
      <t>3.</t>
    </r>
    <r>
      <rPr>
        <sz val="7"/>
        <color theme="1"/>
        <rFont val="Times New Roman"/>
        <family val="1"/>
      </rPr>
      <t xml:space="preserve">   </t>
    </r>
    <r>
      <rPr>
        <sz val="14"/>
        <color theme="1"/>
        <rFont val="Times New Roman"/>
        <family val="1"/>
      </rPr>
      <t>Tất cả các hướng trừ hướng 3.</t>
    </r>
  </si>
  <si>
    <r>
      <t>4.</t>
    </r>
    <r>
      <rPr>
        <sz val="7"/>
        <color theme="1"/>
        <rFont val="Times New Roman"/>
        <family val="1"/>
      </rPr>
      <t xml:space="preserve">   </t>
    </r>
    <r>
      <rPr>
        <sz val="14"/>
        <color theme="1"/>
        <rFont val="Times New Roman"/>
        <family val="1"/>
      </rPr>
      <t>Tất cả các hướng trừ hướng 4.</t>
    </r>
  </si>
  <si>
    <r>
      <t>1.</t>
    </r>
    <r>
      <rPr>
        <sz val="7"/>
        <color theme="1"/>
        <rFont val="Times New Roman"/>
        <family val="1"/>
      </rPr>
      <t xml:space="preserve">   </t>
    </r>
    <r>
      <rPr>
        <sz val="14"/>
        <color theme="1"/>
        <rFont val="Times New Roman"/>
        <family val="1"/>
      </rPr>
      <t>Xe con (A).</t>
    </r>
  </si>
  <si>
    <r>
      <t>1.</t>
    </r>
    <r>
      <rPr>
        <sz val="7"/>
        <color theme="1"/>
        <rFont val="Times New Roman"/>
        <family val="1"/>
      </rPr>
      <t xml:space="preserve">   </t>
    </r>
    <r>
      <rPr>
        <sz val="14"/>
        <color theme="1"/>
        <rFont val="Times New Roman"/>
        <family val="1"/>
      </rPr>
      <t>Rẽ trái ngay trước xe buýt.</t>
    </r>
  </si>
  <si>
    <r>
      <t>2.</t>
    </r>
    <r>
      <rPr>
        <sz val="7"/>
        <color theme="1"/>
        <rFont val="Times New Roman"/>
        <family val="1"/>
      </rPr>
      <t xml:space="preserve">   </t>
    </r>
    <r>
      <rPr>
        <sz val="14"/>
        <color theme="1"/>
        <rFont val="Times New Roman"/>
        <family val="1"/>
      </rPr>
      <t>Rẽ trái trước xe tải.</t>
    </r>
  </si>
  <si>
    <r>
      <t>3.</t>
    </r>
    <r>
      <rPr>
        <sz val="7"/>
        <color theme="1"/>
        <rFont val="Times New Roman"/>
        <family val="1"/>
      </rPr>
      <t xml:space="preserve"> </t>
    </r>
    <r>
      <rPr>
        <u/>
        <sz val="14"/>
        <color theme="1"/>
        <rFont val="Times New Roman"/>
        <family val="1"/>
      </rPr>
      <t xml:space="preserve"> Nhường đường cho xe buýt và xe tải.</t>
    </r>
  </si>
  <si>
    <r>
      <t>1.</t>
    </r>
    <r>
      <rPr>
        <sz val="7"/>
        <color theme="1"/>
        <rFont val="Times New Roman"/>
        <family val="1"/>
      </rPr>
      <t xml:space="preserve">   </t>
    </r>
    <r>
      <rPr>
        <sz val="14"/>
        <color theme="1"/>
        <rFont val="Times New Roman"/>
        <family val="1"/>
      </rPr>
      <t>Xe con (B), xe mô tô (C).</t>
    </r>
  </si>
  <si>
    <r>
      <t>2.</t>
    </r>
    <r>
      <rPr>
        <sz val="7"/>
        <color theme="1"/>
        <rFont val="Times New Roman"/>
        <family val="1"/>
      </rPr>
      <t xml:space="preserve">   </t>
    </r>
    <r>
      <rPr>
        <sz val="14"/>
        <color theme="1"/>
        <rFont val="Times New Roman"/>
        <family val="1"/>
      </rPr>
      <t>Xe con (A), xe mô tô (C).</t>
    </r>
  </si>
  <si>
    <r>
      <t>3.</t>
    </r>
    <r>
      <rPr>
        <sz val="7"/>
        <color theme="1"/>
        <rFont val="Times New Roman"/>
        <family val="1"/>
      </rPr>
      <t xml:space="preserve"> </t>
    </r>
    <r>
      <rPr>
        <u/>
        <sz val="14"/>
        <color theme="1"/>
        <rFont val="Times New Roman"/>
        <family val="1"/>
      </rPr>
      <t xml:space="preserve"> Xe con (E), xe mô tô (D).</t>
    </r>
  </si>
  <si>
    <r>
      <t>4.</t>
    </r>
    <r>
      <rPr>
        <sz val="7"/>
        <color theme="1"/>
        <rFont val="Times New Roman"/>
        <family val="1"/>
      </rPr>
      <t xml:space="preserve">   </t>
    </r>
    <r>
      <rPr>
        <sz val="14"/>
        <color theme="1"/>
        <rFont val="Times New Roman"/>
        <family val="1"/>
      </rPr>
      <t>Tất cả các loại xe trên.</t>
    </r>
  </si>
  <si>
    <r>
      <t>1.</t>
    </r>
    <r>
      <rPr>
        <sz val="7"/>
        <color theme="1"/>
        <rFont val="Times New Roman"/>
        <family val="1"/>
      </rPr>
      <t xml:space="preserve">   </t>
    </r>
    <r>
      <rPr>
        <sz val="14"/>
        <color theme="1"/>
        <rFont val="Times New Roman"/>
        <family val="1"/>
      </rPr>
      <t>Xe của bạn.</t>
    </r>
  </si>
  <si>
    <r>
      <t>1.</t>
    </r>
    <r>
      <rPr>
        <sz val="7"/>
        <color theme="1"/>
        <rFont val="Times New Roman"/>
        <family val="1"/>
      </rPr>
      <t xml:space="preserve"> </t>
    </r>
    <r>
      <rPr>
        <u/>
        <sz val="14"/>
        <color theme="1"/>
        <rFont val="Times New Roman"/>
        <family val="1"/>
      </rPr>
      <t xml:space="preserve"> Quay đầu theo hướng A.</t>
    </r>
  </si>
  <si>
    <r>
      <t>2.</t>
    </r>
    <r>
      <rPr>
        <sz val="7"/>
        <color theme="1"/>
        <rFont val="Times New Roman"/>
        <family val="1"/>
      </rPr>
      <t xml:space="preserve">   </t>
    </r>
    <r>
      <rPr>
        <sz val="14"/>
        <color theme="1"/>
        <rFont val="Times New Roman"/>
        <family val="1"/>
      </rPr>
      <t>Quay đầu theo hướng B.</t>
    </r>
  </si>
  <si>
    <r>
      <t>3.</t>
    </r>
    <r>
      <rPr>
        <sz val="7"/>
        <color theme="1"/>
        <rFont val="Times New Roman"/>
        <family val="1"/>
      </rPr>
      <t xml:space="preserve">   </t>
    </r>
    <r>
      <rPr>
        <sz val="14"/>
        <color theme="1"/>
        <rFont val="Times New Roman"/>
        <family val="1"/>
      </rPr>
      <t>Cấm quay đầu.</t>
    </r>
  </si>
  <si>
    <r>
      <t>1.</t>
    </r>
    <r>
      <rPr>
        <sz val="7"/>
        <color theme="1"/>
        <rFont val="Times New Roman"/>
        <family val="1"/>
      </rPr>
      <t xml:space="preserve">   </t>
    </r>
    <r>
      <rPr>
        <sz val="14"/>
        <color theme="1"/>
        <rFont val="Times New Roman"/>
        <family val="1"/>
      </rPr>
      <t>Xe con và xe tải, xe của bạn.</t>
    </r>
  </si>
  <si>
    <r>
      <t>2.</t>
    </r>
    <r>
      <rPr>
        <sz val="7"/>
        <color theme="1"/>
        <rFont val="Times New Roman"/>
        <family val="1"/>
      </rPr>
      <t xml:space="preserve">   </t>
    </r>
    <r>
      <rPr>
        <sz val="14"/>
        <color theme="1"/>
        <rFont val="Times New Roman"/>
        <family val="1"/>
      </rPr>
      <t>Xe của bạn, xe tải, xe con.</t>
    </r>
  </si>
  <si>
    <r>
      <t>3.</t>
    </r>
    <r>
      <rPr>
        <sz val="7"/>
        <color theme="1"/>
        <rFont val="Times New Roman"/>
        <family val="1"/>
      </rPr>
      <t xml:space="preserve"> </t>
    </r>
    <r>
      <rPr>
        <u/>
        <sz val="14"/>
        <color theme="1"/>
        <rFont val="Times New Roman"/>
        <family val="1"/>
      </rPr>
      <t xml:space="preserve"> Xe của bạn và xe con, xe tải.</t>
    </r>
  </si>
  <si>
    <r>
      <t>4.</t>
    </r>
    <r>
      <rPr>
        <sz val="7"/>
        <color theme="1"/>
        <rFont val="Times New Roman"/>
        <family val="1"/>
      </rPr>
      <t xml:space="preserve">   </t>
    </r>
    <r>
      <rPr>
        <sz val="14"/>
        <color theme="1"/>
        <rFont val="Times New Roman"/>
        <family val="1"/>
      </rPr>
      <t>Xe của bạn, xe tải + xe con.</t>
    </r>
  </si>
  <si>
    <r>
      <t>1.</t>
    </r>
    <r>
      <rPr>
        <sz val="7"/>
        <color theme="1"/>
        <rFont val="Times New Roman"/>
        <family val="1"/>
      </rPr>
      <t xml:space="preserve">   </t>
    </r>
    <r>
      <rPr>
        <sz val="14"/>
        <color theme="1"/>
        <rFont val="Times New Roman"/>
        <family val="1"/>
      </rPr>
      <t>Tăng tốc cho xe chạy vượt qua.</t>
    </r>
  </si>
  <si>
    <r>
      <t>2.</t>
    </r>
    <r>
      <rPr>
        <sz val="7"/>
        <color theme="1"/>
        <rFont val="Times New Roman"/>
        <family val="1"/>
      </rPr>
      <t xml:space="preserve"> </t>
    </r>
    <r>
      <rPr>
        <u/>
        <sz val="14"/>
        <color theme="1"/>
        <rFont val="Times New Roman"/>
        <family val="1"/>
      </rPr>
      <t xml:space="preserve"> Bật tín hiệu báo hiệu bằng đèn hoặc còi, khi đủ điều kiện an toàn, tăng tốc cho</t>
    </r>
    <r>
      <rPr>
        <sz val="14"/>
        <color theme="1"/>
        <rFont val="Times New Roman"/>
        <family val="1"/>
      </rPr>
      <t xml:space="preserve"> </t>
    </r>
    <r>
      <rPr>
        <u/>
        <sz val="14"/>
        <color theme="1"/>
        <rFont val="Times New Roman"/>
        <family val="1"/>
      </rPr>
      <t>xe chạy vượt qua.</t>
    </r>
  </si>
  <si>
    <r>
      <t>3.</t>
    </r>
    <r>
      <rPr>
        <sz val="7"/>
        <color theme="1"/>
        <rFont val="Times New Roman"/>
        <family val="1"/>
      </rPr>
      <t xml:space="preserve">   </t>
    </r>
    <r>
      <rPr>
        <sz val="14"/>
        <color theme="1"/>
        <rFont val="Times New Roman"/>
        <family val="1"/>
      </rPr>
      <t>Đánh lái sang làn bên trái và tăng tốc cho xe chạy vượt qua.</t>
    </r>
  </si>
  <si>
    <r>
      <t>3.</t>
    </r>
    <r>
      <rPr>
        <sz val="7"/>
        <color theme="1"/>
        <rFont val="Times New Roman"/>
        <family val="1"/>
      </rPr>
      <t xml:space="preserve"> </t>
    </r>
    <r>
      <rPr>
        <u/>
        <sz val="14"/>
        <color theme="1"/>
        <rFont val="Times New Roman"/>
        <family val="1"/>
      </rPr>
      <t xml:space="preserve"> Xe con, xe tải.</t>
    </r>
  </si>
  <si>
    <r>
      <t>1.</t>
    </r>
    <r>
      <rPr>
        <sz val="7"/>
        <color theme="1"/>
        <rFont val="Times New Roman"/>
        <family val="1"/>
      </rPr>
      <t xml:space="preserve">   </t>
    </r>
    <r>
      <rPr>
        <sz val="14"/>
        <color theme="1"/>
        <rFont val="Times New Roman"/>
        <family val="1"/>
      </rPr>
      <t>Xe tải ( D), xe con (B).</t>
    </r>
  </si>
  <si>
    <r>
      <t>2.</t>
    </r>
    <r>
      <rPr>
        <sz val="7"/>
        <color theme="1"/>
        <rFont val="Times New Roman"/>
        <family val="1"/>
      </rPr>
      <t xml:space="preserve"> </t>
    </r>
    <r>
      <rPr>
        <u/>
        <sz val="14"/>
        <color theme="1"/>
        <rFont val="Times New Roman"/>
        <family val="1"/>
      </rPr>
      <t xml:space="preserve"> Xe con (A), xe con (C), xe con (E), xe buýt (G).</t>
    </r>
  </si>
  <si>
    <r>
      <t>3.</t>
    </r>
    <r>
      <rPr>
        <sz val="7"/>
        <color theme="1"/>
        <rFont val="Times New Roman"/>
        <family val="1"/>
      </rPr>
      <t xml:space="preserve">   </t>
    </r>
    <r>
      <rPr>
        <sz val="14"/>
        <color theme="1"/>
        <rFont val="Times New Roman"/>
        <family val="1"/>
      </rPr>
      <t>Xe con (A), xe con (B), xe tải (D).</t>
    </r>
  </si>
  <si>
    <r>
      <t>1.</t>
    </r>
    <r>
      <rPr>
        <sz val="7"/>
        <color theme="1"/>
        <rFont val="Times New Roman"/>
        <family val="1"/>
      </rPr>
      <t xml:space="preserve">   </t>
    </r>
    <r>
      <rPr>
        <sz val="14"/>
        <color theme="1"/>
        <rFont val="Times New Roman"/>
        <family val="1"/>
      </rPr>
      <t>Được vượt.</t>
    </r>
  </si>
  <si>
    <r>
      <t>2.</t>
    </r>
    <r>
      <rPr>
        <sz val="7"/>
        <color theme="1"/>
        <rFont val="Times New Roman"/>
        <family val="1"/>
      </rPr>
      <t xml:space="preserve"> </t>
    </r>
    <r>
      <rPr>
        <u/>
        <sz val="14"/>
        <color theme="1"/>
        <rFont val="Times New Roman"/>
        <family val="1"/>
      </rPr>
      <t xml:space="preserve"> Cấm vượt.</t>
    </r>
  </si>
  <si>
    <r>
      <t>1.</t>
    </r>
    <r>
      <rPr>
        <sz val="7"/>
        <color theme="1"/>
        <rFont val="Times New Roman"/>
        <family val="1"/>
      </rPr>
      <t xml:space="preserve">   </t>
    </r>
    <r>
      <rPr>
        <sz val="14"/>
        <color theme="1"/>
        <rFont val="Times New Roman"/>
        <family val="1"/>
      </rPr>
      <t>Cho phép.</t>
    </r>
  </si>
  <si>
    <r>
      <t>2.</t>
    </r>
    <r>
      <rPr>
        <sz val="7"/>
        <color theme="1"/>
        <rFont val="Times New Roman"/>
        <family val="1"/>
      </rPr>
      <t xml:space="preserve"> </t>
    </r>
    <r>
      <rPr>
        <u/>
        <sz val="14"/>
        <color theme="1"/>
        <rFont val="Times New Roman"/>
        <family val="1"/>
      </rPr>
      <t xml:space="preserve"> Không được vượt.</t>
    </r>
  </si>
  <si>
    <r>
      <t>1.</t>
    </r>
    <r>
      <rPr>
        <sz val="7"/>
        <color theme="1"/>
        <rFont val="Times New Roman"/>
        <family val="1"/>
      </rPr>
      <t xml:space="preserve">   </t>
    </r>
    <r>
      <rPr>
        <sz val="14"/>
        <color theme="1"/>
        <rFont val="Times New Roman"/>
        <family val="1"/>
      </rPr>
      <t>Vị trí A và B.</t>
    </r>
  </si>
  <si>
    <r>
      <t>2.</t>
    </r>
    <r>
      <rPr>
        <sz val="7"/>
        <color theme="1"/>
        <rFont val="Times New Roman"/>
        <family val="1"/>
      </rPr>
      <t xml:space="preserve">   </t>
    </r>
    <r>
      <rPr>
        <sz val="14"/>
        <color theme="1"/>
        <rFont val="Times New Roman"/>
        <family val="1"/>
      </rPr>
      <t>Vị trí A và C.</t>
    </r>
  </si>
  <si>
    <r>
      <t>3.</t>
    </r>
    <r>
      <rPr>
        <sz val="7"/>
        <color theme="1"/>
        <rFont val="Times New Roman"/>
        <family val="1"/>
      </rPr>
      <t xml:space="preserve"> </t>
    </r>
    <r>
      <rPr>
        <u/>
        <sz val="14"/>
        <color theme="1"/>
        <rFont val="Times New Roman"/>
        <family val="1"/>
      </rPr>
      <t xml:space="preserve"> Vị trí B và C.</t>
    </r>
  </si>
  <si>
    <r>
      <t>4.</t>
    </r>
    <r>
      <rPr>
        <sz val="7"/>
        <color theme="1"/>
        <rFont val="Times New Roman"/>
        <family val="1"/>
      </rPr>
      <t xml:space="preserve">   </t>
    </r>
    <r>
      <rPr>
        <sz val="14"/>
        <color theme="1"/>
        <rFont val="Times New Roman"/>
        <family val="1"/>
      </rPr>
      <t>Cả ba vị trí A, B, C.</t>
    </r>
  </si>
  <si>
    <r>
      <t>1.</t>
    </r>
    <r>
      <rPr>
        <sz val="7"/>
        <color theme="1"/>
        <rFont val="Times New Roman"/>
        <family val="1"/>
      </rPr>
      <t xml:space="preserve">   </t>
    </r>
    <r>
      <rPr>
        <sz val="14"/>
        <color theme="1"/>
        <rFont val="Times New Roman"/>
        <family val="1"/>
      </rPr>
      <t>Được phép dừng ở vị trí A.</t>
    </r>
  </si>
  <si>
    <r>
      <t>2.</t>
    </r>
    <r>
      <rPr>
        <sz val="7"/>
        <color theme="1"/>
        <rFont val="Times New Roman"/>
        <family val="1"/>
      </rPr>
      <t xml:space="preserve">   </t>
    </r>
    <r>
      <rPr>
        <sz val="14"/>
        <color theme="1"/>
        <rFont val="Times New Roman"/>
        <family val="1"/>
      </rPr>
      <t>Được phép dừng ở vị trí B.</t>
    </r>
  </si>
  <si>
    <r>
      <t>3.</t>
    </r>
    <r>
      <rPr>
        <sz val="7"/>
        <color theme="1"/>
        <rFont val="Times New Roman"/>
        <family val="1"/>
      </rPr>
      <t xml:space="preserve">   </t>
    </r>
    <r>
      <rPr>
        <sz val="14"/>
        <color theme="1"/>
        <rFont val="Times New Roman"/>
        <family val="1"/>
      </rPr>
      <t>Được phép dừng ở vị trí A và B.</t>
    </r>
  </si>
  <si>
    <r>
      <t>4.</t>
    </r>
    <r>
      <rPr>
        <sz val="7"/>
        <color theme="1"/>
        <rFont val="Times New Roman"/>
        <family val="1"/>
      </rPr>
      <t xml:space="preserve"> </t>
    </r>
    <r>
      <rPr>
        <u/>
        <sz val="14"/>
        <color theme="1"/>
        <rFont val="Times New Roman"/>
        <family val="1"/>
      </rPr>
      <t xml:space="preserve"> Không được dừng</t>
    </r>
    <r>
      <rPr>
        <sz val="14"/>
        <color theme="1"/>
        <rFont val="Times New Roman"/>
        <family val="1"/>
      </rPr>
      <t>.</t>
    </r>
  </si>
  <si>
    <r>
      <t>2.</t>
    </r>
    <r>
      <rPr>
        <sz val="7"/>
        <color theme="1"/>
        <rFont val="Times New Roman"/>
        <family val="1"/>
      </rPr>
      <t xml:space="preserve">   </t>
    </r>
    <r>
      <rPr>
        <sz val="14"/>
        <color theme="1"/>
        <rFont val="Times New Roman"/>
        <family val="1"/>
      </rPr>
      <t>Xe ô tô con.</t>
    </r>
  </si>
  <si>
    <r>
      <t>3.</t>
    </r>
    <r>
      <rPr>
        <sz val="7"/>
        <color theme="1"/>
        <rFont val="Times New Roman"/>
        <family val="1"/>
      </rPr>
      <t xml:space="preserve">   </t>
    </r>
    <r>
      <rPr>
        <sz val="14"/>
        <color theme="1"/>
        <rFont val="Times New Roman"/>
        <family val="1"/>
      </rPr>
      <t>Không xe nào vi phạm.</t>
    </r>
  </si>
  <si>
    <r>
      <t>4.</t>
    </r>
    <r>
      <rPr>
        <sz val="7"/>
        <color theme="1"/>
        <rFont val="Times New Roman"/>
        <family val="1"/>
      </rPr>
      <t xml:space="preserve"> </t>
    </r>
    <r>
      <rPr>
        <u/>
        <sz val="14"/>
        <color theme="1"/>
        <rFont val="Times New Roman"/>
        <family val="1"/>
      </rPr>
      <t xml:space="preserve"> Cả hai xe.</t>
    </r>
  </si>
  <si>
    <r>
      <t>3.</t>
    </r>
    <r>
      <rPr>
        <sz val="7"/>
        <color theme="1"/>
        <rFont val="Times New Roman"/>
        <family val="1"/>
      </rPr>
      <t xml:space="preserve">   </t>
    </r>
    <r>
      <rPr>
        <sz val="14"/>
        <color theme="1"/>
        <rFont val="Times New Roman"/>
        <family val="1"/>
      </rPr>
      <t>Xe con, xe tải.</t>
    </r>
  </si>
  <si>
    <r>
      <t>1.</t>
    </r>
    <r>
      <rPr>
        <sz val="7"/>
        <color theme="1"/>
        <rFont val="Times New Roman"/>
        <family val="1"/>
      </rPr>
      <t xml:space="preserve">   </t>
    </r>
    <r>
      <rPr>
        <sz val="14"/>
        <color theme="1"/>
        <rFont val="Times New Roman"/>
        <family val="1"/>
      </rPr>
      <t>Xe tải, xe con.</t>
    </r>
  </si>
  <si>
    <r>
      <t>2.</t>
    </r>
    <r>
      <rPr>
        <sz val="7"/>
        <color theme="1"/>
        <rFont val="Times New Roman"/>
        <family val="1"/>
      </rPr>
      <t xml:space="preserve">   </t>
    </r>
    <r>
      <rPr>
        <sz val="14"/>
        <color theme="1"/>
        <rFont val="Times New Roman"/>
        <family val="1"/>
      </rPr>
      <t>Xe khách, xe con.</t>
    </r>
  </si>
  <si>
    <r>
      <t>3.</t>
    </r>
    <r>
      <rPr>
        <sz val="7"/>
        <color theme="1"/>
        <rFont val="Times New Roman"/>
        <family val="1"/>
      </rPr>
      <t xml:space="preserve"> </t>
    </r>
    <r>
      <rPr>
        <u/>
        <sz val="14"/>
        <color theme="1"/>
        <rFont val="Times New Roman"/>
        <family val="1"/>
      </rPr>
      <t xml:space="preserve"> Xe khách, xe tải.</t>
    </r>
  </si>
  <si>
    <r>
      <t>1.</t>
    </r>
    <r>
      <rPr>
        <sz val="7"/>
        <color theme="1"/>
        <rFont val="Times New Roman"/>
        <family val="1"/>
      </rPr>
      <t xml:space="preserve">   </t>
    </r>
    <r>
      <rPr>
        <sz val="14"/>
        <color theme="1"/>
        <rFont val="Times New Roman"/>
        <family val="1"/>
      </rPr>
      <t>Xe con, xe tải, xe khách.</t>
    </r>
  </si>
  <si>
    <r>
      <t>2.</t>
    </r>
    <r>
      <rPr>
        <sz val="7"/>
        <color theme="1"/>
        <rFont val="Times New Roman"/>
        <family val="1"/>
      </rPr>
      <t xml:space="preserve"> </t>
    </r>
    <r>
      <rPr>
        <u/>
        <sz val="14"/>
        <color theme="1"/>
        <rFont val="Times New Roman"/>
        <family val="1"/>
      </rPr>
      <t xml:space="preserve"> Xe tải, xe khách, xe mô tô.</t>
    </r>
  </si>
  <si>
    <r>
      <t>3.</t>
    </r>
    <r>
      <rPr>
        <sz val="7"/>
        <color theme="1"/>
        <rFont val="Times New Roman"/>
        <family val="1"/>
      </rPr>
      <t xml:space="preserve">   </t>
    </r>
    <r>
      <rPr>
        <sz val="14"/>
        <color theme="1"/>
        <rFont val="Times New Roman"/>
        <family val="1"/>
      </rPr>
      <t>Xe khách, xe mô tô, xe con.</t>
    </r>
  </si>
  <si>
    <r>
      <t>4.</t>
    </r>
    <r>
      <rPr>
        <sz val="7"/>
        <color theme="1"/>
        <rFont val="Times New Roman"/>
        <family val="1"/>
      </rPr>
      <t xml:space="preserve">   </t>
    </r>
    <r>
      <rPr>
        <sz val="14"/>
        <color theme="1"/>
        <rFont val="Times New Roman"/>
        <family val="1"/>
      </rPr>
      <t>Cả bốn xe.</t>
    </r>
  </si>
  <si>
    <r>
      <t>1.</t>
    </r>
    <r>
      <rPr>
        <sz val="7"/>
        <color theme="1"/>
        <rFont val="Times New Roman"/>
        <family val="1"/>
      </rPr>
      <t xml:space="preserve"> </t>
    </r>
    <r>
      <rPr>
        <u/>
        <sz val="14"/>
        <color theme="1"/>
        <rFont val="Times New Roman"/>
        <family val="1"/>
      </rPr>
      <t xml:space="preserve"> Xe khách, xe tải.</t>
    </r>
  </si>
  <si>
    <r>
      <t>4.</t>
    </r>
    <r>
      <rPr>
        <sz val="7"/>
        <color theme="1"/>
        <rFont val="Times New Roman"/>
        <family val="1"/>
      </rPr>
      <t xml:space="preserve">   </t>
    </r>
    <r>
      <rPr>
        <sz val="14"/>
        <color theme="1"/>
        <rFont val="Times New Roman"/>
        <family val="1"/>
      </rPr>
      <t>Xe khách, xe tải, xe con.</t>
    </r>
  </si>
  <si>
    <r>
      <t>1.</t>
    </r>
    <r>
      <rPr>
        <sz val="7"/>
        <color theme="1"/>
        <rFont val="Times New Roman"/>
        <family val="1"/>
      </rPr>
      <t xml:space="preserve">   </t>
    </r>
    <r>
      <rPr>
        <sz val="14"/>
        <color theme="1"/>
        <rFont val="Times New Roman"/>
        <family val="1"/>
      </rPr>
      <t>Đánh lái sang trái cho xe vượt qua.</t>
    </r>
  </si>
  <si>
    <r>
      <t>2.</t>
    </r>
    <r>
      <rPr>
        <sz val="7"/>
        <color theme="1"/>
        <rFont val="Times New Roman"/>
        <family val="1"/>
      </rPr>
      <t xml:space="preserve"> </t>
    </r>
    <r>
      <rPr>
        <u/>
        <sz val="14"/>
        <color theme="1"/>
        <rFont val="Times New Roman"/>
        <family val="1"/>
      </rPr>
      <t xml:space="preserve"> Quan sát phía trước, phía sau, khi đủ điều kiện an toàn, bật tín hiệu bằng đèn</t>
    </r>
    <r>
      <rPr>
        <sz val="14"/>
        <color theme="1"/>
        <rFont val="Times New Roman"/>
        <family val="1"/>
      </rPr>
      <t xml:space="preserve"> </t>
    </r>
    <r>
      <rPr>
        <u/>
        <sz val="14"/>
        <color theme="1"/>
        <rFont val="Times New Roman"/>
        <family val="1"/>
      </rPr>
      <t>hoặc còi rồi cho xe chạy vượt qua.</t>
    </r>
  </si>
  <si>
    <r>
      <t>3.</t>
    </r>
    <r>
      <rPr>
        <sz val="7"/>
        <color theme="1"/>
        <rFont val="Times New Roman"/>
        <family val="1"/>
      </rPr>
      <t xml:space="preserve">   </t>
    </r>
    <r>
      <rPr>
        <sz val="14"/>
        <color theme="1"/>
        <rFont val="Times New Roman"/>
        <family val="1"/>
      </rPr>
      <t>Cấm vượt.</t>
    </r>
  </si>
  <si>
    <r>
      <t>1.</t>
    </r>
    <r>
      <rPr>
        <sz val="7"/>
        <color theme="1"/>
        <rFont val="Times New Roman"/>
        <family val="1"/>
      </rPr>
      <t xml:space="preserve">   </t>
    </r>
    <r>
      <rPr>
        <sz val="14"/>
        <color theme="1"/>
        <rFont val="Times New Roman"/>
        <family val="1"/>
      </rPr>
      <t>Xe tải, xe mô tô.</t>
    </r>
  </si>
  <si>
    <r>
      <t>2.</t>
    </r>
    <r>
      <rPr>
        <sz val="7"/>
        <color theme="1"/>
        <rFont val="Times New Roman"/>
        <family val="1"/>
      </rPr>
      <t xml:space="preserve"> </t>
    </r>
    <r>
      <rPr>
        <u/>
        <sz val="14"/>
        <color theme="1"/>
        <rFont val="Times New Roman"/>
        <family val="1"/>
      </rPr>
      <t xml:space="preserve"> Xe khách, xe mô tô.</t>
    </r>
  </si>
  <si>
    <r>
      <t>3.</t>
    </r>
    <r>
      <rPr>
        <sz val="7"/>
        <color theme="1"/>
        <rFont val="Times New Roman"/>
        <family val="1"/>
      </rPr>
      <t xml:space="preserve">   </t>
    </r>
    <r>
      <rPr>
        <sz val="14"/>
        <color theme="1"/>
        <rFont val="Times New Roman"/>
        <family val="1"/>
      </rPr>
      <t>Xe tải, xe con.</t>
    </r>
  </si>
  <si>
    <r>
      <t>4.</t>
    </r>
    <r>
      <rPr>
        <sz val="7"/>
        <color theme="1"/>
        <rFont val="Times New Roman"/>
        <family val="1"/>
      </rPr>
      <t xml:space="preserve">   </t>
    </r>
    <r>
      <rPr>
        <sz val="14"/>
        <color theme="1"/>
        <rFont val="Times New Roman"/>
        <family val="1"/>
      </rPr>
      <t>Xe mô tô, xe con.</t>
    </r>
  </si>
  <si>
    <r>
      <t>1.</t>
    </r>
    <r>
      <rPr>
        <sz val="7"/>
        <color theme="1"/>
        <rFont val="Times New Roman"/>
        <family val="1"/>
      </rPr>
      <t xml:space="preserve">   </t>
    </r>
    <r>
      <rPr>
        <sz val="14"/>
        <color theme="1"/>
        <rFont val="Times New Roman"/>
        <family val="1"/>
      </rPr>
      <t>Xe con (A), xe con (B), xe tải (D).</t>
    </r>
  </si>
  <si>
    <r>
      <t>2.</t>
    </r>
    <r>
      <rPr>
        <sz val="7"/>
        <color theme="1"/>
        <rFont val="Times New Roman"/>
        <family val="1"/>
      </rPr>
      <t xml:space="preserve">   </t>
    </r>
    <r>
      <rPr>
        <sz val="14"/>
        <color theme="1"/>
        <rFont val="Times New Roman"/>
        <family val="1"/>
      </rPr>
      <t>Xe tải (D), xe con (E), xe buýt (G).</t>
    </r>
  </si>
  <si>
    <r>
      <t>3.</t>
    </r>
    <r>
      <rPr>
        <sz val="7"/>
        <color theme="1"/>
        <rFont val="Times New Roman"/>
        <family val="1"/>
      </rPr>
      <t xml:space="preserve"> </t>
    </r>
    <r>
      <rPr>
        <u/>
        <sz val="14"/>
        <color theme="1"/>
        <rFont val="Times New Roman"/>
        <family val="1"/>
      </rPr>
      <t xml:space="preserve"> Xe tải ( D), xe con (B).</t>
    </r>
  </si>
  <si>
    <r>
      <t>4.</t>
    </r>
    <r>
      <rPr>
        <sz val="7"/>
        <color theme="1"/>
        <rFont val="Times New Roman"/>
        <family val="1"/>
      </rPr>
      <t xml:space="preserve">   </t>
    </r>
    <r>
      <rPr>
        <sz val="14"/>
        <color theme="1"/>
        <rFont val="Times New Roman"/>
        <family val="1"/>
      </rPr>
      <t>Xe con (B), xe con (C).</t>
    </r>
  </si>
  <si>
    <r>
      <t>1.</t>
    </r>
    <r>
      <rPr>
        <sz val="7"/>
        <color theme="1"/>
        <rFont val="Times New Roman"/>
        <family val="1"/>
      </rPr>
      <t xml:space="preserve">   </t>
    </r>
    <r>
      <rPr>
        <sz val="14"/>
        <color theme="1"/>
        <rFont val="Times New Roman"/>
        <family val="1"/>
      </rPr>
      <t>Xe của bạn, xe mô tô, xe con.</t>
    </r>
  </si>
  <si>
    <r>
      <t>2.</t>
    </r>
    <r>
      <rPr>
        <sz val="7"/>
        <color theme="1"/>
        <rFont val="Times New Roman"/>
        <family val="1"/>
      </rPr>
      <t xml:space="preserve">   </t>
    </r>
    <r>
      <rPr>
        <sz val="14"/>
        <color theme="1"/>
        <rFont val="Times New Roman"/>
        <family val="1"/>
      </rPr>
      <t>Xe con, xe của bạn, xe mô tô.</t>
    </r>
  </si>
  <si>
    <r>
      <t>3.</t>
    </r>
    <r>
      <rPr>
        <sz val="7"/>
        <color theme="1"/>
        <rFont val="Times New Roman"/>
        <family val="1"/>
      </rPr>
      <t xml:space="preserve"> </t>
    </r>
    <r>
      <rPr>
        <u/>
        <sz val="14"/>
        <color theme="1"/>
        <rFont val="Times New Roman"/>
        <family val="1"/>
      </rPr>
      <t xml:space="preserve"> Xe mô tô, xe con, xe của bạn.</t>
    </r>
  </si>
  <si>
    <r>
      <t>2.</t>
    </r>
    <r>
      <rPr>
        <sz val="7"/>
        <color theme="1"/>
        <rFont val="Times New Roman"/>
        <family val="1"/>
      </rPr>
      <t xml:space="preserve"> </t>
    </r>
    <r>
      <rPr>
        <u/>
        <sz val="14"/>
        <color theme="1"/>
        <rFont val="Times New Roman"/>
        <family val="1"/>
      </rPr>
      <t xml:space="preserve"> Xe con, xe của bạn, xe mô tô.</t>
    </r>
  </si>
  <si>
    <r>
      <t>3.</t>
    </r>
    <r>
      <rPr>
        <sz val="7"/>
        <color theme="1"/>
        <rFont val="Times New Roman"/>
        <family val="1"/>
      </rPr>
      <t xml:space="preserve">   </t>
    </r>
    <r>
      <rPr>
        <sz val="14"/>
        <color theme="1"/>
        <rFont val="Times New Roman"/>
        <family val="1"/>
      </rPr>
      <t>Xe mô tô, xe con, xe của bạn.</t>
    </r>
  </si>
  <si>
    <r>
      <t>2.</t>
    </r>
    <r>
      <rPr>
        <sz val="7"/>
        <color theme="1"/>
        <rFont val="Times New Roman"/>
        <family val="1"/>
      </rPr>
      <t xml:space="preserve">   </t>
    </r>
    <r>
      <rPr>
        <sz val="14"/>
        <color theme="1"/>
        <rFont val="Times New Roman"/>
        <family val="1"/>
      </rPr>
      <t>Xe của bạn.</t>
    </r>
  </si>
  <si>
    <r>
      <t>1.</t>
    </r>
    <r>
      <rPr>
        <sz val="7"/>
        <color theme="1"/>
        <rFont val="Times New Roman"/>
        <family val="1"/>
      </rPr>
      <t xml:space="preserve"> </t>
    </r>
    <r>
      <rPr>
        <u/>
        <sz val="14"/>
        <color theme="1"/>
        <rFont val="Times New Roman"/>
        <family val="1"/>
      </rPr>
      <t xml:space="preserve"> Đi thẳng, rẽ trái.</t>
    </r>
  </si>
  <si>
    <r>
      <t>2.</t>
    </r>
    <r>
      <rPr>
        <sz val="7"/>
        <color theme="1"/>
        <rFont val="Times New Roman"/>
        <family val="1"/>
      </rPr>
      <t xml:space="preserve">   </t>
    </r>
    <r>
      <rPr>
        <sz val="14"/>
        <color theme="1"/>
        <rFont val="Times New Roman"/>
        <family val="1"/>
      </rPr>
      <t>Đi thẳng, rẽ phải.</t>
    </r>
  </si>
  <si>
    <r>
      <t>3.</t>
    </r>
    <r>
      <rPr>
        <sz val="7"/>
        <color theme="1"/>
        <rFont val="Times New Roman"/>
        <family val="1"/>
      </rPr>
      <t xml:space="preserve">   </t>
    </r>
    <r>
      <rPr>
        <sz val="14"/>
        <color theme="1"/>
        <rFont val="Times New Roman"/>
        <family val="1"/>
      </rPr>
      <t>Rẽ trái.</t>
    </r>
  </si>
  <si>
    <r>
      <t>4.</t>
    </r>
    <r>
      <rPr>
        <sz val="7"/>
        <color theme="1"/>
        <rFont val="Times New Roman"/>
        <family val="1"/>
      </rPr>
      <t xml:space="preserve">   </t>
    </r>
    <r>
      <rPr>
        <sz val="14"/>
        <color theme="1"/>
        <rFont val="Times New Roman"/>
        <family val="1"/>
      </rPr>
      <t>Đi thẳng, rẽ phải, rẽ trái.</t>
    </r>
  </si>
  <si>
    <r>
      <t>1.</t>
    </r>
    <r>
      <rPr>
        <sz val="7"/>
        <color theme="1"/>
        <rFont val="Times New Roman"/>
        <family val="1"/>
      </rPr>
      <t xml:space="preserve">   </t>
    </r>
    <r>
      <rPr>
        <sz val="14"/>
        <color theme="1"/>
        <rFont val="Times New Roman"/>
        <family val="1"/>
      </rPr>
      <t>Chuyển sang làn đường bên phải và rẽ phải.</t>
    </r>
  </si>
  <si>
    <r>
      <t>2.</t>
    </r>
    <r>
      <rPr>
        <sz val="7"/>
        <color theme="1"/>
        <rFont val="Times New Roman"/>
        <family val="1"/>
      </rPr>
      <t xml:space="preserve">   </t>
    </r>
    <r>
      <rPr>
        <sz val="14"/>
        <color theme="1"/>
        <rFont val="Times New Roman"/>
        <family val="1"/>
      </rPr>
      <t>Dừng lại trước vạch dừng và rẽ phải khi đèn xanh.</t>
    </r>
  </si>
  <si>
    <r>
      <t>3.</t>
    </r>
    <r>
      <rPr>
        <sz val="7"/>
        <color theme="1"/>
        <rFont val="Times New Roman"/>
        <family val="1"/>
      </rPr>
      <t xml:space="preserve"> </t>
    </r>
    <r>
      <rPr>
        <u/>
        <sz val="14"/>
        <color theme="1"/>
        <rFont val="Times New Roman"/>
        <family val="1"/>
      </rPr>
      <t xml:space="preserve"> Dừng lại trước vạch dừng và đi thẳng hoặc rẽ trái khi đèn xanh.</t>
    </r>
  </si>
  <si>
    <r>
      <t>1.</t>
    </r>
    <r>
      <rPr>
        <sz val="7"/>
        <color theme="1"/>
        <rFont val="Times New Roman"/>
        <family val="1"/>
      </rPr>
      <t xml:space="preserve">   </t>
    </r>
    <r>
      <rPr>
        <sz val="14"/>
        <color theme="1"/>
        <rFont val="Times New Roman"/>
        <family val="1"/>
      </rPr>
      <t>Tăng tốc độ, rẽ phải trước xe tải và xe đạp.</t>
    </r>
  </si>
  <si>
    <r>
      <t>2.</t>
    </r>
    <r>
      <rPr>
        <sz val="7"/>
        <color theme="1"/>
        <rFont val="Times New Roman"/>
        <family val="1"/>
      </rPr>
      <t xml:space="preserve"> </t>
    </r>
    <r>
      <rPr>
        <u/>
        <sz val="14"/>
        <color theme="1"/>
        <rFont val="Times New Roman"/>
        <family val="1"/>
      </rPr>
      <t xml:space="preserve"> Giảm tốc độ, rẽ phải sau xe tải và xe đạp.</t>
    </r>
  </si>
  <si>
    <r>
      <t>3.</t>
    </r>
    <r>
      <rPr>
        <sz val="7"/>
        <color theme="1"/>
        <rFont val="Times New Roman"/>
        <family val="1"/>
      </rPr>
      <t xml:space="preserve">   </t>
    </r>
    <r>
      <rPr>
        <sz val="14"/>
        <color theme="1"/>
        <rFont val="Times New Roman"/>
        <family val="1"/>
      </rPr>
      <t>Tăng tốc độ, rẽ phải trước xe đạp.</t>
    </r>
  </si>
  <si>
    <r>
      <t>1.</t>
    </r>
    <r>
      <rPr>
        <sz val="7"/>
        <color theme="1"/>
        <rFont val="Times New Roman"/>
        <family val="1"/>
      </rPr>
      <t xml:space="preserve">   </t>
    </r>
    <r>
      <rPr>
        <sz val="14"/>
        <color theme="1"/>
        <rFont val="Times New Roman"/>
        <family val="1"/>
      </rPr>
      <t>Tăng tốc độ, rẽ phải trước xe con màu xanh phía trước và người đi bộ.</t>
    </r>
  </si>
  <si>
    <r>
      <t>2.</t>
    </r>
    <r>
      <rPr>
        <sz val="7"/>
        <color theme="1"/>
        <rFont val="Times New Roman"/>
        <family val="1"/>
      </rPr>
      <t xml:space="preserve">   </t>
    </r>
    <r>
      <rPr>
        <sz val="14"/>
        <color theme="1"/>
        <rFont val="Times New Roman"/>
        <family val="1"/>
      </rPr>
      <t>Giảm tốc độ, để người đi bộ qua đường và rẽ phải trước xe con màu xanh.</t>
    </r>
  </si>
  <si>
    <r>
      <t>3.</t>
    </r>
    <r>
      <rPr>
        <sz val="7"/>
        <color theme="1"/>
        <rFont val="Times New Roman"/>
        <family val="1"/>
      </rPr>
      <t xml:space="preserve"> </t>
    </r>
    <r>
      <rPr>
        <u/>
        <sz val="14"/>
        <color theme="1"/>
        <rFont val="Times New Roman"/>
        <family val="1"/>
      </rPr>
      <t xml:space="preserve"> Giảm tốc độ, để người đi bộ qua đường và rẽ phải sau xe con màu xanh.</t>
    </r>
  </si>
  <si>
    <r>
      <t>1.</t>
    </r>
    <r>
      <rPr>
        <sz val="7"/>
        <color theme="1"/>
        <rFont val="Times New Roman"/>
        <family val="1"/>
      </rPr>
      <t xml:space="preserve">   </t>
    </r>
    <r>
      <rPr>
        <sz val="14"/>
        <color theme="1"/>
        <rFont val="Times New Roman"/>
        <family val="1"/>
      </rPr>
      <t>Nhường đường cho xe khách và đi trước xe đạp.</t>
    </r>
  </si>
  <si>
    <r>
      <t>2.</t>
    </r>
    <r>
      <rPr>
        <sz val="7"/>
        <color theme="1"/>
        <rFont val="Times New Roman"/>
        <family val="1"/>
      </rPr>
      <t xml:space="preserve">   </t>
    </r>
    <r>
      <rPr>
        <sz val="14"/>
        <color theme="1"/>
        <rFont val="Times New Roman"/>
        <family val="1"/>
      </rPr>
      <t>Nhường đường cho xe đạp và đi trước xe khách.</t>
    </r>
  </si>
  <si>
    <r>
      <t>3.</t>
    </r>
    <r>
      <rPr>
        <sz val="7"/>
        <color theme="1"/>
        <rFont val="Times New Roman"/>
        <family val="1"/>
      </rPr>
      <t xml:space="preserve"> </t>
    </r>
    <r>
      <rPr>
        <u/>
        <sz val="14"/>
        <color theme="1"/>
        <rFont val="Times New Roman"/>
        <family val="1"/>
      </rPr>
      <t xml:space="preserve"> Nhường đường cho xe đạp và xe khách.</t>
    </r>
  </si>
  <si>
    <r>
      <t>3.</t>
    </r>
    <r>
      <rPr>
        <sz val="7"/>
        <color theme="1"/>
        <rFont val="Times New Roman"/>
        <family val="1"/>
      </rPr>
      <t xml:space="preserve">   </t>
    </r>
    <r>
      <rPr>
        <sz val="14"/>
        <color theme="1"/>
        <rFont val="Times New Roman"/>
        <family val="1"/>
      </rPr>
      <t>Xe của bạn.</t>
    </r>
  </si>
  <si>
    <r>
      <t>1.</t>
    </r>
    <r>
      <rPr>
        <sz val="7"/>
        <color theme="1"/>
        <rFont val="Times New Roman"/>
        <family val="1"/>
      </rPr>
      <t xml:space="preserve">   </t>
    </r>
    <r>
      <rPr>
        <sz val="14"/>
        <color theme="1"/>
        <rFont val="Times New Roman"/>
        <family val="1"/>
      </rPr>
      <t>Xe đi ngược chiều.</t>
    </r>
  </si>
  <si>
    <r>
      <t>2.</t>
    </r>
    <r>
      <rPr>
        <sz val="7"/>
        <color theme="1"/>
        <rFont val="Times New Roman"/>
        <family val="1"/>
      </rPr>
      <t xml:space="preserve"> </t>
    </r>
    <r>
      <rPr>
        <u/>
        <sz val="14"/>
        <color theme="1"/>
        <rFont val="Times New Roman"/>
        <family val="1"/>
      </rPr>
      <t xml:space="preserve"> Xe của bạn.</t>
    </r>
  </si>
  <si>
    <r>
      <t>1.</t>
    </r>
    <r>
      <rPr>
        <sz val="7"/>
        <color theme="1"/>
        <rFont val="Times New Roman"/>
        <family val="1"/>
      </rPr>
      <t xml:space="preserve">   </t>
    </r>
    <r>
      <rPr>
        <sz val="14"/>
        <color theme="1"/>
        <rFont val="Times New Roman"/>
        <family val="1"/>
      </rPr>
      <t>Tăng tốc độ, chuyển sang làn đường bên trái để vượt.</t>
    </r>
  </si>
  <si>
    <r>
      <t>2.</t>
    </r>
    <r>
      <rPr>
        <sz val="7"/>
        <color theme="1"/>
        <rFont val="Times New Roman"/>
        <family val="1"/>
      </rPr>
      <t xml:space="preserve"> </t>
    </r>
    <r>
      <rPr>
        <u/>
        <sz val="14"/>
        <color theme="1"/>
        <rFont val="Times New Roman"/>
        <family val="1"/>
      </rPr>
      <t xml:space="preserve"> Không được vượt những người đi xe đạp.</t>
    </r>
  </si>
  <si>
    <r>
      <t>1.</t>
    </r>
    <r>
      <rPr>
        <sz val="7"/>
        <color theme="1"/>
        <rFont val="Times New Roman"/>
        <family val="1"/>
      </rPr>
      <t xml:space="preserve">   </t>
    </r>
    <r>
      <rPr>
        <sz val="14"/>
        <color theme="1"/>
        <rFont val="Times New Roman"/>
        <family val="1"/>
      </rPr>
      <t>Nếu phía sau không có xe xin vượt, chuyển sang làn đường bên trái.</t>
    </r>
  </si>
  <si>
    <r>
      <t>2.</t>
    </r>
    <r>
      <rPr>
        <sz val="7"/>
        <color theme="1"/>
        <rFont val="Times New Roman"/>
        <family val="1"/>
      </rPr>
      <t xml:space="preserve">   </t>
    </r>
    <r>
      <rPr>
        <sz val="14"/>
        <color theme="1"/>
        <rFont val="Times New Roman"/>
        <family val="1"/>
      </rPr>
      <t>Nếu phía sau có xe xin vượt, thì giảm tốc độ, ở lại làn đường, dừng lại khi cần thiết.</t>
    </r>
  </si>
  <si>
    <r>
      <t>3.</t>
    </r>
    <r>
      <rPr>
        <sz val="7"/>
        <color theme="1"/>
        <rFont val="Times New Roman"/>
        <family val="1"/>
      </rPr>
      <t xml:space="preserve">   </t>
    </r>
    <r>
      <rPr>
        <sz val="14"/>
        <color theme="1"/>
        <rFont val="Times New Roman"/>
        <family val="1"/>
      </rPr>
      <t>Tăng tốc độ trên làn đường của mình và vượt xe con.</t>
    </r>
  </si>
  <si>
    <r>
      <t>1.</t>
    </r>
    <r>
      <rPr>
        <sz val="7"/>
        <color theme="1"/>
        <rFont val="Times New Roman"/>
        <family val="1"/>
      </rPr>
      <t xml:space="preserve">   </t>
    </r>
    <r>
      <rPr>
        <sz val="14"/>
        <color theme="1"/>
        <rFont val="Times New Roman"/>
        <family val="1"/>
      </rPr>
      <t>Chuyển sang nửa đường bên trái để đi tiếp.</t>
    </r>
  </si>
  <si>
    <r>
      <t>2.</t>
    </r>
    <r>
      <rPr>
        <sz val="7"/>
        <color theme="1"/>
        <rFont val="Times New Roman"/>
        <family val="1"/>
      </rPr>
      <t xml:space="preserve">   </t>
    </r>
    <r>
      <rPr>
        <sz val="14"/>
        <color theme="1"/>
        <rFont val="Times New Roman"/>
        <family val="1"/>
      </rPr>
      <t>Bấm còi, nháy đèn báo hiệu và đi tiếp.</t>
    </r>
  </si>
  <si>
    <r>
      <t>3.</t>
    </r>
    <r>
      <rPr>
        <sz val="7"/>
        <color theme="1"/>
        <rFont val="Times New Roman"/>
        <family val="1"/>
      </rPr>
      <t xml:space="preserve"> </t>
    </r>
    <r>
      <rPr>
        <u/>
        <sz val="14"/>
        <color theme="1"/>
        <rFont val="Times New Roman"/>
        <family val="1"/>
      </rPr>
      <t xml:space="preserve"> Giảm tốc độ, dừng lại nhường đường.</t>
    </r>
  </si>
  <si>
    <r>
      <t>1.</t>
    </r>
    <r>
      <rPr>
        <sz val="7"/>
        <color theme="1"/>
        <rFont val="Times New Roman"/>
        <family val="1"/>
      </rPr>
      <t xml:space="preserve"> </t>
    </r>
    <r>
      <rPr>
        <u/>
        <sz val="14"/>
        <color theme="1"/>
        <rFont val="Times New Roman"/>
        <family val="1"/>
      </rPr>
      <t xml:space="preserve"> Phanh xe giảm tốc độ và đi sát lề đường bên phải.</t>
    </r>
  </si>
  <si>
    <r>
      <t>2.</t>
    </r>
    <r>
      <rPr>
        <sz val="7"/>
        <color theme="1"/>
        <rFont val="Times New Roman"/>
        <family val="1"/>
      </rPr>
      <t xml:space="preserve">   </t>
    </r>
    <r>
      <rPr>
        <sz val="14"/>
        <color theme="1"/>
        <rFont val="Times New Roman"/>
        <family val="1"/>
      </rPr>
      <t>Bấm còi, nháy đèn báo hiệu, giữ nguyên tốc độ và đi tiếp.</t>
    </r>
  </si>
  <si>
    <r>
      <t>3.</t>
    </r>
    <r>
      <rPr>
        <sz val="7"/>
        <color theme="1"/>
        <rFont val="Times New Roman"/>
        <family val="1"/>
      </rPr>
      <t xml:space="preserve">   </t>
    </r>
    <r>
      <rPr>
        <sz val="14"/>
        <color theme="1"/>
        <rFont val="Times New Roman"/>
        <family val="1"/>
      </rPr>
      <t>Phanh xe giảm tốc độ và đi sát vào lề đường bên trái.</t>
    </r>
  </si>
  <si>
    <r>
      <t>1.</t>
    </r>
    <r>
      <rPr>
        <sz val="7"/>
        <color theme="1"/>
        <rFont val="Times New Roman"/>
        <family val="1"/>
      </rPr>
      <t xml:space="preserve">   </t>
    </r>
    <r>
      <rPr>
        <sz val="14"/>
        <color theme="1"/>
        <rFont val="Times New Roman"/>
        <family val="1"/>
      </rPr>
      <t>Bật tín hiệu xin chuyển làn đường sang trái để vượt xe tải.</t>
    </r>
  </si>
  <si>
    <r>
      <t>2.</t>
    </r>
    <r>
      <rPr>
        <sz val="7"/>
        <color theme="1"/>
        <rFont val="Times New Roman"/>
        <family val="1"/>
      </rPr>
      <t xml:space="preserve"> </t>
    </r>
    <r>
      <rPr>
        <u/>
        <sz val="14"/>
        <color theme="1"/>
        <rFont val="Times New Roman"/>
        <family val="1"/>
      </rPr>
      <t xml:space="preserve"> Phanh xe giảm tốc độ chờ xe tải phía trước chuyển làn đường.</t>
    </r>
  </si>
  <si>
    <r>
      <t>3.</t>
    </r>
    <r>
      <rPr>
        <sz val="7"/>
        <color theme="1"/>
        <rFont val="Times New Roman"/>
        <family val="1"/>
      </rPr>
      <t xml:space="preserve">   </t>
    </r>
    <r>
      <rPr>
        <sz val="14"/>
        <color theme="1"/>
        <rFont val="Times New Roman"/>
        <family val="1"/>
      </rPr>
      <t>Bấm còi báo hiệu và vượt qua xe tải trên làn đường của mình.</t>
    </r>
  </si>
  <si>
    <r>
      <t>1.</t>
    </r>
    <r>
      <rPr>
        <sz val="7"/>
        <color theme="1"/>
        <rFont val="Times New Roman"/>
        <family val="1"/>
      </rPr>
      <t xml:space="preserve">   </t>
    </r>
    <r>
      <rPr>
        <sz val="14"/>
        <color theme="1"/>
        <rFont val="Times New Roman"/>
        <family val="1"/>
      </rPr>
      <t>Tăng tốc độ và đi thẳng qua ngã tư.</t>
    </r>
  </si>
  <si>
    <r>
      <t>2.</t>
    </r>
    <r>
      <rPr>
        <sz val="7"/>
        <color theme="1"/>
        <rFont val="Times New Roman"/>
        <family val="1"/>
      </rPr>
      <t xml:space="preserve">   </t>
    </r>
    <r>
      <rPr>
        <sz val="14"/>
        <color theme="1"/>
        <rFont val="Times New Roman"/>
        <family val="1"/>
      </rPr>
      <t>Dừng xe trước vạch dừng.</t>
    </r>
  </si>
  <si>
    <r>
      <t>3.</t>
    </r>
    <r>
      <rPr>
        <sz val="7"/>
        <color theme="1"/>
        <rFont val="Times New Roman"/>
        <family val="1"/>
      </rPr>
      <t xml:space="preserve"> </t>
    </r>
    <r>
      <rPr>
        <u/>
        <sz val="14"/>
        <color theme="1"/>
        <rFont val="Times New Roman"/>
        <family val="1"/>
      </rPr>
      <t xml:space="preserve"> Giảm tốc độ và đi thẳng qua ngã tư.</t>
    </r>
  </si>
  <si>
    <r>
      <t>1.</t>
    </r>
    <r>
      <rPr>
        <sz val="7"/>
        <color theme="1"/>
        <rFont val="Times New Roman"/>
        <family val="1"/>
      </rPr>
      <t xml:space="preserve">   </t>
    </r>
    <r>
      <rPr>
        <sz val="14"/>
        <color theme="1"/>
        <rFont val="Times New Roman"/>
        <family val="1"/>
      </rPr>
      <t>Xe của bạn, xe mô tô, xe đạp.</t>
    </r>
  </si>
  <si>
    <r>
      <t>2.</t>
    </r>
    <r>
      <rPr>
        <sz val="7"/>
        <color theme="1"/>
        <rFont val="Times New Roman"/>
        <family val="1"/>
      </rPr>
      <t xml:space="preserve">   </t>
    </r>
    <r>
      <rPr>
        <sz val="14"/>
        <color theme="1"/>
        <rFont val="Times New Roman"/>
        <family val="1"/>
      </rPr>
      <t>Xe mô tô, xe đạp, xe của bạn.</t>
    </r>
  </si>
  <si>
    <r>
      <t>3.</t>
    </r>
    <r>
      <rPr>
        <sz val="7"/>
        <color theme="1"/>
        <rFont val="Times New Roman"/>
        <family val="1"/>
      </rPr>
      <t xml:space="preserve"> </t>
    </r>
    <r>
      <rPr>
        <u/>
        <sz val="14"/>
        <color theme="1"/>
        <rFont val="Times New Roman"/>
        <family val="1"/>
      </rPr>
      <t xml:space="preserve"> Xe đạp, xe mô tô, xe của bạn.</t>
    </r>
  </si>
  <si>
    <r>
      <t>1.</t>
    </r>
    <r>
      <rPr>
        <sz val="7"/>
        <color theme="1"/>
        <rFont val="Times New Roman"/>
        <family val="1"/>
      </rPr>
      <t xml:space="preserve">   </t>
    </r>
    <r>
      <rPr>
        <sz val="14"/>
        <color theme="1"/>
        <rFont val="Times New Roman"/>
        <family val="1"/>
      </rPr>
      <t>Xe của bạn, xe tải, xe con.</t>
    </r>
  </si>
  <si>
    <r>
      <t>2.</t>
    </r>
    <r>
      <rPr>
        <sz val="7"/>
        <color theme="1"/>
        <rFont val="Times New Roman"/>
        <family val="1"/>
      </rPr>
      <t xml:space="preserve">   </t>
    </r>
    <r>
      <rPr>
        <sz val="14"/>
        <color theme="1"/>
        <rFont val="Times New Roman"/>
        <family val="1"/>
      </rPr>
      <t>Xe con, xe tải, xe của bạn.</t>
    </r>
  </si>
  <si>
    <r>
      <t>3.</t>
    </r>
    <r>
      <rPr>
        <sz val="7"/>
        <color theme="1"/>
        <rFont val="Times New Roman"/>
        <family val="1"/>
      </rPr>
      <t xml:space="preserve">   </t>
    </r>
    <r>
      <rPr>
        <sz val="14"/>
        <color theme="1"/>
        <rFont val="Times New Roman"/>
        <family val="1"/>
      </rPr>
      <t>Xe tải, xe của bạn, xe con.</t>
    </r>
  </si>
  <si>
    <r>
      <t>4.</t>
    </r>
    <r>
      <rPr>
        <sz val="7"/>
        <color theme="1"/>
        <rFont val="Times New Roman"/>
        <family val="1"/>
      </rPr>
      <t xml:space="preserve"> </t>
    </r>
    <r>
      <rPr>
        <u/>
        <sz val="14"/>
        <color theme="1"/>
        <rFont val="Times New Roman"/>
        <family val="1"/>
      </rPr>
      <t xml:space="preserve"> Xe của bạn, xe con, xe tải.</t>
    </r>
  </si>
  <si>
    <r>
      <t>1.</t>
    </r>
    <r>
      <rPr>
        <sz val="7"/>
        <color theme="1"/>
        <rFont val="Times New Roman"/>
        <family val="1"/>
      </rPr>
      <t xml:space="preserve"> </t>
    </r>
    <r>
      <rPr>
        <u/>
        <sz val="14"/>
        <color theme="1"/>
        <rFont val="Times New Roman"/>
        <family val="1"/>
      </rPr>
      <t xml:space="preserve"> Xe của bạn.</t>
    </r>
  </si>
  <si>
    <r>
      <t>1.</t>
    </r>
    <r>
      <rPr>
        <sz val="7"/>
        <color theme="1"/>
        <rFont val="Times New Roman"/>
        <family val="1"/>
      </rPr>
      <t xml:space="preserve">   </t>
    </r>
    <r>
      <rPr>
        <sz val="14"/>
        <color theme="1"/>
        <rFont val="Times New Roman"/>
        <family val="1"/>
      </rPr>
      <t>Tăng tốc độ, đi qua vạch người đi bộ sang đường, để người đi bộ sang đường sau.</t>
    </r>
  </si>
  <si>
    <r>
      <t>2.</t>
    </r>
    <r>
      <rPr>
        <sz val="7"/>
        <color theme="1"/>
        <rFont val="Times New Roman"/>
        <family val="1"/>
      </rPr>
      <t xml:space="preserve">   </t>
    </r>
    <r>
      <rPr>
        <sz val="14"/>
        <color theme="1"/>
        <rFont val="Times New Roman"/>
        <family val="1"/>
      </rPr>
      <t>Giảm tốc độ, đi qua vạch người đi bộ sang đường, để người đi bộ sang đường sau.</t>
    </r>
  </si>
  <si>
    <r>
      <t>3.</t>
    </r>
    <r>
      <rPr>
        <sz val="7"/>
        <color theme="1"/>
        <rFont val="Times New Roman"/>
        <family val="1"/>
      </rPr>
      <t xml:space="preserve"> </t>
    </r>
    <r>
      <rPr>
        <u/>
        <sz val="14"/>
        <color theme="1"/>
        <rFont val="Times New Roman"/>
        <family val="1"/>
      </rPr>
      <t xml:space="preserve"> Giảm tốc độ, để người đi bộ sang đường trước, sau đó cho xe đi qua vạch người</t>
    </r>
    <r>
      <rPr>
        <sz val="14"/>
        <color theme="1"/>
        <rFont val="Times New Roman"/>
        <family val="1"/>
      </rPr>
      <t xml:space="preserve"> </t>
    </r>
    <r>
      <rPr>
        <u/>
        <sz val="14"/>
        <color theme="1"/>
        <rFont val="Times New Roman"/>
        <family val="1"/>
      </rPr>
      <t>đi bộ sang đường.</t>
    </r>
  </si>
  <si>
    <r>
      <t>1.</t>
    </r>
    <r>
      <rPr>
        <sz val="7"/>
        <color theme="1"/>
        <rFont val="Times New Roman"/>
        <family val="1"/>
      </rPr>
      <t xml:space="preserve">   </t>
    </r>
    <r>
      <rPr>
        <sz val="14"/>
        <color theme="1"/>
        <rFont val="Times New Roman"/>
        <family val="1"/>
      </rPr>
      <t>Xe con, xe tải, xe của bạn.</t>
    </r>
  </si>
  <si>
    <r>
      <t>2.</t>
    </r>
    <r>
      <rPr>
        <sz val="7"/>
        <color theme="1"/>
        <rFont val="Times New Roman"/>
        <family val="1"/>
      </rPr>
      <t xml:space="preserve"> </t>
    </r>
    <r>
      <rPr>
        <u/>
        <sz val="14"/>
        <color theme="1"/>
        <rFont val="Times New Roman"/>
        <family val="1"/>
      </rPr>
      <t xml:space="preserve"> Xe tải, xe con, xe của bạn.</t>
    </r>
  </si>
  <si>
    <r>
      <t>1.</t>
    </r>
    <r>
      <rPr>
        <sz val="7"/>
        <color theme="1"/>
        <rFont val="Times New Roman"/>
        <family val="1"/>
      </rPr>
      <t xml:space="preserve">   </t>
    </r>
    <r>
      <rPr>
        <sz val="14"/>
        <color theme="1"/>
        <rFont val="Times New Roman"/>
        <family val="1"/>
      </rPr>
      <t>Tăng tốc độ cho xe lấn sang phần đường bên trái.</t>
    </r>
  </si>
  <si>
    <r>
      <t>2.</t>
    </r>
    <r>
      <rPr>
        <sz val="7"/>
        <color theme="1"/>
        <rFont val="Times New Roman"/>
        <family val="1"/>
      </rPr>
      <t xml:space="preserve">   </t>
    </r>
    <r>
      <rPr>
        <sz val="14"/>
        <color theme="1"/>
        <rFont val="Times New Roman"/>
        <family val="1"/>
      </rPr>
      <t>Giảm tốc độ cho xe lấn sang phần đường bên trái.</t>
    </r>
  </si>
  <si>
    <r>
      <t>3.</t>
    </r>
    <r>
      <rPr>
        <sz val="7"/>
        <color theme="1"/>
        <rFont val="Times New Roman"/>
        <family val="1"/>
      </rPr>
      <t xml:space="preserve"> </t>
    </r>
    <r>
      <rPr>
        <u/>
        <sz val="14"/>
        <color theme="1"/>
        <rFont val="Times New Roman"/>
        <family val="1"/>
      </rPr>
      <t xml:space="preserve"> Giảm tốc độ cho xe đi sát phần đường bên phải.</t>
    </r>
  </si>
  <si>
    <r>
      <t>3.</t>
    </r>
    <r>
      <rPr>
        <sz val="7"/>
        <color theme="1"/>
        <rFont val="Times New Roman"/>
        <family val="1"/>
      </rPr>
      <t xml:space="preserve">   </t>
    </r>
    <r>
      <rPr>
        <sz val="14"/>
        <color theme="1"/>
        <rFont val="Times New Roman"/>
        <family val="1"/>
      </rPr>
      <t>Cả 2 xe đều đúng.</t>
    </r>
  </si>
  <si>
    <r>
      <t>1.</t>
    </r>
    <r>
      <rPr>
        <sz val="7"/>
        <color theme="1"/>
        <rFont val="Times New Roman"/>
        <family val="1"/>
      </rPr>
      <t xml:space="preserve">   </t>
    </r>
    <r>
      <rPr>
        <sz val="14"/>
        <color theme="1"/>
        <rFont val="Times New Roman"/>
        <family val="1"/>
      </rPr>
      <t>Xe tải, xe đạp, xe của bạn.</t>
    </r>
  </si>
  <si>
    <r>
      <t>2.</t>
    </r>
    <r>
      <rPr>
        <sz val="7"/>
        <color theme="1"/>
        <rFont val="Times New Roman"/>
        <family val="1"/>
      </rPr>
      <t xml:space="preserve">   </t>
    </r>
    <r>
      <rPr>
        <sz val="14"/>
        <color theme="1"/>
        <rFont val="Times New Roman"/>
        <family val="1"/>
      </rPr>
      <t>Xe của bạn, xe đạp, xe tải.</t>
    </r>
  </si>
  <si>
    <r>
      <t>3.</t>
    </r>
    <r>
      <rPr>
        <sz val="7"/>
        <color theme="1"/>
        <rFont val="Times New Roman"/>
        <family val="1"/>
      </rPr>
      <t xml:space="preserve"> </t>
    </r>
    <r>
      <rPr>
        <u/>
        <sz val="14"/>
        <color theme="1"/>
        <rFont val="Times New Roman"/>
        <family val="1"/>
      </rPr>
      <t xml:space="preserve"> Xe của bạn, xe tải, xe đạp.</t>
    </r>
  </si>
  <si>
    <r>
      <t>1.</t>
    </r>
    <r>
      <rPr>
        <sz val="7"/>
        <color theme="1"/>
        <rFont val="Times New Roman"/>
        <family val="1"/>
      </rPr>
      <t xml:space="preserve"> </t>
    </r>
    <r>
      <rPr>
        <u/>
        <sz val="14"/>
        <color theme="1"/>
        <rFont val="Times New Roman"/>
        <family val="1"/>
      </rPr>
      <t xml:space="preserve"> Hướng 1.</t>
    </r>
  </si>
  <si>
    <r>
      <t>2.</t>
    </r>
    <r>
      <rPr>
        <sz val="7"/>
        <color theme="1"/>
        <rFont val="Times New Roman"/>
        <family val="1"/>
      </rPr>
      <t xml:space="preserve">   </t>
    </r>
    <r>
      <rPr>
        <sz val="14"/>
        <color theme="1"/>
        <rFont val="Times New Roman"/>
        <family val="1"/>
      </rPr>
      <t>Hướng 2.</t>
    </r>
  </si>
  <si>
    <r>
      <t>3.</t>
    </r>
    <r>
      <rPr>
        <sz val="7"/>
        <color theme="1"/>
        <rFont val="Times New Roman"/>
        <family val="1"/>
      </rPr>
      <t xml:space="preserve">   </t>
    </r>
    <r>
      <rPr>
        <sz val="14"/>
        <color theme="1"/>
        <rFont val="Times New Roman"/>
        <family val="1"/>
      </rPr>
      <t>Cả hai hướng đều được.</t>
    </r>
  </si>
  <si>
    <r>
      <t>1.</t>
    </r>
    <r>
      <rPr>
        <sz val="7"/>
        <color theme="1"/>
        <rFont val="Times New Roman"/>
        <family val="1"/>
      </rPr>
      <t xml:space="preserve">   </t>
    </r>
    <r>
      <rPr>
        <sz val="14"/>
        <color theme="1"/>
        <rFont val="Times New Roman"/>
        <family val="1"/>
      </rPr>
      <t>Bật đèn chiếu xa, tăng tốc độ vượt xe cùng chiều.</t>
    </r>
  </si>
  <si>
    <r>
      <t>2.</t>
    </r>
    <r>
      <rPr>
        <sz val="7"/>
        <color theme="1"/>
        <rFont val="Times New Roman"/>
        <family val="1"/>
      </rPr>
      <t xml:space="preserve"> </t>
    </r>
    <r>
      <rPr>
        <u/>
        <sz val="14"/>
        <color theme="1"/>
        <rFont val="Times New Roman"/>
        <family val="1"/>
      </rPr>
      <t xml:space="preserve"> Giữ nguyên đèn chiếu gần, giảm tốc độ, đi sau xe phía trước.</t>
    </r>
  </si>
  <si>
    <r>
      <t>3.</t>
    </r>
    <r>
      <rPr>
        <sz val="7"/>
        <color theme="1"/>
        <rFont val="Times New Roman"/>
        <family val="1"/>
      </rPr>
      <t xml:space="preserve">   </t>
    </r>
    <r>
      <rPr>
        <sz val="14"/>
        <color theme="1"/>
        <rFont val="Times New Roman"/>
        <family val="1"/>
      </rPr>
      <t>Giữ nguyên đèn chiếu gần, tăng tốc độ vượt xe cùng chiều.</t>
    </r>
  </si>
  <si>
    <r>
      <t>1.</t>
    </r>
    <r>
      <rPr>
        <sz val="7"/>
        <color theme="1"/>
        <rFont val="Times New Roman"/>
        <family val="1"/>
      </rPr>
      <t xml:space="preserve">   </t>
    </r>
    <r>
      <rPr>
        <sz val="14"/>
        <color theme="1"/>
        <rFont val="Times New Roman"/>
        <family val="1"/>
      </rPr>
      <t>Quan sát nếu thấy không có tàu thì tăng tốc cho xe vượt qua đường sắt.</t>
    </r>
  </si>
  <si>
    <r>
      <t>2.</t>
    </r>
    <r>
      <rPr>
        <sz val="7"/>
        <color theme="1"/>
        <rFont val="Times New Roman"/>
        <family val="1"/>
      </rPr>
      <t xml:space="preserve"> </t>
    </r>
    <r>
      <rPr>
        <u/>
        <sz val="14"/>
        <color theme="1"/>
        <rFont val="Times New Roman"/>
        <family val="1"/>
      </rPr>
      <t xml:space="preserve"> Dừng lại trước rào chắn một khoảng cách an toàn.</t>
    </r>
  </si>
  <si>
    <r>
      <t>3.</t>
    </r>
    <r>
      <rPr>
        <sz val="7"/>
        <color theme="1"/>
        <rFont val="Times New Roman"/>
        <family val="1"/>
      </rPr>
      <t xml:space="preserve">   </t>
    </r>
    <r>
      <rPr>
        <sz val="14"/>
        <color theme="1"/>
        <rFont val="Times New Roman"/>
        <family val="1"/>
      </rPr>
      <t>Ra tín hiệu, yêu cầu người gác chắn tàu kéo chậm barie để xe bạn qua.</t>
    </r>
  </si>
  <si>
    <r>
      <t>2.</t>
    </r>
    <r>
      <rPr>
        <sz val="7"/>
        <color theme="1"/>
        <rFont val="Times New Roman"/>
        <family val="1"/>
      </rPr>
      <t xml:space="preserve"> </t>
    </r>
    <r>
      <rPr>
        <u/>
        <sz val="14"/>
        <color theme="1"/>
        <rFont val="Times New Roman"/>
        <family val="1"/>
      </rPr>
      <t xml:space="preserve"> Sai.</t>
    </r>
  </si>
  <si>
    <r>
      <t>Câu 599</t>
    </r>
    <r>
      <rPr>
        <sz val="14"/>
        <color theme="1"/>
        <rFont val="Times New Roman"/>
        <family val="1"/>
      </rPr>
      <t xml:space="preserve">. </t>
    </r>
    <r>
      <rPr>
        <b/>
        <sz val="14"/>
        <color theme="1"/>
        <rFont val="Times New Roman"/>
        <family val="1"/>
      </rPr>
      <t>Trong tình huống dưới đây, xe con màu vàng vượt xe con màu đỏ là đúng quy tắc giao thông hay không?</t>
    </r>
  </si>
  <si>
    <r>
      <t>1.</t>
    </r>
    <r>
      <rPr>
        <sz val="7"/>
        <color theme="1"/>
        <rFont val="Times New Roman"/>
        <family val="1"/>
      </rPr>
      <t xml:space="preserve">   </t>
    </r>
    <r>
      <rPr>
        <sz val="14"/>
        <color theme="1"/>
        <rFont val="Times New Roman"/>
        <family val="1"/>
      </rPr>
      <t>Vượt về phía bên phải để đi tiếp.</t>
    </r>
  </si>
  <si>
    <r>
      <t>2.</t>
    </r>
    <r>
      <rPr>
        <sz val="7"/>
        <color theme="1"/>
        <rFont val="Times New Roman"/>
        <family val="1"/>
      </rPr>
      <t xml:space="preserve"> </t>
    </r>
    <r>
      <rPr>
        <u/>
        <sz val="14"/>
        <color theme="1"/>
        <rFont val="Times New Roman"/>
        <family val="1"/>
      </rPr>
      <t xml:space="preserve"> Giảm tốc độ chờ xe container rẽ xong rồi tiếp tục đi.</t>
    </r>
  </si>
  <si>
    <r>
      <t>3.</t>
    </r>
    <r>
      <rPr>
        <sz val="7"/>
        <color theme="1"/>
        <rFont val="Times New Roman"/>
        <family val="1"/>
      </rPr>
      <t xml:space="preserve">   </t>
    </r>
    <r>
      <rPr>
        <sz val="14"/>
        <color theme="1"/>
        <rFont val="Times New Roman"/>
        <family val="1"/>
      </rPr>
      <t>Vượt về phía bên trái để đi tiếp.</t>
    </r>
  </si>
  <si>
    <t>Function KiemTraGachChan(VungChon As Range) As Variant
    Dim i As Long
    ' Trường hợp 1: Toàn bộ ô hoặc ký tự đầu tiên được gạch chân
    If VungChon.Font.Underline &lt;&gt; xlUnderlineStyleNone Then
        KiemTraGachChan = True
        Exit Function
    End If
    ' Trường hợp 2: Chỉ có một vài ký tự trong ô được gạch chân (như đáp án đề thi)
    If VungChon.Characters.Count &gt; 0 Then
        For i = 1 To VungChon.Characters.Count
            If VungChon.Characters(i, 1).Font.Underline &lt;&gt; xlUnderlineStyleNone Then
                KiemTraGachChan = True
                Exit Function
            End If
        Next i
    End If
    ' Nếu không tìm thấy ký tự nào gạch chân
    KiemTraGachChan = False
End Function</t>
  </si>
  <si>
    <t>Cách này giúp bạn tạo ra một hàm mới tên là =KiemTraGachChan(A1). Hàm sẽ trả về TRUE nếu ô có gạch chân và FALSE nếu không có.
Bước 1: Nhấn tổ hợp phím Alt + F11 để mở cửa sổ VBA.
Bước 2: Vào menu Insert &gt; chọn Module.
Bước 3: Copy và dán đoạn code sau vào màn hình trống bên phải:</t>
  </si>
  <si>
    <r>
      <t>2.</t>
    </r>
    <r>
      <rPr>
        <sz val="7"/>
        <color theme="1"/>
        <rFont val="Times New Roman"/>
        <family val="1"/>
      </rPr>
      <t xml:space="preserve">   </t>
    </r>
    <r>
      <rPr>
        <sz val="14"/>
        <color theme="1"/>
        <rFont val="Times New Roman"/>
        <family val="1"/>
      </rPr>
      <t>Là khoảng trống có kích thước giới hạn về chiều rộng của đường, cầu, bến phà, hầm trên đường bộ để các xe kể cả hàng hóa xếp trên xe đi qua được an toàn.</t>
    </r>
  </si>
  <si>
    <r>
      <t>3.</t>
    </r>
    <r>
      <rPr>
        <sz val="7"/>
        <color theme="1"/>
        <rFont val="Times New Roman"/>
        <family val="1"/>
      </rPr>
      <t xml:space="preserve">   </t>
    </r>
    <r>
      <rPr>
        <sz val="14"/>
        <color theme="1"/>
        <rFont val="Times New Roman"/>
        <family val="1"/>
      </rPr>
      <t>Giảm tốc độ cho xe chạy qua làn đường dành cho mô tô để tránh vũng nước.</t>
    </r>
  </si>
  <si>
    <r>
      <t>3.</t>
    </r>
    <r>
      <rPr>
        <sz val="7"/>
        <color theme="1"/>
        <rFont val="Times New Roman"/>
        <family val="1"/>
      </rPr>
      <t xml:space="preserve">  </t>
    </r>
    <r>
      <rPr>
        <sz val="14"/>
        <color theme="1"/>
        <rFont val="Times New Roman"/>
        <family val="1"/>
      </rPr>
      <t>Điều khiển xe và đội mũ bảo hiểm ở nơi có biển báo bắt buộc đội mũ bảo hiểm.</t>
    </r>
  </si>
  <si>
    <r>
      <t>2.</t>
    </r>
    <r>
      <rPr>
        <sz val="7"/>
        <color theme="1"/>
        <rFont val="Times New Roman"/>
        <family val="1"/>
      </rPr>
      <t xml:space="preserve">   </t>
    </r>
    <r>
      <rPr>
        <sz val="14"/>
        <color theme="1"/>
        <rFont val="Times New Roman"/>
        <family val="1"/>
      </rPr>
      <t>Nhìn xuống buồng lái để biết chính xác vị trí các tay số, cần phải tăng thứ tự từ thấp đến cao, phối hợp các động tác phải nhịp nhàng, vù ga phải phù hợp với tốc độ.</t>
    </r>
  </si>
  <si>
    <r>
      <t>3.</t>
    </r>
    <r>
      <rPr>
        <sz val="7"/>
        <color theme="1"/>
        <rFont val="Times New Roman"/>
        <family val="1"/>
      </rPr>
      <t xml:space="preserve"> </t>
    </r>
    <r>
      <rPr>
        <u/>
        <sz val="14"/>
        <color theme="1"/>
        <rFont val="Times New Roman"/>
        <family val="1"/>
      </rPr>
      <t xml:space="preserve"> Quan sát, ước lượng độ ngập nước mà xe ô tô có thể vượt qua an toàn, về số</t>
    </r>
    <r>
      <rPr>
        <sz val="14"/>
        <color theme="1"/>
        <rFont val="Times New Roman"/>
        <family val="1"/>
      </rPr>
      <t xml:space="preserve"> </t>
    </r>
    <r>
      <rPr>
        <u/>
        <sz val="14"/>
        <color theme="1"/>
        <rFont val="Times New Roman"/>
        <family val="1"/>
      </rPr>
      <t>thấp, giữ đều ga và giữ vững tay lái để ô tô vượt qua đoạn đường ngập nước.</t>
    </r>
  </si>
  <si>
    <r>
      <t>2.</t>
    </r>
    <r>
      <rPr>
        <sz val="7"/>
        <color theme="1"/>
        <rFont val="Times New Roman"/>
        <family val="1"/>
      </rPr>
      <t xml:space="preserve"> </t>
    </r>
    <r>
      <rPr>
        <u/>
        <sz val="14"/>
        <color theme="1"/>
        <rFont val="Times New Roman"/>
        <family val="1"/>
      </rPr>
      <t xml:space="preserve"> Giữ vững tay lái cho xe đi đúng vệt bánh xe đi trước, sử dụng số thấp đi chậm,</t>
    </r>
    <r>
      <rPr>
        <sz val="14"/>
        <color theme="1"/>
        <rFont val="Times New Roman"/>
        <family val="1"/>
      </rPr>
      <t xml:space="preserve"> </t>
    </r>
    <r>
      <rPr>
        <u/>
        <sz val="14"/>
        <color theme="1"/>
        <rFont val="Times New Roman"/>
        <family val="1"/>
      </rPr>
      <t>gài cầu (nếu có), giữ đều ga, không lấy nhiều lái, không đánh lái ngoặt và phanh gấp.</t>
    </r>
  </si>
  <si>
    <r>
      <t>3.</t>
    </r>
    <r>
      <rPr>
        <sz val="7"/>
        <color theme="1"/>
        <rFont val="Times New Roman"/>
        <family val="1"/>
      </rPr>
      <t xml:space="preserve">   </t>
    </r>
    <r>
      <rPr>
        <sz val="14"/>
        <color theme="1"/>
        <rFont val="Times New Roman"/>
        <family val="1"/>
      </rPr>
      <t>Không sử dụng chân phải; chân trái điều khiển bàn đạp phanh và bàn đạp ga.</t>
    </r>
  </si>
  <si>
    <r>
      <t>3.</t>
    </r>
    <r>
      <rPr>
        <sz val="7"/>
        <color theme="1"/>
        <rFont val="Times New Roman"/>
        <family val="1"/>
      </rPr>
      <t xml:space="preserve">    </t>
    </r>
    <r>
      <rPr>
        <sz val="14"/>
        <color theme="1"/>
        <rFont val="Times New Roman"/>
        <family val="1"/>
      </rPr>
      <t>Quan sát xe đang đi trên đường chính, nếu là xe có kích thước lớn hơn thì nhường đường, xe có kích thước nhỏ hơn thì tăng tốc độ cho xe đi ra đường chính.</t>
    </r>
  </si>
  <si>
    <r>
      <t>4.</t>
    </r>
    <r>
      <rPr>
        <sz val="7"/>
        <color theme="1"/>
        <rFont val="Times New Roman"/>
        <family val="1"/>
      </rPr>
      <t xml:space="preserve">   </t>
    </r>
    <r>
      <rPr>
        <sz val="14"/>
        <color theme="1"/>
        <rFont val="Times New Roman"/>
        <family val="1"/>
      </rPr>
      <t>Để quan sát an toàn phía trước cả bên trái và bên phải trước khi chuyển hướng.</t>
    </r>
  </si>
  <si>
    <t>Nội dung câu</t>
  </si>
  <si>
    <t>Câu</t>
  </si>
  <si>
    <t>Lựa chọn 1</t>
  </si>
  <si>
    <t>Lựa chọn 2</t>
  </si>
  <si>
    <t>Lựa chọn 3</t>
  </si>
  <si>
    <t>Lựa chọn 4</t>
  </si>
  <si>
    <t>Đáp án</t>
  </si>
  <si>
    <t>Câu 601.</t>
  </si>
  <si>
    <t>Hình ảnh</t>
  </si>
  <si>
    <t>x</t>
  </si>
  <si>
    <t>Câu liệt</t>
  </si>
  <si>
    <t>Giải thích</t>
  </si>
  <si>
    <t>Hình ảnh giải thích</t>
  </si>
  <si>
    <t>Nối</t>
  </si>
  <si>
    <t>STT</t>
  </si>
  <si>
    <t>không xáo đáp án</t>
  </si>
  <si>
    <t>Phần đường xe chạy.</t>
  </si>
  <si>
    <t>Là một phần của phần đường xe chạy được chia theo chiều dọc của đường, có đủ chiều rộng cho xe chạy an toàn.</t>
  </si>
  <si>
    <t>Khổ giới hạn của đường bộ là khoảng trống có kích thước giới hạn về chiều rộng, chiều cao của đường bộ để các xe, bao gồm cả hàng hoá xếp trên xe đi qua được an toàn và được xác định theo quy chuẩn, tiêu chuẩn kỹ thuật của đường bộ.</t>
  </si>
  <si>
    <t>Để phân chia phần đường xe chạy thành hai chiều riêng biệt hoặc để phân chia phần đường dành cho xe cơ giới và xe thô sơ hoặc của nhiều loại xe khác nhau trên cùng một chiều đường.</t>
  </si>
  <si>
    <t>Là vạch chỉ sự phân chia làn đường, vị trí hoặc hướng đi, vị trí dừng lại.</t>
  </si>
  <si>
    <t>Là người điều khiển xe cơ giới, người điều khiển xe thô sơ, người điều khiển xe máy chuyên dùng.</t>
  </si>
  <si>
    <t>Xe ô tô; rơ moóc được kéo bởi xe ô tô; sơ mi rơ moóc được kéo bởi ô tô đầu kéo; xe chở người bốn bánh có gắn động cơ; xe chở hàng bốn bánh có gắn động cơ; xe mô tô, xe gắn máy và các loại xe tương tự.</t>
  </si>
  <si>
    <t>Giảm tốc độ, để người đi bộ sang đường trước, sau đó cho xe đi qua vạch người đi bộ sang đường.</t>
  </si>
  <si>
    <t>Câu 507. Theo hướng mũi tên, những hướng nào xe gắn máy được phép đi?</t>
  </si>
  <si>
    <t>giai thích</t>
  </si>
  <si>
    <t>Chỉ xe con.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</si>
</sst>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charset val="163"/>
      <scheme val="minor"/>
    </font>
    <font>
      <b/>
      <sz val="14"/>
      <color theme="1"/>
      <name val="Times New Roman"/>
      <family val="1"/>
    </font>
    <font>
      <sz val="14"/>
      <color theme="1"/>
      <name val="Times New Roman"/>
      <family val="1"/>
    </font>
    <font>
      <sz val="7"/>
      <color theme="1"/>
      <name val="Times New Roman"/>
      <family val="1"/>
    </font>
    <font>
      <u/>
      <sz val="14"/>
      <color theme="1"/>
      <name val="Times New Roman"/>
      <family val="1"/>
    </font>
    <font>
      <vertAlign val="superscript"/>
      <sz val="14"/>
      <color theme="1"/>
      <name val="Times New Roman"/>
      <family val="1"/>
    </font>
    <font>
      <vertAlign val="subscript"/>
      <sz val="14"/>
      <color theme="1"/>
      <name val="Times New Roman"/>
      <family val="1"/>
    </font>
    <font>
      <b/>
      <sz val="14"/>
      <color rgb="FF202020"/>
      <name val="Times New Roman"/>
      <family val="1"/>
    </font>
    <font>
      <sz val="14"/>
      <color rgb="FF202020"/>
      <name val="Times New Roman"/>
      <family val="1"/>
    </font>
    <font>
      <sz val="7"/>
      <color rgb="FF202020"/>
      <name val="Times New Roman"/>
      <family val="1"/>
    </font>
    <font>
      <u/>
      <sz val="14"/>
      <color rgb="FF20202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quotePrefix="1"/>
    <xf numFmtId="0" fontId="2" fillId="0" borderId="0" xfId="0" applyFont="1" applyAlignment="1">
      <alignment horizontal="justify" vertical="center"/>
    </xf>
    <xf numFmtId="0" fontId="1" fillId="0" borderId="0" xfId="0" applyFont="1" applyAlignment="1">
      <alignment horizontal="justify" vertical="center"/>
    </xf>
    <xf numFmtId="0" fontId="7" fillId="0" borderId="0" xfId="0" applyFont="1" applyAlignment="1">
      <alignment horizontal="justify" vertical="center"/>
    </xf>
    <xf numFmtId="0" fontId="8" fillId="0" borderId="0" xfId="0" applyFont="1" applyAlignment="1">
      <alignment horizontal="justify" vertical="center"/>
    </xf>
    <xf numFmtId="0" fontId="1" fillId="0" borderId="0" xfId="0" applyFont="1" applyAlignment="1">
      <alignment horizontal="center" vertical="center"/>
    </xf>
    <xf numFmtId="0" fontId="4" fillId="0" borderId="0" xfId="0" applyFont="1" applyAlignment="1">
      <alignment horizontal="justify" vertical="center"/>
    </xf>
    <xf numFmtId="0" fontId="2"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xf>
    <xf numFmtId="0" fontId="4" fillId="0" borderId="0" xfId="0" applyFont="1" applyAlignment="1">
      <alignment horizontal="left" vertical="center"/>
    </xf>
    <xf numFmtId="0" fontId="0" fillId="0" borderId="0" xfId="0" quotePrefix="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S2465"/>
  <sheetViews>
    <sheetView tabSelected="1" workbookViewId="0">
      <pane ySplit="1" topLeftCell="A1930" activePane="bottomLeft" state="frozen"/>
      <selection pane="bottomLeft" activeCell="Q1245" sqref="Q1245:Q2000"/>
    </sheetView>
  </sheetViews>
  <sheetFormatPr defaultRowHeight="15" x14ac:dyDescent="0.25"/>
  <cols>
    <col min="1" max="1" width="6.140625" customWidth="1"/>
    <col min="3" max="3" width="2" bestFit="1" customWidth="1"/>
    <col min="4" max="4" width="4.28515625" bestFit="1" customWidth="1"/>
    <col min="5" max="5" width="12.7109375" customWidth="1"/>
    <col min="6" max="6" width="8.7109375" bestFit="1" customWidth="1"/>
    <col min="7" max="10" width="7.42578125" customWidth="1"/>
    <col min="11" max="11" width="7" bestFit="1" customWidth="1"/>
  </cols>
  <sheetData>
    <row r="1" spans="1:19" x14ac:dyDescent="0.25">
      <c r="A1" t="s">
        <v>0</v>
      </c>
      <c r="C1">
        <v>0</v>
      </c>
      <c r="D1" t="s">
        <v>3073</v>
      </c>
      <c r="E1" t="s">
        <v>3072</v>
      </c>
      <c r="F1" t="s">
        <v>3080</v>
      </c>
      <c r="G1" t="s">
        <v>3074</v>
      </c>
      <c r="H1" t="s">
        <v>3075</v>
      </c>
      <c r="I1" t="s">
        <v>3076</v>
      </c>
      <c r="J1" t="s">
        <v>3077</v>
      </c>
      <c r="K1" t="s">
        <v>3078</v>
      </c>
      <c r="L1" t="s">
        <v>3082</v>
      </c>
      <c r="M1" t="s">
        <v>3083</v>
      </c>
      <c r="N1" t="s">
        <v>3084</v>
      </c>
      <c r="O1" t="s">
        <v>3087</v>
      </c>
      <c r="P1" t="s">
        <v>3086</v>
      </c>
      <c r="Q1" t="s">
        <v>3085</v>
      </c>
    </row>
    <row r="2" spans="1:19" x14ac:dyDescent="0.25">
      <c r="A2" t="s">
        <v>1</v>
      </c>
      <c r="C2">
        <f>IFERROR(COUNTIFS($A$1:A2,"Câu "&amp;"*")-MID(A2,5,FIND(".",A2,1)-5),0)</f>
        <v>0</v>
      </c>
      <c r="D2">
        <f>IF(LEFT(A2,3)="Câu",VALUE(MID(A2,5,FIND(".",A2,1)-5)),"")</f>
        <v>1</v>
      </c>
      <c r="E2" t="str">
        <f>SUBSTITUTE(IF(LEFT(A2,3)="Câu",MID(A2,FIND(".",A2,1)+2,LEN(A2)),""),CHAR(34),CHAR(92)&amp;CHAR(34))</f>
        <v>Phần của đường bộ được sử dụng cho phương tiện giao thông đường bộ đi lại là gì?</v>
      </c>
      <c r="G2" t="str">
        <f>SUBSTITUTE(B3,CHAR(34),CHAR(92)&amp;CHAR(34))</f>
        <v>Phần mặt đường và lề đường.</v>
      </c>
      <c r="H2" t="str">
        <f>SUBSTITUTE(B4,CHAR(34),CHAR(92)&amp;CHAR(34))</f>
        <v>Phần đường xe chạy.</v>
      </c>
      <c r="I2" t="str">
        <f>SUBSTITUTE(IF(LEFT(A5,3)="Câu","",B5),CHAR(34),CHAR(92)&amp;CHAR(34))</f>
        <v>Phần đường xe cơ giới.</v>
      </c>
      <c r="J2" t="str">
        <f>SUBSTITUTE(IF(OR(LEFT(A6,3)="Câu",I2=""),"",IF(B6=0,"",B6)),CHAR(34),CHAR(92)&amp;CHAR(34))</f>
        <v/>
      </c>
      <c r="K2" t="str">
        <f ca="1">SUBSTITUTE(SUBSTITUTE(SUBSTITUTE(SUBSTITUTE(IFERROR(VLOOKUP("Câu "&amp;D2&amp;".",dapan!$E:$J,6,0),""),"1","A"),"2","B"),"3","C"),"4","D")</f>
        <v>B</v>
      </c>
      <c r="O2" t="s">
        <v>3081</v>
      </c>
      <c r="P2">
        <f>D2</f>
        <v>1</v>
      </c>
      <c r="Q2" t="str">
        <f ca="1">IF(D2="","",CHAR(123)&amp;CHAR(34)&amp;"num"&amp;CHAR(34)&amp;":"&amp;P2&amp;","&amp;CHAR(34)&amp;"id"&amp;CHAR(34)&amp;":"&amp;D2&amp;","
&amp;CHAR(34)&amp;"q"&amp;CHAR(34)&amp;":"&amp;CHAR(34)&amp;E2&amp;CHAR(34)&amp;","
&amp;IF(F2="","",CHAR(34)&amp;"img"&amp;CHAR(34)&amp;":"&amp;CHAR(34)&amp;F2&amp;CHAR(34)&amp;",")
&amp;CHAR(34)&amp;"opts"&amp;CHAR(34)&amp;":"&amp;CHAR(123)&amp;CHAR(34)&amp;"A"&amp;CHAR(34)&amp;":"&amp;CHAR(34)&amp;G2&amp;CHAR(34)&amp;","&amp;CHAR(34)&amp;"B"&amp;CHAR(34)&amp;":"&amp;CHAR(34)&amp;H2&amp;CHAR(34)
&amp;IF(I2="","",","&amp;CHAR(34)&amp;"C"&amp;CHAR(34)&amp;":"&amp;CHAR(34)&amp;I2&amp;CHAR(34))&amp;IF(J2="","",","&amp;CHAR(34)&amp;"D"&amp;CHAR(34)&amp;":"&amp;CHAR(34)&amp;J2&amp;CHAR(34))&amp;CHAR(125)&amp;","
&amp;CHAR(34)&amp;"answer"&amp;CHAR(34)&amp;":"&amp;CHAR(34)&amp;K2&amp;CHAR(34)
&amp;IF(L2="","",","&amp;CHAR(34)&amp;"danger"&amp;CHAR(34)&amp;":"&amp;CHAR(34)&amp;"true"&amp;CHAR(34))
&amp;IF(M2="","",","&amp;CHAR(34)&amp;"explain"&amp;CHAR(34)&amp;":"&amp;CHAR(34)&amp;M2&amp;CHAR(34))
&amp;IF(N2="","",","&amp;CHAR(34)&amp;"explainImg"&amp;CHAR(34)&amp;":"&amp;CHAR(34)&amp;N2&amp;CHAR(34))
&amp;IF(O2="","",","&amp;CHAR(34)&amp;"shuffle"&amp;CHAR(34)&amp;":"&amp;CHAR(34)&amp;"false"&amp;CHAR(34))&amp;CHAR(125)&amp;",")</f>
        <v>{"num":1,"id":1,"q":"Phần của đường bộ được sử dụng cho phương tiện giao thông đường bộ đi lại là gì?","opts":{"A":"Phần mặt đường và lề đường.","B":"Phần đường xe chạy.","C":"Phần đường xe cơ giới."},"answer":"B","shuffle":"false"},</v>
      </c>
    </row>
    <row r="3" spans="1:19" hidden="1" x14ac:dyDescent="0.25">
      <c r="A3">
        <v>1</v>
      </c>
      <c r="B3" t="s">
        <v>2</v>
      </c>
      <c r="C3">
        <f>IFERROR(COUNTIFS($A$1:A3,"Câu "&amp;"*")-MID(A3,5,FIND(".",A3,1)-5),0)</f>
        <v>0</v>
      </c>
      <c r="D3" t="str">
        <f t="shared" ref="D3:D24" si="0">IF(LEFT(A3,3)="Câu",VALUE(MID(A3,5,FIND(".",A3,1)-5)),"")</f>
        <v/>
      </c>
      <c r="E3" t="str">
        <f>SUBSTITUTE(IF(LEFT(A3,3)="Câu",MID(A3,FIND(".",A3,1)+2,LEN(A3)),""),CHAR(34),CHAR(92)&amp;CHAR(34))</f>
        <v/>
      </c>
      <c r="G3" t="str">
        <f>SUBSTITUTE(B4,CHAR(34),CHAR(92)&amp;CHAR(34))</f>
        <v>Phần đường xe chạy.</v>
      </c>
      <c r="H3" t="str">
        <f>SUBSTITUTE(B5,CHAR(34),CHAR(92)&amp;CHAR(34))</f>
        <v>Phần đường xe cơ giới.</v>
      </c>
      <c r="I3" t="str">
        <f>SUBSTITUTE(IF(LEFT(A6,3)="Câu","",B6),CHAR(34),CHAR(92)&amp;CHAR(34))</f>
        <v/>
      </c>
      <c r="J3" t="str">
        <f>SUBSTITUTE(IF(OR(LEFT(A7,3)="Câu",I3=""),"",IF(B7=0,"",B7)),CHAR(34),CHAR(92)&amp;CHAR(34))</f>
        <v/>
      </c>
      <c r="K3" t="str">
        <f>SUBSTITUTE(SUBSTITUTE(SUBSTITUTE(SUBSTITUTE(IFERROR(VLOOKUP("Câu "&amp;D3&amp;".",dapan!$E:$J,6,0),""),"1","A"),"2","B"),"3","C"),"4","D")</f>
        <v/>
      </c>
      <c r="P3" t="str">
        <f t="shared" ref="P3:P66" si="1">D3</f>
        <v/>
      </c>
      <c r="Q3" t="str">
        <f t="shared" ref="Q3:Q66" si="2">IF(D3="","",CHAR(123)&amp;CHAR(34)&amp;"num"&amp;CHAR(34)&amp;":"&amp;P3&amp;","&amp;CHAR(34)&amp;"id"&amp;CHAR(34)&amp;":"&amp;D3&amp;","
&amp;CHAR(34)&amp;"q"&amp;CHAR(34)&amp;":"&amp;CHAR(34)&amp;E3&amp;CHAR(34)&amp;","
&amp;IF(F3="","",CHAR(34)&amp;"img"&amp;CHAR(34)&amp;":"&amp;CHAR(34)&amp;F3&amp;CHAR(34)&amp;",")
&amp;CHAR(34)&amp;"opts"&amp;CHAR(34)&amp;":"&amp;CHAR(123)&amp;CHAR(34)&amp;"A"&amp;CHAR(34)&amp;":"&amp;CHAR(34)&amp;G3&amp;CHAR(34)&amp;","&amp;CHAR(34)&amp;"B"&amp;CHAR(34)&amp;":"&amp;CHAR(34)&amp;H3&amp;CHAR(34)
&amp;IF(I3="","",","&amp;CHAR(34)&amp;"C"&amp;CHAR(34)&amp;":"&amp;CHAR(34)&amp;I3&amp;CHAR(34))&amp;IF(J3="","",","&amp;CHAR(34)&amp;"D"&amp;CHAR(34)&amp;":"&amp;CHAR(34)&amp;J3&amp;CHAR(34))&amp;CHAR(125)&amp;","
&amp;CHAR(34)&amp;"answer"&amp;CHAR(34)&amp;":"&amp;CHAR(34)&amp;K3&amp;CHAR(34)
&amp;IF(L3="","",","&amp;CHAR(34)&amp;"danger"&amp;CHAR(34)&amp;":"&amp;CHAR(34)&amp;"true"&amp;CHAR(34))
&amp;IF(M3="","",","&amp;CHAR(34)&amp;"explain"&amp;CHAR(34)&amp;":"&amp;CHAR(34)&amp;M3&amp;CHAR(34))
&amp;IF(N3="","",","&amp;CHAR(34)&amp;"explainImg"&amp;CHAR(34)&amp;":"&amp;CHAR(34)&amp;N3&amp;CHAR(34))
&amp;IF(O3="","",","&amp;CHAR(34)&amp;"shuffle"&amp;CHAR(34)&amp;":"&amp;CHAR(34)&amp;"false"&amp;CHAR(34))&amp;CHAR(125)&amp;",")</f>
        <v/>
      </c>
    </row>
    <row r="4" spans="1:19" hidden="1" x14ac:dyDescent="0.25">
      <c r="A4">
        <v>2</v>
      </c>
      <c r="B4" t="s">
        <v>3088</v>
      </c>
      <c r="C4">
        <f>IFERROR(COUNTIFS($A$1:A4,"Câu "&amp;"*")-MID(A4,5,FIND(".",A4,1)-5),0)</f>
        <v>0</v>
      </c>
      <c r="D4" t="str">
        <f t="shared" si="0"/>
        <v/>
      </c>
      <c r="E4" t="str">
        <f>SUBSTITUTE(IF(LEFT(A4,3)="Câu",MID(A4,FIND(".",A4,1)+2,LEN(A4)),""),CHAR(34),CHAR(92)&amp;CHAR(34))</f>
        <v/>
      </c>
      <c r="G4" t="str">
        <f>SUBSTITUTE(B5,CHAR(34),CHAR(92)&amp;CHAR(34))</f>
        <v>Phần đường xe cơ giới.</v>
      </c>
      <c r="H4" t="str">
        <f>SUBSTITUTE(B6,CHAR(34),CHAR(92)&amp;CHAR(34))</f>
        <v/>
      </c>
      <c r="I4" t="str">
        <f>SUBSTITUTE(IF(LEFT(A7,3)="Câu","",B7),CHAR(34),CHAR(92)&amp;CHAR(34))</f>
        <v>Là một phần của phần đường xe chạy được chia theo chiều dọc của đường, sử dụng cho xe chạy.</v>
      </c>
      <c r="J4" t="str">
        <f>SUBSTITUTE(IF(OR(LEFT(A8,3)="Câu",I4=""),"",IF(B8=0,"",B8)),CHAR(34),CHAR(92)&amp;CHAR(34))</f>
        <v>Là một phần của phần đường xe chạy được chia theo chiều dọc của đường, có đủ chiều rộng cho xe chạy an toàn.</v>
      </c>
      <c r="K4" t="str">
        <f>SUBSTITUTE(SUBSTITUTE(SUBSTITUTE(SUBSTITUTE(IFERROR(VLOOKUP("Câu "&amp;D4&amp;".",dapan!$E:$J,6,0),""),"1","A"),"2","B"),"3","C"),"4","D")</f>
        <v/>
      </c>
      <c r="P4" t="str">
        <f t="shared" si="1"/>
        <v/>
      </c>
      <c r="Q4" t="str">
        <f t="shared" si="2"/>
        <v/>
      </c>
    </row>
    <row r="5" spans="1:19" hidden="1" x14ac:dyDescent="0.25">
      <c r="A5">
        <v>3</v>
      </c>
      <c r="B5" t="s">
        <v>3</v>
      </c>
      <c r="C5">
        <f>IFERROR(COUNTIFS($A$1:A5,"Câu "&amp;"*")-MID(A5,5,FIND(".",A5,1)-5),0)</f>
        <v>0</v>
      </c>
      <c r="D5" t="str">
        <f t="shared" si="0"/>
        <v/>
      </c>
      <c r="E5" t="str">
        <f>SUBSTITUTE(IF(LEFT(A5,3)="Câu",MID(A5,FIND(".",A5,1)+2,LEN(A5)),""),CHAR(34),CHAR(92)&amp;CHAR(34))</f>
        <v/>
      </c>
      <c r="G5" t="str">
        <f>SUBSTITUTE(B6,CHAR(34),CHAR(92)&amp;CHAR(34))</f>
        <v/>
      </c>
      <c r="H5" t="str">
        <f>SUBSTITUTE(B7,CHAR(34),CHAR(92)&amp;CHAR(34))</f>
        <v>Là một phần của phần đường xe chạy được chia theo chiều dọc của đường, sử dụng cho xe chạy.</v>
      </c>
      <c r="I5" t="str">
        <f>SUBSTITUTE(IF(LEFT(A8,3)="Câu","",B8),CHAR(34),CHAR(92)&amp;CHAR(34))</f>
        <v>Là một phần của phần đường xe chạy được chia theo chiều dọc của đường, có đủ chiều rộng cho xe chạy an toàn.</v>
      </c>
      <c r="J5" t="str">
        <f>SUBSTITUTE(IF(OR(LEFT(A9,3)="Câu",I5=""),"",IF(B9=0,"",B9)),CHAR(34),CHAR(92)&amp;CHAR(34))</f>
        <v>Là đường cho xe ô tô chạy, dừng, đỗ an toàn.</v>
      </c>
      <c r="K5" t="str">
        <f>SUBSTITUTE(SUBSTITUTE(SUBSTITUTE(SUBSTITUTE(IFERROR(VLOOKUP("Câu "&amp;D5&amp;".",dapan!$E:$J,6,0),""),"1","A"),"2","B"),"3","C"),"4","D")</f>
        <v/>
      </c>
      <c r="P5" t="str">
        <f t="shared" si="1"/>
        <v/>
      </c>
      <c r="Q5" t="str">
        <f t="shared" si="2"/>
        <v/>
      </c>
    </row>
    <row r="6" spans="1:19" x14ac:dyDescent="0.25">
      <c r="A6" t="s">
        <v>4</v>
      </c>
      <c r="C6">
        <f>IFERROR(COUNTIFS($A$1:A6,"Câu "&amp;"*")-MID(A6,5,FIND(".",A6,1)-5),0)</f>
        <v>0</v>
      </c>
      <c r="D6">
        <f t="shared" si="0"/>
        <v>2</v>
      </c>
      <c r="E6" t="str">
        <f>SUBSTITUTE(IF(LEFT(A6,3)="Câu",MID(A6,FIND(".",A6,1)+2,LEN(A6)),""),CHAR(34),CHAR(92)&amp;CHAR(34))</f>
        <v>Làn đường là gì?</v>
      </c>
      <c r="G6" t="str">
        <f>SUBSTITUTE(B7,CHAR(34),CHAR(92)&amp;CHAR(34))</f>
        <v>Là một phần của phần đường xe chạy được chia theo chiều dọc của đường, sử dụng cho xe chạy.</v>
      </c>
      <c r="H6" t="str">
        <f>SUBSTITUTE(B8,CHAR(34),CHAR(92)&amp;CHAR(34))</f>
        <v>Là một phần của phần đường xe chạy được chia theo chiều dọc của đường, có đủ chiều rộng cho xe chạy an toàn.</v>
      </c>
      <c r="I6" t="str">
        <f>SUBSTITUTE(IF(LEFT(A9,3)="Câu","",B9),CHAR(34),CHAR(92)&amp;CHAR(34))</f>
        <v>Là đường cho xe ô tô chạy, dừng, đỗ an toàn.</v>
      </c>
      <c r="J6" t="str">
        <f>SUBSTITUTE(IF(OR(LEFT(A10,3)="Câu",I6=""),"",IF(B10=0,"",B10)),CHAR(34),CHAR(92)&amp;CHAR(34))</f>
        <v/>
      </c>
      <c r="K6" t="str">
        <f ca="1">SUBSTITUTE(SUBSTITUTE(SUBSTITUTE(SUBSTITUTE(IFERROR(VLOOKUP("Câu "&amp;D6&amp;".",dapan!$E:$J,6,0),""),"1","A"),"2","B"),"3","C"),"4","D")</f>
        <v>B</v>
      </c>
      <c r="P6">
        <f t="shared" si="1"/>
        <v>2</v>
      </c>
      <c r="Q6" t="str">
        <f t="shared" ca="1" si="2"/>
        <v>{"num":2,"id":2,"q":"Làn đường là gì?","opts":{"A":"Là một phần của phần đường xe chạy được chia theo chiều dọc của đường, sử dụng cho xe chạy.","B":"Là một phần của phần đường xe chạy được chia theo chiều dọc của đường, có đủ chiều rộng cho xe chạy an toàn.","C":"Là đường cho xe ô tô chạy, dừng, đỗ an toàn."},"answer":"B"},</v>
      </c>
      <c r="R6" t="str">
        <f>CHAR(S6)</f>
        <v xml:space="preserve">
</v>
      </c>
      <c r="S6">
        <v>10</v>
      </c>
    </row>
    <row r="7" spans="1:19" hidden="1" x14ac:dyDescent="0.25">
      <c r="A7">
        <v>1</v>
      </c>
      <c r="B7" t="s">
        <v>5</v>
      </c>
      <c r="C7">
        <f>IFERROR(COUNTIFS($A$1:A7,"Câu "&amp;"*")-MID(A7,5,FIND(".",A7,1)-5),0)</f>
        <v>0</v>
      </c>
      <c r="D7" t="str">
        <f t="shared" si="0"/>
        <v/>
      </c>
      <c r="E7" t="str">
        <f>SUBSTITUTE(IF(LEFT(A7,3)="Câu",MID(A7,FIND(".",A7,1)+2,LEN(A7)),""),CHAR(34),CHAR(92)&amp;CHAR(34))</f>
        <v/>
      </c>
      <c r="G7" t="str">
        <f>SUBSTITUTE(B8,CHAR(34),CHAR(92)&amp;CHAR(34))</f>
        <v>Là một phần của phần đường xe chạy được chia theo chiều dọc của đường, có đủ chiều rộng cho xe chạy an toàn.</v>
      </c>
      <c r="H7" t="str">
        <f>SUBSTITUTE(B9,CHAR(34),CHAR(92)&amp;CHAR(34))</f>
        <v>Là đường cho xe ô tô chạy, dừng, đỗ an toàn.</v>
      </c>
      <c r="I7" t="str">
        <f>SUBSTITUTE(IF(LEFT(A10,3)="Câu","",B10),CHAR(34),CHAR(92)&amp;CHAR(34))</f>
        <v/>
      </c>
      <c r="J7" t="str">
        <f>SUBSTITUTE(IF(OR(LEFT(A11,3)="Câu",I7=""),"",IF(B11=0,"",B11)),CHAR(34),CHAR(92)&amp;CHAR(34))</f>
        <v/>
      </c>
      <c r="K7" t="str">
        <f>SUBSTITUTE(SUBSTITUTE(SUBSTITUTE(SUBSTITUTE(IFERROR(VLOOKUP("Câu "&amp;D7&amp;".",dapan!$E:$J,6,0),""),"1","A"),"2","B"),"3","C"),"4","D")</f>
        <v/>
      </c>
      <c r="P7" t="str">
        <f t="shared" si="1"/>
        <v/>
      </c>
      <c r="Q7" t="str">
        <f t="shared" si="2"/>
        <v/>
      </c>
      <c r="R7" t="str">
        <f>CHAR(S7)</f>
        <v>_x000B_</v>
      </c>
      <c r="S7">
        <f>S6+1</f>
        <v>11</v>
      </c>
    </row>
    <row r="8" spans="1:19" hidden="1" x14ac:dyDescent="0.25">
      <c r="A8">
        <v>2</v>
      </c>
      <c r="B8" t="s">
        <v>3089</v>
      </c>
      <c r="C8">
        <f>IFERROR(COUNTIFS($A$1:A8,"Câu "&amp;"*")-MID(A8,5,FIND(".",A8,1)-5),0)</f>
        <v>0</v>
      </c>
      <c r="D8" t="str">
        <f t="shared" si="0"/>
        <v/>
      </c>
      <c r="E8" t="str">
        <f>SUBSTITUTE(IF(LEFT(A8,3)="Câu",MID(A8,FIND(".",A8,1)+2,LEN(A8)),""),CHAR(34),CHAR(92)&amp;CHAR(34))</f>
        <v/>
      </c>
      <c r="G8" t="str">
        <f>SUBSTITUTE(B9,CHAR(34),CHAR(92)&amp;CHAR(34))</f>
        <v>Là đường cho xe ô tô chạy, dừng, đỗ an toàn.</v>
      </c>
      <c r="H8" t="str">
        <f>SUBSTITUTE(B10,CHAR(34),CHAR(92)&amp;CHAR(34))</f>
        <v/>
      </c>
      <c r="I8" t="str">
        <f>SUBSTITUTE(IF(LEFT(A11,3)="Câu","",B11),CHAR(34),CHAR(92)&amp;CHAR(34))</f>
        <v>Khổ giới hạn của đường bộ là khoảng trống có kích thước giới hạn về chiều rộng, chiều cao của đường bộ để các xe, bao gồm cả hàng hoá xếp trên xe đi qua được an toàn và được xác định theo quy chuẩn, tiêu chuẩn kỹ thuật của đường bộ.</v>
      </c>
      <c r="J8" t="str">
        <f>SUBSTITUTE(IF(OR(LEFT(A12,3)="Câu",I8=""),"",IF(B12=0,"",B12)),CHAR(34),CHAR(92)&amp;CHAR(34))</f>
        <v>Là khoảng trống có kích thước giới hạn về chiều rộng của đường, cầu, bến phà, hầm trên đường bộ để các xe kể cả hàng hóa xếp trên xe đi qua được an toàn.</v>
      </c>
      <c r="K8" t="str">
        <f>SUBSTITUTE(SUBSTITUTE(SUBSTITUTE(SUBSTITUTE(IFERROR(VLOOKUP("Câu "&amp;D8&amp;".",dapan!$E:$J,6,0),""),"1","A"),"2","B"),"3","C"),"4","D")</f>
        <v/>
      </c>
      <c r="P8" t="str">
        <f t="shared" si="1"/>
        <v/>
      </c>
      <c r="Q8" t="str">
        <f t="shared" si="2"/>
        <v/>
      </c>
      <c r="R8" t="str">
        <f t="shared" ref="R8:R71" si="3">CHAR(S8)</f>
        <v>_x000C_</v>
      </c>
      <c r="S8">
        <f t="shared" ref="S8:S43" si="4">S7+1</f>
        <v>12</v>
      </c>
    </row>
    <row r="9" spans="1:19" hidden="1" x14ac:dyDescent="0.25">
      <c r="A9">
        <v>3</v>
      </c>
      <c r="B9" t="s">
        <v>6</v>
      </c>
      <c r="C9">
        <f>IFERROR(COUNTIFS($A$1:A9,"Câu "&amp;"*")-MID(A9,5,FIND(".",A9,1)-5),0)</f>
        <v>0</v>
      </c>
      <c r="D9" t="str">
        <f t="shared" si="0"/>
        <v/>
      </c>
      <c r="E9" t="str">
        <f>SUBSTITUTE(IF(LEFT(A9,3)="Câu",MID(A9,FIND(".",A9,1)+2,LEN(A9)),""),CHAR(34),CHAR(92)&amp;CHAR(34))</f>
        <v/>
      </c>
      <c r="G9" t="str">
        <f>SUBSTITUTE(B10,CHAR(34),CHAR(92)&amp;CHAR(34))</f>
        <v/>
      </c>
      <c r="H9" t="str">
        <f>SUBSTITUTE(B11,CHAR(34),CHAR(92)&amp;CHAR(34))</f>
        <v>Khổ giới hạn của đường bộ là khoảng trống có kích thước giới hạn về chiều rộng, chiều cao của đường bộ để các xe, bao gồm cả hàng hoá xếp trên xe đi qua được an toàn và được xác định theo quy chuẩn, tiêu chuẩn kỹ thuật của đường bộ.</v>
      </c>
      <c r="I9" t="str">
        <f>SUBSTITUTE(IF(LEFT(A12,3)="Câu","",B12),CHAR(34),CHAR(92)&amp;CHAR(34))</f>
        <v>Là khoảng trống có kích thước giới hạn về chiều rộng của đường, cầu, bến phà, hầm trên đường bộ để các xe kể cả hàng hóa xếp trên xe đi qua được an toàn.</v>
      </c>
      <c r="J9" t="str">
        <f>SUBSTITUTE(IF(OR(LEFT(A13,3)="Câu",I9=""),"",IF(B13=0,"",B13)),CHAR(34),CHAR(92)&amp;CHAR(34))</f>
        <v>Là khoảng trống có kích thước giới hạn về chiều cao của cầu, bến phà, hầm trên đường bộ để các xe đi qua được an toàn.</v>
      </c>
      <c r="K9" t="str">
        <f>SUBSTITUTE(SUBSTITUTE(SUBSTITUTE(SUBSTITUTE(IFERROR(VLOOKUP("Câu "&amp;D9&amp;".",dapan!$E:$J,6,0),""),"1","A"),"2","B"),"3","C"),"4","D")</f>
        <v/>
      </c>
      <c r="P9" t="str">
        <f t="shared" si="1"/>
        <v/>
      </c>
      <c r="Q9" t="str">
        <f t="shared" si="2"/>
        <v/>
      </c>
      <c r="R9" t="str">
        <f t="shared" si="3"/>
        <v>_x000D_</v>
      </c>
      <c r="S9">
        <f t="shared" si="4"/>
        <v>13</v>
      </c>
    </row>
    <row r="10" spans="1:19" x14ac:dyDescent="0.25">
      <c r="A10" t="s">
        <v>7</v>
      </c>
      <c r="C10">
        <f>IFERROR(COUNTIFS($A$1:A10,"Câu "&amp;"*")-MID(A10,5,FIND(".",A10,1)-5),0)</f>
        <v>0</v>
      </c>
      <c r="D10">
        <f t="shared" si="0"/>
        <v>3</v>
      </c>
      <c r="E10" t="str">
        <f>SUBSTITUTE(IF(LEFT(A10,3)="Câu",MID(A10,FIND(".",A10,1)+2,LEN(A10)),""),CHAR(34),CHAR(92)&amp;CHAR(34))</f>
        <v>Khổ giới hạn của đường bộ được hiểu như thế nào là đúng?</v>
      </c>
      <c r="G10" t="str">
        <f>SUBSTITUTE(B11,CHAR(34),CHAR(92)&amp;CHAR(34))</f>
        <v>Khổ giới hạn của đường bộ là khoảng trống có kích thước giới hạn về chiều rộng, chiều cao của đường bộ để các xe, bao gồm cả hàng hoá xếp trên xe đi qua được an toàn và được xác định theo quy chuẩn, tiêu chuẩn kỹ thuật của đường bộ.</v>
      </c>
      <c r="H10" t="str">
        <f>SUBSTITUTE(B12,CHAR(34),CHAR(92)&amp;CHAR(34))</f>
        <v>Là khoảng trống có kích thước giới hạn về chiều rộng của đường, cầu, bến phà, hầm trên đường bộ để các xe kể cả hàng hóa xếp trên xe đi qua được an toàn.</v>
      </c>
      <c r="I10" t="str">
        <f>SUBSTITUTE(IF(LEFT(A13,3)="Câu","",B13),CHAR(34),CHAR(92)&amp;CHAR(34))</f>
        <v>Là khoảng trống có kích thước giới hạn về chiều cao của cầu, bến phà, hầm trên đường bộ để các xe đi qua được an toàn.</v>
      </c>
      <c r="J10" t="str">
        <f>SUBSTITUTE(IF(OR(LEFT(A14,3)="Câu",I10=""),"",IF(B14=0,"",B14)),CHAR(34),CHAR(92)&amp;CHAR(34))</f>
        <v/>
      </c>
      <c r="K10" t="str">
        <f ca="1">SUBSTITUTE(SUBSTITUTE(SUBSTITUTE(SUBSTITUTE(IFERROR(VLOOKUP("Câu "&amp;D10&amp;".",dapan!$E:$J,6,0),""),"1","A"),"2","B"),"3","C"),"4","D")</f>
        <v>A</v>
      </c>
      <c r="P10">
        <f t="shared" si="1"/>
        <v>3</v>
      </c>
      <c r="Q10" t="str">
        <f t="shared" ca="1" si="2"/>
        <v>{"num":3,"id":3,"q":"Khổ giới hạn của đường bộ được hiểu như thế nào là đúng?","opts":{"A":"Khổ giới hạn của đường bộ là khoảng trống có kích thước giới hạn về chiều rộng, chiều cao của đường bộ để các xe, bao gồm cả hàng hoá xếp trên xe đi qua được an toàn và được xác định theo quy chuẩn, tiêu chuẩn kỹ thuật của đường bộ.","B":"Là khoảng trống có kích thước giới hạn về chiều rộng của đường, cầu, bến phà, hầm trên đường bộ để các xe kể cả hàng hóa xếp trên xe đi qua được an toàn.","C":"Là khoảng trống có kích thước giới hạn về chiều cao của cầu, bến phà, hầm trên đường bộ để các xe đi qua được an toàn."},"answer":"A"},</v>
      </c>
      <c r="R10" t="str">
        <f t="shared" si="3"/>
        <v>_x000E_</v>
      </c>
      <c r="S10">
        <f t="shared" si="4"/>
        <v>14</v>
      </c>
    </row>
    <row r="11" spans="1:19" hidden="1" x14ac:dyDescent="0.25">
      <c r="A11">
        <v>1</v>
      </c>
      <c r="B11" t="s">
        <v>3090</v>
      </c>
      <c r="C11">
        <f>IFERROR(COUNTIFS($A$1:A11,"Câu "&amp;"*")-MID(A11,5,FIND(".",A11,1)-5),0)</f>
        <v>0</v>
      </c>
      <c r="D11" t="str">
        <f t="shared" si="0"/>
        <v/>
      </c>
      <c r="E11" t="str">
        <f>SUBSTITUTE(IF(LEFT(A11,3)="Câu",MID(A11,FIND(".",A11,1)+2,LEN(A11)),""),CHAR(34),CHAR(92)&amp;CHAR(34))</f>
        <v/>
      </c>
      <c r="G11" t="str">
        <f>SUBSTITUTE(B12,CHAR(34),CHAR(92)&amp;CHAR(34))</f>
        <v>Là khoảng trống có kích thước giới hạn về chiều rộng của đường, cầu, bến phà, hầm trên đường bộ để các xe kể cả hàng hóa xếp trên xe đi qua được an toàn.</v>
      </c>
      <c r="H11" t="str">
        <f>SUBSTITUTE(B13,CHAR(34),CHAR(92)&amp;CHAR(34))</f>
        <v>Là khoảng trống có kích thước giới hạn về chiều cao của cầu, bến phà, hầm trên đường bộ để các xe đi qua được an toàn.</v>
      </c>
      <c r="I11" t="str">
        <f>SUBSTITUTE(IF(LEFT(A14,3)="Câu","",B14),CHAR(34),CHAR(92)&amp;CHAR(34))</f>
        <v/>
      </c>
      <c r="J11" t="str">
        <f>SUBSTITUTE(IF(OR(LEFT(A15,3)="Câu",I11=""),"",IF(B15=0,"",B15)),CHAR(34),CHAR(92)&amp;CHAR(34))</f>
        <v/>
      </c>
      <c r="K11" t="str">
        <f>SUBSTITUTE(SUBSTITUTE(SUBSTITUTE(SUBSTITUTE(IFERROR(VLOOKUP("Câu "&amp;D11&amp;".",dapan!$E:$J,6,0),""),"1","A"),"2","B"),"3","C"),"4","D")</f>
        <v/>
      </c>
      <c r="P11" t="str">
        <f t="shared" si="1"/>
        <v/>
      </c>
      <c r="Q11" t="str">
        <f t="shared" si="2"/>
        <v/>
      </c>
      <c r="R11" t="str">
        <f t="shared" si="3"/>
        <v>_x000F_</v>
      </c>
      <c r="S11">
        <f t="shared" si="4"/>
        <v>15</v>
      </c>
    </row>
    <row r="12" spans="1:19" hidden="1" x14ac:dyDescent="0.25">
      <c r="A12">
        <v>2</v>
      </c>
      <c r="B12" t="s">
        <v>1748</v>
      </c>
      <c r="C12">
        <f>IFERROR(COUNTIFS($A$1:A12,"Câu "&amp;"*")-MID(A12,5,FIND(".",A12,1)-5),0)</f>
        <v>0</v>
      </c>
      <c r="D12" t="str">
        <f t="shared" si="0"/>
        <v/>
      </c>
      <c r="E12" t="str">
        <f>SUBSTITUTE(IF(LEFT(A12,3)="Câu",MID(A12,FIND(".",A12,1)+2,LEN(A12)),""),CHAR(34),CHAR(92)&amp;CHAR(34))</f>
        <v/>
      </c>
      <c r="G12" t="str">
        <f>SUBSTITUTE(B13,CHAR(34),CHAR(92)&amp;CHAR(34))</f>
        <v>Là khoảng trống có kích thước giới hạn về chiều cao của cầu, bến phà, hầm trên đường bộ để các xe đi qua được an toàn.</v>
      </c>
      <c r="H12" t="str">
        <f>SUBSTITUTE(B14,CHAR(34),CHAR(92)&amp;CHAR(34))</f>
        <v/>
      </c>
      <c r="I12" t="str">
        <f>SUBSTITUTE(IF(LEFT(A15,3)="Câu","",B15),CHAR(34),CHAR(92)&amp;CHAR(34))</f>
        <v>Để phân chia các làn đường dành cho xe cơ giới và xe thô sơ trên đường cao tốc.</v>
      </c>
      <c r="J12" t="str">
        <f>SUBSTITUTE(IF(OR(LEFT(A16,3)="Câu",I12=""),"",IF(B16=0,"",B16)),CHAR(34),CHAR(92)&amp;CHAR(34))</f>
        <v>Để phân chia phần đường xe chạy thành hai chiều riêng biệt hoặc để phân chia phần đường dành cho xe cơ giới và xe thô sơ hoặc của nhiều loại xe khác nhau trên cùng một chiều đường.</v>
      </c>
      <c r="K12" t="str">
        <f>SUBSTITUTE(SUBSTITUTE(SUBSTITUTE(SUBSTITUTE(IFERROR(VLOOKUP("Câu "&amp;D12&amp;".",dapan!$E:$J,6,0),""),"1","A"),"2","B"),"3","C"),"4","D")</f>
        <v/>
      </c>
      <c r="P12" t="str">
        <f t="shared" si="1"/>
        <v/>
      </c>
      <c r="Q12" t="str">
        <f t="shared" si="2"/>
        <v/>
      </c>
      <c r="R12" t="str">
        <f t="shared" si="3"/>
        <v>_x0010_</v>
      </c>
      <c r="S12">
        <f t="shared" si="4"/>
        <v>16</v>
      </c>
    </row>
    <row r="13" spans="1:19" hidden="1" x14ac:dyDescent="0.25">
      <c r="A13">
        <v>3</v>
      </c>
      <c r="B13" t="s">
        <v>8</v>
      </c>
      <c r="C13">
        <f>IFERROR(COUNTIFS($A$1:A13,"Câu "&amp;"*")-MID(A13,5,FIND(".",A13,1)-5),0)</f>
        <v>0</v>
      </c>
      <c r="D13" t="str">
        <f t="shared" si="0"/>
        <v/>
      </c>
      <c r="E13" t="str">
        <f>SUBSTITUTE(IF(LEFT(A13,3)="Câu",MID(A13,FIND(".",A13,1)+2,LEN(A13)),""),CHAR(34),CHAR(92)&amp;CHAR(34))</f>
        <v/>
      </c>
      <c r="G13" t="str">
        <f>SUBSTITUTE(B14,CHAR(34),CHAR(92)&amp;CHAR(34))</f>
        <v/>
      </c>
      <c r="H13" t="str">
        <f>SUBSTITUTE(B15,CHAR(34),CHAR(92)&amp;CHAR(34))</f>
        <v>Để phân chia các làn đường dành cho xe cơ giới và xe thô sơ trên đường cao tốc.</v>
      </c>
      <c r="I13" t="str">
        <f>SUBSTITUTE(IF(LEFT(A16,3)="Câu","",B16),CHAR(34),CHAR(92)&amp;CHAR(34))</f>
        <v>Để phân chia phần đường xe chạy thành hai chiều riêng biệt hoặc để phân chia phần đường dành cho xe cơ giới và xe thô sơ hoặc của nhiều loại xe khác nhau trên cùng một chiều đường.</v>
      </c>
      <c r="J13" t="str">
        <f>SUBSTITUTE(IF(OR(LEFT(A17,3)="Câu",I13=""),"",IF(B17=0,"",B17)),CHAR(34),CHAR(92)&amp;CHAR(34))</f>
        <v>Để phân tách phần đường xe chạy và hành lang an toàn giao thông.</v>
      </c>
      <c r="K13" t="str">
        <f>SUBSTITUTE(SUBSTITUTE(SUBSTITUTE(SUBSTITUTE(IFERROR(VLOOKUP("Câu "&amp;D13&amp;".",dapan!$E:$J,6,0),""),"1","A"),"2","B"),"3","C"),"4","D")</f>
        <v/>
      </c>
      <c r="P13" t="str">
        <f t="shared" si="1"/>
        <v/>
      </c>
      <c r="Q13" t="str">
        <f t="shared" si="2"/>
        <v/>
      </c>
      <c r="R13" t="str">
        <f t="shared" si="3"/>
        <v>_x0011_</v>
      </c>
      <c r="S13">
        <f t="shared" si="4"/>
        <v>17</v>
      </c>
    </row>
    <row r="14" spans="1:19" x14ac:dyDescent="0.25">
      <c r="A14" t="s">
        <v>9</v>
      </c>
      <c r="C14">
        <f>IFERROR(COUNTIFS($A$1:A14,"Câu "&amp;"*")-MID(A14,5,FIND(".",A14,1)-5),0)</f>
        <v>0</v>
      </c>
      <c r="D14">
        <f t="shared" si="0"/>
        <v>4</v>
      </c>
      <c r="E14" t="str">
        <f>SUBSTITUTE(IF(LEFT(A14,3)="Câu",MID(A14,FIND(".",A14,1)+2,LEN(A14)),""),CHAR(34),CHAR(92)&amp;CHAR(34))</f>
        <v>Dải phân cách được lắp đặt để làm gì?</v>
      </c>
      <c r="G14" t="str">
        <f>SUBSTITUTE(B15,CHAR(34),CHAR(92)&amp;CHAR(34))</f>
        <v>Để phân chia các làn đường dành cho xe cơ giới và xe thô sơ trên đường cao tốc.</v>
      </c>
      <c r="H14" t="str">
        <f>SUBSTITUTE(B16,CHAR(34),CHAR(92)&amp;CHAR(34))</f>
        <v>Để phân chia phần đường xe chạy thành hai chiều riêng biệt hoặc để phân chia phần đường dành cho xe cơ giới và xe thô sơ hoặc của nhiều loại xe khác nhau trên cùng một chiều đường.</v>
      </c>
      <c r="I14" t="str">
        <f>SUBSTITUTE(IF(LEFT(A17,3)="Câu","",B17),CHAR(34),CHAR(92)&amp;CHAR(34))</f>
        <v>Để phân tách phần đường xe chạy và hành lang an toàn giao thông.</v>
      </c>
      <c r="J14" t="str">
        <f>SUBSTITUTE(IF(OR(LEFT(A18,3)="Câu",I14=""),"",IF(B18=0,"",B18)),CHAR(34),CHAR(92)&amp;CHAR(34))</f>
        <v/>
      </c>
      <c r="K14" t="str">
        <f ca="1">SUBSTITUTE(SUBSTITUTE(SUBSTITUTE(SUBSTITUTE(IFERROR(VLOOKUP("Câu "&amp;D14&amp;".",dapan!$E:$J,6,0),""),"1","A"),"2","B"),"3","C"),"4","D")</f>
        <v>B</v>
      </c>
      <c r="P14">
        <f t="shared" si="1"/>
        <v>4</v>
      </c>
      <c r="Q14" t="str">
        <f t="shared" ca="1" si="2"/>
        <v>{"num":4,"id":4,"q":"Dải phân cách được lắp đặt để làm gì?","opts":{"A":"Để phân chia các làn đường dành cho xe cơ giới và xe thô sơ trên đường cao tốc.","B":"Để phân chia phần đường xe chạy thành hai chiều riêng biệt hoặc để phân chia phần đường dành cho xe cơ giới và xe thô sơ hoặc của nhiều loại xe khác nhau trên cùng một chiều đường.","C":"Để phân tách phần đường xe chạy và hành lang an toàn giao thông."},"answer":"B"},</v>
      </c>
      <c r="R14" t="str">
        <f t="shared" si="3"/>
        <v>_x0012_</v>
      </c>
      <c r="S14">
        <f t="shared" si="4"/>
        <v>18</v>
      </c>
    </row>
    <row r="15" spans="1:19" hidden="1" x14ac:dyDescent="0.25">
      <c r="A15">
        <v>1</v>
      </c>
      <c r="B15" t="s">
        <v>10</v>
      </c>
      <c r="C15">
        <f>IFERROR(COUNTIFS($A$1:A15,"Câu "&amp;"*")-MID(A15,5,FIND(".",A15,1)-5),0)</f>
        <v>0</v>
      </c>
      <c r="D15" t="str">
        <f t="shared" si="0"/>
        <v/>
      </c>
      <c r="E15" t="str">
        <f>SUBSTITUTE(IF(LEFT(A15,3)="Câu",MID(A15,FIND(".",A15,1)+2,LEN(A15)),""),CHAR(34),CHAR(92)&amp;CHAR(34))</f>
        <v/>
      </c>
      <c r="G15" t="str">
        <f>SUBSTITUTE(B16,CHAR(34),CHAR(92)&amp;CHAR(34))</f>
        <v>Để phân chia phần đường xe chạy thành hai chiều riêng biệt hoặc để phân chia phần đường dành cho xe cơ giới và xe thô sơ hoặc của nhiều loại xe khác nhau trên cùng một chiều đường.</v>
      </c>
      <c r="H15" t="str">
        <f>SUBSTITUTE(B17,CHAR(34),CHAR(92)&amp;CHAR(34))</f>
        <v>Để phân tách phần đường xe chạy và hành lang an toàn giao thông.</v>
      </c>
      <c r="I15" t="str">
        <f>SUBSTITUTE(IF(LEFT(A18,3)="Câu","",B18),CHAR(34),CHAR(92)&amp;CHAR(34))</f>
        <v/>
      </c>
      <c r="J15" t="str">
        <f>SUBSTITUTE(IF(OR(LEFT(A19,3)="Câu",I15=""),"",IF(B19=0,"",B19)),CHAR(34),CHAR(92)&amp;CHAR(34))</f>
        <v/>
      </c>
      <c r="K15" t="str">
        <f>SUBSTITUTE(SUBSTITUTE(SUBSTITUTE(SUBSTITUTE(IFERROR(VLOOKUP("Câu "&amp;D15&amp;".",dapan!$E:$J,6,0),""),"1","A"),"2","B"),"3","C"),"4","D")</f>
        <v/>
      </c>
      <c r="P15" t="str">
        <f t="shared" si="1"/>
        <v/>
      </c>
      <c r="Q15" t="str">
        <f t="shared" si="2"/>
        <v/>
      </c>
      <c r="R15" t="str">
        <f t="shared" si="3"/>
        <v>_x0013_</v>
      </c>
      <c r="S15">
        <f t="shared" si="4"/>
        <v>19</v>
      </c>
    </row>
    <row r="16" spans="1:19" hidden="1" x14ac:dyDescent="0.25">
      <c r="A16">
        <v>2</v>
      </c>
      <c r="B16" t="s">
        <v>3091</v>
      </c>
      <c r="C16">
        <f>IFERROR(COUNTIFS($A$1:A16,"Câu "&amp;"*")-MID(A16,5,FIND(".",A16,1)-5),0)</f>
        <v>0</v>
      </c>
      <c r="D16" t="str">
        <f t="shared" si="0"/>
        <v/>
      </c>
      <c r="E16" t="str">
        <f>SUBSTITUTE(IF(LEFT(A16,3)="Câu",MID(A16,FIND(".",A16,1)+2,LEN(A16)),""),CHAR(34),CHAR(92)&amp;CHAR(34))</f>
        <v/>
      </c>
      <c r="G16" t="str">
        <f>SUBSTITUTE(B17,CHAR(34),CHAR(92)&amp;CHAR(34))</f>
        <v>Để phân tách phần đường xe chạy và hành lang an toàn giao thông.</v>
      </c>
      <c r="H16" t="str">
        <f>SUBSTITUTE(B18,CHAR(34),CHAR(92)&amp;CHAR(34))</f>
        <v/>
      </c>
      <c r="I16" t="str">
        <f>SUBSTITUTE(IF(LEFT(A19,3)="Câu","",B19),CHAR(34),CHAR(92)&amp;CHAR(34))</f>
        <v>Là báo hiệu đường bộ để hỗ trợ cảnh báo nguy hiểm cho người tham gia giao thông đường bộ.</v>
      </c>
      <c r="J16" t="str">
        <f>SUBSTITUTE(IF(OR(LEFT(A20,3)="Câu",I16=""),"",IF(B20=0,"",B20)),CHAR(34),CHAR(92)&amp;CHAR(34))</f>
        <v>Là vạch chỉ sự phân chia làn đường, vị trí hoặc hướng đi, vị trí dừng lại.</v>
      </c>
      <c r="K16" t="str">
        <f>SUBSTITUTE(SUBSTITUTE(SUBSTITUTE(SUBSTITUTE(IFERROR(VLOOKUP("Câu "&amp;D16&amp;".",dapan!$E:$J,6,0),""),"1","A"),"2","B"),"3","C"),"4","D")</f>
        <v/>
      </c>
      <c r="P16" t="str">
        <f t="shared" si="1"/>
        <v/>
      </c>
      <c r="Q16" t="str">
        <f t="shared" si="2"/>
        <v/>
      </c>
      <c r="R16" t="str">
        <f t="shared" si="3"/>
        <v>_x0014_</v>
      </c>
      <c r="S16">
        <f t="shared" si="4"/>
        <v>20</v>
      </c>
    </row>
    <row r="17" spans="1:19" hidden="1" x14ac:dyDescent="0.25">
      <c r="A17">
        <v>3</v>
      </c>
      <c r="B17" t="s">
        <v>11</v>
      </c>
      <c r="C17">
        <f>IFERROR(COUNTIFS($A$1:A17,"Câu "&amp;"*")-MID(A17,5,FIND(".",A17,1)-5),0)</f>
        <v>0</v>
      </c>
      <c r="D17" t="str">
        <f t="shared" si="0"/>
        <v/>
      </c>
      <c r="E17" t="str">
        <f>SUBSTITUTE(IF(LEFT(A17,3)="Câu",MID(A17,FIND(".",A17,1)+2,LEN(A17)),""),CHAR(34),CHAR(92)&amp;CHAR(34))</f>
        <v/>
      </c>
      <c r="G17" t="str">
        <f>SUBSTITUTE(B18,CHAR(34),CHAR(92)&amp;CHAR(34))</f>
        <v/>
      </c>
      <c r="H17" t="str">
        <f>SUBSTITUTE(B19,CHAR(34),CHAR(92)&amp;CHAR(34))</f>
        <v>Là báo hiệu đường bộ để hỗ trợ cảnh báo nguy hiểm cho người tham gia giao thông đường bộ.</v>
      </c>
      <c r="I17" t="str">
        <f>SUBSTITUTE(IF(LEFT(A20,3)="Câu","",B20),CHAR(34),CHAR(92)&amp;CHAR(34))</f>
        <v>Là vạch chỉ sự phân chia làn đường, vị trí hoặc hướng đi, vị trí dừng lại.</v>
      </c>
      <c r="J17" t="str">
        <f>SUBSTITUTE(IF(OR(LEFT(A21,3)="Câu",I17=""),"",IF(B21=0,"",B21)),CHAR(34),CHAR(92)&amp;CHAR(34))</f>
        <v>Là báo hiệu cho người tham gia giao thông đường bộ về các thông tin của đường bộ.</v>
      </c>
      <c r="K17" t="str">
        <f>SUBSTITUTE(SUBSTITUTE(SUBSTITUTE(SUBSTITUTE(IFERROR(VLOOKUP("Câu "&amp;D17&amp;".",dapan!$E:$J,6,0),""),"1","A"),"2","B"),"3","C"),"4","D")</f>
        <v/>
      </c>
      <c r="P17" t="str">
        <f t="shared" si="1"/>
        <v/>
      </c>
      <c r="Q17" t="str">
        <f t="shared" si="2"/>
        <v/>
      </c>
      <c r="R17" t="str">
        <f t="shared" si="3"/>
        <v>_x0015_</v>
      </c>
      <c r="S17">
        <f t="shared" si="4"/>
        <v>21</v>
      </c>
    </row>
    <row r="18" spans="1:19" x14ac:dyDescent="0.25">
      <c r="A18" t="s">
        <v>12</v>
      </c>
      <c r="C18">
        <f>IFERROR(COUNTIFS($A$1:A18,"Câu "&amp;"*")-MID(A18,5,FIND(".",A18,1)-5),0)</f>
        <v>0</v>
      </c>
      <c r="D18">
        <f t="shared" si="0"/>
        <v>5</v>
      </c>
      <c r="E18" t="str">
        <f>SUBSTITUTE(IF(LEFT(A18,3)="Câu",MID(A18,FIND(".",A18,1)+2,LEN(A18)),""),CHAR(34),CHAR(92)&amp;CHAR(34))</f>
        <v>Vạch kẻ đường là gì?</v>
      </c>
      <c r="G18" t="str">
        <f>SUBSTITUTE(B19,CHAR(34),CHAR(92)&amp;CHAR(34))</f>
        <v>Là báo hiệu đường bộ để hỗ trợ cảnh báo nguy hiểm cho người tham gia giao thông đường bộ.</v>
      </c>
      <c r="H18" t="str">
        <f>SUBSTITUTE(B20,CHAR(34),CHAR(92)&amp;CHAR(34))</f>
        <v>Là vạch chỉ sự phân chia làn đường, vị trí hoặc hướng đi, vị trí dừng lại.</v>
      </c>
      <c r="I18" t="str">
        <f>SUBSTITUTE(IF(LEFT(A21,3)="Câu","",B21),CHAR(34),CHAR(92)&amp;CHAR(34))</f>
        <v>Là báo hiệu cho người tham gia giao thông đường bộ về các thông tin của đường bộ.</v>
      </c>
      <c r="J18" t="str">
        <f>SUBSTITUTE(IF(OR(LEFT(A22,3)="Câu",I18=""),"",IF(B22=0,"",B22)),CHAR(34),CHAR(92)&amp;CHAR(34))</f>
        <v>Cả ba ý trên.</v>
      </c>
      <c r="K18" t="str">
        <f ca="1">SUBSTITUTE(SUBSTITUTE(SUBSTITUTE(SUBSTITUTE(IFERROR(VLOOKUP("Câu "&amp;D18&amp;".",dapan!$E:$J,6,0),""),"1","A"),"2","B"),"3","C"),"4","D")</f>
        <v>B</v>
      </c>
      <c r="P18">
        <f t="shared" si="1"/>
        <v>5</v>
      </c>
      <c r="Q18" t="str">
        <f t="shared" ca="1" si="2"/>
        <v>{"num":5,"id":5,"q":"Vạch kẻ đường là gì?","opts":{"A":"Là báo hiệu đường bộ để hỗ trợ cảnh báo nguy hiểm cho người tham gia giao thông đường bộ.","B":"Là vạch chỉ sự phân chia làn đường, vị trí hoặc hướng đi, vị trí dừng lại.","C":"Là báo hiệu cho người tham gia giao thông đường bộ về các thông tin của đường bộ.","D":"Cả ba ý trên."},"answer":"B"},</v>
      </c>
      <c r="R18" t="str">
        <f t="shared" si="3"/>
        <v>_x0016_</v>
      </c>
      <c r="S18">
        <f t="shared" si="4"/>
        <v>22</v>
      </c>
    </row>
    <row r="19" spans="1:19" hidden="1" x14ac:dyDescent="0.25">
      <c r="A19">
        <v>1</v>
      </c>
      <c r="B19" t="s">
        <v>13</v>
      </c>
      <c r="C19">
        <f>IFERROR(COUNTIFS($A$1:A19,"Câu "&amp;"*")-MID(A19,5,FIND(".",A19,1)-5),0)</f>
        <v>0</v>
      </c>
      <c r="D19" t="str">
        <f t="shared" si="0"/>
        <v/>
      </c>
      <c r="E19" t="str">
        <f>SUBSTITUTE(IF(LEFT(A19,3)="Câu",MID(A19,FIND(".",A19,1)+2,LEN(A19)),""),CHAR(34),CHAR(92)&amp;CHAR(34))</f>
        <v/>
      </c>
      <c r="G19" t="str">
        <f>SUBSTITUTE(B20,CHAR(34),CHAR(92)&amp;CHAR(34))</f>
        <v>Là vạch chỉ sự phân chia làn đường, vị trí hoặc hướng đi, vị trí dừng lại.</v>
      </c>
      <c r="H19" t="str">
        <f>SUBSTITUTE(B21,CHAR(34),CHAR(92)&amp;CHAR(34))</f>
        <v>Là báo hiệu cho người tham gia giao thông đường bộ về các thông tin của đường bộ.</v>
      </c>
      <c r="I19" t="str">
        <f>SUBSTITUTE(IF(LEFT(A22,3)="Câu","",B22),CHAR(34),CHAR(92)&amp;CHAR(34))</f>
        <v>Cả ba ý trên.</v>
      </c>
      <c r="J19" t="str">
        <f>SUBSTITUTE(IF(OR(LEFT(A23,3)="Câu",I19=""),"",IF(B23=0,"",B23)),CHAR(34),CHAR(92)&amp;CHAR(34))</f>
        <v/>
      </c>
      <c r="K19" t="str">
        <f>SUBSTITUTE(SUBSTITUTE(SUBSTITUTE(SUBSTITUTE(IFERROR(VLOOKUP("Câu "&amp;D19&amp;".",dapan!$E:$J,6,0),""),"1","A"),"2","B"),"3","C"),"4","D")</f>
        <v/>
      </c>
      <c r="P19" t="str">
        <f t="shared" si="1"/>
        <v/>
      </c>
      <c r="Q19" t="str">
        <f t="shared" si="2"/>
        <v/>
      </c>
      <c r="R19" t="str">
        <f t="shared" si="3"/>
        <v>_x0017_</v>
      </c>
      <c r="S19">
        <f t="shared" si="4"/>
        <v>23</v>
      </c>
    </row>
    <row r="20" spans="1:19" hidden="1" x14ac:dyDescent="0.25">
      <c r="A20">
        <v>2</v>
      </c>
      <c r="B20" t="s">
        <v>3092</v>
      </c>
      <c r="C20">
        <f>IFERROR(COUNTIFS($A$1:A20,"Câu "&amp;"*")-MID(A20,5,FIND(".",A20,1)-5),0)</f>
        <v>0</v>
      </c>
      <c r="D20" t="str">
        <f t="shared" si="0"/>
        <v/>
      </c>
      <c r="E20" t="str">
        <f>SUBSTITUTE(IF(LEFT(A20,3)="Câu",MID(A20,FIND(".",A20,1)+2,LEN(A20)),""),CHAR(34),CHAR(92)&amp;CHAR(34))</f>
        <v/>
      </c>
      <c r="G20" t="str">
        <f>SUBSTITUTE(B21,CHAR(34),CHAR(92)&amp;CHAR(34))</f>
        <v>Là báo hiệu cho người tham gia giao thông đường bộ về các thông tin của đường bộ.</v>
      </c>
      <c r="H20" t="str">
        <f>SUBSTITUTE(B22,CHAR(34),CHAR(92)&amp;CHAR(34))</f>
        <v>Cả ba ý trên.</v>
      </c>
      <c r="I20" t="str">
        <f>SUBSTITUTE(IF(LEFT(A23,3)="Câu","",B23),CHAR(34),CHAR(92)&amp;CHAR(34))</f>
        <v/>
      </c>
      <c r="J20" t="str">
        <f>SUBSTITUTE(IF(OR(LEFT(A24,3)="Câu",I20=""),"",IF(B24=0,"",B24)),CHAR(34),CHAR(92)&amp;CHAR(34))</f>
        <v/>
      </c>
      <c r="K20" t="str">
        <f>SUBSTITUTE(SUBSTITUTE(SUBSTITUTE(SUBSTITUTE(IFERROR(VLOOKUP("Câu "&amp;D20&amp;".",dapan!$E:$J,6,0),""),"1","A"),"2","B"),"3","C"),"4","D")</f>
        <v/>
      </c>
      <c r="P20" t="str">
        <f t="shared" si="1"/>
        <v/>
      </c>
      <c r="Q20" t="str">
        <f t="shared" si="2"/>
        <v/>
      </c>
      <c r="R20" t="str">
        <f t="shared" si="3"/>
        <v>_x0018_</v>
      </c>
      <c r="S20">
        <f t="shared" si="4"/>
        <v>24</v>
      </c>
    </row>
    <row r="21" spans="1:19" hidden="1" x14ac:dyDescent="0.25">
      <c r="A21">
        <v>3</v>
      </c>
      <c r="B21" t="s">
        <v>14</v>
      </c>
      <c r="C21">
        <f>IFERROR(COUNTIFS($A$1:A21,"Câu "&amp;"*")-MID(A21,5,FIND(".",A21,1)-5),0)</f>
        <v>0</v>
      </c>
      <c r="D21" t="str">
        <f t="shared" si="0"/>
        <v/>
      </c>
      <c r="E21" t="str">
        <f>SUBSTITUTE(IF(LEFT(A21,3)="Câu",MID(A21,FIND(".",A21,1)+2,LEN(A21)),""),CHAR(34),CHAR(92)&amp;CHAR(34))</f>
        <v/>
      </c>
      <c r="G21" t="str">
        <f>SUBSTITUTE(B22,CHAR(34),CHAR(92)&amp;CHAR(34))</f>
        <v>Cả ba ý trên.</v>
      </c>
      <c r="H21" t="str">
        <f>SUBSTITUTE(B23,CHAR(34),CHAR(92)&amp;CHAR(34))</f>
        <v/>
      </c>
      <c r="I21" t="str">
        <f>SUBSTITUTE(IF(LEFT(A24,3)="Câu","",B24),CHAR(34),CHAR(92)&amp;CHAR(34))</f>
        <v>Là người điều khiển xe cơ giới, người điều khiển xe thô sơ, người điều khiển xe máy chuyên dùng.</v>
      </c>
      <c r="J21" t="str">
        <f>SUBSTITUTE(IF(OR(LEFT(A25,3)="Câu",I21=""),"",IF(B25=0,"",B25)),CHAR(34),CHAR(92)&amp;CHAR(34))</f>
        <v>Là người được giao nhiệm vụ hướng dẫn giao thông trên đường bộ.</v>
      </c>
      <c r="K21" t="str">
        <f>SUBSTITUTE(SUBSTITUTE(SUBSTITUTE(SUBSTITUTE(IFERROR(VLOOKUP("Câu "&amp;D21&amp;".",dapan!$E:$J,6,0),""),"1","A"),"2","B"),"3","C"),"4","D")</f>
        <v/>
      </c>
      <c r="P21" t="str">
        <f t="shared" si="1"/>
        <v/>
      </c>
      <c r="Q21" t="str">
        <f t="shared" si="2"/>
        <v/>
      </c>
      <c r="R21" t="str">
        <f t="shared" si="3"/>
        <v>_x0019_</v>
      </c>
      <c r="S21">
        <f t="shared" si="4"/>
        <v>25</v>
      </c>
    </row>
    <row r="22" spans="1:19" hidden="1" x14ac:dyDescent="0.25">
      <c r="A22">
        <v>4</v>
      </c>
      <c r="B22" t="s">
        <v>15</v>
      </c>
      <c r="C22">
        <f>IFERROR(COUNTIFS($A$1:A22,"Câu "&amp;"*")-MID(A22,5,FIND(".",A22,1)-5),0)</f>
        <v>0</v>
      </c>
      <c r="D22" t="str">
        <f t="shared" si="0"/>
        <v/>
      </c>
      <c r="E22" t="str">
        <f>SUBSTITUTE(IF(LEFT(A22,3)="Câu",MID(A22,FIND(".",A22,1)+2,LEN(A22)),""),CHAR(34),CHAR(92)&amp;CHAR(34))</f>
        <v/>
      </c>
      <c r="G22" t="str">
        <f>SUBSTITUTE(B23,CHAR(34),CHAR(92)&amp;CHAR(34))</f>
        <v/>
      </c>
      <c r="H22" t="str">
        <f>SUBSTITUTE(B24,CHAR(34),CHAR(92)&amp;CHAR(34))</f>
        <v>Là người điều khiển xe cơ giới, người điều khiển xe thô sơ, người điều khiển xe máy chuyên dùng.</v>
      </c>
      <c r="I22" t="str">
        <f>SUBSTITUTE(IF(LEFT(A25,3)="Câu","",B25),CHAR(34),CHAR(92)&amp;CHAR(34))</f>
        <v>Là người được giao nhiệm vụ hướng dẫn giao thông trên đường bộ.</v>
      </c>
      <c r="J22" t="str">
        <f>SUBSTITUTE(IF(OR(LEFT(A26,3)="Câu",I22=""),"",IF(B26=0,"",B26)),CHAR(34),CHAR(92)&amp;CHAR(34))</f>
        <v>Cả hai ý trên.</v>
      </c>
      <c r="K22" t="str">
        <f>SUBSTITUTE(SUBSTITUTE(SUBSTITUTE(SUBSTITUTE(IFERROR(VLOOKUP("Câu "&amp;D22&amp;".",dapan!$E:$J,6,0),""),"1","A"),"2","B"),"3","C"),"4","D")</f>
        <v/>
      </c>
      <c r="P22" t="str">
        <f t="shared" si="1"/>
        <v/>
      </c>
      <c r="Q22" t="str">
        <f t="shared" si="2"/>
        <v/>
      </c>
      <c r="R22" t="str">
        <f t="shared" si="3"/>
        <v>_x001A_</v>
      </c>
      <c r="S22">
        <f t="shared" si="4"/>
        <v>26</v>
      </c>
    </row>
    <row r="23" spans="1:19" x14ac:dyDescent="0.25">
      <c r="A23" t="s">
        <v>16</v>
      </c>
      <c r="C23">
        <f>IFERROR(COUNTIFS($A$1:A23,"Câu "&amp;"*")-MID(A23,5,FIND(".",A23,1)-5),0)</f>
        <v>0</v>
      </c>
      <c r="D23">
        <f t="shared" si="0"/>
        <v>6</v>
      </c>
      <c r="E23" t="str">
        <f>SUBSTITUTE(IF(LEFT(A23,3)="Câu",MID(A23,FIND(".",A23,1)+2,LEN(A23)),""),CHAR(34),CHAR(92)&amp;CHAR(34))</f>
        <v>Người điều khiển phương tiện tham gia giao thông đường bộ được hiểu như thế nào là đúng?</v>
      </c>
      <c r="G23" t="str">
        <f>SUBSTITUTE(B24,CHAR(34),CHAR(92)&amp;CHAR(34))</f>
        <v>Là người điều khiển xe cơ giới, người điều khiển xe thô sơ, người điều khiển xe máy chuyên dùng.</v>
      </c>
      <c r="H23" t="str">
        <f>SUBSTITUTE(B25,CHAR(34),CHAR(92)&amp;CHAR(34))</f>
        <v>Là người được giao nhiệm vụ hướng dẫn giao thông trên đường bộ.</v>
      </c>
      <c r="I23" t="str">
        <f>SUBSTITUTE(IF(LEFT(A26,3)="Câu","",B26),CHAR(34),CHAR(92)&amp;CHAR(34))</f>
        <v>Cả hai ý trên.</v>
      </c>
      <c r="J23" t="str">
        <f>SUBSTITUTE(IF(OR(LEFT(A27,3)="Câu",I23=""),"",IF(B27=0,"",B27)),CHAR(34),CHAR(92)&amp;CHAR(34))</f>
        <v/>
      </c>
      <c r="K23" t="str">
        <f ca="1">SUBSTITUTE(SUBSTITUTE(SUBSTITUTE(SUBSTITUTE(IFERROR(VLOOKUP("Câu "&amp;D23&amp;".",dapan!$E:$J,6,0),""),"1","A"),"2","B"),"3","C"),"4","D")</f>
        <v>A</v>
      </c>
      <c r="P23">
        <f t="shared" si="1"/>
        <v>6</v>
      </c>
      <c r="Q23" t="str">
        <f t="shared" ca="1" si="2"/>
        <v>{"num":6,"id":6,"q":"Người điều khiển phương tiện tham gia giao thông đường bộ được hiểu như thế nào là đúng?","opts":{"A":"Là người điều khiển xe cơ giới, người điều khiển xe thô sơ, người điều khiển xe máy chuyên dùng.","B":"Là người được giao nhiệm vụ hướng dẫn giao thông trên đường bộ.","C":"Cả hai ý trên."},"answer":"A"},</v>
      </c>
      <c r="R23" t="str">
        <f t="shared" si="3"/>
        <v>_x001B_</v>
      </c>
      <c r="S23">
        <f t="shared" si="4"/>
        <v>27</v>
      </c>
    </row>
    <row r="24" spans="1:19" hidden="1" x14ac:dyDescent="0.25">
      <c r="A24">
        <v>1</v>
      </c>
      <c r="B24" t="s">
        <v>3093</v>
      </c>
      <c r="C24">
        <f>IFERROR(COUNTIFS($A$1:A24,"Câu "&amp;"*")-MID(A24,5,FIND(".",A24,1)-5),0)</f>
        <v>0</v>
      </c>
      <c r="D24" t="str">
        <f t="shared" si="0"/>
        <v/>
      </c>
      <c r="E24" t="str">
        <f>SUBSTITUTE(IF(LEFT(A24,3)="Câu",MID(A24,FIND(".",A24,1)+2,LEN(A24)),""),CHAR(34),CHAR(92)&amp;CHAR(34))</f>
        <v/>
      </c>
      <c r="G24" t="str">
        <f>SUBSTITUTE(B25,CHAR(34),CHAR(92)&amp;CHAR(34))</f>
        <v>Là người được giao nhiệm vụ hướng dẫn giao thông trên đường bộ.</v>
      </c>
      <c r="H24" t="str">
        <f>SUBSTITUTE(B26,CHAR(34),CHAR(92)&amp;CHAR(34))</f>
        <v>Cả hai ý trên.</v>
      </c>
      <c r="I24" t="str">
        <f>SUBSTITUTE(IF(LEFT(A27,3)="Câu","",B27),CHAR(34),CHAR(92)&amp;CHAR(34))</f>
        <v/>
      </c>
      <c r="J24" t="str">
        <f>SUBSTITUTE(IF(OR(LEFT(A28,3)="Câu",I24=""),"",IF(B28=0,"",B28)),CHAR(34),CHAR(92)&amp;CHAR(34))</f>
        <v/>
      </c>
      <c r="K24" t="str">
        <f>SUBSTITUTE(SUBSTITUTE(SUBSTITUTE(SUBSTITUTE(IFERROR(VLOOKUP("Câu "&amp;D24&amp;".",dapan!$E:$J,6,0),""),"1","A"),"2","B"),"3","C"),"4","D")</f>
        <v/>
      </c>
      <c r="P24" t="str">
        <f t="shared" si="1"/>
        <v/>
      </c>
      <c r="Q24" t="str">
        <f t="shared" si="2"/>
        <v/>
      </c>
      <c r="R24" t="str">
        <f t="shared" si="3"/>
        <v>_x001C_</v>
      </c>
      <c r="S24">
        <f t="shared" si="4"/>
        <v>28</v>
      </c>
    </row>
    <row r="25" spans="1:19" hidden="1" x14ac:dyDescent="0.25">
      <c r="A25">
        <v>2</v>
      </c>
      <c r="B25" t="s">
        <v>17</v>
      </c>
      <c r="C25">
        <f>IFERROR(COUNTIFS($A$1:A25,"Câu "&amp;"*")-MID(A25,5,FIND(".",A25,1)-5),0)</f>
        <v>0</v>
      </c>
      <c r="D25" t="str">
        <f t="shared" ref="D25:D88" si="5">IF(LEFT(A25,3)="Câu",VALUE(MID(A25,5,FIND(".",A25,1)-5)),"")</f>
        <v/>
      </c>
      <c r="E25" t="str">
        <f>SUBSTITUTE(IF(LEFT(A25,3)="Câu",MID(A25,FIND(".",A25,1)+2,LEN(A25)),""),CHAR(34),CHAR(92)&amp;CHAR(34))</f>
        <v/>
      </c>
      <c r="G25" t="str">
        <f>SUBSTITUTE(B26,CHAR(34),CHAR(92)&amp;CHAR(34))</f>
        <v>Cả hai ý trên.</v>
      </c>
      <c r="H25" t="str">
        <f>SUBSTITUTE(B27,CHAR(34),CHAR(92)&amp;CHAR(34))</f>
        <v/>
      </c>
      <c r="I25" t="str">
        <f>SUBSTITUTE(IF(LEFT(A28,3)="Câu","",B28),CHAR(34),CHAR(92)&amp;CHAR(34))</f>
        <v xml:space="preserve"> Là người điều khiển xe cơ giới.</v>
      </c>
      <c r="J25" t="str">
        <f>SUBSTITUTE(IF(OR(LEFT(A29,3)="Câu",I25=""),"",IF(B29=0,"",B29)),CHAR(34),CHAR(92)&amp;CHAR(34))</f>
        <v>Là người điều khiển xe thô sơ.</v>
      </c>
      <c r="K25" t="str">
        <f>SUBSTITUTE(SUBSTITUTE(SUBSTITUTE(SUBSTITUTE(IFERROR(VLOOKUP("Câu "&amp;D25&amp;".",dapan!$E:$J,6,0),""),"1","A"),"2","B"),"3","C"),"4","D")</f>
        <v/>
      </c>
      <c r="P25" t="str">
        <f t="shared" si="1"/>
        <v/>
      </c>
      <c r="Q25" t="str">
        <f t="shared" si="2"/>
        <v/>
      </c>
      <c r="R25" t="str">
        <f t="shared" si="3"/>
        <v>_x001D_</v>
      </c>
      <c r="S25">
        <f t="shared" si="4"/>
        <v>29</v>
      </c>
    </row>
    <row r="26" spans="1:19" hidden="1" x14ac:dyDescent="0.25">
      <c r="A26">
        <v>3</v>
      </c>
      <c r="B26" t="s">
        <v>18</v>
      </c>
      <c r="C26">
        <f>IFERROR(COUNTIFS($A$1:A26,"Câu "&amp;"*")-MID(A26,5,FIND(".",A26,1)-5),0)</f>
        <v>0</v>
      </c>
      <c r="D26" t="str">
        <f t="shared" si="5"/>
        <v/>
      </c>
      <c r="E26" t="str">
        <f>SUBSTITUTE(IF(LEFT(A26,3)="Câu",MID(A26,FIND(".",A26,1)+2,LEN(A26)),""),CHAR(34),CHAR(92)&amp;CHAR(34))</f>
        <v/>
      </c>
      <c r="G26" t="str">
        <f>SUBSTITUTE(B27,CHAR(34),CHAR(92)&amp;CHAR(34))</f>
        <v/>
      </c>
      <c r="H26" t="str">
        <f>SUBSTITUTE(B28,CHAR(34),CHAR(92)&amp;CHAR(34))</f>
        <v xml:space="preserve"> Là người điều khiển xe cơ giới.</v>
      </c>
      <c r="I26" t="str">
        <f>SUBSTITUTE(IF(LEFT(A29,3)="Câu","",B29),CHAR(34),CHAR(92)&amp;CHAR(34))</f>
        <v>Là người điều khiển xe thô sơ.</v>
      </c>
      <c r="J26" t="str">
        <f>SUBSTITUTE(IF(OR(LEFT(A30,3)="Câu",I26=""),"",IF(B30=0,"",B30)),CHAR(34),CHAR(92)&amp;CHAR(34))</f>
        <v>Là người điều khiển xe máy chuyên dùng.</v>
      </c>
      <c r="K26" t="str">
        <f>SUBSTITUTE(SUBSTITUTE(SUBSTITUTE(SUBSTITUTE(IFERROR(VLOOKUP("Câu "&amp;D26&amp;".",dapan!$E:$J,6,0),""),"1","A"),"2","B"),"3","C"),"4","D")</f>
        <v/>
      </c>
      <c r="P26" t="str">
        <f t="shared" si="1"/>
        <v/>
      </c>
      <c r="Q26" t="str">
        <f t="shared" si="2"/>
        <v/>
      </c>
      <c r="R26" t="str">
        <f t="shared" si="3"/>
        <v>_x001E_</v>
      </c>
      <c r="S26">
        <f t="shared" si="4"/>
        <v>30</v>
      </c>
    </row>
    <row r="27" spans="1:19" x14ac:dyDescent="0.25">
      <c r="A27" t="s">
        <v>19</v>
      </c>
      <c r="C27">
        <f>IFERROR(COUNTIFS($A$1:A27,"Câu "&amp;"*")-MID(A27,5,FIND(".",A27,1)-5),0)</f>
        <v>0</v>
      </c>
      <c r="D27">
        <f t="shared" si="5"/>
        <v>7</v>
      </c>
      <c r="E27" t="str">
        <f>SUBSTITUTE(IF(LEFT(A27,3)="Câu",MID(A27,FIND(".",A27,1)+2,LEN(A27)),""),CHAR(34),CHAR(92)&amp;CHAR(34))</f>
        <v>Người lái xe được hiểu như thế nào là đúng?</v>
      </c>
      <c r="G27" t="str">
        <f>SUBSTITUTE(B28,CHAR(34),CHAR(92)&amp;CHAR(34))</f>
        <v xml:space="preserve"> Là người điều khiển xe cơ giới.</v>
      </c>
      <c r="H27" t="str">
        <f>SUBSTITUTE(B29,CHAR(34),CHAR(92)&amp;CHAR(34))</f>
        <v>Là người điều khiển xe thô sơ.</v>
      </c>
      <c r="I27" t="str">
        <f>SUBSTITUTE(IF(LEFT(A30,3)="Câu","",B30),CHAR(34),CHAR(92)&amp;CHAR(34))</f>
        <v>Là người điều khiển xe máy chuyên dùng.</v>
      </c>
      <c r="J27" t="str">
        <f>SUBSTITUTE(IF(OR(LEFT(A31,3)="Câu",I27=""),"",IF(B31=0,"",B31)),CHAR(34),CHAR(92)&amp;CHAR(34))</f>
        <v/>
      </c>
      <c r="K27" t="str">
        <f ca="1">SUBSTITUTE(SUBSTITUTE(SUBSTITUTE(SUBSTITUTE(IFERROR(VLOOKUP("Câu "&amp;D27&amp;".",dapan!$E:$J,6,0),""),"1","A"),"2","B"),"3","C"),"4","D")</f>
        <v>A</v>
      </c>
      <c r="P27">
        <f t="shared" si="1"/>
        <v>7</v>
      </c>
      <c r="Q27" t="str">
        <f t="shared" ca="1" si="2"/>
        <v>{"num":7,"id":7,"q":"Người lái xe được hiểu như thế nào là đúng?","opts":{"A":" Là người điều khiển xe cơ giới.","B":"Là người điều khiển xe thô sơ.","C":"Là người điều khiển xe máy chuyên dùng."},"answer":"A"},</v>
      </c>
      <c r="R27" t="str">
        <f t="shared" si="3"/>
        <v>_x001F_</v>
      </c>
      <c r="S27">
        <f t="shared" si="4"/>
        <v>31</v>
      </c>
    </row>
    <row r="28" spans="1:19" hidden="1" x14ac:dyDescent="0.25">
      <c r="A28">
        <v>1</v>
      </c>
      <c r="B28" t="s">
        <v>20</v>
      </c>
      <c r="C28">
        <f>IFERROR(COUNTIFS($A$1:A28,"Câu "&amp;"*")-MID(A28,5,FIND(".",A28,1)-5),0)</f>
        <v>0</v>
      </c>
      <c r="D28" t="str">
        <f t="shared" si="5"/>
        <v/>
      </c>
      <c r="E28" t="str">
        <f>SUBSTITUTE(IF(LEFT(A28,3)="Câu",MID(A28,FIND(".",A28,1)+2,LEN(A28)),""),CHAR(34),CHAR(92)&amp;CHAR(34))</f>
        <v/>
      </c>
      <c r="G28" t="str">
        <f>SUBSTITUTE(B29,CHAR(34),CHAR(92)&amp;CHAR(34))</f>
        <v>Là người điều khiển xe thô sơ.</v>
      </c>
      <c r="H28" t="str">
        <f>SUBSTITUTE(B30,CHAR(34),CHAR(92)&amp;CHAR(34))</f>
        <v>Là người điều khiển xe máy chuyên dùng.</v>
      </c>
      <c r="I28" t="str">
        <f>SUBSTITUTE(IF(LEFT(A31,3)="Câu","",B31),CHAR(34),CHAR(92)&amp;CHAR(34))</f>
        <v/>
      </c>
      <c r="J28" t="str">
        <f>SUBSTITUTE(IF(OR(LEFT(A32,3)="Câu",I28=""),"",IF(B32=0,"",B32)),CHAR(34),CHAR(92)&amp;CHAR(34))</f>
        <v/>
      </c>
      <c r="K28" t="str">
        <f>SUBSTITUTE(SUBSTITUTE(SUBSTITUTE(SUBSTITUTE(IFERROR(VLOOKUP("Câu "&amp;D28&amp;".",dapan!$E:$J,6,0),""),"1","A"),"2","B"),"3","C"),"4","D")</f>
        <v/>
      </c>
      <c r="P28" t="str">
        <f t="shared" si="1"/>
        <v/>
      </c>
      <c r="Q28" t="str">
        <f t="shared" si="2"/>
        <v/>
      </c>
      <c r="R28" t="str">
        <f t="shared" si="3"/>
        <v xml:space="preserve"> </v>
      </c>
      <c r="S28">
        <f t="shared" si="4"/>
        <v>32</v>
      </c>
    </row>
    <row r="29" spans="1:19" hidden="1" x14ac:dyDescent="0.25">
      <c r="A29">
        <v>2</v>
      </c>
      <c r="B29" t="s">
        <v>21</v>
      </c>
      <c r="C29">
        <f>IFERROR(COUNTIFS($A$1:A29,"Câu "&amp;"*")-MID(A29,5,FIND(".",A29,1)-5),0)</f>
        <v>0</v>
      </c>
      <c r="D29" t="str">
        <f t="shared" si="5"/>
        <v/>
      </c>
      <c r="E29" t="str">
        <f>SUBSTITUTE(IF(LEFT(A29,3)="Câu",MID(A29,FIND(".",A29,1)+2,LEN(A29)),""),CHAR(34),CHAR(92)&amp;CHAR(34))</f>
        <v/>
      </c>
      <c r="G29" t="str">
        <f>SUBSTITUTE(B30,CHAR(34),CHAR(92)&amp;CHAR(34))</f>
        <v>Là người điều khiển xe máy chuyên dùng.</v>
      </c>
      <c r="H29" t="str">
        <f>SUBSTITUTE(B31,CHAR(34),CHAR(92)&amp;CHAR(34))</f>
        <v/>
      </c>
      <c r="I29" t="str">
        <f>SUBSTITUTE(IF(LEFT(A32,3)="Câu","",B32),CHAR(34),CHAR(92)&amp;CHAR(34))</f>
        <v>Xe ô tô; máy kéo; xe mô tô hai bánh; xe mô tô ba bánh; xe gắn máy; xe cơ giới dùng cho người khuyết tật và xe máy chuyên dùng; xe đạp, xe đạp máy, xe đạp điện.</v>
      </c>
      <c r="J29" t="str">
        <f>SUBSTITUTE(IF(OR(LEFT(A33,3)="Câu",I29=""),"",IF(B33=0,"",B33)),CHAR(34),CHAR(92)&amp;CHAR(34))</f>
        <v>Xe ô tô; rơ moóc được kéo bởi xe ô tô; sơ mi rơ moóc được kéo bởi ô tô đầu kéo; xe chở người bốn bánh có gắn động cơ; xe chở hàng bốn bánh có gắn động cơ; xe mô tô, xe gắn máy và các loại xe tương tự.</v>
      </c>
      <c r="K29" t="str">
        <f>SUBSTITUTE(SUBSTITUTE(SUBSTITUTE(SUBSTITUTE(IFERROR(VLOOKUP("Câu "&amp;D29&amp;".",dapan!$E:$J,6,0),""),"1","A"),"2","B"),"3","C"),"4","D")</f>
        <v/>
      </c>
      <c r="P29" t="str">
        <f t="shared" si="1"/>
        <v/>
      </c>
      <c r="Q29" t="str">
        <f t="shared" si="2"/>
        <v/>
      </c>
      <c r="R29" t="str">
        <f t="shared" si="3"/>
        <v>!</v>
      </c>
      <c r="S29">
        <f t="shared" si="4"/>
        <v>33</v>
      </c>
    </row>
    <row r="30" spans="1:19" hidden="1" x14ac:dyDescent="0.25">
      <c r="A30">
        <v>3</v>
      </c>
      <c r="B30" t="s">
        <v>22</v>
      </c>
      <c r="C30">
        <f>IFERROR(COUNTIFS($A$1:A30,"Câu "&amp;"*")-MID(A30,5,FIND(".",A30,1)-5),0)</f>
        <v>0</v>
      </c>
      <c r="D30" t="str">
        <f t="shared" si="5"/>
        <v/>
      </c>
      <c r="E30" t="str">
        <f>SUBSTITUTE(IF(LEFT(A30,3)="Câu",MID(A30,FIND(".",A30,1)+2,LEN(A30)),""),CHAR(34),CHAR(92)&amp;CHAR(34))</f>
        <v/>
      </c>
      <c r="G30" t="str">
        <f>SUBSTITUTE(B31,CHAR(34),CHAR(92)&amp;CHAR(34))</f>
        <v/>
      </c>
      <c r="H30" t="str">
        <f>SUBSTITUTE(B32,CHAR(34),CHAR(92)&amp;CHAR(34))</f>
        <v>Xe ô tô; máy kéo; xe mô tô hai bánh; xe mô tô ba bánh; xe gắn máy; xe cơ giới dùng cho người khuyết tật và xe máy chuyên dùng; xe đạp, xe đạp máy, xe đạp điện.</v>
      </c>
      <c r="I30" t="str">
        <f>SUBSTITUTE(IF(LEFT(A33,3)="Câu","",B33),CHAR(34),CHAR(92)&amp;CHAR(34))</f>
        <v>Xe ô tô; rơ moóc được kéo bởi xe ô tô; sơ mi rơ moóc được kéo bởi ô tô đầu kéo; xe chở người bốn bánh có gắn động cơ; xe chở hàng bốn bánh có gắn động cơ; xe mô tô, xe gắn máy và các loại xe tương tự.</v>
      </c>
      <c r="J30" t="str">
        <f>SUBSTITUTE(IF(OR(LEFT(A34,3)="Câu",I30=""),"",IF(B34=0,"",B34)),CHAR(34),CHAR(92)&amp;CHAR(34))</f>
        <v/>
      </c>
      <c r="K30" t="str">
        <f>SUBSTITUTE(SUBSTITUTE(SUBSTITUTE(SUBSTITUTE(IFERROR(VLOOKUP("Câu "&amp;D30&amp;".",dapan!$E:$J,6,0),""),"1","A"),"2","B"),"3","C"),"4","D")</f>
        <v/>
      </c>
      <c r="P30" t="str">
        <f t="shared" si="1"/>
        <v/>
      </c>
      <c r="Q30" t="str">
        <f t="shared" si="2"/>
        <v/>
      </c>
      <c r="R30" t="str">
        <f t="shared" si="3"/>
        <v>"</v>
      </c>
      <c r="S30">
        <f t="shared" si="4"/>
        <v>34</v>
      </c>
    </row>
    <row r="31" spans="1:19" x14ac:dyDescent="0.25">
      <c r="A31" t="s">
        <v>23</v>
      </c>
      <c r="C31">
        <f>IFERROR(COUNTIFS($A$1:A31,"Câu "&amp;"*")-MID(A31,5,FIND(".",A31,1)-5),0)</f>
        <v>0</v>
      </c>
      <c r="D31">
        <f t="shared" si="5"/>
        <v>8</v>
      </c>
      <c r="E31" t="str">
        <f>SUBSTITUTE(IF(LEFT(A31,3)="Câu",MID(A31,FIND(".",A31,1)+2,LEN(A31)),""),CHAR(34),CHAR(92)&amp;CHAR(34))</f>
        <v>Trong nhóm các phương tiện giao thông đường bộ dưới đây, nhóm phương tiện nào là xe cơ giới?</v>
      </c>
      <c r="G31" t="str">
        <f>SUBSTITUTE(B32,CHAR(34),CHAR(92)&amp;CHAR(34))</f>
        <v>Xe ô tô; máy kéo; xe mô tô hai bánh; xe mô tô ba bánh; xe gắn máy; xe cơ giới dùng cho người khuyết tật và xe máy chuyên dùng; xe đạp, xe đạp máy, xe đạp điện.</v>
      </c>
      <c r="H31" t="str">
        <f>SUBSTITUTE(B33,CHAR(34),CHAR(92)&amp;CHAR(34))</f>
        <v>Xe ô tô; rơ moóc được kéo bởi xe ô tô; sơ mi rơ moóc được kéo bởi ô tô đầu kéo; xe chở người bốn bánh có gắn động cơ; xe chở hàng bốn bánh có gắn động cơ; xe mô tô, xe gắn máy và các loại xe tương tự.</v>
      </c>
      <c r="I31" t="str">
        <f>SUBSTITUTE(IF(LEFT(A34,3)="Câu","",B34),CHAR(34),CHAR(92)&amp;CHAR(34))</f>
        <v/>
      </c>
      <c r="J31" t="str">
        <f>SUBSTITUTE(IF(OR(LEFT(A35,3)="Câu",I31=""),"",IF(B35=0,"",B35)),CHAR(34),CHAR(92)&amp;CHAR(34))</f>
        <v/>
      </c>
      <c r="K31" t="str">
        <f ca="1">SUBSTITUTE(SUBSTITUTE(SUBSTITUTE(SUBSTITUTE(IFERROR(VLOOKUP("Câu "&amp;D31&amp;".",dapan!$E:$J,6,0),""),"1","A"),"2","B"),"3","C"),"4","D")</f>
        <v>B</v>
      </c>
      <c r="P31">
        <f t="shared" si="1"/>
        <v>8</v>
      </c>
      <c r="Q31" t="str">
        <f t="shared" ca="1" si="2"/>
        <v>{"num":8,"id":8,"q":"Trong nhóm các phương tiện giao thông đường bộ dưới đây, nhóm phương tiện nào là xe cơ giới?","opts":{"A":"Xe ô tô; máy kéo; xe mô tô hai bánh; xe mô tô ba bánh; xe gắn máy; xe cơ giới dùng cho người khuyết tật và xe máy chuyên dùng; xe đạp, xe đạp máy, xe đạp điện.","B":"Xe ô tô; rơ moóc được kéo bởi xe ô tô; sơ mi rơ moóc được kéo bởi ô tô đầu kéo; xe chở người bốn bánh có gắn động cơ; xe chở hàng bốn bánh có gắn động cơ; xe mô tô, xe gắn máy và các loại xe tương tự."},"answer":"B"},</v>
      </c>
      <c r="R31" t="str">
        <f t="shared" si="3"/>
        <v>#</v>
      </c>
      <c r="S31">
        <f t="shared" si="4"/>
        <v>35</v>
      </c>
    </row>
    <row r="32" spans="1:19" hidden="1" x14ac:dyDescent="0.25">
      <c r="A32">
        <v>1</v>
      </c>
      <c r="B32" t="s">
        <v>24</v>
      </c>
      <c r="C32">
        <f>IFERROR(COUNTIFS($A$1:A32,"Câu "&amp;"*")-MID(A32,5,FIND(".",A32,1)-5),0)</f>
        <v>0</v>
      </c>
      <c r="D32" t="str">
        <f t="shared" si="5"/>
        <v/>
      </c>
      <c r="E32" t="str">
        <f>SUBSTITUTE(IF(LEFT(A32,3)="Câu",MID(A32,FIND(".",A32,1)+2,LEN(A32)),""),CHAR(34),CHAR(92)&amp;CHAR(34))</f>
        <v/>
      </c>
      <c r="G32" t="str">
        <f>SUBSTITUTE(B33,CHAR(34),CHAR(92)&amp;CHAR(34))</f>
        <v>Xe ô tô; rơ moóc được kéo bởi xe ô tô; sơ mi rơ moóc được kéo bởi ô tô đầu kéo; xe chở người bốn bánh có gắn động cơ; xe chở hàng bốn bánh có gắn động cơ; xe mô tô, xe gắn máy và các loại xe tương tự.</v>
      </c>
      <c r="H32" t="str">
        <f>SUBSTITUTE(B34,CHAR(34),CHAR(92)&amp;CHAR(34))</f>
        <v/>
      </c>
      <c r="I32" t="str">
        <f>SUBSTITUTE(IF(LEFT(A35,3)="Câu","",B35),CHAR(34),CHAR(92)&amp;CHAR(34))</f>
        <v xml:space="preserve"> Xe đạp, xe đạp máy, xe đạp điện; xe xích lô; xe lăn dùng cho người khuyết tật; xe vật nuôi kéo và các loại xe tương tự.</v>
      </c>
      <c r="J32" t="str">
        <f>SUBSTITUTE(IF(OR(LEFT(A36,3)="Câu",I32=""),"",IF(B36=0,"",B36)),CHAR(34),CHAR(92)&amp;CHAR(34))</f>
        <v>Xe đạp (kể cả xe đạp máy, xe đạp điện), xe gắn máy, xe cơ giới dùng cho người khuyết tật và xe máy chuyên dùng.</v>
      </c>
      <c r="K32" t="str">
        <f>SUBSTITUTE(SUBSTITUTE(SUBSTITUTE(SUBSTITUTE(IFERROR(VLOOKUP("Câu "&amp;D32&amp;".",dapan!$E:$J,6,0),""),"1","A"),"2","B"),"3","C"),"4","D")</f>
        <v/>
      </c>
      <c r="P32" t="str">
        <f t="shared" si="1"/>
        <v/>
      </c>
      <c r="Q32" t="str">
        <f t="shared" si="2"/>
        <v/>
      </c>
      <c r="R32" t="str">
        <f t="shared" si="3"/>
        <v>$</v>
      </c>
      <c r="S32">
        <f t="shared" si="4"/>
        <v>36</v>
      </c>
    </row>
    <row r="33" spans="1:19" hidden="1" x14ac:dyDescent="0.25">
      <c r="A33">
        <v>2</v>
      </c>
      <c r="B33" t="s">
        <v>3094</v>
      </c>
      <c r="C33">
        <f>IFERROR(COUNTIFS($A$1:A33,"Câu "&amp;"*")-MID(A33,5,FIND(".",A33,1)-5),0)</f>
        <v>0</v>
      </c>
      <c r="D33" t="str">
        <f t="shared" si="5"/>
        <v/>
      </c>
      <c r="E33" t="str">
        <f>SUBSTITUTE(IF(LEFT(A33,3)="Câu",MID(A33,FIND(".",A33,1)+2,LEN(A33)),""),CHAR(34),CHAR(92)&amp;CHAR(34))</f>
        <v/>
      </c>
      <c r="G33" t="str">
        <f>SUBSTITUTE(B34,CHAR(34),CHAR(92)&amp;CHAR(34))</f>
        <v/>
      </c>
      <c r="H33" t="str">
        <f>SUBSTITUTE(B35,CHAR(34),CHAR(92)&amp;CHAR(34))</f>
        <v xml:space="preserve"> Xe đạp, xe đạp máy, xe đạp điện; xe xích lô; xe lăn dùng cho người khuyết tật; xe vật nuôi kéo và các loại xe tương tự.</v>
      </c>
      <c r="I33" t="str">
        <f>SUBSTITUTE(IF(LEFT(A36,3)="Câu","",B36),CHAR(34),CHAR(92)&amp;CHAR(34))</f>
        <v>Xe đạp (kể cả xe đạp máy, xe đạp điện), xe gắn máy, xe cơ giới dùng cho người khuyết tật và xe máy chuyên dùng.</v>
      </c>
      <c r="J33" t="str">
        <f>SUBSTITUTE(IF(OR(LEFT(A37,3)="Câu",I33=""),"",IF(B37=0,"",B37)),CHAR(34),CHAR(92)&amp;CHAR(34))</f>
        <v>Xe ô tô, máy kéo, rơ moóc hoặc sơ mi rơ moóc được kéo bởi xe ô tô, máy kéo.</v>
      </c>
      <c r="K33" t="str">
        <f>SUBSTITUTE(SUBSTITUTE(SUBSTITUTE(SUBSTITUTE(IFERROR(VLOOKUP("Câu "&amp;D33&amp;".",dapan!$E:$J,6,0),""),"1","A"),"2","B"),"3","C"),"4","D")</f>
        <v/>
      </c>
      <c r="P33" t="str">
        <f t="shared" si="1"/>
        <v/>
      </c>
      <c r="Q33" t="str">
        <f t="shared" si="2"/>
        <v/>
      </c>
      <c r="R33" t="str">
        <f t="shared" si="3"/>
        <v>%</v>
      </c>
      <c r="S33">
        <f t="shared" si="4"/>
        <v>37</v>
      </c>
    </row>
    <row r="34" spans="1:19" x14ac:dyDescent="0.25">
      <c r="A34" t="s">
        <v>25</v>
      </c>
      <c r="C34">
        <f>IFERROR(COUNTIFS($A$1:A34,"Câu "&amp;"*")-MID(A34,5,FIND(".",A34,1)-5),0)</f>
        <v>0</v>
      </c>
      <c r="D34">
        <f t="shared" si="5"/>
        <v>9</v>
      </c>
      <c r="E34" t="str">
        <f>SUBSTITUTE(IF(LEFT(A34,3)="Câu",MID(A34,FIND(".",A34,1)+2,LEN(A34)),""),CHAR(34),CHAR(92)&amp;CHAR(34))</f>
        <v>Trong nhóm các phương tiện giao thông đường bộ dưới đây, nhóm phương tiện nào là xe thô sơ?</v>
      </c>
      <c r="G34" t="str">
        <f>SUBSTITUTE(B35,CHAR(34),CHAR(92)&amp;CHAR(34))</f>
        <v xml:space="preserve"> Xe đạp, xe đạp máy, xe đạp điện; xe xích lô; xe lăn dùng cho người khuyết tật; xe vật nuôi kéo và các loại xe tương tự.</v>
      </c>
      <c r="H34" t="str">
        <f>SUBSTITUTE(B36,CHAR(34),CHAR(92)&amp;CHAR(34))</f>
        <v>Xe đạp (kể cả xe đạp máy, xe đạp điện), xe gắn máy, xe cơ giới dùng cho người khuyết tật và xe máy chuyên dùng.</v>
      </c>
      <c r="I34" t="str">
        <f>SUBSTITUTE(IF(LEFT(A37,3)="Câu","",B37),CHAR(34),CHAR(92)&amp;CHAR(34))</f>
        <v>Xe ô tô, máy kéo, rơ moóc hoặc sơ mi rơ moóc được kéo bởi xe ô tô, máy kéo.</v>
      </c>
      <c r="J34" t="str">
        <f>SUBSTITUTE(IF(OR(LEFT(A38,3)="Câu",I34=""),"",IF(B38=0,"",B38)),CHAR(34),CHAR(92)&amp;CHAR(34))</f>
        <v/>
      </c>
      <c r="K34" t="str">
        <f ca="1">SUBSTITUTE(SUBSTITUTE(SUBSTITUTE(SUBSTITUTE(IFERROR(VLOOKUP("Câu "&amp;D34&amp;".",dapan!$E:$J,6,0),""),"1","A"),"2","B"),"3","C"),"4","D")</f>
        <v>A</v>
      </c>
      <c r="P34">
        <f t="shared" si="1"/>
        <v>9</v>
      </c>
      <c r="Q34" t="str">
        <f t="shared" ca="1" si="2"/>
        <v>{"num":9,"id":9,"q":"Trong nhóm các phương tiện giao thông đường bộ dưới đây, nhóm phương tiện nào là xe thô sơ?","opts":{"A":" Xe đạp, xe đạp máy, xe đạp điện; xe xích lô; xe lăn dùng cho người khuyết tật; xe vật nuôi kéo và các loại xe tương tự.","B":"Xe đạp (kể cả xe đạp máy, xe đạp điện), xe gắn máy, xe cơ giới dùng cho người khuyết tật và xe máy chuyên dùng.","C":"Xe ô tô, máy kéo, rơ moóc hoặc sơ mi rơ moóc được kéo bởi xe ô tô, máy kéo."},"answer":"A"},</v>
      </c>
      <c r="R34" t="str">
        <f t="shared" si="3"/>
        <v>&amp;</v>
      </c>
      <c r="S34">
        <f t="shared" si="4"/>
        <v>38</v>
      </c>
    </row>
    <row r="35" spans="1:19" hidden="1" x14ac:dyDescent="0.25">
      <c r="A35">
        <v>1</v>
      </c>
      <c r="B35" t="s">
        <v>26</v>
      </c>
      <c r="C35">
        <f>IFERROR(COUNTIFS($A$1:A35,"Câu "&amp;"*")-MID(A35,5,FIND(".",A35,1)-5),0)</f>
        <v>0</v>
      </c>
      <c r="D35" t="str">
        <f t="shared" si="5"/>
        <v/>
      </c>
      <c r="E35" t="str">
        <f>SUBSTITUTE(IF(LEFT(A35,3)="Câu",MID(A35,FIND(".",A35,1)+2,LEN(A35)),""),CHAR(34),CHAR(92)&amp;CHAR(34))</f>
        <v/>
      </c>
      <c r="G35" t="str">
        <f>SUBSTITUTE(B36,CHAR(34),CHAR(92)&amp;CHAR(34))</f>
        <v>Xe đạp (kể cả xe đạp máy, xe đạp điện), xe gắn máy, xe cơ giới dùng cho người khuyết tật và xe máy chuyên dùng.</v>
      </c>
      <c r="H35" t="str">
        <f>SUBSTITUTE(B37,CHAR(34),CHAR(92)&amp;CHAR(34))</f>
        <v>Xe ô tô, máy kéo, rơ moóc hoặc sơ mi rơ moóc được kéo bởi xe ô tô, máy kéo.</v>
      </c>
      <c r="I35" t="str">
        <f>SUBSTITUTE(IF(LEFT(A38,3)="Câu","",B38),CHAR(34),CHAR(92)&amp;CHAR(34))</f>
        <v/>
      </c>
      <c r="J35" t="str">
        <f>SUBSTITUTE(IF(OR(LEFT(A39,3)="Câu",I35=""),"",IF(B39=0,"",B39)),CHAR(34),CHAR(92)&amp;CHAR(34))</f>
        <v/>
      </c>
      <c r="K35" t="str">
        <f>SUBSTITUTE(SUBSTITUTE(SUBSTITUTE(SUBSTITUTE(IFERROR(VLOOKUP("Câu "&amp;D35&amp;".",dapan!$E:$J,6,0),""),"1","A"),"2","B"),"3","C"),"4","D")</f>
        <v/>
      </c>
      <c r="P35" t="str">
        <f t="shared" si="1"/>
        <v/>
      </c>
      <c r="Q35" t="str">
        <f t="shared" si="2"/>
        <v/>
      </c>
      <c r="R35" t="str">
        <f t="shared" si="3"/>
        <v>'</v>
      </c>
      <c r="S35">
        <f t="shared" si="4"/>
        <v>39</v>
      </c>
    </row>
    <row r="36" spans="1:19" hidden="1" x14ac:dyDescent="0.25">
      <c r="A36">
        <v>2</v>
      </c>
      <c r="B36" t="s">
        <v>27</v>
      </c>
      <c r="C36">
        <f>IFERROR(COUNTIFS($A$1:A36,"Câu "&amp;"*")-MID(A36,5,FIND(".",A36,1)-5),0)</f>
        <v>0</v>
      </c>
      <c r="D36" t="str">
        <f t="shared" si="5"/>
        <v/>
      </c>
      <c r="E36" t="str">
        <f>SUBSTITUTE(IF(LEFT(A36,3)="Câu",MID(A36,FIND(".",A36,1)+2,LEN(A36)),""),CHAR(34),CHAR(92)&amp;CHAR(34))</f>
        <v/>
      </c>
      <c r="G36" t="str">
        <f>SUBSTITUTE(B37,CHAR(34),CHAR(92)&amp;CHAR(34))</f>
        <v>Xe ô tô, máy kéo, rơ moóc hoặc sơ mi rơ moóc được kéo bởi xe ô tô, máy kéo.</v>
      </c>
      <c r="H36" t="str">
        <f>SUBSTITUTE(B38,CHAR(34),CHAR(92)&amp;CHAR(34))</f>
        <v/>
      </c>
      <c r="I36" t="str">
        <f>SUBSTITUTE(IF(LEFT(A39,3)="Câu","",B39),CHAR(34),CHAR(92)&amp;CHAR(34))</f>
        <v>Phương tiện giao thông cơ giới đường bộ.</v>
      </c>
      <c r="J36" t="str">
        <f>SUBSTITUTE(IF(OR(LEFT(A40,3)="Câu",I36=""),"",IF(B40=0,"",B40)),CHAR(34),CHAR(92)&amp;CHAR(34))</f>
        <v>Phương tiện giao thông thô sơ đường bộ, xe máy chuyên dùng và các loại xe tương tự.</v>
      </c>
      <c r="K36" t="str">
        <f>SUBSTITUTE(SUBSTITUTE(SUBSTITUTE(SUBSTITUTE(IFERROR(VLOOKUP("Câu "&amp;D36&amp;".",dapan!$E:$J,6,0),""),"1","A"),"2","B"),"3","C"),"4","D")</f>
        <v/>
      </c>
      <c r="P36" t="str">
        <f t="shared" si="1"/>
        <v/>
      </c>
      <c r="Q36" t="str">
        <f t="shared" si="2"/>
        <v/>
      </c>
      <c r="R36" t="str">
        <f t="shared" si="3"/>
        <v>(</v>
      </c>
      <c r="S36">
        <f t="shared" si="4"/>
        <v>40</v>
      </c>
    </row>
    <row r="37" spans="1:19" hidden="1" x14ac:dyDescent="0.25">
      <c r="A37">
        <v>3</v>
      </c>
      <c r="B37" t="s">
        <v>28</v>
      </c>
      <c r="C37">
        <f>IFERROR(COUNTIFS($A$1:A37,"Câu "&amp;"*")-MID(A37,5,FIND(".",A37,1)-5),0)</f>
        <v>0</v>
      </c>
      <c r="D37" t="str">
        <f t="shared" si="5"/>
        <v/>
      </c>
      <c r="E37" t="str">
        <f>SUBSTITUTE(IF(LEFT(A37,3)="Câu",MID(A37,FIND(".",A37,1)+2,LEN(A37)),""),CHAR(34),CHAR(92)&amp;CHAR(34))</f>
        <v/>
      </c>
      <c r="G37" t="str">
        <f>SUBSTITUTE(B38,CHAR(34),CHAR(92)&amp;CHAR(34))</f>
        <v/>
      </c>
      <c r="H37" t="str">
        <f>SUBSTITUTE(B39,CHAR(34),CHAR(92)&amp;CHAR(34))</f>
        <v>Phương tiện giao thông cơ giới đường bộ.</v>
      </c>
      <c r="I37" t="str">
        <f>SUBSTITUTE(IF(LEFT(A40,3)="Câu","",B40),CHAR(34),CHAR(92)&amp;CHAR(34))</f>
        <v>Phương tiện giao thông thô sơ đường bộ, xe máy chuyên dùng và các loại xe tương tự.</v>
      </c>
      <c r="J37" t="str">
        <f>SUBSTITUTE(IF(OR(LEFT(A41,3)="Câu",I37=""),"",IF(B41=0,"",B41)),CHAR(34),CHAR(92)&amp;CHAR(34))</f>
        <v xml:space="preserve"> Cả hai ý trên.</v>
      </c>
      <c r="K37" t="str">
        <f>SUBSTITUTE(SUBSTITUTE(SUBSTITUTE(SUBSTITUTE(IFERROR(VLOOKUP("Câu "&amp;D37&amp;".",dapan!$E:$J,6,0),""),"1","A"),"2","B"),"3","C"),"4","D")</f>
        <v/>
      </c>
      <c r="P37" t="str">
        <f t="shared" si="1"/>
        <v/>
      </c>
      <c r="Q37" t="str">
        <f t="shared" si="2"/>
        <v/>
      </c>
      <c r="R37" t="str">
        <f t="shared" si="3"/>
        <v>)</v>
      </c>
      <c r="S37">
        <f t="shared" si="4"/>
        <v>41</v>
      </c>
    </row>
    <row r="38" spans="1:19" x14ac:dyDescent="0.25">
      <c r="A38" t="s">
        <v>29</v>
      </c>
      <c r="C38">
        <f>IFERROR(COUNTIFS($A$1:A38,"Câu "&amp;"*")-MID(A38,5,FIND(".",A38,1)-5),0)</f>
        <v>0</v>
      </c>
      <c r="D38">
        <f t="shared" si="5"/>
        <v>10</v>
      </c>
      <c r="E38" t="str">
        <f>SUBSTITUTE(IF(LEFT(A38,3)="Câu",MID(A38,FIND(".",A38,1)+2,LEN(A38)),""),CHAR(34),CHAR(92)&amp;CHAR(34))</f>
        <v>Phương tiện giao thông đường bộ gồm những loại nào?</v>
      </c>
      <c r="G38" t="str">
        <f>SUBSTITUTE(B39,CHAR(34),CHAR(92)&amp;CHAR(34))</f>
        <v>Phương tiện giao thông cơ giới đường bộ.</v>
      </c>
      <c r="H38" t="str">
        <f>SUBSTITUTE(B40,CHAR(34),CHAR(92)&amp;CHAR(34))</f>
        <v>Phương tiện giao thông thô sơ đường bộ, xe máy chuyên dùng và các loại xe tương tự.</v>
      </c>
      <c r="I38" t="str">
        <f>SUBSTITUTE(IF(LEFT(A41,3)="Câu","",B41),CHAR(34),CHAR(92)&amp;CHAR(34))</f>
        <v xml:space="preserve"> Cả hai ý trên.</v>
      </c>
      <c r="J38" t="str">
        <f>SUBSTITUTE(IF(OR(LEFT(A42,3)="Câu",I38=""),"",IF(B42=0,"",B42)),CHAR(34),CHAR(92)&amp;CHAR(34))</f>
        <v/>
      </c>
      <c r="K38" t="str">
        <f ca="1">SUBSTITUTE(SUBSTITUTE(SUBSTITUTE(SUBSTITUTE(IFERROR(VLOOKUP("Câu "&amp;D38&amp;".",dapan!$E:$J,6,0),""),"1","A"),"2","B"),"3","C"),"4","D")</f>
        <v>C</v>
      </c>
      <c r="P38">
        <f t="shared" si="1"/>
        <v>10</v>
      </c>
      <c r="Q38" t="str">
        <f t="shared" ca="1" si="2"/>
        <v>{"num":10,"id":10,"q":"Phương tiện giao thông đường bộ gồm những loại nào?","opts":{"A":"Phương tiện giao thông cơ giới đường bộ.","B":"Phương tiện giao thông thô sơ đường bộ, xe máy chuyên dùng và các loại xe tương tự.","C":" Cả hai ý trên."},"answer":"C"},</v>
      </c>
      <c r="R38" t="str">
        <f t="shared" si="3"/>
        <v>*</v>
      </c>
      <c r="S38">
        <f t="shared" si="4"/>
        <v>42</v>
      </c>
    </row>
    <row r="39" spans="1:19" hidden="1" x14ac:dyDescent="0.25">
      <c r="A39">
        <v>1</v>
      </c>
      <c r="B39" t="s">
        <v>30</v>
      </c>
      <c r="C39">
        <f>IFERROR(COUNTIFS($A$1:A39,"Câu "&amp;"*")-MID(A39,5,FIND(".",A39,1)-5),0)</f>
        <v>0</v>
      </c>
      <c r="D39" t="str">
        <f t="shared" si="5"/>
        <v/>
      </c>
      <c r="E39" t="str">
        <f>SUBSTITUTE(IF(LEFT(A39,3)="Câu",MID(A39,FIND(".",A39,1)+2,LEN(A39)),""),CHAR(34),CHAR(92)&amp;CHAR(34))</f>
        <v/>
      </c>
      <c r="G39" t="str">
        <f>SUBSTITUTE(B40,CHAR(34),CHAR(92)&amp;CHAR(34))</f>
        <v>Phương tiện giao thông thô sơ đường bộ, xe máy chuyên dùng và các loại xe tương tự.</v>
      </c>
      <c r="H39" t="str">
        <f>SUBSTITUTE(B41,CHAR(34),CHAR(92)&amp;CHAR(34))</f>
        <v xml:space="preserve"> Cả hai ý trên.</v>
      </c>
      <c r="I39" t="str">
        <f>SUBSTITUTE(IF(LEFT(A42,3)="Câu","",B42),CHAR(34),CHAR(92)&amp;CHAR(34))</f>
        <v/>
      </c>
      <c r="J39" t="str">
        <f>SUBSTITUTE(IF(OR(LEFT(A43,3)="Câu",I39=""),"",IF(B43=0,"",B43)),CHAR(34),CHAR(92)&amp;CHAR(34))</f>
        <v/>
      </c>
      <c r="K39" t="str">
        <f>SUBSTITUTE(SUBSTITUTE(SUBSTITUTE(SUBSTITUTE(IFERROR(VLOOKUP("Câu "&amp;D39&amp;".",dapan!$E:$J,6,0),""),"1","A"),"2","B"),"3","C"),"4","D")</f>
        <v/>
      </c>
      <c r="P39" t="str">
        <f t="shared" si="1"/>
        <v/>
      </c>
      <c r="Q39" t="str">
        <f t="shared" si="2"/>
        <v/>
      </c>
      <c r="R39" t="str">
        <f t="shared" si="3"/>
        <v>+</v>
      </c>
      <c r="S39">
        <f t="shared" si="4"/>
        <v>43</v>
      </c>
    </row>
    <row r="40" spans="1:19" hidden="1" x14ac:dyDescent="0.25">
      <c r="A40">
        <v>2</v>
      </c>
      <c r="B40" t="s">
        <v>31</v>
      </c>
      <c r="C40">
        <f>IFERROR(COUNTIFS($A$1:A40,"Câu "&amp;"*")-MID(A40,5,FIND(".",A40,1)-5),0)</f>
        <v>0</v>
      </c>
      <c r="D40" t="str">
        <f t="shared" si="5"/>
        <v/>
      </c>
      <c r="E40" t="str">
        <f>SUBSTITUTE(IF(LEFT(A40,3)="Câu",MID(A40,FIND(".",A40,1)+2,LEN(A40)),""),CHAR(34),CHAR(92)&amp;CHAR(34))</f>
        <v/>
      </c>
      <c r="G40" t="str">
        <f>SUBSTITUTE(B41,CHAR(34),CHAR(92)&amp;CHAR(34))</f>
        <v xml:space="preserve"> Cả hai ý trên.</v>
      </c>
      <c r="H40" t="str">
        <f>SUBSTITUTE(B42,CHAR(34),CHAR(92)&amp;CHAR(34))</f>
        <v/>
      </c>
      <c r="I40" t="str">
        <f>SUBSTITUTE(IF(LEFT(A43,3)="Câu","",B43),CHAR(34),CHAR(92)&amp;CHAR(34))</f>
        <v>Người điều khiển, người được chở trên phương tiện tham gia giao thông đường bộ.</v>
      </c>
      <c r="J40" t="str">
        <f>SUBSTITUTE(IF(OR(LEFT(A44,3)="Câu",I40=""),"",IF(B44=0,"",B44)),CHAR(34),CHAR(92)&amp;CHAR(34))</f>
        <v>Người điều khiển, dẫn dắt vật nuôi trên đường bộ; người đi bộ trên đường bộ.</v>
      </c>
      <c r="K40" t="str">
        <f>SUBSTITUTE(SUBSTITUTE(SUBSTITUTE(SUBSTITUTE(IFERROR(VLOOKUP("Câu "&amp;D40&amp;".",dapan!$E:$J,6,0),""),"1","A"),"2","B"),"3","C"),"4","D")</f>
        <v/>
      </c>
      <c r="P40" t="str">
        <f t="shared" si="1"/>
        <v/>
      </c>
      <c r="Q40" t="str">
        <f t="shared" si="2"/>
        <v/>
      </c>
      <c r="R40" t="str">
        <f t="shared" si="3"/>
        <v>,</v>
      </c>
      <c r="S40">
        <f t="shared" si="4"/>
        <v>44</v>
      </c>
    </row>
    <row r="41" spans="1:19" hidden="1" x14ac:dyDescent="0.25">
      <c r="A41">
        <v>3</v>
      </c>
      <c r="B41" t="s">
        <v>32</v>
      </c>
      <c r="C41">
        <f>IFERROR(COUNTIFS($A$1:A41,"Câu "&amp;"*")-MID(A41,5,FIND(".",A41,1)-5),0)</f>
        <v>0</v>
      </c>
      <c r="D41" t="str">
        <f t="shared" si="5"/>
        <v/>
      </c>
      <c r="E41" t="str">
        <f>SUBSTITUTE(IF(LEFT(A41,3)="Câu",MID(A41,FIND(".",A41,1)+2,LEN(A41)),""),CHAR(34),CHAR(92)&amp;CHAR(34))</f>
        <v/>
      </c>
      <c r="G41" t="str">
        <f>SUBSTITUTE(B42,CHAR(34),CHAR(92)&amp;CHAR(34))</f>
        <v/>
      </c>
      <c r="H41" t="str">
        <f>SUBSTITUTE(B43,CHAR(34),CHAR(92)&amp;CHAR(34))</f>
        <v>Người điều khiển, người được chở trên phương tiện tham gia giao thông đường bộ.</v>
      </c>
      <c r="I41" t="str">
        <f>SUBSTITUTE(IF(LEFT(A44,3)="Câu","",B44),CHAR(34),CHAR(92)&amp;CHAR(34))</f>
        <v>Người điều khiển, dẫn dắt vật nuôi trên đường bộ; người đi bộ trên đường bộ.</v>
      </c>
      <c r="J41" t="str">
        <f>SUBSTITUTE(IF(OR(LEFT(A45,3)="Câu",I41=""),"",IF(B45=0,"",B45)),CHAR(34),CHAR(92)&amp;CHAR(34))</f>
        <v xml:space="preserve"> Cả hai ý trên.</v>
      </c>
      <c r="K41" t="str">
        <f>SUBSTITUTE(SUBSTITUTE(SUBSTITUTE(SUBSTITUTE(IFERROR(VLOOKUP("Câu "&amp;D41&amp;".",dapan!$E:$J,6,0),""),"1","A"),"2","B"),"3","C"),"4","D")</f>
        <v/>
      </c>
      <c r="P41" t="str">
        <f t="shared" si="1"/>
        <v/>
      </c>
      <c r="Q41" t="str">
        <f t="shared" si="2"/>
        <v/>
      </c>
      <c r="R41" t="str">
        <f t="shared" si="3"/>
        <v>-</v>
      </c>
      <c r="S41">
        <f t="shared" si="4"/>
        <v>45</v>
      </c>
    </row>
    <row r="42" spans="1:19" x14ac:dyDescent="0.25">
      <c r="A42" t="s">
        <v>33</v>
      </c>
      <c r="C42">
        <f>IFERROR(COUNTIFS($A$1:A42,"Câu "&amp;"*")-MID(A42,5,FIND(".",A42,1)-5),0)</f>
        <v>0</v>
      </c>
      <c r="D42">
        <f t="shared" si="5"/>
        <v>11</v>
      </c>
      <c r="E42" t="str">
        <f>SUBSTITUTE(IF(LEFT(A42,3)="Câu",MID(A42,FIND(".",A42,1)+2,LEN(A42)),""),CHAR(34),CHAR(92)&amp;CHAR(34))</f>
        <v>Người tham gia giao thông đường bộ gồm những đối tượng nào?</v>
      </c>
      <c r="G42" t="str">
        <f>SUBSTITUTE(B43,CHAR(34),CHAR(92)&amp;CHAR(34))</f>
        <v>Người điều khiển, người được chở trên phương tiện tham gia giao thông đường bộ.</v>
      </c>
      <c r="H42" t="str">
        <f>SUBSTITUTE(B44,CHAR(34),CHAR(92)&amp;CHAR(34))</f>
        <v>Người điều khiển, dẫn dắt vật nuôi trên đường bộ; người đi bộ trên đường bộ.</v>
      </c>
      <c r="I42" t="str">
        <f>SUBSTITUTE(IF(LEFT(A45,3)="Câu","",B45),CHAR(34),CHAR(92)&amp;CHAR(34))</f>
        <v xml:space="preserve"> Cả hai ý trên.</v>
      </c>
      <c r="J42" t="str">
        <f>SUBSTITUTE(IF(OR(LEFT(A46,3)="Câu",I42=""),"",IF(B46=0,"",B46)),CHAR(34),CHAR(92)&amp;CHAR(34))</f>
        <v/>
      </c>
      <c r="K42" t="str">
        <f ca="1">SUBSTITUTE(SUBSTITUTE(SUBSTITUTE(SUBSTITUTE(IFERROR(VLOOKUP("Câu "&amp;D42&amp;".",dapan!$E:$J,6,0),""),"1","A"),"2","B"),"3","C"),"4","D")</f>
        <v>C</v>
      </c>
      <c r="P42">
        <f t="shared" si="1"/>
        <v>11</v>
      </c>
      <c r="Q42" t="str">
        <f t="shared" ca="1" si="2"/>
        <v>{"num":11,"id":11,"q":"Người tham gia giao thông đường bộ gồm những đối tượng nào?","opts":{"A":"Người điều khiển, người được chở trên phương tiện tham gia giao thông đường bộ.","B":"Người điều khiển, dẫn dắt vật nuôi trên đường bộ; người đi bộ trên đường bộ.","C":" Cả hai ý trên."},"answer":"C"},</v>
      </c>
      <c r="R42" t="str">
        <f t="shared" si="3"/>
        <v>.</v>
      </c>
      <c r="S42">
        <f t="shared" si="4"/>
        <v>46</v>
      </c>
    </row>
    <row r="43" spans="1:19" hidden="1" x14ac:dyDescent="0.25">
      <c r="A43">
        <v>1</v>
      </c>
      <c r="B43" t="s">
        <v>34</v>
      </c>
      <c r="C43">
        <f>IFERROR(COUNTIFS($A$1:A43,"Câu "&amp;"*")-MID(A43,5,FIND(".",A43,1)-5),0)</f>
        <v>0</v>
      </c>
      <c r="D43" t="str">
        <f t="shared" si="5"/>
        <v/>
      </c>
      <c r="E43" t="str">
        <f>SUBSTITUTE(IF(LEFT(A43,3)="Câu",MID(A43,FIND(".",A43,1)+2,LEN(A43)),""),CHAR(34),CHAR(92)&amp;CHAR(34))</f>
        <v/>
      </c>
      <c r="G43" t="str">
        <f>SUBSTITUTE(B44,CHAR(34),CHAR(92)&amp;CHAR(34))</f>
        <v>Người điều khiển, dẫn dắt vật nuôi trên đường bộ; người đi bộ trên đường bộ.</v>
      </c>
      <c r="H43" t="str">
        <f>SUBSTITUTE(B45,CHAR(34),CHAR(92)&amp;CHAR(34))</f>
        <v xml:space="preserve"> Cả hai ý trên.</v>
      </c>
      <c r="I43" t="str">
        <f>SUBSTITUTE(IF(LEFT(A46,3)="Câu","",B46),CHAR(34),CHAR(92)&amp;CHAR(34))</f>
        <v/>
      </c>
      <c r="J43" t="str">
        <f>SUBSTITUTE(IF(OR(LEFT(A47,3)="Câu",I43=""),"",IF(B47=0,"",B47)),CHAR(34),CHAR(92)&amp;CHAR(34))</f>
        <v/>
      </c>
      <c r="K43" t="str">
        <f>SUBSTITUTE(SUBSTITUTE(SUBSTITUTE(SUBSTITUTE(IFERROR(VLOOKUP("Câu "&amp;D43&amp;".",dapan!$E:$J,6,0),""),"1","A"),"2","B"),"3","C"),"4","D")</f>
        <v/>
      </c>
      <c r="P43" t="str">
        <f t="shared" si="1"/>
        <v/>
      </c>
      <c r="Q43" t="str">
        <f t="shared" si="2"/>
        <v/>
      </c>
      <c r="R43" t="str">
        <f t="shared" si="3"/>
        <v>/</v>
      </c>
      <c r="S43">
        <f t="shared" si="4"/>
        <v>47</v>
      </c>
    </row>
    <row r="44" spans="1:19" hidden="1" x14ac:dyDescent="0.25">
      <c r="A44">
        <v>2</v>
      </c>
      <c r="B44" t="s">
        <v>35</v>
      </c>
      <c r="C44">
        <f>IFERROR(COUNTIFS($A$1:A44,"Câu "&amp;"*")-MID(A44,5,FIND(".",A44,1)-5),0)</f>
        <v>0</v>
      </c>
      <c r="D44" t="str">
        <f t="shared" si="5"/>
        <v/>
      </c>
      <c r="E44" t="str">
        <f>SUBSTITUTE(IF(LEFT(A44,3)="Câu",MID(A44,FIND(".",A44,1)+2,LEN(A44)),""),CHAR(34),CHAR(92)&amp;CHAR(34))</f>
        <v/>
      </c>
      <c r="G44" t="str">
        <f>SUBSTITUTE(B45,CHAR(34),CHAR(92)&amp;CHAR(34))</f>
        <v xml:space="preserve"> Cả hai ý trên.</v>
      </c>
      <c r="H44" t="str">
        <f>SUBSTITUTE(B46,CHAR(34),CHAR(92)&amp;CHAR(34))</f>
        <v/>
      </c>
      <c r="I44" t="str">
        <f>SUBSTITUTE(IF(LEFT(A47,3)="Câu","",B47),CHAR(34),CHAR(92)&amp;CHAR(34))</f>
        <v>Người điều khiển xe cơ giới, người điều khiển xe thô sơ.</v>
      </c>
      <c r="J44" t="str">
        <f>SUBSTITUTE(IF(OR(LEFT(A48,3)="Câu",I44=""),"",IF(B48=0,"",B48)),CHAR(34),CHAR(92)&amp;CHAR(34))</f>
        <v>Người điều khiển xe máy chuyên dùng.</v>
      </c>
      <c r="K44" t="str">
        <f>SUBSTITUTE(SUBSTITUTE(SUBSTITUTE(SUBSTITUTE(IFERROR(VLOOKUP("Câu "&amp;D44&amp;".",dapan!$E:$J,6,0),""),"1","A"),"2","B"),"3","C"),"4","D")</f>
        <v/>
      </c>
      <c r="P44" t="str">
        <f t="shared" si="1"/>
        <v/>
      </c>
      <c r="Q44" t="str">
        <f t="shared" si="2"/>
        <v/>
      </c>
      <c r="R44" t="str">
        <f t="shared" si="3"/>
        <v>0</v>
      </c>
      <c r="S44">
        <f t="shared" ref="S44:S107" si="6">S43+1</f>
        <v>48</v>
      </c>
    </row>
    <row r="45" spans="1:19" hidden="1" x14ac:dyDescent="0.25">
      <c r="A45">
        <v>3</v>
      </c>
      <c r="B45" t="s">
        <v>32</v>
      </c>
      <c r="C45">
        <f>IFERROR(COUNTIFS($A$1:A45,"Câu "&amp;"*")-MID(A45,5,FIND(".",A45,1)-5),0)</f>
        <v>0</v>
      </c>
      <c r="D45" t="str">
        <f t="shared" si="5"/>
        <v/>
      </c>
      <c r="E45" t="str">
        <f>SUBSTITUTE(IF(LEFT(A45,3)="Câu",MID(A45,FIND(".",A45,1)+2,LEN(A45)),""),CHAR(34),CHAR(92)&amp;CHAR(34))</f>
        <v/>
      </c>
      <c r="G45" t="str">
        <f>SUBSTITUTE(B46,CHAR(34),CHAR(92)&amp;CHAR(34))</f>
        <v/>
      </c>
      <c r="H45" t="str">
        <f>SUBSTITUTE(B47,CHAR(34),CHAR(92)&amp;CHAR(34))</f>
        <v>Người điều khiển xe cơ giới, người điều khiển xe thô sơ.</v>
      </c>
      <c r="I45" t="str">
        <f>SUBSTITUTE(IF(LEFT(A48,3)="Câu","",B48),CHAR(34),CHAR(92)&amp;CHAR(34))</f>
        <v>Người điều khiển xe máy chuyên dùng.</v>
      </c>
      <c r="J45" t="str">
        <f>SUBSTITUTE(IF(OR(LEFT(A49,3)="Câu",I45=""),"",IF(B49=0,"",B49)),CHAR(34),CHAR(92)&amp;CHAR(34))</f>
        <v xml:space="preserve"> Cả hai ý trên.</v>
      </c>
      <c r="K45" t="str">
        <f>SUBSTITUTE(SUBSTITUTE(SUBSTITUTE(SUBSTITUTE(IFERROR(VLOOKUP("Câu "&amp;D45&amp;".",dapan!$E:$J,6,0),""),"1","A"),"2","B"),"3","C"),"4","D")</f>
        <v/>
      </c>
      <c r="P45" t="str">
        <f t="shared" si="1"/>
        <v/>
      </c>
      <c r="Q45" t="str">
        <f t="shared" si="2"/>
        <v/>
      </c>
      <c r="R45" t="str">
        <f t="shared" si="3"/>
        <v>1</v>
      </c>
      <c r="S45">
        <f t="shared" si="6"/>
        <v>49</v>
      </c>
    </row>
    <row r="46" spans="1:19" x14ac:dyDescent="0.25">
      <c r="A46" t="s">
        <v>36</v>
      </c>
      <c r="C46">
        <f>IFERROR(COUNTIFS($A$1:A46,"Câu "&amp;"*")-MID(A46,5,FIND(".",A46,1)-5),0)</f>
        <v>0</v>
      </c>
      <c r="D46">
        <f t="shared" si="5"/>
        <v>12</v>
      </c>
      <c r="E46" t="str">
        <f>SUBSTITUTE(IF(LEFT(A46,3)="Câu",MID(A46,FIND(".",A46,1)+2,LEN(A46)),""),CHAR(34),CHAR(92)&amp;CHAR(34))</f>
        <v>Người điều khiển phương tiện tham gia giao thông đường bộ gồm những đối tượng nào dưới đây?</v>
      </c>
      <c r="G46" t="str">
        <f>SUBSTITUTE(B47,CHAR(34),CHAR(92)&amp;CHAR(34))</f>
        <v>Người điều khiển xe cơ giới, người điều khiển xe thô sơ.</v>
      </c>
      <c r="H46" t="str">
        <f>SUBSTITUTE(B48,CHAR(34),CHAR(92)&amp;CHAR(34))</f>
        <v>Người điều khiển xe máy chuyên dùng.</v>
      </c>
      <c r="I46" t="str">
        <f>SUBSTITUTE(IF(LEFT(A49,3)="Câu","",B49),CHAR(34),CHAR(92)&amp;CHAR(34))</f>
        <v xml:space="preserve"> Cả hai ý trên.</v>
      </c>
      <c r="J46" t="str">
        <f>SUBSTITUTE(IF(OR(LEFT(A50,3)="Câu",I46=""),"",IF(B50=0,"",B50)),CHAR(34),CHAR(92)&amp;CHAR(34))</f>
        <v/>
      </c>
      <c r="K46" t="str">
        <f ca="1">SUBSTITUTE(SUBSTITUTE(SUBSTITUTE(SUBSTITUTE(IFERROR(VLOOKUP("Câu "&amp;D46&amp;".",dapan!$E:$J,6,0),""),"1","A"),"2","B"),"3","C"),"4","D")</f>
        <v>C</v>
      </c>
      <c r="P46">
        <f t="shared" si="1"/>
        <v>12</v>
      </c>
      <c r="Q46" t="str">
        <f t="shared" ca="1" si="2"/>
        <v>{"num":12,"id":12,"q":"Người điều khiển phương tiện tham gia giao thông đường bộ gồm những đối tượng nào dưới đây?","opts":{"A":"Người điều khiển xe cơ giới, người điều khiển xe thô sơ.","B":"Người điều khiển xe máy chuyên dùng.","C":" Cả hai ý trên."},"answer":"C"},</v>
      </c>
      <c r="R46" t="str">
        <f t="shared" si="3"/>
        <v>2</v>
      </c>
      <c r="S46">
        <f t="shared" si="6"/>
        <v>50</v>
      </c>
    </row>
    <row r="47" spans="1:19" hidden="1" x14ac:dyDescent="0.25">
      <c r="A47">
        <v>1</v>
      </c>
      <c r="B47" t="s">
        <v>37</v>
      </c>
      <c r="C47">
        <f>IFERROR(COUNTIFS($A$1:A47,"Câu "&amp;"*")-MID(A47,5,FIND(".",A47,1)-5),0)</f>
        <v>0</v>
      </c>
      <c r="D47" t="str">
        <f t="shared" si="5"/>
        <v/>
      </c>
      <c r="E47" t="str">
        <f>SUBSTITUTE(IF(LEFT(A47,3)="Câu",MID(A47,FIND(".",A47,1)+2,LEN(A47)),""),CHAR(34),CHAR(92)&amp;CHAR(34))</f>
        <v/>
      </c>
      <c r="G47" t="str">
        <f>SUBSTITUTE(B48,CHAR(34),CHAR(92)&amp;CHAR(34))</f>
        <v>Người điều khiển xe máy chuyên dùng.</v>
      </c>
      <c r="H47" t="str">
        <f>SUBSTITUTE(B49,CHAR(34),CHAR(92)&amp;CHAR(34))</f>
        <v xml:space="preserve"> Cả hai ý trên.</v>
      </c>
      <c r="I47" t="str">
        <f>SUBSTITUTE(IF(LEFT(A50,3)="Câu","",B50),CHAR(34),CHAR(92)&amp;CHAR(34))</f>
        <v/>
      </c>
      <c r="J47" t="str">
        <f>SUBSTITUTE(IF(OR(LEFT(A51,3)="Câu",I47=""),"",IF(B51=0,"",B51)),CHAR(34),CHAR(92)&amp;CHAR(34))</f>
        <v/>
      </c>
      <c r="K47" t="str">
        <f>SUBSTITUTE(SUBSTITUTE(SUBSTITUTE(SUBSTITUTE(IFERROR(VLOOKUP("Câu "&amp;D47&amp;".",dapan!$E:$J,6,0),""),"1","A"),"2","B"),"3","C"),"4","D")</f>
        <v/>
      </c>
      <c r="P47" t="str">
        <f t="shared" si="1"/>
        <v/>
      </c>
      <c r="Q47" t="str">
        <f t="shared" si="2"/>
        <v/>
      </c>
      <c r="R47" t="str">
        <f t="shared" si="3"/>
        <v>3</v>
      </c>
      <c r="S47">
        <f t="shared" si="6"/>
        <v>51</v>
      </c>
    </row>
    <row r="48" spans="1:19" hidden="1" x14ac:dyDescent="0.25">
      <c r="A48">
        <v>2</v>
      </c>
      <c r="B48" t="s">
        <v>38</v>
      </c>
      <c r="C48">
        <f>IFERROR(COUNTIFS($A$1:A48,"Câu "&amp;"*")-MID(A48,5,FIND(".",A48,1)-5),0)</f>
        <v>0</v>
      </c>
      <c r="D48" t="str">
        <f t="shared" si="5"/>
        <v/>
      </c>
      <c r="E48" t="str">
        <f>SUBSTITUTE(IF(LEFT(A48,3)="Câu",MID(A48,FIND(".",A48,1)+2,LEN(A48)),""),CHAR(34),CHAR(92)&amp;CHAR(34))</f>
        <v/>
      </c>
      <c r="G48" t="str">
        <f>SUBSTITUTE(B49,CHAR(34),CHAR(92)&amp;CHAR(34))</f>
        <v xml:space="preserve"> Cả hai ý trên.</v>
      </c>
      <c r="H48" t="str">
        <f>SUBSTITUTE(B50,CHAR(34),CHAR(92)&amp;CHAR(34))</f>
        <v/>
      </c>
      <c r="I48" t="str">
        <f>SUBSTITUTE(IF(LEFT(A51,3)="Câu","",B51),CHAR(34),CHAR(92)&amp;CHAR(34))</f>
        <v>Là người điều khiển phương tiện tham gia giao thông đường bộ.</v>
      </c>
      <c r="J48" t="str">
        <f>SUBSTITUTE(IF(OR(LEFT(A52,3)="Câu",I48=""),"",IF(B52=0,"",B52)),CHAR(34),CHAR(92)&amp;CHAR(34))</f>
        <v xml:space="preserve"> Là Cảnh sát giao thông và người được giao nhiệm vụ hướng dẫn giao thông trên đường bộ.</v>
      </c>
      <c r="K48" t="str">
        <f>SUBSTITUTE(SUBSTITUTE(SUBSTITUTE(SUBSTITUTE(IFERROR(VLOOKUP("Câu "&amp;D48&amp;".",dapan!$E:$J,6,0),""),"1","A"),"2","B"),"3","C"),"4","D")</f>
        <v/>
      </c>
      <c r="P48" t="str">
        <f t="shared" si="1"/>
        <v/>
      </c>
      <c r="Q48" t="str">
        <f t="shared" si="2"/>
        <v/>
      </c>
      <c r="R48" t="str">
        <f t="shared" si="3"/>
        <v>4</v>
      </c>
      <c r="S48">
        <f t="shared" si="6"/>
        <v>52</v>
      </c>
    </row>
    <row r="49" spans="1:19" hidden="1" x14ac:dyDescent="0.25">
      <c r="A49">
        <v>3</v>
      </c>
      <c r="B49" t="s">
        <v>32</v>
      </c>
      <c r="C49">
        <f>IFERROR(COUNTIFS($A$1:A49,"Câu "&amp;"*")-MID(A49,5,FIND(".",A49,1)-5),0)</f>
        <v>0</v>
      </c>
      <c r="D49" t="str">
        <f t="shared" si="5"/>
        <v/>
      </c>
      <c r="E49" t="str">
        <f>SUBSTITUTE(IF(LEFT(A49,3)="Câu",MID(A49,FIND(".",A49,1)+2,LEN(A49)),""),CHAR(34),CHAR(92)&amp;CHAR(34))</f>
        <v/>
      </c>
      <c r="G49" t="str">
        <f>SUBSTITUTE(B50,CHAR(34),CHAR(92)&amp;CHAR(34))</f>
        <v/>
      </c>
      <c r="H49" t="str">
        <f>SUBSTITUTE(B51,CHAR(34),CHAR(92)&amp;CHAR(34))</f>
        <v>Là người điều khiển phương tiện tham gia giao thông đường bộ.</v>
      </c>
      <c r="I49" t="str">
        <f>SUBSTITUTE(IF(LEFT(A52,3)="Câu","",B52),CHAR(34),CHAR(92)&amp;CHAR(34))</f>
        <v xml:space="preserve"> Là Cảnh sát giao thông và người được giao nhiệm vụ hướng dẫn giao thông trên đường bộ.</v>
      </c>
      <c r="J49" t="str">
        <f>SUBSTITUTE(IF(OR(LEFT(A53,3)="Câu",I49=""),"",IF(B53=0,"",B53)),CHAR(34),CHAR(92)&amp;CHAR(34))</f>
        <v>Là người tham gia giao thông đường bộ.</v>
      </c>
      <c r="K49" t="str">
        <f>SUBSTITUTE(SUBSTITUTE(SUBSTITUTE(SUBSTITUTE(IFERROR(VLOOKUP("Câu "&amp;D49&amp;".",dapan!$E:$J,6,0),""),"1","A"),"2","B"),"3","C"),"4","D")</f>
        <v/>
      </c>
      <c r="P49" t="str">
        <f t="shared" si="1"/>
        <v/>
      </c>
      <c r="Q49" t="str">
        <f t="shared" si="2"/>
        <v/>
      </c>
      <c r="R49" t="str">
        <f t="shared" si="3"/>
        <v>5</v>
      </c>
      <c r="S49">
        <f t="shared" si="6"/>
        <v>53</v>
      </c>
    </row>
    <row r="50" spans="1:19" x14ac:dyDescent="0.25">
      <c r="A50" t="s">
        <v>39</v>
      </c>
      <c r="C50">
        <f>IFERROR(COUNTIFS($A$1:A50,"Câu "&amp;"*")-MID(A50,5,FIND(".",A50,1)-5),0)</f>
        <v>0</v>
      </c>
      <c r="D50">
        <f t="shared" si="5"/>
        <v>13</v>
      </c>
      <c r="E50" t="str">
        <f>SUBSTITUTE(IF(LEFT(A50,3)="Câu",MID(A50,FIND(".",A50,1)+2,LEN(A50)),""),CHAR(34),CHAR(92)&amp;CHAR(34))</f>
        <v>Người điều khiển giao thông đường bộ được hiểu như thế nào là đúng?</v>
      </c>
      <c r="G50" t="str">
        <f>SUBSTITUTE(B51,CHAR(34),CHAR(92)&amp;CHAR(34))</f>
        <v>Là người điều khiển phương tiện tham gia giao thông đường bộ.</v>
      </c>
      <c r="H50" t="str">
        <f>SUBSTITUTE(B52,CHAR(34),CHAR(92)&amp;CHAR(34))</f>
        <v xml:space="preserve"> Là Cảnh sát giao thông và người được giao nhiệm vụ hướng dẫn giao thông trên đường bộ.</v>
      </c>
      <c r="I50" t="str">
        <f>SUBSTITUTE(IF(LEFT(A53,3)="Câu","",B53),CHAR(34),CHAR(92)&amp;CHAR(34))</f>
        <v>Là người tham gia giao thông đường bộ.</v>
      </c>
      <c r="J50" t="str">
        <f>SUBSTITUTE(IF(OR(LEFT(A54,3)="Câu",I50=""),"",IF(B54=0,"",B54)),CHAR(34),CHAR(92)&amp;CHAR(34))</f>
        <v/>
      </c>
      <c r="K50" t="str">
        <f ca="1">SUBSTITUTE(SUBSTITUTE(SUBSTITUTE(SUBSTITUTE(IFERROR(VLOOKUP("Câu "&amp;D50&amp;".",dapan!$E:$J,6,0),""),"1","A"),"2","B"),"3","C"),"4","D")</f>
        <v>B</v>
      </c>
      <c r="P50">
        <f t="shared" si="1"/>
        <v>13</v>
      </c>
      <c r="Q50" t="str">
        <f t="shared" ca="1" si="2"/>
        <v>{"num":13,"id":13,"q":"Người điều khiển giao thông đường bộ được hiểu như thế nào là đúng?","opts":{"A":"Là người điều khiển phương tiện tham gia giao thông đường bộ.","B":" Là Cảnh sát giao thông và người được giao nhiệm vụ hướng dẫn giao thông trên đường bộ.","C":"Là người tham gia giao thông đường bộ."},"answer":"B"},</v>
      </c>
      <c r="R50" t="str">
        <f t="shared" si="3"/>
        <v>6</v>
      </c>
      <c r="S50">
        <f t="shared" si="6"/>
        <v>54</v>
      </c>
    </row>
    <row r="51" spans="1:19" hidden="1" x14ac:dyDescent="0.25">
      <c r="A51">
        <v>1</v>
      </c>
      <c r="B51" t="s">
        <v>40</v>
      </c>
      <c r="C51">
        <f>IFERROR(COUNTIFS($A$1:A51,"Câu "&amp;"*")-MID(A51,5,FIND(".",A51,1)-5),0)</f>
        <v>0</v>
      </c>
      <c r="D51" t="str">
        <f t="shared" si="5"/>
        <v/>
      </c>
      <c r="E51" t="str">
        <f>SUBSTITUTE(IF(LEFT(A51,3)="Câu",MID(A51,FIND(".",A51,1)+2,LEN(A51)),""),CHAR(34),CHAR(92)&amp;CHAR(34))</f>
        <v/>
      </c>
      <c r="G51" t="str">
        <f>SUBSTITUTE(B52,CHAR(34),CHAR(92)&amp;CHAR(34))</f>
        <v xml:space="preserve"> Là Cảnh sát giao thông và người được giao nhiệm vụ hướng dẫn giao thông trên đường bộ.</v>
      </c>
      <c r="H51" t="str">
        <f>SUBSTITUTE(B53,CHAR(34),CHAR(92)&amp;CHAR(34))</f>
        <v>Là người tham gia giao thông đường bộ.</v>
      </c>
      <c r="I51" t="str">
        <f>SUBSTITUTE(IF(LEFT(A54,3)="Câu","",B54),CHAR(34),CHAR(92)&amp;CHAR(34))</f>
        <v/>
      </c>
      <c r="J51" t="str">
        <f>SUBSTITUTE(IF(OR(LEFT(A55,3)="Câu",I51=""),"",IF(B55=0,"",B55)),CHAR(34),CHAR(92)&amp;CHAR(34))</f>
        <v/>
      </c>
      <c r="K51" t="str">
        <f>SUBSTITUTE(SUBSTITUTE(SUBSTITUTE(SUBSTITUTE(IFERROR(VLOOKUP("Câu "&amp;D51&amp;".",dapan!$E:$J,6,0),""),"1","A"),"2","B"),"3","C"),"4","D")</f>
        <v/>
      </c>
      <c r="P51" t="str">
        <f t="shared" si="1"/>
        <v/>
      </c>
      <c r="Q51" t="str">
        <f t="shared" si="2"/>
        <v/>
      </c>
      <c r="R51" t="str">
        <f t="shared" si="3"/>
        <v>7</v>
      </c>
      <c r="S51">
        <f t="shared" si="6"/>
        <v>55</v>
      </c>
    </row>
    <row r="52" spans="1:19" hidden="1" x14ac:dyDescent="0.25">
      <c r="A52">
        <v>2</v>
      </c>
      <c r="B52" t="s">
        <v>41</v>
      </c>
      <c r="C52">
        <f>IFERROR(COUNTIFS($A$1:A52,"Câu "&amp;"*")-MID(A52,5,FIND(".",A52,1)-5),0)</f>
        <v>0</v>
      </c>
      <c r="D52" t="str">
        <f t="shared" si="5"/>
        <v/>
      </c>
      <c r="E52" t="str">
        <f>SUBSTITUTE(IF(LEFT(A52,3)="Câu",MID(A52,FIND(".",A52,1)+2,LEN(A52)),""),CHAR(34),CHAR(92)&amp;CHAR(34))</f>
        <v/>
      </c>
      <c r="G52" t="str">
        <f>SUBSTITUTE(B53,CHAR(34),CHAR(92)&amp;CHAR(34))</f>
        <v>Là người tham gia giao thông đường bộ.</v>
      </c>
      <c r="H52" t="str">
        <f>SUBSTITUTE(B54,CHAR(34),CHAR(92)&amp;CHAR(34))</f>
        <v/>
      </c>
      <c r="I52" t="str">
        <f>SUBSTITUTE(IF(LEFT(A55,3)="Câu","",B55),CHAR(34),CHAR(92)&amp;CHAR(34))</f>
        <v>Là trạng thái đứng yên của xe không giới hạn thời gian để cho người lên, xuống xe, xếp dỡ hàng hóa hoặc thực hiện công việc khác.</v>
      </c>
      <c r="J52" t="str">
        <f>SUBSTITUTE(IF(OR(LEFT(A56,3)="Câu",I52=""),"",IF(B56=0,"",B56)),CHAR(34),CHAR(92)&amp;CHAR(34))</f>
        <v xml:space="preserve"> 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v>
      </c>
      <c r="K52" t="str">
        <f>SUBSTITUTE(SUBSTITUTE(SUBSTITUTE(SUBSTITUTE(IFERROR(VLOOKUP("Câu "&amp;D52&amp;".",dapan!$E:$J,6,0),""),"1","A"),"2","B"),"3","C"),"4","D")</f>
        <v/>
      </c>
      <c r="P52" t="str">
        <f t="shared" si="1"/>
        <v/>
      </c>
      <c r="Q52" t="str">
        <f t="shared" si="2"/>
        <v/>
      </c>
      <c r="R52" t="str">
        <f t="shared" si="3"/>
        <v>8</v>
      </c>
      <c r="S52">
        <f t="shared" si="6"/>
        <v>56</v>
      </c>
    </row>
    <row r="53" spans="1:19" hidden="1" x14ac:dyDescent="0.25">
      <c r="A53">
        <v>3</v>
      </c>
      <c r="B53" t="s">
        <v>42</v>
      </c>
      <c r="C53">
        <f>IFERROR(COUNTIFS($A$1:A53,"Câu "&amp;"*")-MID(A53,5,FIND(".",A53,1)-5),0)</f>
        <v>0</v>
      </c>
      <c r="D53" t="str">
        <f t="shared" si="5"/>
        <v/>
      </c>
      <c r="E53" t="str">
        <f>SUBSTITUTE(IF(LEFT(A53,3)="Câu",MID(A53,FIND(".",A53,1)+2,LEN(A53)),""),CHAR(34),CHAR(92)&amp;CHAR(34))</f>
        <v/>
      </c>
      <c r="G53" t="str">
        <f>SUBSTITUTE(B54,CHAR(34),CHAR(92)&amp;CHAR(34))</f>
        <v/>
      </c>
      <c r="H53" t="str">
        <f>SUBSTITUTE(B55,CHAR(34),CHAR(92)&amp;CHAR(34))</f>
        <v>Là trạng thái đứng yên của xe không giới hạn thời gian để cho người lên, xuống xe, xếp dỡ hàng hóa hoặc thực hiện công việc khác.</v>
      </c>
      <c r="I53" t="str">
        <f>SUBSTITUTE(IF(LEFT(A56,3)="Câu","",B56),CHAR(34),CHAR(92)&amp;CHAR(34))</f>
        <v xml:space="preserve"> 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v>
      </c>
      <c r="J53" t="str">
        <f>SUBSTITUTE(IF(OR(LEFT(A57,3)="Câu",I53=""),"",IF(B57=0,"",B57)),CHAR(34),CHAR(92)&amp;CHAR(34))</f>
        <v>Là trạng thái đứng yên của xe không giới hạn thời gian giữa 02 lần vận chuyển hàng hóa hoặc hành khách.</v>
      </c>
      <c r="K53" t="str">
        <f>SUBSTITUTE(SUBSTITUTE(SUBSTITUTE(SUBSTITUTE(IFERROR(VLOOKUP("Câu "&amp;D53&amp;".",dapan!$E:$J,6,0),""),"1","A"),"2","B"),"3","C"),"4","D")</f>
        <v/>
      </c>
      <c r="P53" t="str">
        <f t="shared" si="1"/>
        <v/>
      </c>
      <c r="Q53" t="str">
        <f t="shared" si="2"/>
        <v/>
      </c>
      <c r="R53" t="str">
        <f t="shared" si="3"/>
        <v>9</v>
      </c>
      <c r="S53">
        <f t="shared" si="6"/>
        <v>57</v>
      </c>
    </row>
    <row r="54" spans="1:19" x14ac:dyDescent="0.25">
      <c r="A54" t="s">
        <v>43</v>
      </c>
      <c r="C54">
        <f>IFERROR(COUNTIFS($A$1:A54,"Câu "&amp;"*")-MID(A54,5,FIND(".",A54,1)-5),0)</f>
        <v>0</v>
      </c>
      <c r="D54">
        <f t="shared" si="5"/>
        <v>14</v>
      </c>
      <c r="E54" t="str">
        <f>SUBSTITUTE(IF(LEFT(A54,3)="Câu",MID(A54,FIND(".",A54,1)+2,LEN(A54)),""),CHAR(34),CHAR(92)&amp;CHAR(34))</f>
        <v>Dừng xe được hiểu như thế nào là đúng?</v>
      </c>
      <c r="G54" t="str">
        <f>SUBSTITUTE(B55,CHAR(34),CHAR(92)&amp;CHAR(34))</f>
        <v>Là trạng thái đứng yên của xe không giới hạn thời gian để cho người lên, xuống xe, xếp dỡ hàng hóa hoặc thực hiện công việc khác.</v>
      </c>
      <c r="H54" t="str">
        <f>SUBSTITUTE(B56,CHAR(34),CHAR(92)&amp;CHAR(34))</f>
        <v xml:space="preserve"> 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v>
      </c>
      <c r="I54" t="str">
        <f>SUBSTITUTE(IF(LEFT(A57,3)="Câu","",B57),CHAR(34),CHAR(92)&amp;CHAR(34))</f>
        <v>Là trạng thái đứng yên của xe không giới hạn thời gian giữa 02 lần vận chuyển hàng hóa hoặc hành khách.</v>
      </c>
      <c r="J54" t="str">
        <f>SUBSTITUTE(IF(OR(LEFT(A58,3)="Câu",I54=""),"",IF(B58=0,"",B58)),CHAR(34),CHAR(92)&amp;CHAR(34))</f>
        <v/>
      </c>
      <c r="K54" t="str">
        <f ca="1">SUBSTITUTE(SUBSTITUTE(SUBSTITUTE(SUBSTITUTE(IFERROR(VLOOKUP("Câu "&amp;D54&amp;".",dapan!$E:$J,6,0),""),"1","A"),"2","B"),"3","C"),"4","D")</f>
        <v>B</v>
      </c>
      <c r="P54">
        <f t="shared" si="1"/>
        <v>14</v>
      </c>
      <c r="Q54" t="str">
        <f t="shared" ca="1" si="2"/>
        <v>{"num":14,"id":14,"q":"Dừng xe được hiểu như thế nào là đúng?","opts":{"A":"Là trạng thái đứng yên của xe không giới hạn thời gian để cho người lên, xuống xe, xếp dỡ hàng hóa hoặc thực hiện công việc khác.","B":" 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khác.","C":"Là trạng thái đứng yên của xe không giới hạn thời gian giữa 02 lần vận chuyển hàng hóa hoặc hành khách."},"answer":"B"},</v>
      </c>
      <c r="R54" t="str">
        <f t="shared" si="3"/>
        <v>:</v>
      </c>
      <c r="S54">
        <f t="shared" si="6"/>
        <v>58</v>
      </c>
    </row>
    <row r="55" spans="1:19" hidden="1" x14ac:dyDescent="0.25">
      <c r="A55">
        <v>1</v>
      </c>
      <c r="B55" t="s">
        <v>44</v>
      </c>
      <c r="C55">
        <f>IFERROR(COUNTIFS($A$1:A55,"Câu "&amp;"*")-MID(A55,5,FIND(".",A55,1)-5),0)</f>
        <v>0</v>
      </c>
      <c r="D55" t="str">
        <f t="shared" si="5"/>
        <v/>
      </c>
      <c r="E55" t="str">
        <f>SUBSTITUTE(IF(LEFT(A55,3)="Câu",MID(A55,FIND(".",A55,1)+2,LEN(A55)),""),CHAR(34),CHAR(92)&amp;CHAR(34))</f>
        <v/>
      </c>
      <c r="G55" t="str">
        <f>SUBSTITUTE(B56,CHAR(34),CHAR(92)&amp;CHAR(34))</f>
        <v xml:space="preserve"> Là trạng thái đứng yên tạm thời của xe trong một khoảng thời gian cần thiết đủ để cho người lên xe, xuống xe, xếp dỡ hàng hóa, kiểm tra kỹ thuật xe hoặc hoạt động khác. Khi dừng xe không được tắt máy và không được rời khỏi vị trí lái, trừ trường hợp rời khỏi vị trí lái để đóng, mở cửa xe, xếp dỡ hàng hóa, kiểm tra kỹ thuật xe nhưng phải sử dụng phanh đỗ xe hoặc thực hiện biện pháp an toàn khác.</v>
      </c>
      <c r="H55" t="str">
        <f>SUBSTITUTE(B57,CHAR(34),CHAR(92)&amp;CHAR(34))</f>
        <v>Là trạng thái đứng yên của xe không giới hạn thời gian giữa 02 lần vận chuyển hàng hóa hoặc hành khách.</v>
      </c>
      <c r="I55" t="str">
        <f>SUBSTITUTE(IF(LEFT(A58,3)="Câu","",B58),CHAR(34),CHAR(92)&amp;CHAR(34))</f>
        <v/>
      </c>
      <c r="J55" t="str">
        <f>SUBSTITUTE(IF(OR(LEFT(A59,3)="Câu",I55=""),"",IF(B59=0,"",B59)),CHAR(34),CHAR(92)&amp;CHAR(34))</f>
        <v/>
      </c>
      <c r="K55" t="str">
        <f>SUBSTITUTE(SUBSTITUTE(SUBSTITUTE(SUBSTITUTE(IFERROR(VLOOKUP("Câu "&amp;D55&amp;".",dapan!$E:$J,6,0),""),"1","A"),"2","B"),"3","C"),"4","D")</f>
        <v/>
      </c>
      <c r="P55" t="str">
        <f t="shared" si="1"/>
        <v/>
      </c>
      <c r="Q55" t="str">
        <f t="shared" si="2"/>
        <v/>
      </c>
      <c r="R55" t="str">
        <f t="shared" si="3"/>
        <v>;</v>
      </c>
      <c r="S55">
        <f t="shared" si="6"/>
        <v>59</v>
      </c>
    </row>
    <row r="56" spans="1:19" hidden="1" x14ac:dyDescent="0.25">
      <c r="A56">
        <v>2</v>
      </c>
      <c r="B56" t="s">
        <v>45</v>
      </c>
      <c r="C56">
        <f>IFERROR(COUNTIFS($A$1:A56,"Câu "&amp;"*")-MID(A56,5,FIND(".",A56,1)-5),0)</f>
        <v>0</v>
      </c>
      <c r="D56" t="str">
        <f t="shared" si="5"/>
        <v/>
      </c>
      <c r="E56" t="str">
        <f>SUBSTITUTE(IF(LEFT(A56,3)="Câu",MID(A56,FIND(".",A56,1)+2,LEN(A56)),""),CHAR(34),CHAR(92)&amp;CHAR(34))</f>
        <v/>
      </c>
      <c r="G56" t="str">
        <f>SUBSTITUTE(B57,CHAR(34),CHAR(92)&amp;CHAR(34))</f>
        <v>Là trạng thái đứng yên của xe không giới hạn thời gian giữa 02 lần vận chuyển hàng hóa hoặc hành khách.</v>
      </c>
      <c r="H56" t="str">
        <f>SUBSTITUTE(B58,CHAR(34),CHAR(92)&amp;CHAR(34))</f>
        <v/>
      </c>
      <c r="I56" t="str">
        <f>SUBSTITUTE(IF(LEFT(A59,3)="Câu","",B59),CHAR(34),CHAR(92)&amp;CHAR(34))</f>
        <v>Là trạng thái đứng yên của xe có giới hạn thời gian trong một khoảng thời gian cần thiết đủ để cho người lên, xuống xe đó, xếp dỡ hàng hóa hoặc thực hiện công việc khác.</v>
      </c>
      <c r="J56" t="str">
        <f>SUBSTITUTE(IF(OR(LEFT(A60,3)="Câu",I56=""),"",IF(B60=0,"",B60)),CHAR(34),CHAR(92)&amp;CHAR(34))</f>
        <v xml:space="preserve">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v>
      </c>
      <c r="K56" t="str">
        <f>SUBSTITUTE(SUBSTITUTE(SUBSTITUTE(SUBSTITUTE(IFERROR(VLOOKUP("Câu "&amp;D56&amp;".",dapan!$E:$J,6,0),""),"1","A"),"2","B"),"3","C"),"4","D")</f>
        <v/>
      </c>
      <c r="P56" t="str">
        <f t="shared" si="1"/>
        <v/>
      </c>
      <c r="Q56" t="str">
        <f t="shared" si="2"/>
        <v/>
      </c>
      <c r="R56" t="str">
        <f t="shared" si="3"/>
        <v>&lt;</v>
      </c>
      <c r="S56">
        <f t="shared" si="6"/>
        <v>60</v>
      </c>
    </row>
    <row r="57" spans="1:19" hidden="1" x14ac:dyDescent="0.25">
      <c r="A57">
        <v>3</v>
      </c>
      <c r="B57" t="s">
        <v>46</v>
      </c>
      <c r="C57">
        <f>IFERROR(COUNTIFS($A$1:A57,"Câu "&amp;"*")-MID(A57,5,FIND(".",A57,1)-5),0)</f>
        <v>0</v>
      </c>
      <c r="D57" t="str">
        <f t="shared" si="5"/>
        <v/>
      </c>
      <c r="E57" t="str">
        <f>SUBSTITUTE(IF(LEFT(A57,3)="Câu",MID(A57,FIND(".",A57,1)+2,LEN(A57)),""),CHAR(34),CHAR(92)&amp;CHAR(34))</f>
        <v/>
      </c>
      <c r="G57" t="str">
        <f>SUBSTITUTE(B58,CHAR(34),CHAR(92)&amp;CHAR(34))</f>
        <v/>
      </c>
      <c r="H57" t="str">
        <f>SUBSTITUTE(B59,CHAR(34),CHAR(92)&amp;CHAR(34))</f>
        <v>Là trạng thái đứng yên của xe có giới hạn thời gian trong một khoảng thời gian cần thiết đủ để cho người lên, xuống xe đó, xếp dỡ hàng hóa hoặc thực hiện công việc khác.</v>
      </c>
      <c r="I57" t="str">
        <f>SUBSTITUTE(IF(LEFT(A60,3)="Câu","",B60),CHAR(34),CHAR(92)&amp;CHAR(34))</f>
        <v xml:space="preserve">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v>
      </c>
      <c r="J57" t="str">
        <f>SUBSTITUTE(IF(OR(LEFT(A61,3)="Câu",I57=""),"",IF(B61=0,"",B61)),CHAR(34),CHAR(92)&amp;CHAR(34))</f>
        <v/>
      </c>
      <c r="K57" t="str">
        <f>SUBSTITUTE(SUBSTITUTE(SUBSTITUTE(SUBSTITUTE(IFERROR(VLOOKUP("Câu "&amp;D57&amp;".",dapan!$E:$J,6,0),""),"1","A"),"2","B"),"3","C"),"4","D")</f>
        <v/>
      </c>
      <c r="P57" t="str">
        <f t="shared" si="1"/>
        <v/>
      </c>
      <c r="Q57" t="str">
        <f t="shared" si="2"/>
        <v/>
      </c>
      <c r="R57" t="str">
        <f t="shared" si="3"/>
        <v>=</v>
      </c>
      <c r="S57">
        <f t="shared" si="6"/>
        <v>61</v>
      </c>
    </row>
    <row r="58" spans="1:19" x14ac:dyDescent="0.25">
      <c r="A58" t="s">
        <v>47</v>
      </c>
      <c r="C58">
        <f>IFERROR(COUNTIFS($A$1:A58,"Câu "&amp;"*")-MID(A58,5,FIND(".",A58,1)-5),0)</f>
        <v>0</v>
      </c>
      <c r="D58">
        <f t="shared" si="5"/>
        <v>15</v>
      </c>
      <c r="E58" t="str">
        <f>SUBSTITUTE(IF(LEFT(A58,3)="Câu",MID(A58,FIND(".",A58,1)+2,LEN(A58)),""),CHAR(34),CHAR(92)&amp;CHAR(34))</f>
        <v>Đỗ xe được hiểu như thế nào là đúng?</v>
      </c>
      <c r="G58" t="str">
        <f>SUBSTITUTE(B59,CHAR(34),CHAR(92)&amp;CHAR(34))</f>
        <v>Là trạng thái đứng yên của xe có giới hạn thời gian trong một khoảng thời gian cần thiết đủ để cho người lên, xuống xe đó, xếp dỡ hàng hóa hoặc thực hiện công việc khác.</v>
      </c>
      <c r="H58" t="str">
        <f>SUBSTITUTE(B60,CHAR(34),CHAR(92)&amp;CHAR(34))</f>
        <v xml:space="preserve">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v>
      </c>
      <c r="I58" t="str">
        <f>SUBSTITUTE(IF(LEFT(A61,3)="Câu","",B61),CHAR(34),CHAR(92)&amp;CHAR(34))</f>
        <v/>
      </c>
      <c r="J58" t="str">
        <f>SUBSTITUTE(IF(OR(LEFT(A62,3)="Câu",I58=""),"",IF(B62=0,"",B62)),CHAR(34),CHAR(92)&amp;CHAR(34))</f>
        <v/>
      </c>
      <c r="K58" t="str">
        <f ca="1">SUBSTITUTE(SUBSTITUTE(SUBSTITUTE(SUBSTITUTE(IFERROR(VLOOKUP("Câu "&amp;D58&amp;".",dapan!$E:$J,6,0),""),"1","A"),"2","B"),"3","C"),"4","D")</f>
        <v>B</v>
      </c>
      <c r="P58">
        <f t="shared" si="1"/>
        <v>15</v>
      </c>
      <c r="Q58" t="str">
        <f t="shared" ca="1" si="2"/>
        <v>{"num":15,"id":15,"q":"Đỗ xe được hiểu như thế nào là đúng?","opts":{"A":"Là trạng thái đứng yên của xe có giới hạn thời gian trong một khoảng thời gian cần thiết đủ để cho người lên, xuống xe đó, xếp dỡ hàng hóa hoặc thực hiện công việc khác.","B":"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bánh."},"answer":"B"},</v>
      </c>
      <c r="R58" t="str">
        <f t="shared" si="3"/>
        <v>&gt;</v>
      </c>
      <c r="S58">
        <f t="shared" si="6"/>
        <v>62</v>
      </c>
    </row>
    <row r="59" spans="1:19" hidden="1" x14ac:dyDescent="0.25">
      <c r="A59">
        <v>1</v>
      </c>
      <c r="B59" t="s">
        <v>48</v>
      </c>
      <c r="C59">
        <f>IFERROR(COUNTIFS($A$1:A59,"Câu "&amp;"*")-MID(A59,5,FIND(".",A59,1)-5),0)</f>
        <v>0</v>
      </c>
      <c r="D59" t="str">
        <f t="shared" si="5"/>
        <v/>
      </c>
      <c r="E59" t="str">
        <f>SUBSTITUTE(IF(LEFT(A59,3)="Câu",MID(A59,FIND(".",A59,1)+2,LEN(A59)),""),CHAR(34),CHAR(92)&amp;CHAR(34))</f>
        <v/>
      </c>
      <c r="G59" t="str">
        <f>SUBSTITUTE(B60,CHAR(34),CHAR(92)&amp;CHAR(34))</f>
        <v xml:space="preserve"> Là trạng thái đứng yên của xe không giới hạn thời gian. Khi đỗ xe, người điều khiển phương tiện tham gia giao thông đường bộ chỉ được rời khỏi xe khi đã sử dụng phanh đỗ xe hoặc thực hiện biện pháp an toàn khác. Xe đỗ trên đoạn đường dốc phải đánh lái về phía lề đường, chèn bánh.</v>
      </c>
      <c r="H59" t="str">
        <f>SUBSTITUTE(B61,CHAR(34),CHAR(92)&amp;CHAR(34))</f>
        <v/>
      </c>
      <c r="I59" t="str">
        <f>SUBSTITUTE(IF(LEFT(A62,3)="Câu","",B62),CHAR(34),CHAR(92)&amp;CHAR(34))</f>
        <v xml:space="preserve"> Là một cấp kỹ thuật của đường bộ, chỉ dành cho một số loại xe cơ giới, xe máy chuyên dùng tham gia giao thông theo quy định của pháp luật. Có dải phân cách phân chia hai chiều xe chạy riêng biệt, không giao nhau cùng mức với một hoặc các đường khác, chỉ cho xe ra, vào ở những điểm nhất định. Có hàng rào bảo vệ, trang thiết bị phục vụ, bảo đảm giao thông liên tục, an toàn, rút ngắn thời gian hành trình.</v>
      </c>
      <c r="J59" t="str">
        <f>SUBSTITUTE(IF(OR(LEFT(A63,3)="Câu",I59=""),"",IF(B63=0,"",B63)),CHAR(34),CHAR(92)&amp;CHAR(34))</f>
        <v>Là đường nối liền Thủ đô Hà Nội với trung tâm hành chính cấp tỉnh; đường nối liền các trung tâm hành chính cấp tỉnh; đường có vị trí quan trọng đối với sự phát triển kinh tế- xã hội, bảo đảm quốc phòng, an ninh của vùng, khu vực.</v>
      </c>
      <c r="K59" t="str">
        <f>SUBSTITUTE(SUBSTITUTE(SUBSTITUTE(SUBSTITUTE(IFERROR(VLOOKUP("Câu "&amp;D59&amp;".",dapan!$E:$J,6,0),""),"1","A"),"2","B"),"3","C"),"4","D")</f>
        <v/>
      </c>
      <c r="P59" t="str">
        <f t="shared" si="1"/>
        <v/>
      </c>
      <c r="Q59" t="str">
        <f t="shared" si="2"/>
        <v/>
      </c>
      <c r="R59" t="str">
        <f t="shared" si="3"/>
        <v>?</v>
      </c>
      <c r="S59">
        <f t="shared" si="6"/>
        <v>63</v>
      </c>
    </row>
    <row r="60" spans="1:19" hidden="1" x14ac:dyDescent="0.25">
      <c r="A60">
        <v>2</v>
      </c>
      <c r="B60" t="s">
        <v>49</v>
      </c>
      <c r="C60">
        <f>IFERROR(COUNTIFS($A$1:A60,"Câu "&amp;"*")-MID(A60,5,FIND(".",A60,1)-5),0)</f>
        <v>0</v>
      </c>
      <c r="D60" t="str">
        <f t="shared" si="5"/>
        <v/>
      </c>
      <c r="E60" t="str">
        <f>SUBSTITUTE(IF(LEFT(A60,3)="Câu",MID(A60,FIND(".",A60,1)+2,LEN(A60)),""),CHAR(34),CHAR(92)&amp;CHAR(34))</f>
        <v/>
      </c>
      <c r="G60" t="str">
        <f>SUBSTITUTE(B61,CHAR(34),CHAR(92)&amp;CHAR(34))</f>
        <v/>
      </c>
      <c r="H60" t="str">
        <f>SUBSTITUTE(B62,CHAR(34),CHAR(92)&amp;CHAR(34))</f>
        <v xml:space="preserve"> Là một cấp kỹ thuật của đường bộ, chỉ dành cho một số loại xe cơ giới, xe máy chuyên dùng tham gia giao thông theo quy định của pháp luật. Có dải phân cách phân chia hai chiều xe chạy riêng biệt, không giao nhau cùng mức với một hoặc các đường khác, chỉ cho xe ra, vào ở những điểm nhất định. Có hàng rào bảo vệ, trang thiết bị phục vụ, bảo đảm giao thông liên tục, an toàn, rút ngắn thời gian hành trình.</v>
      </c>
      <c r="I60" t="str">
        <f>SUBSTITUTE(IF(LEFT(A63,3)="Câu","",B63),CHAR(34),CHAR(92)&amp;CHAR(34))</f>
        <v>Là đường nối liền Thủ đô Hà Nội với trung tâm hành chính cấp tỉnh; đường nối liền các trung tâm hành chính cấp tỉnh; đường có vị trí quan trọng đối với sự phát triển kinh tế- xã hội, bảo đảm quốc phòng, an ninh của vùng, khu vực.</v>
      </c>
      <c r="J60" t="str">
        <f>SUBSTITUTE(IF(OR(LEFT(A64,3)="Câu",I60=""),"",IF(B64=0,"",B64)),CHAR(34),CHAR(92)&amp;CHAR(34))</f>
        <v/>
      </c>
      <c r="K60" t="str">
        <f>SUBSTITUTE(SUBSTITUTE(SUBSTITUTE(SUBSTITUTE(IFERROR(VLOOKUP("Câu "&amp;D60&amp;".",dapan!$E:$J,6,0),""),"1","A"),"2","B"),"3","C"),"4","D")</f>
        <v/>
      </c>
      <c r="P60" t="str">
        <f t="shared" si="1"/>
        <v/>
      </c>
      <c r="Q60" t="str">
        <f t="shared" si="2"/>
        <v/>
      </c>
      <c r="R60" t="str">
        <f t="shared" si="3"/>
        <v>@</v>
      </c>
      <c r="S60">
        <f t="shared" si="6"/>
        <v>64</v>
      </c>
    </row>
    <row r="61" spans="1:19" x14ac:dyDescent="0.25">
      <c r="A61" t="s">
        <v>50</v>
      </c>
      <c r="C61">
        <f>IFERROR(COUNTIFS($A$1:A61,"Câu "&amp;"*")-MID(A61,5,FIND(".",A61,1)-5),0)</f>
        <v>0</v>
      </c>
      <c r="D61">
        <f t="shared" si="5"/>
        <v>16</v>
      </c>
      <c r="E61" t="str">
        <f>SUBSTITUTE(IF(LEFT(A61,3)="Câu",MID(A61,FIND(".",A61,1)+2,LEN(A61)),""),CHAR(34),CHAR(92)&amp;CHAR(34))</f>
        <v>Đường cao tốc được hiểu như thế nào là đúng?</v>
      </c>
      <c r="G61" t="str">
        <f>SUBSTITUTE(B62,CHAR(34),CHAR(92)&amp;CHAR(34))</f>
        <v xml:space="preserve"> Là một cấp kỹ thuật của đường bộ, chỉ dành cho một số loại xe cơ giới, xe máy chuyên dùng tham gia giao thông theo quy định của pháp luật. Có dải phân cách phân chia hai chiều xe chạy riêng biệt, không giao nhau cùng mức với một hoặc các đường khác, chỉ cho xe ra, vào ở những điểm nhất định. Có hàng rào bảo vệ, trang thiết bị phục vụ, bảo đảm giao thông liên tục, an toàn, rút ngắn thời gian hành trình.</v>
      </c>
      <c r="H61" t="str">
        <f>SUBSTITUTE(B63,CHAR(34),CHAR(92)&amp;CHAR(34))</f>
        <v>Là đường nối liền Thủ đô Hà Nội với trung tâm hành chính cấp tỉnh; đường nối liền các trung tâm hành chính cấp tỉnh; đường có vị trí quan trọng đối với sự phát triển kinh tế- xã hội, bảo đảm quốc phòng, an ninh của vùng, khu vực.</v>
      </c>
      <c r="I61" t="str">
        <f>SUBSTITUTE(IF(LEFT(A64,3)="Câu","",B64),CHAR(34),CHAR(92)&amp;CHAR(34))</f>
        <v/>
      </c>
      <c r="J61" t="str">
        <f>SUBSTITUTE(IF(OR(LEFT(A65,3)="Câu",I61=""),"",IF(B65=0,"",B65)),CHAR(34),CHAR(92)&amp;CHAR(34))</f>
        <v/>
      </c>
      <c r="K61" t="str">
        <f ca="1">SUBSTITUTE(SUBSTITUTE(SUBSTITUTE(SUBSTITUTE(IFERROR(VLOOKUP("Câu "&amp;D61&amp;".",dapan!$E:$J,6,0),""),"1","A"),"2","B"),"3","C"),"4","D")</f>
        <v>A</v>
      </c>
      <c r="P61">
        <f t="shared" si="1"/>
        <v>16</v>
      </c>
      <c r="Q61" t="str">
        <f t="shared" ca="1" si="2"/>
        <v>{"num":16,"id":16,"q":"Đường cao tốc được hiểu như thế nào là đúng?","opts":{"A":" Là một cấp kỹ thuật của đường bộ, chỉ dành cho một số loại xe cơ giới, xe máy chuyên dùng tham gia giao thông theo quy định của pháp luật. Có dải phân cách phân chia hai chiều xe chạy riêng biệt, không giao nhau cùng mức với một hoặc các đường khác, chỉ cho xe ra, vào ở những điểm nhất định. Có hàng rào bảo vệ, trang thiết bị phục vụ, bảo đảm giao thông liên tục, an toàn, rút ngắn thời gian hành trình.","B":"Là đường nối liền Thủ đô Hà Nội với trung tâm hành chính cấp tỉnh; đường nối liền các trung tâm hành chính cấp tỉnh; đường có vị trí quan trọng đối với sự phát triển kinh tế- xã hội, bảo đảm quốc phòng, an ninh của vùng, khu vực."},"answer":"A"},</v>
      </c>
      <c r="R61" t="str">
        <f t="shared" si="3"/>
        <v>A</v>
      </c>
      <c r="S61">
        <f t="shared" si="6"/>
        <v>65</v>
      </c>
    </row>
    <row r="62" spans="1:19" hidden="1" x14ac:dyDescent="0.25">
      <c r="A62">
        <v>1</v>
      </c>
      <c r="B62" t="s">
        <v>51</v>
      </c>
      <c r="C62">
        <f>IFERROR(COUNTIFS($A$1:A62,"Câu "&amp;"*")-MID(A62,5,FIND(".",A62,1)-5),0)</f>
        <v>0</v>
      </c>
      <c r="D62" t="str">
        <f t="shared" si="5"/>
        <v/>
      </c>
      <c r="E62" t="str">
        <f>SUBSTITUTE(IF(LEFT(A62,3)="Câu",MID(A62,FIND(".",A62,1)+2,LEN(A62)),""),CHAR(34),CHAR(92)&amp;CHAR(34))</f>
        <v/>
      </c>
      <c r="G62" t="str">
        <f>SUBSTITUTE(B63,CHAR(34),CHAR(92)&amp;CHAR(34))</f>
        <v>Là đường nối liền Thủ đô Hà Nội với trung tâm hành chính cấp tỉnh; đường nối liền các trung tâm hành chính cấp tỉnh; đường có vị trí quan trọng đối với sự phát triển kinh tế- xã hội, bảo đảm quốc phòng, an ninh của vùng, khu vực.</v>
      </c>
      <c r="H62" t="str">
        <f>SUBSTITUTE(B64,CHAR(34),CHAR(92)&amp;CHAR(34))</f>
        <v/>
      </c>
      <c r="I62" t="str">
        <f>SUBSTITUTE(IF(LEFT(A65,3)="Câu","",B65),CHAR(34),CHAR(92)&amp;CHAR(34))</f>
        <v xml:space="preserve">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v>
      </c>
      <c r="J62" t="str">
        <f>SUBSTITUTE(IF(OR(LEFT(A66,3)="Câu",I62=""),"",IF(B66=0,"",B66)),CHAR(34),CHAR(92)&amp;CHAR(34))</f>
        <v>Là thiết bị có đủ khả năng bảo đảm an toàn cho trẻ em ở tư thế đứng hoặc nằm trên xe ô tô, được thiết kế để giảm nguy cơ chấn thương cho người dùng trong trường hợp xe ô tô lưu thông bình thường.</v>
      </c>
      <c r="K62" t="str">
        <f>SUBSTITUTE(SUBSTITUTE(SUBSTITUTE(SUBSTITUTE(IFERROR(VLOOKUP("Câu "&amp;D62&amp;".",dapan!$E:$J,6,0),""),"1","A"),"2","B"),"3","C"),"4","D")</f>
        <v/>
      </c>
      <c r="P62" t="str">
        <f t="shared" si="1"/>
        <v/>
      </c>
      <c r="Q62" t="str">
        <f t="shared" si="2"/>
        <v/>
      </c>
      <c r="R62" t="str">
        <f t="shared" si="3"/>
        <v>B</v>
      </c>
      <c r="S62">
        <f t="shared" si="6"/>
        <v>66</v>
      </c>
    </row>
    <row r="63" spans="1:19" hidden="1" x14ac:dyDescent="0.25">
      <c r="A63">
        <v>2</v>
      </c>
      <c r="B63" t="s">
        <v>52</v>
      </c>
      <c r="C63">
        <f>IFERROR(COUNTIFS($A$1:A63,"Câu "&amp;"*")-MID(A63,5,FIND(".",A63,1)-5),0)</f>
        <v>0</v>
      </c>
      <c r="D63" t="str">
        <f t="shared" si="5"/>
        <v/>
      </c>
      <c r="E63" t="str">
        <f>SUBSTITUTE(IF(LEFT(A63,3)="Câu",MID(A63,FIND(".",A63,1)+2,LEN(A63)),""),CHAR(34),CHAR(92)&amp;CHAR(34))</f>
        <v/>
      </c>
      <c r="G63" t="str">
        <f>SUBSTITUTE(B64,CHAR(34),CHAR(92)&amp;CHAR(34))</f>
        <v/>
      </c>
      <c r="H63" t="str">
        <f>SUBSTITUTE(B65,CHAR(34),CHAR(92)&amp;CHAR(34))</f>
        <v xml:space="preserve">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v>
      </c>
      <c r="I63" t="str">
        <f>SUBSTITUTE(IF(LEFT(A66,3)="Câu","",B66),CHAR(34),CHAR(92)&amp;CHAR(34))</f>
        <v>Là thiết bị có đủ khả năng bảo đảm an toàn cho trẻ em ở tư thế đứng hoặc nằm trên xe ô tô, được thiết kế để giảm nguy cơ chấn thương cho người dùng trong trường hợp xe ô tô lưu thông bình thường.</v>
      </c>
      <c r="J63" t="str">
        <f>SUBSTITUTE(IF(OR(LEFT(A67,3)="Câu",I63=""),"",IF(B67=0,"",B67)),CHAR(34),CHAR(92)&amp;CHAR(34))</f>
        <v/>
      </c>
      <c r="K63" t="str">
        <f>SUBSTITUTE(SUBSTITUTE(SUBSTITUTE(SUBSTITUTE(IFERROR(VLOOKUP("Câu "&amp;D63&amp;".",dapan!$E:$J,6,0),""),"1","A"),"2","B"),"3","C"),"4","D")</f>
        <v/>
      </c>
      <c r="P63" t="str">
        <f t="shared" si="1"/>
        <v/>
      </c>
      <c r="Q63" t="str">
        <f t="shared" si="2"/>
        <v/>
      </c>
      <c r="R63" t="str">
        <f t="shared" si="3"/>
        <v>C</v>
      </c>
      <c r="S63">
        <f t="shared" si="6"/>
        <v>67</v>
      </c>
    </row>
    <row r="64" spans="1:19" x14ac:dyDescent="0.25">
      <c r="A64" t="s">
        <v>53</v>
      </c>
      <c r="C64">
        <f>IFERROR(COUNTIFS($A$1:A64,"Câu "&amp;"*")-MID(A64,5,FIND(".",A64,1)-5),0)</f>
        <v>0</v>
      </c>
      <c r="D64">
        <f t="shared" si="5"/>
        <v>17</v>
      </c>
      <c r="E64" t="str">
        <f>SUBSTITUTE(IF(LEFT(A64,3)="Câu",MID(A64,FIND(".",A64,1)+2,LEN(A64)),""),CHAR(34),CHAR(92)&amp;CHAR(34))</f>
        <v>Thiết bị an toàn cho trẻ em được hiểu như thế nào là đúng?</v>
      </c>
      <c r="G64" t="str">
        <f>SUBSTITUTE(B65,CHAR(34),CHAR(92)&amp;CHAR(34))</f>
        <v xml:space="preserve">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v>
      </c>
      <c r="H64" t="str">
        <f>SUBSTITUTE(B66,CHAR(34),CHAR(92)&amp;CHAR(34))</f>
        <v>Là thiết bị có đủ khả năng bảo đảm an toàn cho trẻ em ở tư thế đứng hoặc nằm trên xe ô tô, được thiết kế để giảm nguy cơ chấn thương cho người dùng trong trường hợp xe ô tô lưu thông bình thường.</v>
      </c>
      <c r="I64" t="str">
        <f>SUBSTITUTE(IF(LEFT(A67,3)="Câu","",B67),CHAR(34),CHAR(92)&amp;CHAR(34))</f>
        <v/>
      </c>
      <c r="J64" t="str">
        <f>SUBSTITUTE(IF(OR(LEFT(A68,3)="Câu",I64=""),"",IF(B68=0,"",B68)),CHAR(34),CHAR(92)&amp;CHAR(34))</f>
        <v/>
      </c>
      <c r="K64" t="str">
        <f ca="1">SUBSTITUTE(SUBSTITUTE(SUBSTITUTE(SUBSTITUTE(IFERROR(VLOOKUP("Câu "&amp;D64&amp;".",dapan!$E:$J,6,0),""),"1","A"),"2","B"),"3","C"),"4","D")</f>
        <v>A</v>
      </c>
      <c r="P64">
        <f t="shared" si="1"/>
        <v>17</v>
      </c>
      <c r="Q64" t="str">
        <f t="shared" ca="1" si="2"/>
        <v>{"num":17,"id":17,"q":"Thiết bị an toàn cho trẻ em được hiểu như thế nào là đúng?","opts":{"A":" Là thiết bị có đủ khả năng bảo đảm an toàn cho trẻ em ở tư thế ngồi hoặc nằm trên xe ô tô, được thiết kế để giảm nguy cơ chấn thương cho người dùng trong trường hợp xảy ra va chạm hoặc xe ô tô giảm tốc độ đột ngột, bằng cách hạn chế sự di chuyển của cơ thể trẻ em.","B":"Là thiết bị có đủ khả năng bảo đảm an toàn cho trẻ em ở tư thế đứng hoặc nằm trên xe ô tô, được thiết kế để giảm nguy cơ chấn thương cho người dùng trong trường hợp xe ô tô lưu thông bình thường."},"answer":"A"},</v>
      </c>
      <c r="R64" t="str">
        <f t="shared" si="3"/>
        <v>D</v>
      </c>
      <c r="S64">
        <f t="shared" si="6"/>
        <v>68</v>
      </c>
    </row>
    <row r="65" spans="1:19" hidden="1" x14ac:dyDescent="0.25">
      <c r="A65">
        <v>1</v>
      </c>
      <c r="B65" t="s">
        <v>54</v>
      </c>
      <c r="C65">
        <f>IFERROR(COUNTIFS($A$1:A65,"Câu "&amp;"*")-MID(A65,5,FIND(".",A65,1)-5),0)</f>
        <v>0</v>
      </c>
      <c r="D65" t="str">
        <f t="shared" si="5"/>
        <v/>
      </c>
      <c r="E65" t="str">
        <f>SUBSTITUTE(IF(LEFT(A65,3)="Câu",MID(A65,FIND(".",A65,1)+2,LEN(A65)),""),CHAR(34),CHAR(92)&amp;CHAR(34))</f>
        <v/>
      </c>
      <c r="G65" t="str">
        <f>SUBSTITUTE(B66,CHAR(34),CHAR(92)&amp;CHAR(34))</f>
        <v>Là thiết bị có đủ khả năng bảo đảm an toàn cho trẻ em ở tư thế đứng hoặc nằm trên xe ô tô, được thiết kế để giảm nguy cơ chấn thương cho người dùng trong trường hợp xe ô tô lưu thông bình thường.</v>
      </c>
      <c r="H65" t="str">
        <f>SUBSTITUTE(B67,CHAR(34),CHAR(92)&amp;CHAR(34))</f>
        <v/>
      </c>
      <c r="I65" t="str">
        <f>SUBSTITUTE(IF(LEFT(A68,3)="Câu","",B68),CHAR(34),CHAR(92)&amp;CHAR(34))</f>
        <v xml:space="preserve"> Đường chính, đường nhánh, đường gom, đường bên, đường dành cho giao thông công cộng, đường nội bộ, đường dành riêng cho người đi bộ, người đi xe đạp và các đường khác.</v>
      </c>
      <c r="J65" t="str">
        <f>SUBSTITUTE(IF(OR(LEFT(A69,3)="Câu",I65=""),"",IF(B69=0,"",B69)),CHAR(34),CHAR(92)&amp;CHAR(34))</f>
        <v>Đường chính, đường nhánh, đường gom, đường dành cho giao thông công cộng, đường nội bộ, đường dành riêng cho người đi bộ, người đi xe đạp và các đường khác.</v>
      </c>
      <c r="K65" t="str">
        <f>SUBSTITUTE(SUBSTITUTE(SUBSTITUTE(SUBSTITUTE(IFERROR(VLOOKUP("Câu "&amp;D65&amp;".",dapan!$E:$J,6,0),""),"1","A"),"2","B"),"3","C"),"4","D")</f>
        <v/>
      </c>
      <c r="P65" t="str">
        <f t="shared" si="1"/>
        <v/>
      </c>
      <c r="Q65" t="str">
        <f t="shared" si="2"/>
        <v/>
      </c>
      <c r="R65" t="str">
        <f t="shared" si="3"/>
        <v>E</v>
      </c>
      <c r="S65">
        <f t="shared" si="6"/>
        <v>69</v>
      </c>
    </row>
    <row r="66" spans="1:19" hidden="1" x14ac:dyDescent="0.25">
      <c r="A66">
        <v>2</v>
      </c>
      <c r="B66" t="s">
        <v>55</v>
      </c>
      <c r="C66">
        <f>IFERROR(COUNTIFS($A$1:A66,"Câu "&amp;"*")-MID(A66,5,FIND(".",A66,1)-5),0)</f>
        <v>0</v>
      </c>
      <c r="D66" t="str">
        <f t="shared" si="5"/>
        <v/>
      </c>
      <c r="E66" t="str">
        <f>SUBSTITUTE(IF(LEFT(A66,3)="Câu",MID(A66,FIND(".",A66,1)+2,LEN(A66)),""),CHAR(34),CHAR(92)&amp;CHAR(34))</f>
        <v/>
      </c>
      <c r="G66" t="str">
        <f>SUBSTITUTE(B67,CHAR(34),CHAR(92)&amp;CHAR(34))</f>
        <v/>
      </c>
      <c r="H66" t="str">
        <f>SUBSTITUTE(B68,CHAR(34),CHAR(92)&amp;CHAR(34))</f>
        <v xml:space="preserve"> Đường chính, đường nhánh, đường gom, đường bên, đường dành cho giao thông công cộng, đường nội bộ, đường dành riêng cho người đi bộ, người đi xe đạp và các đường khác.</v>
      </c>
      <c r="I66" t="str">
        <f>SUBSTITUTE(IF(LEFT(A69,3)="Câu","",B69),CHAR(34),CHAR(92)&amp;CHAR(34))</f>
        <v>Đường chính, đường nhánh, đường gom, đường dành cho giao thông công cộng, đường nội bộ, đường dành riêng cho người đi bộ, người đi xe đạp và các đường khác.</v>
      </c>
      <c r="J66" t="str">
        <f>SUBSTITUTE(IF(OR(LEFT(A70,3)="Câu",I66=""),"",IF(B70=0,"",B70)),CHAR(34),CHAR(92)&amp;CHAR(34))</f>
        <v>Đường chính, đường nhánh, đường gom, đường bên, đường dành cho giao thông công cộng, đường dành riêng cho người đi bộ, người đi xe đạp và các đường khác.</v>
      </c>
      <c r="K66" t="str">
        <f>SUBSTITUTE(SUBSTITUTE(SUBSTITUTE(SUBSTITUTE(IFERROR(VLOOKUP("Câu "&amp;D66&amp;".",dapan!$E:$J,6,0),""),"1","A"),"2","B"),"3","C"),"4","D")</f>
        <v/>
      </c>
      <c r="P66" t="str">
        <f t="shared" si="1"/>
        <v/>
      </c>
      <c r="Q66" t="str">
        <f t="shared" si="2"/>
        <v/>
      </c>
      <c r="R66" t="str">
        <f t="shared" si="3"/>
        <v>F</v>
      </c>
      <c r="S66">
        <f t="shared" si="6"/>
        <v>70</v>
      </c>
    </row>
    <row r="67" spans="1:19" x14ac:dyDescent="0.25">
      <c r="A67" t="s">
        <v>56</v>
      </c>
      <c r="C67">
        <f>IFERROR(COUNTIFS($A$1:A67,"Câu "&amp;"*")-MID(A67,5,FIND(".",A67,1)-5),0)</f>
        <v>0</v>
      </c>
      <c r="D67">
        <f t="shared" si="5"/>
        <v>18</v>
      </c>
      <c r="E67" t="str">
        <f>SUBSTITUTE(IF(LEFT(A67,3)="Câu",MID(A67,FIND(".",A67,1)+2,LEN(A67)),""),CHAR(34),CHAR(92)&amp;CHAR(34))</f>
        <v>Theo chức năng phục vụ thì đường bộ được phân loại như thế nào?</v>
      </c>
      <c r="G67" t="str">
        <f>SUBSTITUTE(B68,CHAR(34),CHAR(92)&amp;CHAR(34))</f>
        <v xml:space="preserve"> Đường chính, đường nhánh, đường gom, đường bên, đường dành cho giao thông công cộng, đường nội bộ, đường dành riêng cho người đi bộ, người đi xe đạp và các đường khác.</v>
      </c>
      <c r="H67" t="str">
        <f>SUBSTITUTE(B69,CHAR(34),CHAR(92)&amp;CHAR(34))</f>
        <v>Đường chính, đường nhánh, đường gom, đường dành cho giao thông công cộng, đường nội bộ, đường dành riêng cho người đi bộ, người đi xe đạp và các đường khác.</v>
      </c>
      <c r="I67" t="str">
        <f>SUBSTITUTE(IF(LEFT(A70,3)="Câu","",B70),CHAR(34),CHAR(92)&amp;CHAR(34))</f>
        <v>Đường chính, đường nhánh, đường gom, đường bên, đường dành cho giao thông công cộng, đường dành riêng cho người đi bộ, người đi xe đạp và các đường khác.</v>
      </c>
      <c r="J67" t="str">
        <f>SUBSTITUTE(IF(OR(LEFT(A71,3)="Câu",I67=""),"",IF(B71=0,"",B71)),CHAR(34),CHAR(92)&amp;CHAR(34))</f>
        <v/>
      </c>
      <c r="K67" t="str">
        <f ca="1">SUBSTITUTE(SUBSTITUTE(SUBSTITUTE(SUBSTITUTE(IFERROR(VLOOKUP("Câu "&amp;D67&amp;".",dapan!$E:$J,6,0),""),"1","A"),"2","B"),"3","C"),"4","D")</f>
        <v>A</v>
      </c>
      <c r="P67">
        <f t="shared" ref="P67:P130" si="7">D67</f>
        <v>18</v>
      </c>
      <c r="Q67" t="str">
        <f t="shared" ref="Q67:Q130" ca="1" si="8">IF(D67="","",CHAR(123)&amp;CHAR(34)&amp;"num"&amp;CHAR(34)&amp;":"&amp;P67&amp;","&amp;CHAR(34)&amp;"id"&amp;CHAR(34)&amp;":"&amp;D67&amp;","
&amp;CHAR(34)&amp;"q"&amp;CHAR(34)&amp;":"&amp;CHAR(34)&amp;E67&amp;CHAR(34)&amp;","
&amp;IF(F67="","",CHAR(34)&amp;"img"&amp;CHAR(34)&amp;":"&amp;CHAR(34)&amp;F67&amp;CHAR(34)&amp;",")
&amp;CHAR(34)&amp;"opts"&amp;CHAR(34)&amp;":"&amp;CHAR(123)&amp;CHAR(34)&amp;"A"&amp;CHAR(34)&amp;":"&amp;CHAR(34)&amp;G67&amp;CHAR(34)&amp;","&amp;CHAR(34)&amp;"B"&amp;CHAR(34)&amp;":"&amp;CHAR(34)&amp;H67&amp;CHAR(34)
&amp;IF(I67="","",","&amp;CHAR(34)&amp;"C"&amp;CHAR(34)&amp;":"&amp;CHAR(34)&amp;I67&amp;CHAR(34))&amp;IF(J67="","",","&amp;CHAR(34)&amp;"D"&amp;CHAR(34)&amp;":"&amp;CHAR(34)&amp;J67&amp;CHAR(34))&amp;CHAR(125)&amp;","
&amp;CHAR(34)&amp;"answer"&amp;CHAR(34)&amp;":"&amp;CHAR(34)&amp;K67&amp;CHAR(34)
&amp;IF(L67="","",","&amp;CHAR(34)&amp;"danger"&amp;CHAR(34)&amp;":"&amp;CHAR(34)&amp;"true"&amp;CHAR(34))
&amp;IF(M67="","",","&amp;CHAR(34)&amp;"explain"&amp;CHAR(34)&amp;":"&amp;CHAR(34)&amp;M67&amp;CHAR(34))
&amp;IF(N67="","",","&amp;CHAR(34)&amp;"explainImg"&amp;CHAR(34)&amp;":"&amp;CHAR(34)&amp;N67&amp;CHAR(34))
&amp;IF(O67="","",","&amp;CHAR(34)&amp;"shuffle"&amp;CHAR(34)&amp;":"&amp;CHAR(34)&amp;"false"&amp;CHAR(34))&amp;CHAR(125)&amp;",")</f>
        <v>{"num":18,"id":18,"q":"Theo chức năng phục vụ thì đường bộ được phân loại như thế nào?","opts":{"A":" Đường chính, đường nhánh, đường gom, đường bên, đường dành cho giao thông công cộng, đường nội bộ, đường dành riêng cho người đi bộ, người đi xe đạp và các đường khác.","B":"Đường chính, đường nhánh, đường gom, đường dành cho giao thông công cộng, đường nội bộ, đường dành riêng cho người đi bộ, người đi xe đạp và các đường khác.","C":"Đường chính, đường nhánh, đường gom, đường bên, đường dành cho giao thông công cộng, đường dành riêng cho người đi bộ, người đi xe đạp và các đường khác."},"answer":"A"},</v>
      </c>
      <c r="R67" t="str">
        <f t="shared" si="3"/>
        <v>G</v>
      </c>
      <c r="S67">
        <f t="shared" si="6"/>
        <v>71</v>
      </c>
    </row>
    <row r="68" spans="1:19" hidden="1" x14ac:dyDescent="0.25">
      <c r="A68">
        <v>1</v>
      </c>
      <c r="B68" t="s">
        <v>57</v>
      </c>
      <c r="C68">
        <f>IFERROR(COUNTIFS($A$1:A68,"Câu "&amp;"*")-MID(A68,5,FIND(".",A68,1)-5),0)</f>
        <v>0</v>
      </c>
      <c r="D68" t="str">
        <f t="shared" si="5"/>
        <v/>
      </c>
      <c r="E68" t="str">
        <f>SUBSTITUTE(IF(LEFT(A68,3)="Câu",MID(A68,FIND(".",A68,1)+2,LEN(A68)),""),CHAR(34),CHAR(92)&amp;CHAR(34))</f>
        <v/>
      </c>
      <c r="G68" t="str">
        <f>SUBSTITUTE(B69,CHAR(34),CHAR(92)&amp;CHAR(34))</f>
        <v>Đường chính, đường nhánh, đường gom, đường dành cho giao thông công cộng, đường nội bộ, đường dành riêng cho người đi bộ, người đi xe đạp và các đường khác.</v>
      </c>
      <c r="H68" t="str">
        <f>SUBSTITUTE(B70,CHAR(34),CHAR(92)&amp;CHAR(34))</f>
        <v>Đường chính, đường nhánh, đường gom, đường bên, đường dành cho giao thông công cộng, đường dành riêng cho người đi bộ, người đi xe đạp và các đường khác.</v>
      </c>
      <c r="I68" t="str">
        <f>SUBSTITUTE(IF(LEFT(A71,3)="Câu","",B71),CHAR(34),CHAR(92)&amp;CHAR(34))</f>
        <v/>
      </c>
      <c r="J68" t="str">
        <f>SUBSTITUTE(IF(OR(LEFT(A72,3)="Câu",I68=""),"",IF(B72=0,"",B72)),CHAR(34),CHAR(92)&amp;CHAR(34))</f>
        <v/>
      </c>
      <c r="K68" t="str">
        <f>SUBSTITUTE(SUBSTITUTE(SUBSTITUTE(SUBSTITUTE(IFERROR(VLOOKUP("Câu "&amp;D68&amp;".",dapan!$E:$J,6,0),""),"1","A"),"2","B"),"3","C"),"4","D")</f>
        <v/>
      </c>
      <c r="P68" t="str">
        <f t="shared" si="7"/>
        <v/>
      </c>
      <c r="Q68" t="str">
        <f t="shared" si="8"/>
        <v/>
      </c>
      <c r="R68" t="str">
        <f t="shared" si="3"/>
        <v>H</v>
      </c>
      <c r="S68">
        <f t="shared" si="6"/>
        <v>72</v>
      </c>
    </row>
    <row r="69" spans="1:19" hidden="1" x14ac:dyDescent="0.25">
      <c r="A69">
        <v>2</v>
      </c>
      <c r="B69" t="s">
        <v>58</v>
      </c>
      <c r="C69">
        <f>IFERROR(COUNTIFS($A$1:A69,"Câu "&amp;"*")-MID(A69,5,FIND(".",A69,1)-5),0)</f>
        <v>0</v>
      </c>
      <c r="D69" t="str">
        <f t="shared" si="5"/>
        <v/>
      </c>
      <c r="E69" t="str">
        <f>SUBSTITUTE(IF(LEFT(A69,3)="Câu",MID(A69,FIND(".",A69,1)+2,LEN(A69)),""),CHAR(34),CHAR(92)&amp;CHAR(34))</f>
        <v/>
      </c>
      <c r="G69" t="str">
        <f>SUBSTITUTE(B70,CHAR(34),CHAR(92)&amp;CHAR(34))</f>
        <v>Đường chính, đường nhánh, đường gom, đường bên, đường dành cho giao thông công cộng, đường dành riêng cho người đi bộ, người đi xe đạp và các đường khác.</v>
      </c>
      <c r="H69" t="str">
        <f>SUBSTITUTE(B71,CHAR(34),CHAR(92)&amp;CHAR(34))</f>
        <v/>
      </c>
      <c r="I69" t="str">
        <f>SUBSTITUTE(IF(LEFT(A72,3)="Câu","",B72),CHAR(34),CHAR(92)&amp;CHAR(34))</f>
        <v>Sử dụng xe đạp đi trên các tuyến quốc lộ.</v>
      </c>
      <c r="J69" t="str">
        <f>SUBSTITUTE(IF(OR(LEFT(A73,3)="Câu",I69=""),"",IF(B73=0,"",B73)),CHAR(34),CHAR(92)&amp;CHAR(34))</f>
        <v xml:space="preserve"> Rải vật sắc nhọn, đổ chất gây trơn trượt trên đường bộ.</v>
      </c>
      <c r="K69" t="str">
        <f>SUBSTITUTE(SUBSTITUTE(SUBSTITUTE(SUBSTITUTE(IFERROR(VLOOKUP("Câu "&amp;D69&amp;".",dapan!$E:$J,6,0),""),"1","A"),"2","B"),"3","C"),"4","D")</f>
        <v/>
      </c>
      <c r="P69" t="str">
        <f t="shared" si="7"/>
        <v/>
      </c>
      <c r="Q69" t="str">
        <f t="shared" si="8"/>
        <v/>
      </c>
      <c r="R69" t="str">
        <f t="shared" si="3"/>
        <v>I</v>
      </c>
      <c r="S69">
        <f t="shared" si="6"/>
        <v>73</v>
      </c>
    </row>
    <row r="70" spans="1:19" hidden="1" x14ac:dyDescent="0.25">
      <c r="A70">
        <v>3</v>
      </c>
      <c r="B70" t="s">
        <v>59</v>
      </c>
      <c r="C70">
        <f>IFERROR(COUNTIFS($A$1:A70,"Câu "&amp;"*")-MID(A70,5,FIND(".",A70,1)-5),0)</f>
        <v>0</v>
      </c>
      <c r="D70" t="str">
        <f t="shared" si="5"/>
        <v/>
      </c>
      <c r="E70" t="str">
        <f>SUBSTITUTE(IF(LEFT(A70,3)="Câu",MID(A70,FIND(".",A70,1)+2,LEN(A70)),""),CHAR(34),CHAR(92)&amp;CHAR(34))</f>
        <v/>
      </c>
      <c r="G70" t="str">
        <f>SUBSTITUTE(B71,CHAR(34),CHAR(92)&amp;CHAR(34))</f>
        <v/>
      </c>
      <c r="H70" t="str">
        <f>SUBSTITUTE(B72,CHAR(34),CHAR(92)&amp;CHAR(34))</f>
        <v>Sử dụng xe đạp đi trên các tuyến quốc lộ.</v>
      </c>
      <c r="I70" t="str">
        <f>SUBSTITUTE(IF(LEFT(A73,3)="Câu","",B73),CHAR(34),CHAR(92)&amp;CHAR(34))</f>
        <v xml:space="preserve"> Rải vật sắc nhọn, đổ chất gây trơn trượt trên đường bộ.</v>
      </c>
      <c r="J70" t="str">
        <f>SUBSTITUTE(IF(OR(LEFT(A74,3)="Câu",I70=""),"",IF(B74=0,"",B74)),CHAR(34),CHAR(92)&amp;CHAR(34))</f>
        <v>Cả hai ý trên.</v>
      </c>
      <c r="K70" t="str">
        <f>SUBSTITUTE(SUBSTITUTE(SUBSTITUTE(SUBSTITUTE(IFERROR(VLOOKUP("Câu "&amp;D70&amp;".",dapan!$E:$J,6,0),""),"1","A"),"2","B"),"3","C"),"4","D")</f>
        <v/>
      </c>
      <c r="P70" t="str">
        <f t="shared" si="7"/>
        <v/>
      </c>
      <c r="Q70" t="str">
        <f t="shared" si="8"/>
        <v/>
      </c>
      <c r="R70" t="str">
        <f t="shared" si="3"/>
        <v>J</v>
      </c>
      <c r="S70">
        <f t="shared" si="6"/>
        <v>74</v>
      </c>
    </row>
    <row r="71" spans="1:19" x14ac:dyDescent="0.25">
      <c r="A71" t="s">
        <v>60</v>
      </c>
      <c r="C71">
        <f>IFERROR(COUNTIFS($A$1:A71,"Câu "&amp;"*")-MID(A71,5,FIND(".",A71,1)-5),0)</f>
        <v>0</v>
      </c>
      <c r="D71">
        <f t="shared" si="5"/>
        <v>19</v>
      </c>
      <c r="E71" t="str">
        <f>SUBSTITUTE(IF(LEFT(A71,3)="Câu",MID(A71,FIND(".",A71,1)+2,LEN(A71)),""),CHAR(34),CHAR(92)&amp;CHAR(34))</f>
        <v>Hành vi nào dưới đây bị nghiêm cấm?</v>
      </c>
      <c r="G71" t="str">
        <f>SUBSTITUTE(B72,CHAR(34),CHAR(92)&amp;CHAR(34))</f>
        <v>Sử dụng xe đạp đi trên các tuyến quốc lộ.</v>
      </c>
      <c r="H71" t="str">
        <f>SUBSTITUTE(B73,CHAR(34),CHAR(92)&amp;CHAR(34))</f>
        <v xml:space="preserve"> Rải vật sắc nhọn, đổ chất gây trơn trượt trên đường bộ.</v>
      </c>
      <c r="I71" t="str">
        <f>SUBSTITUTE(IF(LEFT(A74,3)="Câu","",B74),CHAR(34),CHAR(92)&amp;CHAR(34))</f>
        <v>Cả hai ý trên.</v>
      </c>
      <c r="J71" t="str">
        <f>SUBSTITUTE(IF(OR(LEFT(A75,3)="Câu",I71=""),"",IF(B75=0,"",B75)),CHAR(34),CHAR(92)&amp;CHAR(34))</f>
        <v/>
      </c>
      <c r="K71" t="str">
        <f ca="1">SUBSTITUTE(SUBSTITUTE(SUBSTITUTE(SUBSTITUTE(IFERROR(VLOOKUP("Câu "&amp;D71&amp;".",dapan!$E:$J,6,0),""),"1","A"),"2","B"),"3","C"),"4","D")</f>
        <v>B</v>
      </c>
      <c r="P71">
        <f t="shared" si="7"/>
        <v>19</v>
      </c>
      <c r="Q71" t="str">
        <f t="shared" ca="1" si="8"/>
        <v>{"num":19,"id":19,"q":"Hành vi nào dưới đây bị nghiêm cấm?","opts":{"A":"Sử dụng xe đạp đi trên các tuyến quốc lộ.","B":" Rải vật sắc nhọn, đổ chất gây trơn trượt trên đường bộ.","C":"Cả hai ý trên."},"answer":"B"},</v>
      </c>
      <c r="R71" t="str">
        <f t="shared" si="3"/>
        <v>K</v>
      </c>
      <c r="S71">
        <f t="shared" si="6"/>
        <v>75</v>
      </c>
    </row>
    <row r="72" spans="1:19" hidden="1" x14ac:dyDescent="0.25">
      <c r="A72">
        <v>1</v>
      </c>
      <c r="B72" t="s">
        <v>61</v>
      </c>
      <c r="C72">
        <f>IFERROR(COUNTIFS($A$1:A72,"Câu "&amp;"*")-MID(A72,5,FIND(".",A72,1)-5),0)</f>
        <v>0</v>
      </c>
      <c r="D72" t="str">
        <f t="shared" si="5"/>
        <v/>
      </c>
      <c r="E72" t="str">
        <f>SUBSTITUTE(IF(LEFT(A72,3)="Câu",MID(A72,FIND(".",A72,1)+2,LEN(A72)),""),CHAR(34),CHAR(92)&amp;CHAR(34))</f>
        <v/>
      </c>
      <c r="G72" t="str">
        <f>SUBSTITUTE(B73,CHAR(34),CHAR(92)&amp;CHAR(34))</f>
        <v xml:space="preserve"> Rải vật sắc nhọn, đổ chất gây trơn trượt trên đường bộ.</v>
      </c>
      <c r="H72" t="str">
        <f>SUBSTITUTE(B74,CHAR(34),CHAR(92)&amp;CHAR(34))</f>
        <v>Cả hai ý trên.</v>
      </c>
      <c r="I72" t="str">
        <f>SUBSTITUTE(IF(LEFT(A75,3)="Câu","",B75),CHAR(34),CHAR(92)&amp;CHAR(34))</f>
        <v/>
      </c>
      <c r="J72" t="str">
        <f>SUBSTITUTE(IF(OR(LEFT(A76,3)="Câu",I72=""),"",IF(B76=0,"",B76)),CHAR(34),CHAR(92)&amp;CHAR(34))</f>
        <v/>
      </c>
      <c r="K72" t="str">
        <f>SUBSTITUTE(SUBSTITUTE(SUBSTITUTE(SUBSTITUTE(IFERROR(VLOOKUP("Câu "&amp;D72&amp;".",dapan!$E:$J,6,0),""),"1","A"),"2","B"),"3","C"),"4","D")</f>
        <v/>
      </c>
      <c r="P72" t="str">
        <f t="shared" si="7"/>
        <v/>
      </c>
      <c r="Q72" t="str">
        <f t="shared" si="8"/>
        <v/>
      </c>
      <c r="R72" t="str">
        <f t="shared" ref="R72:R135" si="9">CHAR(S72)</f>
        <v>L</v>
      </c>
      <c r="S72">
        <f t="shared" si="6"/>
        <v>76</v>
      </c>
    </row>
    <row r="73" spans="1:19" hidden="1" x14ac:dyDescent="0.25">
      <c r="A73">
        <v>2</v>
      </c>
      <c r="B73" t="s">
        <v>62</v>
      </c>
      <c r="C73">
        <f>IFERROR(COUNTIFS($A$1:A73,"Câu "&amp;"*")-MID(A73,5,FIND(".",A73,1)-5),0)</f>
        <v>0</v>
      </c>
      <c r="D73" t="str">
        <f t="shared" si="5"/>
        <v/>
      </c>
      <c r="E73" t="str">
        <f>SUBSTITUTE(IF(LEFT(A73,3)="Câu",MID(A73,FIND(".",A73,1)+2,LEN(A73)),""),CHAR(34),CHAR(92)&amp;CHAR(34))</f>
        <v/>
      </c>
      <c r="G73" t="str">
        <f>SUBSTITUTE(B74,CHAR(34),CHAR(92)&amp;CHAR(34))</f>
        <v>Cả hai ý trên.</v>
      </c>
      <c r="H73" t="str">
        <f>SUBSTITUTE(B75,CHAR(34),CHAR(92)&amp;CHAR(34))</f>
        <v/>
      </c>
      <c r="I73" t="str">
        <f>SUBSTITUTE(IF(LEFT(A76,3)="Câu","",B76),CHAR(34),CHAR(92)&amp;CHAR(34))</f>
        <v>Không có chứng nhận kiểm định an toàn kỹ thuật và bảo vệ môi trường.</v>
      </c>
      <c r="J73" t="str">
        <f>SUBSTITUTE(IF(OR(LEFT(A77,3)="Câu",I73=""),"",IF(B77=0,"",B77)),CHAR(34),CHAR(92)&amp;CHAR(34))</f>
        <v>Hết niên hạn sử dụng.</v>
      </c>
      <c r="K73" t="str">
        <f>SUBSTITUTE(SUBSTITUTE(SUBSTITUTE(SUBSTITUTE(IFERROR(VLOOKUP("Câu "&amp;D73&amp;".",dapan!$E:$J,6,0),""),"1","A"),"2","B"),"3","C"),"4","D")</f>
        <v/>
      </c>
      <c r="P73" t="str">
        <f t="shared" si="7"/>
        <v/>
      </c>
      <c r="Q73" t="str">
        <f t="shared" si="8"/>
        <v/>
      </c>
      <c r="R73" t="str">
        <f t="shared" si="9"/>
        <v>M</v>
      </c>
      <c r="S73">
        <f t="shared" si="6"/>
        <v>77</v>
      </c>
    </row>
    <row r="74" spans="1:19" hidden="1" x14ac:dyDescent="0.25">
      <c r="A74">
        <v>3</v>
      </c>
      <c r="B74" t="s">
        <v>18</v>
      </c>
      <c r="C74">
        <f>IFERROR(COUNTIFS($A$1:A74,"Câu "&amp;"*")-MID(A74,5,FIND(".",A74,1)-5),0)</f>
        <v>0</v>
      </c>
      <c r="D74" t="str">
        <f t="shared" si="5"/>
        <v/>
      </c>
      <c r="E74" t="str">
        <f>SUBSTITUTE(IF(LEFT(A74,3)="Câu",MID(A74,FIND(".",A74,1)+2,LEN(A74)),""),CHAR(34),CHAR(92)&amp;CHAR(34))</f>
        <v/>
      </c>
      <c r="G74" t="str">
        <f>SUBSTITUTE(B75,CHAR(34),CHAR(92)&amp;CHAR(34))</f>
        <v/>
      </c>
      <c r="H74" t="str">
        <f>SUBSTITUTE(B76,CHAR(34),CHAR(92)&amp;CHAR(34))</f>
        <v>Không có chứng nhận kiểm định an toàn kỹ thuật và bảo vệ môi trường.</v>
      </c>
      <c r="I74" t="str">
        <f>SUBSTITUTE(IF(LEFT(A77,3)="Câu","",B77),CHAR(34),CHAR(92)&amp;CHAR(34))</f>
        <v>Hết niên hạn sử dụng.</v>
      </c>
      <c r="J74" t="str">
        <f>SUBSTITUTE(IF(OR(LEFT(A78,3)="Câu",I74=""),"",IF(B78=0,"",B78)),CHAR(34),CHAR(92)&amp;CHAR(34))</f>
        <v xml:space="preserve"> Cả hai ý trên.</v>
      </c>
      <c r="K74" t="str">
        <f>SUBSTITUTE(SUBSTITUTE(SUBSTITUTE(SUBSTITUTE(IFERROR(VLOOKUP("Câu "&amp;D74&amp;".",dapan!$E:$J,6,0),""),"1","A"),"2","B"),"3","C"),"4","D")</f>
        <v/>
      </c>
      <c r="P74" t="str">
        <f t="shared" si="7"/>
        <v/>
      </c>
      <c r="Q74" t="str">
        <f t="shared" si="8"/>
        <v/>
      </c>
      <c r="R74" t="str">
        <f t="shared" si="9"/>
        <v>N</v>
      </c>
      <c r="S74">
        <f t="shared" si="6"/>
        <v>78</v>
      </c>
    </row>
    <row r="75" spans="1:19" x14ac:dyDescent="0.25">
      <c r="A75" t="s">
        <v>63</v>
      </c>
      <c r="C75">
        <f>IFERROR(COUNTIFS($A$1:A75,"Câu "&amp;"*")-MID(A75,5,FIND(".",A75,1)-5),0)</f>
        <v>0</v>
      </c>
      <c r="D75">
        <f t="shared" si="5"/>
        <v>20</v>
      </c>
      <c r="E75" t="str">
        <f>SUBSTITUTE(IF(LEFT(A75,3)="Câu",MID(A75,FIND(".",A75,1)+2,LEN(A75)),""),CHAR(34),CHAR(92)&amp;CHAR(34))</f>
        <v>Hành vi đưa xe cơ giới, xe máy chuyên dùng tham gia giao thông đường bộ nào dưới đây bị cấm?</v>
      </c>
      <c r="G75" t="str">
        <f>SUBSTITUTE(B76,CHAR(34),CHAR(92)&amp;CHAR(34))</f>
        <v>Không có chứng nhận kiểm định an toàn kỹ thuật và bảo vệ môi trường.</v>
      </c>
      <c r="H75" t="str">
        <f>SUBSTITUTE(B77,CHAR(34),CHAR(92)&amp;CHAR(34))</f>
        <v>Hết niên hạn sử dụng.</v>
      </c>
      <c r="I75" t="str">
        <f>SUBSTITUTE(IF(LEFT(A78,3)="Câu","",B78),CHAR(34),CHAR(92)&amp;CHAR(34))</f>
        <v xml:space="preserve"> Cả hai ý trên.</v>
      </c>
      <c r="J75" t="str">
        <f>SUBSTITUTE(IF(OR(LEFT(A79,3)="Câu",I75=""),"",IF(B79=0,"",B79)),CHAR(34),CHAR(92)&amp;CHAR(34))</f>
        <v/>
      </c>
      <c r="K75" t="str">
        <f ca="1">SUBSTITUTE(SUBSTITUTE(SUBSTITUTE(SUBSTITUTE(IFERROR(VLOOKUP("Câu "&amp;D75&amp;".",dapan!$E:$J,6,0),""),"1","A"),"2","B"),"3","C"),"4","D")</f>
        <v>C</v>
      </c>
      <c r="P75">
        <f t="shared" si="7"/>
        <v>20</v>
      </c>
      <c r="Q75" t="str">
        <f t="shared" ca="1" si="8"/>
        <v>{"num":20,"id":20,"q":"Hành vi đưa xe cơ giới, xe máy chuyên dùng tham gia giao thông đường bộ nào dưới đây bị cấm?","opts":{"A":"Không có chứng nhận kiểm định an toàn kỹ thuật và bảo vệ môi trường.","B":"Hết niên hạn sử dụng.","C":" Cả hai ý trên."},"answer":"C"},</v>
      </c>
      <c r="R75" t="str">
        <f t="shared" si="9"/>
        <v>O</v>
      </c>
      <c r="S75">
        <f t="shared" si="6"/>
        <v>79</v>
      </c>
    </row>
    <row r="76" spans="1:19" hidden="1" x14ac:dyDescent="0.25">
      <c r="A76">
        <v>1</v>
      </c>
      <c r="B76" t="s">
        <v>64</v>
      </c>
      <c r="C76">
        <f>IFERROR(COUNTIFS($A$1:A76,"Câu "&amp;"*")-MID(A76,5,FIND(".",A76,1)-5),0)</f>
        <v>0</v>
      </c>
      <c r="D76" t="str">
        <f t="shared" si="5"/>
        <v/>
      </c>
      <c r="E76" t="str">
        <f>SUBSTITUTE(IF(LEFT(A76,3)="Câu",MID(A76,FIND(".",A76,1)+2,LEN(A76)),""),CHAR(34),CHAR(92)&amp;CHAR(34))</f>
        <v/>
      </c>
      <c r="G76" t="str">
        <f>SUBSTITUTE(B77,CHAR(34),CHAR(92)&amp;CHAR(34))</f>
        <v>Hết niên hạn sử dụng.</v>
      </c>
      <c r="H76" t="str">
        <f>SUBSTITUTE(B78,CHAR(34),CHAR(92)&amp;CHAR(34))</f>
        <v xml:space="preserve"> Cả hai ý trên.</v>
      </c>
      <c r="I76" t="str">
        <f>SUBSTITUTE(IF(LEFT(A79,3)="Câu","",B79),CHAR(34),CHAR(92)&amp;CHAR(34))</f>
        <v/>
      </c>
      <c r="J76" t="str">
        <f>SUBSTITUTE(IF(OR(LEFT(A80,3)="Câu",I76=""),"",IF(B80=0,"",B80)),CHAR(34),CHAR(92)&amp;CHAR(34))</f>
        <v/>
      </c>
      <c r="K76" t="str">
        <f>SUBSTITUTE(SUBSTITUTE(SUBSTITUTE(SUBSTITUTE(IFERROR(VLOOKUP("Câu "&amp;D76&amp;".",dapan!$E:$J,6,0),""),"1","A"),"2","B"),"3","C"),"4","D")</f>
        <v/>
      </c>
      <c r="P76" t="str">
        <f t="shared" si="7"/>
        <v/>
      </c>
      <c r="Q76" t="str">
        <f t="shared" si="8"/>
        <v/>
      </c>
      <c r="R76" t="str">
        <f t="shared" si="9"/>
        <v>P</v>
      </c>
      <c r="S76">
        <f t="shared" si="6"/>
        <v>80</v>
      </c>
    </row>
    <row r="77" spans="1:19" hidden="1" x14ac:dyDescent="0.25">
      <c r="A77">
        <v>2</v>
      </c>
      <c r="B77" t="s">
        <v>65</v>
      </c>
      <c r="C77">
        <f>IFERROR(COUNTIFS($A$1:A77,"Câu "&amp;"*")-MID(A77,5,FIND(".",A77,1)-5),0)</f>
        <v>0</v>
      </c>
      <c r="D77" t="str">
        <f t="shared" si="5"/>
        <v/>
      </c>
      <c r="E77" t="str">
        <f>SUBSTITUTE(IF(LEFT(A77,3)="Câu",MID(A77,FIND(".",A77,1)+2,LEN(A77)),""),CHAR(34),CHAR(92)&amp;CHAR(34))</f>
        <v/>
      </c>
      <c r="G77" t="str">
        <f>SUBSTITUTE(B78,CHAR(34),CHAR(92)&amp;CHAR(34))</f>
        <v xml:space="preserve"> Cả hai ý trên.</v>
      </c>
      <c r="H77" t="str">
        <f>SUBSTITUTE(B79,CHAR(34),CHAR(92)&amp;CHAR(34))</f>
        <v/>
      </c>
      <c r="I77" t="str">
        <f>SUBSTITUTE(IF(LEFT(A80,3)="Câu","",B80),CHAR(34),CHAR(92)&amp;CHAR(34))</f>
        <v>Trên đường phố không có người qua lại.</v>
      </c>
      <c r="J77" t="str">
        <f>SUBSTITUTE(IF(OR(LEFT(A81,3)="Câu",I77=""),"",IF(B81=0,"",B81)),CHAR(34),CHAR(92)&amp;CHAR(34))</f>
        <v>Được người dân ủng hộ.</v>
      </c>
      <c r="K77" t="str">
        <f>SUBSTITUTE(SUBSTITUTE(SUBSTITUTE(SUBSTITUTE(IFERROR(VLOOKUP("Câu "&amp;D77&amp;".",dapan!$E:$J,6,0),""),"1","A"),"2","B"),"3","C"),"4","D")</f>
        <v/>
      </c>
      <c r="P77" t="str">
        <f t="shared" si="7"/>
        <v/>
      </c>
      <c r="Q77" t="str">
        <f t="shared" si="8"/>
        <v/>
      </c>
      <c r="R77" t="str">
        <f t="shared" si="9"/>
        <v>Q</v>
      </c>
      <c r="S77">
        <f t="shared" si="6"/>
        <v>81</v>
      </c>
    </row>
    <row r="78" spans="1:19" hidden="1" x14ac:dyDescent="0.25">
      <c r="A78">
        <v>3</v>
      </c>
      <c r="B78" t="s">
        <v>32</v>
      </c>
      <c r="C78">
        <f>IFERROR(COUNTIFS($A$1:A78,"Câu "&amp;"*")-MID(A78,5,FIND(".",A78,1)-5),0)</f>
        <v>0</v>
      </c>
      <c r="D78" t="str">
        <f t="shared" si="5"/>
        <v/>
      </c>
      <c r="E78" t="str">
        <f>SUBSTITUTE(IF(LEFT(A78,3)="Câu",MID(A78,FIND(".",A78,1)+2,LEN(A78)),""),CHAR(34),CHAR(92)&amp;CHAR(34))</f>
        <v/>
      </c>
      <c r="G78" t="str">
        <f>SUBSTITUTE(B79,CHAR(34),CHAR(92)&amp;CHAR(34))</f>
        <v/>
      </c>
      <c r="H78" t="str">
        <f>SUBSTITUTE(B80,CHAR(34),CHAR(92)&amp;CHAR(34))</f>
        <v>Trên đường phố không có người qua lại.</v>
      </c>
      <c r="I78" t="str">
        <f>SUBSTITUTE(IF(LEFT(A81,3)="Câu","",B81),CHAR(34),CHAR(92)&amp;CHAR(34))</f>
        <v>Được người dân ủng hộ.</v>
      </c>
      <c r="J78" t="str">
        <f>SUBSTITUTE(IF(OR(LEFT(A82,3)="Câu",I78=""),"",IF(B82=0,"",B82)),CHAR(34),CHAR(92)&amp;CHAR(34))</f>
        <v xml:space="preserve"> Được cơ quan có thẩm quyền cấp phép.</v>
      </c>
      <c r="K78" t="str">
        <f>SUBSTITUTE(SUBSTITUTE(SUBSTITUTE(SUBSTITUTE(IFERROR(VLOOKUP("Câu "&amp;D78&amp;".",dapan!$E:$J,6,0),""),"1","A"),"2","B"),"3","C"),"4","D")</f>
        <v/>
      </c>
      <c r="P78" t="str">
        <f t="shared" si="7"/>
        <v/>
      </c>
      <c r="Q78" t="str">
        <f t="shared" si="8"/>
        <v/>
      </c>
      <c r="R78" t="str">
        <f t="shared" si="9"/>
        <v>R</v>
      </c>
      <c r="S78">
        <f t="shared" si="6"/>
        <v>82</v>
      </c>
    </row>
    <row r="79" spans="1:19" x14ac:dyDescent="0.25">
      <c r="A79" t="s">
        <v>66</v>
      </c>
      <c r="C79">
        <f>IFERROR(COUNTIFS($A$1:A79,"Câu "&amp;"*")-MID(A79,5,FIND(".",A79,1)-5),0)</f>
        <v>0</v>
      </c>
      <c r="D79">
        <f t="shared" si="5"/>
        <v>21</v>
      </c>
      <c r="E79" t="str">
        <f>SUBSTITUTE(IF(LEFT(A79,3)="Câu",MID(A79,FIND(".",A79,1)+2,LEN(A79)),""),CHAR(34),CHAR(92)&amp;CHAR(34))</f>
        <v>Tổ chức đua xe được phép thực hiện khi nào?</v>
      </c>
      <c r="G79" t="str">
        <f>SUBSTITUTE(B80,CHAR(34),CHAR(92)&amp;CHAR(34))</f>
        <v>Trên đường phố không có người qua lại.</v>
      </c>
      <c r="H79" t="str">
        <f>SUBSTITUTE(B81,CHAR(34),CHAR(92)&amp;CHAR(34))</f>
        <v>Được người dân ủng hộ.</v>
      </c>
      <c r="I79" t="str">
        <f>SUBSTITUTE(IF(LEFT(A82,3)="Câu","",B82),CHAR(34),CHAR(92)&amp;CHAR(34))</f>
        <v xml:space="preserve"> Được cơ quan có thẩm quyền cấp phép.</v>
      </c>
      <c r="J79" t="str">
        <f>SUBSTITUTE(IF(OR(LEFT(A83,3)="Câu",I79=""),"",IF(B83=0,"",B83)),CHAR(34),CHAR(92)&amp;CHAR(34))</f>
        <v/>
      </c>
      <c r="K79" t="str">
        <f ca="1">SUBSTITUTE(SUBSTITUTE(SUBSTITUTE(SUBSTITUTE(IFERROR(VLOOKUP("Câu "&amp;D79&amp;".",dapan!$E:$J,6,0),""),"1","A"),"2","B"),"3","C"),"4","D")</f>
        <v>C</v>
      </c>
      <c r="P79">
        <f t="shared" si="7"/>
        <v>21</v>
      </c>
      <c r="Q79" t="str">
        <f t="shared" ca="1" si="8"/>
        <v>{"num":21,"id":21,"q":"Tổ chức đua xe được phép thực hiện khi nào?","opts":{"A":"Trên đường phố không có người qua lại.","B":"Được người dân ủng hộ.","C":" Được cơ quan có thẩm quyền cấp phép."},"answer":"C"},</v>
      </c>
      <c r="R79" t="str">
        <f t="shared" si="9"/>
        <v>S</v>
      </c>
      <c r="S79">
        <f t="shared" si="6"/>
        <v>83</v>
      </c>
    </row>
    <row r="80" spans="1:19" hidden="1" x14ac:dyDescent="0.25">
      <c r="A80">
        <v>1</v>
      </c>
      <c r="B80" t="s">
        <v>67</v>
      </c>
      <c r="C80">
        <f>IFERROR(COUNTIFS($A$1:A80,"Câu "&amp;"*")-MID(A80,5,FIND(".",A80,1)-5),0)</f>
        <v>0</v>
      </c>
      <c r="D80" t="str">
        <f t="shared" si="5"/>
        <v/>
      </c>
      <c r="E80" t="str">
        <f>SUBSTITUTE(IF(LEFT(A80,3)="Câu",MID(A80,FIND(".",A80,1)+2,LEN(A80)),""),CHAR(34),CHAR(92)&amp;CHAR(34))</f>
        <v/>
      </c>
      <c r="G80" t="str">
        <f>SUBSTITUTE(B81,CHAR(34),CHAR(92)&amp;CHAR(34))</f>
        <v>Được người dân ủng hộ.</v>
      </c>
      <c r="H80" t="str">
        <f>SUBSTITUTE(B82,CHAR(34),CHAR(92)&amp;CHAR(34))</f>
        <v xml:space="preserve"> Được cơ quan có thẩm quyền cấp phép.</v>
      </c>
      <c r="I80" t="str">
        <f>SUBSTITUTE(IF(LEFT(A83,3)="Câu","",B83),CHAR(34),CHAR(92)&amp;CHAR(34))</f>
        <v/>
      </c>
      <c r="J80" t="str">
        <f>SUBSTITUTE(IF(OR(LEFT(A84,3)="Câu",I80=""),"",IF(B84=0,"",B84)),CHAR(34),CHAR(92)&amp;CHAR(34))</f>
        <v/>
      </c>
      <c r="K80" t="str">
        <f>SUBSTITUTE(SUBSTITUTE(SUBSTITUTE(SUBSTITUTE(IFERROR(VLOOKUP("Câu "&amp;D80&amp;".",dapan!$E:$J,6,0),""),"1","A"),"2","B"),"3","C"),"4","D")</f>
        <v/>
      </c>
      <c r="P80" t="str">
        <f t="shared" si="7"/>
        <v/>
      </c>
      <c r="Q80" t="str">
        <f t="shared" si="8"/>
        <v/>
      </c>
      <c r="R80" t="str">
        <f t="shared" si="9"/>
        <v>T</v>
      </c>
      <c r="S80">
        <f t="shared" si="6"/>
        <v>84</v>
      </c>
    </row>
    <row r="81" spans="1:19" hidden="1" x14ac:dyDescent="0.25">
      <c r="A81">
        <v>2</v>
      </c>
      <c r="B81" t="s">
        <v>68</v>
      </c>
      <c r="C81">
        <f>IFERROR(COUNTIFS($A$1:A81,"Câu "&amp;"*")-MID(A81,5,FIND(".",A81,1)-5),0)</f>
        <v>0</v>
      </c>
      <c r="D81" t="str">
        <f t="shared" si="5"/>
        <v/>
      </c>
      <c r="E81" t="str">
        <f>SUBSTITUTE(IF(LEFT(A81,3)="Câu",MID(A81,FIND(".",A81,1)+2,LEN(A81)),""),CHAR(34),CHAR(92)&amp;CHAR(34))</f>
        <v/>
      </c>
      <c r="G81" t="str">
        <f>SUBSTITUTE(B82,CHAR(34),CHAR(92)&amp;CHAR(34))</f>
        <v xml:space="preserve"> Được cơ quan có thẩm quyền cấp phép.</v>
      </c>
      <c r="H81" t="str">
        <f>SUBSTITUTE(B83,CHAR(34),CHAR(92)&amp;CHAR(34))</f>
        <v/>
      </c>
      <c r="I81" t="str">
        <f>SUBSTITUTE(IF(LEFT(A84,3)="Câu","",B84),CHAR(34),CHAR(92)&amp;CHAR(34))</f>
        <v>Chỉ bị nhắc nhở.</v>
      </c>
      <c r="J81" t="str">
        <f>SUBSTITUTE(IF(OR(LEFT(A85,3)="Câu",I81=""),"",IF(B85=0,"",B85)),CHAR(34),CHAR(92)&amp;CHAR(34))</f>
        <v xml:space="preserve"> Tùy theo mức độ của hành vi vi phạm có thể bị xử lý hành chính hoặc xử lý hình sự.</v>
      </c>
      <c r="K81" t="str">
        <f>SUBSTITUTE(SUBSTITUTE(SUBSTITUTE(SUBSTITUTE(IFERROR(VLOOKUP("Câu "&amp;D81&amp;".",dapan!$E:$J,6,0),""),"1","A"),"2","B"),"3","C"),"4","D")</f>
        <v/>
      </c>
      <c r="P81" t="str">
        <f t="shared" si="7"/>
        <v/>
      </c>
      <c r="Q81" t="str">
        <f t="shared" si="8"/>
        <v/>
      </c>
      <c r="R81" t="str">
        <f t="shared" si="9"/>
        <v>U</v>
      </c>
      <c r="S81">
        <f t="shared" si="6"/>
        <v>85</v>
      </c>
    </row>
    <row r="82" spans="1:19" hidden="1" x14ac:dyDescent="0.25">
      <c r="A82">
        <v>3</v>
      </c>
      <c r="B82" t="s">
        <v>69</v>
      </c>
      <c r="C82">
        <f>IFERROR(COUNTIFS($A$1:A82,"Câu "&amp;"*")-MID(A82,5,FIND(".",A82,1)-5),0)</f>
        <v>0</v>
      </c>
      <c r="D82" t="str">
        <f t="shared" si="5"/>
        <v/>
      </c>
      <c r="E82" t="str">
        <f>SUBSTITUTE(IF(LEFT(A82,3)="Câu",MID(A82,FIND(".",A82,1)+2,LEN(A82)),""),CHAR(34),CHAR(92)&amp;CHAR(34))</f>
        <v/>
      </c>
      <c r="G82" t="str">
        <f>SUBSTITUTE(B83,CHAR(34),CHAR(92)&amp;CHAR(34))</f>
        <v/>
      </c>
      <c r="H82" t="str">
        <f>SUBSTITUTE(B84,CHAR(34),CHAR(92)&amp;CHAR(34))</f>
        <v>Chỉ bị nhắc nhở.</v>
      </c>
      <c r="I82" t="str">
        <f>SUBSTITUTE(IF(LEFT(A85,3)="Câu","",B85),CHAR(34),CHAR(92)&amp;CHAR(34))</f>
        <v xml:space="preserve"> Tùy theo mức độ của hành vi vi phạm có thể bị xử lý hành chính hoặc xử lý hình sự.</v>
      </c>
      <c r="J82" t="str">
        <f>SUBSTITUTE(IF(OR(LEFT(A86,3)="Câu",I82=""),"",IF(B86=0,"",B86)),CHAR(34),CHAR(92)&amp;CHAR(34))</f>
        <v/>
      </c>
      <c r="K82" t="str">
        <f>SUBSTITUTE(SUBSTITUTE(SUBSTITUTE(SUBSTITUTE(IFERROR(VLOOKUP("Câu "&amp;D82&amp;".",dapan!$E:$J,6,0),""),"1","A"),"2","B"),"3","C"),"4","D")</f>
        <v/>
      </c>
      <c r="P82" t="str">
        <f t="shared" si="7"/>
        <v/>
      </c>
      <c r="Q82" t="str">
        <f t="shared" si="8"/>
        <v/>
      </c>
      <c r="R82" t="str">
        <f t="shared" si="9"/>
        <v>V</v>
      </c>
      <c r="S82">
        <f t="shared" si="6"/>
        <v>86</v>
      </c>
    </row>
    <row r="83" spans="1:19" x14ac:dyDescent="0.25">
      <c r="A83" t="s">
        <v>70</v>
      </c>
      <c r="C83">
        <f>IFERROR(COUNTIFS($A$1:A83,"Câu "&amp;"*")-MID(A83,5,FIND(".",A83,1)-5),0)</f>
        <v>0</v>
      </c>
      <c r="D83">
        <f t="shared" si="5"/>
        <v>22</v>
      </c>
      <c r="E83" t="str">
        <f>SUBSTITUTE(IF(LEFT(A83,3)="Câu",MID(A83,FIND(".",A83,1)+2,LEN(A83)),""),CHAR(34),CHAR(92)&amp;CHAR(34))</f>
        <v>Hành vi đua xe trái phép bị xử lý như thế nào?</v>
      </c>
      <c r="G83" t="str">
        <f>SUBSTITUTE(B84,CHAR(34),CHAR(92)&amp;CHAR(34))</f>
        <v>Chỉ bị nhắc nhở.</v>
      </c>
      <c r="H83" t="str">
        <f>SUBSTITUTE(B85,CHAR(34),CHAR(92)&amp;CHAR(34))</f>
        <v xml:space="preserve"> Tùy theo mức độ của hành vi vi phạm có thể bị xử lý hành chính hoặc xử lý hình sự.</v>
      </c>
      <c r="I83" t="str">
        <f>SUBSTITUTE(IF(LEFT(A86,3)="Câu","",B86),CHAR(34),CHAR(92)&amp;CHAR(34))</f>
        <v/>
      </c>
      <c r="J83" t="str">
        <f>SUBSTITUTE(IF(OR(LEFT(A87,3)="Câu",I83=""),"",IF(B87=0,"",B87)),CHAR(34),CHAR(92)&amp;CHAR(34))</f>
        <v/>
      </c>
      <c r="K83" t="str">
        <f ca="1">SUBSTITUTE(SUBSTITUTE(SUBSTITUTE(SUBSTITUTE(IFERROR(VLOOKUP("Câu "&amp;D83&amp;".",dapan!$E:$J,6,0),""),"1","A"),"2","B"),"3","C"),"4","D")</f>
        <v>B</v>
      </c>
      <c r="P83">
        <f t="shared" si="7"/>
        <v>22</v>
      </c>
      <c r="Q83" t="str">
        <f t="shared" ca="1" si="8"/>
        <v>{"num":22,"id":22,"q":"Hành vi đua xe trái phép bị xử lý như thế nào?","opts":{"A":"Chỉ bị nhắc nhở.","B":" Tùy theo mức độ của hành vi vi phạm có thể bị xử lý hành chính hoặc xử lý hình sự."},"answer":"B"},</v>
      </c>
      <c r="R83" t="str">
        <f t="shared" si="9"/>
        <v>W</v>
      </c>
      <c r="S83">
        <f t="shared" si="6"/>
        <v>87</v>
      </c>
    </row>
    <row r="84" spans="1:19" hidden="1" x14ac:dyDescent="0.25">
      <c r="A84">
        <v>1</v>
      </c>
      <c r="B84" t="s">
        <v>71</v>
      </c>
      <c r="C84">
        <f>IFERROR(COUNTIFS($A$1:A84,"Câu "&amp;"*")-MID(A84,5,FIND(".",A84,1)-5),0)</f>
        <v>0</v>
      </c>
      <c r="D84" t="str">
        <f t="shared" si="5"/>
        <v/>
      </c>
      <c r="E84" t="str">
        <f>SUBSTITUTE(IF(LEFT(A84,3)="Câu",MID(A84,FIND(".",A84,1)+2,LEN(A84)),""),CHAR(34),CHAR(92)&amp;CHAR(34))</f>
        <v/>
      </c>
      <c r="G84" t="str">
        <f>SUBSTITUTE(B85,CHAR(34),CHAR(92)&amp;CHAR(34))</f>
        <v xml:space="preserve"> Tùy theo mức độ của hành vi vi phạm có thể bị xử lý hành chính hoặc xử lý hình sự.</v>
      </c>
      <c r="H84" t="str">
        <f>SUBSTITUTE(B86,CHAR(34),CHAR(92)&amp;CHAR(34))</f>
        <v/>
      </c>
      <c r="I84" t="str">
        <f>SUBSTITUTE(IF(LEFT(A87,3)="Câu","",B87),CHAR(34),CHAR(92)&amp;CHAR(34))</f>
        <v>Bị phạt tiền.</v>
      </c>
      <c r="J84" t="str">
        <f>SUBSTITUTE(IF(OR(LEFT(A88,3)="Câu",I84=""),"",IF(B88=0,"",B88)),CHAR(34),CHAR(92)&amp;CHAR(34))</f>
        <v>Bị tước giấy phép lái xe.</v>
      </c>
      <c r="K84" t="str">
        <f>SUBSTITUTE(SUBSTITUTE(SUBSTITUTE(SUBSTITUTE(IFERROR(VLOOKUP("Câu "&amp;D84&amp;".",dapan!$E:$J,6,0),""),"1","A"),"2","B"),"3","C"),"4","D")</f>
        <v/>
      </c>
      <c r="P84" t="str">
        <f t="shared" si="7"/>
        <v/>
      </c>
      <c r="Q84" t="str">
        <f t="shared" si="8"/>
        <v/>
      </c>
      <c r="R84" t="str">
        <f t="shared" si="9"/>
        <v>X</v>
      </c>
      <c r="S84">
        <f t="shared" si="6"/>
        <v>88</v>
      </c>
    </row>
    <row r="85" spans="1:19" hidden="1" x14ac:dyDescent="0.25">
      <c r="A85">
        <v>2</v>
      </c>
      <c r="B85" t="s">
        <v>72</v>
      </c>
      <c r="C85">
        <f>IFERROR(COUNTIFS($A$1:A85,"Câu "&amp;"*")-MID(A85,5,FIND(".",A85,1)-5),0)</f>
        <v>0</v>
      </c>
      <c r="D85" t="str">
        <f t="shared" si="5"/>
        <v/>
      </c>
      <c r="E85" t="str">
        <f>SUBSTITUTE(IF(LEFT(A85,3)="Câu",MID(A85,FIND(".",A85,1)+2,LEN(A85)),""),CHAR(34),CHAR(92)&amp;CHAR(34))</f>
        <v/>
      </c>
      <c r="G85" t="str">
        <f>SUBSTITUTE(B86,CHAR(34),CHAR(92)&amp;CHAR(34))</f>
        <v/>
      </c>
      <c r="H85" t="str">
        <f>SUBSTITUTE(B87,CHAR(34),CHAR(92)&amp;CHAR(34))</f>
        <v>Bị phạt tiền.</v>
      </c>
      <c r="I85" t="str">
        <f>SUBSTITUTE(IF(LEFT(A88,3)="Câu","",B88),CHAR(34),CHAR(92)&amp;CHAR(34))</f>
        <v>Bị tước giấy phép lái xe.</v>
      </c>
      <c r="J85" t="str">
        <f>SUBSTITUTE(IF(OR(LEFT(A89,3)="Câu",I85=""),"",IF(B89=0,"",B89)),CHAR(34),CHAR(92)&amp;CHAR(34))</f>
        <v xml:space="preserve"> Cả hai ý trên.</v>
      </c>
      <c r="K85" t="str">
        <f>SUBSTITUTE(SUBSTITUTE(SUBSTITUTE(SUBSTITUTE(IFERROR(VLOOKUP("Câu "&amp;D85&amp;".",dapan!$E:$J,6,0),""),"1","A"),"2","B"),"3","C"),"4","D")</f>
        <v/>
      </c>
      <c r="P85" t="str">
        <f t="shared" si="7"/>
        <v/>
      </c>
      <c r="Q85" t="str">
        <f t="shared" si="8"/>
        <v/>
      </c>
      <c r="R85" t="str">
        <f t="shared" si="9"/>
        <v>Y</v>
      </c>
      <c r="S85">
        <f t="shared" si="6"/>
        <v>89</v>
      </c>
    </row>
    <row r="86" spans="1:19" x14ac:dyDescent="0.25">
      <c r="A86" t="s">
        <v>73</v>
      </c>
      <c r="C86">
        <f>IFERROR(COUNTIFS($A$1:A86,"Câu "&amp;"*")-MID(A86,5,FIND(".",A86,1)-5),0)</f>
        <v>0</v>
      </c>
      <c r="D86">
        <f t="shared" si="5"/>
        <v>23</v>
      </c>
      <c r="E86" t="str">
        <f>SUBSTITUTE(IF(LEFT(A86,3)="Câu",MID(A86,FIND(".",A86,1)+2,LEN(A86)),""),CHAR(34),CHAR(92)&amp;CHAR(34))</f>
        <v>Hành vi của người điều khiển xe ô tô và các loại xe tương tự khi tham gia giao thông đường bộ mà trong cơ thể có chất ma túy thì bị áp dụng hình thức xử phạt vi phạm hành chính nào dưới đây?</v>
      </c>
      <c r="G86" t="str">
        <f>SUBSTITUTE(B87,CHAR(34),CHAR(92)&amp;CHAR(34))</f>
        <v>Bị phạt tiền.</v>
      </c>
      <c r="H86" t="str">
        <f>SUBSTITUTE(B88,CHAR(34),CHAR(92)&amp;CHAR(34))</f>
        <v>Bị tước giấy phép lái xe.</v>
      </c>
      <c r="I86" t="str">
        <f>SUBSTITUTE(IF(LEFT(A89,3)="Câu","",B89),CHAR(34),CHAR(92)&amp;CHAR(34))</f>
        <v xml:space="preserve"> Cả hai ý trên.</v>
      </c>
      <c r="J86" t="str">
        <f>SUBSTITUTE(IF(OR(LEFT(A90,3)="Câu",I86=""),"",IF(B90=0,"",B90)),CHAR(34),CHAR(92)&amp;CHAR(34))</f>
        <v/>
      </c>
      <c r="K86" t="str">
        <f ca="1">SUBSTITUTE(SUBSTITUTE(SUBSTITUTE(SUBSTITUTE(IFERROR(VLOOKUP("Câu "&amp;D86&amp;".",dapan!$E:$J,6,0),""),"1","A"),"2","B"),"3","C"),"4","D")</f>
        <v>C</v>
      </c>
      <c r="P86">
        <f t="shared" si="7"/>
        <v>23</v>
      </c>
      <c r="Q86" t="str">
        <f t="shared" ca="1" si="8"/>
        <v>{"num":23,"id":23,"q":"Hành vi của người điều khiển xe ô tô và các loại xe tương tự khi tham gia giao thông đường bộ mà trong cơ thể có chất ma túy thì bị áp dụng hình thức xử phạt vi phạm hành chính nào dưới đây?","opts":{"A":"Bị phạt tiền.","B":"Bị tước giấy phép lái xe.","C":" Cả hai ý trên."},"answer":"C"},</v>
      </c>
      <c r="R86" t="str">
        <f t="shared" si="9"/>
        <v>Z</v>
      </c>
      <c r="S86">
        <f t="shared" si="6"/>
        <v>90</v>
      </c>
    </row>
    <row r="87" spans="1:19" hidden="1" x14ac:dyDescent="0.25">
      <c r="A87">
        <v>1</v>
      </c>
      <c r="B87" t="s">
        <v>74</v>
      </c>
      <c r="C87">
        <f>IFERROR(COUNTIFS($A$1:A87,"Câu "&amp;"*")-MID(A87,5,FIND(".",A87,1)-5),0)</f>
        <v>0</v>
      </c>
      <c r="D87" t="str">
        <f t="shared" si="5"/>
        <v/>
      </c>
      <c r="E87" t="str">
        <f>SUBSTITUTE(IF(LEFT(A87,3)="Câu",MID(A87,FIND(".",A87,1)+2,LEN(A87)),""),CHAR(34),CHAR(92)&amp;CHAR(34))</f>
        <v/>
      </c>
      <c r="G87" t="str">
        <f>SUBSTITUTE(B88,CHAR(34),CHAR(92)&amp;CHAR(34))</f>
        <v>Bị tước giấy phép lái xe.</v>
      </c>
      <c r="H87" t="str">
        <f>SUBSTITUTE(B89,CHAR(34),CHAR(92)&amp;CHAR(34))</f>
        <v xml:space="preserve"> Cả hai ý trên.</v>
      </c>
      <c r="I87" t="str">
        <f>SUBSTITUTE(IF(LEFT(A90,3)="Câu","",B90),CHAR(34),CHAR(92)&amp;CHAR(34))</f>
        <v/>
      </c>
      <c r="J87" t="str">
        <f>SUBSTITUTE(IF(OR(LEFT(A91,3)="Câu",I87=""),"",IF(B91=0,"",B91)),CHAR(34),CHAR(92)&amp;CHAR(34))</f>
        <v/>
      </c>
      <c r="K87" t="str">
        <f>SUBSTITUTE(SUBSTITUTE(SUBSTITUTE(SUBSTITUTE(IFERROR(VLOOKUP("Câu "&amp;D87&amp;".",dapan!$E:$J,6,0),""),"1","A"),"2","B"),"3","C"),"4","D")</f>
        <v/>
      </c>
      <c r="P87" t="str">
        <f t="shared" si="7"/>
        <v/>
      </c>
      <c r="Q87" t="str">
        <f t="shared" si="8"/>
        <v/>
      </c>
      <c r="R87" t="str">
        <f t="shared" si="9"/>
        <v>[</v>
      </c>
      <c r="S87">
        <f t="shared" si="6"/>
        <v>91</v>
      </c>
    </row>
    <row r="88" spans="1:19" hidden="1" x14ac:dyDescent="0.25">
      <c r="A88">
        <v>2</v>
      </c>
      <c r="B88" t="s">
        <v>75</v>
      </c>
      <c r="C88">
        <f>IFERROR(COUNTIFS($A$1:A88,"Câu "&amp;"*")-MID(A88,5,FIND(".",A88,1)-5),0)</f>
        <v>0</v>
      </c>
      <c r="D88" t="str">
        <f t="shared" si="5"/>
        <v/>
      </c>
      <c r="E88" t="str">
        <f>SUBSTITUTE(IF(LEFT(A88,3)="Câu",MID(A88,FIND(".",A88,1)+2,LEN(A88)),""),CHAR(34),CHAR(92)&amp;CHAR(34))</f>
        <v/>
      </c>
      <c r="G88" t="str">
        <f>SUBSTITUTE(B89,CHAR(34),CHAR(92)&amp;CHAR(34))</f>
        <v xml:space="preserve"> Cả hai ý trên.</v>
      </c>
      <c r="H88" t="str">
        <f>SUBSTITUTE(B90,CHAR(34),CHAR(92)&amp;CHAR(34))</f>
        <v/>
      </c>
      <c r="I88" t="str">
        <f>SUBSTITUTE(IF(LEFT(A91,3)="Câu","",B91),CHAR(34),CHAR(92)&amp;CHAR(34))</f>
        <v xml:space="preserve"> Bị nghiêm cấm.</v>
      </c>
      <c r="J88" t="str">
        <f>SUBSTITUTE(IF(OR(LEFT(A92,3)="Câu",I88=""),"",IF(B92=0,"",B92)),CHAR(34),CHAR(92)&amp;CHAR(34))</f>
        <v>Không bị nghiêm cấm.</v>
      </c>
      <c r="K88" t="str">
        <f>SUBSTITUTE(SUBSTITUTE(SUBSTITUTE(SUBSTITUTE(IFERROR(VLOOKUP("Câu "&amp;D88&amp;".",dapan!$E:$J,6,0),""),"1","A"),"2","B"),"3","C"),"4","D")</f>
        <v/>
      </c>
      <c r="P88" t="str">
        <f t="shared" si="7"/>
        <v/>
      </c>
      <c r="Q88" t="str">
        <f t="shared" si="8"/>
        <v/>
      </c>
      <c r="R88" t="str">
        <f t="shared" si="9"/>
        <v>\</v>
      </c>
      <c r="S88">
        <f t="shared" si="6"/>
        <v>92</v>
      </c>
    </row>
    <row r="89" spans="1:19" hidden="1" x14ac:dyDescent="0.25">
      <c r="A89">
        <v>3</v>
      </c>
      <c r="B89" t="s">
        <v>32</v>
      </c>
      <c r="C89">
        <f>IFERROR(COUNTIFS($A$1:A89,"Câu "&amp;"*")-MID(A89,5,FIND(".",A89,1)-5),0)</f>
        <v>0</v>
      </c>
      <c r="D89" t="str">
        <f t="shared" ref="D89:D152" si="10">IF(LEFT(A89,3)="Câu",VALUE(MID(A89,5,FIND(".",A89,1)-5)),"")</f>
        <v/>
      </c>
      <c r="E89" t="str">
        <f>SUBSTITUTE(IF(LEFT(A89,3)="Câu",MID(A89,FIND(".",A89,1)+2,LEN(A89)),""),CHAR(34),CHAR(92)&amp;CHAR(34))</f>
        <v/>
      </c>
      <c r="G89" t="str">
        <f>SUBSTITUTE(B90,CHAR(34),CHAR(92)&amp;CHAR(34))</f>
        <v/>
      </c>
      <c r="H89" t="str">
        <f>SUBSTITUTE(B91,CHAR(34),CHAR(92)&amp;CHAR(34))</f>
        <v xml:space="preserve"> Bị nghiêm cấm.</v>
      </c>
      <c r="I89" t="str">
        <f>SUBSTITUTE(IF(LEFT(A92,3)="Câu","",B92),CHAR(34),CHAR(92)&amp;CHAR(34))</f>
        <v>Không bị nghiêm cấm.</v>
      </c>
      <c r="J89" t="str">
        <f>SUBSTITUTE(IF(OR(LEFT(A93,3)="Câu",I89=""),"",IF(B93=0,"",B93)),CHAR(34),CHAR(92)&amp;CHAR(34))</f>
        <v>Không bị nghiêm cấm, nếu nồng độ cồn trong máu ở mức nhẹ, có thể điều khiển phương tiện tham gia giao thông.</v>
      </c>
      <c r="K89" t="str">
        <f>SUBSTITUTE(SUBSTITUTE(SUBSTITUTE(SUBSTITUTE(IFERROR(VLOOKUP("Câu "&amp;D89&amp;".",dapan!$E:$J,6,0),""),"1","A"),"2","B"),"3","C"),"4","D")</f>
        <v/>
      </c>
      <c r="P89" t="str">
        <f t="shared" si="7"/>
        <v/>
      </c>
      <c r="Q89" t="str">
        <f t="shared" si="8"/>
        <v/>
      </c>
      <c r="R89" t="str">
        <f t="shared" si="9"/>
        <v>]</v>
      </c>
      <c r="S89">
        <f t="shared" si="6"/>
        <v>93</v>
      </c>
    </row>
    <row r="90" spans="1:19" x14ac:dyDescent="0.25">
      <c r="A90" t="s">
        <v>76</v>
      </c>
      <c r="C90">
        <f>IFERROR(COUNTIFS($A$1:A90,"Câu "&amp;"*")-MID(A90,5,FIND(".",A90,1)-5),0)</f>
        <v>0</v>
      </c>
      <c r="D90">
        <f t="shared" si="10"/>
        <v>24</v>
      </c>
      <c r="E90" t="str">
        <f>SUBSTITUTE(IF(LEFT(A90,3)="Câu",MID(A90,FIND(".",A90,1)+2,LEN(A90)),""),CHAR(34),CHAR(92)&amp;CHAR(34))</f>
        <v>Người điều khiển phương tiện tham gia giao thông đường bộ mà trong máu hoặc hơi thở có nồng độ cồn có bị nghiêm cấm không?</v>
      </c>
      <c r="G90" t="str">
        <f>SUBSTITUTE(B91,CHAR(34),CHAR(92)&amp;CHAR(34))</f>
        <v xml:space="preserve"> Bị nghiêm cấm.</v>
      </c>
      <c r="H90" t="str">
        <f>SUBSTITUTE(B92,CHAR(34),CHAR(92)&amp;CHAR(34))</f>
        <v>Không bị nghiêm cấm.</v>
      </c>
      <c r="I90" t="str">
        <f>SUBSTITUTE(IF(LEFT(A93,3)="Câu","",B93),CHAR(34),CHAR(92)&amp;CHAR(34))</f>
        <v>Không bị nghiêm cấm, nếu nồng độ cồn trong máu ở mức nhẹ, có thể điều khiển phương tiện tham gia giao thông.</v>
      </c>
      <c r="J90" t="str">
        <f>SUBSTITUTE(IF(OR(LEFT(A94,3)="Câu",I90=""),"",IF(B94=0,"",B94)),CHAR(34),CHAR(92)&amp;CHAR(34))</f>
        <v/>
      </c>
      <c r="K90" t="str">
        <f ca="1">SUBSTITUTE(SUBSTITUTE(SUBSTITUTE(SUBSTITUTE(IFERROR(VLOOKUP("Câu "&amp;D90&amp;".",dapan!$E:$J,6,0),""),"1","A"),"2","B"),"3","C"),"4","D")</f>
        <v>A</v>
      </c>
      <c r="P90">
        <f t="shared" si="7"/>
        <v>24</v>
      </c>
      <c r="Q90" t="str">
        <f t="shared" ca="1" si="8"/>
        <v>{"num":24,"id":24,"q":"Người điều khiển phương tiện tham gia giao thông đường bộ mà trong máu hoặc hơi thở có nồng độ cồn có bị nghiêm cấm không?","opts":{"A":" Bị nghiêm cấm.","B":"Không bị nghiêm cấm.","C":"Không bị nghiêm cấm, nếu nồng độ cồn trong máu ở mức nhẹ, có thể điều khiển phương tiện tham gia giao thông."},"answer":"A"},</v>
      </c>
      <c r="R90" t="str">
        <f t="shared" si="9"/>
        <v>^</v>
      </c>
      <c r="S90">
        <f t="shared" si="6"/>
        <v>94</v>
      </c>
    </row>
    <row r="91" spans="1:19" hidden="1" x14ac:dyDescent="0.25">
      <c r="A91">
        <v>1</v>
      </c>
      <c r="B91" t="s">
        <v>77</v>
      </c>
      <c r="C91">
        <f>IFERROR(COUNTIFS($A$1:A91,"Câu "&amp;"*")-MID(A91,5,FIND(".",A91,1)-5),0)</f>
        <v>0</v>
      </c>
      <c r="D91" t="str">
        <f t="shared" si="10"/>
        <v/>
      </c>
      <c r="E91" t="str">
        <f>SUBSTITUTE(IF(LEFT(A91,3)="Câu",MID(A91,FIND(".",A91,1)+2,LEN(A91)),""),CHAR(34),CHAR(92)&amp;CHAR(34))</f>
        <v/>
      </c>
      <c r="G91" t="str">
        <f>SUBSTITUTE(B92,CHAR(34),CHAR(92)&amp;CHAR(34))</f>
        <v>Không bị nghiêm cấm.</v>
      </c>
      <c r="H91" t="str">
        <f>SUBSTITUTE(B93,CHAR(34),CHAR(92)&amp;CHAR(34))</f>
        <v>Không bị nghiêm cấm, nếu nồng độ cồn trong máu ở mức nhẹ, có thể điều khiển phương tiện tham gia giao thông.</v>
      </c>
      <c r="I91" t="str">
        <f>SUBSTITUTE(IF(LEFT(A94,3)="Câu","",B94),CHAR(34),CHAR(92)&amp;CHAR(34))</f>
        <v/>
      </c>
      <c r="J91" t="str">
        <f>SUBSTITUTE(IF(OR(LEFT(A95,3)="Câu",I91=""),"",IF(B95=0,"",B95)),CHAR(34),CHAR(92)&amp;CHAR(34))</f>
        <v/>
      </c>
      <c r="K91" t="str">
        <f>SUBSTITUTE(SUBSTITUTE(SUBSTITUTE(SUBSTITUTE(IFERROR(VLOOKUP("Câu "&amp;D91&amp;".",dapan!$E:$J,6,0),""),"1","A"),"2","B"),"3","C"),"4","D")</f>
        <v/>
      </c>
      <c r="P91" t="str">
        <f t="shared" si="7"/>
        <v/>
      </c>
      <c r="Q91" t="str">
        <f t="shared" si="8"/>
        <v/>
      </c>
      <c r="R91" t="str">
        <f t="shared" si="9"/>
        <v>_</v>
      </c>
      <c r="S91">
        <f t="shared" si="6"/>
        <v>95</v>
      </c>
    </row>
    <row r="92" spans="1:19" hidden="1" x14ac:dyDescent="0.25">
      <c r="A92">
        <v>2</v>
      </c>
      <c r="B92" t="s">
        <v>78</v>
      </c>
      <c r="C92">
        <f>IFERROR(COUNTIFS($A$1:A92,"Câu "&amp;"*")-MID(A92,5,FIND(".",A92,1)-5),0)</f>
        <v>0</v>
      </c>
      <c r="D92" t="str">
        <f t="shared" si="10"/>
        <v/>
      </c>
      <c r="E92" t="str">
        <f>SUBSTITUTE(IF(LEFT(A92,3)="Câu",MID(A92,FIND(".",A92,1)+2,LEN(A92)),""),CHAR(34),CHAR(92)&amp;CHAR(34))</f>
        <v/>
      </c>
      <c r="G92" t="str">
        <f>SUBSTITUTE(B93,CHAR(34),CHAR(92)&amp;CHAR(34))</f>
        <v>Không bị nghiêm cấm, nếu nồng độ cồn trong máu ở mức nhẹ, có thể điều khiển phương tiện tham gia giao thông.</v>
      </c>
      <c r="H92" t="str">
        <f>SUBSTITUTE(B94,CHAR(34),CHAR(92)&amp;CHAR(34))</f>
        <v/>
      </c>
      <c r="I92" t="str">
        <f>SUBSTITUTE(IF(LEFT(A95,3)="Câu","",B95),CHAR(34),CHAR(92)&amp;CHAR(34))</f>
        <v>Bị phạt tiền.</v>
      </c>
      <c r="J92" t="str">
        <f>SUBSTITUTE(IF(OR(LEFT(A96,3)="Câu",I92=""),"",IF(B96=0,"",B96)),CHAR(34),CHAR(92)&amp;CHAR(34))</f>
        <v>Có thể bị tước giấy phép lái xe.</v>
      </c>
      <c r="K92" t="str">
        <f>SUBSTITUTE(SUBSTITUTE(SUBSTITUTE(SUBSTITUTE(IFERROR(VLOOKUP("Câu "&amp;D92&amp;".",dapan!$E:$J,6,0),""),"1","A"),"2","B"),"3","C"),"4","D")</f>
        <v/>
      </c>
      <c r="P92" t="str">
        <f t="shared" si="7"/>
        <v/>
      </c>
      <c r="Q92" t="str">
        <f t="shared" si="8"/>
        <v/>
      </c>
      <c r="R92" t="str">
        <f t="shared" si="9"/>
        <v>`</v>
      </c>
      <c r="S92">
        <f t="shared" si="6"/>
        <v>96</v>
      </c>
    </row>
    <row r="93" spans="1:19" hidden="1" x14ac:dyDescent="0.25">
      <c r="A93">
        <v>3</v>
      </c>
      <c r="B93" t="s">
        <v>79</v>
      </c>
      <c r="C93">
        <f>IFERROR(COUNTIFS($A$1:A93,"Câu "&amp;"*")-MID(A93,5,FIND(".",A93,1)-5),0)</f>
        <v>0</v>
      </c>
      <c r="D93" t="str">
        <f t="shared" si="10"/>
        <v/>
      </c>
      <c r="E93" t="str">
        <f>SUBSTITUTE(IF(LEFT(A93,3)="Câu",MID(A93,FIND(".",A93,1)+2,LEN(A93)),""),CHAR(34),CHAR(92)&amp;CHAR(34))</f>
        <v/>
      </c>
      <c r="G93" t="str">
        <f>SUBSTITUTE(B94,CHAR(34),CHAR(92)&amp;CHAR(34))</f>
        <v/>
      </c>
      <c r="H93" t="str">
        <f>SUBSTITUTE(B95,CHAR(34),CHAR(92)&amp;CHAR(34))</f>
        <v>Bị phạt tiền.</v>
      </c>
      <c r="I93" t="str">
        <f>SUBSTITUTE(IF(LEFT(A96,3)="Câu","",B96),CHAR(34),CHAR(92)&amp;CHAR(34))</f>
        <v>Có thể bị tước giấy phép lái xe.</v>
      </c>
      <c r="J93" t="str">
        <f>SUBSTITUTE(IF(OR(LEFT(A97,3)="Câu",I93=""),"",IF(B97=0,"",B97)),CHAR(34),CHAR(92)&amp;CHAR(34))</f>
        <v xml:space="preserve"> Cả hai ý trên.</v>
      </c>
      <c r="K93" t="str">
        <f>SUBSTITUTE(SUBSTITUTE(SUBSTITUTE(SUBSTITUTE(IFERROR(VLOOKUP("Câu "&amp;D93&amp;".",dapan!$E:$J,6,0),""),"1","A"),"2","B"),"3","C"),"4","D")</f>
        <v/>
      </c>
      <c r="P93" t="str">
        <f t="shared" si="7"/>
        <v/>
      </c>
      <c r="Q93" t="str">
        <f t="shared" si="8"/>
        <v/>
      </c>
      <c r="R93" t="str">
        <f t="shared" si="9"/>
        <v>a</v>
      </c>
      <c r="S93">
        <f t="shared" si="6"/>
        <v>97</v>
      </c>
    </row>
    <row r="94" spans="1:19" x14ac:dyDescent="0.25">
      <c r="A94" t="s">
        <v>80</v>
      </c>
      <c r="C94">
        <f>IFERROR(COUNTIFS($A$1:A94,"Câu "&amp;"*")-MID(A94,5,FIND(".",A94,1)-5),0)</f>
        <v>0</v>
      </c>
      <c r="D94">
        <f t="shared" si="10"/>
        <v>25</v>
      </c>
      <c r="E94" t="str">
        <f>SUBSTITUTE(IF(LEFT(A94,3)="Câu",MID(A94,FIND(".",A94,1)+2,LEN(A94)),""),CHAR(34),CHAR(92)&amp;CHAR(34))</f>
        <v>Hành vi của người điều khiển xe ô tô và các loại xe tương tự khi tham gia giao thông đường bộ mà trong máu hoặc hơi thở có nồng độ cồn thì bị áp dụng hình thức xử phạt vi phạm hành chính nào dưới đây?</v>
      </c>
      <c r="G94" t="str">
        <f>SUBSTITUTE(B95,CHAR(34),CHAR(92)&amp;CHAR(34))</f>
        <v>Bị phạt tiền.</v>
      </c>
      <c r="H94" t="str">
        <f>SUBSTITUTE(B96,CHAR(34),CHAR(92)&amp;CHAR(34))</f>
        <v>Có thể bị tước giấy phép lái xe.</v>
      </c>
      <c r="I94" t="str">
        <f>SUBSTITUTE(IF(LEFT(A97,3)="Câu","",B97),CHAR(34),CHAR(92)&amp;CHAR(34))</f>
        <v xml:space="preserve"> Cả hai ý trên.</v>
      </c>
      <c r="J94" t="str">
        <f>SUBSTITUTE(IF(OR(LEFT(A98,3)="Câu",I94=""),"",IF(B98=0,"",B98)),CHAR(34),CHAR(92)&amp;CHAR(34))</f>
        <v/>
      </c>
      <c r="K94" t="str">
        <f ca="1">SUBSTITUTE(SUBSTITUTE(SUBSTITUTE(SUBSTITUTE(IFERROR(VLOOKUP("Câu "&amp;D94&amp;".",dapan!$E:$J,6,0),""),"1","A"),"2","B"),"3","C"),"4","D")</f>
        <v>C</v>
      </c>
      <c r="P94">
        <f t="shared" si="7"/>
        <v>25</v>
      </c>
      <c r="Q94" t="str">
        <f t="shared" ca="1" si="8"/>
        <v>{"num":25,"id":25,"q":"Hành vi của người điều khiển xe ô tô và các loại xe tương tự khi tham gia giao thông đường bộ mà trong máu hoặc hơi thở có nồng độ cồn thì bị áp dụng hình thức xử phạt vi phạm hành chính nào dưới đây?","opts":{"A":"Bị phạt tiền.","B":"Có thể bị tước giấy phép lái xe.","C":" Cả hai ý trên."},"answer":"C"},</v>
      </c>
      <c r="R94" t="str">
        <f t="shared" si="9"/>
        <v>b</v>
      </c>
      <c r="S94">
        <f t="shared" si="6"/>
        <v>98</v>
      </c>
    </row>
    <row r="95" spans="1:19" hidden="1" x14ac:dyDescent="0.25">
      <c r="A95">
        <v>1</v>
      </c>
      <c r="B95" t="s">
        <v>74</v>
      </c>
      <c r="C95">
        <f>IFERROR(COUNTIFS($A$1:A95,"Câu "&amp;"*")-MID(A95,5,FIND(".",A95,1)-5),0)</f>
        <v>0</v>
      </c>
      <c r="D95" t="str">
        <f t="shared" si="10"/>
        <v/>
      </c>
      <c r="E95" t="str">
        <f>SUBSTITUTE(IF(LEFT(A95,3)="Câu",MID(A95,FIND(".",A95,1)+2,LEN(A95)),""),CHAR(34),CHAR(92)&amp;CHAR(34))</f>
        <v/>
      </c>
      <c r="G95" t="str">
        <f>SUBSTITUTE(B96,CHAR(34),CHAR(92)&amp;CHAR(34))</f>
        <v>Có thể bị tước giấy phép lái xe.</v>
      </c>
      <c r="H95" t="str">
        <f>SUBSTITUTE(B97,CHAR(34),CHAR(92)&amp;CHAR(34))</f>
        <v xml:space="preserve"> Cả hai ý trên.</v>
      </c>
      <c r="I95" t="str">
        <f>SUBSTITUTE(IF(LEFT(A98,3)="Câu","",B98),CHAR(34),CHAR(92)&amp;CHAR(34))</f>
        <v/>
      </c>
      <c r="J95" t="str">
        <f>SUBSTITUTE(IF(OR(LEFT(A99,3)="Câu",I95=""),"",IF(B99=0,"",B99)),CHAR(34),CHAR(92)&amp;CHAR(34))</f>
        <v/>
      </c>
      <c r="K95" t="str">
        <f>SUBSTITUTE(SUBSTITUTE(SUBSTITUTE(SUBSTITUTE(IFERROR(VLOOKUP("Câu "&amp;D95&amp;".",dapan!$E:$J,6,0),""),"1","A"),"2","B"),"3","C"),"4","D")</f>
        <v/>
      </c>
      <c r="P95" t="str">
        <f t="shared" si="7"/>
        <v/>
      </c>
      <c r="Q95" t="str">
        <f t="shared" si="8"/>
        <v/>
      </c>
      <c r="R95" t="str">
        <f t="shared" si="9"/>
        <v>c</v>
      </c>
      <c r="S95">
        <f t="shared" si="6"/>
        <v>99</v>
      </c>
    </row>
    <row r="96" spans="1:19" hidden="1" x14ac:dyDescent="0.25">
      <c r="A96">
        <v>2</v>
      </c>
      <c r="B96" t="s">
        <v>81</v>
      </c>
      <c r="C96">
        <f>IFERROR(COUNTIFS($A$1:A96,"Câu "&amp;"*")-MID(A96,5,FIND(".",A96,1)-5),0)</f>
        <v>0</v>
      </c>
      <c r="D96" t="str">
        <f t="shared" si="10"/>
        <v/>
      </c>
      <c r="E96" t="str">
        <f>SUBSTITUTE(IF(LEFT(A96,3)="Câu",MID(A96,FIND(".",A96,1)+2,LEN(A96)),""),CHAR(34),CHAR(92)&amp;CHAR(34))</f>
        <v/>
      </c>
      <c r="G96" t="str">
        <f>SUBSTITUTE(B97,CHAR(34),CHAR(92)&amp;CHAR(34))</f>
        <v xml:space="preserve"> Cả hai ý trên.</v>
      </c>
      <c r="H96" t="str">
        <f>SUBSTITUTE(B98,CHAR(34),CHAR(92)&amp;CHAR(34))</f>
        <v/>
      </c>
      <c r="I96" t="str">
        <f>SUBSTITUTE(IF(LEFT(A99,3)="Câu","",B99),CHAR(34),CHAR(92)&amp;CHAR(34))</f>
        <v xml:space="preserve"> Người điều khiển xe ô tô, xe mô tô, xe đạp, xe gắn máy.</v>
      </c>
      <c r="J96" t="str">
        <f>SUBSTITUTE(IF(OR(LEFT(A100,3)="Câu",I96=""),"",IF(B100=0,"",B100)),CHAR(34),CHAR(92)&amp;CHAR(34))</f>
        <v>Người được chở trên xe cơ giới.</v>
      </c>
      <c r="K96" t="str">
        <f>SUBSTITUTE(SUBSTITUTE(SUBSTITUTE(SUBSTITUTE(IFERROR(VLOOKUP("Câu "&amp;D96&amp;".",dapan!$E:$J,6,0),""),"1","A"),"2","B"),"3","C"),"4","D")</f>
        <v/>
      </c>
      <c r="P96" t="str">
        <f t="shared" si="7"/>
        <v/>
      </c>
      <c r="Q96" t="str">
        <f t="shared" si="8"/>
        <v/>
      </c>
      <c r="R96" t="str">
        <f t="shared" si="9"/>
        <v>d</v>
      </c>
      <c r="S96">
        <f t="shared" si="6"/>
        <v>100</v>
      </c>
    </row>
    <row r="97" spans="1:19" hidden="1" x14ac:dyDescent="0.25">
      <c r="A97">
        <v>3</v>
      </c>
      <c r="B97" t="s">
        <v>32</v>
      </c>
      <c r="C97">
        <f>IFERROR(COUNTIFS($A$1:A97,"Câu "&amp;"*")-MID(A97,5,FIND(".",A97,1)-5),0)</f>
        <v>0</v>
      </c>
      <c r="D97" t="str">
        <f t="shared" si="10"/>
        <v/>
      </c>
      <c r="E97" t="str">
        <f>SUBSTITUTE(IF(LEFT(A97,3)="Câu",MID(A97,FIND(".",A97,1)+2,LEN(A97)),""),CHAR(34),CHAR(92)&amp;CHAR(34))</f>
        <v/>
      </c>
      <c r="G97" t="str">
        <f>SUBSTITUTE(B98,CHAR(34),CHAR(92)&amp;CHAR(34))</f>
        <v/>
      </c>
      <c r="H97" t="str">
        <f>SUBSTITUTE(B99,CHAR(34),CHAR(92)&amp;CHAR(34))</f>
        <v xml:space="preserve"> Người điều khiển xe ô tô, xe mô tô, xe đạp, xe gắn máy.</v>
      </c>
      <c r="I97" t="str">
        <f>SUBSTITUTE(IF(LEFT(A100,3)="Câu","",B100),CHAR(34),CHAR(92)&amp;CHAR(34))</f>
        <v>Người được chở trên xe cơ giới.</v>
      </c>
      <c r="J97" t="str">
        <f>SUBSTITUTE(IF(OR(LEFT(A101,3)="Câu",I97=""),"",IF(B101=0,"",B101)),CHAR(34),CHAR(92)&amp;CHAR(34))</f>
        <v>Cả hai ý trên.</v>
      </c>
      <c r="K97" t="str">
        <f>SUBSTITUTE(SUBSTITUTE(SUBSTITUTE(SUBSTITUTE(IFERROR(VLOOKUP("Câu "&amp;D97&amp;".",dapan!$E:$J,6,0),""),"1","A"),"2","B"),"3","C"),"4","D")</f>
        <v/>
      </c>
      <c r="P97" t="str">
        <f t="shared" si="7"/>
        <v/>
      </c>
      <c r="Q97" t="str">
        <f t="shared" si="8"/>
        <v/>
      </c>
      <c r="R97" t="str">
        <f t="shared" si="9"/>
        <v>e</v>
      </c>
      <c r="S97">
        <f t="shared" si="6"/>
        <v>101</v>
      </c>
    </row>
    <row r="98" spans="1:19" x14ac:dyDescent="0.25">
      <c r="A98" t="s">
        <v>82</v>
      </c>
      <c r="C98">
        <f>IFERROR(COUNTIFS($A$1:A98,"Câu "&amp;"*")-MID(A98,5,FIND(".",A98,1)-5),0)</f>
        <v>0</v>
      </c>
      <c r="D98">
        <f t="shared" si="10"/>
        <v>26</v>
      </c>
      <c r="E98" t="str">
        <f>SUBSTITUTE(IF(LEFT(A98,3)="Câu",MID(A98,FIND(".",A98,1)+2,LEN(A98)),""),CHAR(34),CHAR(92)&amp;CHAR(34))</f>
        <v>Theo Luật Phòng chống tác hại của rượu, bia, đối tượng nào dưới đây bị cấm sử dụng rượu, bia khi tham gia giao thông?</v>
      </c>
      <c r="G98" t="str">
        <f>SUBSTITUTE(B99,CHAR(34),CHAR(92)&amp;CHAR(34))</f>
        <v xml:space="preserve"> Người điều khiển xe ô tô, xe mô tô, xe đạp, xe gắn máy.</v>
      </c>
      <c r="H98" t="str">
        <f>SUBSTITUTE(B100,CHAR(34),CHAR(92)&amp;CHAR(34))</f>
        <v>Người được chở trên xe cơ giới.</v>
      </c>
      <c r="I98" t="str">
        <f>SUBSTITUTE(IF(LEFT(A101,3)="Câu","",B101),CHAR(34),CHAR(92)&amp;CHAR(34))</f>
        <v>Cả hai ý trên.</v>
      </c>
      <c r="J98" t="str">
        <f>SUBSTITUTE(IF(OR(LEFT(A102,3)="Câu",I98=""),"",IF(B102=0,"",B102)),CHAR(34),CHAR(92)&amp;CHAR(34))</f>
        <v/>
      </c>
      <c r="K98" t="str">
        <f ca="1">SUBSTITUTE(SUBSTITUTE(SUBSTITUTE(SUBSTITUTE(IFERROR(VLOOKUP("Câu "&amp;D98&amp;".",dapan!$E:$J,6,0),""),"1","A"),"2","B"),"3","C"),"4","D")</f>
        <v>A</v>
      </c>
      <c r="P98">
        <f t="shared" si="7"/>
        <v>26</v>
      </c>
      <c r="Q98" t="str">
        <f t="shared" ca="1" si="8"/>
        <v>{"num":26,"id":26,"q":"Theo Luật Phòng chống tác hại của rượu, bia, đối tượng nào dưới đây bị cấm sử dụng rượu, bia khi tham gia giao thông?","opts":{"A":" Người điều khiển xe ô tô, xe mô tô, xe đạp, xe gắn máy.","B":"Người được chở trên xe cơ giới.","C":"Cả hai ý trên."},"answer":"A"},</v>
      </c>
      <c r="R98" t="str">
        <f t="shared" si="9"/>
        <v>f</v>
      </c>
      <c r="S98">
        <f t="shared" si="6"/>
        <v>102</v>
      </c>
    </row>
    <row r="99" spans="1:19" hidden="1" x14ac:dyDescent="0.25">
      <c r="A99">
        <v>1</v>
      </c>
      <c r="B99" t="s">
        <v>83</v>
      </c>
      <c r="C99">
        <f>IFERROR(COUNTIFS($A$1:A99,"Câu "&amp;"*")-MID(A99,5,FIND(".",A99,1)-5),0)</f>
        <v>0</v>
      </c>
      <c r="D99" t="str">
        <f t="shared" si="10"/>
        <v/>
      </c>
      <c r="E99" t="str">
        <f>SUBSTITUTE(IF(LEFT(A99,3)="Câu",MID(A99,FIND(".",A99,1)+2,LEN(A99)),""),CHAR(34),CHAR(92)&amp;CHAR(34))</f>
        <v/>
      </c>
      <c r="G99" t="str">
        <f>SUBSTITUTE(B100,CHAR(34),CHAR(92)&amp;CHAR(34))</f>
        <v>Người được chở trên xe cơ giới.</v>
      </c>
      <c r="H99" t="str">
        <f>SUBSTITUTE(B101,CHAR(34),CHAR(92)&amp;CHAR(34))</f>
        <v>Cả hai ý trên.</v>
      </c>
      <c r="I99" t="str">
        <f>SUBSTITUTE(IF(LEFT(A102,3)="Câu","",B102),CHAR(34),CHAR(92)&amp;CHAR(34))</f>
        <v/>
      </c>
      <c r="J99" t="str">
        <f>SUBSTITUTE(IF(OR(LEFT(A103,3)="Câu",I99=""),"",IF(B103=0,"",B103)),CHAR(34),CHAR(92)&amp;CHAR(34))</f>
        <v/>
      </c>
      <c r="K99" t="str">
        <f>SUBSTITUTE(SUBSTITUTE(SUBSTITUTE(SUBSTITUTE(IFERROR(VLOOKUP("Câu "&amp;D99&amp;".",dapan!$E:$J,6,0),""),"1","A"),"2","B"),"3","C"),"4","D")</f>
        <v/>
      </c>
      <c r="P99" t="str">
        <f t="shared" si="7"/>
        <v/>
      </c>
      <c r="Q99" t="str">
        <f t="shared" si="8"/>
        <v/>
      </c>
      <c r="R99" t="str">
        <f t="shared" si="9"/>
        <v>g</v>
      </c>
      <c r="S99">
        <f t="shared" si="6"/>
        <v>103</v>
      </c>
    </row>
    <row r="100" spans="1:19" hidden="1" x14ac:dyDescent="0.25">
      <c r="A100">
        <v>2</v>
      </c>
      <c r="B100" t="s">
        <v>84</v>
      </c>
      <c r="C100">
        <f>IFERROR(COUNTIFS($A$1:A100,"Câu "&amp;"*")-MID(A100,5,FIND(".",A100,1)-5),0)</f>
        <v>0</v>
      </c>
      <c r="D100" t="str">
        <f t="shared" si="10"/>
        <v/>
      </c>
      <c r="E100" t="str">
        <f>SUBSTITUTE(IF(LEFT(A100,3)="Câu",MID(A100,FIND(".",A100,1)+2,LEN(A100)),""),CHAR(34),CHAR(92)&amp;CHAR(34))</f>
        <v/>
      </c>
      <c r="G100" t="str">
        <f>SUBSTITUTE(B101,CHAR(34),CHAR(92)&amp;CHAR(34))</f>
        <v>Cả hai ý trên.</v>
      </c>
      <c r="H100" t="str">
        <f>SUBSTITUTE(B102,CHAR(34),CHAR(92)&amp;CHAR(34))</f>
        <v/>
      </c>
      <c r="I100" t="str">
        <f>SUBSTITUTE(IF(LEFT(A103,3)="Câu","",B103),CHAR(34),CHAR(92)&amp;CHAR(34))</f>
        <v>Người chưa đủ tuổi theo quy định.</v>
      </c>
      <c r="J100" t="str">
        <f>SUBSTITUTE(IF(OR(LEFT(A104,3)="Câu",I100=""),"",IF(B104=0,"",B104)),CHAR(34),CHAR(92)&amp;CHAR(34))</f>
        <v>Người không có giấy phép lái xe.</v>
      </c>
      <c r="K100" t="str">
        <f>SUBSTITUTE(SUBSTITUTE(SUBSTITUTE(SUBSTITUTE(IFERROR(VLOOKUP("Câu "&amp;D100&amp;".",dapan!$E:$J,6,0),""),"1","A"),"2","B"),"3","C"),"4","D")</f>
        <v/>
      </c>
      <c r="P100" t="str">
        <f t="shared" si="7"/>
        <v/>
      </c>
      <c r="Q100" t="str">
        <f t="shared" si="8"/>
        <v/>
      </c>
      <c r="R100" t="str">
        <f t="shared" si="9"/>
        <v>h</v>
      </c>
      <c r="S100">
        <f t="shared" si="6"/>
        <v>104</v>
      </c>
    </row>
    <row r="101" spans="1:19" hidden="1" x14ac:dyDescent="0.25">
      <c r="A101">
        <v>3</v>
      </c>
      <c r="B101" t="s">
        <v>18</v>
      </c>
      <c r="C101">
        <f>IFERROR(COUNTIFS($A$1:A101,"Câu "&amp;"*")-MID(A101,5,FIND(".",A101,1)-5),0)</f>
        <v>0</v>
      </c>
      <c r="D101" t="str">
        <f t="shared" si="10"/>
        <v/>
      </c>
      <c r="E101" t="str">
        <f>SUBSTITUTE(IF(LEFT(A101,3)="Câu",MID(A101,FIND(".",A101,1)+2,LEN(A101)),""),CHAR(34),CHAR(92)&amp;CHAR(34))</f>
        <v/>
      </c>
      <c r="G101" t="str">
        <f>SUBSTITUTE(B102,CHAR(34),CHAR(92)&amp;CHAR(34))</f>
        <v/>
      </c>
      <c r="H101" t="str">
        <f>SUBSTITUTE(B103,CHAR(34),CHAR(92)&amp;CHAR(34))</f>
        <v>Người chưa đủ tuổi theo quy định.</v>
      </c>
      <c r="I101" t="str">
        <f>SUBSTITUTE(IF(LEFT(A104,3)="Câu","",B104),CHAR(34),CHAR(92)&amp;CHAR(34))</f>
        <v>Người không có giấy phép lái xe.</v>
      </c>
      <c r="J101" t="str">
        <f>SUBSTITUTE(IF(OR(LEFT(A105,3)="Câu",I101=""),"",IF(B105=0,"",B105)),CHAR(34),CHAR(92)&amp;CHAR(34))</f>
        <v>Người có giấy phép lái xe nhưng đã bị trừ hết 12 điểm.</v>
      </c>
      <c r="K101" t="str">
        <f>SUBSTITUTE(SUBSTITUTE(SUBSTITUTE(SUBSTITUTE(IFERROR(VLOOKUP("Câu "&amp;D101&amp;".",dapan!$E:$J,6,0),""),"1","A"),"2","B"),"3","C"),"4","D")</f>
        <v/>
      </c>
      <c r="P101" t="str">
        <f t="shared" si="7"/>
        <v/>
      </c>
      <c r="Q101" t="str">
        <f t="shared" si="8"/>
        <v/>
      </c>
      <c r="R101" t="str">
        <f t="shared" si="9"/>
        <v>i</v>
      </c>
      <c r="S101">
        <f t="shared" si="6"/>
        <v>105</v>
      </c>
    </row>
    <row r="102" spans="1:19" x14ac:dyDescent="0.25">
      <c r="A102" t="s">
        <v>85</v>
      </c>
      <c r="C102">
        <f>IFERROR(COUNTIFS($A$1:A102,"Câu "&amp;"*")-MID(A102,5,FIND(".",A102,1)-5),0)</f>
        <v>0</v>
      </c>
      <c r="D102">
        <f t="shared" si="10"/>
        <v>27</v>
      </c>
      <c r="E102" t="str">
        <f>SUBSTITUTE(IF(LEFT(A102,3)="Câu",MID(A102,FIND(".",A102,1)+2,LEN(A102)),""),CHAR(34),CHAR(92)&amp;CHAR(34))</f>
        <v>Hành vi giao xe ô tô, mô tô cho người nào sau đây tham gia giao thông đường bộ bị nghiêm cấm?</v>
      </c>
      <c r="G102" t="str">
        <f>SUBSTITUTE(B103,CHAR(34),CHAR(92)&amp;CHAR(34))</f>
        <v>Người chưa đủ tuổi theo quy định.</v>
      </c>
      <c r="H102" t="str">
        <f>SUBSTITUTE(B104,CHAR(34),CHAR(92)&amp;CHAR(34))</f>
        <v>Người không có giấy phép lái xe.</v>
      </c>
      <c r="I102" t="str">
        <f>SUBSTITUTE(IF(LEFT(A105,3)="Câu","",B105),CHAR(34),CHAR(92)&amp;CHAR(34))</f>
        <v>Người có giấy phép lái xe nhưng đã bị trừ hết 12 điểm.</v>
      </c>
      <c r="J102" t="str">
        <f>SUBSTITUTE(IF(OR(LEFT(A106,3)="Câu",I102=""),"",IF(B106=0,"",B106)),CHAR(34),CHAR(92)&amp;CHAR(34))</f>
        <v xml:space="preserve"> Cả ba ý trên.</v>
      </c>
      <c r="K102" t="str">
        <f ca="1">SUBSTITUTE(SUBSTITUTE(SUBSTITUTE(SUBSTITUTE(IFERROR(VLOOKUP("Câu "&amp;D102&amp;".",dapan!$E:$J,6,0),""),"1","A"),"2","B"),"3","C"),"4","D")</f>
        <v>D</v>
      </c>
      <c r="P102">
        <f t="shared" si="7"/>
        <v>27</v>
      </c>
      <c r="Q102" t="str">
        <f t="shared" ca="1" si="8"/>
        <v>{"num":27,"id":27,"q":"Hành vi giao xe ô tô, mô tô cho người nào sau đây tham gia giao thông đường bộ bị nghiêm cấm?","opts":{"A":"Người chưa đủ tuổi theo quy định.","B":"Người không có giấy phép lái xe.","C":"Người có giấy phép lái xe nhưng đã bị trừ hết 12 điểm.","D":" Cả ba ý trên."},"answer":"D"},</v>
      </c>
      <c r="R102" t="str">
        <f t="shared" si="9"/>
        <v>j</v>
      </c>
      <c r="S102">
        <f t="shared" si="6"/>
        <v>106</v>
      </c>
    </row>
    <row r="103" spans="1:19" hidden="1" x14ac:dyDescent="0.25">
      <c r="A103">
        <v>1</v>
      </c>
      <c r="B103" t="s">
        <v>86</v>
      </c>
      <c r="C103">
        <f>IFERROR(COUNTIFS($A$1:A103,"Câu "&amp;"*")-MID(A103,5,FIND(".",A103,1)-5),0)</f>
        <v>0</v>
      </c>
      <c r="D103" t="str">
        <f t="shared" si="10"/>
        <v/>
      </c>
      <c r="E103" t="str">
        <f>SUBSTITUTE(IF(LEFT(A103,3)="Câu",MID(A103,FIND(".",A103,1)+2,LEN(A103)),""),CHAR(34),CHAR(92)&amp;CHAR(34))</f>
        <v/>
      </c>
      <c r="G103" t="str">
        <f>SUBSTITUTE(B104,CHAR(34),CHAR(92)&amp;CHAR(34))</f>
        <v>Người không có giấy phép lái xe.</v>
      </c>
      <c r="H103" t="str">
        <f>SUBSTITUTE(B105,CHAR(34),CHAR(92)&amp;CHAR(34))</f>
        <v>Người có giấy phép lái xe nhưng đã bị trừ hết 12 điểm.</v>
      </c>
      <c r="I103" t="str">
        <f>SUBSTITUTE(IF(LEFT(A106,3)="Câu","",B106),CHAR(34),CHAR(92)&amp;CHAR(34))</f>
        <v xml:space="preserve"> Cả ba ý trên.</v>
      </c>
      <c r="J103" t="str">
        <f>SUBSTITUTE(IF(OR(LEFT(A107,3)="Câu",I103=""),"",IF(B107=0,"",B107)),CHAR(34),CHAR(92)&amp;CHAR(34))</f>
        <v/>
      </c>
      <c r="K103" t="str">
        <f>SUBSTITUTE(SUBSTITUTE(SUBSTITUTE(SUBSTITUTE(IFERROR(VLOOKUP("Câu "&amp;D103&amp;".",dapan!$E:$J,6,0),""),"1","A"),"2","B"),"3","C"),"4","D")</f>
        <v/>
      </c>
      <c r="P103" t="str">
        <f t="shared" si="7"/>
        <v/>
      </c>
      <c r="Q103" t="str">
        <f t="shared" si="8"/>
        <v/>
      </c>
      <c r="R103" t="str">
        <f t="shared" si="9"/>
        <v>k</v>
      </c>
      <c r="S103">
        <f t="shared" si="6"/>
        <v>107</v>
      </c>
    </row>
    <row r="104" spans="1:19" hidden="1" x14ac:dyDescent="0.25">
      <c r="A104">
        <v>2</v>
      </c>
      <c r="B104" t="s">
        <v>87</v>
      </c>
      <c r="C104">
        <f>IFERROR(COUNTIFS($A$1:A104,"Câu "&amp;"*")-MID(A104,5,FIND(".",A104,1)-5),0)</f>
        <v>0</v>
      </c>
      <c r="D104" t="str">
        <f t="shared" si="10"/>
        <v/>
      </c>
      <c r="E104" t="str">
        <f>SUBSTITUTE(IF(LEFT(A104,3)="Câu",MID(A104,FIND(".",A104,1)+2,LEN(A104)),""),CHAR(34),CHAR(92)&amp;CHAR(34))</f>
        <v/>
      </c>
      <c r="G104" t="str">
        <f>SUBSTITUTE(B105,CHAR(34),CHAR(92)&amp;CHAR(34))</f>
        <v>Người có giấy phép lái xe nhưng đã bị trừ hết 12 điểm.</v>
      </c>
      <c r="H104" t="str">
        <f>SUBSTITUTE(B106,CHAR(34),CHAR(92)&amp;CHAR(34))</f>
        <v xml:space="preserve"> Cả ba ý trên.</v>
      </c>
      <c r="I104" t="str">
        <f>SUBSTITUTE(IF(LEFT(A107,3)="Câu","",B107),CHAR(34),CHAR(92)&amp;CHAR(34))</f>
        <v/>
      </c>
      <c r="J104" t="str">
        <f>SUBSTITUTE(IF(OR(LEFT(A108,3)="Câu",I104=""),"",IF(B108=0,"",B108)),CHAR(34),CHAR(92)&amp;CHAR(34))</f>
        <v/>
      </c>
      <c r="K104" t="str">
        <f>SUBSTITUTE(SUBSTITUTE(SUBSTITUTE(SUBSTITUTE(IFERROR(VLOOKUP("Câu "&amp;D104&amp;".",dapan!$E:$J,6,0),""),"1","A"),"2","B"),"3","C"),"4","D")</f>
        <v/>
      </c>
      <c r="P104" t="str">
        <f t="shared" si="7"/>
        <v/>
      </c>
      <c r="Q104" t="str">
        <f t="shared" si="8"/>
        <v/>
      </c>
      <c r="R104" t="str">
        <f t="shared" si="9"/>
        <v>l</v>
      </c>
      <c r="S104">
        <f t="shared" si="6"/>
        <v>108</v>
      </c>
    </row>
    <row r="105" spans="1:19" hidden="1" x14ac:dyDescent="0.25">
      <c r="A105">
        <v>3</v>
      </c>
      <c r="B105" t="s">
        <v>88</v>
      </c>
      <c r="C105">
        <f>IFERROR(COUNTIFS($A$1:A105,"Câu "&amp;"*")-MID(A105,5,FIND(".",A105,1)-5),0)</f>
        <v>0</v>
      </c>
      <c r="D105" t="str">
        <f t="shared" si="10"/>
        <v/>
      </c>
      <c r="E105" t="str">
        <f>SUBSTITUTE(IF(LEFT(A105,3)="Câu",MID(A105,FIND(".",A105,1)+2,LEN(A105)),""),CHAR(34),CHAR(92)&amp;CHAR(34))</f>
        <v/>
      </c>
      <c r="G105" t="str">
        <f>SUBSTITUTE(B106,CHAR(34),CHAR(92)&amp;CHAR(34))</f>
        <v xml:space="preserve"> Cả ba ý trên.</v>
      </c>
      <c r="H105" t="str">
        <f>SUBSTITUTE(B107,CHAR(34),CHAR(92)&amp;CHAR(34))</f>
        <v/>
      </c>
      <c r="I105" t="str">
        <f>SUBSTITUTE(IF(LEFT(A108,3)="Câu","",B108),CHAR(34),CHAR(92)&amp;CHAR(34))</f>
        <v>Điều khiển xe cơ giới lạng lách, đánh võng, rú ga liên tục khi tham gia giao thông trên đường.</v>
      </c>
      <c r="J105" t="str">
        <f>SUBSTITUTE(IF(OR(LEFT(A109,3)="Câu",I105=""),"",IF(B109=0,"",B109)),CHAR(34),CHAR(92)&amp;CHAR(34))</f>
        <v>Xúc phạm, đe dọa, cản trở, chống đối hoặc không chấp hành hiệu lệnh, hướng dẫn, yêu cầu kiểm tra, kiểm soát của người thi hành công vụ về bảo đảm trật tự, an toàn giao thông đường bộ.</v>
      </c>
      <c r="K105" t="str">
        <f>SUBSTITUTE(SUBSTITUTE(SUBSTITUTE(SUBSTITUTE(IFERROR(VLOOKUP("Câu "&amp;D105&amp;".",dapan!$E:$J,6,0),""),"1","A"),"2","B"),"3","C"),"4","D")</f>
        <v/>
      </c>
      <c r="P105" t="str">
        <f t="shared" si="7"/>
        <v/>
      </c>
      <c r="Q105" t="str">
        <f t="shared" si="8"/>
        <v/>
      </c>
      <c r="R105" t="str">
        <f t="shared" si="9"/>
        <v>m</v>
      </c>
      <c r="S105">
        <f t="shared" si="6"/>
        <v>109</v>
      </c>
    </row>
    <row r="106" spans="1:19" hidden="1" x14ac:dyDescent="0.25">
      <c r="A106">
        <v>4</v>
      </c>
      <c r="B106" t="s">
        <v>89</v>
      </c>
      <c r="C106">
        <f>IFERROR(COUNTIFS($A$1:A106,"Câu "&amp;"*")-MID(A106,5,FIND(".",A106,1)-5),0)</f>
        <v>0</v>
      </c>
      <c r="D106" t="str">
        <f t="shared" si="10"/>
        <v/>
      </c>
      <c r="E106" t="str">
        <f>SUBSTITUTE(IF(LEFT(A106,3)="Câu",MID(A106,FIND(".",A106,1)+2,LEN(A106)),""),CHAR(34),CHAR(92)&amp;CHAR(34))</f>
        <v/>
      </c>
      <c r="G106" t="str">
        <f>SUBSTITUTE(B107,CHAR(34),CHAR(92)&amp;CHAR(34))</f>
        <v/>
      </c>
      <c r="H106" t="str">
        <f>SUBSTITUTE(B108,CHAR(34),CHAR(92)&amp;CHAR(34))</f>
        <v>Điều khiển xe cơ giới lạng lách, đánh võng, rú ga liên tục khi tham gia giao thông trên đường.</v>
      </c>
      <c r="I106" t="str">
        <f>SUBSTITUTE(IF(LEFT(A109,3)="Câu","",B109),CHAR(34),CHAR(92)&amp;CHAR(34))</f>
        <v>Xúc phạm, đe dọa, cản trở, chống đối hoặc không chấp hành hiệu lệnh, hướng dẫn, yêu cầu kiểm tra, kiểm soát của người thi hành công vụ về bảo đảm trật tự, an toàn giao thông đường bộ.</v>
      </c>
      <c r="J106" t="str">
        <f>SUBSTITUTE(IF(OR(LEFT(A110,3)="Câu",I106=""),"",IF(B110=0,"",B110)),CHAR(34),CHAR(92)&amp;CHAR(34))</f>
        <v xml:space="preserve"> Cả hai ý trên.</v>
      </c>
      <c r="K106" t="str">
        <f>SUBSTITUTE(SUBSTITUTE(SUBSTITUTE(SUBSTITUTE(IFERROR(VLOOKUP("Câu "&amp;D106&amp;".",dapan!$E:$J,6,0),""),"1","A"),"2","B"),"3","C"),"4","D")</f>
        <v/>
      </c>
      <c r="P106" t="str">
        <f t="shared" si="7"/>
        <v/>
      </c>
      <c r="Q106" t="str">
        <f t="shared" si="8"/>
        <v/>
      </c>
      <c r="R106" t="str">
        <f t="shared" si="9"/>
        <v>n</v>
      </c>
      <c r="S106">
        <f t="shared" si="6"/>
        <v>110</v>
      </c>
    </row>
    <row r="107" spans="1:19" x14ac:dyDescent="0.25">
      <c r="A107" t="s">
        <v>90</v>
      </c>
      <c r="C107">
        <f>IFERROR(COUNTIFS($A$1:A107,"Câu "&amp;"*")-MID(A107,5,FIND(".",A107,1)-5),0)</f>
        <v>0</v>
      </c>
      <c r="D107">
        <f t="shared" si="10"/>
        <v>28</v>
      </c>
      <c r="E107" t="str">
        <f>SUBSTITUTE(IF(LEFT(A107,3)="Câu",MID(A107,FIND(".",A107,1)+2,LEN(A107)),""),CHAR(34),CHAR(92)&amp;CHAR(34))</f>
        <v>Hành vi nào sau đây bị nghiêm cấm?</v>
      </c>
      <c r="G107" t="str">
        <f>SUBSTITUTE(B108,CHAR(34),CHAR(92)&amp;CHAR(34))</f>
        <v>Điều khiển xe cơ giới lạng lách, đánh võng, rú ga liên tục khi tham gia giao thông trên đường.</v>
      </c>
      <c r="H107" t="str">
        <f>SUBSTITUTE(B109,CHAR(34),CHAR(92)&amp;CHAR(34))</f>
        <v>Xúc phạm, đe dọa, cản trở, chống đối hoặc không chấp hành hiệu lệnh, hướng dẫn, yêu cầu kiểm tra, kiểm soát của người thi hành công vụ về bảo đảm trật tự, an toàn giao thông đường bộ.</v>
      </c>
      <c r="I107" t="str">
        <f>SUBSTITUTE(IF(LEFT(A110,3)="Câu","",B110),CHAR(34),CHAR(92)&amp;CHAR(34))</f>
        <v xml:space="preserve"> Cả hai ý trên.</v>
      </c>
      <c r="J107" t="str">
        <f>SUBSTITUTE(IF(OR(LEFT(A111,3)="Câu",I107=""),"",IF(B111=0,"",B111)),CHAR(34),CHAR(92)&amp;CHAR(34))</f>
        <v/>
      </c>
      <c r="K107" t="str">
        <f ca="1">SUBSTITUTE(SUBSTITUTE(SUBSTITUTE(SUBSTITUTE(IFERROR(VLOOKUP("Câu "&amp;D107&amp;".",dapan!$E:$J,6,0),""),"1","A"),"2","B"),"3","C"),"4","D")</f>
        <v>C</v>
      </c>
      <c r="P107">
        <f t="shared" si="7"/>
        <v>28</v>
      </c>
      <c r="Q107" t="str">
        <f t="shared" ca="1" si="8"/>
        <v>{"num":28,"id":28,"q":"Hành vi nào sau đây bị nghiêm cấm?","opts":{"A":"Điều khiển xe cơ giới lạng lách, đánh võng, rú ga liên tục khi tham gia giao thông trên đường.","B":"Xúc phạm, đe dọa, cản trở, chống đối hoặc không chấp hành hiệu lệnh, hướng dẫn, yêu cầu kiểm tra, kiểm soát của người thi hành công vụ về bảo đảm trật tự, an toàn giao thông đường bộ.","C":" Cả hai ý trên."},"answer":"C"},</v>
      </c>
      <c r="R107" t="str">
        <f t="shared" si="9"/>
        <v>o</v>
      </c>
      <c r="S107">
        <f t="shared" si="6"/>
        <v>111</v>
      </c>
    </row>
    <row r="108" spans="1:19" hidden="1" x14ac:dyDescent="0.25">
      <c r="A108">
        <v>1</v>
      </c>
      <c r="B108" t="s">
        <v>91</v>
      </c>
      <c r="C108">
        <f>IFERROR(COUNTIFS($A$1:A108,"Câu "&amp;"*")-MID(A108,5,FIND(".",A108,1)-5),0)</f>
        <v>0</v>
      </c>
      <c r="D108" t="str">
        <f t="shared" si="10"/>
        <v/>
      </c>
      <c r="E108" t="str">
        <f>SUBSTITUTE(IF(LEFT(A108,3)="Câu",MID(A108,FIND(".",A108,1)+2,LEN(A108)),""),CHAR(34),CHAR(92)&amp;CHAR(34))</f>
        <v/>
      </c>
      <c r="G108" t="str">
        <f>SUBSTITUTE(B109,CHAR(34),CHAR(92)&amp;CHAR(34))</f>
        <v>Xúc phạm, đe dọa, cản trở, chống đối hoặc không chấp hành hiệu lệnh, hướng dẫn, yêu cầu kiểm tra, kiểm soát của người thi hành công vụ về bảo đảm trật tự, an toàn giao thông đường bộ.</v>
      </c>
      <c r="H108" t="str">
        <f>SUBSTITUTE(B110,CHAR(34),CHAR(92)&amp;CHAR(34))</f>
        <v xml:space="preserve"> Cả hai ý trên.</v>
      </c>
      <c r="I108" t="str">
        <f>SUBSTITUTE(IF(LEFT(A111,3)="Câu","",B111),CHAR(34),CHAR(92)&amp;CHAR(34))</f>
        <v/>
      </c>
      <c r="J108" t="str">
        <f>SUBSTITUTE(IF(OR(LEFT(A112,3)="Câu",I108=""),"",IF(B112=0,"",B112)),CHAR(34),CHAR(92)&amp;CHAR(34))</f>
        <v/>
      </c>
      <c r="K108" t="str">
        <f>SUBSTITUTE(SUBSTITUTE(SUBSTITUTE(SUBSTITUTE(IFERROR(VLOOKUP("Câu "&amp;D108&amp;".",dapan!$E:$J,6,0),""),"1","A"),"2","B"),"3","C"),"4","D")</f>
        <v/>
      </c>
      <c r="P108" t="str">
        <f t="shared" si="7"/>
        <v/>
      </c>
      <c r="Q108" t="str">
        <f t="shared" si="8"/>
        <v/>
      </c>
      <c r="R108" t="str">
        <f t="shared" si="9"/>
        <v>p</v>
      </c>
      <c r="S108">
        <f t="shared" ref="S108:S171" si="11">S107+1</f>
        <v>112</v>
      </c>
    </row>
    <row r="109" spans="1:19" hidden="1" x14ac:dyDescent="0.25">
      <c r="A109">
        <v>2</v>
      </c>
      <c r="B109" t="s">
        <v>92</v>
      </c>
      <c r="C109">
        <f>IFERROR(COUNTIFS($A$1:A109,"Câu "&amp;"*")-MID(A109,5,FIND(".",A109,1)-5),0)</f>
        <v>0</v>
      </c>
      <c r="D109" t="str">
        <f t="shared" si="10"/>
        <v/>
      </c>
      <c r="E109" t="str">
        <f>SUBSTITUTE(IF(LEFT(A109,3)="Câu",MID(A109,FIND(".",A109,1)+2,LEN(A109)),""),CHAR(34),CHAR(92)&amp;CHAR(34))</f>
        <v/>
      </c>
      <c r="G109" t="str">
        <f>SUBSTITUTE(B110,CHAR(34),CHAR(92)&amp;CHAR(34))</f>
        <v xml:space="preserve"> Cả hai ý trên.</v>
      </c>
      <c r="H109" t="str">
        <f>SUBSTITUTE(B111,CHAR(34),CHAR(92)&amp;CHAR(34))</f>
        <v/>
      </c>
      <c r="I109" t="str">
        <f>SUBSTITUTE(IF(LEFT(A112,3)="Câu","",B112),CHAR(34),CHAR(92)&amp;CHAR(34))</f>
        <v>Cải tạo xe ô tô loại khác thành xe ô tô chở người phục vụ mục đích quốc phòng, an ninh.</v>
      </c>
      <c r="J109" t="str">
        <f>SUBSTITUTE(IF(OR(LEFT(A113,3)="Câu",I109=""),"",IF(B113=0,"",B113)),CHAR(34),CHAR(92)&amp;CHAR(34))</f>
        <v xml:space="preserve"> Cải tạo trái phép; cố ý can thiệp làm sai lệch chỉ số trên đồng hồ báo quãng đường đã chạy của xe ô tô; cắt, hàn, tẩy xóa, đục sửa, đóng lại trái phép số khung, số động cơ của xe cơ giới, xe máy chuyên dùng.</v>
      </c>
      <c r="K109" t="str">
        <f>SUBSTITUTE(SUBSTITUTE(SUBSTITUTE(SUBSTITUTE(IFERROR(VLOOKUP("Câu "&amp;D109&amp;".",dapan!$E:$J,6,0),""),"1","A"),"2","B"),"3","C"),"4","D")</f>
        <v/>
      </c>
      <c r="P109" t="str">
        <f t="shared" si="7"/>
        <v/>
      </c>
      <c r="Q109" t="str">
        <f t="shared" si="8"/>
        <v/>
      </c>
      <c r="R109" t="str">
        <f t="shared" si="9"/>
        <v>q</v>
      </c>
      <c r="S109">
        <f t="shared" si="11"/>
        <v>113</v>
      </c>
    </row>
    <row r="110" spans="1:19" hidden="1" x14ac:dyDescent="0.25">
      <c r="A110">
        <v>3</v>
      </c>
      <c r="B110" t="s">
        <v>32</v>
      </c>
      <c r="C110">
        <f>IFERROR(COUNTIFS($A$1:A110,"Câu "&amp;"*")-MID(A110,5,FIND(".",A110,1)-5),0)</f>
        <v>0</v>
      </c>
      <c r="D110" t="str">
        <f t="shared" si="10"/>
        <v/>
      </c>
      <c r="E110" t="str">
        <f>SUBSTITUTE(IF(LEFT(A110,3)="Câu",MID(A110,FIND(".",A110,1)+2,LEN(A110)),""),CHAR(34),CHAR(92)&amp;CHAR(34))</f>
        <v/>
      </c>
      <c r="G110" t="str">
        <f>SUBSTITUTE(B111,CHAR(34),CHAR(92)&amp;CHAR(34))</f>
        <v/>
      </c>
      <c r="H110" t="str">
        <f>SUBSTITUTE(B112,CHAR(34),CHAR(92)&amp;CHAR(34))</f>
        <v>Cải tạo xe ô tô loại khác thành xe ô tô chở người phục vụ mục đích quốc phòng, an ninh.</v>
      </c>
      <c r="I110" t="str">
        <f>SUBSTITUTE(IF(LEFT(A113,3)="Câu","",B113),CHAR(34),CHAR(92)&amp;CHAR(34))</f>
        <v xml:space="preserve"> Cải tạo trái phép; cố ý can thiệp làm sai lệch chỉ số trên đồng hồ báo quãng đường đã chạy của xe ô tô; cắt, hàn, tẩy xóa, đục sửa, đóng lại trái phép số khung, số động cơ của xe cơ giới, xe máy chuyên dùng.</v>
      </c>
      <c r="J110" t="str">
        <f>SUBSTITUTE(IF(OR(LEFT(A114,3)="Câu",I110=""),"",IF(B114=0,"",B114)),CHAR(34),CHAR(92)&amp;CHAR(34))</f>
        <v/>
      </c>
      <c r="K110" t="str">
        <f>SUBSTITUTE(SUBSTITUTE(SUBSTITUTE(SUBSTITUTE(IFERROR(VLOOKUP("Câu "&amp;D110&amp;".",dapan!$E:$J,6,0),""),"1","A"),"2","B"),"3","C"),"4","D")</f>
        <v/>
      </c>
      <c r="P110" t="str">
        <f t="shared" si="7"/>
        <v/>
      </c>
      <c r="Q110" t="str">
        <f t="shared" si="8"/>
        <v/>
      </c>
      <c r="R110" t="str">
        <f t="shared" si="9"/>
        <v>r</v>
      </c>
      <c r="S110">
        <f t="shared" si="11"/>
        <v>114</v>
      </c>
    </row>
    <row r="111" spans="1:19" x14ac:dyDescent="0.25">
      <c r="A111" t="s">
        <v>93</v>
      </c>
      <c r="C111">
        <f>IFERROR(COUNTIFS($A$1:A111,"Câu "&amp;"*")-MID(A111,5,FIND(".",A111,1)-5),0)</f>
        <v>0</v>
      </c>
      <c r="D111">
        <f t="shared" si="10"/>
        <v>29</v>
      </c>
      <c r="E111" t="str">
        <f>SUBSTITUTE(IF(LEFT(A111,3)="Câu",MID(A111,FIND(".",A111,1)+2,LEN(A111)),""),CHAR(34),CHAR(92)&amp;CHAR(34))</f>
        <v>Các hành vi nào sau đây bị cấm đối với phương tiện tham gia giao thông đường bộ?</v>
      </c>
      <c r="G111" t="str">
        <f>SUBSTITUTE(B112,CHAR(34),CHAR(92)&amp;CHAR(34))</f>
        <v>Cải tạo xe ô tô loại khác thành xe ô tô chở người phục vụ mục đích quốc phòng, an ninh.</v>
      </c>
      <c r="H111" t="str">
        <f>SUBSTITUTE(B113,CHAR(34),CHAR(92)&amp;CHAR(34))</f>
        <v xml:space="preserve"> Cải tạo trái phép; cố ý can thiệp làm sai lệch chỉ số trên đồng hồ báo quãng đường đã chạy của xe ô tô; cắt, hàn, tẩy xóa, đục sửa, đóng lại trái phép số khung, số động cơ của xe cơ giới, xe máy chuyên dùng.</v>
      </c>
      <c r="I111" t="str">
        <f>SUBSTITUTE(IF(LEFT(A114,3)="Câu","",B114),CHAR(34),CHAR(92)&amp;CHAR(34))</f>
        <v/>
      </c>
      <c r="J111" t="str">
        <f>SUBSTITUTE(IF(OR(LEFT(A115,3)="Câu",I111=""),"",IF(B115=0,"",B115)),CHAR(34),CHAR(92)&amp;CHAR(34))</f>
        <v/>
      </c>
      <c r="K111" t="str">
        <f ca="1">SUBSTITUTE(SUBSTITUTE(SUBSTITUTE(SUBSTITUTE(IFERROR(VLOOKUP("Câu "&amp;D111&amp;".",dapan!$E:$J,6,0),""),"1","A"),"2","B"),"3","C"),"4","D")</f>
        <v>B</v>
      </c>
      <c r="P111">
        <f t="shared" si="7"/>
        <v>29</v>
      </c>
      <c r="Q111" t="str">
        <f t="shared" ca="1" si="8"/>
        <v>{"num":29,"id":29,"q":"Các hành vi nào sau đây bị cấm đối với phương tiện tham gia giao thông đường bộ?","opts":{"A":"Cải tạo xe ô tô loại khác thành xe ô tô chở người phục vụ mục đích quốc phòng, an ninh.","B":" Cải tạo trái phép; cố ý can thiệp làm sai lệch chỉ số trên đồng hồ báo quãng đường đã chạy của xe ô tô; cắt, hàn, tẩy xóa, đục sửa, đóng lại trái phép số khung, số động cơ của xe cơ giới, xe máy chuyên dùng."},"answer":"B"},</v>
      </c>
      <c r="R111" t="str">
        <f t="shared" si="9"/>
        <v>s</v>
      </c>
      <c r="S111">
        <f t="shared" si="11"/>
        <v>115</v>
      </c>
    </row>
    <row r="112" spans="1:19" hidden="1" x14ac:dyDescent="0.25">
      <c r="A112">
        <v>1</v>
      </c>
      <c r="B112" t="s">
        <v>94</v>
      </c>
      <c r="C112">
        <f>IFERROR(COUNTIFS($A$1:A112,"Câu "&amp;"*")-MID(A112,5,FIND(".",A112,1)-5),0)</f>
        <v>0</v>
      </c>
      <c r="D112" t="str">
        <f t="shared" si="10"/>
        <v/>
      </c>
      <c r="E112" t="str">
        <f>SUBSTITUTE(IF(LEFT(A112,3)="Câu",MID(A112,FIND(".",A112,1)+2,LEN(A112)),""),CHAR(34),CHAR(92)&amp;CHAR(34))</f>
        <v/>
      </c>
      <c r="G112" t="str">
        <f>SUBSTITUTE(B113,CHAR(34),CHAR(92)&amp;CHAR(34))</f>
        <v xml:space="preserve"> Cải tạo trái phép; cố ý can thiệp làm sai lệch chỉ số trên đồng hồ báo quãng đường đã chạy của xe ô tô; cắt, hàn, tẩy xóa, đục sửa, đóng lại trái phép số khung, số động cơ của xe cơ giới, xe máy chuyên dùng.</v>
      </c>
      <c r="H112" t="str">
        <f>SUBSTITUTE(B114,CHAR(34),CHAR(92)&amp;CHAR(34))</f>
        <v/>
      </c>
      <c r="I112" t="str">
        <f>SUBSTITUTE(IF(LEFT(A115,3)="Câu","",B115),CHAR(34),CHAR(92)&amp;CHAR(34))</f>
        <v>Lắp đặt, sử dụng thiết bị âm thanh, ánh sáng trên xe cơ giới, xe máy chuyên dùng gây mất trật tự, an toàn giao thông đường bộ.</v>
      </c>
      <c r="J112" t="str">
        <f>SUBSTITUTE(IF(OR(LEFT(A116,3)="Câu",I112=""),"",IF(B116=0,"",B116)),CHAR(34),CHAR(92)&amp;CHAR(34))</f>
        <v>Cản trở người, phương tiện tham gia giao thông trên đường bộ; ném gạch, đất, đá, cát hoặc vật thể khác vào người, phương tiện đang tham gia giao thông trên đường bộ.</v>
      </c>
      <c r="K112" t="str">
        <f>SUBSTITUTE(SUBSTITUTE(SUBSTITUTE(SUBSTITUTE(IFERROR(VLOOKUP("Câu "&amp;D112&amp;".",dapan!$E:$J,6,0),""),"1","A"),"2","B"),"3","C"),"4","D")</f>
        <v/>
      </c>
      <c r="P112" t="str">
        <f t="shared" si="7"/>
        <v/>
      </c>
      <c r="Q112" t="str">
        <f t="shared" si="8"/>
        <v/>
      </c>
      <c r="R112" t="str">
        <f t="shared" si="9"/>
        <v>t</v>
      </c>
      <c r="S112">
        <f t="shared" si="11"/>
        <v>116</v>
      </c>
    </row>
    <row r="113" spans="1:19" hidden="1" x14ac:dyDescent="0.25">
      <c r="A113">
        <v>2</v>
      </c>
      <c r="B113" t="s">
        <v>95</v>
      </c>
      <c r="C113">
        <f>IFERROR(COUNTIFS($A$1:A113,"Câu "&amp;"*")-MID(A113,5,FIND(".",A113,1)-5),0)</f>
        <v>0</v>
      </c>
      <c r="D113" t="str">
        <f t="shared" si="10"/>
        <v/>
      </c>
      <c r="E113" t="str">
        <f>SUBSTITUTE(IF(LEFT(A113,3)="Câu",MID(A113,FIND(".",A113,1)+2,LEN(A113)),""),CHAR(34),CHAR(92)&amp;CHAR(34))</f>
        <v/>
      </c>
      <c r="G113" t="str">
        <f>SUBSTITUTE(B114,CHAR(34),CHAR(92)&amp;CHAR(34))</f>
        <v/>
      </c>
      <c r="H113" t="str">
        <f>SUBSTITUTE(B115,CHAR(34),CHAR(92)&amp;CHAR(34))</f>
        <v>Lắp đặt, sử dụng thiết bị âm thanh, ánh sáng trên xe cơ giới, xe máy chuyên dùng gây mất trật tự, an toàn giao thông đường bộ.</v>
      </c>
      <c r="I113" t="str">
        <f>SUBSTITUTE(IF(LEFT(A116,3)="Câu","",B116),CHAR(34),CHAR(92)&amp;CHAR(34))</f>
        <v>Cản trở người, phương tiện tham gia giao thông trên đường bộ; ném gạch, đất, đá, cát hoặc vật thể khác vào người, phương tiện đang tham gia giao thông trên đường bộ.</v>
      </c>
      <c r="J113" t="str">
        <f>SUBSTITUTE(IF(OR(LEFT(A117,3)="Câu",I113=""),"",IF(B117=0,"",B117)),CHAR(34),CHAR(92)&amp;CHAR(34))</f>
        <v xml:space="preserve"> Cả hai ý trên.</v>
      </c>
      <c r="K113" t="str">
        <f>SUBSTITUTE(SUBSTITUTE(SUBSTITUTE(SUBSTITUTE(IFERROR(VLOOKUP("Câu "&amp;D113&amp;".",dapan!$E:$J,6,0),""),"1","A"),"2","B"),"3","C"),"4","D")</f>
        <v/>
      </c>
      <c r="P113" t="str">
        <f t="shared" si="7"/>
        <v/>
      </c>
      <c r="Q113" t="str">
        <f t="shared" si="8"/>
        <v/>
      </c>
      <c r="R113" t="str">
        <f t="shared" si="9"/>
        <v>u</v>
      </c>
      <c r="S113">
        <f t="shared" si="11"/>
        <v>117</v>
      </c>
    </row>
    <row r="114" spans="1:19" x14ac:dyDescent="0.25">
      <c r="A114" t="s">
        <v>96</v>
      </c>
      <c r="C114">
        <f>IFERROR(COUNTIFS($A$1:A114,"Câu "&amp;"*")-MID(A114,5,FIND(".",A114,1)-5),0)</f>
        <v>0</v>
      </c>
      <c r="D114">
        <f t="shared" si="10"/>
        <v>30</v>
      </c>
      <c r="E114" t="str">
        <f>SUBSTITUTE(IF(LEFT(A114,3)="Câu",MID(A114,FIND(".",A114,1)+2,LEN(A114)),""),CHAR(34),CHAR(92)&amp;CHAR(34))</f>
        <v>Hành vi nào sau đây bị cấm?</v>
      </c>
      <c r="G114" t="str">
        <f>SUBSTITUTE(B115,CHAR(34),CHAR(92)&amp;CHAR(34))</f>
        <v>Lắp đặt, sử dụng thiết bị âm thanh, ánh sáng trên xe cơ giới, xe máy chuyên dùng gây mất trật tự, an toàn giao thông đường bộ.</v>
      </c>
      <c r="H114" t="str">
        <f>SUBSTITUTE(B116,CHAR(34),CHAR(92)&amp;CHAR(34))</f>
        <v>Cản trở người, phương tiện tham gia giao thông trên đường bộ; ném gạch, đất, đá, cát hoặc vật thể khác vào người, phương tiện đang tham gia giao thông trên đường bộ.</v>
      </c>
      <c r="I114" t="str">
        <f>SUBSTITUTE(IF(LEFT(A117,3)="Câu","",B117),CHAR(34),CHAR(92)&amp;CHAR(34))</f>
        <v xml:space="preserve"> Cả hai ý trên.</v>
      </c>
      <c r="J114" t="str">
        <f>SUBSTITUTE(IF(OR(LEFT(A118,3)="Câu",I114=""),"",IF(B118=0,"",B118)),CHAR(34),CHAR(92)&amp;CHAR(34))</f>
        <v/>
      </c>
      <c r="K114" t="str">
        <f ca="1">SUBSTITUTE(SUBSTITUTE(SUBSTITUTE(SUBSTITUTE(IFERROR(VLOOKUP("Câu "&amp;D114&amp;".",dapan!$E:$J,6,0),""),"1","A"),"2","B"),"3","C"),"4","D")</f>
        <v>C</v>
      </c>
      <c r="P114">
        <f t="shared" si="7"/>
        <v>30</v>
      </c>
      <c r="Q114" t="str">
        <f t="shared" ca="1" si="8"/>
        <v>{"num":30,"id":30,"q":"Hành vi nào sau đây bị cấm?","opts":{"A":"Lắp đặt, sử dụng thiết bị âm thanh, ánh sáng trên xe cơ giới, xe máy chuyên dùng gây mất trật tự, an toàn giao thông đường bộ.","B":"Cản trở người, phương tiện tham gia giao thông trên đường bộ; ném gạch, đất, đá, cát hoặc vật thể khác vào người, phương tiện đang tham gia giao thông trên đường bộ.","C":" Cả hai ý trên."},"answer":"C"},</v>
      </c>
      <c r="R114" t="str">
        <f t="shared" si="9"/>
        <v>v</v>
      </c>
      <c r="S114">
        <f t="shared" si="11"/>
        <v>118</v>
      </c>
    </row>
    <row r="115" spans="1:19" hidden="1" x14ac:dyDescent="0.25">
      <c r="A115">
        <v>1</v>
      </c>
      <c r="B115" t="s">
        <v>97</v>
      </c>
      <c r="C115">
        <f>IFERROR(COUNTIFS($A$1:A115,"Câu "&amp;"*")-MID(A115,5,FIND(".",A115,1)-5),0)</f>
        <v>0</v>
      </c>
      <c r="D115" t="str">
        <f t="shared" si="10"/>
        <v/>
      </c>
      <c r="E115" t="str">
        <f>SUBSTITUTE(IF(LEFT(A115,3)="Câu",MID(A115,FIND(".",A115,1)+2,LEN(A115)),""),CHAR(34),CHAR(92)&amp;CHAR(34))</f>
        <v/>
      </c>
      <c r="G115" t="str">
        <f>SUBSTITUTE(B116,CHAR(34),CHAR(92)&amp;CHAR(34))</f>
        <v>Cản trở người, phương tiện tham gia giao thông trên đường bộ; ném gạch, đất, đá, cát hoặc vật thể khác vào người, phương tiện đang tham gia giao thông trên đường bộ.</v>
      </c>
      <c r="H115" t="str">
        <f>SUBSTITUTE(B117,CHAR(34),CHAR(92)&amp;CHAR(34))</f>
        <v xml:space="preserve"> Cả hai ý trên.</v>
      </c>
      <c r="I115" t="str">
        <f>SUBSTITUTE(IF(LEFT(A118,3)="Câu","",B118),CHAR(34),CHAR(92)&amp;CHAR(34))</f>
        <v/>
      </c>
      <c r="J115" t="str">
        <f>SUBSTITUTE(IF(OR(LEFT(A119,3)="Câu",I115=""),"",IF(B119=0,"",B119)),CHAR(34),CHAR(92)&amp;CHAR(34))</f>
        <v/>
      </c>
      <c r="K115" t="str">
        <f>SUBSTITUTE(SUBSTITUTE(SUBSTITUTE(SUBSTITUTE(IFERROR(VLOOKUP("Câu "&amp;D115&amp;".",dapan!$E:$J,6,0),""),"1","A"),"2","B"),"3","C"),"4","D")</f>
        <v/>
      </c>
      <c r="P115" t="str">
        <f t="shared" si="7"/>
        <v/>
      </c>
      <c r="Q115" t="str">
        <f t="shared" si="8"/>
        <v/>
      </c>
      <c r="R115" t="str">
        <f t="shared" si="9"/>
        <v>w</v>
      </c>
      <c r="S115">
        <f t="shared" si="11"/>
        <v>119</v>
      </c>
    </row>
    <row r="116" spans="1:19" hidden="1" x14ac:dyDescent="0.25">
      <c r="A116">
        <v>2</v>
      </c>
      <c r="B116" t="s">
        <v>98</v>
      </c>
      <c r="C116">
        <f>IFERROR(COUNTIFS($A$1:A116,"Câu "&amp;"*")-MID(A116,5,FIND(".",A116,1)-5),0)</f>
        <v>0</v>
      </c>
      <c r="D116" t="str">
        <f t="shared" si="10"/>
        <v/>
      </c>
      <c r="E116" t="str">
        <f>SUBSTITUTE(IF(LEFT(A116,3)="Câu",MID(A116,FIND(".",A116,1)+2,LEN(A116)),""),CHAR(34),CHAR(92)&amp;CHAR(34))</f>
        <v/>
      </c>
      <c r="G116" t="str">
        <f>SUBSTITUTE(B117,CHAR(34),CHAR(92)&amp;CHAR(34))</f>
        <v xml:space="preserve"> Cả hai ý trên.</v>
      </c>
      <c r="H116" t="str">
        <f>SUBSTITUTE(B118,CHAR(34),CHAR(92)&amp;CHAR(34))</f>
        <v/>
      </c>
      <c r="I116" t="str">
        <f>SUBSTITUTE(IF(LEFT(A119,3)="Câu","",B119),CHAR(34),CHAR(92)&amp;CHAR(34))</f>
        <v>Không bị nghiêm cấm.</v>
      </c>
      <c r="J116" t="str">
        <f>SUBSTITUTE(IF(OR(LEFT(A120,3)="Câu",I116=""),"",IF(B120=0,"",B120)),CHAR(34),CHAR(92)&amp;CHAR(34))</f>
        <v xml:space="preserve"> Bị nghiêm cấm.</v>
      </c>
      <c r="K116" t="str">
        <f>SUBSTITUTE(SUBSTITUTE(SUBSTITUTE(SUBSTITUTE(IFERROR(VLOOKUP("Câu "&amp;D116&amp;".",dapan!$E:$J,6,0),""),"1","A"),"2","B"),"3","C"),"4","D")</f>
        <v/>
      </c>
      <c r="P116" t="str">
        <f t="shared" si="7"/>
        <v/>
      </c>
      <c r="Q116" t="str">
        <f t="shared" si="8"/>
        <v/>
      </c>
      <c r="R116" t="str">
        <f t="shared" si="9"/>
        <v>x</v>
      </c>
      <c r="S116">
        <f t="shared" si="11"/>
        <v>120</v>
      </c>
    </row>
    <row r="117" spans="1:19" hidden="1" x14ac:dyDescent="0.25">
      <c r="A117">
        <v>3</v>
      </c>
      <c r="B117" t="s">
        <v>32</v>
      </c>
      <c r="C117">
        <f>IFERROR(COUNTIFS($A$1:A117,"Câu "&amp;"*")-MID(A117,5,FIND(".",A117,1)-5),0)</f>
        <v>0</v>
      </c>
      <c r="D117" t="str">
        <f t="shared" si="10"/>
        <v/>
      </c>
      <c r="E117" t="str">
        <f>SUBSTITUTE(IF(LEFT(A117,3)="Câu",MID(A117,FIND(".",A117,1)+2,LEN(A117)),""),CHAR(34),CHAR(92)&amp;CHAR(34))</f>
        <v/>
      </c>
      <c r="G117" t="str">
        <f>SUBSTITUTE(B118,CHAR(34),CHAR(92)&amp;CHAR(34))</f>
        <v/>
      </c>
      <c r="H117" t="str">
        <f>SUBSTITUTE(B119,CHAR(34),CHAR(92)&amp;CHAR(34))</f>
        <v>Không bị nghiêm cấm.</v>
      </c>
      <c r="I117" t="str">
        <f>SUBSTITUTE(IF(LEFT(A120,3)="Câu","",B120),CHAR(34),CHAR(92)&amp;CHAR(34))</f>
        <v xml:space="preserve"> Bị nghiêm cấm.</v>
      </c>
      <c r="J117" t="str">
        <f>SUBSTITUTE(IF(OR(LEFT(A121,3)="Câu",I117=""),"",IF(B121=0,"",B121)),CHAR(34),CHAR(92)&amp;CHAR(34))</f>
        <v>Bị nghiêm cấm tuỳ trường hợp.</v>
      </c>
      <c r="K117" t="str">
        <f>SUBSTITUTE(SUBSTITUTE(SUBSTITUTE(SUBSTITUTE(IFERROR(VLOOKUP("Câu "&amp;D117&amp;".",dapan!$E:$J,6,0),""),"1","A"),"2","B"),"3","C"),"4","D")</f>
        <v/>
      </c>
      <c r="P117" t="str">
        <f t="shared" si="7"/>
        <v/>
      </c>
      <c r="Q117" t="str">
        <f t="shared" si="8"/>
        <v/>
      </c>
      <c r="R117" t="str">
        <f t="shared" si="9"/>
        <v>y</v>
      </c>
      <c r="S117">
        <f t="shared" si="11"/>
        <v>121</v>
      </c>
    </row>
    <row r="118" spans="1:19" x14ac:dyDescent="0.25">
      <c r="A118" t="s">
        <v>99</v>
      </c>
      <c r="C118">
        <f>IFERROR(COUNTIFS($A$1:A118,"Câu "&amp;"*")-MID(A118,5,FIND(".",A118,1)-5),0)</f>
        <v>0</v>
      </c>
      <c r="D118">
        <f t="shared" si="10"/>
        <v>31</v>
      </c>
      <c r="E118" t="str">
        <f>SUBSTITUTE(IF(LEFT(A118,3)="Câu",MID(A118,FIND(".",A118,1)+2,LEN(A118)),""),CHAR(34),CHAR(92)&amp;CHAR(34))</f>
        <v>Việc sản xuất, sử dụng, mua, bán trái phép biển số xe có bị nghiêm cấm hay không?</v>
      </c>
      <c r="G118" t="str">
        <f>SUBSTITUTE(B119,CHAR(34),CHAR(92)&amp;CHAR(34))</f>
        <v>Không bị nghiêm cấm.</v>
      </c>
      <c r="H118" t="str">
        <f>SUBSTITUTE(B120,CHAR(34),CHAR(92)&amp;CHAR(34))</f>
        <v xml:space="preserve"> Bị nghiêm cấm.</v>
      </c>
      <c r="I118" t="str">
        <f>SUBSTITUTE(IF(LEFT(A121,3)="Câu","",B121),CHAR(34),CHAR(92)&amp;CHAR(34))</f>
        <v>Bị nghiêm cấm tuỳ trường hợp.</v>
      </c>
      <c r="J118" t="str">
        <f>SUBSTITUTE(IF(OR(LEFT(A122,3)="Câu",I118=""),"",IF(B122=0,"",B122)),CHAR(34),CHAR(92)&amp;CHAR(34))</f>
        <v/>
      </c>
      <c r="K118" t="str">
        <f ca="1">SUBSTITUTE(SUBSTITUTE(SUBSTITUTE(SUBSTITUTE(IFERROR(VLOOKUP("Câu "&amp;D118&amp;".",dapan!$E:$J,6,0),""),"1","A"),"2","B"),"3","C"),"4","D")</f>
        <v>B</v>
      </c>
      <c r="P118">
        <f t="shared" si="7"/>
        <v>31</v>
      </c>
      <c r="Q118" t="str">
        <f t="shared" ca="1" si="8"/>
        <v>{"num":31,"id":31,"q":"Việc sản xuất, sử dụng, mua, bán trái phép biển số xe có bị nghiêm cấm hay không?","opts":{"A":"Không bị nghiêm cấm.","B":" Bị nghiêm cấm.","C":"Bị nghiêm cấm tuỳ trường hợp."},"answer":"B"},</v>
      </c>
      <c r="R118" t="str">
        <f t="shared" si="9"/>
        <v>z</v>
      </c>
      <c r="S118">
        <f t="shared" si="11"/>
        <v>122</v>
      </c>
    </row>
    <row r="119" spans="1:19" hidden="1" x14ac:dyDescent="0.25">
      <c r="A119">
        <v>1</v>
      </c>
      <c r="B119" t="s">
        <v>78</v>
      </c>
      <c r="C119">
        <f>IFERROR(COUNTIFS($A$1:A119,"Câu "&amp;"*")-MID(A119,5,FIND(".",A119,1)-5),0)</f>
        <v>0</v>
      </c>
      <c r="D119" t="str">
        <f t="shared" si="10"/>
        <v/>
      </c>
      <c r="E119" t="str">
        <f>SUBSTITUTE(IF(LEFT(A119,3)="Câu",MID(A119,FIND(".",A119,1)+2,LEN(A119)),""),CHAR(34),CHAR(92)&amp;CHAR(34))</f>
        <v/>
      </c>
      <c r="G119" t="str">
        <f>SUBSTITUTE(B120,CHAR(34),CHAR(92)&amp;CHAR(34))</f>
        <v xml:space="preserve"> Bị nghiêm cấm.</v>
      </c>
      <c r="H119" t="str">
        <f>SUBSTITUTE(B121,CHAR(34),CHAR(92)&amp;CHAR(34))</f>
        <v>Bị nghiêm cấm tuỳ trường hợp.</v>
      </c>
      <c r="I119" t="str">
        <f>SUBSTITUTE(IF(LEFT(A122,3)="Câu","",B122),CHAR(34),CHAR(92)&amp;CHAR(34))</f>
        <v/>
      </c>
      <c r="J119" t="str">
        <f>SUBSTITUTE(IF(OR(LEFT(A123,3)="Câu",I119=""),"",IF(B123=0,"",B123)),CHAR(34),CHAR(92)&amp;CHAR(34))</f>
        <v/>
      </c>
      <c r="K119" t="str">
        <f>SUBSTITUTE(SUBSTITUTE(SUBSTITUTE(SUBSTITUTE(IFERROR(VLOOKUP("Câu "&amp;D119&amp;".",dapan!$E:$J,6,0),""),"1","A"),"2","B"),"3","C"),"4","D")</f>
        <v/>
      </c>
      <c r="P119" t="str">
        <f t="shared" si="7"/>
        <v/>
      </c>
      <c r="Q119" t="str">
        <f t="shared" si="8"/>
        <v/>
      </c>
      <c r="R119" t="str">
        <f t="shared" si="9"/>
        <v>{</v>
      </c>
      <c r="S119">
        <f t="shared" si="11"/>
        <v>123</v>
      </c>
    </row>
    <row r="120" spans="1:19" hidden="1" x14ac:dyDescent="0.25">
      <c r="A120">
        <v>2</v>
      </c>
      <c r="B120" t="s">
        <v>77</v>
      </c>
      <c r="C120">
        <f>IFERROR(COUNTIFS($A$1:A120,"Câu "&amp;"*")-MID(A120,5,FIND(".",A120,1)-5),0)</f>
        <v>0</v>
      </c>
      <c r="D120" t="str">
        <f t="shared" si="10"/>
        <v/>
      </c>
      <c r="E120" t="str">
        <f>SUBSTITUTE(IF(LEFT(A120,3)="Câu",MID(A120,FIND(".",A120,1)+2,LEN(A120)),""),CHAR(34),CHAR(92)&amp;CHAR(34))</f>
        <v/>
      </c>
      <c r="G120" t="str">
        <f>SUBSTITUTE(B121,CHAR(34),CHAR(92)&amp;CHAR(34))</f>
        <v>Bị nghiêm cấm tuỳ trường hợp.</v>
      </c>
      <c r="H120" t="str">
        <f>SUBSTITUTE(B122,CHAR(34),CHAR(92)&amp;CHAR(34))</f>
        <v/>
      </c>
      <c r="I120" t="str">
        <f>SUBSTITUTE(IF(LEFT(A123,3)="Câu","",B123),CHAR(34),CHAR(92)&amp;CHAR(34))</f>
        <v>Thay đổi tốc độ của xe nhiều lần.</v>
      </c>
      <c r="J120" t="str">
        <f>SUBSTITUTE(IF(OR(LEFT(A124,3)="Câu",I120=""),"",IF(B124=0,"",B124)),CHAR(34),CHAR(92)&amp;CHAR(34))</f>
        <v>Điều khiển phương tiện sau 23 giờ trong ngày.</v>
      </c>
      <c r="K120" t="str">
        <f>SUBSTITUTE(SUBSTITUTE(SUBSTITUTE(SUBSTITUTE(IFERROR(VLOOKUP("Câu "&amp;D120&amp;".",dapan!$E:$J,6,0),""),"1","A"),"2","B"),"3","C"),"4","D")</f>
        <v/>
      </c>
      <c r="P120" t="str">
        <f t="shared" si="7"/>
        <v/>
      </c>
      <c r="Q120" t="str">
        <f t="shared" si="8"/>
        <v/>
      </c>
      <c r="R120" t="str">
        <f t="shared" si="9"/>
        <v>|</v>
      </c>
      <c r="S120">
        <f t="shared" si="11"/>
        <v>124</v>
      </c>
    </row>
    <row r="121" spans="1:19" hidden="1" x14ac:dyDescent="0.25">
      <c r="A121">
        <v>3</v>
      </c>
      <c r="B121" t="s">
        <v>100</v>
      </c>
      <c r="C121">
        <f>IFERROR(COUNTIFS($A$1:A121,"Câu "&amp;"*")-MID(A121,5,FIND(".",A121,1)-5),0)</f>
        <v>0</v>
      </c>
      <c r="D121" t="str">
        <f t="shared" si="10"/>
        <v/>
      </c>
      <c r="E121" t="str">
        <f>SUBSTITUTE(IF(LEFT(A121,3)="Câu",MID(A121,FIND(".",A121,1)+2,LEN(A121)),""),CHAR(34),CHAR(92)&amp;CHAR(34))</f>
        <v/>
      </c>
      <c r="G121" t="str">
        <f>SUBSTITUTE(B122,CHAR(34),CHAR(92)&amp;CHAR(34))</f>
        <v/>
      </c>
      <c r="H121" t="str">
        <f>SUBSTITUTE(B123,CHAR(34),CHAR(92)&amp;CHAR(34))</f>
        <v>Thay đổi tốc độ của xe nhiều lần.</v>
      </c>
      <c r="I121" t="str">
        <f>SUBSTITUTE(IF(LEFT(A124,3)="Câu","",B124),CHAR(34),CHAR(92)&amp;CHAR(34))</f>
        <v>Điều khiển phương tiện sau 23 giờ trong ngày.</v>
      </c>
      <c r="J121" t="str">
        <f>SUBSTITUTE(IF(OR(LEFT(A125,3)="Câu",I121=""),"",IF(B125=0,"",B125)),CHAR(34),CHAR(92)&amp;CHAR(34))</f>
        <v xml:space="preserve"> Lạng lách, đánh võng, rú ga liên tục.</v>
      </c>
      <c r="K121" t="str">
        <f>SUBSTITUTE(SUBSTITUTE(SUBSTITUTE(SUBSTITUTE(IFERROR(VLOOKUP("Câu "&amp;D121&amp;".",dapan!$E:$J,6,0),""),"1","A"),"2","B"),"3","C"),"4","D")</f>
        <v/>
      </c>
      <c r="P121" t="str">
        <f t="shared" si="7"/>
        <v/>
      </c>
      <c r="Q121" t="str">
        <f t="shared" si="8"/>
        <v/>
      </c>
      <c r="R121" t="str">
        <f t="shared" si="9"/>
        <v>}</v>
      </c>
      <c r="S121">
        <f t="shared" si="11"/>
        <v>125</v>
      </c>
    </row>
    <row r="122" spans="1:19" x14ac:dyDescent="0.25">
      <c r="A122" t="s">
        <v>101</v>
      </c>
      <c r="C122">
        <f>IFERROR(COUNTIFS($A$1:A122,"Câu "&amp;"*")-MID(A122,5,FIND(".",A122,1)-5),0)</f>
        <v>0</v>
      </c>
      <c r="D122">
        <f t="shared" si="10"/>
        <v>32</v>
      </c>
      <c r="E122" t="str">
        <f>SUBSTITUTE(IF(LEFT(A122,3)="Câu",MID(A122,FIND(".",A122,1)+2,LEN(A122)),""),CHAR(34),CHAR(92)&amp;CHAR(34))</f>
        <v>Khi điều khiển phương tiện tham gia giao thông, những hành vi nào dưới đây bị nghiêm cấm?</v>
      </c>
      <c r="G122" t="str">
        <f>SUBSTITUTE(B123,CHAR(34),CHAR(92)&amp;CHAR(34))</f>
        <v>Thay đổi tốc độ của xe nhiều lần.</v>
      </c>
      <c r="H122" t="str">
        <f>SUBSTITUTE(B124,CHAR(34),CHAR(92)&amp;CHAR(34))</f>
        <v>Điều khiển phương tiện sau 23 giờ trong ngày.</v>
      </c>
      <c r="I122" t="str">
        <f>SUBSTITUTE(IF(LEFT(A125,3)="Câu","",B125),CHAR(34),CHAR(92)&amp;CHAR(34))</f>
        <v xml:space="preserve"> Lạng lách, đánh võng, rú ga liên tục.</v>
      </c>
      <c r="J122" t="str">
        <f>SUBSTITUTE(IF(OR(LEFT(A126,3)="Câu",I122=""),"",IF(B126=0,"",B126)),CHAR(34),CHAR(92)&amp;CHAR(34))</f>
        <v/>
      </c>
      <c r="K122" t="str">
        <f ca="1">SUBSTITUTE(SUBSTITUTE(SUBSTITUTE(SUBSTITUTE(IFERROR(VLOOKUP("Câu "&amp;D122&amp;".",dapan!$E:$J,6,0),""),"1","A"),"2","B"),"3","C"),"4","D")</f>
        <v>C</v>
      </c>
      <c r="P122">
        <f t="shared" si="7"/>
        <v>32</v>
      </c>
      <c r="Q122" t="str">
        <f t="shared" ca="1" si="8"/>
        <v>{"num":32,"id":32,"q":"Khi điều khiển phương tiện tham gia giao thông, những hành vi nào dưới đây bị nghiêm cấm?","opts":{"A":"Thay đổi tốc độ của xe nhiều lần.","B":"Điều khiển phương tiện sau 23 giờ trong ngày.","C":" Lạng lách, đánh võng, rú ga liên tục."},"answer":"C"},</v>
      </c>
      <c r="R122" t="str">
        <f t="shared" si="9"/>
        <v>~</v>
      </c>
      <c r="S122">
        <f t="shared" si="11"/>
        <v>126</v>
      </c>
    </row>
    <row r="123" spans="1:19" hidden="1" x14ac:dyDescent="0.25">
      <c r="A123">
        <v>1</v>
      </c>
      <c r="B123" t="s">
        <v>102</v>
      </c>
      <c r="C123">
        <f>IFERROR(COUNTIFS($A$1:A123,"Câu "&amp;"*")-MID(A123,5,FIND(".",A123,1)-5),0)</f>
        <v>0</v>
      </c>
      <c r="D123" t="str">
        <f t="shared" si="10"/>
        <v/>
      </c>
      <c r="E123" t="str">
        <f>SUBSTITUTE(IF(LEFT(A123,3)="Câu",MID(A123,FIND(".",A123,1)+2,LEN(A123)),""),CHAR(34),CHAR(92)&amp;CHAR(34))</f>
        <v/>
      </c>
      <c r="G123" t="str">
        <f>SUBSTITUTE(B124,CHAR(34),CHAR(92)&amp;CHAR(34))</f>
        <v>Điều khiển phương tiện sau 23 giờ trong ngày.</v>
      </c>
      <c r="H123" t="str">
        <f>SUBSTITUTE(B125,CHAR(34),CHAR(92)&amp;CHAR(34))</f>
        <v xml:space="preserve"> Lạng lách, đánh võng, rú ga liên tục.</v>
      </c>
      <c r="I123" t="str">
        <f>SUBSTITUTE(IF(LEFT(A126,3)="Câu","",B126),CHAR(34),CHAR(92)&amp;CHAR(34))</f>
        <v/>
      </c>
      <c r="J123" t="str">
        <f>SUBSTITUTE(IF(OR(LEFT(A127,3)="Câu",I123=""),"",IF(B127=0,"",B127)),CHAR(34),CHAR(92)&amp;CHAR(34))</f>
        <v/>
      </c>
      <c r="K123" t="str">
        <f>SUBSTITUTE(SUBSTITUTE(SUBSTITUTE(SUBSTITUTE(IFERROR(VLOOKUP("Câu "&amp;D123&amp;".",dapan!$E:$J,6,0),""),"1","A"),"2","B"),"3","C"),"4","D")</f>
        <v/>
      </c>
      <c r="P123" t="str">
        <f t="shared" si="7"/>
        <v/>
      </c>
      <c r="Q123" t="str">
        <f t="shared" si="8"/>
        <v/>
      </c>
      <c r="R123" t="str">
        <f t="shared" si="9"/>
        <v></v>
      </c>
      <c r="S123">
        <f t="shared" si="11"/>
        <v>127</v>
      </c>
    </row>
    <row r="124" spans="1:19" hidden="1" x14ac:dyDescent="0.25">
      <c r="A124">
        <v>2</v>
      </c>
      <c r="B124" t="s">
        <v>103</v>
      </c>
      <c r="C124">
        <f>IFERROR(COUNTIFS($A$1:A124,"Câu "&amp;"*")-MID(A124,5,FIND(".",A124,1)-5),0)</f>
        <v>0</v>
      </c>
      <c r="D124" t="str">
        <f t="shared" si="10"/>
        <v/>
      </c>
      <c r="E124" t="str">
        <f>SUBSTITUTE(IF(LEFT(A124,3)="Câu",MID(A124,FIND(".",A124,1)+2,LEN(A124)),""),CHAR(34),CHAR(92)&amp;CHAR(34))</f>
        <v/>
      </c>
      <c r="G124" t="str">
        <f>SUBSTITUTE(B125,CHAR(34),CHAR(92)&amp;CHAR(34))</f>
        <v xml:space="preserve"> Lạng lách, đánh võng, rú ga liên tục.</v>
      </c>
      <c r="H124" t="str">
        <f>SUBSTITUTE(B126,CHAR(34),CHAR(92)&amp;CHAR(34))</f>
        <v/>
      </c>
      <c r="I124" t="str">
        <f>SUBSTITUTE(IF(LEFT(A127,3)="Câu","",B127),CHAR(34),CHAR(92)&amp;CHAR(34))</f>
        <v>Ba nhóm: Biển báo cấm, biển báo nguy hiểm và biển hiệu lệnh.</v>
      </c>
      <c r="J124" t="str">
        <f>SUBSTITUTE(IF(OR(LEFT(A128,3)="Câu",I124=""),"",IF(B128=0,"",B128)),CHAR(34),CHAR(92)&amp;CHAR(34))</f>
        <v>Bốn nhóm: Biển báo cấm, biển báo nguy hiểm, biển hiệu lệnh và biển phụ.</v>
      </c>
      <c r="K124" t="str">
        <f>SUBSTITUTE(SUBSTITUTE(SUBSTITUTE(SUBSTITUTE(IFERROR(VLOOKUP("Câu "&amp;D124&amp;".",dapan!$E:$J,6,0),""),"1","A"),"2","B"),"3","C"),"4","D")</f>
        <v/>
      </c>
      <c r="P124" t="str">
        <f t="shared" si="7"/>
        <v/>
      </c>
      <c r="Q124" t="str">
        <f t="shared" si="8"/>
        <v/>
      </c>
      <c r="R124" t="str">
        <f t="shared" si="9"/>
        <v>€</v>
      </c>
      <c r="S124">
        <f t="shared" si="11"/>
        <v>128</v>
      </c>
    </row>
    <row r="125" spans="1:19" hidden="1" x14ac:dyDescent="0.25">
      <c r="A125">
        <v>3</v>
      </c>
      <c r="B125" t="s">
        <v>104</v>
      </c>
      <c r="C125">
        <f>IFERROR(COUNTIFS($A$1:A125,"Câu "&amp;"*")-MID(A125,5,FIND(".",A125,1)-5),0)</f>
        <v>0</v>
      </c>
      <c r="D125" t="str">
        <f t="shared" si="10"/>
        <v/>
      </c>
      <c r="E125" t="str">
        <f>SUBSTITUTE(IF(LEFT(A125,3)="Câu",MID(A125,FIND(".",A125,1)+2,LEN(A125)),""),CHAR(34),CHAR(92)&amp;CHAR(34))</f>
        <v/>
      </c>
      <c r="G125" t="str">
        <f>SUBSTITUTE(B126,CHAR(34),CHAR(92)&amp;CHAR(34))</f>
        <v/>
      </c>
      <c r="H125" t="str">
        <f>SUBSTITUTE(B127,CHAR(34),CHAR(92)&amp;CHAR(34))</f>
        <v>Ba nhóm: Biển báo cấm, biển báo nguy hiểm và biển hiệu lệnh.</v>
      </c>
      <c r="I125" t="str">
        <f>SUBSTITUTE(IF(LEFT(A128,3)="Câu","",B128),CHAR(34),CHAR(92)&amp;CHAR(34))</f>
        <v>Bốn nhóm: Biển báo cấm, biển báo nguy hiểm, biển hiệu lệnh và biển phụ.</v>
      </c>
      <c r="J125" t="str">
        <f>SUBSTITUTE(IF(OR(LEFT(A129,3)="Câu",I125=""),"",IF(B129=0,"",B129)),CHAR(34),CHAR(92)&amp;CHAR(34))</f>
        <v xml:space="preserve"> Năm nhóm: Biển báo cấm, biển báo nguy hiểm, biển hiệu lệnh, biển chỉ dẫn, biển phụ.</v>
      </c>
      <c r="K125" t="str">
        <f>SUBSTITUTE(SUBSTITUTE(SUBSTITUTE(SUBSTITUTE(IFERROR(VLOOKUP("Câu "&amp;D125&amp;".",dapan!$E:$J,6,0),""),"1","A"),"2","B"),"3","C"),"4","D")</f>
        <v/>
      </c>
      <c r="P125" t="str">
        <f t="shared" si="7"/>
        <v/>
      </c>
      <c r="Q125" t="str">
        <f t="shared" si="8"/>
        <v/>
      </c>
      <c r="R125" t="str">
        <f t="shared" si="9"/>
        <v></v>
      </c>
      <c r="S125">
        <f t="shared" si="11"/>
        <v>129</v>
      </c>
    </row>
    <row r="126" spans="1:19" x14ac:dyDescent="0.25">
      <c r="A126" t="s">
        <v>105</v>
      </c>
      <c r="C126">
        <f>IFERROR(COUNTIFS($A$1:A126,"Câu "&amp;"*")-MID(A126,5,FIND(".",A126,1)-5),0)</f>
        <v>0</v>
      </c>
      <c r="D126">
        <f t="shared" si="10"/>
        <v>33</v>
      </c>
      <c r="E126" t="str">
        <f>SUBSTITUTE(IF(LEFT(A126,3)="Câu",MID(A126,FIND(".",A126,1)+2,LEN(A126)),""),CHAR(34),CHAR(92)&amp;CHAR(34))</f>
        <v>Có bao nhiêu nhóm biển báo hiệu đường bộ?</v>
      </c>
      <c r="G126" t="str">
        <f>SUBSTITUTE(B127,CHAR(34),CHAR(92)&amp;CHAR(34))</f>
        <v>Ba nhóm: Biển báo cấm, biển báo nguy hiểm và biển hiệu lệnh.</v>
      </c>
      <c r="H126" t="str">
        <f>SUBSTITUTE(B128,CHAR(34),CHAR(92)&amp;CHAR(34))</f>
        <v>Bốn nhóm: Biển báo cấm, biển báo nguy hiểm, biển hiệu lệnh và biển phụ.</v>
      </c>
      <c r="I126" t="str">
        <f>SUBSTITUTE(IF(LEFT(A129,3)="Câu","",B129),CHAR(34),CHAR(92)&amp;CHAR(34))</f>
        <v xml:space="preserve"> Năm nhóm: Biển báo cấm, biển báo nguy hiểm, biển hiệu lệnh, biển chỉ dẫn, biển phụ.</v>
      </c>
      <c r="J126" t="str">
        <f>SUBSTITUTE(IF(OR(LEFT(A130,3)="Câu",I126=""),"",IF(B130=0,"",B130)),CHAR(34),CHAR(92)&amp;CHAR(34))</f>
        <v/>
      </c>
      <c r="K126" t="str">
        <f ca="1">SUBSTITUTE(SUBSTITUTE(SUBSTITUTE(SUBSTITUTE(IFERROR(VLOOKUP("Câu "&amp;D126&amp;".",dapan!$E:$J,6,0),""),"1","A"),"2","B"),"3","C"),"4","D")</f>
        <v>C</v>
      </c>
      <c r="P126">
        <f t="shared" si="7"/>
        <v>33</v>
      </c>
      <c r="Q126" t="str">
        <f t="shared" ca="1" si="8"/>
        <v>{"num":33,"id":33,"q":"Có bao nhiêu nhóm biển báo hiệu đường bộ?","opts":{"A":"Ba nhóm: Biển báo cấm, biển báo nguy hiểm và biển hiệu lệnh.","B":"Bốn nhóm: Biển báo cấm, biển báo nguy hiểm, biển hiệu lệnh và biển phụ.","C":" Năm nhóm: Biển báo cấm, biển báo nguy hiểm, biển hiệu lệnh, biển chỉ dẫn, biển phụ."},"answer":"C"},</v>
      </c>
      <c r="R126" t="str">
        <f t="shared" si="9"/>
        <v>‚</v>
      </c>
      <c r="S126">
        <f t="shared" si="11"/>
        <v>130</v>
      </c>
    </row>
    <row r="127" spans="1:19" hidden="1" x14ac:dyDescent="0.25">
      <c r="A127">
        <v>1</v>
      </c>
      <c r="B127" t="s">
        <v>106</v>
      </c>
      <c r="C127">
        <f>IFERROR(COUNTIFS($A$1:A127,"Câu "&amp;"*")-MID(A127,5,FIND(".",A127,1)-5),0)</f>
        <v>0</v>
      </c>
      <c r="D127" t="str">
        <f t="shared" si="10"/>
        <v/>
      </c>
      <c r="E127" t="str">
        <f>SUBSTITUTE(IF(LEFT(A127,3)="Câu",MID(A127,FIND(".",A127,1)+2,LEN(A127)),""),CHAR(34),CHAR(92)&amp;CHAR(34))</f>
        <v/>
      </c>
      <c r="G127" t="str">
        <f>SUBSTITUTE(B128,CHAR(34),CHAR(92)&amp;CHAR(34))</f>
        <v>Bốn nhóm: Biển báo cấm, biển báo nguy hiểm, biển hiệu lệnh và biển phụ.</v>
      </c>
      <c r="H127" t="str">
        <f>SUBSTITUTE(B129,CHAR(34),CHAR(92)&amp;CHAR(34))</f>
        <v xml:space="preserve"> Năm nhóm: Biển báo cấm, biển báo nguy hiểm, biển hiệu lệnh, biển chỉ dẫn, biển phụ.</v>
      </c>
      <c r="I127" t="str">
        <f>SUBSTITUTE(IF(LEFT(A130,3)="Câu","",B130),CHAR(34),CHAR(92)&amp;CHAR(34))</f>
        <v/>
      </c>
      <c r="J127" t="str">
        <f>SUBSTITUTE(IF(OR(LEFT(A131,3)="Câu",I127=""),"",IF(B131=0,"",B131)),CHAR(34),CHAR(92)&amp;CHAR(34))</f>
        <v/>
      </c>
      <c r="K127" t="str">
        <f>SUBSTITUTE(SUBSTITUTE(SUBSTITUTE(SUBSTITUTE(IFERROR(VLOOKUP("Câu "&amp;D127&amp;".",dapan!$E:$J,6,0),""),"1","A"),"2","B"),"3","C"),"4","D")</f>
        <v/>
      </c>
      <c r="P127" t="str">
        <f t="shared" si="7"/>
        <v/>
      </c>
      <c r="Q127" t="str">
        <f t="shared" si="8"/>
        <v/>
      </c>
      <c r="R127" t="str">
        <f t="shared" si="9"/>
        <v>ƒ</v>
      </c>
      <c r="S127">
        <f t="shared" si="11"/>
        <v>131</v>
      </c>
    </row>
    <row r="128" spans="1:19" hidden="1" x14ac:dyDescent="0.25">
      <c r="A128">
        <v>2</v>
      </c>
      <c r="B128" t="s">
        <v>107</v>
      </c>
      <c r="C128">
        <f>IFERROR(COUNTIFS($A$1:A128,"Câu "&amp;"*")-MID(A128,5,FIND(".",A128,1)-5),0)</f>
        <v>0</v>
      </c>
      <c r="D128" t="str">
        <f t="shared" si="10"/>
        <v/>
      </c>
      <c r="E128" t="str">
        <f>SUBSTITUTE(IF(LEFT(A128,3)="Câu",MID(A128,FIND(".",A128,1)+2,LEN(A128)),""),CHAR(34),CHAR(92)&amp;CHAR(34))</f>
        <v/>
      </c>
      <c r="G128" t="str">
        <f>SUBSTITUTE(B129,CHAR(34),CHAR(92)&amp;CHAR(34))</f>
        <v xml:space="preserve"> Năm nhóm: Biển báo cấm, biển báo nguy hiểm, biển hiệu lệnh, biển chỉ dẫn, biển phụ.</v>
      </c>
      <c r="H128" t="str">
        <f>SUBSTITUTE(B130,CHAR(34),CHAR(92)&amp;CHAR(34))</f>
        <v/>
      </c>
      <c r="I128" t="str">
        <f>SUBSTITUTE(IF(LEFT(A131,3)="Câu","",B131),CHAR(34),CHAR(92)&amp;CHAR(34))</f>
        <v>Giảm tốc độ và nhường đường cho người đi bộ, xe lăn của người khuyết tật qua đường đảm bảo an toàn.</v>
      </c>
      <c r="J128" t="str">
        <f>SUBSTITUTE(IF(OR(LEFT(A132,3)="Câu",I128=""),"",IF(B132=0,"",B132)),CHAR(34),CHAR(92)&amp;CHAR(34))</f>
        <v xml:space="preserve"> Quan sát, giảm tốc độ hoặc dừng lại để bảo đảm an toàn cho người đi bộ, xe lăn của người khuyết tật qua đường.</v>
      </c>
      <c r="K128" t="str">
        <f>SUBSTITUTE(SUBSTITUTE(SUBSTITUTE(SUBSTITUTE(IFERROR(VLOOKUP("Câu "&amp;D128&amp;".",dapan!$E:$J,6,0),""),"1","A"),"2","B"),"3","C"),"4","D")</f>
        <v/>
      </c>
      <c r="P128" t="str">
        <f t="shared" si="7"/>
        <v/>
      </c>
      <c r="Q128" t="str">
        <f t="shared" si="8"/>
        <v/>
      </c>
      <c r="R128" t="str">
        <f t="shared" si="9"/>
        <v>„</v>
      </c>
      <c r="S128">
        <f t="shared" si="11"/>
        <v>132</v>
      </c>
    </row>
    <row r="129" spans="1:19" hidden="1" x14ac:dyDescent="0.25">
      <c r="A129">
        <v>3</v>
      </c>
      <c r="B129" t="s">
        <v>108</v>
      </c>
      <c r="C129">
        <f>IFERROR(COUNTIFS($A$1:A129,"Câu "&amp;"*")-MID(A129,5,FIND(".",A129,1)-5),0)</f>
        <v>0</v>
      </c>
      <c r="D129" t="str">
        <f t="shared" si="10"/>
        <v/>
      </c>
      <c r="E129" t="str">
        <f>SUBSTITUTE(IF(LEFT(A129,3)="Câu",MID(A129,FIND(".",A129,1)+2,LEN(A129)),""),CHAR(34),CHAR(92)&amp;CHAR(34))</f>
        <v/>
      </c>
      <c r="G129" t="str">
        <f>SUBSTITUTE(B130,CHAR(34),CHAR(92)&amp;CHAR(34))</f>
        <v/>
      </c>
      <c r="H129" t="str">
        <f>SUBSTITUTE(B131,CHAR(34),CHAR(92)&amp;CHAR(34))</f>
        <v>Giảm tốc độ và nhường đường cho người đi bộ, xe lăn của người khuyết tật qua đường đảm bảo an toàn.</v>
      </c>
      <c r="I129" t="str">
        <f>SUBSTITUTE(IF(LEFT(A132,3)="Câu","",B132),CHAR(34),CHAR(92)&amp;CHAR(34))</f>
        <v xml:space="preserve"> Quan sát, giảm tốc độ hoặc dừng lại để bảo đảm an toàn cho người đi bộ, xe lăn của người khuyết tật qua đường.</v>
      </c>
      <c r="J129" t="str">
        <f>SUBSTITUTE(IF(OR(LEFT(A133,3)="Câu",I129=""),"",IF(B133=0,"",B133)),CHAR(34),CHAR(92)&amp;CHAR(34))</f>
        <v>Quan sát, tăng tốc độ và điều khiển phương tiện nhanh chóng đi qua.</v>
      </c>
      <c r="K129" t="str">
        <f>SUBSTITUTE(SUBSTITUTE(SUBSTITUTE(SUBSTITUTE(IFERROR(VLOOKUP("Câu "&amp;D129&amp;".",dapan!$E:$J,6,0),""),"1","A"),"2","B"),"3","C"),"4","D")</f>
        <v/>
      </c>
      <c r="P129" t="str">
        <f t="shared" si="7"/>
        <v/>
      </c>
      <c r="Q129" t="str">
        <f t="shared" si="8"/>
        <v/>
      </c>
      <c r="R129" t="str">
        <f t="shared" si="9"/>
        <v>…</v>
      </c>
      <c r="S129">
        <f t="shared" si="11"/>
        <v>133</v>
      </c>
    </row>
    <row r="130" spans="1:19" x14ac:dyDescent="0.25">
      <c r="A130" t="s">
        <v>109</v>
      </c>
      <c r="C130">
        <f>IFERROR(COUNTIFS($A$1:A130,"Câu "&amp;"*")-MID(A130,5,FIND(".",A130,1)-5),0)</f>
        <v>0</v>
      </c>
      <c r="D130">
        <f t="shared" si="10"/>
        <v>34</v>
      </c>
      <c r="E130" t="str">
        <f>SUBSTITUTE(IF(LEFT(A130,3)="Câu",MID(A130,FIND(".",A130,1)+2,LEN(A130)),""),CHAR(34),CHAR(92)&amp;CHAR(34))</f>
        <v>Tại nơi có vạch kẻ đường hoặc tại nơi mà người đi bộ, xe lăn của người khuyết tật đang qua đường, người điều khiển phương tiện tham gia giao thông phải thực hiện như thế nào?</v>
      </c>
      <c r="G130" t="str">
        <f>SUBSTITUTE(B131,CHAR(34),CHAR(92)&amp;CHAR(34))</f>
        <v>Giảm tốc độ và nhường đường cho người đi bộ, xe lăn của người khuyết tật qua đường đảm bảo an toàn.</v>
      </c>
      <c r="H130" t="str">
        <f>SUBSTITUTE(B132,CHAR(34),CHAR(92)&amp;CHAR(34))</f>
        <v xml:space="preserve"> Quan sát, giảm tốc độ hoặc dừng lại để bảo đảm an toàn cho người đi bộ, xe lăn của người khuyết tật qua đường.</v>
      </c>
      <c r="I130" t="str">
        <f>SUBSTITUTE(IF(LEFT(A133,3)="Câu","",B133),CHAR(34),CHAR(92)&amp;CHAR(34))</f>
        <v>Quan sát, tăng tốc độ và điều khiển phương tiện nhanh chóng đi qua.</v>
      </c>
      <c r="J130" t="str">
        <f>SUBSTITUTE(IF(OR(LEFT(A134,3)="Câu",I130=""),"",IF(B134=0,"",B134)),CHAR(34),CHAR(92)&amp;CHAR(34))</f>
        <v/>
      </c>
      <c r="K130" t="str">
        <f ca="1">SUBSTITUTE(SUBSTITUTE(SUBSTITUTE(SUBSTITUTE(IFERROR(VLOOKUP("Câu "&amp;D130&amp;".",dapan!$E:$J,6,0),""),"1","A"),"2","B"),"3","C"),"4","D")</f>
        <v>B</v>
      </c>
      <c r="P130">
        <f t="shared" si="7"/>
        <v>34</v>
      </c>
      <c r="Q130" t="str">
        <f t="shared" ca="1" si="8"/>
        <v>{"num":34,"id":34,"q":"Tại nơi có vạch kẻ đường hoặc tại nơi mà người đi bộ, xe lăn của người khuyết tật đang qua đường, người điều khiển phương tiện tham gia giao thông phải thực hiện như thế nào?","opts":{"A":"Giảm tốc độ và nhường đường cho người đi bộ, xe lăn của người khuyết tật qua đường đảm bảo an toàn.","B":" Quan sát, giảm tốc độ hoặc dừng lại để bảo đảm an toàn cho người đi bộ, xe lăn của người khuyết tật qua đường.","C":"Quan sát, tăng tốc độ và điều khiển phương tiện nhanh chóng đi qua."},"answer":"B"},</v>
      </c>
      <c r="R130" t="str">
        <f t="shared" si="9"/>
        <v>†</v>
      </c>
      <c r="S130">
        <f t="shared" si="11"/>
        <v>134</v>
      </c>
    </row>
    <row r="131" spans="1:19" hidden="1" x14ac:dyDescent="0.25">
      <c r="A131">
        <v>1</v>
      </c>
      <c r="B131" t="s">
        <v>110</v>
      </c>
      <c r="C131">
        <f>IFERROR(COUNTIFS($A$1:A131,"Câu "&amp;"*")-MID(A131,5,FIND(".",A131,1)-5),0)</f>
        <v>0</v>
      </c>
      <c r="D131" t="str">
        <f t="shared" si="10"/>
        <v/>
      </c>
      <c r="E131" t="str">
        <f>SUBSTITUTE(IF(LEFT(A131,3)="Câu",MID(A131,FIND(".",A131,1)+2,LEN(A131)),""),CHAR(34),CHAR(92)&amp;CHAR(34))</f>
        <v/>
      </c>
      <c r="G131" t="str">
        <f>SUBSTITUTE(B132,CHAR(34),CHAR(92)&amp;CHAR(34))</f>
        <v xml:space="preserve"> Quan sát, giảm tốc độ hoặc dừng lại để bảo đảm an toàn cho người đi bộ, xe lăn của người khuyết tật qua đường.</v>
      </c>
      <c r="H131" t="str">
        <f>SUBSTITUTE(B133,CHAR(34),CHAR(92)&amp;CHAR(34))</f>
        <v>Quan sát, tăng tốc độ và điều khiển phương tiện nhanh chóng đi qua.</v>
      </c>
      <c r="I131" t="str">
        <f>SUBSTITUTE(IF(LEFT(A134,3)="Câu","",B134),CHAR(34),CHAR(92)&amp;CHAR(34))</f>
        <v/>
      </c>
      <c r="J131" t="str">
        <f>SUBSTITUTE(IF(OR(LEFT(A135,3)="Câu",I131=""),"",IF(B135=0,"",B135)),CHAR(34),CHAR(92)&amp;CHAR(34))</f>
        <v/>
      </c>
      <c r="K131" t="str">
        <f>SUBSTITUTE(SUBSTITUTE(SUBSTITUTE(SUBSTITUTE(IFERROR(VLOOKUP("Câu "&amp;D131&amp;".",dapan!$E:$J,6,0),""),"1","A"),"2","B"),"3","C"),"4","D")</f>
        <v/>
      </c>
      <c r="P131" t="str">
        <f t="shared" ref="P131:P194" si="12">D131</f>
        <v/>
      </c>
      <c r="Q131" t="str">
        <f t="shared" ref="Q131:Q194" si="13">IF(D131="","",CHAR(123)&amp;CHAR(34)&amp;"num"&amp;CHAR(34)&amp;":"&amp;P131&amp;","&amp;CHAR(34)&amp;"id"&amp;CHAR(34)&amp;":"&amp;D131&amp;","
&amp;CHAR(34)&amp;"q"&amp;CHAR(34)&amp;":"&amp;CHAR(34)&amp;E131&amp;CHAR(34)&amp;","
&amp;IF(F131="","",CHAR(34)&amp;"img"&amp;CHAR(34)&amp;":"&amp;CHAR(34)&amp;F131&amp;CHAR(34)&amp;",")
&amp;CHAR(34)&amp;"opts"&amp;CHAR(34)&amp;":"&amp;CHAR(123)&amp;CHAR(34)&amp;"A"&amp;CHAR(34)&amp;":"&amp;CHAR(34)&amp;G131&amp;CHAR(34)&amp;","&amp;CHAR(34)&amp;"B"&amp;CHAR(34)&amp;":"&amp;CHAR(34)&amp;H131&amp;CHAR(34)
&amp;IF(I131="","",","&amp;CHAR(34)&amp;"C"&amp;CHAR(34)&amp;":"&amp;CHAR(34)&amp;I131&amp;CHAR(34))&amp;IF(J131="","",","&amp;CHAR(34)&amp;"D"&amp;CHAR(34)&amp;":"&amp;CHAR(34)&amp;J131&amp;CHAR(34))&amp;CHAR(125)&amp;","
&amp;CHAR(34)&amp;"answer"&amp;CHAR(34)&amp;":"&amp;CHAR(34)&amp;K131&amp;CHAR(34)
&amp;IF(L131="","",","&amp;CHAR(34)&amp;"danger"&amp;CHAR(34)&amp;":"&amp;CHAR(34)&amp;"true"&amp;CHAR(34))
&amp;IF(M131="","",","&amp;CHAR(34)&amp;"explain"&amp;CHAR(34)&amp;":"&amp;CHAR(34)&amp;M131&amp;CHAR(34))
&amp;IF(N131="","",","&amp;CHAR(34)&amp;"explainImg"&amp;CHAR(34)&amp;":"&amp;CHAR(34)&amp;N131&amp;CHAR(34))
&amp;IF(O131="","",","&amp;CHAR(34)&amp;"shuffle"&amp;CHAR(34)&amp;":"&amp;CHAR(34)&amp;"false"&amp;CHAR(34))&amp;CHAR(125)&amp;",")</f>
        <v/>
      </c>
      <c r="R131" t="str">
        <f t="shared" si="9"/>
        <v>‡</v>
      </c>
      <c r="S131">
        <f t="shared" si="11"/>
        <v>135</v>
      </c>
    </row>
    <row r="132" spans="1:19" hidden="1" x14ac:dyDescent="0.25">
      <c r="A132">
        <v>2</v>
      </c>
      <c r="B132" t="s">
        <v>111</v>
      </c>
      <c r="C132">
        <f>IFERROR(COUNTIFS($A$1:A132,"Câu "&amp;"*")-MID(A132,5,FIND(".",A132,1)-5),0)</f>
        <v>0</v>
      </c>
      <c r="D132" t="str">
        <f t="shared" si="10"/>
        <v/>
      </c>
      <c r="E132" t="str">
        <f>SUBSTITUTE(IF(LEFT(A132,3)="Câu",MID(A132,FIND(".",A132,1)+2,LEN(A132)),""),CHAR(34),CHAR(92)&amp;CHAR(34))</f>
        <v/>
      </c>
      <c r="G132" t="str">
        <f>SUBSTITUTE(B133,CHAR(34),CHAR(92)&amp;CHAR(34))</f>
        <v>Quan sát, tăng tốc độ và điều khiển phương tiện nhanh chóng đi qua.</v>
      </c>
      <c r="H132" t="str">
        <f>SUBSTITUTE(B134,CHAR(34),CHAR(92)&amp;CHAR(34))</f>
        <v/>
      </c>
      <c r="I132" t="str">
        <f>SUBSTITUTE(IF(LEFT(A135,3)="Câu","",B135),CHAR(34),CHAR(92)&amp;CHAR(34))</f>
        <v>Đường hẹp, đường vòng, đường quanh co, đường đèo, dốc.</v>
      </c>
      <c r="J132" t="str">
        <f>SUBSTITUTE(IF(OR(LEFT(A136,3)="Câu",I132=""),"",IF(B136=0,"",B136)),CHAR(34),CHAR(92)&amp;CHAR(34))</f>
        <v>Nơi cầu, cống hẹp, đập tràn, đường ngầm, hầm chui, hầm đường bộ.</v>
      </c>
      <c r="K132" t="str">
        <f>SUBSTITUTE(SUBSTITUTE(SUBSTITUTE(SUBSTITUTE(IFERROR(VLOOKUP("Câu "&amp;D132&amp;".",dapan!$E:$J,6,0),""),"1","A"),"2","B"),"3","C"),"4","D")</f>
        <v/>
      </c>
      <c r="P132" t="str">
        <f t="shared" si="12"/>
        <v/>
      </c>
      <c r="Q132" t="str">
        <f t="shared" si="13"/>
        <v/>
      </c>
      <c r="R132" t="str">
        <f t="shared" si="9"/>
        <v>ˆ</v>
      </c>
      <c r="S132">
        <f t="shared" si="11"/>
        <v>136</v>
      </c>
    </row>
    <row r="133" spans="1:19" hidden="1" x14ac:dyDescent="0.25">
      <c r="A133">
        <v>3</v>
      </c>
      <c r="B133" t="s">
        <v>112</v>
      </c>
      <c r="C133">
        <f>IFERROR(COUNTIFS($A$1:A133,"Câu "&amp;"*")-MID(A133,5,FIND(".",A133,1)-5),0)</f>
        <v>0</v>
      </c>
      <c r="D133" t="str">
        <f t="shared" si="10"/>
        <v/>
      </c>
      <c r="E133" t="str">
        <f>SUBSTITUTE(IF(LEFT(A133,3)="Câu",MID(A133,FIND(".",A133,1)+2,LEN(A133)),""),CHAR(34),CHAR(92)&amp;CHAR(34))</f>
        <v/>
      </c>
      <c r="G133" t="str">
        <f>SUBSTITUTE(B134,CHAR(34),CHAR(92)&amp;CHAR(34))</f>
        <v/>
      </c>
      <c r="H133" t="str">
        <f>SUBSTITUTE(B135,CHAR(34),CHAR(92)&amp;CHAR(34))</f>
        <v>Đường hẹp, đường vòng, đường quanh co, đường đèo, dốc.</v>
      </c>
      <c r="I133" t="str">
        <f>SUBSTITUTE(IF(LEFT(A136,3)="Câu","",B136),CHAR(34),CHAR(92)&amp;CHAR(34))</f>
        <v>Nơi cầu, cống hẹp, đập tràn, đường ngầm, hầm chui, hầm đường bộ.</v>
      </c>
      <c r="J133" t="str">
        <f>SUBSTITUTE(IF(OR(LEFT(A137,3)="Câu",I133=""),"",IF(B137=0,"",B137)),CHAR(34),CHAR(92)&amp;CHAR(34))</f>
        <v>Trời mưa, gió, sương, khói, bụi, mặt đường trơn trượt, lầy lội, có nhiều đất đá, vật liệu rơi vãi ảnh hưởng đến an toàn giao thông đường bộ.</v>
      </c>
      <c r="K133" t="str">
        <f>SUBSTITUTE(SUBSTITUTE(SUBSTITUTE(SUBSTITUTE(IFERROR(VLOOKUP("Câu "&amp;D133&amp;".",dapan!$E:$J,6,0),""),"1","A"),"2","B"),"3","C"),"4","D")</f>
        <v/>
      </c>
      <c r="P133" t="str">
        <f t="shared" si="12"/>
        <v/>
      </c>
      <c r="Q133" t="str">
        <f t="shared" si="13"/>
        <v/>
      </c>
      <c r="R133" t="str">
        <f t="shared" si="9"/>
        <v>‰</v>
      </c>
      <c r="S133">
        <f t="shared" si="11"/>
        <v>137</v>
      </c>
    </row>
    <row r="134" spans="1:19" x14ac:dyDescent="0.25">
      <c r="A134" t="s">
        <v>113</v>
      </c>
      <c r="C134">
        <f>IFERROR(COUNTIFS($A$1:A134,"Câu "&amp;"*")-MID(A134,5,FIND(".",A134,1)-5),0)</f>
        <v>0</v>
      </c>
      <c r="D134">
        <f t="shared" si="10"/>
        <v>35</v>
      </c>
      <c r="E134" t="str">
        <f>SUBSTITUTE(IF(LEFT(A134,3)="Câu",MID(A134,FIND(".",A134,1)+2,LEN(A134)),""),CHAR(34),CHAR(92)&amp;CHAR(34))</f>
        <v>Người điều khiển xe mô tô phải phải quan sát, giảm tốc độ hoặc dừng lại để bảo đảm an toàn trong các trường hợp nào dưới đây?</v>
      </c>
      <c r="G134" t="str">
        <f>SUBSTITUTE(B135,CHAR(34),CHAR(92)&amp;CHAR(34))</f>
        <v>Đường hẹp, đường vòng, đường quanh co, đường đèo, dốc.</v>
      </c>
      <c r="H134" t="str">
        <f>SUBSTITUTE(B136,CHAR(34),CHAR(92)&amp;CHAR(34))</f>
        <v>Nơi cầu, cống hẹp, đập tràn, đường ngầm, hầm chui, hầm đường bộ.</v>
      </c>
      <c r="I134" t="str">
        <f>SUBSTITUTE(IF(LEFT(A137,3)="Câu","",B137),CHAR(34),CHAR(92)&amp;CHAR(34))</f>
        <v>Trời mưa, gió, sương, khói, bụi, mặt đường trơn trượt, lầy lội, có nhiều đất đá, vật liệu rơi vãi ảnh hưởng đến an toàn giao thông đường bộ.</v>
      </c>
      <c r="J134" t="str">
        <f>SUBSTITUTE(IF(OR(LEFT(A138,3)="Câu",I134=""),"",IF(B138=0,"",B138)),CHAR(34),CHAR(92)&amp;CHAR(34))</f>
        <v xml:space="preserve"> Cả ba ý trên.</v>
      </c>
      <c r="K134" t="str">
        <f ca="1">SUBSTITUTE(SUBSTITUTE(SUBSTITUTE(SUBSTITUTE(IFERROR(VLOOKUP("Câu "&amp;D134&amp;".",dapan!$E:$J,6,0),""),"1","A"),"2","B"),"3","C"),"4","D")</f>
        <v>D</v>
      </c>
      <c r="P134">
        <f t="shared" si="12"/>
        <v>35</v>
      </c>
      <c r="Q134" t="str">
        <f t="shared" ca="1" si="13"/>
        <v>{"num":35,"id":35,"q":"Người điều khiển xe mô tô phải phải quan sát, giảm tốc độ hoặc dừng lại để bảo đảm an toàn trong các trường hợp nào dưới đây?","opts":{"A":"Đường hẹp, đường vòng, đường quanh co, đường đèo, dốc.","B":"Nơi cầu, cống hẹp, đập tràn, đường ngầm, hầm chui, hầm đường bộ.","C":"Trời mưa, gió, sương, khói, bụi, mặt đường trơn trượt, lầy lội, có nhiều đất đá, vật liệu rơi vãi ảnh hưởng đến an toàn giao thông đường bộ.","D":" Cả ba ý trên."},"answer":"D"},</v>
      </c>
      <c r="R134" t="str">
        <f t="shared" si="9"/>
        <v>Š</v>
      </c>
      <c r="S134">
        <f t="shared" si="11"/>
        <v>138</v>
      </c>
    </row>
    <row r="135" spans="1:19" hidden="1" x14ac:dyDescent="0.25">
      <c r="A135">
        <v>1</v>
      </c>
      <c r="B135" t="s">
        <v>114</v>
      </c>
      <c r="C135">
        <f>IFERROR(COUNTIFS($A$1:A135,"Câu "&amp;"*")-MID(A135,5,FIND(".",A135,1)-5),0)</f>
        <v>0</v>
      </c>
      <c r="D135" t="str">
        <f t="shared" si="10"/>
        <v/>
      </c>
      <c r="E135" t="str">
        <f>SUBSTITUTE(IF(LEFT(A135,3)="Câu",MID(A135,FIND(".",A135,1)+2,LEN(A135)),""),CHAR(34),CHAR(92)&amp;CHAR(34))</f>
        <v/>
      </c>
      <c r="G135" t="str">
        <f>SUBSTITUTE(B136,CHAR(34),CHAR(92)&amp;CHAR(34))</f>
        <v>Nơi cầu, cống hẹp, đập tràn, đường ngầm, hầm chui, hầm đường bộ.</v>
      </c>
      <c r="H135" t="str">
        <f>SUBSTITUTE(B137,CHAR(34),CHAR(92)&amp;CHAR(34))</f>
        <v>Trời mưa, gió, sương, khói, bụi, mặt đường trơn trượt, lầy lội, có nhiều đất đá, vật liệu rơi vãi ảnh hưởng đến an toàn giao thông đường bộ.</v>
      </c>
      <c r="I135" t="str">
        <f>SUBSTITUTE(IF(LEFT(A138,3)="Câu","",B138),CHAR(34),CHAR(92)&amp;CHAR(34))</f>
        <v xml:space="preserve"> Cả ba ý trên.</v>
      </c>
      <c r="J135" t="str">
        <f>SUBSTITUTE(IF(OR(LEFT(A139,3)="Câu",I135=""),"",IF(B139=0,"",B139)),CHAR(34),CHAR(92)&amp;CHAR(34))</f>
        <v/>
      </c>
      <c r="K135" t="str">
        <f>SUBSTITUTE(SUBSTITUTE(SUBSTITUTE(SUBSTITUTE(IFERROR(VLOOKUP("Câu "&amp;D135&amp;".",dapan!$E:$J,6,0),""),"1","A"),"2","B"),"3","C"),"4","D")</f>
        <v/>
      </c>
      <c r="P135" t="str">
        <f t="shared" si="12"/>
        <v/>
      </c>
      <c r="Q135" t="str">
        <f t="shared" si="13"/>
        <v/>
      </c>
      <c r="R135" t="str">
        <f t="shared" si="9"/>
        <v>‹</v>
      </c>
      <c r="S135">
        <f t="shared" si="11"/>
        <v>139</v>
      </c>
    </row>
    <row r="136" spans="1:19" hidden="1" x14ac:dyDescent="0.25">
      <c r="A136">
        <v>2</v>
      </c>
      <c r="B136" t="s">
        <v>115</v>
      </c>
      <c r="C136">
        <f>IFERROR(COUNTIFS($A$1:A136,"Câu "&amp;"*")-MID(A136,5,FIND(".",A136,1)-5),0)</f>
        <v>0</v>
      </c>
      <c r="D136" t="str">
        <f t="shared" si="10"/>
        <v/>
      </c>
      <c r="E136" t="str">
        <f>SUBSTITUTE(IF(LEFT(A136,3)="Câu",MID(A136,FIND(".",A136,1)+2,LEN(A136)),""),CHAR(34),CHAR(92)&amp;CHAR(34))</f>
        <v/>
      </c>
      <c r="G136" t="str">
        <f>SUBSTITUTE(B137,CHAR(34),CHAR(92)&amp;CHAR(34))</f>
        <v>Trời mưa, gió, sương, khói, bụi, mặt đường trơn trượt, lầy lội, có nhiều đất đá, vật liệu rơi vãi ảnh hưởng đến an toàn giao thông đường bộ.</v>
      </c>
      <c r="H136" t="str">
        <f>SUBSTITUTE(B138,CHAR(34),CHAR(92)&amp;CHAR(34))</f>
        <v xml:space="preserve"> Cả ba ý trên.</v>
      </c>
      <c r="I136" t="str">
        <f>SUBSTITUTE(IF(LEFT(A139,3)="Câu","",B139),CHAR(34),CHAR(92)&amp;CHAR(34))</f>
        <v/>
      </c>
      <c r="J136" t="str">
        <f>SUBSTITUTE(IF(OR(LEFT(A140,3)="Câu",I136=""),"",IF(B140=0,"",B140)),CHAR(34),CHAR(92)&amp;CHAR(34))</f>
        <v/>
      </c>
      <c r="K136" t="str">
        <f>SUBSTITUTE(SUBSTITUTE(SUBSTITUTE(SUBSTITUTE(IFERROR(VLOOKUP("Câu "&amp;D136&amp;".",dapan!$E:$J,6,0),""),"1","A"),"2","B"),"3","C"),"4","D")</f>
        <v/>
      </c>
      <c r="P136" t="str">
        <f t="shared" si="12"/>
        <v/>
      </c>
      <c r="Q136" t="str">
        <f t="shared" si="13"/>
        <v/>
      </c>
      <c r="R136" t="str">
        <f t="shared" ref="R136:R171" si="14">CHAR(S136)</f>
        <v>Œ</v>
      </c>
      <c r="S136">
        <f t="shared" si="11"/>
        <v>140</v>
      </c>
    </row>
    <row r="137" spans="1:19" hidden="1" x14ac:dyDescent="0.25">
      <c r="A137">
        <v>3</v>
      </c>
      <c r="B137" t="s">
        <v>116</v>
      </c>
      <c r="C137">
        <f>IFERROR(COUNTIFS($A$1:A137,"Câu "&amp;"*")-MID(A137,5,FIND(".",A137,1)-5),0)</f>
        <v>0</v>
      </c>
      <c r="D137" t="str">
        <f t="shared" si="10"/>
        <v/>
      </c>
      <c r="E137" t="str">
        <f>SUBSTITUTE(IF(LEFT(A137,3)="Câu",MID(A137,FIND(".",A137,1)+2,LEN(A137)),""),CHAR(34),CHAR(92)&amp;CHAR(34))</f>
        <v/>
      </c>
      <c r="G137" t="str">
        <f>SUBSTITUTE(B138,CHAR(34),CHAR(92)&amp;CHAR(34))</f>
        <v xml:space="preserve"> Cả ba ý trên.</v>
      </c>
      <c r="H137" t="str">
        <f>SUBSTITUTE(B139,CHAR(34),CHAR(92)&amp;CHAR(34))</f>
        <v/>
      </c>
      <c r="I137" t="str">
        <f>SUBSTITUTE(IF(LEFT(A140,3)="Câu","",B140),CHAR(34),CHAR(92)&amp;CHAR(34))</f>
        <v>Người tham gia giao thông đường bộ ở các hướng phải dừng lại.</v>
      </c>
      <c r="J137" t="str">
        <f>SUBSTITUTE(IF(OR(LEFT(A141,3)="Câu",I137=""),"",IF(B141=0,"",B141)),CHAR(34),CHAR(92)&amp;CHAR(34))</f>
        <v>Người tham gia giao thông đường bộ ở các hướng được đi theo chiều gậy chỉ của Cảnh sát giao thông.</v>
      </c>
      <c r="K137" t="str">
        <f>SUBSTITUTE(SUBSTITUTE(SUBSTITUTE(SUBSTITUTE(IFERROR(VLOOKUP("Câu "&amp;D137&amp;".",dapan!$E:$J,6,0),""),"1","A"),"2","B"),"3","C"),"4","D")</f>
        <v/>
      </c>
      <c r="P137" t="str">
        <f t="shared" si="12"/>
        <v/>
      </c>
      <c r="Q137" t="str">
        <f t="shared" si="13"/>
        <v/>
      </c>
      <c r="R137" t="str">
        <f t="shared" si="14"/>
        <v></v>
      </c>
      <c r="S137">
        <f t="shared" si="11"/>
        <v>141</v>
      </c>
    </row>
    <row r="138" spans="1:19" hidden="1" x14ac:dyDescent="0.25">
      <c r="A138">
        <v>4</v>
      </c>
      <c r="B138" t="s">
        <v>89</v>
      </c>
      <c r="C138">
        <f>IFERROR(COUNTIFS($A$1:A138,"Câu "&amp;"*")-MID(A138,5,FIND(".",A138,1)-5),0)</f>
        <v>0</v>
      </c>
      <c r="D138" t="str">
        <f t="shared" si="10"/>
        <v/>
      </c>
      <c r="E138" t="str">
        <f>SUBSTITUTE(IF(LEFT(A138,3)="Câu",MID(A138,FIND(".",A138,1)+2,LEN(A138)),""),CHAR(34),CHAR(92)&amp;CHAR(34))</f>
        <v/>
      </c>
      <c r="G138" t="str">
        <f>SUBSTITUTE(B139,CHAR(34),CHAR(92)&amp;CHAR(34))</f>
        <v/>
      </c>
      <c r="H138" t="str">
        <f>SUBSTITUTE(B140,CHAR(34),CHAR(92)&amp;CHAR(34))</f>
        <v>Người tham gia giao thông đường bộ ở các hướng phải dừng lại.</v>
      </c>
      <c r="I138" t="str">
        <f>SUBSTITUTE(IF(LEFT(A141,3)="Câu","",B141),CHAR(34),CHAR(92)&amp;CHAR(34))</f>
        <v>Người tham gia giao thông đường bộ ở các hướng được đi theo chiều gậy chỉ của Cảnh sát giao thông.</v>
      </c>
      <c r="J138" t="str">
        <f>SUBSTITUTE(IF(OR(LEFT(A142,3)="Câu",I138=""),"",IF(B142=0,"",B142)),CHAR(34),CHAR(92)&amp;CHAR(34))</f>
        <v>Người tham gia giao thông đường bộ ở phía trước và phía sau người điều khiển được đi tất cả các hướng; người tham gia giao thông đường bộ ở phía bên phải và phía bên trái người điều khiển phải dừng lại.</v>
      </c>
      <c r="K138" t="str">
        <f>SUBSTITUTE(SUBSTITUTE(SUBSTITUTE(SUBSTITUTE(IFERROR(VLOOKUP("Câu "&amp;D138&amp;".",dapan!$E:$J,6,0),""),"1","A"),"2","B"),"3","C"),"4","D")</f>
        <v/>
      </c>
      <c r="P138" t="str">
        <f t="shared" si="12"/>
        <v/>
      </c>
      <c r="Q138" t="str">
        <f t="shared" si="13"/>
        <v/>
      </c>
      <c r="R138" t="str">
        <f t="shared" si="14"/>
        <v>Ž</v>
      </c>
      <c r="S138">
        <f t="shared" si="11"/>
        <v>142</v>
      </c>
    </row>
    <row r="139" spans="1:19" x14ac:dyDescent="0.25">
      <c r="A139" t="s">
        <v>117</v>
      </c>
      <c r="C139">
        <f>IFERROR(COUNTIFS($A$1:A139,"Câu "&amp;"*")-MID(A139,5,FIND(".",A139,1)-5),0)</f>
        <v>0</v>
      </c>
      <c r="D139">
        <f t="shared" si="10"/>
        <v>36</v>
      </c>
      <c r="E139" t="str">
        <f>SUBSTITUTE(IF(LEFT(A139,3)="Câu",MID(A139,FIND(".",A139,1)+2,LEN(A139)),""),CHAR(34),CHAR(92)&amp;CHAR(34))</f>
        <v>Khi gặp hiệu lệnh điều khiển của Cảnh sát giao thông như hình dưới đây thì người tham gia giao thông đường bộ phải đi như thế nào là đúng quy tắc giao thông?</v>
      </c>
      <c r="G139" t="str">
        <f>SUBSTITUTE(B140,CHAR(34),CHAR(92)&amp;CHAR(34))</f>
        <v>Người tham gia giao thông đường bộ ở các hướng phải dừng lại.</v>
      </c>
      <c r="H139" t="str">
        <f>SUBSTITUTE(B141,CHAR(34),CHAR(92)&amp;CHAR(34))</f>
        <v>Người tham gia giao thông đường bộ ở các hướng được đi theo chiều gậy chỉ của Cảnh sát giao thông.</v>
      </c>
      <c r="I139" t="str">
        <f>SUBSTITUTE(IF(LEFT(A142,3)="Câu","",B142),CHAR(34),CHAR(92)&amp;CHAR(34))</f>
        <v>Người tham gia giao thông đường bộ ở phía trước và phía sau người điều khiển được đi tất cả các hướng; người tham gia giao thông đường bộ ở phía bên phải và phía bên trái người điều khiển phải dừng lại.</v>
      </c>
      <c r="J139" t="str">
        <f>SUBSTITUTE(IF(OR(LEFT(A143,3)="Câu",I139=""),"",IF(B143=0,"",B143)),CHAR(34),CHAR(92)&amp;CHAR(34))</f>
        <v xml:space="preserve"> Người tham gia giao thông đường bộ ở phía trước và phía sau người điều khiển phải dừng lại; người tham gia giao thông đường bộ ở phía bên phải và phía bên trái người điều khiển được đi tất cả các hướng.</v>
      </c>
      <c r="K139" t="str">
        <f ca="1">SUBSTITUTE(SUBSTITUTE(SUBSTITUTE(SUBSTITUTE(IFERROR(VLOOKUP("Câu "&amp;D139&amp;".",dapan!$E:$J,6,0),""),"1","A"),"2","B"),"3","C"),"4","D")</f>
        <v>D</v>
      </c>
      <c r="P139">
        <f t="shared" si="12"/>
        <v>36</v>
      </c>
      <c r="Q139" t="str">
        <f t="shared" ca="1" si="13"/>
        <v>{"num":36,"id":36,"q":"Khi gặp hiệu lệnh điều khiển của Cảnh sát giao thông như hình dưới đây thì người tham gia giao thông đường bộ phải đi như thế nào là đúng quy tắc giao thông?","opts":{"A":"Người tham gia giao thông đường bộ ở các hướng phải dừng lại.","B":"Người tham gia giao thông đường bộ ở các hướng được đi theo chiều gậy chỉ của Cảnh sát giao thông.","C":"Người tham gia giao thông đường bộ ở phía trước và phía sau người điều khiển được đi tất cả các hướng; người tham gia giao thông đường bộ ở phía bên phải và phía bên trái người điều khiển phải dừng lại.","D":" Người tham gia giao thông đường bộ ở phía trước và phía sau người điều khiển phải dừng lại; người tham gia giao thông đường bộ ở phía bên phải và phía bên trái người điều khiển được đi tất cả các hướng."},"answer":"D"},</v>
      </c>
      <c r="R139" t="str">
        <f t="shared" si="14"/>
        <v></v>
      </c>
      <c r="S139">
        <f t="shared" si="11"/>
        <v>143</v>
      </c>
    </row>
    <row r="140" spans="1:19" hidden="1" x14ac:dyDescent="0.25">
      <c r="A140">
        <v>1</v>
      </c>
      <c r="B140" t="s">
        <v>118</v>
      </c>
      <c r="C140">
        <f>IFERROR(COUNTIFS($A$1:A140,"Câu "&amp;"*")-MID(A140,5,FIND(".",A140,1)-5),0)</f>
        <v>0</v>
      </c>
      <c r="D140" t="str">
        <f t="shared" si="10"/>
        <v/>
      </c>
      <c r="E140" t="str">
        <f>SUBSTITUTE(IF(LEFT(A140,3)="Câu",MID(A140,FIND(".",A140,1)+2,LEN(A140)),""),CHAR(34),CHAR(92)&amp;CHAR(34))</f>
        <v/>
      </c>
      <c r="G140" t="str">
        <f>SUBSTITUTE(B141,CHAR(34),CHAR(92)&amp;CHAR(34))</f>
        <v>Người tham gia giao thông đường bộ ở các hướng được đi theo chiều gậy chỉ của Cảnh sát giao thông.</v>
      </c>
      <c r="H140" t="str">
        <f>SUBSTITUTE(B142,CHAR(34),CHAR(92)&amp;CHAR(34))</f>
        <v>Người tham gia giao thông đường bộ ở phía trước và phía sau người điều khiển được đi tất cả các hướng; người tham gia giao thông đường bộ ở phía bên phải và phía bên trái người điều khiển phải dừng lại.</v>
      </c>
      <c r="I140" t="str">
        <f>SUBSTITUTE(IF(LEFT(A143,3)="Câu","",B143),CHAR(34),CHAR(92)&amp;CHAR(34))</f>
        <v xml:space="preserve"> Người tham gia giao thông đường bộ ở phía trước và phía sau người điều khiển phải dừng lại; người tham gia giao thông đường bộ ở phía bên phải và phía bên trái người điều khiển được đi tất cả các hướng.</v>
      </c>
      <c r="J140" t="str">
        <f>SUBSTITUTE(IF(OR(LEFT(A144,3)="Câu",I140=""),"",IF(B144=0,"",B144)),CHAR(34),CHAR(92)&amp;CHAR(34))</f>
        <v/>
      </c>
      <c r="K140" t="str">
        <f>SUBSTITUTE(SUBSTITUTE(SUBSTITUTE(SUBSTITUTE(IFERROR(VLOOKUP("Câu "&amp;D140&amp;".",dapan!$E:$J,6,0),""),"1","A"),"2","B"),"3","C"),"4","D")</f>
        <v/>
      </c>
      <c r="P140" t="str">
        <f t="shared" si="12"/>
        <v/>
      </c>
      <c r="Q140" t="str">
        <f t="shared" si="13"/>
        <v/>
      </c>
      <c r="R140" t="str">
        <f t="shared" si="14"/>
        <v></v>
      </c>
      <c r="S140">
        <f t="shared" si="11"/>
        <v>144</v>
      </c>
    </row>
    <row r="141" spans="1:19" hidden="1" x14ac:dyDescent="0.25">
      <c r="A141">
        <v>2</v>
      </c>
      <c r="B141" t="s">
        <v>119</v>
      </c>
      <c r="C141">
        <f>IFERROR(COUNTIFS($A$1:A141,"Câu "&amp;"*")-MID(A141,5,FIND(".",A141,1)-5),0)</f>
        <v>0</v>
      </c>
      <c r="D141" t="str">
        <f t="shared" si="10"/>
        <v/>
      </c>
      <c r="E141" t="str">
        <f>SUBSTITUTE(IF(LEFT(A141,3)="Câu",MID(A141,FIND(".",A141,1)+2,LEN(A141)),""),CHAR(34),CHAR(92)&amp;CHAR(34))</f>
        <v/>
      </c>
      <c r="G141" t="str">
        <f>SUBSTITUTE(B142,CHAR(34),CHAR(92)&amp;CHAR(34))</f>
        <v>Người tham gia giao thông đường bộ ở phía trước và phía sau người điều khiển được đi tất cả các hướng; người tham gia giao thông đường bộ ở phía bên phải và phía bên trái người điều khiển phải dừng lại.</v>
      </c>
      <c r="H141" t="str">
        <f>SUBSTITUTE(B143,CHAR(34),CHAR(92)&amp;CHAR(34))</f>
        <v xml:space="preserve"> Người tham gia giao thông đường bộ ở phía trước và phía sau người điều khiển phải dừng lại; người tham gia giao thông đường bộ ở phía bên phải và phía bên trái người điều khiển được đi tất cả các hướng.</v>
      </c>
      <c r="I141" t="str">
        <f>SUBSTITUTE(IF(LEFT(A144,3)="Câu","",B144),CHAR(34),CHAR(92)&amp;CHAR(34))</f>
        <v/>
      </c>
      <c r="J141" t="str">
        <f>SUBSTITUTE(IF(OR(LEFT(A145,3)="Câu",I141=""),"",IF(B145=0,"",B145)),CHAR(34),CHAR(92)&amp;CHAR(34))</f>
        <v/>
      </c>
      <c r="K141" t="str">
        <f>SUBSTITUTE(SUBSTITUTE(SUBSTITUTE(SUBSTITUTE(IFERROR(VLOOKUP("Câu "&amp;D141&amp;".",dapan!$E:$J,6,0),""),"1","A"),"2","B"),"3","C"),"4","D")</f>
        <v/>
      </c>
      <c r="P141" t="str">
        <f t="shared" si="12"/>
        <v/>
      </c>
      <c r="Q141" t="str">
        <f t="shared" si="13"/>
        <v/>
      </c>
      <c r="R141" t="str">
        <f t="shared" si="14"/>
        <v>‘</v>
      </c>
      <c r="S141">
        <f t="shared" si="11"/>
        <v>145</v>
      </c>
    </row>
    <row r="142" spans="1:19" hidden="1" x14ac:dyDescent="0.25">
      <c r="A142">
        <v>3</v>
      </c>
      <c r="B142" t="s">
        <v>120</v>
      </c>
      <c r="C142">
        <f>IFERROR(COUNTIFS($A$1:A142,"Câu "&amp;"*")-MID(A142,5,FIND(".",A142,1)-5),0)</f>
        <v>0</v>
      </c>
      <c r="D142" t="str">
        <f t="shared" si="10"/>
        <v/>
      </c>
      <c r="E142" t="str">
        <f>SUBSTITUTE(IF(LEFT(A142,3)="Câu",MID(A142,FIND(".",A142,1)+2,LEN(A142)),""),CHAR(34),CHAR(92)&amp;CHAR(34))</f>
        <v/>
      </c>
      <c r="G142" t="str">
        <f>SUBSTITUTE(B143,CHAR(34),CHAR(92)&amp;CHAR(34))</f>
        <v xml:space="preserve"> Người tham gia giao thông đường bộ ở phía trước và phía sau người điều khiển phải dừng lại; người tham gia giao thông đường bộ ở phía bên phải và phía bên trái người điều khiển được đi tất cả các hướng.</v>
      </c>
      <c r="H142" t="str">
        <f>SUBSTITUTE(B144,CHAR(34),CHAR(92)&amp;CHAR(34))</f>
        <v/>
      </c>
      <c r="I142" t="str">
        <f>SUBSTITUTE(IF(LEFT(A145,3)="Câu","",B145),CHAR(34),CHAR(92)&amp;CHAR(34))</f>
        <v>Người tham gia giao thông đường bộ ở phía sau Cảnh sát giao thông được đi, các hướng khác phải dừng lại.</v>
      </c>
      <c r="J142" t="str">
        <f>SUBSTITUTE(IF(OR(LEFT(A146,3)="Câu",I142=""),"",IF(B146=0,"",B146)),CHAR(34),CHAR(92)&amp;CHAR(34))</f>
        <v>Người tham gia giao thông đường bộ được rẽ phải theo chiều mũi tên màu xanh ở bục Cảnh sát giao thông.</v>
      </c>
      <c r="K142" t="str">
        <f>SUBSTITUTE(SUBSTITUTE(SUBSTITUTE(SUBSTITUTE(IFERROR(VLOOKUP("Câu "&amp;D142&amp;".",dapan!$E:$J,6,0),""),"1","A"),"2","B"),"3","C"),"4","D")</f>
        <v/>
      </c>
      <c r="P142" t="str">
        <f t="shared" si="12"/>
        <v/>
      </c>
      <c r="Q142" t="str">
        <f t="shared" si="13"/>
        <v/>
      </c>
      <c r="R142" t="str">
        <f t="shared" si="14"/>
        <v>’</v>
      </c>
      <c r="S142">
        <f t="shared" si="11"/>
        <v>146</v>
      </c>
    </row>
    <row r="143" spans="1:19" hidden="1" x14ac:dyDescent="0.25">
      <c r="A143">
        <v>4</v>
      </c>
      <c r="B143" t="s">
        <v>121</v>
      </c>
      <c r="C143">
        <f>IFERROR(COUNTIFS($A$1:A143,"Câu "&amp;"*")-MID(A143,5,FIND(".",A143,1)-5),0)</f>
        <v>0</v>
      </c>
      <c r="D143" t="str">
        <f t="shared" si="10"/>
        <v/>
      </c>
      <c r="E143" t="str">
        <f>SUBSTITUTE(IF(LEFT(A143,3)="Câu",MID(A143,FIND(".",A143,1)+2,LEN(A143)),""),CHAR(34),CHAR(92)&amp;CHAR(34))</f>
        <v/>
      </c>
      <c r="G143" t="str">
        <f>SUBSTITUTE(B144,CHAR(34),CHAR(92)&amp;CHAR(34))</f>
        <v/>
      </c>
      <c r="H143" t="str">
        <f>SUBSTITUTE(B145,CHAR(34),CHAR(92)&amp;CHAR(34))</f>
        <v>Người tham gia giao thông đường bộ ở phía sau Cảnh sát giao thông được đi, các hướng khác phải dừng lại.</v>
      </c>
      <c r="I143" t="str">
        <f>SUBSTITUTE(IF(LEFT(A146,3)="Câu","",B146),CHAR(34),CHAR(92)&amp;CHAR(34))</f>
        <v>Người tham gia giao thông đường bộ được rẽ phải theo chiều mũi tên màu xanh ở bục Cảnh sát giao thông.</v>
      </c>
      <c r="J143" t="str">
        <f>SUBSTITUTE(IF(OR(LEFT(A147,3)="Câu",I143=""),"",IF(B147=0,"",B147)),CHAR(34),CHAR(92)&amp;CHAR(34))</f>
        <v xml:space="preserve"> Người tham gia giao thông đường bộ ở tất cả các hướng phải dừng lại, trừ các xe đã ở trong khu vực giao nhau.</v>
      </c>
      <c r="K143" t="str">
        <f>SUBSTITUTE(SUBSTITUTE(SUBSTITUTE(SUBSTITUTE(IFERROR(VLOOKUP("Câu "&amp;D143&amp;".",dapan!$E:$J,6,0),""),"1","A"),"2","B"),"3","C"),"4","D")</f>
        <v/>
      </c>
      <c r="P143" t="str">
        <f t="shared" si="12"/>
        <v/>
      </c>
      <c r="Q143" t="str">
        <f t="shared" si="13"/>
        <v/>
      </c>
      <c r="R143" t="str">
        <f t="shared" si="14"/>
        <v>“</v>
      </c>
      <c r="S143">
        <f t="shared" si="11"/>
        <v>147</v>
      </c>
    </row>
    <row r="144" spans="1:19" x14ac:dyDescent="0.25">
      <c r="A144" t="s">
        <v>122</v>
      </c>
      <c r="C144">
        <f>IFERROR(COUNTIFS($A$1:A144,"Câu "&amp;"*")-MID(A144,5,FIND(".",A144,1)-5),0)</f>
        <v>0</v>
      </c>
      <c r="D144">
        <f t="shared" si="10"/>
        <v>37</v>
      </c>
      <c r="E144" t="str">
        <f>SUBSTITUTE(IF(LEFT(A144,3)="Câu",MID(A144,FIND(".",A144,1)+2,LEN(A144)),""),CHAR(34),CHAR(92)&amp;CHAR(34))</f>
        <v>Khi gặp hiệu lệnh điều khiển của Cảnh sát giao thông như hình dưới đây thì người tham gia giao thông đường bộ phải đi như thế nào là đúng quy tắc giao thông?</v>
      </c>
      <c r="G144" t="str">
        <f>SUBSTITUTE(B145,CHAR(34),CHAR(92)&amp;CHAR(34))</f>
        <v>Người tham gia giao thông đường bộ ở phía sau Cảnh sát giao thông được đi, các hướng khác phải dừng lại.</v>
      </c>
      <c r="H144" t="str">
        <f>SUBSTITUTE(B146,CHAR(34),CHAR(92)&amp;CHAR(34))</f>
        <v>Người tham gia giao thông đường bộ được rẽ phải theo chiều mũi tên màu xanh ở bục Cảnh sát giao thông.</v>
      </c>
      <c r="I144" t="str">
        <f>SUBSTITUTE(IF(LEFT(A147,3)="Câu","",B147),CHAR(34),CHAR(92)&amp;CHAR(34))</f>
        <v xml:space="preserve"> Người tham gia giao thông đường bộ ở tất cả các hướng phải dừng lại, trừ các xe đã ở trong khu vực giao nhau.</v>
      </c>
      <c r="J144" t="str">
        <f>SUBSTITUTE(IF(OR(LEFT(A148,3)="Câu",I144=""),"",IF(B148=0,"",B148)),CHAR(34),CHAR(92)&amp;CHAR(34))</f>
        <v>Người tham gia giao thông đường bộ ở phía trước Cảnh sát giao thông phải dừng lại, các hướng khác được đi.</v>
      </c>
      <c r="K144" t="str">
        <f ca="1">SUBSTITUTE(SUBSTITUTE(SUBSTITUTE(SUBSTITUTE(IFERROR(VLOOKUP("Câu "&amp;D144&amp;".",dapan!$E:$J,6,0),""),"1","A"),"2","B"),"3","C"),"4","D")</f>
        <v>C</v>
      </c>
      <c r="P144">
        <f t="shared" si="12"/>
        <v>37</v>
      </c>
      <c r="Q144" t="str">
        <f t="shared" ca="1" si="13"/>
        <v>{"num":37,"id":37,"q":"Khi gặp hiệu lệnh điều khiển của Cảnh sát giao thông như hình dưới đây thì người tham gia giao thông đường bộ phải đi như thế nào là đúng quy tắc giao thông?","opts":{"A":"Người tham gia giao thông đường bộ ở phía sau Cảnh sát giao thông được đi, các hướng khác phải dừng lại.","B":"Người tham gia giao thông đường bộ được rẽ phải theo chiều mũi tên màu xanh ở bục Cảnh sát giao thông.","C":" Người tham gia giao thông đường bộ ở tất cả các hướng phải dừng lại, trừ các xe đã ở trong khu vực giao nhau.","D":"Người tham gia giao thông đường bộ ở phía trước Cảnh sát giao thông phải dừng lại, các hướng khác được đi."},"answer":"C"},</v>
      </c>
      <c r="R144" t="str">
        <f t="shared" si="14"/>
        <v>”</v>
      </c>
      <c r="S144">
        <f t="shared" si="11"/>
        <v>148</v>
      </c>
    </row>
    <row r="145" spans="1:19" hidden="1" x14ac:dyDescent="0.25">
      <c r="A145">
        <v>1</v>
      </c>
      <c r="B145" t="s">
        <v>123</v>
      </c>
      <c r="C145">
        <f>IFERROR(COUNTIFS($A$1:A145,"Câu "&amp;"*")-MID(A145,5,FIND(".",A145,1)-5),0)</f>
        <v>0</v>
      </c>
      <c r="D145" t="str">
        <f t="shared" si="10"/>
        <v/>
      </c>
      <c r="E145" t="str">
        <f>SUBSTITUTE(IF(LEFT(A145,3)="Câu",MID(A145,FIND(".",A145,1)+2,LEN(A145)),""),CHAR(34),CHAR(92)&amp;CHAR(34))</f>
        <v/>
      </c>
      <c r="G145" t="str">
        <f>SUBSTITUTE(B146,CHAR(34),CHAR(92)&amp;CHAR(34))</f>
        <v>Người tham gia giao thông đường bộ được rẽ phải theo chiều mũi tên màu xanh ở bục Cảnh sát giao thông.</v>
      </c>
      <c r="H145" t="str">
        <f>SUBSTITUTE(B147,CHAR(34),CHAR(92)&amp;CHAR(34))</f>
        <v xml:space="preserve"> Người tham gia giao thông đường bộ ở tất cả các hướng phải dừng lại, trừ các xe đã ở trong khu vực giao nhau.</v>
      </c>
      <c r="I145" t="str">
        <f>SUBSTITUTE(IF(LEFT(A148,3)="Câu","",B148),CHAR(34),CHAR(92)&amp;CHAR(34))</f>
        <v>Người tham gia giao thông đường bộ ở phía trước Cảnh sát giao thông phải dừng lại, các hướng khác được đi.</v>
      </c>
      <c r="J145" t="str">
        <f>SUBSTITUTE(IF(OR(LEFT(A149,3)="Câu",I145=""),"",IF(B149=0,"",B149)),CHAR(34),CHAR(92)&amp;CHAR(34))</f>
        <v/>
      </c>
      <c r="K145" t="str">
        <f>SUBSTITUTE(SUBSTITUTE(SUBSTITUTE(SUBSTITUTE(IFERROR(VLOOKUP("Câu "&amp;D145&amp;".",dapan!$E:$J,6,0),""),"1","A"),"2","B"),"3","C"),"4","D")</f>
        <v/>
      </c>
      <c r="P145" t="str">
        <f t="shared" si="12"/>
        <v/>
      </c>
      <c r="Q145" t="str">
        <f t="shared" si="13"/>
        <v/>
      </c>
      <c r="R145" t="str">
        <f t="shared" si="14"/>
        <v>•</v>
      </c>
      <c r="S145">
        <f t="shared" si="11"/>
        <v>149</v>
      </c>
    </row>
    <row r="146" spans="1:19" hidden="1" x14ac:dyDescent="0.25">
      <c r="A146">
        <v>2</v>
      </c>
      <c r="B146" t="s">
        <v>124</v>
      </c>
      <c r="C146">
        <f>IFERROR(COUNTIFS($A$1:A146,"Câu "&amp;"*")-MID(A146,5,FIND(".",A146,1)-5),0)</f>
        <v>0</v>
      </c>
      <c r="D146" t="str">
        <f t="shared" si="10"/>
        <v/>
      </c>
      <c r="E146" t="str">
        <f>SUBSTITUTE(IF(LEFT(A146,3)="Câu",MID(A146,FIND(".",A146,1)+2,LEN(A146)),""),CHAR(34),CHAR(92)&amp;CHAR(34))</f>
        <v/>
      </c>
      <c r="G146" t="str">
        <f>SUBSTITUTE(B147,CHAR(34),CHAR(92)&amp;CHAR(34))</f>
        <v xml:space="preserve"> Người tham gia giao thông đường bộ ở tất cả các hướng phải dừng lại, trừ các xe đã ở trong khu vực giao nhau.</v>
      </c>
      <c r="H146" t="str">
        <f>SUBSTITUTE(B148,CHAR(34),CHAR(92)&amp;CHAR(34))</f>
        <v>Người tham gia giao thông đường bộ ở phía trước Cảnh sát giao thông phải dừng lại, các hướng khác được đi.</v>
      </c>
      <c r="I146" t="str">
        <f>SUBSTITUTE(IF(LEFT(A149,3)="Câu","",B149),CHAR(34),CHAR(92)&amp;CHAR(34))</f>
        <v/>
      </c>
      <c r="J146" t="str">
        <f>SUBSTITUTE(IF(OR(LEFT(A150,3)="Câu",I146=""),"",IF(B150=0,"",B150)),CHAR(34),CHAR(92)&amp;CHAR(34))</f>
        <v/>
      </c>
      <c r="K146" t="str">
        <f>SUBSTITUTE(SUBSTITUTE(SUBSTITUTE(SUBSTITUTE(IFERROR(VLOOKUP("Câu "&amp;D146&amp;".",dapan!$E:$J,6,0),""),"1","A"),"2","B"),"3","C"),"4","D")</f>
        <v/>
      </c>
      <c r="P146" t="str">
        <f t="shared" si="12"/>
        <v/>
      </c>
      <c r="Q146" t="str">
        <f t="shared" si="13"/>
        <v/>
      </c>
      <c r="R146" t="str">
        <f t="shared" si="14"/>
        <v>–</v>
      </c>
      <c r="S146">
        <f t="shared" si="11"/>
        <v>150</v>
      </c>
    </row>
    <row r="147" spans="1:19" hidden="1" x14ac:dyDescent="0.25">
      <c r="A147">
        <v>3</v>
      </c>
      <c r="B147" t="s">
        <v>125</v>
      </c>
      <c r="C147">
        <f>IFERROR(COUNTIFS($A$1:A147,"Câu "&amp;"*")-MID(A147,5,FIND(".",A147,1)-5),0)</f>
        <v>0</v>
      </c>
      <c r="D147" t="str">
        <f t="shared" si="10"/>
        <v/>
      </c>
      <c r="E147" t="str">
        <f>SUBSTITUTE(IF(LEFT(A147,3)="Câu",MID(A147,FIND(".",A147,1)+2,LEN(A147)),""),CHAR(34),CHAR(92)&amp;CHAR(34))</f>
        <v/>
      </c>
      <c r="G147" t="str">
        <f>SUBSTITUTE(B148,CHAR(34),CHAR(92)&amp;CHAR(34))</f>
        <v>Người tham gia giao thông đường bộ ở phía trước Cảnh sát giao thông phải dừng lại, các hướng khác được đi.</v>
      </c>
      <c r="H147" t="str">
        <f>SUBSTITUTE(B149,CHAR(34),CHAR(92)&amp;CHAR(34))</f>
        <v/>
      </c>
      <c r="I147" t="str">
        <f>SUBSTITUTE(IF(LEFT(A150,3)="Câu","",B150),CHAR(34),CHAR(92)&amp;CHAR(34))</f>
        <v xml:space="preserve"> Theo hiệu lệnh của người điều khiển giao thông.</v>
      </c>
      <c r="J147" t="str">
        <f>SUBSTITUTE(IF(OR(LEFT(A151,3)="Câu",I147=""),"",IF(B151=0,"",B151)),CHAR(34),CHAR(92)&amp;CHAR(34))</f>
        <v>Theo tín hiệu đèn giao thông.</v>
      </c>
      <c r="K147" t="str">
        <f>SUBSTITUTE(SUBSTITUTE(SUBSTITUTE(SUBSTITUTE(IFERROR(VLOOKUP("Câu "&amp;D147&amp;".",dapan!$E:$J,6,0),""),"1","A"),"2","B"),"3","C"),"4","D")</f>
        <v/>
      </c>
      <c r="P147" t="str">
        <f t="shared" si="12"/>
        <v/>
      </c>
      <c r="Q147" t="str">
        <f t="shared" si="13"/>
        <v/>
      </c>
      <c r="R147" t="str">
        <f t="shared" si="14"/>
        <v>—</v>
      </c>
      <c r="S147">
        <f t="shared" si="11"/>
        <v>151</v>
      </c>
    </row>
    <row r="148" spans="1:19" hidden="1" x14ac:dyDescent="0.25">
      <c r="A148">
        <v>4</v>
      </c>
      <c r="B148" t="s">
        <v>126</v>
      </c>
      <c r="C148">
        <f>IFERROR(COUNTIFS($A$1:A148,"Câu "&amp;"*")-MID(A148,5,FIND(".",A148,1)-5),0)</f>
        <v>0</v>
      </c>
      <c r="D148" t="str">
        <f t="shared" si="10"/>
        <v/>
      </c>
      <c r="E148" t="str">
        <f>SUBSTITUTE(IF(LEFT(A148,3)="Câu",MID(A148,FIND(".",A148,1)+2,LEN(A148)),""),CHAR(34),CHAR(92)&amp;CHAR(34))</f>
        <v/>
      </c>
      <c r="G148" t="str">
        <f>SUBSTITUTE(B149,CHAR(34),CHAR(92)&amp;CHAR(34))</f>
        <v/>
      </c>
      <c r="H148" t="str">
        <f>SUBSTITUTE(B150,CHAR(34),CHAR(92)&amp;CHAR(34))</f>
        <v xml:space="preserve"> Theo hiệu lệnh của người điều khiển giao thông.</v>
      </c>
      <c r="I148" t="str">
        <f>SUBSTITUTE(IF(LEFT(A151,3)="Câu","",B151),CHAR(34),CHAR(92)&amp;CHAR(34))</f>
        <v>Theo tín hiệu đèn giao thông.</v>
      </c>
      <c r="J148" t="str">
        <f>SUBSTITUTE(IF(OR(LEFT(A152,3)="Câu",I148=""),"",IF(B152=0,"",B152)),CHAR(34),CHAR(92)&amp;CHAR(34))</f>
        <v>Theo biển báo hiệu đường bộ.</v>
      </c>
      <c r="K148" t="str">
        <f>SUBSTITUTE(SUBSTITUTE(SUBSTITUTE(SUBSTITUTE(IFERROR(VLOOKUP("Câu "&amp;D148&amp;".",dapan!$E:$J,6,0),""),"1","A"),"2","B"),"3","C"),"4","D")</f>
        <v/>
      </c>
      <c r="P148" t="str">
        <f t="shared" si="12"/>
        <v/>
      </c>
      <c r="Q148" t="str">
        <f t="shared" si="13"/>
        <v/>
      </c>
      <c r="R148" t="str">
        <f t="shared" si="14"/>
        <v>˜</v>
      </c>
      <c r="S148">
        <f t="shared" si="11"/>
        <v>152</v>
      </c>
    </row>
    <row r="149" spans="1:19" x14ac:dyDescent="0.25">
      <c r="A149" t="s">
        <v>127</v>
      </c>
      <c r="C149">
        <f>IFERROR(COUNTIFS($A$1:A149,"Câu "&amp;"*")-MID(A149,5,FIND(".",A149,1)-5),0)</f>
        <v>0</v>
      </c>
      <c r="D149">
        <f t="shared" si="10"/>
        <v>38</v>
      </c>
      <c r="E149" t="str">
        <f>SUBSTITUTE(IF(LEFT(A149,3)="Câu",MID(A149,FIND(".",A149,1)+2,LEN(A149)),""),CHAR(34),CHAR(92)&amp;CHAR(34))</f>
        <v>Khi hiệu lệnh của người điều khiển giao thông trái với tín hiệu đèn giao thông hoặc biển báo hiệu đường bộ thì người tham gia giao thông đường bộ phải chấp hành báo hiệu đường bộ nào dưới đây?</v>
      </c>
      <c r="G149" t="str">
        <f>SUBSTITUTE(B150,CHAR(34),CHAR(92)&amp;CHAR(34))</f>
        <v xml:space="preserve"> Theo hiệu lệnh của người điều khiển giao thông.</v>
      </c>
      <c r="H149" t="str">
        <f>SUBSTITUTE(B151,CHAR(34),CHAR(92)&amp;CHAR(34))</f>
        <v>Theo tín hiệu đèn giao thông.</v>
      </c>
      <c r="I149" t="str">
        <f>SUBSTITUTE(IF(LEFT(A152,3)="Câu","",B152),CHAR(34),CHAR(92)&amp;CHAR(34))</f>
        <v>Theo biển báo hiệu đường bộ.</v>
      </c>
      <c r="J149" t="str">
        <f>SUBSTITUTE(IF(OR(LEFT(A153,3)="Câu",I149=""),"",IF(B153=0,"",B153)),CHAR(34),CHAR(92)&amp;CHAR(34))</f>
        <v/>
      </c>
      <c r="K149" t="str">
        <f ca="1">SUBSTITUTE(SUBSTITUTE(SUBSTITUTE(SUBSTITUTE(IFERROR(VLOOKUP("Câu "&amp;D149&amp;".",dapan!$E:$J,6,0),""),"1","A"),"2","B"),"3","C"),"4","D")</f>
        <v>A</v>
      </c>
      <c r="P149">
        <f t="shared" si="12"/>
        <v>38</v>
      </c>
      <c r="Q149" t="str">
        <f t="shared" ca="1" si="13"/>
        <v>{"num":38,"id":38,"q":"Khi hiệu lệnh của người điều khiển giao thông trái với tín hiệu đèn giao thông hoặc biển báo hiệu đường bộ thì người tham gia giao thông đường bộ phải chấp hành báo hiệu đường bộ nào dưới đây?","opts":{"A":" Theo hiệu lệnh của người điều khiển giao thông.","B":"Theo tín hiệu đèn giao thông.","C":"Theo biển báo hiệu đường bộ."},"answer":"A"},</v>
      </c>
      <c r="R149" t="str">
        <f t="shared" si="14"/>
        <v>™</v>
      </c>
      <c r="S149">
        <f t="shared" si="11"/>
        <v>153</v>
      </c>
    </row>
    <row r="150" spans="1:19" hidden="1" x14ac:dyDescent="0.25">
      <c r="A150">
        <v>1</v>
      </c>
      <c r="B150" t="s">
        <v>128</v>
      </c>
      <c r="C150">
        <f>IFERROR(COUNTIFS($A$1:A150,"Câu "&amp;"*")-MID(A150,5,FIND(".",A150,1)-5),0)</f>
        <v>0</v>
      </c>
      <c r="D150" t="str">
        <f t="shared" si="10"/>
        <v/>
      </c>
      <c r="E150" t="str">
        <f>SUBSTITUTE(IF(LEFT(A150,3)="Câu",MID(A150,FIND(".",A150,1)+2,LEN(A150)),""),CHAR(34),CHAR(92)&amp;CHAR(34))</f>
        <v/>
      </c>
      <c r="G150" t="str">
        <f>SUBSTITUTE(B151,CHAR(34),CHAR(92)&amp;CHAR(34))</f>
        <v>Theo tín hiệu đèn giao thông.</v>
      </c>
      <c r="H150" t="str">
        <f>SUBSTITUTE(B152,CHAR(34),CHAR(92)&amp;CHAR(34))</f>
        <v>Theo biển báo hiệu đường bộ.</v>
      </c>
      <c r="I150" t="str">
        <f>SUBSTITUTE(IF(LEFT(A153,3)="Câu","",B153),CHAR(34),CHAR(92)&amp;CHAR(34))</f>
        <v/>
      </c>
      <c r="J150" t="str">
        <f>SUBSTITUTE(IF(OR(LEFT(A154,3)="Câu",I150=""),"",IF(B154=0,"",B154)),CHAR(34),CHAR(92)&amp;CHAR(34))</f>
        <v/>
      </c>
      <c r="K150" t="str">
        <f>SUBSTITUTE(SUBSTITUTE(SUBSTITUTE(SUBSTITUTE(IFERROR(VLOOKUP("Câu "&amp;D150&amp;".",dapan!$E:$J,6,0),""),"1","A"),"2","B"),"3","C"),"4","D")</f>
        <v/>
      </c>
      <c r="P150" t="str">
        <f t="shared" si="12"/>
        <v/>
      </c>
      <c r="Q150" t="str">
        <f t="shared" si="13"/>
        <v/>
      </c>
      <c r="R150" t="str">
        <f t="shared" si="14"/>
        <v>š</v>
      </c>
      <c r="S150">
        <f t="shared" si="11"/>
        <v>154</v>
      </c>
    </row>
    <row r="151" spans="1:19" hidden="1" x14ac:dyDescent="0.25">
      <c r="A151">
        <v>2</v>
      </c>
      <c r="B151" t="s">
        <v>129</v>
      </c>
      <c r="C151">
        <f>IFERROR(COUNTIFS($A$1:A151,"Câu "&amp;"*")-MID(A151,5,FIND(".",A151,1)-5),0)</f>
        <v>0</v>
      </c>
      <c r="D151" t="str">
        <f t="shared" si="10"/>
        <v/>
      </c>
      <c r="E151" t="str">
        <f>SUBSTITUTE(IF(LEFT(A151,3)="Câu",MID(A151,FIND(".",A151,1)+2,LEN(A151)),""),CHAR(34),CHAR(92)&amp;CHAR(34))</f>
        <v/>
      </c>
      <c r="G151" t="str">
        <f>SUBSTITUTE(B152,CHAR(34),CHAR(92)&amp;CHAR(34))</f>
        <v>Theo biển báo hiệu đường bộ.</v>
      </c>
      <c r="H151" t="str">
        <f>SUBSTITUTE(B153,CHAR(34),CHAR(92)&amp;CHAR(34))</f>
        <v/>
      </c>
      <c r="I151" t="str">
        <f>SUBSTITUTE(IF(LEFT(A154,3)="Câu","",B154),CHAR(34),CHAR(92)&amp;CHAR(34))</f>
        <v>Biển báo hiệu đặt cố định.</v>
      </c>
      <c r="J151" t="str">
        <f>SUBSTITUTE(IF(OR(LEFT(A155,3)="Câu",I151=""),"",IF(B155=0,"",B155)),CHAR(34),CHAR(92)&amp;CHAR(34))</f>
        <v xml:space="preserve"> Biển báo hiệu tạm thời.</v>
      </c>
      <c r="K151" t="str">
        <f>SUBSTITUTE(SUBSTITUTE(SUBSTITUTE(SUBSTITUTE(IFERROR(VLOOKUP("Câu "&amp;D151&amp;".",dapan!$E:$J,6,0),""),"1","A"),"2","B"),"3","C"),"4","D")</f>
        <v/>
      </c>
      <c r="P151" t="str">
        <f t="shared" si="12"/>
        <v/>
      </c>
      <c r="Q151" t="str">
        <f t="shared" si="13"/>
        <v/>
      </c>
      <c r="R151" t="str">
        <f t="shared" si="14"/>
        <v>›</v>
      </c>
      <c r="S151">
        <f t="shared" si="11"/>
        <v>155</v>
      </c>
    </row>
    <row r="152" spans="1:19" hidden="1" x14ac:dyDescent="0.25">
      <c r="A152">
        <v>3</v>
      </c>
      <c r="B152" t="s">
        <v>130</v>
      </c>
      <c r="C152">
        <f>IFERROR(COUNTIFS($A$1:A152,"Câu "&amp;"*")-MID(A152,5,FIND(".",A152,1)-5),0)</f>
        <v>0</v>
      </c>
      <c r="D152" t="str">
        <f t="shared" si="10"/>
        <v/>
      </c>
      <c r="E152" t="str">
        <f>SUBSTITUTE(IF(LEFT(A152,3)="Câu",MID(A152,FIND(".",A152,1)+2,LEN(A152)),""),CHAR(34),CHAR(92)&amp;CHAR(34))</f>
        <v/>
      </c>
      <c r="G152" t="str">
        <f>SUBSTITUTE(B153,CHAR(34),CHAR(92)&amp;CHAR(34))</f>
        <v/>
      </c>
      <c r="H152" t="str">
        <f>SUBSTITUTE(B154,CHAR(34),CHAR(92)&amp;CHAR(34))</f>
        <v>Biển báo hiệu đặt cố định.</v>
      </c>
      <c r="I152" t="str">
        <f>SUBSTITUTE(IF(LEFT(A155,3)="Câu","",B155),CHAR(34),CHAR(92)&amp;CHAR(34))</f>
        <v xml:space="preserve"> Biển báo hiệu tạm thời.</v>
      </c>
      <c r="J152" t="str">
        <f>SUBSTITUTE(IF(OR(LEFT(A156,3)="Câu",I152=""),"",IF(B156=0,"",B156)),CHAR(34),CHAR(92)&amp;CHAR(34))</f>
        <v>Theo quyết định của người tham gia giao thông nhưng phải bảo đảm an toàn.</v>
      </c>
      <c r="K152" t="str">
        <f>SUBSTITUTE(SUBSTITUTE(SUBSTITUTE(SUBSTITUTE(IFERROR(VLOOKUP("Câu "&amp;D152&amp;".",dapan!$E:$J,6,0),""),"1","A"),"2","B"),"3","C"),"4","D")</f>
        <v/>
      </c>
      <c r="P152" t="str">
        <f t="shared" si="12"/>
        <v/>
      </c>
      <c r="Q152" t="str">
        <f t="shared" si="13"/>
        <v/>
      </c>
      <c r="R152" t="str">
        <f t="shared" si="14"/>
        <v>œ</v>
      </c>
      <c r="S152">
        <f t="shared" si="11"/>
        <v>156</v>
      </c>
    </row>
    <row r="153" spans="1:19" x14ac:dyDescent="0.25">
      <c r="A153" t="s">
        <v>131</v>
      </c>
      <c r="C153">
        <f>IFERROR(COUNTIFS($A$1:A153,"Câu "&amp;"*")-MID(A153,5,FIND(".",A153,1)-5),0)</f>
        <v>0</v>
      </c>
      <c r="D153">
        <f t="shared" ref="D153:D216" si="15">IF(LEFT(A153,3)="Câu",VALUE(MID(A153,5,FIND(".",A153,1)-5)),"")</f>
        <v>39</v>
      </c>
      <c r="E153" t="str">
        <f>SUBSTITUTE(IF(LEFT(A153,3)="Câu",MID(A153,FIND(".",A153,1)+2,LEN(A153)),""),CHAR(34),CHAR(92)&amp;CHAR(34))</f>
        <v>Khi ở một vị trí vừa có biển báo hiệu đặt cố định vừa có biển báo hiệu tạm thời mà hai biển có ý nghĩa khác nhau, người tham gia giao thông đường bộ phải chấp hành hiệu lệnh của biển báo hiệu nào?</v>
      </c>
      <c r="G153" t="str">
        <f>SUBSTITUTE(B154,CHAR(34),CHAR(92)&amp;CHAR(34))</f>
        <v>Biển báo hiệu đặt cố định.</v>
      </c>
      <c r="H153" t="str">
        <f>SUBSTITUTE(B155,CHAR(34),CHAR(92)&amp;CHAR(34))</f>
        <v xml:space="preserve"> Biển báo hiệu tạm thời.</v>
      </c>
      <c r="I153" t="str">
        <f>SUBSTITUTE(IF(LEFT(A156,3)="Câu","",B156),CHAR(34),CHAR(92)&amp;CHAR(34))</f>
        <v>Theo quyết định của người tham gia giao thông nhưng phải bảo đảm an toàn.</v>
      </c>
      <c r="J153" t="str">
        <f>SUBSTITUTE(IF(OR(LEFT(A157,3)="Câu",I153=""),"",IF(B157=0,"",B157)),CHAR(34),CHAR(92)&amp;CHAR(34))</f>
        <v/>
      </c>
      <c r="K153" t="str">
        <f ca="1">SUBSTITUTE(SUBSTITUTE(SUBSTITUTE(SUBSTITUTE(IFERROR(VLOOKUP("Câu "&amp;D153&amp;".",dapan!$E:$J,6,0),""),"1","A"),"2","B"),"3","C"),"4","D")</f>
        <v>B</v>
      </c>
      <c r="P153">
        <f t="shared" si="12"/>
        <v>39</v>
      </c>
      <c r="Q153" t="str">
        <f t="shared" ca="1" si="13"/>
        <v>{"num":39,"id":39,"q":"Khi ở một vị trí vừa có biển báo hiệu đặt cố định vừa có biển báo hiệu tạm thời mà hai biển có ý nghĩa khác nhau, người tham gia giao thông đường bộ phải chấp hành hiệu lệnh của biển báo hiệu nào?","opts":{"A":"Biển báo hiệu đặt cố định.","B":" Biển báo hiệu tạm thời.","C":"Theo quyết định của người tham gia giao thông nhưng phải bảo đảm an toàn."},"answer":"B"},</v>
      </c>
      <c r="R153" t="str">
        <f t="shared" si="14"/>
        <v></v>
      </c>
      <c r="S153">
        <f t="shared" si="11"/>
        <v>157</v>
      </c>
    </row>
    <row r="154" spans="1:19" hidden="1" x14ac:dyDescent="0.25">
      <c r="A154">
        <v>1</v>
      </c>
      <c r="B154" t="s">
        <v>132</v>
      </c>
      <c r="C154">
        <f>IFERROR(COUNTIFS($A$1:A154,"Câu "&amp;"*")-MID(A154,5,FIND(".",A154,1)-5),0)</f>
        <v>0</v>
      </c>
      <c r="D154" t="str">
        <f t="shared" si="15"/>
        <v/>
      </c>
      <c r="E154" t="str">
        <f>SUBSTITUTE(IF(LEFT(A154,3)="Câu",MID(A154,FIND(".",A154,1)+2,LEN(A154)),""),CHAR(34),CHAR(92)&amp;CHAR(34))</f>
        <v/>
      </c>
      <c r="G154" t="str">
        <f>SUBSTITUTE(B155,CHAR(34),CHAR(92)&amp;CHAR(34))</f>
        <v xml:space="preserve"> Biển báo hiệu tạm thời.</v>
      </c>
      <c r="H154" t="str">
        <f>SUBSTITUTE(B156,CHAR(34),CHAR(92)&amp;CHAR(34))</f>
        <v>Theo quyết định của người tham gia giao thông nhưng phải bảo đảm an toàn.</v>
      </c>
      <c r="I154" t="str">
        <f>SUBSTITUTE(IF(LEFT(A157,3)="Câu","",B157),CHAR(34),CHAR(92)&amp;CHAR(34))</f>
        <v/>
      </c>
      <c r="J154" t="str">
        <f>SUBSTITUTE(IF(OR(LEFT(A158,3)="Câu",I154=""),"",IF(B158=0,"",B158)),CHAR(34),CHAR(92)&amp;CHAR(34))</f>
        <v/>
      </c>
      <c r="K154" t="str">
        <f>SUBSTITUTE(SUBSTITUTE(SUBSTITUTE(SUBSTITUTE(IFERROR(VLOOKUP("Câu "&amp;D154&amp;".",dapan!$E:$J,6,0),""),"1","A"),"2","B"),"3","C"),"4","D")</f>
        <v/>
      </c>
      <c r="P154" t="str">
        <f t="shared" si="12"/>
        <v/>
      </c>
      <c r="Q154" t="str">
        <f t="shared" si="13"/>
        <v/>
      </c>
      <c r="R154" t="str">
        <f t="shared" si="14"/>
        <v>ž</v>
      </c>
      <c r="S154">
        <f t="shared" si="11"/>
        <v>158</v>
      </c>
    </row>
    <row r="155" spans="1:19" hidden="1" x14ac:dyDescent="0.25">
      <c r="A155">
        <v>2</v>
      </c>
      <c r="B155" t="s">
        <v>133</v>
      </c>
      <c r="C155">
        <f>IFERROR(COUNTIFS($A$1:A155,"Câu "&amp;"*")-MID(A155,5,FIND(".",A155,1)-5),0)</f>
        <v>0</v>
      </c>
      <c r="D155" t="str">
        <f t="shared" si="15"/>
        <v/>
      </c>
      <c r="E155" t="str">
        <f>SUBSTITUTE(IF(LEFT(A155,3)="Câu",MID(A155,FIND(".",A155,1)+2,LEN(A155)),""),CHAR(34),CHAR(92)&amp;CHAR(34))</f>
        <v/>
      </c>
      <c r="G155" t="str">
        <f>SUBSTITUTE(B156,CHAR(34),CHAR(92)&amp;CHAR(34))</f>
        <v>Theo quyết định của người tham gia giao thông nhưng phải bảo đảm an toàn.</v>
      </c>
      <c r="H155" t="str">
        <f>SUBSTITUTE(B157,CHAR(34),CHAR(92)&amp;CHAR(34))</f>
        <v/>
      </c>
      <c r="I155" t="str">
        <f>SUBSTITUTE(IF(LEFT(A158,3)="Câu","",B158),CHAR(34),CHAR(92)&amp;CHAR(34))</f>
        <v xml:space="preserve">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v>
      </c>
      <c r="J155" t="str">
        <f>SUBSTITUTE(IF(OR(LEFT(A159,3)="Câu",I155=""),"",IF(B159=0,"",B159)),CHAR(34),CHAR(92)&amp;CHAR(34))</f>
        <v>Tăng tốc độ nhanh chóng vượt qua nút giao.</v>
      </c>
      <c r="K155" t="str">
        <f>SUBSTITUTE(SUBSTITUTE(SUBSTITUTE(SUBSTITUTE(IFERROR(VLOOKUP("Câu "&amp;D155&amp;".",dapan!$E:$J,6,0),""),"1","A"),"2","B"),"3","C"),"4","D")</f>
        <v/>
      </c>
      <c r="P155" t="str">
        <f t="shared" si="12"/>
        <v/>
      </c>
      <c r="Q155" t="str">
        <f t="shared" si="13"/>
        <v/>
      </c>
      <c r="R155" t="str">
        <f t="shared" si="14"/>
        <v>Ÿ</v>
      </c>
      <c r="S155">
        <f t="shared" si="11"/>
        <v>159</v>
      </c>
    </row>
    <row r="156" spans="1:19" hidden="1" x14ac:dyDescent="0.25">
      <c r="A156">
        <v>3</v>
      </c>
      <c r="B156" t="s">
        <v>134</v>
      </c>
      <c r="C156">
        <f>IFERROR(COUNTIFS($A$1:A156,"Câu "&amp;"*")-MID(A156,5,FIND(".",A156,1)-5),0)</f>
        <v>0</v>
      </c>
      <c r="D156" t="str">
        <f t="shared" si="15"/>
        <v/>
      </c>
      <c r="E156" t="str">
        <f>SUBSTITUTE(IF(LEFT(A156,3)="Câu",MID(A156,FIND(".",A156,1)+2,LEN(A156)),""),CHAR(34),CHAR(92)&amp;CHAR(34))</f>
        <v/>
      </c>
      <c r="G156" t="str">
        <f>SUBSTITUTE(B157,CHAR(34),CHAR(92)&amp;CHAR(34))</f>
        <v/>
      </c>
      <c r="H156" t="str">
        <f>SUBSTITUTE(B158,CHAR(34),CHAR(92)&amp;CHAR(34))</f>
        <v xml:space="preserve">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v>
      </c>
      <c r="I156" t="str">
        <f>SUBSTITUTE(IF(LEFT(A159,3)="Câu","",B159),CHAR(34),CHAR(92)&amp;CHAR(34))</f>
        <v>Tăng tốc độ nhanh chóng vượt qua nút giao.</v>
      </c>
      <c r="J156" t="str">
        <f>SUBSTITUTE(IF(OR(LEFT(A160,3)="Câu",I156=""),"",IF(B160=0,"",B160)),CHAR(34),CHAR(92)&amp;CHAR(34))</f>
        <v>Quan sát, giảm tốc độ, từ từ vượt qua nút giao.</v>
      </c>
      <c r="K156" t="str">
        <f>SUBSTITUTE(SUBSTITUTE(SUBSTITUTE(SUBSTITUTE(IFERROR(VLOOKUP("Câu "&amp;D156&amp;".",dapan!$E:$J,6,0),""),"1","A"),"2","B"),"3","C"),"4","D")</f>
        <v/>
      </c>
      <c r="P156" t="str">
        <f t="shared" si="12"/>
        <v/>
      </c>
      <c r="Q156" t="str">
        <f t="shared" si="13"/>
        <v/>
      </c>
      <c r="R156" t="str">
        <f t="shared" si="14"/>
        <v> </v>
      </c>
      <c r="S156">
        <f t="shared" si="11"/>
        <v>160</v>
      </c>
    </row>
    <row r="157" spans="1:19" x14ac:dyDescent="0.25">
      <c r="A157" t="s">
        <v>135</v>
      </c>
      <c r="C157">
        <f>IFERROR(COUNTIFS($A$1:A157,"Câu "&amp;"*")-MID(A157,5,FIND(".",A157,1)-5),0)</f>
        <v>0</v>
      </c>
      <c r="D157">
        <f t="shared" si="15"/>
        <v>40</v>
      </c>
      <c r="E157" t="str">
        <f>SUBSTITUTE(IF(LEFT(A157,3)="Câu",MID(A157,FIND(".",A157,1)+2,LEN(A157)),""),CHAR(34),CHAR(92)&amp;CHAR(34))</f>
        <v>Tại nơi đường giao nhau, khi đèn điều khiển giao thông có tín hiệu màu vàng, người điều khiển phương tiện tham gia giao thông phải chấp hành như thế nào là đúng quy tắc giao thông?</v>
      </c>
      <c r="G157" t="str">
        <f>SUBSTITUTE(B158,CHAR(34),CHAR(92)&amp;CHAR(34))</f>
        <v xml:space="preserve">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v>
      </c>
      <c r="H157" t="str">
        <f>SUBSTITUTE(B159,CHAR(34),CHAR(92)&amp;CHAR(34))</f>
        <v>Tăng tốc độ nhanh chóng vượt qua nút giao.</v>
      </c>
      <c r="I157" t="str">
        <f>SUBSTITUTE(IF(LEFT(A160,3)="Câu","",B160),CHAR(34),CHAR(92)&amp;CHAR(34))</f>
        <v>Quan sát, giảm tốc độ, từ từ vượt qua nút giao.</v>
      </c>
      <c r="J157" t="str">
        <f>SUBSTITUTE(IF(OR(LEFT(A161,3)="Câu",I157=""),"",IF(B161=0,"",B161)),CHAR(34),CHAR(92)&amp;CHAR(34))</f>
        <v/>
      </c>
      <c r="K157" t="str">
        <f ca="1">SUBSTITUTE(SUBSTITUTE(SUBSTITUTE(SUBSTITUTE(IFERROR(VLOOKUP("Câu "&amp;D157&amp;".",dapan!$E:$J,6,0),""),"1","A"),"2","B"),"3","C"),"4","D")</f>
        <v>A</v>
      </c>
      <c r="P157">
        <f t="shared" si="12"/>
        <v>40</v>
      </c>
      <c r="Q157" t="str">
        <f t="shared" ca="1" si="13"/>
        <v>{"num":40,"id":40,"q":"Tại nơi đường giao nhau, khi đèn điều khiển giao thông có tín hiệu màu vàng, người điều khiển phương tiện tham gia giao thông phải chấp hành như thế nào là đúng quy tắc giao thông?","opts":{"A":" Dừng lại trước vạch dừng; trường hợp đang đi trên vạch dừng hoặc đã đi qua vạch dừng mà tín hiệu đèn màu vàng thì được đi tiếp; trường hợp tín hiệu đèn màu vàng nhấp nháy, người điều khiển phương tiện tham gia giao thông đường bộ được đi nhưng phải quan sát, giảm tốc độ hoặc dừng lại nhường đường cho người đi bộ, xe lăn của người khuyết tật qua đường hoặc các phương tiện khác.","B":"Tăng tốc độ nhanh chóng vượt qua nút giao.","C":"Quan sát, giảm tốc độ, từ từ vượt qua nút giao."},"answer":"A"},</v>
      </c>
      <c r="R157" t="str">
        <f t="shared" si="14"/>
        <v>¡</v>
      </c>
      <c r="S157">
        <f t="shared" si="11"/>
        <v>161</v>
      </c>
    </row>
    <row r="158" spans="1:19" hidden="1" x14ac:dyDescent="0.25">
      <c r="A158">
        <v>1</v>
      </c>
      <c r="B158" t="s">
        <v>136</v>
      </c>
      <c r="C158">
        <f>IFERROR(COUNTIFS($A$1:A158,"Câu "&amp;"*")-MID(A158,5,FIND(".",A158,1)-5),0)</f>
        <v>0</v>
      </c>
      <c r="D158" t="str">
        <f t="shared" si="15"/>
        <v/>
      </c>
      <c r="E158" t="str">
        <f>SUBSTITUTE(IF(LEFT(A158,3)="Câu",MID(A158,FIND(".",A158,1)+2,LEN(A158)),""),CHAR(34),CHAR(92)&amp;CHAR(34))</f>
        <v/>
      </c>
      <c r="G158" t="str">
        <f>SUBSTITUTE(B159,CHAR(34),CHAR(92)&amp;CHAR(34))</f>
        <v>Tăng tốc độ nhanh chóng vượt qua nút giao.</v>
      </c>
      <c r="H158" t="str">
        <f>SUBSTITUTE(B160,CHAR(34),CHAR(92)&amp;CHAR(34))</f>
        <v>Quan sát, giảm tốc độ, từ từ vượt qua nút giao.</v>
      </c>
      <c r="I158" t="str">
        <f>SUBSTITUTE(IF(LEFT(A161,3)="Câu","",B161),CHAR(34),CHAR(92)&amp;CHAR(34))</f>
        <v/>
      </c>
      <c r="J158" t="str">
        <f>SUBSTITUTE(IF(OR(LEFT(A162,3)="Câu",I158=""),"",IF(B162=0,"",B162)),CHAR(34),CHAR(92)&amp;CHAR(34))</f>
        <v/>
      </c>
      <c r="K158" t="str">
        <f>SUBSTITUTE(SUBSTITUTE(SUBSTITUTE(SUBSTITUTE(IFERROR(VLOOKUP("Câu "&amp;D158&amp;".",dapan!$E:$J,6,0),""),"1","A"),"2","B"),"3","C"),"4","D")</f>
        <v/>
      </c>
      <c r="P158" t="str">
        <f t="shared" si="12"/>
        <v/>
      </c>
      <c r="Q158" t="str">
        <f t="shared" si="13"/>
        <v/>
      </c>
      <c r="R158" t="str">
        <f t="shared" si="14"/>
        <v>¢</v>
      </c>
      <c r="S158">
        <f t="shared" si="11"/>
        <v>162</v>
      </c>
    </row>
    <row r="159" spans="1:19" hidden="1" x14ac:dyDescent="0.25">
      <c r="A159">
        <v>2</v>
      </c>
      <c r="B159" t="s">
        <v>137</v>
      </c>
      <c r="C159">
        <f>IFERROR(COUNTIFS($A$1:A159,"Câu "&amp;"*")-MID(A159,5,FIND(".",A159,1)-5),0)</f>
        <v>0</v>
      </c>
      <c r="D159" t="str">
        <f t="shared" si="15"/>
        <v/>
      </c>
      <c r="E159" t="str">
        <f>SUBSTITUTE(IF(LEFT(A159,3)="Câu",MID(A159,FIND(".",A159,1)+2,LEN(A159)),""),CHAR(34),CHAR(92)&amp;CHAR(34))</f>
        <v/>
      </c>
      <c r="G159" t="str">
        <f>SUBSTITUTE(B160,CHAR(34),CHAR(92)&amp;CHAR(34))</f>
        <v>Quan sát, giảm tốc độ, từ từ vượt qua nút giao.</v>
      </c>
      <c r="H159" t="str">
        <f>SUBSTITUTE(B161,CHAR(34),CHAR(92)&amp;CHAR(34))</f>
        <v/>
      </c>
      <c r="I159" t="str">
        <f>SUBSTITUTE(IF(LEFT(A162,3)="Câu","",B162),CHAR(34),CHAR(92)&amp;CHAR(34))</f>
        <v>Chỉ lớn hơn tốc độ tối đa cho phép khi đường vắng.</v>
      </c>
      <c r="J159" t="str">
        <f>SUBSTITUTE(IF(OR(LEFT(A163,3)="Câu",I159=""),"",IF(B163=0,"",B163)),CHAR(34),CHAR(92)&amp;CHAR(34))</f>
        <v>Chỉ lớn hơn tốc độ tối đa cho phép khi vào ban đêm.</v>
      </c>
      <c r="K159" t="str">
        <f>SUBSTITUTE(SUBSTITUTE(SUBSTITUTE(SUBSTITUTE(IFERROR(VLOOKUP("Câu "&amp;D159&amp;".",dapan!$E:$J,6,0),""),"1","A"),"2","B"),"3","C"),"4","D")</f>
        <v/>
      </c>
      <c r="P159" t="str">
        <f t="shared" si="12"/>
        <v/>
      </c>
      <c r="Q159" t="str">
        <f t="shared" si="13"/>
        <v/>
      </c>
      <c r="R159" t="str">
        <f t="shared" si="14"/>
        <v>£</v>
      </c>
      <c r="S159">
        <f t="shared" si="11"/>
        <v>163</v>
      </c>
    </row>
    <row r="160" spans="1:19" hidden="1" x14ac:dyDescent="0.25">
      <c r="A160">
        <v>3</v>
      </c>
      <c r="B160" t="s">
        <v>138</v>
      </c>
      <c r="C160">
        <f>IFERROR(COUNTIFS($A$1:A160,"Câu "&amp;"*")-MID(A160,5,FIND(".",A160,1)-5),0)</f>
        <v>0</v>
      </c>
      <c r="D160" t="str">
        <f t="shared" si="15"/>
        <v/>
      </c>
      <c r="E160" t="str">
        <f>SUBSTITUTE(IF(LEFT(A160,3)="Câu",MID(A160,FIND(".",A160,1)+2,LEN(A160)),""),CHAR(34),CHAR(92)&amp;CHAR(34))</f>
        <v/>
      </c>
      <c r="G160" t="str">
        <f>SUBSTITUTE(B161,CHAR(34),CHAR(92)&amp;CHAR(34))</f>
        <v/>
      </c>
      <c r="H160" t="str">
        <f>SUBSTITUTE(B162,CHAR(34),CHAR(92)&amp;CHAR(34))</f>
        <v>Chỉ lớn hơn tốc độ tối đa cho phép khi đường vắng.</v>
      </c>
      <c r="I160" t="str">
        <f>SUBSTITUTE(IF(LEFT(A163,3)="Câu","",B163),CHAR(34),CHAR(92)&amp;CHAR(34))</f>
        <v>Chỉ lớn hơn tốc độ tối đa cho phép khi vào ban đêm.</v>
      </c>
      <c r="J160" t="str">
        <f>SUBSTITUTE(IF(OR(LEFT(A164,3)="Câu",I160=""),"",IF(B164=0,"",B164)),CHAR(34),CHAR(92)&amp;CHAR(34))</f>
        <v xml:space="preserve"> Không vượt quá tốc độ tối đa cho phép.</v>
      </c>
      <c r="K160" t="str">
        <f>SUBSTITUTE(SUBSTITUTE(SUBSTITUTE(SUBSTITUTE(IFERROR(VLOOKUP("Câu "&amp;D160&amp;".",dapan!$E:$J,6,0),""),"1","A"),"2","B"),"3","C"),"4","D")</f>
        <v/>
      </c>
      <c r="P160" t="str">
        <f t="shared" si="12"/>
        <v/>
      </c>
      <c r="Q160" t="str">
        <f t="shared" si="13"/>
        <v/>
      </c>
      <c r="R160" t="str">
        <f t="shared" si="14"/>
        <v>¤</v>
      </c>
      <c r="S160">
        <f t="shared" si="11"/>
        <v>164</v>
      </c>
    </row>
    <row r="161" spans="1:19" x14ac:dyDescent="0.25">
      <c r="A161" t="s">
        <v>139</v>
      </c>
      <c r="C161">
        <f>IFERROR(COUNTIFS($A$1:A161,"Câu "&amp;"*")-MID(A161,5,FIND(".",A161,1)-5),0)</f>
        <v>0</v>
      </c>
      <c r="D161">
        <f t="shared" si="15"/>
        <v>41</v>
      </c>
      <c r="E161" t="str">
        <f>SUBSTITUTE(IF(LEFT(A161,3)="Câu",MID(A161,FIND(".",A161,1)+2,LEN(A161)),""),CHAR(34),CHAR(92)&amp;CHAR(34))</f>
        <v>Người lái xe trên đường cần chấp hành quy định về tốc độ tối đa như thế nào?</v>
      </c>
      <c r="G161" t="str">
        <f>SUBSTITUTE(B162,CHAR(34),CHAR(92)&amp;CHAR(34))</f>
        <v>Chỉ lớn hơn tốc độ tối đa cho phép khi đường vắng.</v>
      </c>
      <c r="H161" t="str">
        <f>SUBSTITUTE(B163,CHAR(34),CHAR(92)&amp;CHAR(34))</f>
        <v>Chỉ lớn hơn tốc độ tối đa cho phép khi vào ban đêm.</v>
      </c>
      <c r="I161" t="str">
        <f>SUBSTITUTE(IF(LEFT(A164,3)="Câu","",B164),CHAR(34),CHAR(92)&amp;CHAR(34))</f>
        <v xml:space="preserve"> Không vượt quá tốc độ tối đa cho phép.</v>
      </c>
      <c r="J161" t="str">
        <f>SUBSTITUTE(IF(OR(LEFT(A165,3)="Câu",I161=""),"",IF(B165=0,"",B165)),CHAR(34),CHAR(92)&amp;CHAR(34))</f>
        <v/>
      </c>
      <c r="K161" t="str">
        <f ca="1">SUBSTITUTE(SUBSTITUTE(SUBSTITUTE(SUBSTITUTE(IFERROR(VLOOKUP("Câu "&amp;D161&amp;".",dapan!$E:$J,6,0),""),"1","A"),"2","B"),"3","C"),"4","D")</f>
        <v>C</v>
      </c>
      <c r="P161">
        <f t="shared" si="12"/>
        <v>41</v>
      </c>
      <c r="Q161" t="str">
        <f t="shared" ca="1" si="13"/>
        <v>{"num":41,"id":41,"q":"Người lái xe trên đường cần chấp hành quy định về tốc độ tối đa như thế nào?","opts":{"A":"Chỉ lớn hơn tốc độ tối đa cho phép khi đường vắng.","B":"Chỉ lớn hơn tốc độ tối đa cho phép khi vào ban đêm.","C":" Không vượt quá tốc độ tối đa cho phép."},"answer":"C"},</v>
      </c>
      <c r="R161" t="str">
        <f t="shared" si="14"/>
        <v>¥</v>
      </c>
      <c r="S161">
        <f t="shared" si="11"/>
        <v>165</v>
      </c>
    </row>
    <row r="162" spans="1:19" hidden="1" x14ac:dyDescent="0.25">
      <c r="A162">
        <v>1</v>
      </c>
      <c r="B162" t="s">
        <v>140</v>
      </c>
      <c r="C162">
        <f>IFERROR(COUNTIFS($A$1:A162,"Câu "&amp;"*")-MID(A162,5,FIND(".",A162,1)-5),0)</f>
        <v>0</v>
      </c>
      <c r="D162" t="str">
        <f t="shared" si="15"/>
        <v/>
      </c>
      <c r="E162" t="str">
        <f>SUBSTITUTE(IF(LEFT(A162,3)="Câu",MID(A162,FIND(".",A162,1)+2,LEN(A162)),""),CHAR(34),CHAR(92)&amp;CHAR(34))</f>
        <v/>
      </c>
      <c r="G162" t="str">
        <f>SUBSTITUTE(B163,CHAR(34),CHAR(92)&amp;CHAR(34))</f>
        <v>Chỉ lớn hơn tốc độ tối đa cho phép khi vào ban đêm.</v>
      </c>
      <c r="H162" t="str">
        <f>SUBSTITUTE(B164,CHAR(34),CHAR(92)&amp;CHAR(34))</f>
        <v xml:space="preserve"> Không vượt quá tốc độ tối đa cho phép.</v>
      </c>
      <c r="I162" t="str">
        <f>SUBSTITUTE(IF(LEFT(A165,3)="Câu","",B165),CHAR(34),CHAR(92)&amp;CHAR(34))</f>
        <v/>
      </c>
      <c r="J162" t="str">
        <f>SUBSTITUTE(IF(OR(LEFT(A166,3)="Câu",I162=""),"",IF(B166=0,"",B166)),CHAR(34),CHAR(92)&amp;CHAR(34))</f>
        <v/>
      </c>
      <c r="K162" t="str">
        <f>SUBSTITUTE(SUBSTITUTE(SUBSTITUTE(SUBSTITUTE(IFERROR(VLOOKUP("Câu "&amp;D162&amp;".",dapan!$E:$J,6,0),""),"1","A"),"2","B"),"3","C"),"4","D")</f>
        <v/>
      </c>
      <c r="P162" t="str">
        <f t="shared" si="12"/>
        <v/>
      </c>
      <c r="Q162" t="str">
        <f t="shared" si="13"/>
        <v/>
      </c>
      <c r="R162" t="str">
        <f t="shared" si="14"/>
        <v>¦</v>
      </c>
      <c r="S162">
        <f t="shared" si="11"/>
        <v>166</v>
      </c>
    </row>
    <row r="163" spans="1:19" hidden="1" x14ac:dyDescent="0.25">
      <c r="A163">
        <v>2</v>
      </c>
      <c r="B163" t="s">
        <v>141</v>
      </c>
      <c r="C163">
        <f>IFERROR(COUNTIFS($A$1:A163,"Câu "&amp;"*")-MID(A163,5,FIND(".",A163,1)-5),0)</f>
        <v>0</v>
      </c>
      <c r="D163" t="str">
        <f t="shared" si="15"/>
        <v/>
      </c>
      <c r="E163" t="str">
        <f>SUBSTITUTE(IF(LEFT(A163,3)="Câu",MID(A163,FIND(".",A163,1)+2,LEN(A163)),""),CHAR(34),CHAR(92)&amp;CHAR(34))</f>
        <v/>
      </c>
      <c r="G163" t="str">
        <f>SUBSTITUTE(B164,CHAR(34),CHAR(92)&amp;CHAR(34))</f>
        <v xml:space="preserve"> Không vượt quá tốc độ tối đa cho phép.</v>
      </c>
      <c r="H163" t="str">
        <f>SUBSTITUTE(B165,CHAR(34),CHAR(92)&amp;CHAR(34))</f>
        <v/>
      </c>
      <c r="I163" t="str">
        <f>SUBSTITUTE(IF(LEFT(A166,3)="Câu","",B166),CHAR(34),CHAR(92)&amp;CHAR(34))</f>
        <v xml:space="preserve"> Không được cho trẻ em ngồi cùng hàng ghế với người lái xe, trừ loại xe ô tô chỉ có một hàng ghế; người lái xe phải sử dụng, hướng dẫn sử dụng thiết bị an toàn phù hợp cho trẻ em.</v>
      </c>
      <c r="J163" t="str">
        <f>SUBSTITUTE(IF(OR(LEFT(A167,3)="Câu",I163=""),"",IF(B167=0,"",B167)),CHAR(34),CHAR(92)&amp;CHAR(34))</f>
        <v>Cho trẻ em ngồi cùng hàng ghế với người lái xe, người lái xe phải sử dụng, hướng dẫn sử dụng thiết bị an toàn phù hợp cho trẻ em.</v>
      </c>
      <c r="K163" t="str">
        <f>SUBSTITUTE(SUBSTITUTE(SUBSTITUTE(SUBSTITUTE(IFERROR(VLOOKUP("Câu "&amp;D163&amp;".",dapan!$E:$J,6,0),""),"1","A"),"2","B"),"3","C"),"4","D")</f>
        <v/>
      </c>
      <c r="P163" t="str">
        <f t="shared" si="12"/>
        <v/>
      </c>
      <c r="Q163" t="str">
        <f t="shared" si="13"/>
        <v/>
      </c>
      <c r="R163" t="str">
        <f t="shared" si="14"/>
        <v>§</v>
      </c>
      <c r="S163">
        <f t="shared" si="11"/>
        <v>167</v>
      </c>
    </row>
    <row r="164" spans="1:19" hidden="1" x14ac:dyDescent="0.25">
      <c r="A164">
        <v>3</v>
      </c>
      <c r="B164" t="s">
        <v>142</v>
      </c>
      <c r="C164">
        <f>IFERROR(COUNTIFS($A$1:A164,"Câu "&amp;"*")-MID(A164,5,FIND(".",A164,1)-5),0)</f>
        <v>0</v>
      </c>
      <c r="D164" t="str">
        <f t="shared" si="15"/>
        <v/>
      </c>
      <c r="E164" t="str">
        <f>SUBSTITUTE(IF(LEFT(A164,3)="Câu",MID(A164,FIND(".",A164,1)+2,LEN(A164)),""),CHAR(34),CHAR(92)&amp;CHAR(34))</f>
        <v/>
      </c>
      <c r="G164" t="str">
        <f>SUBSTITUTE(B165,CHAR(34),CHAR(92)&amp;CHAR(34))</f>
        <v/>
      </c>
      <c r="H164" t="str">
        <f>SUBSTITUTE(B166,CHAR(34),CHAR(92)&amp;CHAR(34))</f>
        <v xml:space="preserve"> Không được cho trẻ em ngồi cùng hàng ghế với người lái xe, trừ loại xe ô tô chỉ có một hàng ghế; người lái xe phải sử dụng, hướng dẫn sử dụng thiết bị an toàn phù hợp cho trẻ em.</v>
      </c>
      <c r="I164" t="str">
        <f>SUBSTITUTE(IF(LEFT(A167,3)="Câu","",B167),CHAR(34),CHAR(92)&amp;CHAR(34))</f>
        <v>Cho trẻ em ngồi cùng hàng ghế với người lái xe, người lái xe phải sử dụng, hướng dẫn sử dụng thiết bị an toàn phù hợp cho trẻ em.</v>
      </c>
      <c r="J164" t="str">
        <f>SUBSTITUTE(IF(OR(LEFT(A168,3)="Câu",I164=""),"",IF(B168=0,"",B168)),CHAR(34),CHAR(92)&amp;CHAR(34))</f>
        <v/>
      </c>
      <c r="K164" t="str">
        <f>SUBSTITUTE(SUBSTITUTE(SUBSTITUTE(SUBSTITUTE(IFERROR(VLOOKUP("Câu "&amp;D164&amp;".",dapan!$E:$J,6,0),""),"1","A"),"2","B"),"3","C"),"4","D")</f>
        <v/>
      </c>
      <c r="P164" t="str">
        <f t="shared" si="12"/>
        <v/>
      </c>
      <c r="Q164" t="str">
        <f t="shared" si="13"/>
        <v/>
      </c>
      <c r="R164" t="str">
        <f t="shared" si="14"/>
        <v>¨</v>
      </c>
      <c r="S164">
        <f t="shared" si="11"/>
        <v>168</v>
      </c>
    </row>
    <row r="165" spans="1:19" x14ac:dyDescent="0.25">
      <c r="A165" t="s">
        <v>143</v>
      </c>
      <c r="C165">
        <f>IFERROR(COUNTIFS($A$1:A165,"Câu "&amp;"*")-MID(A165,5,FIND(".",A165,1)-5),0)</f>
        <v>0</v>
      </c>
      <c r="D165">
        <f t="shared" si="15"/>
        <v>42</v>
      </c>
      <c r="E165" t="str">
        <f>SUBSTITUTE(IF(LEFT(A165,3)="Câu",MID(A165,FIND(".",A165,1)+2,LEN(A165)),""),CHAR(34),CHAR(92)&amp;CHAR(34))</f>
        <v>Khi chở trẻ em dưới 10 tuổi và chiều cao dưới 1,35 mét trên xe ô tô, người lái xe phải thực hiện quy tắc nào dưới đây để bảo đảm an toàn?</v>
      </c>
      <c r="G165" t="str">
        <f>SUBSTITUTE(B166,CHAR(34),CHAR(92)&amp;CHAR(34))</f>
        <v xml:space="preserve"> Không được cho trẻ em ngồi cùng hàng ghế với người lái xe, trừ loại xe ô tô chỉ có một hàng ghế; người lái xe phải sử dụng, hướng dẫn sử dụng thiết bị an toàn phù hợp cho trẻ em.</v>
      </c>
      <c r="H165" t="str">
        <f>SUBSTITUTE(B167,CHAR(34),CHAR(92)&amp;CHAR(34))</f>
        <v>Cho trẻ em ngồi cùng hàng ghế với người lái xe, người lái xe phải sử dụng, hướng dẫn sử dụng thiết bị an toàn phù hợp cho trẻ em.</v>
      </c>
      <c r="I165" t="str">
        <f>SUBSTITUTE(IF(LEFT(A168,3)="Câu","",B168),CHAR(34),CHAR(92)&amp;CHAR(34))</f>
        <v/>
      </c>
      <c r="J165" t="str">
        <f>SUBSTITUTE(IF(OR(LEFT(A169,3)="Câu",I165=""),"",IF(B169=0,"",B169)),CHAR(34),CHAR(92)&amp;CHAR(34))</f>
        <v/>
      </c>
      <c r="K165" t="str">
        <f ca="1">SUBSTITUTE(SUBSTITUTE(SUBSTITUTE(SUBSTITUTE(IFERROR(VLOOKUP("Câu "&amp;D165&amp;".",dapan!$E:$J,6,0),""),"1","A"),"2","B"),"3","C"),"4","D")</f>
        <v>A</v>
      </c>
      <c r="P165">
        <f t="shared" si="12"/>
        <v>42</v>
      </c>
      <c r="Q165" t="str">
        <f t="shared" ca="1" si="13"/>
        <v>{"num":42,"id":42,"q":"Khi chở trẻ em dưới 10 tuổi và chiều cao dưới 1,35 mét trên xe ô tô, người lái xe phải thực hiện quy tắc nào dưới đây để bảo đảm an toàn?","opts":{"A":" Không được cho trẻ em ngồi cùng hàng ghế với người lái xe, trừ loại xe ô tô chỉ có một hàng ghế; người lái xe phải sử dụng, hướng dẫn sử dụng thiết bị an toàn phù hợp cho trẻ em.","B":"Cho trẻ em ngồi cùng hàng ghế với người lái xe, người lái xe phải sử dụng, hướng dẫn sử dụng thiết bị an toàn phù hợp cho trẻ em."},"answer":"A"},</v>
      </c>
      <c r="R165" t="str">
        <f t="shared" si="14"/>
        <v>©</v>
      </c>
      <c r="S165">
        <f t="shared" si="11"/>
        <v>169</v>
      </c>
    </row>
    <row r="166" spans="1:19" hidden="1" x14ac:dyDescent="0.25">
      <c r="A166">
        <v>1</v>
      </c>
      <c r="B166" t="s">
        <v>144</v>
      </c>
      <c r="C166">
        <f>IFERROR(COUNTIFS($A$1:A166,"Câu "&amp;"*")-MID(A166,5,FIND(".",A166,1)-5),0)</f>
        <v>0</v>
      </c>
      <c r="D166" t="str">
        <f t="shared" si="15"/>
        <v/>
      </c>
      <c r="E166" t="str">
        <f>SUBSTITUTE(IF(LEFT(A166,3)="Câu",MID(A166,FIND(".",A166,1)+2,LEN(A166)),""),CHAR(34),CHAR(92)&amp;CHAR(34))</f>
        <v/>
      </c>
      <c r="G166" t="str">
        <f>SUBSTITUTE(B167,CHAR(34),CHAR(92)&amp;CHAR(34))</f>
        <v>Cho trẻ em ngồi cùng hàng ghế với người lái xe, người lái xe phải sử dụng, hướng dẫn sử dụng thiết bị an toàn phù hợp cho trẻ em.</v>
      </c>
      <c r="H166" t="str">
        <f>SUBSTITUTE(B168,CHAR(34),CHAR(92)&amp;CHAR(34))</f>
        <v/>
      </c>
      <c r="I166" t="str">
        <f>SUBSTITUTE(IF(LEFT(A169,3)="Câu","",B169),CHAR(34),CHAR(92)&amp;CHAR(34))</f>
        <v>Đi về bên trái theo chiều đi của mình.</v>
      </c>
      <c r="J166" t="str">
        <f>SUBSTITUTE(IF(OR(LEFT(A170,3)="Câu",I166=""),"",IF(B170=0,"",B170)),CHAR(34),CHAR(92)&amp;CHAR(34))</f>
        <v xml:space="preserve"> Đi về bên phải theo chiều đi của mình.</v>
      </c>
      <c r="K166" t="str">
        <f>SUBSTITUTE(SUBSTITUTE(SUBSTITUTE(SUBSTITUTE(IFERROR(VLOOKUP("Câu "&amp;D166&amp;".",dapan!$E:$J,6,0),""),"1","A"),"2","B"),"3","C"),"4","D")</f>
        <v/>
      </c>
      <c r="P166" t="str">
        <f t="shared" si="12"/>
        <v/>
      </c>
      <c r="Q166" t="str">
        <f t="shared" si="13"/>
        <v/>
      </c>
      <c r="R166" t="str">
        <f t="shared" si="14"/>
        <v>ª</v>
      </c>
      <c r="S166">
        <f t="shared" si="11"/>
        <v>170</v>
      </c>
    </row>
    <row r="167" spans="1:19" hidden="1" x14ac:dyDescent="0.25">
      <c r="A167">
        <v>2</v>
      </c>
      <c r="B167" t="s">
        <v>145</v>
      </c>
      <c r="C167">
        <f>IFERROR(COUNTIFS($A$1:A167,"Câu "&amp;"*")-MID(A167,5,FIND(".",A167,1)-5),0)</f>
        <v>0</v>
      </c>
      <c r="D167" t="str">
        <f t="shared" si="15"/>
        <v/>
      </c>
      <c r="E167" t="str">
        <f>SUBSTITUTE(IF(LEFT(A167,3)="Câu",MID(A167,FIND(".",A167,1)+2,LEN(A167)),""),CHAR(34),CHAR(92)&amp;CHAR(34))</f>
        <v/>
      </c>
      <c r="G167" t="str">
        <f>SUBSTITUTE(B168,CHAR(34),CHAR(92)&amp;CHAR(34))</f>
        <v/>
      </c>
      <c r="H167" t="str">
        <f>SUBSTITUTE(B169,CHAR(34),CHAR(92)&amp;CHAR(34))</f>
        <v>Đi về bên trái theo chiều đi của mình.</v>
      </c>
      <c r="I167" t="str">
        <f>SUBSTITUTE(IF(LEFT(A170,3)="Câu","",B170),CHAR(34),CHAR(92)&amp;CHAR(34))</f>
        <v xml:space="preserve"> Đi về bên phải theo chiều đi của mình.</v>
      </c>
      <c r="J167" t="str">
        <f>SUBSTITUTE(IF(OR(LEFT(A171,3)="Câu",I167=""),"",IF(B171=0,"",B171)),CHAR(34),CHAR(92)&amp;CHAR(34))</f>
        <v>Đi ở bất cứ bên nào nhưng phải bấm đèn cảnh báo nguy hiểm để báo hiệu cho các phương tiện khác.</v>
      </c>
      <c r="K167" t="str">
        <f>SUBSTITUTE(SUBSTITUTE(SUBSTITUTE(SUBSTITUTE(IFERROR(VLOOKUP("Câu "&amp;D167&amp;".",dapan!$E:$J,6,0),""),"1","A"),"2","B"),"3","C"),"4","D")</f>
        <v/>
      </c>
      <c r="P167" t="str">
        <f t="shared" si="12"/>
        <v/>
      </c>
      <c r="Q167" t="str">
        <f t="shared" si="13"/>
        <v/>
      </c>
      <c r="R167" t="str">
        <f t="shared" si="14"/>
        <v>«</v>
      </c>
      <c r="S167">
        <f t="shared" si="11"/>
        <v>171</v>
      </c>
    </row>
    <row r="168" spans="1:19" x14ac:dyDescent="0.25">
      <c r="A168" t="s">
        <v>146</v>
      </c>
      <c r="C168">
        <f>IFERROR(COUNTIFS($A$1:A168,"Câu "&amp;"*")-MID(A168,5,FIND(".",A168,1)-5),0)</f>
        <v>0</v>
      </c>
      <c r="D168">
        <f t="shared" si="15"/>
        <v>43</v>
      </c>
      <c r="E168" t="str">
        <f>SUBSTITUTE(IF(LEFT(A168,3)="Câu",MID(A168,FIND(".",A168,1)+2,LEN(A168)),""),CHAR(34),CHAR(92)&amp;CHAR(34))</f>
        <v>Phương tiện tham gia giao thông đường bộ di chuyển với tốc độ thấp hơn phải đi như thế nào?</v>
      </c>
      <c r="G168" t="str">
        <f>SUBSTITUTE(B169,CHAR(34),CHAR(92)&amp;CHAR(34))</f>
        <v>Đi về bên trái theo chiều đi của mình.</v>
      </c>
      <c r="H168" t="str">
        <f>SUBSTITUTE(B170,CHAR(34),CHAR(92)&amp;CHAR(34))</f>
        <v xml:space="preserve"> Đi về bên phải theo chiều đi của mình.</v>
      </c>
      <c r="I168" t="str">
        <f>SUBSTITUTE(IF(LEFT(A171,3)="Câu","",B171),CHAR(34),CHAR(92)&amp;CHAR(34))</f>
        <v>Đi ở bất cứ bên nào nhưng phải bấm đèn cảnh báo nguy hiểm để báo hiệu cho các phương tiện khác.</v>
      </c>
      <c r="J168" t="str">
        <f>SUBSTITUTE(IF(OR(LEFT(A172,3)="Câu",I168=""),"",IF(B172=0,"",B172)),CHAR(34),CHAR(92)&amp;CHAR(34))</f>
        <v/>
      </c>
      <c r="K168" t="str">
        <f ca="1">SUBSTITUTE(SUBSTITUTE(SUBSTITUTE(SUBSTITUTE(IFERROR(VLOOKUP("Câu "&amp;D168&amp;".",dapan!$E:$J,6,0),""),"1","A"),"2","B"),"3","C"),"4","D")</f>
        <v>B</v>
      </c>
      <c r="P168">
        <f t="shared" si="12"/>
        <v>43</v>
      </c>
      <c r="Q168" t="str">
        <f t="shared" ca="1" si="13"/>
        <v>{"num":43,"id":43,"q":"Phương tiện tham gia giao thông đường bộ di chuyển với tốc độ thấp hơn phải đi như thế nào?","opts":{"A":"Đi về bên trái theo chiều đi của mình.","B":" Đi về bên phải theo chiều đi của mình.","C":"Đi ở bất cứ bên nào nhưng phải bấm đèn cảnh báo nguy hiểm để báo hiệu cho các phương tiện khác."},"answer":"B"},</v>
      </c>
      <c r="R168" t="str">
        <f t="shared" si="14"/>
        <v>¬</v>
      </c>
      <c r="S168">
        <f t="shared" si="11"/>
        <v>172</v>
      </c>
    </row>
    <row r="169" spans="1:19" hidden="1" x14ac:dyDescent="0.25">
      <c r="A169">
        <v>1</v>
      </c>
      <c r="B169" t="s">
        <v>147</v>
      </c>
      <c r="C169">
        <f>IFERROR(COUNTIFS($A$1:A169,"Câu "&amp;"*")-MID(A169,5,FIND(".",A169,1)-5),0)</f>
        <v>0</v>
      </c>
      <c r="D169" t="str">
        <f t="shared" si="15"/>
        <v/>
      </c>
      <c r="E169" t="str">
        <f>SUBSTITUTE(IF(LEFT(A169,3)="Câu",MID(A169,FIND(".",A169,1)+2,LEN(A169)),""),CHAR(34),CHAR(92)&amp;CHAR(34))</f>
        <v/>
      </c>
      <c r="G169" t="str">
        <f>SUBSTITUTE(B170,CHAR(34),CHAR(92)&amp;CHAR(34))</f>
        <v xml:space="preserve"> Đi về bên phải theo chiều đi của mình.</v>
      </c>
      <c r="H169" t="str">
        <f>SUBSTITUTE(B171,CHAR(34),CHAR(92)&amp;CHAR(34))</f>
        <v>Đi ở bất cứ bên nào nhưng phải bấm đèn cảnh báo nguy hiểm để báo hiệu cho các phương tiện khác.</v>
      </c>
      <c r="I169" t="str">
        <f>SUBSTITUTE(IF(LEFT(A172,3)="Câu","",B172),CHAR(34),CHAR(92)&amp;CHAR(34))</f>
        <v/>
      </c>
      <c r="J169" t="str">
        <f>SUBSTITUTE(IF(OR(LEFT(A173,3)="Câu",I169=""),"",IF(B173=0,"",B173)),CHAR(34),CHAR(92)&amp;CHAR(34))</f>
        <v/>
      </c>
      <c r="K169" t="str">
        <f>SUBSTITUTE(SUBSTITUTE(SUBSTITUTE(SUBSTITUTE(IFERROR(VLOOKUP("Câu "&amp;D169&amp;".",dapan!$E:$J,6,0),""),"1","A"),"2","B"),"3","C"),"4","D")</f>
        <v/>
      </c>
      <c r="P169" t="str">
        <f t="shared" si="12"/>
        <v/>
      </c>
      <c r="Q169" t="str">
        <f t="shared" si="13"/>
        <v/>
      </c>
      <c r="R169" t="str">
        <f t="shared" si="14"/>
        <v>­</v>
      </c>
      <c r="S169">
        <f t="shared" si="11"/>
        <v>173</v>
      </c>
    </row>
    <row r="170" spans="1:19" hidden="1" x14ac:dyDescent="0.25">
      <c r="A170">
        <v>2</v>
      </c>
      <c r="B170" t="s">
        <v>148</v>
      </c>
      <c r="C170">
        <f>IFERROR(COUNTIFS($A$1:A170,"Câu "&amp;"*")-MID(A170,5,FIND(".",A170,1)-5),0)</f>
        <v>0</v>
      </c>
      <c r="D170" t="str">
        <f t="shared" si="15"/>
        <v/>
      </c>
      <c r="E170" t="str">
        <f>SUBSTITUTE(IF(LEFT(A170,3)="Câu",MID(A170,FIND(".",A170,1)+2,LEN(A170)),""),CHAR(34),CHAR(92)&amp;CHAR(34))</f>
        <v/>
      </c>
      <c r="G170" t="str">
        <f>SUBSTITUTE(B171,CHAR(34),CHAR(92)&amp;CHAR(34))</f>
        <v>Đi ở bất cứ bên nào nhưng phải bấm đèn cảnh báo nguy hiểm để báo hiệu cho các phương tiện khác.</v>
      </c>
      <c r="H170" t="str">
        <f>SUBSTITUTE(B172,CHAR(34),CHAR(92)&amp;CHAR(34))</f>
        <v/>
      </c>
      <c r="I170" t="str">
        <f>SUBSTITUTE(IF(LEFT(A173,3)="Câu","",B173),CHAR(34),CHAR(92)&amp;CHAR(34))</f>
        <v>Đi trên làn đường bên phải trong cùng.</v>
      </c>
      <c r="J170" t="str">
        <f>SUBSTITUTE(IF(OR(LEFT(A174,3)="Câu",I170=""),"",IF(B174=0,"",B174)),CHAR(34),CHAR(92)&amp;CHAR(34))</f>
        <v xml:space="preserve"> Đi trên làn đường bên trái.</v>
      </c>
      <c r="K170" t="str">
        <f>SUBSTITUTE(SUBSTITUTE(SUBSTITUTE(SUBSTITUTE(IFERROR(VLOOKUP("Câu "&amp;D170&amp;".",dapan!$E:$J,6,0),""),"1","A"),"2","B"),"3","C"),"4","D")</f>
        <v/>
      </c>
      <c r="P170" t="str">
        <f t="shared" si="12"/>
        <v/>
      </c>
      <c r="Q170" t="str">
        <f t="shared" si="13"/>
        <v/>
      </c>
      <c r="R170" t="str">
        <f t="shared" si="14"/>
        <v>®</v>
      </c>
      <c r="S170">
        <f t="shared" si="11"/>
        <v>174</v>
      </c>
    </row>
    <row r="171" spans="1:19" hidden="1" x14ac:dyDescent="0.25">
      <c r="A171">
        <v>3</v>
      </c>
      <c r="B171" t="s">
        <v>149</v>
      </c>
      <c r="C171">
        <f>IFERROR(COUNTIFS($A$1:A171,"Câu "&amp;"*")-MID(A171,5,FIND(".",A171,1)-5),0)</f>
        <v>0</v>
      </c>
      <c r="D171" t="str">
        <f t="shared" si="15"/>
        <v/>
      </c>
      <c r="E171" t="str">
        <f>SUBSTITUTE(IF(LEFT(A171,3)="Câu",MID(A171,FIND(".",A171,1)+2,LEN(A171)),""),CHAR(34),CHAR(92)&amp;CHAR(34))</f>
        <v/>
      </c>
      <c r="G171" t="str">
        <f>SUBSTITUTE(B172,CHAR(34),CHAR(92)&amp;CHAR(34))</f>
        <v/>
      </c>
      <c r="H171" t="str">
        <f>SUBSTITUTE(B173,CHAR(34),CHAR(92)&amp;CHAR(34))</f>
        <v>Đi trên làn đường bên phải trong cùng.</v>
      </c>
      <c r="I171" t="str">
        <f>SUBSTITUTE(IF(LEFT(A174,3)="Câu","",B174),CHAR(34),CHAR(92)&amp;CHAR(34))</f>
        <v xml:space="preserve"> Đi trên làn đường bên trái.</v>
      </c>
      <c r="J171" t="str">
        <f>SUBSTITUTE(IF(OR(LEFT(A175,3)="Câu",I171=""),"",IF(B175=0,"",B175)),CHAR(34),CHAR(92)&amp;CHAR(34))</f>
        <v>Đi ở bất cứ làn nào nhưng phải bảo đảm tốc độ cho phép.</v>
      </c>
      <c r="K171" t="str">
        <f>SUBSTITUTE(SUBSTITUTE(SUBSTITUTE(SUBSTITUTE(IFERROR(VLOOKUP("Câu "&amp;D171&amp;".",dapan!$E:$J,6,0),""),"1","A"),"2","B"),"3","C"),"4","D")</f>
        <v/>
      </c>
      <c r="P171" t="str">
        <f t="shared" si="12"/>
        <v/>
      </c>
      <c r="Q171" t="str">
        <f t="shared" si="13"/>
        <v/>
      </c>
      <c r="R171" t="str">
        <f t="shared" si="14"/>
        <v>¯</v>
      </c>
      <c r="S171">
        <f t="shared" si="11"/>
        <v>175</v>
      </c>
    </row>
    <row r="172" spans="1:19" x14ac:dyDescent="0.25">
      <c r="A172" t="s">
        <v>150</v>
      </c>
      <c r="C172">
        <f>IFERROR(COUNTIFS($A$1:A172,"Câu "&amp;"*")-MID(A172,5,FIND(".",A172,1)-5),0)</f>
        <v>0</v>
      </c>
      <c r="D172">
        <f t="shared" si="15"/>
        <v>44</v>
      </c>
      <c r="E172" t="str">
        <f>SUBSTITUTE(IF(LEFT(A172,3)="Câu",MID(A172,FIND(".",A172,1)+2,LEN(A172)),""),CHAR(34),CHAR(92)&amp;CHAR(34))</f>
        <v>Trên một chiều đường có vạch kẻ phân làn đường, người lái xe cơ giới, xe máy chuyên dùng phải điều khiển xe đi trên làn đường nào?</v>
      </c>
      <c r="G172" t="str">
        <f>SUBSTITUTE(B173,CHAR(34),CHAR(92)&amp;CHAR(34))</f>
        <v>Đi trên làn đường bên phải trong cùng.</v>
      </c>
      <c r="H172" t="str">
        <f>SUBSTITUTE(B174,CHAR(34),CHAR(92)&amp;CHAR(34))</f>
        <v xml:space="preserve"> Đi trên làn đường bên trái.</v>
      </c>
      <c r="I172" t="str">
        <f>SUBSTITUTE(IF(LEFT(A175,3)="Câu","",B175),CHAR(34),CHAR(92)&amp;CHAR(34))</f>
        <v>Đi ở bất cứ làn nào nhưng phải bảo đảm tốc độ cho phép.</v>
      </c>
      <c r="J172" t="str">
        <f>SUBSTITUTE(IF(OR(LEFT(A176,3)="Câu",I172=""),"",IF(B176=0,"",B176)),CHAR(34),CHAR(92)&amp;CHAR(34))</f>
        <v/>
      </c>
      <c r="K172" t="str">
        <f ca="1">SUBSTITUTE(SUBSTITUTE(SUBSTITUTE(SUBSTITUTE(IFERROR(VLOOKUP("Câu "&amp;D172&amp;".",dapan!$E:$J,6,0),""),"1","A"),"2","B"),"3","C"),"4","D")</f>
        <v>B</v>
      </c>
      <c r="P172">
        <f t="shared" si="12"/>
        <v>44</v>
      </c>
      <c r="Q172" t="str">
        <f t="shared" ca="1" si="13"/>
        <v>{"num":44,"id":44,"q":"Trên một chiều đường có vạch kẻ phân làn đường, người lái xe cơ giới, xe máy chuyên dùng phải điều khiển xe đi trên làn đường nào?","opts":{"A":"Đi trên làn đường bên phải trong cùng.","B":" Đi trên làn đường bên trái.","C":"Đi ở bất cứ làn nào nhưng phải bảo đảm tốc độ cho phép."},"answer":"B"},</v>
      </c>
    </row>
    <row r="173" spans="1:19" hidden="1" x14ac:dyDescent="0.25">
      <c r="A173">
        <v>1</v>
      </c>
      <c r="B173" t="s">
        <v>151</v>
      </c>
      <c r="C173">
        <f>IFERROR(COUNTIFS($A$1:A173,"Câu "&amp;"*")-MID(A173,5,FIND(".",A173,1)-5),0)</f>
        <v>0</v>
      </c>
      <c r="D173" t="str">
        <f t="shared" si="15"/>
        <v/>
      </c>
      <c r="E173" t="str">
        <f>SUBSTITUTE(IF(LEFT(A173,3)="Câu",MID(A173,FIND(".",A173,1)+2,LEN(A173)),""),CHAR(34),CHAR(92)&amp;CHAR(34))</f>
        <v/>
      </c>
      <c r="G173" t="str">
        <f>SUBSTITUTE(B174,CHAR(34),CHAR(92)&amp;CHAR(34))</f>
        <v xml:space="preserve"> Đi trên làn đường bên trái.</v>
      </c>
      <c r="H173" t="str">
        <f>SUBSTITUTE(B175,CHAR(34),CHAR(92)&amp;CHAR(34))</f>
        <v>Đi ở bất cứ làn nào nhưng phải bảo đảm tốc độ cho phép.</v>
      </c>
      <c r="I173" t="str">
        <f>SUBSTITUTE(IF(LEFT(A176,3)="Câu","",B176),CHAR(34),CHAR(92)&amp;CHAR(34))</f>
        <v/>
      </c>
      <c r="J173" t="str">
        <f>SUBSTITUTE(IF(OR(LEFT(A177,3)="Câu",I173=""),"",IF(B177=0,"",B177)),CHAR(34),CHAR(92)&amp;CHAR(34))</f>
        <v/>
      </c>
      <c r="K173" t="str">
        <f>SUBSTITUTE(SUBSTITUTE(SUBSTITUTE(SUBSTITUTE(IFERROR(VLOOKUP("Câu "&amp;D173&amp;".",dapan!$E:$J,6,0),""),"1","A"),"2","B"),"3","C"),"4","D")</f>
        <v/>
      </c>
      <c r="P173" t="str">
        <f t="shared" si="12"/>
        <v/>
      </c>
      <c r="Q173" t="str">
        <f t="shared" si="13"/>
        <v/>
      </c>
    </row>
    <row r="174" spans="1:19" hidden="1" x14ac:dyDescent="0.25">
      <c r="A174">
        <v>2</v>
      </c>
      <c r="B174" t="s">
        <v>152</v>
      </c>
      <c r="C174">
        <f>IFERROR(COUNTIFS($A$1:A174,"Câu "&amp;"*")-MID(A174,5,FIND(".",A174,1)-5),0)</f>
        <v>0</v>
      </c>
      <c r="D174" t="str">
        <f t="shared" si="15"/>
        <v/>
      </c>
      <c r="E174" t="str">
        <f>SUBSTITUTE(IF(LEFT(A174,3)="Câu",MID(A174,FIND(".",A174,1)+2,LEN(A174)),""),CHAR(34),CHAR(92)&amp;CHAR(34))</f>
        <v/>
      </c>
      <c r="G174" t="str">
        <f>SUBSTITUTE(B175,CHAR(34),CHAR(92)&amp;CHAR(34))</f>
        <v>Đi ở bất cứ làn nào nhưng phải bảo đảm tốc độ cho phép.</v>
      </c>
      <c r="H174" t="str">
        <f>SUBSTITUTE(B176,CHAR(34),CHAR(92)&amp;CHAR(34))</f>
        <v/>
      </c>
      <c r="I174" t="str">
        <f>SUBSTITUTE(IF(LEFT(A177,3)="Câu","",B177),CHAR(34),CHAR(92)&amp;CHAR(34))</f>
        <v>Khi xe chạy phía trước có tín hiệu vượt xe khác.</v>
      </c>
      <c r="J174" t="str">
        <f>SUBSTITUTE(IF(OR(LEFT(A178,3)="Câu",I174=""),"",IF(B178=0,"",B178)),CHAR(34),CHAR(92)&amp;CHAR(34))</f>
        <v>Khi phía trước có xe chạy ngược chiều.</v>
      </c>
      <c r="K174" t="str">
        <f>SUBSTITUTE(SUBSTITUTE(SUBSTITUTE(SUBSTITUTE(IFERROR(VLOOKUP("Câu "&amp;D174&amp;".",dapan!$E:$J,6,0),""),"1","A"),"2","B"),"3","C"),"4","D")</f>
        <v/>
      </c>
      <c r="P174" t="str">
        <f t="shared" si="12"/>
        <v/>
      </c>
      <c r="Q174" t="str">
        <f t="shared" si="13"/>
        <v/>
      </c>
    </row>
    <row r="175" spans="1:19" hidden="1" x14ac:dyDescent="0.25">
      <c r="A175">
        <v>3</v>
      </c>
      <c r="B175" t="s">
        <v>153</v>
      </c>
      <c r="C175">
        <f>IFERROR(COUNTIFS($A$1:A175,"Câu "&amp;"*")-MID(A175,5,FIND(".",A175,1)-5),0)</f>
        <v>0</v>
      </c>
      <c r="D175" t="str">
        <f t="shared" si="15"/>
        <v/>
      </c>
      <c r="E175" t="str">
        <f>SUBSTITUTE(IF(LEFT(A175,3)="Câu",MID(A175,FIND(".",A175,1)+2,LEN(A175)),""),CHAR(34),CHAR(92)&amp;CHAR(34))</f>
        <v/>
      </c>
      <c r="G175" t="str">
        <f>SUBSTITUTE(B176,CHAR(34),CHAR(92)&amp;CHAR(34))</f>
        <v/>
      </c>
      <c r="H175" t="str">
        <f>SUBSTITUTE(B177,CHAR(34),CHAR(92)&amp;CHAR(34))</f>
        <v>Khi xe chạy phía trước có tín hiệu vượt xe khác.</v>
      </c>
      <c r="I175" t="str">
        <f>SUBSTITUTE(IF(LEFT(A178,3)="Câu","",B178),CHAR(34),CHAR(92)&amp;CHAR(34))</f>
        <v>Khi phía trước có xe chạy ngược chiều.</v>
      </c>
      <c r="J175" t="str">
        <f>SUBSTITUTE(IF(OR(LEFT(A179,3)="Câu",I175=""),"",IF(B179=0,"",B179)),CHAR(34),CHAR(92)&amp;CHAR(34))</f>
        <v xml:space="preserve"> Khi xe sau xin vượt nếu đủ điều kiện an toàn.</v>
      </c>
      <c r="K175" t="str">
        <f>SUBSTITUTE(SUBSTITUTE(SUBSTITUTE(SUBSTITUTE(IFERROR(VLOOKUP("Câu "&amp;D175&amp;".",dapan!$E:$J,6,0),""),"1","A"),"2","B"),"3","C"),"4","D")</f>
        <v/>
      </c>
      <c r="P175" t="str">
        <f t="shared" si="12"/>
        <v/>
      </c>
      <c r="Q175" t="str">
        <f t="shared" si="13"/>
        <v/>
      </c>
    </row>
    <row r="176" spans="1:19" x14ac:dyDescent="0.25">
      <c r="A176" t="s">
        <v>154</v>
      </c>
      <c r="C176">
        <f>IFERROR(COUNTIFS($A$1:A176,"Câu "&amp;"*")-MID(A176,5,FIND(".",A176,1)-5),0)</f>
        <v>0</v>
      </c>
      <c r="D176">
        <f t="shared" si="15"/>
        <v>45</v>
      </c>
      <c r="E176" t="str">
        <f>SUBSTITUTE(IF(LEFT(A176,3)="Câu",MID(A176,FIND(".",A176,1)+2,LEN(A176)),""),CHAR(34),CHAR(92)&amp;CHAR(34))</f>
        <v>Người lái xe phải giảm tốc độ, có tín hiệu rẽ phải và đi sát về bên phải của phần đường xe chạy trong các trường hợp nào dưới đây?</v>
      </c>
      <c r="G176" t="str">
        <f>SUBSTITUTE(B177,CHAR(34),CHAR(92)&amp;CHAR(34))</f>
        <v>Khi xe chạy phía trước có tín hiệu vượt xe khác.</v>
      </c>
      <c r="H176" t="str">
        <f>SUBSTITUTE(B178,CHAR(34),CHAR(92)&amp;CHAR(34))</f>
        <v>Khi phía trước có xe chạy ngược chiều.</v>
      </c>
      <c r="I176" t="str">
        <f>SUBSTITUTE(IF(LEFT(A179,3)="Câu","",B179),CHAR(34),CHAR(92)&amp;CHAR(34))</f>
        <v xml:space="preserve"> Khi xe sau xin vượt nếu đủ điều kiện an toàn.</v>
      </c>
      <c r="J176" t="str">
        <f>SUBSTITUTE(IF(OR(LEFT(A180,3)="Câu",I176=""),"",IF(B180=0,"",B180)),CHAR(34),CHAR(92)&amp;CHAR(34))</f>
        <v>Khi xe sau có tín hiệu vượt bên phải.</v>
      </c>
      <c r="K176" t="str">
        <f ca="1">SUBSTITUTE(SUBSTITUTE(SUBSTITUTE(SUBSTITUTE(IFERROR(VLOOKUP("Câu "&amp;D176&amp;".",dapan!$E:$J,6,0),""),"1","A"),"2","B"),"3","C"),"4","D")</f>
        <v>C</v>
      </c>
      <c r="P176">
        <f t="shared" si="12"/>
        <v>45</v>
      </c>
      <c r="Q176" t="str">
        <f t="shared" ca="1" si="13"/>
        <v>{"num":45,"id":45,"q":"Người lái xe phải giảm tốc độ, có tín hiệu rẽ phải và đi sát về bên phải của phần đường xe chạy trong các trường hợp nào dưới đây?","opts":{"A":"Khi xe chạy phía trước có tín hiệu vượt xe khác.","B":"Khi phía trước có xe chạy ngược chiều.","C":" Khi xe sau xin vượt nếu đủ điều kiện an toàn.","D":"Khi xe sau có tín hiệu vượt bên phải."},"answer":"C"},</v>
      </c>
    </row>
    <row r="177" spans="1:17" hidden="1" x14ac:dyDescent="0.25">
      <c r="A177">
        <v>1</v>
      </c>
      <c r="B177" t="s">
        <v>155</v>
      </c>
      <c r="C177">
        <f>IFERROR(COUNTIFS($A$1:A177,"Câu "&amp;"*")-MID(A177,5,FIND(".",A177,1)-5),0)</f>
        <v>0</v>
      </c>
      <c r="D177" t="str">
        <f t="shared" si="15"/>
        <v/>
      </c>
      <c r="E177" t="str">
        <f>SUBSTITUTE(IF(LEFT(A177,3)="Câu",MID(A177,FIND(".",A177,1)+2,LEN(A177)),""),CHAR(34),CHAR(92)&amp;CHAR(34))</f>
        <v/>
      </c>
      <c r="G177" t="str">
        <f>SUBSTITUTE(B178,CHAR(34),CHAR(92)&amp;CHAR(34))</f>
        <v>Khi phía trước có xe chạy ngược chiều.</v>
      </c>
      <c r="H177" t="str">
        <f>SUBSTITUTE(B179,CHAR(34),CHAR(92)&amp;CHAR(34))</f>
        <v xml:space="preserve"> Khi xe sau xin vượt nếu đủ điều kiện an toàn.</v>
      </c>
      <c r="I177" t="str">
        <f>SUBSTITUTE(IF(LEFT(A180,3)="Câu","",B180),CHAR(34),CHAR(92)&amp;CHAR(34))</f>
        <v>Khi xe sau có tín hiệu vượt bên phải.</v>
      </c>
      <c r="J177" t="str">
        <f>SUBSTITUTE(IF(OR(LEFT(A181,3)="Câu",I177=""),"",IF(B181=0,"",B181)),CHAR(34),CHAR(92)&amp;CHAR(34))</f>
        <v/>
      </c>
      <c r="K177" t="str">
        <f>SUBSTITUTE(SUBSTITUTE(SUBSTITUTE(SUBSTITUTE(IFERROR(VLOOKUP("Câu "&amp;D177&amp;".",dapan!$E:$J,6,0),""),"1","A"),"2","B"),"3","C"),"4","D")</f>
        <v/>
      </c>
      <c r="P177" t="str">
        <f t="shared" si="12"/>
        <v/>
      </c>
      <c r="Q177" t="str">
        <f t="shared" si="13"/>
        <v/>
      </c>
    </row>
    <row r="178" spans="1:17" hidden="1" x14ac:dyDescent="0.25">
      <c r="A178">
        <v>2</v>
      </c>
      <c r="B178" t="s">
        <v>156</v>
      </c>
      <c r="C178">
        <f>IFERROR(COUNTIFS($A$1:A178,"Câu "&amp;"*")-MID(A178,5,FIND(".",A178,1)-5),0)</f>
        <v>0</v>
      </c>
      <c r="D178" t="str">
        <f t="shared" si="15"/>
        <v/>
      </c>
      <c r="E178" t="str">
        <f>SUBSTITUTE(IF(LEFT(A178,3)="Câu",MID(A178,FIND(".",A178,1)+2,LEN(A178)),""),CHAR(34),CHAR(92)&amp;CHAR(34))</f>
        <v/>
      </c>
      <c r="G178" t="str">
        <f>SUBSTITUTE(B179,CHAR(34),CHAR(92)&amp;CHAR(34))</f>
        <v xml:space="preserve"> Khi xe sau xin vượt nếu đủ điều kiện an toàn.</v>
      </c>
      <c r="H178" t="str">
        <f>SUBSTITUTE(B180,CHAR(34),CHAR(92)&amp;CHAR(34))</f>
        <v>Khi xe sau có tín hiệu vượt bên phải.</v>
      </c>
      <c r="I178" t="str">
        <f>SUBSTITUTE(IF(LEFT(A181,3)="Câu","",B181),CHAR(34),CHAR(92)&amp;CHAR(34))</f>
        <v/>
      </c>
      <c r="J178" t="str">
        <f>SUBSTITUTE(IF(OR(LEFT(A182,3)="Câu",I178=""),"",IF(B182=0,"",B182)),CHAR(34),CHAR(92)&amp;CHAR(34))</f>
        <v/>
      </c>
      <c r="K178" t="str">
        <f>SUBSTITUTE(SUBSTITUTE(SUBSTITUTE(SUBSTITUTE(IFERROR(VLOOKUP("Câu "&amp;D178&amp;".",dapan!$E:$J,6,0),""),"1","A"),"2","B"),"3","C"),"4","D")</f>
        <v/>
      </c>
      <c r="P178" t="str">
        <f t="shared" si="12"/>
        <v/>
      </c>
      <c r="Q178" t="str">
        <f t="shared" si="13"/>
        <v/>
      </c>
    </row>
    <row r="179" spans="1:17" hidden="1" x14ac:dyDescent="0.25">
      <c r="A179">
        <v>3</v>
      </c>
      <c r="B179" t="s">
        <v>157</v>
      </c>
      <c r="C179">
        <f>IFERROR(COUNTIFS($A$1:A179,"Câu "&amp;"*")-MID(A179,5,FIND(".",A179,1)-5),0)</f>
        <v>0</v>
      </c>
      <c r="D179" t="str">
        <f t="shared" si="15"/>
        <v/>
      </c>
      <c r="E179" t="str">
        <f>SUBSTITUTE(IF(LEFT(A179,3)="Câu",MID(A179,FIND(".",A179,1)+2,LEN(A179)),""),CHAR(34),CHAR(92)&amp;CHAR(34))</f>
        <v/>
      </c>
      <c r="G179" t="str">
        <f>SUBSTITUTE(B180,CHAR(34),CHAR(92)&amp;CHAR(34))</f>
        <v>Khi xe sau có tín hiệu vượt bên phải.</v>
      </c>
      <c r="H179" t="str">
        <f>SUBSTITUTE(B181,CHAR(34),CHAR(92)&amp;CHAR(34))</f>
        <v/>
      </c>
      <c r="I179" t="str">
        <f>SUBSTITUTE(IF(LEFT(A182,3)="Câu","",B182),CHAR(34),CHAR(92)&amp;CHAR(34))</f>
        <v xml:space="preserve"> Là tình huống giao thông trên đường mà mỗi chiều đường xe chạy chỉ có một làn đường dành cho xe cơ giới, xe đi phía sau di chuyển sang bên trái để di chuyển lên trước xe phía trước.</v>
      </c>
      <c r="J179" t="str">
        <f>SUBSTITUTE(IF(OR(LEFT(A183,3)="Câu",I179=""),"",IF(B183=0,"",B183)),CHAR(34),CHAR(92)&amp;CHAR(34))</f>
        <v>Là tình huống giao thông trên đường có từ hai làn đường dành cho xe cơ giới cùng chiều trở lên được phân biệt bằng vạch kẻ đường, xe đi phía sau di chuyển lên trước xe phía trước theo quy tắc sử dụng làn đường.</v>
      </c>
      <c r="K179" t="str">
        <f>SUBSTITUTE(SUBSTITUTE(SUBSTITUTE(SUBSTITUTE(IFERROR(VLOOKUP("Câu "&amp;D179&amp;".",dapan!$E:$J,6,0),""),"1","A"),"2","B"),"3","C"),"4","D")</f>
        <v/>
      </c>
      <c r="P179" t="str">
        <f t="shared" si="12"/>
        <v/>
      </c>
      <c r="Q179" t="str">
        <f t="shared" si="13"/>
        <v/>
      </c>
    </row>
    <row r="180" spans="1:17" hidden="1" x14ac:dyDescent="0.25">
      <c r="A180">
        <v>4</v>
      </c>
      <c r="B180" t="s">
        <v>158</v>
      </c>
      <c r="C180">
        <f>IFERROR(COUNTIFS($A$1:A180,"Câu "&amp;"*")-MID(A180,5,FIND(".",A180,1)-5),0)</f>
        <v>0</v>
      </c>
      <c r="D180" t="str">
        <f t="shared" si="15"/>
        <v/>
      </c>
      <c r="E180" t="str">
        <f>SUBSTITUTE(IF(LEFT(A180,3)="Câu",MID(A180,FIND(".",A180,1)+2,LEN(A180)),""),CHAR(34),CHAR(92)&amp;CHAR(34))</f>
        <v/>
      </c>
      <c r="G180" t="str">
        <f>SUBSTITUTE(B181,CHAR(34),CHAR(92)&amp;CHAR(34))</f>
        <v/>
      </c>
      <c r="H180" t="str">
        <f>SUBSTITUTE(B182,CHAR(34),CHAR(92)&amp;CHAR(34))</f>
        <v xml:space="preserve"> Là tình huống giao thông trên đường mà mỗi chiều đường xe chạy chỉ có một làn đường dành cho xe cơ giới, xe đi phía sau di chuyển sang bên trái để di chuyển lên trước xe phía trước.</v>
      </c>
      <c r="I180" t="str">
        <f>SUBSTITUTE(IF(LEFT(A183,3)="Câu","",B183),CHAR(34),CHAR(92)&amp;CHAR(34))</f>
        <v>Là tình huống giao thông trên đường có từ hai làn đường dành cho xe cơ giới cùng chiều trở lên được phân biệt bằng vạch kẻ đường, xe đi phía sau di chuyển lên trước xe phía trước theo quy tắc sử dụng làn đường.</v>
      </c>
      <c r="J180" t="str">
        <f>SUBSTITUTE(IF(OR(LEFT(A184,3)="Câu",I180=""),"",IF(B184=0,"",B184)),CHAR(34),CHAR(92)&amp;CHAR(34))</f>
        <v/>
      </c>
      <c r="K180" t="str">
        <f>SUBSTITUTE(SUBSTITUTE(SUBSTITUTE(SUBSTITUTE(IFERROR(VLOOKUP("Câu "&amp;D180&amp;".",dapan!$E:$J,6,0),""),"1","A"),"2","B"),"3","C"),"4","D")</f>
        <v/>
      </c>
      <c r="P180" t="str">
        <f t="shared" si="12"/>
        <v/>
      </c>
      <c r="Q180" t="str">
        <f t="shared" si="13"/>
        <v/>
      </c>
    </row>
    <row r="181" spans="1:17" x14ac:dyDescent="0.25">
      <c r="A181" t="s">
        <v>159</v>
      </c>
      <c r="C181">
        <f>IFERROR(COUNTIFS($A$1:A181,"Câu "&amp;"*")-MID(A181,5,FIND(".",A181,1)-5),0)</f>
        <v>0</v>
      </c>
      <c r="D181">
        <f t="shared" si="15"/>
        <v>46</v>
      </c>
      <c r="E181" t="str">
        <f>SUBSTITUTE(IF(LEFT(A181,3)="Câu",MID(A181,FIND(".",A181,1)+2,LEN(A181)),""),CHAR(34),CHAR(92)&amp;CHAR(34))</f>
        <v>Vượt xe là gì?</v>
      </c>
      <c r="G181" t="str">
        <f>SUBSTITUTE(B182,CHAR(34),CHAR(92)&amp;CHAR(34))</f>
        <v xml:space="preserve"> Là tình huống giao thông trên đường mà mỗi chiều đường xe chạy chỉ có một làn đường dành cho xe cơ giới, xe đi phía sau di chuyển sang bên trái để di chuyển lên trước xe phía trước.</v>
      </c>
      <c r="H181" t="str">
        <f>SUBSTITUTE(B183,CHAR(34),CHAR(92)&amp;CHAR(34))</f>
        <v>Là tình huống giao thông trên đường có từ hai làn đường dành cho xe cơ giới cùng chiều trở lên được phân biệt bằng vạch kẻ đường, xe đi phía sau di chuyển lên trước xe phía trước theo quy tắc sử dụng làn đường.</v>
      </c>
      <c r="I181" t="str">
        <f>SUBSTITUTE(IF(LEFT(A184,3)="Câu","",B184),CHAR(34),CHAR(92)&amp;CHAR(34))</f>
        <v/>
      </c>
      <c r="J181" t="str">
        <f>SUBSTITUTE(IF(OR(LEFT(A185,3)="Câu",I181=""),"",IF(B185=0,"",B185)),CHAR(34),CHAR(92)&amp;CHAR(34))</f>
        <v/>
      </c>
      <c r="K181" t="str">
        <f ca="1">SUBSTITUTE(SUBSTITUTE(SUBSTITUTE(SUBSTITUTE(IFERROR(VLOOKUP("Câu "&amp;D181&amp;".",dapan!$E:$J,6,0),""),"1","A"),"2","B"),"3","C"),"4","D")</f>
        <v>A</v>
      </c>
      <c r="P181">
        <f t="shared" si="12"/>
        <v>46</v>
      </c>
      <c r="Q181" t="str">
        <f t="shared" ca="1" si="13"/>
        <v>{"num":46,"id":46,"q":"Vượt xe là gì?","opts":{"A":" Là tình huống giao thông trên đường mà mỗi chiều đường xe chạy chỉ có một làn đường dành cho xe cơ giới, xe đi phía sau di chuyển sang bên trái để di chuyển lên trước xe phía trước.","B":"Là tình huống giao thông trên đường có từ hai làn đường dành cho xe cơ giới cùng chiều trở lên được phân biệt bằng vạch kẻ đường, xe đi phía sau di chuyển lên trước xe phía trước theo quy tắc sử dụng làn đường."},"answer":"A"},</v>
      </c>
    </row>
    <row r="182" spans="1:17" hidden="1" x14ac:dyDescent="0.25">
      <c r="A182">
        <v>1</v>
      </c>
      <c r="B182" t="s">
        <v>160</v>
      </c>
      <c r="C182">
        <f>IFERROR(COUNTIFS($A$1:A182,"Câu "&amp;"*")-MID(A182,5,FIND(".",A182,1)-5),0)</f>
        <v>0</v>
      </c>
      <c r="D182" t="str">
        <f t="shared" si="15"/>
        <v/>
      </c>
      <c r="E182" t="str">
        <f>SUBSTITUTE(IF(LEFT(A182,3)="Câu",MID(A182,FIND(".",A182,1)+2,LEN(A182)),""),CHAR(34),CHAR(92)&amp;CHAR(34))</f>
        <v/>
      </c>
      <c r="G182" t="str">
        <f>SUBSTITUTE(B183,CHAR(34),CHAR(92)&amp;CHAR(34))</f>
        <v>Là tình huống giao thông trên đường có từ hai làn đường dành cho xe cơ giới cùng chiều trở lên được phân biệt bằng vạch kẻ đường, xe đi phía sau di chuyển lên trước xe phía trước theo quy tắc sử dụng làn đường.</v>
      </c>
      <c r="H182" t="str">
        <f>SUBSTITUTE(B184,CHAR(34),CHAR(92)&amp;CHAR(34))</f>
        <v/>
      </c>
      <c r="I182" t="str">
        <f>SUBSTITUTE(IF(LEFT(A185,3)="Câu","",B185),CHAR(34),CHAR(92)&amp;CHAR(34))</f>
        <v>Được phép vượt khi đường vắng.</v>
      </c>
      <c r="J182" t="str">
        <f>SUBSTITUTE(IF(OR(LEFT(A186,3)="Câu",I182=""),"",IF(B186=0,"",B186)),CHAR(34),CHAR(92)&amp;CHAR(34))</f>
        <v xml:space="preserve"> Không được phép vượt.</v>
      </c>
      <c r="K182" t="str">
        <f>SUBSTITUTE(SUBSTITUTE(SUBSTITUTE(SUBSTITUTE(IFERROR(VLOOKUP("Câu "&amp;D182&amp;".",dapan!$E:$J,6,0),""),"1","A"),"2","B"),"3","C"),"4","D")</f>
        <v/>
      </c>
      <c r="P182" t="str">
        <f t="shared" si="12"/>
        <v/>
      </c>
      <c r="Q182" t="str">
        <f t="shared" si="13"/>
        <v/>
      </c>
    </row>
    <row r="183" spans="1:17" hidden="1" x14ac:dyDescent="0.25">
      <c r="A183">
        <v>2</v>
      </c>
      <c r="B183" t="s">
        <v>161</v>
      </c>
      <c r="C183">
        <f>IFERROR(COUNTIFS($A$1:A183,"Câu "&amp;"*")-MID(A183,5,FIND(".",A183,1)-5),0)</f>
        <v>0</v>
      </c>
      <c r="D183" t="str">
        <f t="shared" si="15"/>
        <v/>
      </c>
      <c r="E183" t="str">
        <f>SUBSTITUTE(IF(LEFT(A183,3)="Câu",MID(A183,FIND(".",A183,1)+2,LEN(A183)),""),CHAR(34),CHAR(92)&amp;CHAR(34))</f>
        <v/>
      </c>
      <c r="G183" t="str">
        <f>SUBSTITUTE(B184,CHAR(34),CHAR(92)&amp;CHAR(34))</f>
        <v/>
      </c>
      <c r="H183" t="str">
        <f>SUBSTITUTE(B185,CHAR(34),CHAR(92)&amp;CHAR(34))</f>
        <v>Được phép vượt khi đường vắng.</v>
      </c>
      <c r="I183" t="str">
        <f>SUBSTITUTE(IF(LEFT(A186,3)="Câu","",B186),CHAR(34),CHAR(92)&amp;CHAR(34))</f>
        <v xml:space="preserve"> Không được phép vượt.</v>
      </c>
      <c r="J183" t="str">
        <f>SUBSTITUTE(IF(OR(LEFT(A187,3)="Câu",I183=""),"",IF(B187=0,"",B187)),CHAR(34),CHAR(92)&amp;CHAR(34))</f>
        <v>Được phép vượt khi có việc gấp.</v>
      </c>
      <c r="K183" t="str">
        <f>SUBSTITUTE(SUBSTITUTE(SUBSTITUTE(SUBSTITUTE(IFERROR(VLOOKUP("Câu "&amp;D183&amp;".",dapan!$E:$J,6,0),""),"1","A"),"2","B"),"3","C"),"4","D")</f>
        <v/>
      </c>
      <c r="P183" t="str">
        <f t="shared" si="12"/>
        <v/>
      </c>
      <c r="Q183" t="str">
        <f t="shared" si="13"/>
        <v/>
      </c>
    </row>
    <row r="184" spans="1:17" x14ac:dyDescent="0.25">
      <c r="A184" t="s">
        <v>162</v>
      </c>
      <c r="C184">
        <f>IFERROR(COUNTIFS($A$1:A184,"Câu "&amp;"*")-MID(A184,5,FIND(".",A184,1)-5),0)</f>
        <v>0</v>
      </c>
      <c r="D184">
        <f t="shared" si="15"/>
        <v>47</v>
      </c>
      <c r="E184" t="str">
        <f>SUBSTITUTE(IF(LEFT(A184,3)="Câu",MID(A184,FIND(".",A184,1)+2,LEN(A184)),""),CHAR(34),CHAR(92)&amp;CHAR(34))</f>
        <v>Người lái xe được phép vượt xe trên cầu hẹp có một làn đường, đường cong có tầm nhìn bị hạn chế hay không?</v>
      </c>
      <c r="G184" t="str">
        <f>SUBSTITUTE(B185,CHAR(34),CHAR(92)&amp;CHAR(34))</f>
        <v>Được phép vượt khi đường vắng.</v>
      </c>
      <c r="H184" t="str">
        <f>SUBSTITUTE(B186,CHAR(34),CHAR(92)&amp;CHAR(34))</f>
        <v xml:space="preserve"> Không được phép vượt.</v>
      </c>
      <c r="I184" t="str">
        <f>SUBSTITUTE(IF(LEFT(A187,3)="Câu","",B187),CHAR(34),CHAR(92)&amp;CHAR(34))</f>
        <v>Được phép vượt khi có việc gấp.</v>
      </c>
      <c r="J184" t="str">
        <f>SUBSTITUTE(IF(OR(LEFT(A188,3)="Câu",I184=""),"",IF(B188=0,"",B188)),CHAR(34),CHAR(92)&amp;CHAR(34))</f>
        <v/>
      </c>
      <c r="K184" t="str">
        <f ca="1">SUBSTITUTE(SUBSTITUTE(SUBSTITUTE(SUBSTITUTE(IFERROR(VLOOKUP("Câu "&amp;D184&amp;".",dapan!$E:$J,6,0),""),"1","A"),"2","B"),"3","C"),"4","D")</f>
        <v>B</v>
      </c>
      <c r="P184">
        <f t="shared" si="12"/>
        <v>47</v>
      </c>
      <c r="Q184" t="str">
        <f t="shared" ca="1" si="13"/>
        <v>{"num":47,"id":47,"q":"Người lái xe được phép vượt xe trên cầu hẹp có một làn đường, đường cong có tầm nhìn bị hạn chế hay không?","opts":{"A":"Được phép vượt khi đường vắng.","B":" Không được phép vượt.","C":"Được phép vượt khi có việc gấp."},"answer":"B"},</v>
      </c>
    </row>
    <row r="185" spans="1:17" hidden="1" x14ac:dyDescent="0.25">
      <c r="A185">
        <v>1</v>
      </c>
      <c r="B185" t="s">
        <v>163</v>
      </c>
      <c r="C185">
        <f>IFERROR(COUNTIFS($A$1:A185,"Câu "&amp;"*")-MID(A185,5,FIND(".",A185,1)-5),0)</f>
        <v>0</v>
      </c>
      <c r="D185" t="str">
        <f t="shared" si="15"/>
        <v/>
      </c>
      <c r="E185" t="str">
        <f>SUBSTITUTE(IF(LEFT(A185,3)="Câu",MID(A185,FIND(".",A185,1)+2,LEN(A185)),""),CHAR(34),CHAR(92)&amp;CHAR(34))</f>
        <v/>
      </c>
      <c r="G185" t="str">
        <f>SUBSTITUTE(B186,CHAR(34),CHAR(92)&amp;CHAR(34))</f>
        <v xml:space="preserve"> Không được phép vượt.</v>
      </c>
      <c r="H185" t="str">
        <f>SUBSTITUTE(B187,CHAR(34),CHAR(92)&amp;CHAR(34))</f>
        <v>Được phép vượt khi có việc gấp.</v>
      </c>
      <c r="I185" t="str">
        <f>SUBSTITUTE(IF(LEFT(A188,3)="Câu","",B188),CHAR(34),CHAR(92)&amp;CHAR(34))</f>
        <v/>
      </c>
      <c r="J185" t="str">
        <f>SUBSTITUTE(IF(OR(LEFT(A189,3)="Câu",I185=""),"",IF(B189=0,"",B189)),CHAR(34),CHAR(92)&amp;CHAR(34))</f>
        <v/>
      </c>
      <c r="K185" t="str">
        <f>SUBSTITUTE(SUBSTITUTE(SUBSTITUTE(SUBSTITUTE(IFERROR(VLOOKUP("Câu "&amp;D185&amp;".",dapan!$E:$J,6,0),""),"1","A"),"2","B"),"3","C"),"4","D")</f>
        <v/>
      </c>
      <c r="P185" t="str">
        <f t="shared" si="12"/>
        <v/>
      </c>
      <c r="Q185" t="str">
        <f t="shared" si="13"/>
        <v/>
      </c>
    </row>
    <row r="186" spans="1:17" hidden="1" x14ac:dyDescent="0.25">
      <c r="A186">
        <v>2</v>
      </c>
      <c r="B186" t="s">
        <v>164</v>
      </c>
      <c r="C186">
        <f>IFERROR(COUNTIFS($A$1:A186,"Câu "&amp;"*")-MID(A186,5,FIND(".",A186,1)-5),0)</f>
        <v>0</v>
      </c>
      <c r="D186" t="str">
        <f t="shared" si="15"/>
        <v/>
      </c>
      <c r="E186" t="str">
        <f>SUBSTITUTE(IF(LEFT(A186,3)="Câu",MID(A186,FIND(".",A186,1)+2,LEN(A186)),""),CHAR(34),CHAR(92)&amp;CHAR(34))</f>
        <v/>
      </c>
      <c r="G186" t="str">
        <f>SUBSTITUTE(B187,CHAR(34),CHAR(92)&amp;CHAR(34))</f>
        <v>Được phép vượt khi có việc gấp.</v>
      </c>
      <c r="H186" t="str">
        <f>SUBSTITUTE(B188,CHAR(34),CHAR(92)&amp;CHAR(34))</f>
        <v/>
      </c>
      <c r="I186" t="str">
        <f>SUBSTITUTE(IF(LEFT(A189,3)="Câu","",B189),CHAR(34),CHAR(92)&amp;CHAR(34))</f>
        <v>Bấm còi liên tục để xe phía trước biết xe mình xin vượt.</v>
      </c>
      <c r="J186" t="str">
        <f>SUBSTITUTE(IF(OR(LEFT(A190,3)="Câu",I186=""),"",IF(B190=0,"",B190)),CHAR(34),CHAR(92)&amp;CHAR(34))</f>
        <v>Rú ga liên tục để xe phía trước biết xe mình xin vượt.</v>
      </c>
      <c r="K186" t="str">
        <f>SUBSTITUTE(SUBSTITUTE(SUBSTITUTE(SUBSTITUTE(IFERROR(VLOOKUP("Câu "&amp;D186&amp;".",dapan!$E:$J,6,0),""),"1","A"),"2","B"),"3","C"),"4","D")</f>
        <v/>
      </c>
      <c r="P186" t="str">
        <f t="shared" si="12"/>
        <v/>
      </c>
      <c r="Q186" t="str">
        <f t="shared" si="13"/>
        <v/>
      </c>
    </row>
    <row r="187" spans="1:17" hidden="1" x14ac:dyDescent="0.25">
      <c r="A187">
        <v>3</v>
      </c>
      <c r="B187" t="s">
        <v>165</v>
      </c>
      <c r="C187">
        <f>IFERROR(COUNTIFS($A$1:A187,"Câu "&amp;"*")-MID(A187,5,FIND(".",A187,1)-5),0)</f>
        <v>0</v>
      </c>
      <c r="D187" t="str">
        <f t="shared" si="15"/>
        <v/>
      </c>
      <c r="E187" t="str">
        <f>SUBSTITUTE(IF(LEFT(A187,3)="Câu",MID(A187,FIND(".",A187,1)+2,LEN(A187)),""),CHAR(34),CHAR(92)&amp;CHAR(34))</f>
        <v/>
      </c>
      <c r="G187" t="str">
        <f>SUBSTITUTE(B188,CHAR(34),CHAR(92)&amp;CHAR(34))</f>
        <v/>
      </c>
      <c r="H187" t="str">
        <f>SUBSTITUTE(B189,CHAR(34),CHAR(92)&amp;CHAR(34))</f>
        <v>Bấm còi liên tục để xe phía trước biết xe mình xin vượt.</v>
      </c>
      <c r="I187" t="str">
        <f>SUBSTITUTE(IF(LEFT(A190,3)="Câu","",B190),CHAR(34),CHAR(92)&amp;CHAR(34))</f>
        <v>Rú ga liên tục để xe phía trước biết xe mình xin vượt.</v>
      </c>
      <c r="J187" t="str">
        <f>SUBSTITUTE(IF(OR(LEFT(A191,3)="Câu",I187=""),"",IF(B191=0,"",B191)),CHAR(34),CHAR(92)&amp;CHAR(34))</f>
        <v xml:space="preserve"> Báo hiệu nhấp nháy bằng đèn chiếu sáng phía trước hoặc còi.</v>
      </c>
      <c r="K187" t="str">
        <f>SUBSTITUTE(SUBSTITUTE(SUBSTITUTE(SUBSTITUTE(IFERROR(VLOOKUP("Câu "&amp;D187&amp;".",dapan!$E:$J,6,0),""),"1","A"),"2","B"),"3","C"),"4","D")</f>
        <v/>
      </c>
      <c r="P187" t="str">
        <f t="shared" si="12"/>
        <v/>
      </c>
      <c r="Q187" t="str">
        <f t="shared" si="13"/>
        <v/>
      </c>
    </row>
    <row r="188" spans="1:17" x14ac:dyDescent="0.25">
      <c r="A188" t="s">
        <v>166</v>
      </c>
      <c r="C188">
        <f>IFERROR(COUNTIFS($A$1:A188,"Câu "&amp;"*")-MID(A188,5,FIND(".",A188,1)-5),0)</f>
        <v>0</v>
      </c>
      <c r="D188">
        <f t="shared" si="15"/>
        <v>48</v>
      </c>
      <c r="E188" t="str">
        <f>SUBSTITUTE(IF(LEFT(A188,3)="Câu",MID(A188,FIND(".",A188,1)+2,LEN(A188)),""),CHAR(34),CHAR(92)&amp;CHAR(34))</f>
        <v>Muốn vượt xe phía trước, người lái xe mô tô phải có tín hiệu như thế nào dưới đây để bảo đảm an toàn?</v>
      </c>
      <c r="G188" t="str">
        <f>SUBSTITUTE(B189,CHAR(34),CHAR(92)&amp;CHAR(34))</f>
        <v>Bấm còi liên tục để xe phía trước biết xe mình xin vượt.</v>
      </c>
      <c r="H188" t="str">
        <f>SUBSTITUTE(B190,CHAR(34),CHAR(92)&amp;CHAR(34))</f>
        <v>Rú ga liên tục để xe phía trước biết xe mình xin vượt.</v>
      </c>
      <c r="I188" t="str">
        <f>SUBSTITUTE(IF(LEFT(A191,3)="Câu","",B191),CHAR(34),CHAR(92)&amp;CHAR(34))</f>
        <v xml:space="preserve"> Báo hiệu nhấp nháy bằng đèn chiếu sáng phía trước hoặc còi.</v>
      </c>
      <c r="J188" t="str">
        <f>SUBSTITUTE(IF(OR(LEFT(A192,3)="Câu",I188=""),"",IF(B192=0,"",B192)),CHAR(34),CHAR(92)&amp;CHAR(34))</f>
        <v/>
      </c>
      <c r="K188" t="str">
        <f ca="1">SUBSTITUTE(SUBSTITUTE(SUBSTITUTE(SUBSTITUTE(IFERROR(VLOOKUP("Câu "&amp;D188&amp;".",dapan!$E:$J,6,0),""),"1","A"),"2","B"),"3","C"),"4","D")</f>
        <v>C</v>
      </c>
      <c r="P188">
        <f t="shared" si="12"/>
        <v>48</v>
      </c>
      <c r="Q188" t="str">
        <f t="shared" ca="1" si="13"/>
        <v>{"num":48,"id":48,"q":"Muốn vượt xe phía trước, người lái xe mô tô phải có tín hiệu như thế nào dưới đây để bảo đảm an toàn?","opts":{"A":"Bấm còi liên tục để xe phía trước biết xe mình xin vượt.","B":"Rú ga liên tục để xe phía trước biết xe mình xin vượt.","C":" Báo hiệu nhấp nháy bằng đèn chiếu sáng phía trước hoặc còi."},"answer":"C"},</v>
      </c>
    </row>
    <row r="189" spans="1:17" hidden="1" x14ac:dyDescent="0.25">
      <c r="A189">
        <v>1</v>
      </c>
      <c r="B189" t="s">
        <v>167</v>
      </c>
      <c r="C189">
        <f>IFERROR(COUNTIFS($A$1:A189,"Câu "&amp;"*")-MID(A189,5,FIND(".",A189,1)-5),0)</f>
        <v>0</v>
      </c>
      <c r="D189" t="str">
        <f t="shared" si="15"/>
        <v/>
      </c>
      <c r="E189" t="str">
        <f>SUBSTITUTE(IF(LEFT(A189,3)="Câu",MID(A189,FIND(".",A189,1)+2,LEN(A189)),""),CHAR(34),CHAR(92)&amp;CHAR(34))</f>
        <v/>
      </c>
      <c r="G189" t="str">
        <f>SUBSTITUTE(B190,CHAR(34),CHAR(92)&amp;CHAR(34))</f>
        <v>Rú ga liên tục để xe phía trước biết xe mình xin vượt.</v>
      </c>
      <c r="H189" t="str">
        <f>SUBSTITUTE(B191,CHAR(34),CHAR(92)&amp;CHAR(34))</f>
        <v xml:space="preserve"> Báo hiệu nhấp nháy bằng đèn chiếu sáng phía trước hoặc còi.</v>
      </c>
      <c r="I189" t="str">
        <f>SUBSTITUTE(IF(LEFT(A192,3)="Câu","",B192),CHAR(34),CHAR(92)&amp;CHAR(34))</f>
        <v/>
      </c>
      <c r="J189" t="str">
        <f>SUBSTITUTE(IF(OR(LEFT(A193,3)="Câu",I189=""),"",IF(B193=0,"",B193)),CHAR(34),CHAR(92)&amp;CHAR(34))</f>
        <v/>
      </c>
      <c r="K189" t="str">
        <f>SUBSTITUTE(SUBSTITUTE(SUBSTITUTE(SUBSTITUTE(IFERROR(VLOOKUP("Câu "&amp;D189&amp;".",dapan!$E:$J,6,0),""),"1","A"),"2","B"),"3","C"),"4","D")</f>
        <v/>
      </c>
      <c r="P189" t="str">
        <f t="shared" si="12"/>
        <v/>
      </c>
      <c r="Q189" t="str">
        <f t="shared" si="13"/>
        <v/>
      </c>
    </row>
    <row r="190" spans="1:17" hidden="1" x14ac:dyDescent="0.25">
      <c r="A190">
        <v>2</v>
      </c>
      <c r="B190" t="s">
        <v>168</v>
      </c>
      <c r="C190">
        <f>IFERROR(COUNTIFS($A$1:A190,"Câu "&amp;"*")-MID(A190,5,FIND(".",A190,1)-5),0)</f>
        <v>0</v>
      </c>
      <c r="D190" t="str">
        <f t="shared" si="15"/>
        <v/>
      </c>
      <c r="E190" t="str">
        <f>SUBSTITUTE(IF(LEFT(A190,3)="Câu",MID(A190,FIND(".",A190,1)+2,LEN(A190)),""),CHAR(34),CHAR(92)&amp;CHAR(34))</f>
        <v/>
      </c>
      <c r="G190" t="str">
        <f>SUBSTITUTE(B191,CHAR(34),CHAR(92)&amp;CHAR(34))</f>
        <v xml:space="preserve"> Báo hiệu nhấp nháy bằng đèn chiếu sáng phía trước hoặc còi.</v>
      </c>
      <c r="H190" t="str">
        <f>SUBSTITUTE(B192,CHAR(34),CHAR(92)&amp;CHAR(34))</f>
        <v/>
      </c>
      <c r="I190" t="str">
        <f>SUBSTITUTE(IF(LEFT(A193,3)="Câu","",B193),CHAR(34),CHAR(92)&amp;CHAR(34))</f>
        <v>Từ 22 giờ ngày hôm trước đến 05 giờ ngày hôm sau.</v>
      </c>
      <c r="J190" t="str">
        <f>SUBSTITUTE(IF(OR(LEFT(A194,3)="Câu",I190=""),"",IF(B194=0,"",B194)),CHAR(34),CHAR(92)&amp;CHAR(34))</f>
        <v xml:space="preserve"> Từ 05 giờ đến 22 giờ.</v>
      </c>
      <c r="K190" t="str">
        <f>SUBSTITUTE(SUBSTITUTE(SUBSTITUTE(SUBSTITUTE(IFERROR(VLOOKUP("Câu "&amp;D190&amp;".",dapan!$E:$J,6,0),""),"1","A"),"2","B"),"3","C"),"4","D")</f>
        <v/>
      </c>
      <c r="P190" t="str">
        <f t="shared" si="12"/>
        <v/>
      </c>
      <c r="Q190" t="str">
        <f t="shared" si="13"/>
        <v/>
      </c>
    </row>
    <row r="191" spans="1:17" hidden="1" x14ac:dyDescent="0.25">
      <c r="A191">
        <v>3</v>
      </c>
      <c r="B191" t="s">
        <v>169</v>
      </c>
      <c r="C191">
        <f>IFERROR(COUNTIFS($A$1:A191,"Câu "&amp;"*")-MID(A191,5,FIND(".",A191,1)-5),0)</f>
        <v>0</v>
      </c>
      <c r="D191" t="str">
        <f t="shared" si="15"/>
        <v/>
      </c>
      <c r="E191" t="str">
        <f>SUBSTITUTE(IF(LEFT(A191,3)="Câu",MID(A191,FIND(".",A191,1)+2,LEN(A191)),""),CHAR(34),CHAR(92)&amp;CHAR(34))</f>
        <v/>
      </c>
      <c r="G191" t="str">
        <f>SUBSTITUTE(B192,CHAR(34),CHAR(92)&amp;CHAR(34))</f>
        <v/>
      </c>
      <c r="H191" t="str">
        <f>SUBSTITUTE(B193,CHAR(34),CHAR(92)&amp;CHAR(34))</f>
        <v>Từ 22 giờ ngày hôm trước đến 05 giờ ngày hôm sau.</v>
      </c>
      <c r="I191" t="str">
        <f>SUBSTITUTE(IF(LEFT(A194,3)="Câu","",B194),CHAR(34),CHAR(92)&amp;CHAR(34))</f>
        <v xml:space="preserve"> Từ 05 giờ đến 22 giờ.</v>
      </c>
      <c r="J191" t="str">
        <f>SUBSTITUTE(IF(OR(LEFT(A195,3)="Câu",I191=""),"",IF(B195=0,"",B195)),CHAR(34),CHAR(92)&amp;CHAR(34))</f>
        <v>Từ 23 giờ ngày hôm trước đến 05 giờ sáng hôm sau.</v>
      </c>
      <c r="K191" t="str">
        <f>SUBSTITUTE(SUBSTITUTE(SUBSTITUTE(SUBSTITUTE(IFERROR(VLOOKUP("Câu "&amp;D191&amp;".",dapan!$E:$J,6,0),""),"1","A"),"2","B"),"3","C"),"4","D")</f>
        <v/>
      </c>
      <c r="P191" t="str">
        <f t="shared" si="12"/>
        <v/>
      </c>
      <c r="Q191" t="str">
        <f t="shared" si="13"/>
        <v/>
      </c>
    </row>
    <row r="192" spans="1:17" x14ac:dyDescent="0.25">
      <c r="A192" t="s">
        <v>170</v>
      </c>
      <c r="C192">
        <f>IFERROR(COUNTIFS($A$1:A192,"Câu "&amp;"*")-MID(A192,5,FIND(".",A192,1)-5),0)</f>
        <v>0</v>
      </c>
      <c r="D192">
        <f t="shared" si="15"/>
        <v>49</v>
      </c>
      <c r="E192" t="str">
        <f>SUBSTITUTE(IF(LEFT(A192,3)="Câu",MID(A192,FIND(".",A192,1)+2,LEN(A192)),""),CHAR(34),CHAR(92)&amp;CHAR(34))</f>
        <v>Khi lái xe trong khu đông dân cư, khu vực cơ sở khám bệnh, chữa bệnh trừ các khu vực có biển cấm sử dụng còi, người lái xe được sử dụng còi trong thời gian nào?</v>
      </c>
      <c r="G192" t="str">
        <f>SUBSTITUTE(B193,CHAR(34),CHAR(92)&amp;CHAR(34))</f>
        <v>Từ 22 giờ ngày hôm trước đến 05 giờ ngày hôm sau.</v>
      </c>
      <c r="H192" t="str">
        <f>SUBSTITUTE(B194,CHAR(34),CHAR(92)&amp;CHAR(34))</f>
        <v xml:space="preserve"> Từ 05 giờ đến 22 giờ.</v>
      </c>
      <c r="I192" t="str">
        <f>SUBSTITUTE(IF(LEFT(A195,3)="Câu","",B195),CHAR(34),CHAR(92)&amp;CHAR(34))</f>
        <v>Từ 23 giờ ngày hôm trước đến 05 giờ sáng hôm sau.</v>
      </c>
      <c r="J192" t="str">
        <f>SUBSTITUTE(IF(OR(LEFT(A196,3)="Câu",I192=""),"",IF(B196=0,"",B196)),CHAR(34),CHAR(92)&amp;CHAR(34))</f>
        <v/>
      </c>
      <c r="K192" t="str">
        <f ca="1">SUBSTITUTE(SUBSTITUTE(SUBSTITUTE(SUBSTITUTE(IFERROR(VLOOKUP("Câu "&amp;D192&amp;".",dapan!$E:$J,6,0),""),"1","A"),"2","B"),"3","C"),"4","D")</f>
        <v>B</v>
      </c>
      <c r="P192">
        <f t="shared" si="12"/>
        <v>49</v>
      </c>
      <c r="Q192" t="str">
        <f t="shared" ca="1" si="13"/>
        <v>{"num":49,"id":49,"q":"Khi lái xe trong khu đông dân cư, khu vực cơ sở khám bệnh, chữa bệnh trừ các khu vực có biển cấm sử dụng còi, người lái xe được sử dụng còi trong thời gian nào?","opts":{"A":"Từ 22 giờ ngày hôm trước đến 05 giờ ngày hôm sau.","B":" Từ 05 giờ đến 22 giờ.","C":"Từ 23 giờ ngày hôm trước đến 05 giờ sáng hôm sau."},"answer":"B"},</v>
      </c>
    </row>
    <row r="193" spans="1:17" hidden="1" x14ac:dyDescent="0.25">
      <c r="A193">
        <v>1</v>
      </c>
      <c r="B193" t="s">
        <v>171</v>
      </c>
      <c r="C193">
        <f>IFERROR(COUNTIFS($A$1:A193,"Câu "&amp;"*")-MID(A193,5,FIND(".",A193,1)-5),0)</f>
        <v>0</v>
      </c>
      <c r="D193" t="str">
        <f t="shared" si="15"/>
        <v/>
      </c>
      <c r="E193" t="str">
        <f>SUBSTITUTE(IF(LEFT(A193,3)="Câu",MID(A193,FIND(".",A193,1)+2,LEN(A193)),""),CHAR(34),CHAR(92)&amp;CHAR(34))</f>
        <v/>
      </c>
      <c r="G193" t="str">
        <f>SUBSTITUTE(B194,CHAR(34),CHAR(92)&amp;CHAR(34))</f>
        <v xml:space="preserve"> Từ 05 giờ đến 22 giờ.</v>
      </c>
      <c r="H193" t="str">
        <f>SUBSTITUTE(B195,CHAR(34),CHAR(92)&amp;CHAR(34))</f>
        <v>Từ 23 giờ ngày hôm trước đến 05 giờ sáng hôm sau.</v>
      </c>
      <c r="I193" t="str">
        <f>SUBSTITUTE(IF(LEFT(A196,3)="Câu","",B196),CHAR(34),CHAR(92)&amp;CHAR(34))</f>
        <v/>
      </c>
      <c r="J193" t="str">
        <f>SUBSTITUTE(IF(OR(LEFT(A197,3)="Câu",I193=""),"",IF(B197=0,"",B197)),CHAR(34),CHAR(92)&amp;CHAR(34))</f>
        <v/>
      </c>
      <c r="K193" t="str">
        <f>SUBSTITUTE(SUBSTITUTE(SUBSTITUTE(SUBSTITUTE(IFERROR(VLOOKUP("Câu "&amp;D193&amp;".",dapan!$E:$J,6,0),""),"1","A"),"2","B"),"3","C"),"4","D")</f>
        <v/>
      </c>
      <c r="P193" t="str">
        <f t="shared" si="12"/>
        <v/>
      </c>
      <c r="Q193" t="str">
        <f t="shared" si="13"/>
        <v/>
      </c>
    </row>
    <row r="194" spans="1:17" hidden="1" x14ac:dyDescent="0.25">
      <c r="A194">
        <v>2</v>
      </c>
      <c r="B194" t="s">
        <v>172</v>
      </c>
      <c r="C194">
        <f>IFERROR(COUNTIFS($A$1:A194,"Câu "&amp;"*")-MID(A194,5,FIND(".",A194,1)-5),0)</f>
        <v>0</v>
      </c>
      <c r="D194" t="str">
        <f t="shared" si="15"/>
        <v/>
      </c>
      <c r="E194" t="str">
        <f>SUBSTITUTE(IF(LEFT(A194,3)="Câu",MID(A194,FIND(".",A194,1)+2,LEN(A194)),""),CHAR(34),CHAR(92)&amp;CHAR(34))</f>
        <v/>
      </c>
      <c r="G194" t="str">
        <f>SUBSTITUTE(B195,CHAR(34),CHAR(92)&amp;CHAR(34))</f>
        <v>Từ 23 giờ ngày hôm trước đến 05 giờ sáng hôm sau.</v>
      </c>
      <c r="H194" t="str">
        <f>SUBSTITUTE(B196,CHAR(34),CHAR(92)&amp;CHAR(34))</f>
        <v/>
      </c>
      <c r="I194" t="str">
        <f>SUBSTITUTE(IF(LEFT(A197,3)="Câu","",B197),CHAR(34),CHAR(92)&amp;CHAR(34))</f>
        <v xml:space="preserve"> Để báo hiệu cho người tham gia giao thông đường bộ khi xuất hiện tình huống có thể mất an toàn giao thông hoặc báo hiệu chuẩn bị vượt xe.</v>
      </c>
      <c r="J194" t="str">
        <f>SUBSTITUTE(IF(OR(LEFT(A198,3)="Câu",I194=""),"",IF(B198=0,"",B198)),CHAR(34),CHAR(92)&amp;CHAR(34))</f>
        <v>Để báo hiệu cho người tham gia giao thông đường bộ từ 22 giờ ngày hôm trước đến 05 giờ ngày hôm sau trong khu đông dân cư, khu vực cơ sở khám bệnh, chữa bệnh, trừ xe ưu tiên.</v>
      </c>
      <c r="K194" t="str">
        <f>SUBSTITUTE(SUBSTITUTE(SUBSTITUTE(SUBSTITUTE(IFERROR(VLOOKUP("Câu "&amp;D194&amp;".",dapan!$E:$J,6,0),""),"1","A"),"2","B"),"3","C"),"4","D")</f>
        <v/>
      </c>
      <c r="P194" t="str">
        <f t="shared" si="12"/>
        <v/>
      </c>
      <c r="Q194" t="str">
        <f t="shared" si="13"/>
        <v/>
      </c>
    </row>
    <row r="195" spans="1:17" hidden="1" x14ac:dyDescent="0.25">
      <c r="A195">
        <v>3</v>
      </c>
      <c r="B195" t="s">
        <v>173</v>
      </c>
      <c r="C195">
        <f>IFERROR(COUNTIFS($A$1:A195,"Câu "&amp;"*")-MID(A195,5,FIND(".",A195,1)-5),0)</f>
        <v>0</v>
      </c>
      <c r="D195" t="str">
        <f t="shared" si="15"/>
        <v/>
      </c>
      <c r="E195" t="str">
        <f>SUBSTITUTE(IF(LEFT(A195,3)="Câu",MID(A195,FIND(".",A195,1)+2,LEN(A195)),""),CHAR(34),CHAR(92)&amp;CHAR(34))</f>
        <v/>
      </c>
      <c r="G195" t="str">
        <f>SUBSTITUTE(B196,CHAR(34),CHAR(92)&amp;CHAR(34))</f>
        <v/>
      </c>
      <c r="H195" t="str">
        <f>SUBSTITUTE(B197,CHAR(34),CHAR(92)&amp;CHAR(34))</f>
        <v xml:space="preserve"> Để báo hiệu cho người tham gia giao thông đường bộ khi xuất hiện tình huống có thể mất an toàn giao thông hoặc báo hiệu chuẩn bị vượt xe.</v>
      </c>
      <c r="I195" t="str">
        <f>SUBSTITUTE(IF(LEFT(A198,3)="Câu","",B198),CHAR(34),CHAR(92)&amp;CHAR(34))</f>
        <v>Để báo hiệu cho người tham gia giao thông đường bộ từ 22 giờ ngày hôm trước đến 05 giờ ngày hôm sau trong khu đông dân cư, khu vực cơ sở khám bệnh, chữa bệnh, trừ xe ưu tiên.</v>
      </c>
      <c r="J195" t="str">
        <f>SUBSTITUTE(IF(OR(LEFT(A199,3)="Câu",I195=""),"",IF(B199=0,"",B199)),CHAR(34),CHAR(92)&amp;CHAR(34))</f>
        <v>Cả hai ý trên.</v>
      </c>
      <c r="K195" t="str">
        <f>SUBSTITUTE(SUBSTITUTE(SUBSTITUTE(SUBSTITUTE(IFERROR(VLOOKUP("Câu "&amp;D195&amp;".",dapan!$E:$J,6,0),""),"1","A"),"2","B"),"3","C"),"4","D")</f>
        <v/>
      </c>
      <c r="P195" t="str">
        <f t="shared" ref="P195:P258" si="16">D195</f>
        <v/>
      </c>
      <c r="Q195" t="str">
        <f t="shared" ref="Q195:Q258" si="17">IF(D195="","",CHAR(123)&amp;CHAR(34)&amp;"num"&amp;CHAR(34)&amp;":"&amp;P195&amp;","&amp;CHAR(34)&amp;"id"&amp;CHAR(34)&amp;":"&amp;D195&amp;","
&amp;CHAR(34)&amp;"q"&amp;CHAR(34)&amp;":"&amp;CHAR(34)&amp;E195&amp;CHAR(34)&amp;","
&amp;IF(F195="","",CHAR(34)&amp;"img"&amp;CHAR(34)&amp;":"&amp;CHAR(34)&amp;F195&amp;CHAR(34)&amp;",")
&amp;CHAR(34)&amp;"opts"&amp;CHAR(34)&amp;":"&amp;CHAR(123)&amp;CHAR(34)&amp;"A"&amp;CHAR(34)&amp;":"&amp;CHAR(34)&amp;G195&amp;CHAR(34)&amp;","&amp;CHAR(34)&amp;"B"&amp;CHAR(34)&amp;":"&amp;CHAR(34)&amp;H195&amp;CHAR(34)
&amp;IF(I195="","",","&amp;CHAR(34)&amp;"C"&amp;CHAR(34)&amp;":"&amp;CHAR(34)&amp;I195&amp;CHAR(34))&amp;IF(J195="","",","&amp;CHAR(34)&amp;"D"&amp;CHAR(34)&amp;":"&amp;CHAR(34)&amp;J195&amp;CHAR(34))&amp;CHAR(125)&amp;","
&amp;CHAR(34)&amp;"answer"&amp;CHAR(34)&amp;":"&amp;CHAR(34)&amp;K195&amp;CHAR(34)
&amp;IF(L195="","",","&amp;CHAR(34)&amp;"danger"&amp;CHAR(34)&amp;":"&amp;CHAR(34)&amp;"true"&amp;CHAR(34))
&amp;IF(M195="","",","&amp;CHAR(34)&amp;"explain"&amp;CHAR(34)&amp;":"&amp;CHAR(34)&amp;M195&amp;CHAR(34))
&amp;IF(N195="","",","&amp;CHAR(34)&amp;"explainImg"&amp;CHAR(34)&amp;":"&amp;CHAR(34)&amp;N195&amp;CHAR(34))
&amp;IF(O195="","",","&amp;CHAR(34)&amp;"shuffle"&amp;CHAR(34)&amp;":"&amp;CHAR(34)&amp;"false"&amp;CHAR(34))&amp;CHAR(125)&amp;",")</f>
        <v/>
      </c>
    </row>
    <row r="196" spans="1:17" x14ac:dyDescent="0.25">
      <c r="A196" t="s">
        <v>174</v>
      </c>
      <c r="C196">
        <f>IFERROR(COUNTIFS($A$1:A196,"Câu "&amp;"*")-MID(A196,5,FIND(".",A196,1)-5),0)</f>
        <v>0</v>
      </c>
      <c r="D196">
        <f t="shared" si="15"/>
        <v>50</v>
      </c>
      <c r="E196" t="str">
        <f>SUBSTITUTE(IF(LEFT(A196,3)="Câu",MID(A196,FIND(".",A196,1)+2,LEN(A196)),""),CHAR(34),CHAR(92)&amp;CHAR(34))</f>
        <v>Phương tiện tham gia giao thông đường bộ chỉ được sử dụng tín hiệu còi trong các trường hợp nào sau đây?</v>
      </c>
      <c r="G196" t="str">
        <f>SUBSTITUTE(B197,CHAR(34),CHAR(92)&amp;CHAR(34))</f>
        <v xml:space="preserve"> Để báo hiệu cho người tham gia giao thông đường bộ khi xuất hiện tình huống có thể mất an toàn giao thông hoặc báo hiệu chuẩn bị vượt xe.</v>
      </c>
      <c r="H196" t="str">
        <f>SUBSTITUTE(B198,CHAR(34),CHAR(92)&amp;CHAR(34))</f>
        <v>Để báo hiệu cho người tham gia giao thông đường bộ từ 22 giờ ngày hôm trước đến 05 giờ ngày hôm sau trong khu đông dân cư, khu vực cơ sở khám bệnh, chữa bệnh, trừ xe ưu tiên.</v>
      </c>
      <c r="I196" t="str">
        <f>SUBSTITUTE(IF(LEFT(A199,3)="Câu","",B199),CHAR(34),CHAR(92)&amp;CHAR(34))</f>
        <v>Cả hai ý trên.</v>
      </c>
      <c r="J196" t="str">
        <f>SUBSTITUTE(IF(OR(LEFT(A200,3)="Câu",I196=""),"",IF(B200=0,"",B200)),CHAR(34),CHAR(92)&amp;CHAR(34))</f>
        <v/>
      </c>
      <c r="K196" t="str">
        <f ca="1">SUBSTITUTE(SUBSTITUTE(SUBSTITUTE(SUBSTITUTE(IFERROR(VLOOKUP("Câu "&amp;D196&amp;".",dapan!$E:$J,6,0),""),"1","A"),"2","B"),"3","C"),"4","D")</f>
        <v>A</v>
      </c>
      <c r="P196">
        <f t="shared" si="16"/>
        <v>50</v>
      </c>
      <c r="Q196" t="str">
        <f t="shared" ca="1" si="17"/>
        <v>{"num":50,"id":50,"q":"Phương tiện tham gia giao thông đường bộ chỉ được sử dụng tín hiệu còi trong các trường hợp nào sau đây?","opts":{"A":" Để báo hiệu cho người tham gia giao thông đường bộ khi xuất hiện tình huống có thể mất an toàn giao thông hoặc báo hiệu chuẩn bị vượt xe.","B":"Để báo hiệu cho người tham gia giao thông đường bộ từ 22 giờ ngày hôm trước đến 05 giờ ngày hôm sau trong khu đông dân cư, khu vực cơ sở khám bệnh, chữa bệnh, trừ xe ưu tiên.","C":"Cả hai ý trên."},"answer":"A"},</v>
      </c>
    </row>
    <row r="197" spans="1:17" hidden="1" x14ac:dyDescent="0.25">
      <c r="A197">
        <v>1</v>
      </c>
      <c r="B197" t="s">
        <v>175</v>
      </c>
      <c r="C197">
        <f>IFERROR(COUNTIFS($A$1:A197,"Câu "&amp;"*")-MID(A197,5,FIND(".",A197,1)-5),0)</f>
        <v>0</v>
      </c>
      <c r="D197" t="str">
        <f t="shared" si="15"/>
        <v/>
      </c>
      <c r="E197" t="str">
        <f>SUBSTITUTE(IF(LEFT(A197,3)="Câu",MID(A197,FIND(".",A197,1)+2,LEN(A197)),""),CHAR(34),CHAR(92)&amp;CHAR(34))</f>
        <v/>
      </c>
      <c r="G197" t="str">
        <f>SUBSTITUTE(B198,CHAR(34),CHAR(92)&amp;CHAR(34))</f>
        <v>Để báo hiệu cho người tham gia giao thông đường bộ từ 22 giờ ngày hôm trước đến 05 giờ ngày hôm sau trong khu đông dân cư, khu vực cơ sở khám bệnh, chữa bệnh, trừ xe ưu tiên.</v>
      </c>
      <c r="H197" t="str">
        <f>SUBSTITUTE(B199,CHAR(34),CHAR(92)&amp;CHAR(34))</f>
        <v>Cả hai ý trên.</v>
      </c>
      <c r="I197" t="str">
        <f>SUBSTITUTE(IF(LEFT(A200,3)="Câu","",B200),CHAR(34),CHAR(92)&amp;CHAR(34))</f>
        <v/>
      </c>
      <c r="J197" t="str">
        <f>SUBSTITUTE(IF(OR(LEFT(A201,3)="Câu",I197=""),"",IF(B201=0,"",B201)),CHAR(34),CHAR(92)&amp;CHAR(34))</f>
        <v/>
      </c>
      <c r="K197" t="str">
        <f>SUBSTITUTE(SUBSTITUTE(SUBSTITUTE(SUBSTITUTE(IFERROR(VLOOKUP("Câu "&amp;D197&amp;".",dapan!$E:$J,6,0),""),"1","A"),"2","B"),"3","C"),"4","D")</f>
        <v/>
      </c>
      <c r="P197" t="str">
        <f t="shared" si="16"/>
        <v/>
      </c>
      <c r="Q197" t="str">
        <f t="shared" si="17"/>
        <v/>
      </c>
    </row>
    <row r="198" spans="1:17" hidden="1" x14ac:dyDescent="0.25">
      <c r="A198">
        <v>2</v>
      </c>
      <c r="B198" t="s">
        <v>176</v>
      </c>
      <c r="C198">
        <f>IFERROR(COUNTIFS($A$1:A198,"Câu "&amp;"*")-MID(A198,5,FIND(".",A198,1)-5),0)</f>
        <v>0</v>
      </c>
      <c r="D198" t="str">
        <f t="shared" si="15"/>
        <v/>
      </c>
      <c r="E198" t="str">
        <f>SUBSTITUTE(IF(LEFT(A198,3)="Câu",MID(A198,FIND(".",A198,1)+2,LEN(A198)),""),CHAR(34),CHAR(92)&amp;CHAR(34))</f>
        <v/>
      </c>
      <c r="G198" t="str">
        <f>SUBSTITUTE(B199,CHAR(34),CHAR(92)&amp;CHAR(34))</f>
        <v>Cả hai ý trên.</v>
      </c>
      <c r="H198" t="str">
        <f>SUBSTITUTE(B200,CHAR(34),CHAR(92)&amp;CHAR(34))</f>
        <v/>
      </c>
      <c r="I198" t="str">
        <f>SUBSTITUTE(IF(LEFT(A201,3)="Câu","",B201),CHAR(34),CHAR(92)&amp;CHAR(34))</f>
        <v>Chỉ bật đèn chiếu xa (đèn pha).</v>
      </c>
      <c r="J198" t="str">
        <f>SUBSTITUTE(IF(OR(LEFT(A202,3)="Câu",I198=""),"",IF(B202=0,"",B202)),CHAR(34),CHAR(92)&amp;CHAR(34))</f>
        <v>Bật đèn chiếu xa (đèn pha) khi đường vắng, bật đèn chiếu gần (đèn cốt) khi có xe đi ngược chiều.</v>
      </c>
      <c r="K198" t="str">
        <f>SUBSTITUTE(SUBSTITUTE(SUBSTITUTE(SUBSTITUTE(IFERROR(VLOOKUP("Câu "&amp;D198&amp;".",dapan!$E:$J,6,0),""),"1","A"),"2","B"),"3","C"),"4","D")</f>
        <v/>
      </c>
      <c r="P198" t="str">
        <f t="shared" si="16"/>
        <v/>
      </c>
      <c r="Q198" t="str">
        <f t="shared" si="17"/>
        <v/>
      </c>
    </row>
    <row r="199" spans="1:17" hidden="1" x14ac:dyDescent="0.25">
      <c r="A199">
        <v>3</v>
      </c>
      <c r="B199" t="s">
        <v>18</v>
      </c>
      <c r="C199">
        <f>IFERROR(COUNTIFS($A$1:A199,"Câu "&amp;"*")-MID(A199,5,FIND(".",A199,1)-5),0)</f>
        <v>0</v>
      </c>
      <c r="D199" t="str">
        <f t="shared" si="15"/>
        <v/>
      </c>
      <c r="E199" t="str">
        <f>SUBSTITUTE(IF(LEFT(A199,3)="Câu",MID(A199,FIND(".",A199,1)+2,LEN(A199)),""),CHAR(34),CHAR(92)&amp;CHAR(34))</f>
        <v/>
      </c>
      <c r="G199" t="str">
        <f>SUBSTITUTE(B200,CHAR(34),CHAR(92)&amp;CHAR(34))</f>
        <v/>
      </c>
      <c r="H199" t="str">
        <f>SUBSTITUTE(B201,CHAR(34),CHAR(92)&amp;CHAR(34))</f>
        <v>Chỉ bật đèn chiếu xa (đèn pha).</v>
      </c>
      <c r="I199" t="str">
        <f>SUBSTITUTE(IF(LEFT(A202,3)="Câu","",B202),CHAR(34),CHAR(92)&amp;CHAR(34))</f>
        <v>Bật đèn chiếu xa (đèn pha) khi đường vắng, bật đèn chiếu gần (đèn cốt) khi có xe đi ngược chiều.</v>
      </c>
      <c r="J199" t="str">
        <f>SUBSTITUTE(IF(OR(LEFT(A203,3)="Câu",I199=""),"",IF(B203=0,"",B203)),CHAR(34),CHAR(92)&amp;CHAR(34))</f>
        <v xml:space="preserve"> Chỉ bật đèn chiếu gần (đèn cốt).</v>
      </c>
      <c r="K199" t="str">
        <f>SUBSTITUTE(SUBSTITUTE(SUBSTITUTE(SUBSTITUTE(IFERROR(VLOOKUP("Câu "&amp;D199&amp;".",dapan!$E:$J,6,0),""),"1","A"),"2","B"),"3","C"),"4","D")</f>
        <v/>
      </c>
      <c r="P199" t="str">
        <f t="shared" si="16"/>
        <v/>
      </c>
      <c r="Q199" t="str">
        <f t="shared" si="17"/>
        <v/>
      </c>
    </row>
    <row r="200" spans="1:17" x14ac:dyDescent="0.25">
      <c r="A200" t="s">
        <v>177</v>
      </c>
      <c r="C200">
        <f>IFERROR(COUNTIFS($A$1:A200,"Câu "&amp;"*")-MID(A200,5,FIND(".",A200,1)-5),0)</f>
        <v>0</v>
      </c>
      <c r="D200">
        <f t="shared" si="15"/>
        <v>51</v>
      </c>
      <c r="E200" t="str">
        <f>SUBSTITUTE(IF(LEFT(A200,3)="Câu",MID(A200,FIND(".",A200,1)+2,LEN(A200)),""),CHAR(34),CHAR(92)&amp;CHAR(34))</f>
        <v>Người lái xe sử dụng đèn như thế nào khi đi trên các đoạn đường qua khu đông dân cư có hệ thống chiếu sáng đang hoạt động?</v>
      </c>
      <c r="G200" t="str">
        <f>SUBSTITUTE(B201,CHAR(34),CHAR(92)&amp;CHAR(34))</f>
        <v>Chỉ bật đèn chiếu xa (đèn pha).</v>
      </c>
      <c r="H200" t="str">
        <f>SUBSTITUTE(B202,CHAR(34),CHAR(92)&amp;CHAR(34))</f>
        <v>Bật đèn chiếu xa (đèn pha) khi đường vắng, bật đèn chiếu gần (đèn cốt) khi có xe đi ngược chiều.</v>
      </c>
      <c r="I200" t="str">
        <f>SUBSTITUTE(IF(LEFT(A203,3)="Câu","",B203),CHAR(34),CHAR(92)&amp;CHAR(34))</f>
        <v xml:space="preserve"> Chỉ bật đèn chiếu gần (đèn cốt).</v>
      </c>
      <c r="J200" t="str">
        <f>SUBSTITUTE(IF(OR(LEFT(A204,3)="Câu",I200=""),"",IF(B204=0,"",B204)),CHAR(34),CHAR(92)&amp;CHAR(34))</f>
        <v/>
      </c>
      <c r="K200" t="str">
        <f ca="1">SUBSTITUTE(SUBSTITUTE(SUBSTITUTE(SUBSTITUTE(IFERROR(VLOOKUP("Câu "&amp;D200&amp;".",dapan!$E:$J,6,0),""),"1","A"),"2","B"),"3","C"),"4","D")</f>
        <v>C</v>
      </c>
      <c r="P200">
        <f t="shared" si="16"/>
        <v>51</v>
      </c>
      <c r="Q200" t="str">
        <f t="shared" ca="1" si="17"/>
        <v>{"num":51,"id":51,"q":"Người lái xe sử dụng đèn như thế nào khi đi trên các đoạn đường qua khu đông dân cư có hệ thống chiếu sáng đang hoạt động?","opts":{"A":"Chỉ bật đèn chiếu xa (đèn pha).","B":"Bật đèn chiếu xa (đèn pha) khi đường vắng, bật đèn chiếu gần (đèn cốt) khi có xe đi ngược chiều.","C":" Chỉ bật đèn chiếu gần (đèn cốt)."},"answer":"C"},</v>
      </c>
    </row>
    <row r="201" spans="1:17" hidden="1" x14ac:dyDescent="0.25">
      <c r="A201">
        <v>1</v>
      </c>
      <c r="B201" t="s">
        <v>178</v>
      </c>
      <c r="C201">
        <f>IFERROR(COUNTIFS($A$1:A201,"Câu "&amp;"*")-MID(A201,5,FIND(".",A201,1)-5),0)</f>
        <v>0</v>
      </c>
      <c r="D201" t="str">
        <f t="shared" si="15"/>
        <v/>
      </c>
      <c r="E201" t="str">
        <f>SUBSTITUTE(IF(LEFT(A201,3)="Câu",MID(A201,FIND(".",A201,1)+2,LEN(A201)),""),CHAR(34),CHAR(92)&amp;CHAR(34))</f>
        <v/>
      </c>
      <c r="G201" t="str">
        <f>SUBSTITUTE(B202,CHAR(34),CHAR(92)&amp;CHAR(34))</f>
        <v>Bật đèn chiếu xa (đèn pha) khi đường vắng, bật đèn chiếu gần (đèn cốt) khi có xe đi ngược chiều.</v>
      </c>
      <c r="H201" t="str">
        <f>SUBSTITUTE(B203,CHAR(34),CHAR(92)&amp;CHAR(34))</f>
        <v xml:space="preserve"> Chỉ bật đèn chiếu gần (đèn cốt).</v>
      </c>
      <c r="I201" t="str">
        <f>SUBSTITUTE(IF(LEFT(A204,3)="Câu","",B204),CHAR(34),CHAR(92)&amp;CHAR(34))</f>
        <v/>
      </c>
      <c r="J201" t="str">
        <f>SUBSTITUTE(IF(OR(LEFT(A205,3)="Câu",I201=""),"",IF(B205=0,"",B205)),CHAR(34),CHAR(92)&amp;CHAR(34))</f>
        <v/>
      </c>
      <c r="K201" t="str">
        <f>SUBSTITUTE(SUBSTITUTE(SUBSTITUTE(SUBSTITUTE(IFERROR(VLOOKUP("Câu "&amp;D201&amp;".",dapan!$E:$J,6,0),""),"1","A"),"2","B"),"3","C"),"4","D")</f>
        <v/>
      </c>
      <c r="P201" t="str">
        <f t="shared" si="16"/>
        <v/>
      </c>
      <c r="Q201" t="str">
        <f t="shared" si="17"/>
        <v/>
      </c>
    </row>
    <row r="202" spans="1:17" hidden="1" x14ac:dyDescent="0.25">
      <c r="A202">
        <v>2</v>
      </c>
      <c r="B202" t="s">
        <v>179</v>
      </c>
      <c r="C202">
        <f>IFERROR(COUNTIFS($A$1:A202,"Câu "&amp;"*")-MID(A202,5,FIND(".",A202,1)-5),0)</f>
        <v>0</v>
      </c>
      <c r="D202" t="str">
        <f t="shared" si="15"/>
        <v/>
      </c>
      <c r="E202" t="str">
        <f>SUBSTITUTE(IF(LEFT(A202,3)="Câu",MID(A202,FIND(".",A202,1)+2,LEN(A202)),""),CHAR(34),CHAR(92)&amp;CHAR(34))</f>
        <v/>
      </c>
      <c r="G202" t="str">
        <f>SUBSTITUTE(B203,CHAR(34),CHAR(92)&amp;CHAR(34))</f>
        <v xml:space="preserve"> Chỉ bật đèn chiếu gần (đèn cốt).</v>
      </c>
      <c r="H202" t="str">
        <f>SUBSTITUTE(B204,CHAR(34),CHAR(92)&amp;CHAR(34))</f>
        <v/>
      </c>
      <c r="I202" t="str">
        <f>SUBSTITUTE(IF(LEFT(A205,3)="Câu","",B205),CHAR(34),CHAR(92)&amp;CHAR(34))</f>
        <v xml:space="preserve"> Dùng tay cầm và sử dụng điện thoại hoặc thiết bị điện tử khác.</v>
      </c>
      <c r="J202" t="str">
        <f>SUBSTITUTE(IF(OR(LEFT(A206,3)="Câu",I202=""),"",IF(B206=0,"",B206)),CHAR(34),CHAR(92)&amp;CHAR(34))</f>
        <v>Chỉ được chở người trên thùng xe ô tô chở hàng trong trường hợp chở người đi làm nhiệm vụ cứu nạn, cứu hộ, phòng, chống thiên tai, dịch bệnh hoặc thực hiện nhiệm vụ khẩn cấp.</v>
      </c>
      <c r="K202" t="str">
        <f>SUBSTITUTE(SUBSTITUTE(SUBSTITUTE(SUBSTITUTE(IFERROR(VLOOKUP("Câu "&amp;D202&amp;".",dapan!$E:$J,6,0),""),"1","A"),"2","B"),"3","C"),"4","D")</f>
        <v/>
      </c>
      <c r="P202" t="str">
        <f t="shared" si="16"/>
        <v/>
      </c>
      <c r="Q202" t="str">
        <f t="shared" si="17"/>
        <v/>
      </c>
    </row>
    <row r="203" spans="1:17" hidden="1" x14ac:dyDescent="0.25">
      <c r="A203">
        <v>3</v>
      </c>
      <c r="B203" t="s">
        <v>180</v>
      </c>
      <c r="C203">
        <f>IFERROR(COUNTIFS($A$1:A203,"Câu "&amp;"*")-MID(A203,5,FIND(".",A203,1)-5),0)</f>
        <v>0</v>
      </c>
      <c r="D203" t="str">
        <f t="shared" si="15"/>
        <v/>
      </c>
      <c r="E203" t="str">
        <f>SUBSTITUTE(IF(LEFT(A203,3)="Câu",MID(A203,FIND(".",A203,1)+2,LEN(A203)),""),CHAR(34),CHAR(92)&amp;CHAR(34))</f>
        <v/>
      </c>
      <c r="G203" t="str">
        <f>SUBSTITUTE(B204,CHAR(34),CHAR(92)&amp;CHAR(34))</f>
        <v/>
      </c>
      <c r="H203" t="str">
        <f>SUBSTITUTE(B205,CHAR(34),CHAR(92)&amp;CHAR(34))</f>
        <v xml:space="preserve"> Dùng tay cầm và sử dụng điện thoại hoặc thiết bị điện tử khác.</v>
      </c>
      <c r="I203" t="str">
        <f>SUBSTITUTE(IF(LEFT(A206,3)="Câu","",B206),CHAR(34),CHAR(92)&amp;CHAR(34))</f>
        <v>Chỉ được chở người trên thùng xe ô tô chở hàng trong trường hợp chở người đi làm nhiệm vụ cứu nạn, cứu hộ, phòng, chống thiên tai, dịch bệnh hoặc thực hiện nhiệm vụ khẩn cấp.</v>
      </c>
      <c r="J203" t="str">
        <f>SUBSTITUTE(IF(OR(LEFT(A207,3)="Câu",I203=""),"",IF(B207=0,"",B207)),CHAR(34),CHAR(92)&amp;CHAR(34))</f>
        <v/>
      </c>
      <c r="K203" t="str">
        <f>SUBSTITUTE(SUBSTITUTE(SUBSTITUTE(SUBSTITUTE(IFERROR(VLOOKUP("Câu "&amp;D203&amp;".",dapan!$E:$J,6,0),""),"1","A"),"2","B"),"3","C"),"4","D")</f>
        <v/>
      </c>
      <c r="P203" t="str">
        <f t="shared" si="16"/>
        <v/>
      </c>
      <c r="Q203" t="str">
        <f t="shared" si="17"/>
        <v/>
      </c>
    </row>
    <row r="204" spans="1:17" x14ac:dyDescent="0.25">
      <c r="A204" t="s">
        <v>181</v>
      </c>
      <c r="C204">
        <f>IFERROR(COUNTIFS($A$1:A204,"Câu "&amp;"*")-MID(A204,5,FIND(".",A204,1)-5),0)</f>
        <v>0</v>
      </c>
      <c r="D204">
        <f t="shared" si="15"/>
        <v>52</v>
      </c>
      <c r="E204" t="str">
        <f>SUBSTITUTE(IF(LEFT(A204,3)="Câu",MID(A204,FIND(".",A204,1)+2,LEN(A204)),""),CHAR(34),CHAR(92)&amp;CHAR(34))</f>
        <v>Khi điều khiển phương tiện tham gia giao thông, hành vi nào sau đây bị cấm?</v>
      </c>
      <c r="G204" t="str">
        <f>SUBSTITUTE(B205,CHAR(34),CHAR(92)&amp;CHAR(34))</f>
        <v xml:space="preserve"> Dùng tay cầm và sử dụng điện thoại hoặc thiết bị điện tử khác.</v>
      </c>
      <c r="H204" t="str">
        <f>SUBSTITUTE(B206,CHAR(34),CHAR(92)&amp;CHAR(34))</f>
        <v>Chỉ được chở người trên thùng xe ô tô chở hàng trong trường hợp chở người đi làm nhiệm vụ cứu nạn, cứu hộ, phòng, chống thiên tai, dịch bệnh hoặc thực hiện nhiệm vụ khẩn cấp.</v>
      </c>
      <c r="I204" t="str">
        <f>SUBSTITUTE(IF(LEFT(A207,3)="Câu","",B207),CHAR(34),CHAR(92)&amp;CHAR(34))</f>
        <v/>
      </c>
      <c r="J204" t="str">
        <f>SUBSTITUTE(IF(OR(LEFT(A208,3)="Câu",I204=""),"",IF(B208=0,"",B208)),CHAR(34),CHAR(92)&amp;CHAR(34))</f>
        <v/>
      </c>
      <c r="K204" t="str">
        <f ca="1">SUBSTITUTE(SUBSTITUTE(SUBSTITUTE(SUBSTITUTE(IFERROR(VLOOKUP("Câu "&amp;D204&amp;".",dapan!$E:$J,6,0),""),"1","A"),"2","B"),"3","C"),"4","D")</f>
        <v>A</v>
      </c>
      <c r="P204">
        <f t="shared" si="16"/>
        <v>52</v>
      </c>
      <c r="Q204" t="str">
        <f t="shared" ca="1" si="17"/>
        <v>{"num":52,"id":52,"q":"Khi điều khiển phương tiện tham gia giao thông, hành vi nào sau đây bị cấm?","opts":{"A":" Dùng tay cầm và sử dụng điện thoại hoặc thiết bị điện tử khác.","B":"Chỉ được chở người trên thùng xe ô tô chở hàng trong trường hợp chở người đi làm nhiệm vụ cứu nạn, cứu hộ, phòng, chống thiên tai, dịch bệnh hoặc thực hiện nhiệm vụ khẩn cấp."},"answer":"A"},</v>
      </c>
    </row>
    <row r="205" spans="1:17" hidden="1" x14ac:dyDescent="0.25">
      <c r="A205">
        <v>1</v>
      </c>
      <c r="B205" t="s">
        <v>182</v>
      </c>
      <c r="C205">
        <f>IFERROR(COUNTIFS($A$1:A205,"Câu "&amp;"*")-MID(A205,5,FIND(".",A205,1)-5),0)</f>
        <v>0</v>
      </c>
      <c r="D205" t="str">
        <f t="shared" si="15"/>
        <v/>
      </c>
      <c r="E205" t="str">
        <f>SUBSTITUTE(IF(LEFT(A205,3)="Câu",MID(A205,FIND(".",A205,1)+2,LEN(A205)),""),CHAR(34),CHAR(92)&amp;CHAR(34))</f>
        <v/>
      </c>
      <c r="G205" t="str">
        <f>SUBSTITUTE(B206,CHAR(34),CHAR(92)&amp;CHAR(34))</f>
        <v>Chỉ được chở người trên thùng xe ô tô chở hàng trong trường hợp chở người đi làm nhiệm vụ cứu nạn, cứu hộ, phòng, chống thiên tai, dịch bệnh hoặc thực hiện nhiệm vụ khẩn cấp.</v>
      </c>
      <c r="H205" t="str">
        <f>SUBSTITUTE(B207,CHAR(34),CHAR(92)&amp;CHAR(34))</f>
        <v/>
      </c>
      <c r="I205" t="str">
        <f>SUBSTITUTE(IF(LEFT(A208,3)="Câu","",B208),CHAR(34),CHAR(92)&amp;CHAR(34))</f>
        <v xml:space="preserve"> Trên cầu hẹp có một làn đường; nơi đường giao nhau, đường bộ giao nhau cùng mức với đường sắt; khi gặp xe ưu tiên.</v>
      </c>
      <c r="J205" t="str">
        <f>SUBSTITUTE(IF(OR(LEFT(A209,3)="Câu",I205=""),"",IF(B209=0,"",B209)),CHAR(34),CHAR(92)&amp;CHAR(34))</f>
        <v>Trên cầu có từ 02 làn xe trở lên.</v>
      </c>
      <c r="K205" t="str">
        <f>SUBSTITUTE(SUBSTITUTE(SUBSTITUTE(SUBSTITUTE(IFERROR(VLOOKUP("Câu "&amp;D205&amp;".",dapan!$E:$J,6,0),""),"1","A"),"2","B"),"3","C"),"4","D")</f>
        <v/>
      </c>
      <c r="P205" t="str">
        <f t="shared" si="16"/>
        <v/>
      </c>
      <c r="Q205" t="str">
        <f t="shared" si="17"/>
        <v/>
      </c>
    </row>
    <row r="206" spans="1:17" hidden="1" x14ac:dyDescent="0.25">
      <c r="A206">
        <v>2</v>
      </c>
      <c r="B206" t="s">
        <v>183</v>
      </c>
      <c r="C206">
        <f>IFERROR(COUNTIFS($A$1:A206,"Câu "&amp;"*")-MID(A206,5,FIND(".",A206,1)-5),0)</f>
        <v>0</v>
      </c>
      <c r="D206" t="str">
        <f t="shared" si="15"/>
        <v/>
      </c>
      <c r="E206" t="str">
        <f>SUBSTITUTE(IF(LEFT(A206,3)="Câu",MID(A206,FIND(".",A206,1)+2,LEN(A206)),""),CHAR(34),CHAR(92)&amp;CHAR(34))</f>
        <v/>
      </c>
      <c r="G206" t="str">
        <f>SUBSTITUTE(B207,CHAR(34),CHAR(92)&amp;CHAR(34))</f>
        <v/>
      </c>
      <c r="H206" t="str">
        <f>SUBSTITUTE(B208,CHAR(34),CHAR(92)&amp;CHAR(34))</f>
        <v xml:space="preserve"> Trên cầu hẹp có một làn đường; nơi đường giao nhau, đường bộ giao nhau cùng mức với đường sắt; khi gặp xe ưu tiên.</v>
      </c>
      <c r="I206" t="str">
        <f>SUBSTITUTE(IF(LEFT(A209,3)="Câu","",B209),CHAR(34),CHAR(92)&amp;CHAR(34))</f>
        <v>Trên cầu có từ 02 làn xe trở lên.</v>
      </c>
      <c r="J206" t="str">
        <f>SUBSTITUTE(IF(OR(LEFT(A210,3)="Câu",I206=""),"",IF(B210=0,"",B210)),CHAR(34),CHAR(92)&amp;CHAR(34))</f>
        <v>Trên đường có 02 làn đường được phân chia làn bằng vạch kẻ nét đứt.</v>
      </c>
      <c r="K206" t="str">
        <f>SUBSTITUTE(SUBSTITUTE(SUBSTITUTE(SUBSTITUTE(IFERROR(VLOOKUP("Câu "&amp;D206&amp;".",dapan!$E:$J,6,0),""),"1","A"),"2","B"),"3","C"),"4","D")</f>
        <v/>
      </c>
      <c r="P206" t="str">
        <f t="shared" si="16"/>
        <v/>
      </c>
      <c r="Q206" t="str">
        <f t="shared" si="17"/>
        <v/>
      </c>
    </row>
    <row r="207" spans="1:17" x14ac:dyDescent="0.25">
      <c r="A207" t="s">
        <v>184</v>
      </c>
      <c r="C207">
        <f>IFERROR(COUNTIFS($A$1:A207,"Câu "&amp;"*")-MID(A207,5,FIND(".",A207,1)-5),0)</f>
        <v>0</v>
      </c>
      <c r="D207">
        <f t="shared" si="15"/>
        <v>53</v>
      </c>
      <c r="E207" t="str">
        <f>SUBSTITUTE(IF(LEFT(A207,3)="Câu",MID(A207,FIND(".",A207,1)+2,LEN(A207)),""),CHAR(34),CHAR(92)&amp;CHAR(34))</f>
        <v>Người lái xe không được vượt xe khác khi gặp trường hợp nào dưới đây?</v>
      </c>
      <c r="G207" t="str">
        <f>SUBSTITUTE(B208,CHAR(34),CHAR(92)&amp;CHAR(34))</f>
        <v xml:space="preserve"> Trên cầu hẹp có một làn đường; nơi đường giao nhau, đường bộ giao nhau cùng mức với đường sắt; khi gặp xe ưu tiên.</v>
      </c>
      <c r="H207" t="str">
        <f>SUBSTITUTE(B209,CHAR(34),CHAR(92)&amp;CHAR(34))</f>
        <v>Trên cầu có từ 02 làn xe trở lên.</v>
      </c>
      <c r="I207" t="str">
        <f>SUBSTITUTE(IF(LEFT(A210,3)="Câu","",B210),CHAR(34),CHAR(92)&amp;CHAR(34))</f>
        <v>Trên đường có 02 làn đường được phân chia làn bằng vạch kẻ nét đứt.</v>
      </c>
      <c r="J207" t="str">
        <f>SUBSTITUTE(IF(OR(LEFT(A211,3)="Câu",I207=""),"",IF(B211=0,"",B211)),CHAR(34),CHAR(92)&amp;CHAR(34))</f>
        <v/>
      </c>
      <c r="K207" t="str">
        <f ca="1">SUBSTITUTE(SUBSTITUTE(SUBSTITUTE(SUBSTITUTE(IFERROR(VLOOKUP("Câu "&amp;D207&amp;".",dapan!$E:$J,6,0),""),"1","A"),"2","B"),"3","C"),"4","D")</f>
        <v>A</v>
      </c>
      <c r="P207">
        <f t="shared" si="16"/>
        <v>53</v>
      </c>
      <c r="Q207" t="str">
        <f t="shared" ca="1" si="17"/>
        <v>{"num":53,"id":53,"q":"Người lái xe không được vượt xe khác khi gặp trường hợp nào dưới đây?","opts":{"A":" Trên cầu hẹp có một làn đường; nơi đường giao nhau, đường bộ giao nhau cùng mức với đường sắt; khi gặp xe ưu tiên.","B":"Trên cầu có từ 02 làn xe trở lên.","C":"Trên đường có 02 làn đường được phân chia làn bằng vạch kẻ nét đứt."},"answer":"A"},</v>
      </c>
    </row>
    <row r="208" spans="1:17" hidden="1" x14ac:dyDescent="0.25">
      <c r="A208">
        <v>1</v>
      </c>
      <c r="B208" t="s">
        <v>185</v>
      </c>
      <c r="C208">
        <f>IFERROR(COUNTIFS($A$1:A208,"Câu "&amp;"*")-MID(A208,5,FIND(".",A208,1)-5),0)</f>
        <v>0</v>
      </c>
      <c r="D208" t="str">
        <f t="shared" si="15"/>
        <v/>
      </c>
      <c r="E208" t="str">
        <f>SUBSTITUTE(IF(LEFT(A208,3)="Câu",MID(A208,FIND(".",A208,1)+2,LEN(A208)),""),CHAR(34),CHAR(92)&amp;CHAR(34))</f>
        <v/>
      </c>
      <c r="G208" t="str">
        <f>SUBSTITUTE(B209,CHAR(34),CHAR(92)&amp;CHAR(34))</f>
        <v>Trên cầu có từ 02 làn xe trở lên.</v>
      </c>
      <c r="H208" t="str">
        <f>SUBSTITUTE(B210,CHAR(34),CHAR(92)&amp;CHAR(34))</f>
        <v>Trên đường có 02 làn đường được phân chia làn bằng vạch kẻ nét đứt.</v>
      </c>
      <c r="I208" t="str">
        <f>SUBSTITUTE(IF(LEFT(A211,3)="Câu","",B211),CHAR(34),CHAR(92)&amp;CHAR(34))</f>
        <v/>
      </c>
      <c r="J208" t="str">
        <f>SUBSTITUTE(IF(OR(LEFT(A212,3)="Câu",I208=""),"",IF(B212=0,"",B212)),CHAR(34),CHAR(92)&amp;CHAR(34))</f>
        <v/>
      </c>
      <c r="K208" t="str">
        <f>SUBSTITUTE(SUBSTITUTE(SUBSTITUTE(SUBSTITUTE(IFERROR(VLOOKUP("Câu "&amp;D208&amp;".",dapan!$E:$J,6,0),""),"1","A"),"2","B"),"3","C"),"4","D")</f>
        <v/>
      </c>
      <c r="P208" t="str">
        <f t="shared" si="16"/>
        <v/>
      </c>
      <c r="Q208" t="str">
        <f t="shared" si="17"/>
        <v/>
      </c>
    </row>
    <row r="209" spans="1:17" hidden="1" x14ac:dyDescent="0.25">
      <c r="A209">
        <v>2</v>
      </c>
      <c r="B209" t="s">
        <v>186</v>
      </c>
      <c r="C209">
        <f>IFERROR(COUNTIFS($A$1:A209,"Câu "&amp;"*")-MID(A209,5,FIND(".",A209,1)-5),0)</f>
        <v>0</v>
      </c>
      <c r="D209" t="str">
        <f t="shared" si="15"/>
        <v/>
      </c>
      <c r="E209" t="str">
        <f>SUBSTITUTE(IF(LEFT(A209,3)="Câu",MID(A209,FIND(".",A209,1)+2,LEN(A209)),""),CHAR(34),CHAR(92)&amp;CHAR(34))</f>
        <v/>
      </c>
      <c r="G209" t="str">
        <f>SUBSTITUTE(B210,CHAR(34),CHAR(92)&amp;CHAR(34))</f>
        <v>Trên đường có 02 làn đường được phân chia làn bằng vạch kẻ nét đứt.</v>
      </c>
      <c r="H209" t="str">
        <f>SUBSTITUTE(B211,CHAR(34),CHAR(92)&amp;CHAR(34))</f>
        <v/>
      </c>
      <c r="I209" t="str">
        <f>SUBSTITUTE(IF(LEFT(A212,3)="Câu","",B212),CHAR(34),CHAR(92)&amp;CHAR(34))</f>
        <v>Ở phần đường dành cho người đi bộ qua đường, trên cầu, đầu cầu, gầm cầu vượt, ngầm.</v>
      </c>
      <c r="J209" t="str">
        <f>SUBSTITUTE(IF(OR(LEFT(A213,3)="Câu",I209=""),"",IF(B213=0,"",B213)),CHAR(34),CHAR(92)&amp;CHAR(34))</f>
        <v>Tại nơi đường bộ giao nhau cùng mức với đường sắt, đường hẹp, đường dốc, đoạn đường cong tầm nhìn bị che khuất, trên đường cao tốc, trong hầm đường bộ, trên đường một chiều.</v>
      </c>
      <c r="K209" t="str">
        <f>SUBSTITUTE(SUBSTITUTE(SUBSTITUTE(SUBSTITUTE(IFERROR(VLOOKUP("Câu "&amp;D209&amp;".",dapan!$E:$J,6,0),""),"1","A"),"2","B"),"3","C"),"4","D")</f>
        <v/>
      </c>
      <c r="P209" t="str">
        <f t="shared" si="16"/>
        <v/>
      </c>
      <c r="Q209" t="str">
        <f t="shared" si="17"/>
        <v/>
      </c>
    </row>
    <row r="210" spans="1:17" hidden="1" x14ac:dyDescent="0.25">
      <c r="A210">
        <v>3</v>
      </c>
      <c r="B210" t="s">
        <v>187</v>
      </c>
      <c r="C210">
        <f>IFERROR(COUNTIFS($A$1:A210,"Câu "&amp;"*")-MID(A210,5,FIND(".",A210,1)-5),0)</f>
        <v>0</v>
      </c>
      <c r="D210" t="str">
        <f t="shared" si="15"/>
        <v/>
      </c>
      <c r="E210" t="str">
        <f>SUBSTITUTE(IF(LEFT(A210,3)="Câu",MID(A210,FIND(".",A210,1)+2,LEN(A210)),""),CHAR(34),CHAR(92)&amp;CHAR(34))</f>
        <v/>
      </c>
      <c r="G210" t="str">
        <f>SUBSTITUTE(B211,CHAR(34),CHAR(92)&amp;CHAR(34))</f>
        <v/>
      </c>
      <c r="H210" t="str">
        <f>SUBSTITUTE(B212,CHAR(34),CHAR(92)&amp;CHAR(34))</f>
        <v>Ở phần đường dành cho người đi bộ qua đường, trên cầu, đầu cầu, gầm cầu vượt, ngầm.</v>
      </c>
      <c r="I210" t="str">
        <f>SUBSTITUTE(IF(LEFT(A213,3)="Câu","",B213),CHAR(34),CHAR(92)&amp;CHAR(34))</f>
        <v>Tại nơi đường bộ giao nhau cùng mức với đường sắt, đường hẹp, đường dốc, đoạn đường cong tầm nhìn bị che khuất, trên đường cao tốc, trong hầm đường bộ, trên đường một chiều.</v>
      </c>
      <c r="J210" t="str">
        <f>SUBSTITUTE(IF(OR(LEFT(A214,3)="Câu",I210=""),"",IF(B214=0,"",B214)),CHAR(34),CHAR(92)&amp;CHAR(34))</f>
        <v xml:space="preserve"> Cả hai ý trên.</v>
      </c>
      <c r="K210" t="str">
        <f>SUBSTITUTE(SUBSTITUTE(SUBSTITUTE(SUBSTITUTE(IFERROR(VLOOKUP("Câu "&amp;D210&amp;".",dapan!$E:$J,6,0),""),"1","A"),"2","B"),"3","C"),"4","D")</f>
        <v/>
      </c>
      <c r="P210" t="str">
        <f t="shared" si="16"/>
        <v/>
      </c>
      <c r="Q210" t="str">
        <f t="shared" si="17"/>
        <v/>
      </c>
    </row>
    <row r="211" spans="1:17" x14ac:dyDescent="0.25">
      <c r="A211" t="s">
        <v>188</v>
      </c>
      <c r="C211">
        <f>IFERROR(COUNTIFS($A$1:A211,"Câu "&amp;"*")-MID(A211,5,FIND(".",A211,1)-5),0)</f>
        <v>0</v>
      </c>
      <c r="D211">
        <f t="shared" si="15"/>
        <v>54</v>
      </c>
      <c r="E211" t="str">
        <f>SUBSTITUTE(IF(LEFT(A211,3)="Câu",MID(A211,FIND(".",A211,1)+2,LEN(A211)),""),CHAR(34),CHAR(92)&amp;CHAR(34))</f>
        <v>Nơi nào cấm quay đầu xe?</v>
      </c>
      <c r="G211" t="str">
        <f>SUBSTITUTE(B212,CHAR(34),CHAR(92)&amp;CHAR(34))</f>
        <v>Ở phần đường dành cho người đi bộ qua đường, trên cầu, đầu cầu, gầm cầu vượt, ngầm.</v>
      </c>
      <c r="H211" t="str">
        <f>SUBSTITUTE(B213,CHAR(34),CHAR(92)&amp;CHAR(34))</f>
        <v>Tại nơi đường bộ giao nhau cùng mức với đường sắt, đường hẹp, đường dốc, đoạn đường cong tầm nhìn bị che khuất, trên đường cao tốc, trong hầm đường bộ, trên đường một chiều.</v>
      </c>
      <c r="I211" t="str">
        <f>SUBSTITUTE(IF(LEFT(A214,3)="Câu","",B214),CHAR(34),CHAR(92)&amp;CHAR(34))</f>
        <v xml:space="preserve"> Cả hai ý trên.</v>
      </c>
      <c r="J211" t="str">
        <f>SUBSTITUTE(IF(OR(LEFT(A215,3)="Câu",I211=""),"",IF(B215=0,"",B215)),CHAR(34),CHAR(92)&amp;CHAR(34))</f>
        <v/>
      </c>
      <c r="K211" t="str">
        <f ca="1">SUBSTITUTE(SUBSTITUTE(SUBSTITUTE(SUBSTITUTE(IFERROR(VLOOKUP("Câu "&amp;D211&amp;".",dapan!$E:$J,6,0),""),"1","A"),"2","B"),"3","C"),"4","D")</f>
        <v>C</v>
      </c>
      <c r="P211">
        <f t="shared" si="16"/>
        <v>54</v>
      </c>
      <c r="Q211" t="str">
        <f t="shared" ca="1" si="17"/>
        <v>{"num":54,"id":54,"q":"Nơi nào cấm quay đầu xe?","opts":{"A":"Ở phần đường dành cho người đi bộ qua đường, trên cầu, đầu cầu, gầm cầu vượt, ngầm.","B":"Tại nơi đường bộ giao nhau cùng mức với đường sắt, đường hẹp, đường dốc, đoạn đường cong tầm nhìn bị che khuất, trên đường cao tốc, trong hầm đường bộ, trên đường một chiều.","C":" Cả hai ý trên."},"answer":"C"},</v>
      </c>
    </row>
    <row r="212" spans="1:17" hidden="1" x14ac:dyDescent="0.25">
      <c r="A212">
        <v>1</v>
      </c>
      <c r="B212" t="s">
        <v>189</v>
      </c>
      <c r="C212">
        <f>IFERROR(COUNTIFS($A$1:A212,"Câu "&amp;"*")-MID(A212,5,FIND(".",A212,1)-5),0)</f>
        <v>0</v>
      </c>
      <c r="D212" t="str">
        <f t="shared" si="15"/>
        <v/>
      </c>
      <c r="E212" t="str">
        <f>SUBSTITUTE(IF(LEFT(A212,3)="Câu",MID(A212,FIND(".",A212,1)+2,LEN(A212)),""),CHAR(34),CHAR(92)&amp;CHAR(34))</f>
        <v/>
      </c>
      <c r="G212" t="str">
        <f>SUBSTITUTE(B213,CHAR(34),CHAR(92)&amp;CHAR(34))</f>
        <v>Tại nơi đường bộ giao nhau cùng mức với đường sắt, đường hẹp, đường dốc, đoạn đường cong tầm nhìn bị che khuất, trên đường cao tốc, trong hầm đường bộ, trên đường một chiều.</v>
      </c>
      <c r="H212" t="str">
        <f>SUBSTITUTE(B214,CHAR(34),CHAR(92)&amp;CHAR(34))</f>
        <v xml:space="preserve"> Cả hai ý trên.</v>
      </c>
      <c r="I212" t="str">
        <f>SUBSTITUTE(IF(LEFT(A215,3)="Câu","",B215),CHAR(34),CHAR(92)&amp;CHAR(34))</f>
        <v/>
      </c>
      <c r="J212" t="str">
        <f>SUBSTITUTE(IF(OR(LEFT(A216,3)="Câu",I212=""),"",IF(B216=0,"",B216)),CHAR(34),CHAR(92)&amp;CHAR(34))</f>
        <v/>
      </c>
      <c r="K212" t="str">
        <f>SUBSTITUTE(SUBSTITUTE(SUBSTITUTE(SUBSTITUTE(IFERROR(VLOOKUP("Câu "&amp;D212&amp;".",dapan!$E:$J,6,0),""),"1","A"),"2","B"),"3","C"),"4","D")</f>
        <v/>
      </c>
      <c r="P212" t="str">
        <f t="shared" si="16"/>
        <v/>
      </c>
      <c r="Q212" t="str">
        <f t="shared" si="17"/>
        <v/>
      </c>
    </row>
    <row r="213" spans="1:17" hidden="1" x14ac:dyDescent="0.25">
      <c r="A213">
        <v>2</v>
      </c>
      <c r="B213" t="s">
        <v>190</v>
      </c>
      <c r="C213">
        <f>IFERROR(COUNTIFS($A$1:A213,"Câu "&amp;"*")-MID(A213,5,FIND(".",A213,1)-5),0)</f>
        <v>0</v>
      </c>
      <c r="D213" t="str">
        <f t="shared" si="15"/>
        <v/>
      </c>
      <c r="E213" t="str">
        <f>SUBSTITUTE(IF(LEFT(A213,3)="Câu",MID(A213,FIND(".",A213,1)+2,LEN(A213)),""),CHAR(34),CHAR(92)&amp;CHAR(34))</f>
        <v/>
      </c>
      <c r="G213" t="str">
        <f>SUBSTITUTE(B214,CHAR(34),CHAR(92)&amp;CHAR(34))</f>
        <v xml:space="preserve"> Cả hai ý trên.</v>
      </c>
      <c r="H213" t="str">
        <f>SUBSTITUTE(B215,CHAR(34),CHAR(92)&amp;CHAR(34))</f>
        <v/>
      </c>
      <c r="I213" t="str">
        <f>SUBSTITUTE(IF(LEFT(A216,3)="Câu","",B216),CHAR(34),CHAR(92)&amp;CHAR(34))</f>
        <v xml:space="preserve"> Ở phần đường dành cho người đi bộ qua đường, trên cầu, đầu cầu, trên đường cao tốc, tại nơi đường bộ giao nhau cùng mức với đường sắt, đường hẹp, đường dốc.</v>
      </c>
      <c r="J213" t="str">
        <f>SUBSTITUTE(IF(OR(LEFT(A217,3)="Câu",I213=""),"",IF(B217=0,"",B217)),CHAR(34),CHAR(92)&amp;CHAR(34))</f>
        <v>Ở phía trước hoặc phía sau của phần đường dành cho người đi bộ qua đường, trên đường quốc lộ.</v>
      </c>
      <c r="K213" t="str">
        <f>SUBSTITUTE(SUBSTITUTE(SUBSTITUTE(SUBSTITUTE(IFERROR(VLOOKUP("Câu "&amp;D213&amp;".",dapan!$E:$J,6,0),""),"1","A"),"2","B"),"3","C"),"4","D")</f>
        <v/>
      </c>
      <c r="P213" t="str">
        <f t="shared" si="16"/>
        <v/>
      </c>
      <c r="Q213" t="str">
        <f t="shared" si="17"/>
        <v/>
      </c>
    </row>
    <row r="214" spans="1:17" hidden="1" x14ac:dyDescent="0.25">
      <c r="A214">
        <v>3</v>
      </c>
      <c r="B214" t="s">
        <v>32</v>
      </c>
      <c r="C214">
        <f>IFERROR(COUNTIFS($A$1:A214,"Câu "&amp;"*")-MID(A214,5,FIND(".",A214,1)-5),0)</f>
        <v>0</v>
      </c>
      <c r="D214" t="str">
        <f t="shared" si="15"/>
        <v/>
      </c>
      <c r="E214" t="str">
        <f>SUBSTITUTE(IF(LEFT(A214,3)="Câu",MID(A214,FIND(".",A214,1)+2,LEN(A214)),""),CHAR(34),CHAR(92)&amp;CHAR(34))</f>
        <v/>
      </c>
      <c r="G214" t="str">
        <f>SUBSTITUTE(B215,CHAR(34),CHAR(92)&amp;CHAR(34))</f>
        <v/>
      </c>
      <c r="H214" t="str">
        <f>SUBSTITUTE(B216,CHAR(34),CHAR(92)&amp;CHAR(34))</f>
        <v xml:space="preserve"> Ở phần đường dành cho người đi bộ qua đường, trên cầu, đầu cầu, trên đường cao tốc, tại nơi đường bộ giao nhau cùng mức với đường sắt, đường hẹp, đường dốc.</v>
      </c>
      <c r="I214" t="str">
        <f>SUBSTITUTE(IF(LEFT(A217,3)="Câu","",B217),CHAR(34),CHAR(92)&amp;CHAR(34))</f>
        <v>Ở phía trước hoặc phía sau của phần đường dành cho người đi bộ qua đường, trên đường quốc lộ.</v>
      </c>
      <c r="J214" t="str">
        <f>SUBSTITUTE(IF(OR(LEFT(A218,3)="Câu",I214=""),"",IF(B218=0,"",B218)),CHAR(34),CHAR(92)&amp;CHAR(34))</f>
        <v>Cả hai ý trên.</v>
      </c>
      <c r="K214" t="str">
        <f>SUBSTITUTE(SUBSTITUTE(SUBSTITUTE(SUBSTITUTE(IFERROR(VLOOKUP("Câu "&amp;D214&amp;".",dapan!$E:$J,6,0),""),"1","A"),"2","B"),"3","C"),"4","D")</f>
        <v/>
      </c>
      <c r="P214" t="str">
        <f t="shared" si="16"/>
        <v/>
      </c>
      <c r="Q214" t="str">
        <f t="shared" si="17"/>
        <v/>
      </c>
    </row>
    <row r="215" spans="1:17" x14ac:dyDescent="0.25">
      <c r="A215" t="s">
        <v>191</v>
      </c>
      <c r="C215">
        <f>IFERROR(COUNTIFS($A$1:A215,"Câu "&amp;"*")-MID(A215,5,FIND(".",A215,1)-5),0)</f>
        <v>0</v>
      </c>
      <c r="D215">
        <f t="shared" si="15"/>
        <v>55</v>
      </c>
      <c r="E215" t="str">
        <f>SUBSTITUTE(IF(LEFT(A215,3)="Câu",MID(A215,FIND(".",A215,1)+2,LEN(A215)),""),CHAR(34),CHAR(92)&amp;CHAR(34))</f>
        <v>Người lái xe không được quay đầu xe trong các trường hợp nào dưới đây?</v>
      </c>
      <c r="G215" t="str">
        <f>SUBSTITUTE(B216,CHAR(34),CHAR(92)&amp;CHAR(34))</f>
        <v xml:space="preserve"> Ở phần đường dành cho người đi bộ qua đường, trên cầu, đầu cầu, trên đường cao tốc, tại nơi đường bộ giao nhau cùng mức với đường sắt, đường hẹp, đường dốc.</v>
      </c>
      <c r="H215" t="str">
        <f>SUBSTITUTE(B217,CHAR(34),CHAR(92)&amp;CHAR(34))</f>
        <v>Ở phía trước hoặc phía sau của phần đường dành cho người đi bộ qua đường, trên đường quốc lộ.</v>
      </c>
      <c r="I215" t="str">
        <f>SUBSTITUTE(IF(LEFT(A218,3)="Câu","",B218),CHAR(34),CHAR(92)&amp;CHAR(34))</f>
        <v>Cả hai ý trên.</v>
      </c>
      <c r="J215" t="str">
        <f>SUBSTITUTE(IF(OR(LEFT(A219,3)="Câu",I215=""),"",IF(B219=0,"",B219)),CHAR(34),CHAR(92)&amp;CHAR(34))</f>
        <v/>
      </c>
      <c r="K215" t="str">
        <f ca="1">SUBSTITUTE(SUBSTITUTE(SUBSTITUTE(SUBSTITUTE(IFERROR(VLOOKUP("Câu "&amp;D215&amp;".",dapan!$E:$J,6,0),""),"1","A"),"2","B"),"3","C"),"4","D")</f>
        <v>A</v>
      </c>
      <c r="P215">
        <f t="shared" si="16"/>
        <v>55</v>
      </c>
      <c r="Q215" t="str">
        <f t="shared" ca="1" si="17"/>
        <v>{"num":55,"id":55,"q":"Người lái xe không được quay đầu xe trong các trường hợp nào dưới đây?","opts":{"A":" Ở phần đường dành cho người đi bộ qua đường, trên cầu, đầu cầu, trên đường cao tốc, tại nơi đường bộ giao nhau cùng mức với đường sắt, đường hẹp, đường dốc.","B":"Ở phía trước hoặc phía sau của phần đường dành cho người đi bộ qua đường, trên đường quốc lộ.","C":"Cả hai ý trên."},"answer":"A"},</v>
      </c>
    </row>
    <row r="216" spans="1:17" hidden="1" x14ac:dyDescent="0.25">
      <c r="A216">
        <v>1</v>
      </c>
      <c r="B216" t="s">
        <v>192</v>
      </c>
      <c r="C216">
        <f>IFERROR(COUNTIFS($A$1:A216,"Câu "&amp;"*")-MID(A216,5,FIND(".",A216,1)-5),0)</f>
        <v>0</v>
      </c>
      <c r="D216" t="str">
        <f t="shared" si="15"/>
        <v/>
      </c>
      <c r="E216" t="str">
        <f>SUBSTITUTE(IF(LEFT(A216,3)="Câu",MID(A216,FIND(".",A216,1)+2,LEN(A216)),""),CHAR(34),CHAR(92)&amp;CHAR(34))</f>
        <v/>
      </c>
      <c r="G216" t="str">
        <f>SUBSTITUTE(B217,CHAR(34),CHAR(92)&amp;CHAR(34))</f>
        <v>Ở phía trước hoặc phía sau của phần đường dành cho người đi bộ qua đường, trên đường quốc lộ.</v>
      </c>
      <c r="H216" t="str">
        <f>SUBSTITUTE(B218,CHAR(34),CHAR(92)&amp;CHAR(34))</f>
        <v>Cả hai ý trên.</v>
      </c>
      <c r="I216" t="str">
        <f>SUBSTITUTE(IF(LEFT(A219,3)="Câu","",B219),CHAR(34),CHAR(92)&amp;CHAR(34))</f>
        <v/>
      </c>
      <c r="J216" t="str">
        <f>SUBSTITUTE(IF(OR(LEFT(A220,3)="Câu",I216=""),"",IF(B220=0,"",B220)),CHAR(34),CHAR(92)&amp;CHAR(34))</f>
        <v/>
      </c>
      <c r="K216" t="str">
        <f>SUBSTITUTE(SUBSTITUTE(SUBSTITUTE(SUBSTITUTE(IFERROR(VLOOKUP("Câu "&amp;D216&amp;".",dapan!$E:$J,6,0),""),"1","A"),"2","B"),"3","C"),"4","D")</f>
        <v/>
      </c>
      <c r="P216" t="str">
        <f t="shared" si="16"/>
        <v/>
      </c>
      <c r="Q216" t="str">
        <f t="shared" si="17"/>
        <v/>
      </c>
    </row>
    <row r="217" spans="1:17" hidden="1" x14ac:dyDescent="0.25">
      <c r="A217">
        <v>2</v>
      </c>
      <c r="B217" t="s">
        <v>193</v>
      </c>
      <c r="C217">
        <f>IFERROR(COUNTIFS($A$1:A217,"Câu "&amp;"*")-MID(A217,5,FIND(".",A217,1)-5),0)</f>
        <v>0</v>
      </c>
      <c r="D217" t="str">
        <f t="shared" ref="D217:D280" si="18">IF(LEFT(A217,3)="Câu",VALUE(MID(A217,5,FIND(".",A217,1)-5)),"")</f>
        <v/>
      </c>
      <c r="E217" t="str">
        <f>SUBSTITUTE(IF(LEFT(A217,3)="Câu",MID(A217,FIND(".",A217,1)+2,LEN(A217)),""),CHAR(34),CHAR(92)&amp;CHAR(34))</f>
        <v/>
      </c>
      <c r="G217" t="str">
        <f>SUBSTITUTE(B218,CHAR(34),CHAR(92)&amp;CHAR(34))</f>
        <v>Cả hai ý trên.</v>
      </c>
      <c r="H217" t="str">
        <f>SUBSTITUTE(B219,CHAR(34),CHAR(92)&amp;CHAR(34))</f>
        <v/>
      </c>
      <c r="I217" t="str">
        <f>SUBSTITUTE(IF(LEFT(A220,3)="Câu","",B220),CHAR(34),CHAR(92)&amp;CHAR(34))</f>
        <v>Phải quan sát, bảo đảm khoảng cách an toàn với xe phía sau.</v>
      </c>
      <c r="J217" t="str">
        <f>SUBSTITUTE(IF(OR(LEFT(A221,3)="Câu",I217=""),"",IF(B221=0,"",B221)),CHAR(34),CHAR(92)&amp;CHAR(34))</f>
        <v>Giảm tốc độ và có tín hiệu báo hướng rẽ.</v>
      </c>
      <c r="K217" t="str">
        <f>SUBSTITUTE(SUBSTITUTE(SUBSTITUTE(SUBSTITUTE(IFERROR(VLOOKUP("Câu "&amp;D217&amp;".",dapan!$E:$J,6,0),""),"1","A"),"2","B"),"3","C"),"4","D")</f>
        <v/>
      </c>
      <c r="P217" t="str">
        <f t="shared" si="16"/>
        <v/>
      </c>
      <c r="Q217" t="str">
        <f t="shared" si="17"/>
        <v/>
      </c>
    </row>
    <row r="218" spans="1:17" hidden="1" x14ac:dyDescent="0.25">
      <c r="A218">
        <v>3</v>
      </c>
      <c r="B218" t="s">
        <v>18</v>
      </c>
      <c r="C218">
        <f>IFERROR(COUNTIFS($A$1:A218,"Câu "&amp;"*")-MID(A218,5,FIND(".",A218,1)-5),0)</f>
        <v>0</v>
      </c>
      <c r="D218" t="str">
        <f t="shared" si="18"/>
        <v/>
      </c>
      <c r="E218" t="str">
        <f>SUBSTITUTE(IF(LEFT(A218,3)="Câu",MID(A218,FIND(".",A218,1)+2,LEN(A218)),""),CHAR(34),CHAR(92)&amp;CHAR(34))</f>
        <v/>
      </c>
      <c r="G218" t="str">
        <f>SUBSTITUTE(B219,CHAR(34),CHAR(92)&amp;CHAR(34))</f>
        <v/>
      </c>
      <c r="H218" t="str">
        <f>SUBSTITUTE(B220,CHAR(34),CHAR(92)&amp;CHAR(34))</f>
        <v>Phải quan sát, bảo đảm khoảng cách an toàn với xe phía sau.</v>
      </c>
      <c r="I218" t="str">
        <f>SUBSTITUTE(IF(LEFT(A221,3)="Câu","",B221),CHAR(34),CHAR(92)&amp;CHAR(34))</f>
        <v>Giảm tốc độ và có tín hiệu báo hướng rẽ.</v>
      </c>
      <c r="J218" t="str">
        <f>SUBSTITUTE(IF(OR(LEFT(A222,3)="Câu",I218=""),"",IF(B222=0,"",B222)),CHAR(34),CHAR(92)&amp;CHAR(34))</f>
        <v>Chuyển dần sang làn gần nhất với hướng rẽ. Khi bảo đảm an toàn, không gây trở ngại cho người và phương tiện khác mới được chuyển hướng.</v>
      </c>
      <c r="K218" t="str">
        <f>SUBSTITUTE(SUBSTITUTE(SUBSTITUTE(SUBSTITUTE(IFERROR(VLOOKUP("Câu "&amp;D218&amp;".",dapan!$E:$J,6,0),""),"1","A"),"2","B"),"3","C"),"4","D")</f>
        <v/>
      </c>
      <c r="P218" t="str">
        <f t="shared" si="16"/>
        <v/>
      </c>
      <c r="Q218" t="str">
        <f t="shared" si="17"/>
        <v/>
      </c>
    </row>
    <row r="219" spans="1:17" x14ac:dyDescent="0.25">
      <c r="A219" t="s">
        <v>194</v>
      </c>
      <c r="C219">
        <f>IFERROR(COUNTIFS($A$1:A219,"Câu "&amp;"*")-MID(A219,5,FIND(".",A219,1)-5),0)</f>
        <v>0</v>
      </c>
      <c r="D219">
        <f t="shared" si="18"/>
        <v>56</v>
      </c>
      <c r="E219" t="str">
        <f>SUBSTITUTE(IF(LEFT(A219,3)="Câu",MID(A219,FIND(".",A219,1)+2,LEN(A219)),""),CHAR(34),CHAR(92)&amp;CHAR(34))</f>
        <v>Trước khi cho xe chuyển hướng, người lái xe phải làm gì để bảo đảm an toàn giao thông?</v>
      </c>
      <c r="G219" t="str">
        <f>SUBSTITUTE(B220,CHAR(34),CHAR(92)&amp;CHAR(34))</f>
        <v>Phải quan sát, bảo đảm khoảng cách an toàn với xe phía sau.</v>
      </c>
      <c r="H219" t="str">
        <f>SUBSTITUTE(B221,CHAR(34),CHAR(92)&amp;CHAR(34))</f>
        <v>Giảm tốc độ và có tín hiệu báo hướng rẽ.</v>
      </c>
      <c r="I219" t="str">
        <f>SUBSTITUTE(IF(LEFT(A222,3)="Câu","",B222),CHAR(34),CHAR(92)&amp;CHAR(34))</f>
        <v>Chuyển dần sang làn gần nhất với hướng rẽ. Khi bảo đảm an toàn, không gây trở ngại cho người và phương tiện khác mới được chuyển hướng.</v>
      </c>
      <c r="J219" t="str">
        <f>SUBSTITUTE(IF(OR(LEFT(A223,3)="Câu",I219=""),"",IF(B223=0,"",B223)),CHAR(34),CHAR(92)&amp;CHAR(34))</f>
        <v xml:space="preserve"> Cả ba ý trên.</v>
      </c>
      <c r="K219" t="str">
        <f ca="1">SUBSTITUTE(SUBSTITUTE(SUBSTITUTE(SUBSTITUTE(IFERROR(VLOOKUP("Câu "&amp;D219&amp;".",dapan!$E:$J,6,0),""),"1","A"),"2","B"),"3","C"),"4","D")</f>
        <v>D</v>
      </c>
      <c r="P219">
        <f t="shared" si="16"/>
        <v>56</v>
      </c>
      <c r="Q219" t="str">
        <f t="shared" ca="1" si="17"/>
        <v>{"num":56,"id":56,"q":"Trước khi cho xe chuyển hướng, người lái xe phải làm gì để bảo đảm an toàn giao thông?","opts":{"A":"Phải quan sát, bảo đảm khoảng cách an toàn với xe phía sau.","B":"Giảm tốc độ và có tín hiệu báo hướng rẽ.","C":"Chuyển dần sang làn gần nhất với hướng rẽ. Khi bảo đảm an toàn, không gây trở ngại cho người và phương tiện khác mới được chuyển hướng.","D":" Cả ba ý trên."},"answer":"D"},</v>
      </c>
    </row>
    <row r="220" spans="1:17" hidden="1" x14ac:dyDescent="0.25">
      <c r="A220">
        <v>1</v>
      </c>
      <c r="B220" t="s">
        <v>195</v>
      </c>
      <c r="C220">
        <f>IFERROR(COUNTIFS($A$1:A220,"Câu "&amp;"*")-MID(A220,5,FIND(".",A220,1)-5),0)</f>
        <v>0</v>
      </c>
      <c r="D220" t="str">
        <f t="shared" si="18"/>
        <v/>
      </c>
      <c r="E220" t="str">
        <f>SUBSTITUTE(IF(LEFT(A220,3)="Câu",MID(A220,FIND(".",A220,1)+2,LEN(A220)),""),CHAR(34),CHAR(92)&amp;CHAR(34))</f>
        <v/>
      </c>
      <c r="G220" t="str">
        <f>SUBSTITUTE(B221,CHAR(34),CHAR(92)&amp;CHAR(34))</f>
        <v>Giảm tốc độ và có tín hiệu báo hướng rẽ.</v>
      </c>
      <c r="H220" t="str">
        <f>SUBSTITUTE(B222,CHAR(34),CHAR(92)&amp;CHAR(34))</f>
        <v>Chuyển dần sang làn gần nhất với hướng rẽ. Khi bảo đảm an toàn, không gây trở ngại cho người và phương tiện khác mới được chuyển hướng.</v>
      </c>
      <c r="I220" t="str">
        <f>SUBSTITUTE(IF(LEFT(A223,3)="Câu","",B223),CHAR(34),CHAR(92)&amp;CHAR(34))</f>
        <v xml:space="preserve"> Cả ba ý trên.</v>
      </c>
      <c r="J220" t="str">
        <f>SUBSTITUTE(IF(OR(LEFT(A224,3)="Câu",I220=""),"",IF(B224=0,"",B224)),CHAR(34),CHAR(92)&amp;CHAR(34))</f>
        <v/>
      </c>
      <c r="K220" t="str">
        <f>SUBSTITUTE(SUBSTITUTE(SUBSTITUTE(SUBSTITUTE(IFERROR(VLOOKUP("Câu "&amp;D220&amp;".",dapan!$E:$J,6,0),""),"1","A"),"2","B"),"3","C"),"4","D")</f>
        <v/>
      </c>
      <c r="P220" t="str">
        <f t="shared" si="16"/>
        <v/>
      </c>
      <c r="Q220" t="str">
        <f t="shared" si="17"/>
        <v/>
      </c>
    </row>
    <row r="221" spans="1:17" hidden="1" x14ac:dyDescent="0.25">
      <c r="A221">
        <v>2</v>
      </c>
      <c r="B221" t="s">
        <v>196</v>
      </c>
      <c r="C221">
        <f>IFERROR(COUNTIFS($A$1:A221,"Câu "&amp;"*")-MID(A221,5,FIND(".",A221,1)-5),0)</f>
        <v>0</v>
      </c>
      <c r="D221" t="str">
        <f t="shared" si="18"/>
        <v/>
      </c>
      <c r="E221" t="str">
        <f>SUBSTITUTE(IF(LEFT(A221,3)="Câu",MID(A221,FIND(".",A221,1)+2,LEN(A221)),""),CHAR(34),CHAR(92)&amp;CHAR(34))</f>
        <v/>
      </c>
      <c r="G221" t="str">
        <f>SUBSTITUTE(B222,CHAR(34),CHAR(92)&amp;CHAR(34))</f>
        <v>Chuyển dần sang làn gần nhất với hướng rẽ. Khi bảo đảm an toàn, không gây trở ngại cho người và phương tiện khác mới được chuyển hướng.</v>
      </c>
      <c r="H221" t="str">
        <f>SUBSTITUTE(B223,CHAR(34),CHAR(92)&amp;CHAR(34))</f>
        <v xml:space="preserve"> Cả ba ý trên.</v>
      </c>
      <c r="I221" t="str">
        <f>SUBSTITUTE(IF(LEFT(A224,3)="Câu","",B224),CHAR(34),CHAR(92)&amp;CHAR(34))</f>
        <v/>
      </c>
      <c r="J221" t="str">
        <f>SUBSTITUTE(IF(OR(LEFT(A225,3)="Câu",I221=""),"",IF(B225=0,"",B225)),CHAR(34),CHAR(92)&amp;CHAR(34))</f>
        <v/>
      </c>
      <c r="K221" t="str">
        <f>SUBSTITUTE(SUBSTITUTE(SUBSTITUTE(SUBSTITUTE(IFERROR(VLOOKUP("Câu "&amp;D221&amp;".",dapan!$E:$J,6,0),""),"1","A"),"2","B"),"3","C"),"4","D")</f>
        <v/>
      </c>
      <c r="P221" t="str">
        <f t="shared" si="16"/>
        <v/>
      </c>
      <c r="Q221" t="str">
        <f t="shared" si="17"/>
        <v/>
      </c>
    </row>
    <row r="222" spans="1:17" hidden="1" x14ac:dyDescent="0.25">
      <c r="A222">
        <v>3</v>
      </c>
      <c r="B222" t="s">
        <v>197</v>
      </c>
      <c r="C222">
        <f>IFERROR(COUNTIFS($A$1:A222,"Câu "&amp;"*")-MID(A222,5,FIND(".",A222,1)-5),0)</f>
        <v>0</v>
      </c>
      <c r="D222" t="str">
        <f t="shared" si="18"/>
        <v/>
      </c>
      <c r="E222" t="str">
        <f>SUBSTITUTE(IF(LEFT(A222,3)="Câu",MID(A222,FIND(".",A222,1)+2,LEN(A222)),""),CHAR(34),CHAR(92)&amp;CHAR(34))</f>
        <v/>
      </c>
      <c r="G222" t="str">
        <f>SUBSTITUTE(B223,CHAR(34),CHAR(92)&amp;CHAR(34))</f>
        <v xml:space="preserve"> Cả ba ý trên.</v>
      </c>
      <c r="H222" t="str">
        <f>SUBSTITUTE(B224,CHAR(34),CHAR(92)&amp;CHAR(34))</f>
        <v/>
      </c>
      <c r="I222" t="str">
        <f>SUBSTITUTE(IF(LEFT(A225,3)="Câu","",B225),CHAR(34),CHAR(92)&amp;CHAR(34))</f>
        <v>Khi bắt đầu chuyển làn đường.</v>
      </c>
      <c r="J222" t="str">
        <f>SUBSTITUTE(IF(OR(LEFT(A226,3)="Câu",I222=""),"",IF(B226=0,"",B226)),CHAR(34),CHAR(92)&amp;CHAR(34))</f>
        <v xml:space="preserve"> Trước khi thay đổi làn đường.</v>
      </c>
      <c r="K222" t="str">
        <f>SUBSTITUTE(SUBSTITUTE(SUBSTITUTE(SUBSTITUTE(IFERROR(VLOOKUP("Câu "&amp;D222&amp;".",dapan!$E:$J,6,0),""),"1","A"),"2","B"),"3","C"),"4","D")</f>
        <v/>
      </c>
      <c r="P222" t="str">
        <f t="shared" si="16"/>
        <v/>
      </c>
      <c r="Q222" t="str">
        <f t="shared" si="17"/>
        <v/>
      </c>
    </row>
    <row r="223" spans="1:17" hidden="1" x14ac:dyDescent="0.25">
      <c r="A223">
        <v>4</v>
      </c>
      <c r="B223" t="s">
        <v>89</v>
      </c>
      <c r="C223">
        <f>IFERROR(COUNTIFS($A$1:A223,"Câu "&amp;"*")-MID(A223,5,FIND(".",A223,1)-5),0)</f>
        <v>0</v>
      </c>
      <c r="D223" t="str">
        <f t="shared" si="18"/>
        <v/>
      </c>
      <c r="E223" t="str">
        <f>SUBSTITUTE(IF(LEFT(A223,3)="Câu",MID(A223,FIND(".",A223,1)+2,LEN(A223)),""),CHAR(34),CHAR(92)&amp;CHAR(34))</f>
        <v/>
      </c>
      <c r="G223" t="str">
        <f>SUBSTITUTE(B224,CHAR(34),CHAR(92)&amp;CHAR(34))</f>
        <v/>
      </c>
      <c r="H223" t="str">
        <f>SUBSTITUTE(B225,CHAR(34),CHAR(92)&amp;CHAR(34))</f>
        <v>Khi bắt đầu chuyển làn đường.</v>
      </c>
      <c r="I223" t="str">
        <f>SUBSTITUTE(IF(LEFT(A226,3)="Câu","",B226),CHAR(34),CHAR(92)&amp;CHAR(34))</f>
        <v xml:space="preserve"> Trước khi thay đổi làn đường.</v>
      </c>
      <c r="J223" t="str">
        <f>SUBSTITUTE(IF(OR(LEFT(A227,3)="Câu",I223=""),"",IF(B227=0,"",B227)),CHAR(34),CHAR(92)&amp;CHAR(34))</f>
        <v>Sau khi thay đổi làn đường.</v>
      </c>
      <c r="K223" t="str">
        <f>SUBSTITUTE(SUBSTITUTE(SUBSTITUTE(SUBSTITUTE(IFERROR(VLOOKUP("Câu "&amp;D223&amp;".",dapan!$E:$J,6,0),""),"1","A"),"2","B"),"3","C"),"4","D")</f>
        <v/>
      </c>
      <c r="P223" t="str">
        <f t="shared" si="16"/>
        <v/>
      </c>
      <c r="Q223" t="str">
        <f t="shared" si="17"/>
        <v/>
      </c>
    </row>
    <row r="224" spans="1:17" x14ac:dyDescent="0.25">
      <c r="A224" t="s">
        <v>198</v>
      </c>
      <c r="C224">
        <f>IFERROR(COUNTIFS($A$1:A224,"Câu "&amp;"*")-MID(A224,5,FIND(".",A224,1)-5),0)</f>
        <v>0</v>
      </c>
      <c r="D224">
        <f t="shared" si="18"/>
        <v>57</v>
      </c>
      <c r="E224" t="str">
        <f>SUBSTITUTE(IF(LEFT(A224,3)="Câu",MID(A224,FIND(".",A224,1)+2,LEN(A224)),""),CHAR(34),CHAR(92)&amp;CHAR(34))</f>
        <v>Khi chuyển làn đường, người lái xe phải bật đèn tín hiệu báo rẽ như thế nào là đúng quy tắc giao thông?</v>
      </c>
      <c r="G224" t="str">
        <f>SUBSTITUTE(B225,CHAR(34),CHAR(92)&amp;CHAR(34))</f>
        <v>Khi bắt đầu chuyển làn đường.</v>
      </c>
      <c r="H224" t="str">
        <f>SUBSTITUTE(B226,CHAR(34),CHAR(92)&amp;CHAR(34))</f>
        <v xml:space="preserve"> Trước khi thay đổi làn đường.</v>
      </c>
      <c r="I224" t="str">
        <f>SUBSTITUTE(IF(LEFT(A227,3)="Câu","",B227),CHAR(34),CHAR(92)&amp;CHAR(34))</f>
        <v>Sau khi thay đổi làn đường.</v>
      </c>
      <c r="J224" t="str">
        <f>SUBSTITUTE(IF(OR(LEFT(A228,3)="Câu",I224=""),"",IF(B228=0,"",B228)),CHAR(34),CHAR(92)&amp;CHAR(34))</f>
        <v/>
      </c>
      <c r="K224" t="str">
        <f ca="1">SUBSTITUTE(SUBSTITUTE(SUBSTITUTE(SUBSTITUTE(IFERROR(VLOOKUP("Câu "&amp;D224&amp;".",dapan!$E:$J,6,0),""),"1","A"),"2","B"),"3","C"),"4","D")</f>
        <v>B</v>
      </c>
      <c r="P224">
        <f t="shared" si="16"/>
        <v>57</v>
      </c>
      <c r="Q224" t="str">
        <f t="shared" ca="1" si="17"/>
        <v>{"num":57,"id":57,"q":"Khi chuyển làn đường, người lái xe phải bật đèn tín hiệu báo rẽ như thế nào là đúng quy tắc giao thông?","opts":{"A":"Khi bắt đầu chuyển làn đường.","B":" Trước khi thay đổi làn đường.","C":"Sau khi thay đổi làn đường."},"answer":"B"},</v>
      </c>
    </row>
    <row r="225" spans="1:17" hidden="1" x14ac:dyDescent="0.25">
      <c r="A225">
        <v>1</v>
      </c>
      <c r="B225" t="s">
        <v>199</v>
      </c>
      <c r="C225">
        <f>IFERROR(COUNTIFS($A$1:A225,"Câu "&amp;"*")-MID(A225,5,FIND(".",A225,1)-5),0)</f>
        <v>0</v>
      </c>
      <c r="D225" t="str">
        <f t="shared" si="18"/>
        <v/>
      </c>
      <c r="E225" t="str">
        <f>SUBSTITUTE(IF(LEFT(A225,3)="Câu",MID(A225,FIND(".",A225,1)+2,LEN(A225)),""),CHAR(34),CHAR(92)&amp;CHAR(34))</f>
        <v/>
      </c>
      <c r="G225" t="str">
        <f>SUBSTITUTE(B226,CHAR(34),CHAR(92)&amp;CHAR(34))</f>
        <v xml:space="preserve"> Trước khi thay đổi làn đường.</v>
      </c>
      <c r="H225" t="str">
        <f>SUBSTITUTE(B227,CHAR(34),CHAR(92)&amp;CHAR(34))</f>
        <v>Sau khi thay đổi làn đường.</v>
      </c>
      <c r="I225" t="str">
        <f>SUBSTITUTE(IF(LEFT(A228,3)="Câu","",B228),CHAR(34),CHAR(92)&amp;CHAR(34))</f>
        <v/>
      </c>
      <c r="J225" t="str">
        <f>SUBSTITUTE(IF(OR(LEFT(A229,3)="Câu",I225=""),"",IF(B229=0,"",B229)),CHAR(34),CHAR(92)&amp;CHAR(34))</f>
        <v/>
      </c>
      <c r="K225" t="str">
        <f>SUBSTITUTE(SUBSTITUTE(SUBSTITUTE(SUBSTITUTE(IFERROR(VLOOKUP("Câu "&amp;D225&amp;".",dapan!$E:$J,6,0),""),"1","A"),"2","B"),"3","C"),"4","D")</f>
        <v/>
      </c>
      <c r="P225" t="str">
        <f t="shared" si="16"/>
        <v/>
      </c>
      <c r="Q225" t="str">
        <f t="shared" si="17"/>
        <v/>
      </c>
    </row>
    <row r="226" spans="1:17" hidden="1" x14ac:dyDescent="0.25">
      <c r="A226">
        <v>2</v>
      </c>
      <c r="B226" t="s">
        <v>200</v>
      </c>
      <c r="C226">
        <f>IFERROR(COUNTIFS($A$1:A226,"Câu "&amp;"*")-MID(A226,5,FIND(".",A226,1)-5),0)</f>
        <v>0</v>
      </c>
      <c r="D226" t="str">
        <f t="shared" si="18"/>
        <v/>
      </c>
      <c r="E226" t="str">
        <f>SUBSTITUTE(IF(LEFT(A226,3)="Câu",MID(A226,FIND(".",A226,1)+2,LEN(A226)),""),CHAR(34),CHAR(92)&amp;CHAR(34))</f>
        <v/>
      </c>
      <c r="G226" t="str">
        <f>SUBSTITUTE(B227,CHAR(34),CHAR(92)&amp;CHAR(34))</f>
        <v>Sau khi thay đổi làn đường.</v>
      </c>
      <c r="H226" t="str">
        <f>SUBSTITUTE(B228,CHAR(34),CHAR(92)&amp;CHAR(34))</f>
        <v/>
      </c>
      <c r="I226" t="str">
        <f>SUBSTITUTE(IF(LEFT(A229,3)="Câu","",B229),CHAR(34),CHAR(92)&amp;CHAR(34))</f>
        <v>Ở đường một chiều, khu vực cấm dừng, trên phần đường dành cho người đi bộ qua đường.</v>
      </c>
      <c r="J226" t="str">
        <f>SUBSTITUTE(IF(OR(LEFT(A230,3)="Câu",I226=""),"",IF(B230=0,"",B230)),CHAR(34),CHAR(92)&amp;CHAR(34))</f>
        <v>Nơi đường bộ giao nhau, đường bộ giao nhau cùng mức với đường sắt.</v>
      </c>
      <c r="K226" t="str">
        <f>SUBSTITUTE(SUBSTITUTE(SUBSTITUTE(SUBSTITUTE(IFERROR(VLOOKUP("Câu "&amp;D226&amp;".",dapan!$E:$J,6,0),""),"1","A"),"2","B"),"3","C"),"4","D")</f>
        <v/>
      </c>
      <c r="P226" t="str">
        <f t="shared" si="16"/>
        <v/>
      </c>
      <c r="Q226" t="str">
        <f t="shared" si="17"/>
        <v/>
      </c>
    </row>
    <row r="227" spans="1:17" hidden="1" x14ac:dyDescent="0.25">
      <c r="A227">
        <v>3</v>
      </c>
      <c r="B227" t="s">
        <v>201</v>
      </c>
      <c r="C227">
        <f>IFERROR(COUNTIFS($A$1:A227,"Câu "&amp;"*")-MID(A227,5,FIND(".",A227,1)-5),0)</f>
        <v>0</v>
      </c>
      <c r="D227" t="str">
        <f t="shared" si="18"/>
        <v/>
      </c>
      <c r="E227" t="str">
        <f>SUBSTITUTE(IF(LEFT(A227,3)="Câu",MID(A227,FIND(".",A227,1)+2,LEN(A227)),""),CHAR(34),CHAR(92)&amp;CHAR(34))</f>
        <v/>
      </c>
      <c r="G227" t="str">
        <f>SUBSTITUTE(B228,CHAR(34),CHAR(92)&amp;CHAR(34))</f>
        <v/>
      </c>
      <c r="H227" t="str">
        <f>SUBSTITUTE(B229,CHAR(34),CHAR(92)&amp;CHAR(34))</f>
        <v>Ở đường một chiều, khu vực cấm dừng, trên phần đường dành cho người đi bộ qua đường.</v>
      </c>
      <c r="I227" t="str">
        <f>SUBSTITUTE(IF(LEFT(A230,3)="Câu","",B230),CHAR(34),CHAR(92)&amp;CHAR(34))</f>
        <v>Nơi đường bộ giao nhau, đường bộ giao nhau cùng mức với đường sắt.</v>
      </c>
      <c r="J227" t="str">
        <f>SUBSTITUTE(IF(OR(LEFT(A231,3)="Câu",I227=""),"",IF(B231=0,"",B231)),CHAR(34),CHAR(92)&amp;CHAR(34))</f>
        <v>Nơi tầm nhìn bị che khuất, trong hầm đường bộ, trên đường cao tốc.</v>
      </c>
      <c r="K227" t="str">
        <f>SUBSTITUTE(SUBSTITUTE(SUBSTITUTE(SUBSTITUTE(IFERROR(VLOOKUP("Câu "&amp;D227&amp;".",dapan!$E:$J,6,0),""),"1","A"),"2","B"),"3","C"),"4","D")</f>
        <v/>
      </c>
      <c r="P227" t="str">
        <f t="shared" si="16"/>
        <v/>
      </c>
      <c r="Q227" t="str">
        <f t="shared" si="17"/>
        <v/>
      </c>
    </row>
    <row r="228" spans="1:17" x14ac:dyDescent="0.25">
      <c r="A228" t="s">
        <v>202</v>
      </c>
      <c r="C228">
        <f>IFERROR(COUNTIFS($A$1:A228,"Câu "&amp;"*")-MID(A228,5,FIND(".",A228,1)-5),0)</f>
        <v>0</v>
      </c>
      <c r="D228">
        <f t="shared" si="18"/>
        <v>58</v>
      </c>
      <c r="E228" t="str">
        <f>SUBSTITUTE(IF(LEFT(A228,3)="Câu",MID(A228,FIND(".",A228,1)+2,LEN(A228)),""),CHAR(34),CHAR(92)&amp;CHAR(34))</f>
        <v>Người lái xe không được lùi xe ở những khu vực nào dưới đây?</v>
      </c>
      <c r="G228" t="str">
        <f>SUBSTITUTE(B229,CHAR(34),CHAR(92)&amp;CHAR(34))</f>
        <v>Ở đường một chiều, khu vực cấm dừng, trên phần đường dành cho người đi bộ qua đường.</v>
      </c>
      <c r="H228" t="str">
        <f>SUBSTITUTE(B230,CHAR(34),CHAR(92)&amp;CHAR(34))</f>
        <v>Nơi đường bộ giao nhau, đường bộ giao nhau cùng mức với đường sắt.</v>
      </c>
      <c r="I228" t="str">
        <f>SUBSTITUTE(IF(LEFT(A231,3)="Câu","",B231),CHAR(34),CHAR(92)&amp;CHAR(34))</f>
        <v>Nơi tầm nhìn bị che khuất, trong hầm đường bộ, trên đường cao tốc.</v>
      </c>
      <c r="J228" t="str">
        <f>SUBSTITUTE(IF(OR(LEFT(A232,3)="Câu",I228=""),"",IF(B232=0,"",B232)),CHAR(34),CHAR(92)&amp;CHAR(34))</f>
        <v xml:space="preserve"> Cả ba ý trên.</v>
      </c>
      <c r="K228" t="str">
        <f ca="1">SUBSTITUTE(SUBSTITUTE(SUBSTITUTE(SUBSTITUTE(IFERROR(VLOOKUP("Câu "&amp;D228&amp;".",dapan!$E:$J,6,0),""),"1","A"),"2","B"),"3","C"),"4","D")</f>
        <v>D</v>
      </c>
      <c r="P228">
        <f t="shared" si="16"/>
        <v>58</v>
      </c>
      <c r="Q228" t="str">
        <f t="shared" ca="1" si="17"/>
        <v>{"num":58,"id":58,"q":"Người lái xe không được lùi xe ở những khu vực nào dưới đây?","opts":{"A":"Ở đường một chiều, khu vực cấm dừng, trên phần đường dành cho người đi bộ qua đường.","B":"Nơi đường bộ giao nhau, đường bộ giao nhau cùng mức với đường sắt.","C":"Nơi tầm nhìn bị che khuất, trong hầm đường bộ, trên đường cao tốc.","D":" Cả ba ý trên."},"answer":"D"},</v>
      </c>
    </row>
    <row r="229" spans="1:17" hidden="1" x14ac:dyDescent="0.25">
      <c r="A229">
        <v>1</v>
      </c>
      <c r="B229" t="s">
        <v>203</v>
      </c>
      <c r="C229">
        <f>IFERROR(COUNTIFS($A$1:A229,"Câu "&amp;"*")-MID(A229,5,FIND(".",A229,1)-5),0)</f>
        <v>0</v>
      </c>
      <c r="D229" t="str">
        <f t="shared" si="18"/>
        <v/>
      </c>
      <c r="E229" t="str">
        <f>SUBSTITUTE(IF(LEFT(A229,3)="Câu",MID(A229,FIND(".",A229,1)+2,LEN(A229)),""),CHAR(34),CHAR(92)&amp;CHAR(34))</f>
        <v/>
      </c>
      <c r="G229" t="str">
        <f>SUBSTITUTE(B230,CHAR(34),CHAR(92)&amp;CHAR(34))</f>
        <v>Nơi đường bộ giao nhau, đường bộ giao nhau cùng mức với đường sắt.</v>
      </c>
      <c r="H229" t="str">
        <f>SUBSTITUTE(B231,CHAR(34),CHAR(92)&amp;CHAR(34))</f>
        <v>Nơi tầm nhìn bị che khuất, trong hầm đường bộ, trên đường cao tốc.</v>
      </c>
      <c r="I229" t="str">
        <f>SUBSTITUTE(IF(LEFT(A232,3)="Câu","",B232),CHAR(34),CHAR(92)&amp;CHAR(34))</f>
        <v xml:space="preserve"> Cả ba ý trên.</v>
      </c>
      <c r="J229" t="str">
        <f>SUBSTITUTE(IF(OR(LEFT(A233,3)="Câu",I229=""),"",IF(B233=0,"",B233)),CHAR(34),CHAR(92)&amp;CHAR(34))</f>
        <v/>
      </c>
      <c r="K229" t="str">
        <f>SUBSTITUTE(SUBSTITUTE(SUBSTITUTE(SUBSTITUTE(IFERROR(VLOOKUP("Câu "&amp;D229&amp;".",dapan!$E:$J,6,0),""),"1","A"),"2","B"),"3","C"),"4","D")</f>
        <v/>
      </c>
      <c r="P229" t="str">
        <f t="shared" si="16"/>
        <v/>
      </c>
      <c r="Q229" t="str">
        <f t="shared" si="17"/>
        <v/>
      </c>
    </row>
    <row r="230" spans="1:17" hidden="1" x14ac:dyDescent="0.25">
      <c r="A230">
        <v>2</v>
      </c>
      <c r="B230" t="s">
        <v>204</v>
      </c>
      <c r="C230">
        <f>IFERROR(COUNTIFS($A$1:A230,"Câu "&amp;"*")-MID(A230,5,FIND(".",A230,1)-5),0)</f>
        <v>0</v>
      </c>
      <c r="D230" t="str">
        <f t="shared" si="18"/>
        <v/>
      </c>
      <c r="E230" t="str">
        <f>SUBSTITUTE(IF(LEFT(A230,3)="Câu",MID(A230,FIND(".",A230,1)+2,LEN(A230)),""),CHAR(34),CHAR(92)&amp;CHAR(34))</f>
        <v/>
      </c>
      <c r="G230" t="str">
        <f>SUBSTITUTE(B231,CHAR(34),CHAR(92)&amp;CHAR(34))</f>
        <v>Nơi tầm nhìn bị che khuất, trong hầm đường bộ, trên đường cao tốc.</v>
      </c>
      <c r="H230" t="str">
        <f>SUBSTITUTE(B232,CHAR(34),CHAR(92)&amp;CHAR(34))</f>
        <v xml:space="preserve"> Cả ba ý trên.</v>
      </c>
      <c r="I230" t="str">
        <f>SUBSTITUTE(IF(LEFT(A233,3)="Câu","",B233),CHAR(34),CHAR(92)&amp;CHAR(34))</f>
        <v/>
      </c>
      <c r="J230" t="str">
        <f>SUBSTITUTE(IF(OR(LEFT(A234,3)="Câu",I230=""),"",IF(B234=0,"",B234)),CHAR(34),CHAR(92)&amp;CHAR(34))</f>
        <v/>
      </c>
      <c r="K230" t="str">
        <f>SUBSTITUTE(SUBSTITUTE(SUBSTITUTE(SUBSTITUTE(IFERROR(VLOOKUP("Câu "&amp;D230&amp;".",dapan!$E:$J,6,0),""),"1","A"),"2","B"),"3","C"),"4","D")</f>
        <v/>
      </c>
      <c r="P230" t="str">
        <f t="shared" si="16"/>
        <v/>
      </c>
      <c r="Q230" t="str">
        <f t="shared" si="17"/>
        <v/>
      </c>
    </row>
    <row r="231" spans="1:17" hidden="1" x14ac:dyDescent="0.25">
      <c r="A231">
        <v>3</v>
      </c>
      <c r="B231" t="s">
        <v>205</v>
      </c>
      <c r="C231">
        <f>IFERROR(COUNTIFS($A$1:A231,"Câu "&amp;"*")-MID(A231,5,FIND(".",A231,1)-5),0)</f>
        <v>0</v>
      </c>
      <c r="D231" t="str">
        <f t="shared" si="18"/>
        <v/>
      </c>
      <c r="E231" t="str">
        <f>SUBSTITUTE(IF(LEFT(A231,3)="Câu",MID(A231,FIND(".",A231,1)+2,LEN(A231)),""),CHAR(34),CHAR(92)&amp;CHAR(34))</f>
        <v/>
      </c>
      <c r="G231" t="str">
        <f>SUBSTITUTE(B232,CHAR(34),CHAR(92)&amp;CHAR(34))</f>
        <v xml:space="preserve"> Cả ba ý trên.</v>
      </c>
      <c r="H231" t="str">
        <f>SUBSTITUTE(B233,CHAR(34),CHAR(92)&amp;CHAR(34))</f>
        <v/>
      </c>
      <c r="I231" t="str">
        <f>SUBSTITUTE(IF(LEFT(A234,3)="Câu","",B234),CHAR(34),CHAR(92)&amp;CHAR(34))</f>
        <v>Trên miệng cống thoát nước, miệng hầm của đường điện thoại, điện cao thế, chỗ dành riêng cho xe chữa cháy lấy nước.</v>
      </c>
      <c r="J231" t="str">
        <f>SUBSTITUTE(IF(OR(LEFT(A235,3)="Câu",I231=""),"",IF(B235=0,"",B235)),CHAR(34),CHAR(92)&amp;CHAR(34))</f>
        <v>Trong phạm vi an toàn của đường sắt.</v>
      </c>
      <c r="K231" t="str">
        <f>SUBSTITUTE(SUBSTITUTE(SUBSTITUTE(SUBSTITUTE(IFERROR(VLOOKUP("Câu "&amp;D231&amp;".",dapan!$E:$J,6,0),""),"1","A"),"2","B"),"3","C"),"4","D")</f>
        <v/>
      </c>
      <c r="P231" t="str">
        <f t="shared" si="16"/>
        <v/>
      </c>
      <c r="Q231" t="str">
        <f t="shared" si="17"/>
        <v/>
      </c>
    </row>
    <row r="232" spans="1:17" hidden="1" x14ac:dyDescent="0.25">
      <c r="A232">
        <v>4</v>
      </c>
      <c r="B232" t="s">
        <v>89</v>
      </c>
      <c r="C232">
        <f>IFERROR(COUNTIFS($A$1:A232,"Câu "&amp;"*")-MID(A232,5,FIND(".",A232,1)-5),0)</f>
        <v>0</v>
      </c>
      <c r="D232" t="str">
        <f t="shared" si="18"/>
        <v/>
      </c>
      <c r="E232" t="str">
        <f>SUBSTITUTE(IF(LEFT(A232,3)="Câu",MID(A232,FIND(".",A232,1)+2,LEN(A232)),""),CHAR(34),CHAR(92)&amp;CHAR(34))</f>
        <v/>
      </c>
      <c r="G232" t="str">
        <f>SUBSTITUTE(B233,CHAR(34),CHAR(92)&amp;CHAR(34))</f>
        <v/>
      </c>
      <c r="H232" t="str">
        <f>SUBSTITUTE(B234,CHAR(34),CHAR(92)&amp;CHAR(34))</f>
        <v>Trên miệng cống thoát nước, miệng hầm của đường điện thoại, điện cao thế, chỗ dành riêng cho xe chữa cháy lấy nước.</v>
      </c>
      <c r="I232" t="str">
        <f>SUBSTITUTE(IF(LEFT(A235,3)="Câu","",B235),CHAR(34),CHAR(92)&amp;CHAR(34))</f>
        <v>Trong phạm vi an toàn của đường sắt.</v>
      </c>
      <c r="J232" t="str">
        <f>SUBSTITUTE(IF(OR(LEFT(A236,3)="Câu",I232=""),"",IF(B236=0,"",B236)),CHAR(34),CHAR(92)&amp;CHAR(34))</f>
        <v xml:space="preserve"> Cả hai ý trên.</v>
      </c>
      <c r="K232" t="str">
        <f>SUBSTITUTE(SUBSTITUTE(SUBSTITUTE(SUBSTITUTE(IFERROR(VLOOKUP("Câu "&amp;D232&amp;".",dapan!$E:$J,6,0),""),"1","A"),"2","B"),"3","C"),"4","D")</f>
        <v/>
      </c>
      <c r="P232" t="str">
        <f t="shared" si="16"/>
        <v/>
      </c>
      <c r="Q232" t="str">
        <f t="shared" si="17"/>
        <v/>
      </c>
    </row>
    <row r="233" spans="1:17" x14ac:dyDescent="0.25">
      <c r="A233" t="s">
        <v>206</v>
      </c>
      <c r="C233">
        <f>IFERROR(COUNTIFS($A$1:A233,"Câu "&amp;"*")-MID(A233,5,FIND(".",A233,1)-5),0)</f>
        <v>0</v>
      </c>
      <c r="D233">
        <f t="shared" si="18"/>
        <v>59</v>
      </c>
      <c r="E233" t="str">
        <f>SUBSTITUTE(IF(LEFT(A233,3)="Câu",MID(A233,FIND(".",A233,1)+2,LEN(A233)),""),CHAR(34),CHAR(92)&amp;CHAR(34))</f>
        <v>Người điều khiển phương tiện tham gia giao thông không được dừng xe, đỗ xe ở những vị trí nào sau đây?</v>
      </c>
      <c r="G233" t="str">
        <f>SUBSTITUTE(B234,CHAR(34),CHAR(92)&amp;CHAR(34))</f>
        <v>Trên miệng cống thoát nước, miệng hầm của đường điện thoại, điện cao thế, chỗ dành riêng cho xe chữa cháy lấy nước.</v>
      </c>
      <c r="H233" t="str">
        <f>SUBSTITUTE(B235,CHAR(34),CHAR(92)&amp;CHAR(34))</f>
        <v>Trong phạm vi an toàn của đường sắt.</v>
      </c>
      <c r="I233" t="str">
        <f>SUBSTITUTE(IF(LEFT(A236,3)="Câu","",B236),CHAR(34),CHAR(92)&amp;CHAR(34))</f>
        <v xml:space="preserve"> Cả hai ý trên.</v>
      </c>
      <c r="J233" t="str">
        <f>SUBSTITUTE(IF(OR(LEFT(A237,3)="Câu",I233=""),"",IF(B237=0,"",B237)),CHAR(34),CHAR(92)&amp;CHAR(34))</f>
        <v/>
      </c>
      <c r="K233" t="str">
        <f ca="1">SUBSTITUTE(SUBSTITUTE(SUBSTITUTE(SUBSTITUTE(IFERROR(VLOOKUP("Câu "&amp;D233&amp;".",dapan!$E:$J,6,0),""),"1","A"),"2","B"),"3","C"),"4","D")</f>
        <v>C</v>
      </c>
      <c r="P233">
        <f t="shared" si="16"/>
        <v>59</v>
      </c>
      <c r="Q233" t="str">
        <f t="shared" ca="1" si="17"/>
        <v>{"num":59,"id":59,"q":"Người điều khiển phương tiện tham gia giao thông không được dừng xe, đỗ xe ở những vị trí nào sau đây?","opts":{"A":"Trên miệng cống thoát nước, miệng hầm của đường điện thoại, điện cao thế, chỗ dành riêng cho xe chữa cháy lấy nước.","B":"Trong phạm vi an toàn của đường sắt.","C":" Cả hai ý trên."},"answer":"C"},</v>
      </c>
    </row>
    <row r="234" spans="1:17" hidden="1" x14ac:dyDescent="0.25">
      <c r="A234">
        <v>1</v>
      </c>
      <c r="B234" t="s">
        <v>207</v>
      </c>
      <c r="C234">
        <f>IFERROR(COUNTIFS($A$1:A234,"Câu "&amp;"*")-MID(A234,5,FIND(".",A234,1)-5),0)</f>
        <v>0</v>
      </c>
      <c r="D234" t="str">
        <f t="shared" si="18"/>
        <v/>
      </c>
      <c r="E234" t="str">
        <f>SUBSTITUTE(IF(LEFT(A234,3)="Câu",MID(A234,FIND(".",A234,1)+2,LEN(A234)),""),CHAR(34),CHAR(92)&amp;CHAR(34))</f>
        <v/>
      </c>
      <c r="G234" t="str">
        <f>SUBSTITUTE(B235,CHAR(34),CHAR(92)&amp;CHAR(34))</f>
        <v>Trong phạm vi an toàn của đường sắt.</v>
      </c>
      <c r="H234" t="str">
        <f>SUBSTITUTE(B236,CHAR(34),CHAR(92)&amp;CHAR(34))</f>
        <v xml:space="preserve"> Cả hai ý trên.</v>
      </c>
      <c r="I234" t="str">
        <f>SUBSTITUTE(IF(LEFT(A237,3)="Câu","",B237),CHAR(34),CHAR(92)&amp;CHAR(34))</f>
        <v/>
      </c>
      <c r="J234" t="str">
        <f>SUBSTITUTE(IF(OR(LEFT(A238,3)="Câu",I234=""),"",IF(B238=0,"",B238)),CHAR(34),CHAR(92)&amp;CHAR(34))</f>
        <v/>
      </c>
      <c r="K234" t="str">
        <f>SUBSTITUTE(SUBSTITUTE(SUBSTITUTE(SUBSTITUTE(IFERROR(VLOOKUP("Câu "&amp;D234&amp;".",dapan!$E:$J,6,0),""),"1","A"),"2","B"),"3","C"),"4","D")</f>
        <v/>
      </c>
      <c r="P234" t="str">
        <f t="shared" si="16"/>
        <v/>
      </c>
      <c r="Q234" t="str">
        <f t="shared" si="17"/>
        <v/>
      </c>
    </row>
    <row r="235" spans="1:17" hidden="1" x14ac:dyDescent="0.25">
      <c r="A235">
        <v>2</v>
      </c>
      <c r="B235" t="s">
        <v>208</v>
      </c>
      <c r="C235">
        <f>IFERROR(COUNTIFS($A$1:A235,"Câu "&amp;"*")-MID(A235,5,FIND(".",A235,1)-5),0)</f>
        <v>0</v>
      </c>
      <c r="D235" t="str">
        <f t="shared" si="18"/>
        <v/>
      </c>
      <c r="E235" t="str">
        <f>SUBSTITUTE(IF(LEFT(A235,3)="Câu",MID(A235,FIND(".",A235,1)+2,LEN(A235)),""),CHAR(34),CHAR(92)&amp;CHAR(34))</f>
        <v/>
      </c>
      <c r="G235" t="str">
        <f>SUBSTITUTE(B236,CHAR(34),CHAR(92)&amp;CHAR(34))</f>
        <v xml:space="preserve"> Cả hai ý trên.</v>
      </c>
      <c r="H235" t="str">
        <f>SUBSTITUTE(B237,CHAR(34),CHAR(92)&amp;CHAR(34))</f>
        <v/>
      </c>
      <c r="I235" t="str">
        <f>SUBSTITUTE(IF(LEFT(A238,3)="Câu","",B238),CHAR(34),CHAR(92)&amp;CHAR(34))</f>
        <v xml:space="preserve"> 0,25 mét.</v>
      </c>
      <c r="J235" t="str">
        <f>SUBSTITUTE(IF(OR(LEFT(A239,3)="Câu",I235=""),"",IF(B239=0,"",B239)),CHAR(34),CHAR(92)&amp;CHAR(34))</f>
        <v>0,3 mét.</v>
      </c>
      <c r="K235" t="str">
        <f>SUBSTITUTE(SUBSTITUTE(SUBSTITUTE(SUBSTITUTE(IFERROR(VLOOKUP("Câu "&amp;D235&amp;".",dapan!$E:$J,6,0),""),"1","A"),"2","B"),"3","C"),"4","D")</f>
        <v/>
      </c>
      <c r="P235" t="str">
        <f t="shared" si="16"/>
        <v/>
      </c>
      <c r="Q235" t="str">
        <f t="shared" si="17"/>
        <v/>
      </c>
    </row>
    <row r="236" spans="1:17" hidden="1" x14ac:dyDescent="0.25">
      <c r="A236">
        <v>3</v>
      </c>
      <c r="B236" t="s">
        <v>32</v>
      </c>
      <c r="C236">
        <f>IFERROR(COUNTIFS($A$1:A236,"Câu "&amp;"*")-MID(A236,5,FIND(".",A236,1)-5),0)</f>
        <v>0</v>
      </c>
      <c r="D236" t="str">
        <f t="shared" si="18"/>
        <v/>
      </c>
      <c r="E236" t="str">
        <f>SUBSTITUTE(IF(LEFT(A236,3)="Câu",MID(A236,FIND(".",A236,1)+2,LEN(A236)),""),CHAR(34),CHAR(92)&amp;CHAR(34))</f>
        <v/>
      </c>
      <c r="G236" t="str">
        <f>SUBSTITUTE(B237,CHAR(34),CHAR(92)&amp;CHAR(34))</f>
        <v/>
      </c>
      <c r="H236" t="str">
        <f>SUBSTITUTE(B238,CHAR(34),CHAR(92)&amp;CHAR(34))</f>
        <v xml:space="preserve"> 0,25 mét.</v>
      </c>
      <c r="I236" t="str">
        <f>SUBSTITUTE(IF(LEFT(A239,3)="Câu","",B239),CHAR(34),CHAR(92)&amp;CHAR(34))</f>
        <v>0,3 mét.</v>
      </c>
      <c r="J236" t="str">
        <f>SUBSTITUTE(IF(OR(LEFT(A240,3)="Câu",I236=""),"",IF(B240=0,"",B240)),CHAR(34),CHAR(92)&amp;CHAR(34))</f>
        <v>0,4 mét.</v>
      </c>
      <c r="K236" t="str">
        <f>SUBSTITUTE(SUBSTITUTE(SUBSTITUTE(SUBSTITUTE(IFERROR(VLOOKUP("Câu "&amp;D236&amp;".",dapan!$E:$J,6,0),""),"1","A"),"2","B"),"3","C"),"4","D")</f>
        <v/>
      </c>
      <c r="P236" t="str">
        <f t="shared" si="16"/>
        <v/>
      </c>
      <c r="Q236" t="str">
        <f t="shared" si="17"/>
        <v/>
      </c>
    </row>
    <row r="237" spans="1:17" x14ac:dyDescent="0.25">
      <c r="A237" t="s">
        <v>209</v>
      </c>
      <c r="C237">
        <f>IFERROR(COUNTIFS($A$1:A237,"Câu "&amp;"*")-MID(A237,5,FIND(".",A237,1)-5),0)</f>
        <v>0</v>
      </c>
      <c r="D237">
        <f t="shared" si="18"/>
        <v>60</v>
      </c>
      <c r="E237" t="str">
        <f>SUBSTITUTE(IF(LEFT(A237,3)="Câu",MID(A237,FIND(".",A237,1)+2,LEN(A237)),""),CHAR(34),CHAR(92)&amp;CHAR(34))</f>
        <v>Trên đường phố, người điều khiển phương tiện tham gia giao thông đường bộ được dừng xe, đỗ xe sát theo lề đường, vỉa hè phía bên phải theo chiều đi của mình; bánh xe gần nhất không được cách xa lề đường, vỉa hè không quá bao nhiêu mét trong các trường hợp dưới đây và không gây cản trở, nguy hiểm cho người và phương tiện tham gia giao thông đường bộ?</v>
      </c>
      <c r="G237" t="str">
        <f>SUBSTITUTE(B238,CHAR(34),CHAR(92)&amp;CHAR(34))</f>
        <v xml:space="preserve"> 0,25 mét.</v>
      </c>
      <c r="H237" t="str">
        <f>SUBSTITUTE(B239,CHAR(34),CHAR(92)&amp;CHAR(34))</f>
        <v>0,3 mét.</v>
      </c>
      <c r="I237" t="str">
        <f>SUBSTITUTE(IF(LEFT(A240,3)="Câu","",B240),CHAR(34),CHAR(92)&amp;CHAR(34))</f>
        <v>0,4 mét.</v>
      </c>
      <c r="J237" t="str">
        <f>SUBSTITUTE(IF(OR(LEFT(A241,3)="Câu",I237=""),"",IF(B241=0,"",B241)),CHAR(34),CHAR(92)&amp;CHAR(34))</f>
        <v>0,5 mét.</v>
      </c>
      <c r="K237" t="str">
        <f ca="1">SUBSTITUTE(SUBSTITUTE(SUBSTITUTE(SUBSTITUTE(IFERROR(VLOOKUP("Câu "&amp;D237&amp;".",dapan!$E:$J,6,0),""),"1","A"),"2","B"),"3","C"),"4","D")</f>
        <v>A</v>
      </c>
      <c r="P237">
        <f t="shared" si="16"/>
        <v>60</v>
      </c>
      <c r="Q237" t="str">
        <f t="shared" ca="1" si="17"/>
        <v>{"num":60,"id":60,"q":"Trên đường phố, người điều khiển phương tiện tham gia giao thông đường bộ được dừng xe, đỗ xe sát theo lề đường, vỉa hè phía bên phải theo chiều đi của mình; bánh xe gần nhất không được cách xa lề đường, vỉa hè không quá bao nhiêu mét trong các trường hợp dưới đây và không gây cản trở, nguy hiểm cho người và phương tiện tham gia giao thông đường bộ?","opts":{"A":" 0,25 mét.","B":"0,3 mét.","C":"0,4 mét.","D":"0,5 mét."},"answer":"A"},</v>
      </c>
    </row>
    <row r="238" spans="1:17" hidden="1" x14ac:dyDescent="0.25">
      <c r="A238">
        <v>1</v>
      </c>
      <c r="B238" t="s">
        <v>210</v>
      </c>
      <c r="C238">
        <f>IFERROR(COUNTIFS($A$1:A238,"Câu "&amp;"*")-MID(A238,5,FIND(".",A238,1)-5),0)</f>
        <v>0</v>
      </c>
      <c r="D238" t="str">
        <f t="shared" si="18"/>
        <v/>
      </c>
      <c r="E238" t="str">
        <f>SUBSTITUTE(IF(LEFT(A238,3)="Câu",MID(A238,FIND(".",A238,1)+2,LEN(A238)),""),CHAR(34),CHAR(92)&amp;CHAR(34))</f>
        <v/>
      </c>
      <c r="G238" t="str">
        <f>SUBSTITUTE(B239,CHAR(34),CHAR(92)&amp;CHAR(34))</f>
        <v>0,3 mét.</v>
      </c>
      <c r="H238" t="str">
        <f>SUBSTITUTE(B240,CHAR(34),CHAR(92)&amp;CHAR(34))</f>
        <v>0,4 mét.</v>
      </c>
      <c r="I238" t="str">
        <f>SUBSTITUTE(IF(LEFT(A241,3)="Câu","",B241),CHAR(34),CHAR(92)&amp;CHAR(34))</f>
        <v>0,5 mét.</v>
      </c>
      <c r="J238" t="str">
        <f>SUBSTITUTE(IF(OR(LEFT(A242,3)="Câu",I238=""),"",IF(B242=0,"",B242)),CHAR(34),CHAR(92)&amp;CHAR(34))</f>
        <v/>
      </c>
      <c r="K238" t="str">
        <f>SUBSTITUTE(SUBSTITUTE(SUBSTITUTE(SUBSTITUTE(IFERROR(VLOOKUP("Câu "&amp;D238&amp;".",dapan!$E:$J,6,0),""),"1","A"),"2","B"),"3","C"),"4","D")</f>
        <v/>
      </c>
      <c r="P238" t="str">
        <f t="shared" si="16"/>
        <v/>
      </c>
      <c r="Q238" t="str">
        <f t="shared" si="17"/>
        <v/>
      </c>
    </row>
    <row r="239" spans="1:17" hidden="1" x14ac:dyDescent="0.25">
      <c r="A239">
        <v>2</v>
      </c>
      <c r="B239" t="s">
        <v>211</v>
      </c>
      <c r="C239">
        <f>IFERROR(COUNTIFS($A$1:A239,"Câu "&amp;"*")-MID(A239,5,FIND(".",A239,1)-5),0)</f>
        <v>0</v>
      </c>
      <c r="D239" t="str">
        <f t="shared" si="18"/>
        <v/>
      </c>
      <c r="E239" t="str">
        <f>SUBSTITUTE(IF(LEFT(A239,3)="Câu",MID(A239,FIND(".",A239,1)+2,LEN(A239)),""),CHAR(34),CHAR(92)&amp;CHAR(34))</f>
        <v/>
      </c>
      <c r="G239" t="str">
        <f>SUBSTITUTE(B240,CHAR(34),CHAR(92)&amp;CHAR(34))</f>
        <v>0,4 mét.</v>
      </c>
      <c r="H239" t="str">
        <f>SUBSTITUTE(B241,CHAR(34),CHAR(92)&amp;CHAR(34))</f>
        <v>0,5 mét.</v>
      </c>
      <c r="I239" t="str">
        <f>SUBSTITUTE(IF(LEFT(A242,3)="Câu","",B242),CHAR(34),CHAR(92)&amp;CHAR(34))</f>
        <v/>
      </c>
      <c r="J239" t="str">
        <f>SUBSTITUTE(IF(OR(LEFT(A243,3)="Câu",I239=""),"",IF(B243=0,"",B243)),CHAR(34),CHAR(92)&amp;CHAR(34))</f>
        <v/>
      </c>
      <c r="K239" t="str">
        <f>SUBSTITUTE(SUBSTITUTE(SUBSTITUTE(SUBSTITUTE(IFERROR(VLOOKUP("Câu "&amp;D239&amp;".",dapan!$E:$J,6,0),""),"1","A"),"2","B"),"3","C"),"4","D")</f>
        <v/>
      </c>
      <c r="P239" t="str">
        <f t="shared" si="16"/>
        <v/>
      </c>
      <c r="Q239" t="str">
        <f t="shared" si="17"/>
        <v/>
      </c>
    </row>
    <row r="240" spans="1:17" hidden="1" x14ac:dyDescent="0.25">
      <c r="A240">
        <v>3</v>
      </c>
      <c r="B240" t="s">
        <v>212</v>
      </c>
      <c r="C240">
        <f>IFERROR(COUNTIFS($A$1:A240,"Câu "&amp;"*")-MID(A240,5,FIND(".",A240,1)-5),0)</f>
        <v>0</v>
      </c>
      <c r="D240" t="str">
        <f t="shared" si="18"/>
        <v/>
      </c>
      <c r="E240" t="str">
        <f>SUBSTITUTE(IF(LEFT(A240,3)="Câu",MID(A240,FIND(".",A240,1)+2,LEN(A240)),""),CHAR(34),CHAR(92)&amp;CHAR(34))</f>
        <v/>
      </c>
      <c r="G240" t="str">
        <f>SUBSTITUTE(B241,CHAR(34),CHAR(92)&amp;CHAR(34))</f>
        <v>0,5 mét.</v>
      </c>
      <c r="H240" t="str">
        <f>SUBSTITUTE(B242,CHAR(34),CHAR(92)&amp;CHAR(34))</f>
        <v/>
      </c>
      <c r="I240" t="str">
        <f>SUBSTITUTE(IF(LEFT(A243,3)="Câu","",B243),CHAR(34),CHAR(92)&amp;CHAR(34))</f>
        <v>10 mét.</v>
      </c>
      <c r="J240" t="str">
        <f>SUBSTITUTE(IF(OR(LEFT(A244,3)="Câu",I240=""),"",IF(B244=0,"",B244)),CHAR(34),CHAR(92)&amp;CHAR(34))</f>
        <v>15 mét.</v>
      </c>
      <c r="K240" t="str">
        <f>SUBSTITUTE(SUBSTITUTE(SUBSTITUTE(SUBSTITUTE(IFERROR(VLOOKUP("Câu "&amp;D240&amp;".",dapan!$E:$J,6,0),""),"1","A"),"2","B"),"3","C"),"4","D")</f>
        <v/>
      </c>
      <c r="P240" t="str">
        <f t="shared" si="16"/>
        <v/>
      </c>
      <c r="Q240" t="str">
        <f t="shared" si="17"/>
        <v/>
      </c>
    </row>
    <row r="241" spans="1:17" hidden="1" x14ac:dyDescent="0.25">
      <c r="A241">
        <v>4</v>
      </c>
      <c r="B241" t="s">
        <v>213</v>
      </c>
      <c r="C241">
        <f>IFERROR(COUNTIFS($A$1:A241,"Câu "&amp;"*")-MID(A241,5,FIND(".",A241,1)-5),0)</f>
        <v>0</v>
      </c>
      <c r="D241" t="str">
        <f t="shared" si="18"/>
        <v/>
      </c>
      <c r="E241" t="str">
        <f>SUBSTITUTE(IF(LEFT(A241,3)="Câu",MID(A241,FIND(".",A241,1)+2,LEN(A241)),""),CHAR(34),CHAR(92)&amp;CHAR(34))</f>
        <v/>
      </c>
      <c r="G241" t="str">
        <f>SUBSTITUTE(B242,CHAR(34),CHAR(92)&amp;CHAR(34))</f>
        <v/>
      </c>
      <c r="H241" t="str">
        <f>SUBSTITUTE(B243,CHAR(34),CHAR(92)&amp;CHAR(34))</f>
        <v>10 mét.</v>
      </c>
      <c r="I241" t="str">
        <f>SUBSTITUTE(IF(LEFT(A244,3)="Câu","",B244),CHAR(34),CHAR(92)&amp;CHAR(34))</f>
        <v>15 mét.</v>
      </c>
      <c r="J241" t="str">
        <f>SUBSTITUTE(IF(OR(LEFT(A245,3)="Câu",I241=""),"",IF(B245=0,"",B245)),CHAR(34),CHAR(92)&amp;CHAR(34))</f>
        <v xml:space="preserve"> 20 mét.</v>
      </c>
      <c r="K241" t="str">
        <f>SUBSTITUTE(SUBSTITUTE(SUBSTITUTE(SUBSTITUTE(IFERROR(VLOOKUP("Câu "&amp;D241&amp;".",dapan!$E:$J,6,0),""),"1","A"),"2","B"),"3","C"),"4","D")</f>
        <v/>
      </c>
      <c r="P241" t="str">
        <f t="shared" si="16"/>
        <v/>
      </c>
      <c r="Q241" t="str">
        <f t="shared" si="17"/>
        <v/>
      </c>
    </row>
    <row r="242" spans="1:17" x14ac:dyDescent="0.25">
      <c r="A242" t="s">
        <v>214</v>
      </c>
      <c r="C242">
        <f>IFERROR(COUNTIFS($A$1:A242,"Câu "&amp;"*")-MID(A242,5,FIND(".",A242,1)-5),0)</f>
        <v>0</v>
      </c>
      <c r="D242">
        <f t="shared" si="18"/>
        <v>61</v>
      </c>
      <c r="E242" t="str">
        <f>SUBSTITUTE(IF(LEFT(A242,3)="Câu",MID(A242,FIND(".",A242,1)+2,LEN(A242)),""),CHAR(34),CHAR(92)&amp;CHAR(34))</f>
        <v>Khi dừng, đỗ xe trên đường phố hẹp, người lái xe ô tô phải dừng, đỗ xe ở vị trí cách xe ô tô đang đỗ ngược chiều khoảng cách tối thiểu là bao nhiêu mét trong các trường hợp dưới đây để bảo đảm an toàn?</v>
      </c>
      <c r="G242" t="str">
        <f>SUBSTITUTE(B243,CHAR(34),CHAR(92)&amp;CHAR(34))</f>
        <v>10 mét.</v>
      </c>
      <c r="H242" t="str">
        <f>SUBSTITUTE(B244,CHAR(34),CHAR(92)&amp;CHAR(34))</f>
        <v>15 mét.</v>
      </c>
      <c r="I242" t="str">
        <f>SUBSTITUTE(IF(LEFT(A245,3)="Câu","",B245),CHAR(34),CHAR(92)&amp;CHAR(34))</f>
        <v xml:space="preserve"> 20 mét.</v>
      </c>
      <c r="J242" t="str">
        <f>SUBSTITUTE(IF(OR(LEFT(A246,3)="Câu",I242=""),"",IF(B246=0,"",B246)),CHAR(34),CHAR(92)&amp;CHAR(34))</f>
        <v>25 mét.</v>
      </c>
      <c r="K242" t="str">
        <f ca="1">SUBSTITUTE(SUBSTITUTE(SUBSTITUTE(SUBSTITUTE(IFERROR(VLOOKUP("Câu "&amp;D242&amp;".",dapan!$E:$J,6,0),""),"1","A"),"2","B"),"3","C"),"4","D")</f>
        <v>C</v>
      </c>
      <c r="P242">
        <f t="shared" si="16"/>
        <v>61</v>
      </c>
      <c r="Q242" t="str">
        <f t="shared" ca="1" si="17"/>
        <v>{"num":61,"id":61,"q":"Khi dừng, đỗ xe trên đường phố hẹp, người lái xe ô tô phải dừng, đỗ xe ở vị trí cách xe ô tô đang đỗ ngược chiều khoảng cách tối thiểu là bao nhiêu mét trong các trường hợp dưới đây để bảo đảm an toàn?","opts":{"A":"10 mét.","B":"15 mét.","C":" 20 mét.","D":"25 mét."},"answer":"C"},</v>
      </c>
    </row>
    <row r="243" spans="1:17" hidden="1" x14ac:dyDescent="0.25">
      <c r="A243">
        <v>1</v>
      </c>
      <c r="B243" t="s">
        <v>215</v>
      </c>
      <c r="C243">
        <f>IFERROR(COUNTIFS($A$1:A243,"Câu "&amp;"*")-MID(A243,5,FIND(".",A243,1)-5),0)</f>
        <v>0</v>
      </c>
      <c r="D243" t="str">
        <f t="shared" si="18"/>
        <v/>
      </c>
      <c r="E243" t="str">
        <f>SUBSTITUTE(IF(LEFT(A243,3)="Câu",MID(A243,FIND(".",A243,1)+2,LEN(A243)),""),CHAR(34),CHAR(92)&amp;CHAR(34))</f>
        <v/>
      </c>
      <c r="G243" t="str">
        <f>SUBSTITUTE(B244,CHAR(34),CHAR(92)&amp;CHAR(34))</f>
        <v>15 mét.</v>
      </c>
      <c r="H243" t="str">
        <f>SUBSTITUTE(B245,CHAR(34),CHAR(92)&amp;CHAR(34))</f>
        <v xml:space="preserve"> 20 mét.</v>
      </c>
      <c r="I243" t="str">
        <f>SUBSTITUTE(IF(LEFT(A246,3)="Câu","",B246),CHAR(34),CHAR(92)&amp;CHAR(34))</f>
        <v>25 mét.</v>
      </c>
      <c r="J243" t="str">
        <f>SUBSTITUTE(IF(OR(LEFT(A247,3)="Câu",I243=""),"",IF(B247=0,"",B247)),CHAR(34),CHAR(92)&amp;CHAR(34))</f>
        <v/>
      </c>
      <c r="K243" t="str">
        <f>SUBSTITUTE(SUBSTITUTE(SUBSTITUTE(SUBSTITUTE(IFERROR(VLOOKUP("Câu "&amp;D243&amp;".",dapan!$E:$J,6,0),""),"1","A"),"2","B"),"3","C"),"4","D")</f>
        <v/>
      </c>
      <c r="P243" t="str">
        <f t="shared" si="16"/>
        <v/>
      </c>
      <c r="Q243" t="str">
        <f t="shared" si="17"/>
        <v/>
      </c>
    </row>
    <row r="244" spans="1:17" hidden="1" x14ac:dyDescent="0.25">
      <c r="A244">
        <v>2</v>
      </c>
      <c r="B244" t="s">
        <v>216</v>
      </c>
      <c r="C244">
        <f>IFERROR(COUNTIFS($A$1:A244,"Câu "&amp;"*")-MID(A244,5,FIND(".",A244,1)-5),0)</f>
        <v>0</v>
      </c>
      <c r="D244" t="str">
        <f t="shared" si="18"/>
        <v/>
      </c>
      <c r="E244" t="str">
        <f>SUBSTITUTE(IF(LEFT(A244,3)="Câu",MID(A244,FIND(".",A244,1)+2,LEN(A244)),""),CHAR(34),CHAR(92)&amp;CHAR(34))</f>
        <v/>
      </c>
      <c r="G244" t="str">
        <f>SUBSTITUTE(B245,CHAR(34),CHAR(92)&amp;CHAR(34))</f>
        <v xml:space="preserve"> 20 mét.</v>
      </c>
      <c r="H244" t="str">
        <f>SUBSTITUTE(B246,CHAR(34),CHAR(92)&amp;CHAR(34))</f>
        <v>25 mét.</v>
      </c>
      <c r="I244" t="str">
        <f>SUBSTITUTE(IF(LEFT(A247,3)="Câu","",B247),CHAR(34),CHAR(92)&amp;CHAR(34))</f>
        <v/>
      </c>
      <c r="J244" t="str">
        <f>SUBSTITUTE(IF(OR(LEFT(A248,3)="Câu",I244=""),"",IF(B248=0,"",B248)),CHAR(34),CHAR(92)&amp;CHAR(34))</f>
        <v/>
      </c>
      <c r="K244" t="str">
        <f>SUBSTITUTE(SUBSTITUTE(SUBSTITUTE(SUBSTITUTE(IFERROR(VLOOKUP("Câu "&amp;D244&amp;".",dapan!$E:$J,6,0),""),"1","A"),"2","B"),"3","C"),"4","D")</f>
        <v/>
      </c>
      <c r="P244" t="str">
        <f t="shared" si="16"/>
        <v/>
      </c>
      <c r="Q244" t="str">
        <f t="shared" si="17"/>
        <v/>
      </c>
    </row>
    <row r="245" spans="1:17" hidden="1" x14ac:dyDescent="0.25">
      <c r="A245">
        <v>3</v>
      </c>
      <c r="B245" t="s">
        <v>217</v>
      </c>
      <c r="C245">
        <f>IFERROR(COUNTIFS($A$1:A245,"Câu "&amp;"*")-MID(A245,5,FIND(".",A245,1)-5),0)</f>
        <v>0</v>
      </c>
      <c r="D245" t="str">
        <f t="shared" si="18"/>
        <v/>
      </c>
      <c r="E245" t="str">
        <f>SUBSTITUTE(IF(LEFT(A245,3)="Câu",MID(A245,FIND(".",A245,1)+2,LEN(A245)),""),CHAR(34),CHAR(92)&amp;CHAR(34))</f>
        <v/>
      </c>
      <c r="G245" t="str">
        <f>SUBSTITUTE(B246,CHAR(34),CHAR(92)&amp;CHAR(34))</f>
        <v>25 mét.</v>
      </c>
      <c r="H245" t="str">
        <f>SUBSTITUTE(B247,CHAR(34),CHAR(92)&amp;CHAR(34))</f>
        <v/>
      </c>
      <c r="I245" t="str">
        <f>SUBSTITUTE(IF(LEFT(A248,3)="Câu","",B248),CHAR(34),CHAR(92)&amp;CHAR(34))</f>
        <v>Nơi có lề đường rộng hoặc khu đất ở bên ngoài phần đường xe chạy.</v>
      </c>
      <c r="J245" t="str">
        <f>SUBSTITUTE(IF(OR(LEFT(A249,3)="Câu",I245=""),"",IF(B249=0,"",B249)),CHAR(34),CHAR(92)&amp;CHAR(34))</f>
        <v xml:space="preserve"> Song song cùng chiều với một xe khác đang dừng, đỗ trên đường; trên đoạn đường cong hoặc gần đầu dốc mà tầm nhìn bị che khuất; bên trái đường một chiều.</v>
      </c>
      <c r="K245" t="str">
        <f>SUBSTITUTE(SUBSTITUTE(SUBSTITUTE(SUBSTITUTE(IFERROR(VLOOKUP("Câu "&amp;D245&amp;".",dapan!$E:$J,6,0),""),"1","A"),"2","B"),"3","C"),"4","D")</f>
        <v/>
      </c>
      <c r="P245" t="str">
        <f t="shared" si="16"/>
        <v/>
      </c>
      <c r="Q245" t="str">
        <f t="shared" si="17"/>
        <v/>
      </c>
    </row>
    <row r="246" spans="1:17" hidden="1" x14ac:dyDescent="0.25">
      <c r="A246">
        <v>4</v>
      </c>
      <c r="B246" t="s">
        <v>218</v>
      </c>
      <c r="C246">
        <f>IFERROR(COUNTIFS($A$1:A246,"Câu "&amp;"*")-MID(A246,5,FIND(".",A246,1)-5),0)</f>
        <v>0</v>
      </c>
      <c r="D246" t="str">
        <f t="shared" si="18"/>
        <v/>
      </c>
      <c r="E246" t="str">
        <f>SUBSTITUTE(IF(LEFT(A246,3)="Câu",MID(A246,FIND(".",A246,1)+2,LEN(A246)),""),CHAR(34),CHAR(92)&amp;CHAR(34))</f>
        <v/>
      </c>
      <c r="G246" t="str">
        <f>SUBSTITUTE(B247,CHAR(34),CHAR(92)&amp;CHAR(34))</f>
        <v/>
      </c>
      <c r="H246" t="str">
        <f>SUBSTITUTE(B248,CHAR(34),CHAR(92)&amp;CHAR(34))</f>
        <v>Nơi có lề đường rộng hoặc khu đất ở bên ngoài phần đường xe chạy.</v>
      </c>
      <c r="I246" t="str">
        <f>SUBSTITUTE(IF(LEFT(A249,3)="Câu","",B249),CHAR(34),CHAR(92)&amp;CHAR(34))</f>
        <v xml:space="preserve"> Song song cùng chiều với một xe khác đang dừng, đỗ trên đường; trên đoạn đường cong hoặc gần đầu dốc mà tầm nhìn bị che khuất; bên trái đường một chiều.</v>
      </c>
      <c r="J246" t="str">
        <f>SUBSTITUTE(IF(OR(LEFT(A250,3)="Câu",I246=""),"",IF(B250=0,"",B250)),CHAR(34),CHAR(92)&amp;CHAR(34))</f>
        <v>Cả hai ý trên.</v>
      </c>
      <c r="K246" t="str">
        <f>SUBSTITUTE(SUBSTITUTE(SUBSTITUTE(SUBSTITUTE(IFERROR(VLOOKUP("Câu "&amp;D246&amp;".",dapan!$E:$J,6,0),""),"1","A"),"2","B"),"3","C"),"4","D")</f>
        <v/>
      </c>
      <c r="P246" t="str">
        <f t="shared" si="16"/>
        <v/>
      </c>
      <c r="Q246" t="str">
        <f t="shared" si="17"/>
        <v/>
      </c>
    </row>
    <row r="247" spans="1:17" x14ac:dyDescent="0.25">
      <c r="A247" t="s">
        <v>219</v>
      </c>
      <c r="C247">
        <f>IFERROR(COUNTIFS($A$1:A247,"Câu "&amp;"*")-MID(A247,5,FIND(".",A247,1)-5),0)</f>
        <v>0</v>
      </c>
      <c r="D247">
        <f t="shared" si="18"/>
        <v>62</v>
      </c>
      <c r="E247" t="str">
        <f>SUBSTITUTE(IF(LEFT(A247,3)="Câu",MID(A247,FIND(".",A247,1)+2,LEN(A247)),""),CHAR(34),CHAR(92)&amp;CHAR(34))</f>
        <v>Người điều khiển phương tiện tham gia giao thông đường bộ không được dừng xe, đỗ xe tại các vị trí nào sau đây?</v>
      </c>
      <c r="G247" t="str">
        <f>SUBSTITUTE(B248,CHAR(34),CHAR(92)&amp;CHAR(34))</f>
        <v>Nơi có lề đường rộng hoặc khu đất ở bên ngoài phần đường xe chạy.</v>
      </c>
      <c r="H247" t="str">
        <f>SUBSTITUTE(B249,CHAR(34),CHAR(92)&amp;CHAR(34))</f>
        <v xml:space="preserve"> Song song cùng chiều với một xe khác đang dừng, đỗ trên đường; trên đoạn đường cong hoặc gần đầu dốc mà tầm nhìn bị che khuất; bên trái đường một chiều.</v>
      </c>
      <c r="I247" t="str">
        <f>SUBSTITUTE(IF(LEFT(A250,3)="Câu","",B250),CHAR(34),CHAR(92)&amp;CHAR(34))</f>
        <v>Cả hai ý trên.</v>
      </c>
      <c r="J247" t="str">
        <f>SUBSTITUTE(IF(OR(LEFT(A251,3)="Câu",I247=""),"",IF(B251=0,"",B251)),CHAR(34),CHAR(92)&amp;CHAR(34))</f>
        <v/>
      </c>
      <c r="K247" t="str">
        <f ca="1">SUBSTITUTE(SUBSTITUTE(SUBSTITUTE(SUBSTITUTE(IFERROR(VLOOKUP("Câu "&amp;D247&amp;".",dapan!$E:$J,6,0),""),"1","A"),"2","B"),"3","C"),"4","D")</f>
        <v>B</v>
      </c>
      <c r="P247">
        <f t="shared" si="16"/>
        <v>62</v>
      </c>
      <c r="Q247" t="str">
        <f t="shared" ca="1" si="17"/>
        <v>{"num":62,"id":62,"q":"Người điều khiển phương tiện tham gia giao thông đường bộ không được dừng xe, đỗ xe tại các vị trí nào sau đây?","opts":{"A":"Nơi có lề đường rộng hoặc khu đất ở bên ngoài phần đường xe chạy.","B":" Song song cùng chiều với một xe khác đang dừng, đỗ trên đường; trên đoạn đường cong hoặc gần đầu dốc mà tầm nhìn bị che khuất; bên trái đường một chiều.","C":"Cả hai ý trên."},"answer":"B"},</v>
      </c>
    </row>
    <row r="248" spans="1:17" hidden="1" x14ac:dyDescent="0.25">
      <c r="A248">
        <v>1</v>
      </c>
      <c r="B248" t="s">
        <v>220</v>
      </c>
      <c r="C248">
        <f>IFERROR(COUNTIFS($A$1:A248,"Câu "&amp;"*")-MID(A248,5,FIND(".",A248,1)-5),0)</f>
        <v>0</v>
      </c>
      <c r="D248" t="str">
        <f t="shared" si="18"/>
        <v/>
      </c>
      <c r="E248" t="str">
        <f>SUBSTITUTE(IF(LEFT(A248,3)="Câu",MID(A248,FIND(".",A248,1)+2,LEN(A248)),""),CHAR(34),CHAR(92)&amp;CHAR(34))</f>
        <v/>
      </c>
      <c r="G248" t="str">
        <f>SUBSTITUTE(B249,CHAR(34),CHAR(92)&amp;CHAR(34))</f>
        <v xml:space="preserve"> Song song cùng chiều với một xe khác đang dừng, đỗ trên đường; trên đoạn đường cong hoặc gần đầu dốc mà tầm nhìn bị che khuất; bên trái đường một chiều.</v>
      </c>
      <c r="H248" t="str">
        <f>SUBSTITUTE(B250,CHAR(34),CHAR(92)&amp;CHAR(34))</f>
        <v>Cả hai ý trên.</v>
      </c>
      <c r="I248" t="str">
        <f>SUBSTITUTE(IF(LEFT(A251,3)="Câu","",B251),CHAR(34),CHAR(92)&amp;CHAR(34))</f>
        <v/>
      </c>
      <c r="J248" t="str">
        <f>SUBSTITUTE(IF(OR(LEFT(A252,3)="Câu",I248=""),"",IF(B252=0,"",B252)),CHAR(34),CHAR(92)&amp;CHAR(34))</f>
        <v/>
      </c>
      <c r="K248" t="str">
        <f>SUBSTITUTE(SUBSTITUTE(SUBSTITUTE(SUBSTITUTE(IFERROR(VLOOKUP("Câu "&amp;D248&amp;".",dapan!$E:$J,6,0),""),"1","A"),"2","B"),"3","C"),"4","D")</f>
        <v/>
      </c>
      <c r="P248" t="str">
        <f t="shared" si="16"/>
        <v/>
      </c>
      <c r="Q248" t="str">
        <f t="shared" si="17"/>
        <v/>
      </c>
    </row>
    <row r="249" spans="1:17" hidden="1" x14ac:dyDescent="0.25">
      <c r="A249">
        <v>2</v>
      </c>
      <c r="B249" t="s">
        <v>221</v>
      </c>
      <c r="C249">
        <f>IFERROR(COUNTIFS($A$1:A249,"Câu "&amp;"*")-MID(A249,5,FIND(".",A249,1)-5),0)</f>
        <v>0</v>
      </c>
      <c r="D249" t="str">
        <f t="shared" si="18"/>
        <v/>
      </c>
      <c r="E249" t="str">
        <f>SUBSTITUTE(IF(LEFT(A249,3)="Câu",MID(A249,FIND(".",A249,1)+2,LEN(A249)),""),CHAR(34),CHAR(92)&amp;CHAR(34))</f>
        <v/>
      </c>
      <c r="G249" t="str">
        <f>SUBSTITUTE(B250,CHAR(34),CHAR(92)&amp;CHAR(34))</f>
        <v>Cả hai ý trên.</v>
      </c>
      <c r="H249" t="str">
        <f>SUBSTITUTE(B251,CHAR(34),CHAR(92)&amp;CHAR(34))</f>
        <v/>
      </c>
      <c r="I249" t="str">
        <f>SUBSTITUTE(IF(LEFT(A252,3)="Câu","",B252),CHAR(34),CHAR(92)&amp;CHAR(34))</f>
        <v>Được phép.</v>
      </c>
      <c r="J249" t="str">
        <f>SUBSTITUTE(IF(OR(LEFT(A253,3)="Câu",I249=""),"",IF(B253=0,"",B253)),CHAR(34),CHAR(92)&amp;CHAR(34))</f>
        <v>Nếu phương tiện được kéo, đẩy có khối lượng nhỏ hơn phương tiện của mình.</v>
      </c>
      <c r="K249" t="str">
        <f>SUBSTITUTE(SUBSTITUTE(SUBSTITUTE(SUBSTITUTE(IFERROR(VLOOKUP("Câu "&amp;D249&amp;".",dapan!$E:$J,6,0),""),"1","A"),"2","B"),"3","C"),"4","D")</f>
        <v/>
      </c>
      <c r="P249" t="str">
        <f t="shared" si="16"/>
        <v/>
      </c>
      <c r="Q249" t="str">
        <f t="shared" si="17"/>
        <v/>
      </c>
    </row>
    <row r="250" spans="1:17" hidden="1" x14ac:dyDescent="0.25">
      <c r="A250">
        <v>3</v>
      </c>
      <c r="B250" t="s">
        <v>18</v>
      </c>
      <c r="C250">
        <f>IFERROR(COUNTIFS($A$1:A250,"Câu "&amp;"*")-MID(A250,5,FIND(".",A250,1)-5),0)</f>
        <v>0</v>
      </c>
      <c r="D250" t="str">
        <f t="shared" si="18"/>
        <v/>
      </c>
      <c r="E250" t="str">
        <f>SUBSTITUTE(IF(LEFT(A250,3)="Câu",MID(A250,FIND(".",A250,1)+2,LEN(A250)),""),CHAR(34),CHAR(92)&amp;CHAR(34))</f>
        <v/>
      </c>
      <c r="G250" t="str">
        <f>SUBSTITUTE(B251,CHAR(34),CHAR(92)&amp;CHAR(34))</f>
        <v/>
      </c>
      <c r="H250" t="str">
        <f>SUBSTITUTE(B252,CHAR(34),CHAR(92)&amp;CHAR(34))</f>
        <v>Được phép.</v>
      </c>
      <c r="I250" t="str">
        <f>SUBSTITUTE(IF(LEFT(A253,3)="Câu","",B253),CHAR(34),CHAR(92)&amp;CHAR(34))</f>
        <v>Nếu phương tiện được kéo, đẩy có khối lượng nhỏ hơn phương tiện của mình.</v>
      </c>
      <c r="J250" t="str">
        <f>SUBSTITUTE(IF(OR(LEFT(A254,3)="Câu",I250=""),"",IF(B254=0,"",B254)),CHAR(34),CHAR(92)&amp;CHAR(34))</f>
        <v>Tùy trường hợp.</v>
      </c>
      <c r="K250" t="str">
        <f>SUBSTITUTE(SUBSTITUTE(SUBSTITUTE(SUBSTITUTE(IFERROR(VLOOKUP("Câu "&amp;D250&amp;".",dapan!$E:$J,6,0),""),"1","A"),"2","B"),"3","C"),"4","D")</f>
        <v/>
      </c>
      <c r="P250" t="str">
        <f t="shared" si="16"/>
        <v/>
      </c>
      <c r="Q250" t="str">
        <f t="shared" si="17"/>
        <v/>
      </c>
    </row>
    <row r="251" spans="1:17" x14ac:dyDescent="0.25">
      <c r="A251" t="s">
        <v>222</v>
      </c>
      <c r="C251">
        <f>IFERROR(COUNTIFS($A$1:A251,"Câu "&amp;"*")-MID(A251,5,FIND(".",A251,1)-5),0)</f>
        <v>0</v>
      </c>
      <c r="D251">
        <f t="shared" si="18"/>
        <v>63</v>
      </c>
      <c r="E251" t="str">
        <f>SUBSTITUTE(IF(LEFT(A251,3)="Câu",MID(A251,FIND(".",A251,1)+2,LEN(A251)),""),CHAR(34),CHAR(92)&amp;CHAR(34))</f>
        <v>Người điều khiển xe mô tô hai bánh, xe mô tô ba bánh, xe gắn máy có được phép sử dụng xe để kéo hoặc đẩy các phương tiện khác khi tham gia giao thông không?</v>
      </c>
      <c r="G251" t="str">
        <f>SUBSTITUTE(B252,CHAR(34),CHAR(92)&amp;CHAR(34))</f>
        <v>Được phép.</v>
      </c>
      <c r="H251" t="str">
        <f>SUBSTITUTE(B253,CHAR(34),CHAR(92)&amp;CHAR(34))</f>
        <v>Nếu phương tiện được kéo, đẩy có khối lượng nhỏ hơn phương tiện của mình.</v>
      </c>
      <c r="I251" t="str">
        <f>SUBSTITUTE(IF(LEFT(A254,3)="Câu","",B254),CHAR(34),CHAR(92)&amp;CHAR(34))</f>
        <v>Tùy trường hợp.</v>
      </c>
      <c r="J251" t="str">
        <f>SUBSTITUTE(IF(OR(LEFT(A255,3)="Câu",I251=""),"",IF(B255=0,"",B255)),CHAR(34),CHAR(92)&amp;CHAR(34))</f>
        <v xml:space="preserve"> Không được phép.</v>
      </c>
      <c r="K251" t="str">
        <f ca="1">SUBSTITUTE(SUBSTITUTE(SUBSTITUTE(SUBSTITUTE(IFERROR(VLOOKUP("Câu "&amp;D251&amp;".",dapan!$E:$J,6,0),""),"1","A"),"2","B"),"3","C"),"4","D")</f>
        <v>D</v>
      </c>
      <c r="P251">
        <f t="shared" si="16"/>
        <v>63</v>
      </c>
      <c r="Q251" t="str">
        <f t="shared" ca="1" si="17"/>
        <v>{"num":63,"id":63,"q":"Người điều khiển xe mô tô hai bánh, xe mô tô ba bánh, xe gắn máy có được phép sử dụng xe để kéo hoặc đẩy các phương tiện khác khi tham gia giao thông không?","opts":{"A":"Được phép.","B":"Nếu phương tiện được kéo, đẩy có khối lượng nhỏ hơn phương tiện của mình.","C":"Tùy trường hợp.","D":" Không được phép."},"answer":"D"},</v>
      </c>
    </row>
    <row r="252" spans="1:17" hidden="1" x14ac:dyDescent="0.25">
      <c r="A252">
        <v>1</v>
      </c>
      <c r="B252" t="s">
        <v>223</v>
      </c>
      <c r="C252">
        <f>IFERROR(COUNTIFS($A$1:A252,"Câu "&amp;"*")-MID(A252,5,FIND(".",A252,1)-5),0)</f>
        <v>0</v>
      </c>
      <c r="D252" t="str">
        <f t="shared" si="18"/>
        <v/>
      </c>
      <c r="E252" t="str">
        <f>SUBSTITUTE(IF(LEFT(A252,3)="Câu",MID(A252,FIND(".",A252,1)+2,LEN(A252)),""),CHAR(34),CHAR(92)&amp;CHAR(34))</f>
        <v/>
      </c>
      <c r="G252" t="str">
        <f>SUBSTITUTE(B253,CHAR(34),CHAR(92)&amp;CHAR(34))</f>
        <v>Nếu phương tiện được kéo, đẩy có khối lượng nhỏ hơn phương tiện của mình.</v>
      </c>
      <c r="H252" t="str">
        <f>SUBSTITUTE(B254,CHAR(34),CHAR(92)&amp;CHAR(34))</f>
        <v>Tùy trường hợp.</v>
      </c>
      <c r="I252" t="str">
        <f>SUBSTITUTE(IF(LEFT(A255,3)="Câu","",B255),CHAR(34),CHAR(92)&amp;CHAR(34))</f>
        <v xml:space="preserve"> Không được phép.</v>
      </c>
      <c r="J252" t="str">
        <f>SUBSTITUTE(IF(OR(LEFT(A256,3)="Câu",I252=""),"",IF(B256=0,"",B256)),CHAR(34),CHAR(92)&amp;CHAR(34))</f>
        <v/>
      </c>
      <c r="K252" t="str">
        <f>SUBSTITUTE(SUBSTITUTE(SUBSTITUTE(SUBSTITUTE(IFERROR(VLOOKUP("Câu "&amp;D252&amp;".",dapan!$E:$J,6,0),""),"1","A"),"2","B"),"3","C"),"4","D")</f>
        <v/>
      </c>
      <c r="P252" t="str">
        <f t="shared" si="16"/>
        <v/>
      </c>
      <c r="Q252" t="str">
        <f t="shared" si="17"/>
        <v/>
      </c>
    </row>
    <row r="253" spans="1:17" hidden="1" x14ac:dyDescent="0.25">
      <c r="A253">
        <v>2</v>
      </c>
      <c r="B253" t="s">
        <v>224</v>
      </c>
      <c r="C253">
        <f>IFERROR(COUNTIFS($A$1:A253,"Câu "&amp;"*")-MID(A253,5,FIND(".",A253,1)-5),0)</f>
        <v>0</v>
      </c>
      <c r="D253" t="str">
        <f t="shared" si="18"/>
        <v/>
      </c>
      <c r="E253" t="str">
        <f>SUBSTITUTE(IF(LEFT(A253,3)="Câu",MID(A253,FIND(".",A253,1)+2,LEN(A253)),""),CHAR(34),CHAR(92)&amp;CHAR(34))</f>
        <v/>
      </c>
      <c r="G253" t="str">
        <f>SUBSTITUTE(B254,CHAR(34),CHAR(92)&amp;CHAR(34))</f>
        <v>Tùy trường hợp.</v>
      </c>
      <c r="H253" t="str">
        <f>SUBSTITUTE(B255,CHAR(34),CHAR(92)&amp;CHAR(34))</f>
        <v xml:space="preserve"> Không được phép.</v>
      </c>
      <c r="I253" t="str">
        <f>SUBSTITUTE(IF(LEFT(A256,3)="Câu","",B256),CHAR(34),CHAR(92)&amp;CHAR(34))</f>
        <v/>
      </c>
      <c r="J253" t="str">
        <f>SUBSTITUTE(IF(OR(LEFT(A257,3)="Câu",I253=""),"",IF(B257=0,"",B257)),CHAR(34),CHAR(92)&amp;CHAR(34))</f>
        <v/>
      </c>
      <c r="K253" t="str">
        <f>SUBSTITUTE(SUBSTITUTE(SUBSTITUTE(SUBSTITUTE(IFERROR(VLOOKUP("Câu "&amp;D253&amp;".",dapan!$E:$J,6,0),""),"1","A"),"2","B"),"3","C"),"4","D")</f>
        <v/>
      </c>
      <c r="P253" t="str">
        <f t="shared" si="16"/>
        <v/>
      </c>
      <c r="Q253" t="str">
        <f t="shared" si="17"/>
        <v/>
      </c>
    </row>
    <row r="254" spans="1:17" hidden="1" x14ac:dyDescent="0.25">
      <c r="A254">
        <v>3</v>
      </c>
      <c r="B254" t="s">
        <v>225</v>
      </c>
      <c r="C254">
        <f>IFERROR(COUNTIFS($A$1:A254,"Câu "&amp;"*")-MID(A254,5,FIND(".",A254,1)-5),0)</f>
        <v>0</v>
      </c>
      <c r="D254" t="str">
        <f t="shared" si="18"/>
        <v/>
      </c>
      <c r="E254" t="str">
        <f>SUBSTITUTE(IF(LEFT(A254,3)="Câu",MID(A254,FIND(".",A254,1)+2,LEN(A254)),""),CHAR(34),CHAR(92)&amp;CHAR(34))</f>
        <v/>
      </c>
      <c r="G254" t="str">
        <f>SUBSTITUTE(B255,CHAR(34),CHAR(92)&amp;CHAR(34))</f>
        <v xml:space="preserve"> Không được phép.</v>
      </c>
      <c r="H254" t="str">
        <f>SUBSTITUTE(B256,CHAR(34),CHAR(92)&amp;CHAR(34))</f>
        <v/>
      </c>
      <c r="I254" t="str">
        <f>SUBSTITUTE(IF(LEFT(A257,3)="Câu","",B257),CHAR(34),CHAR(92)&amp;CHAR(34))</f>
        <v xml:space="preserve"> Buông cả hai tay; đứng, nằm trên xe điều khiển xe; sử dụng chân chống hoặc vật khác quệt xuống đường khi xe đang chạy.</v>
      </c>
      <c r="J254" t="str">
        <f>SUBSTITUTE(IF(OR(LEFT(A258,3)="Câu",I254=""),"",IF(B258=0,"",B258)),CHAR(34),CHAR(92)&amp;CHAR(34))</f>
        <v>Chở tối đa hai người phía sau khi chở người bệnh đi cấp cứu, áp giải người có hành vi vi phạm pháp luật, trẻ em dưới 12 tuổi và người già yếu hoặc người khuyết tật.</v>
      </c>
      <c r="K254" t="str">
        <f>SUBSTITUTE(SUBSTITUTE(SUBSTITUTE(SUBSTITUTE(IFERROR(VLOOKUP("Câu "&amp;D254&amp;".",dapan!$E:$J,6,0),""),"1","A"),"2","B"),"3","C"),"4","D")</f>
        <v/>
      </c>
      <c r="P254" t="str">
        <f t="shared" si="16"/>
        <v/>
      </c>
      <c r="Q254" t="str">
        <f t="shared" si="17"/>
        <v/>
      </c>
    </row>
    <row r="255" spans="1:17" hidden="1" x14ac:dyDescent="0.25">
      <c r="A255">
        <v>4</v>
      </c>
      <c r="B255" t="s">
        <v>226</v>
      </c>
      <c r="C255">
        <f>IFERROR(COUNTIFS($A$1:A255,"Câu "&amp;"*")-MID(A255,5,FIND(".",A255,1)-5),0)</f>
        <v>0</v>
      </c>
      <c r="D255" t="str">
        <f t="shared" si="18"/>
        <v/>
      </c>
      <c r="E255" t="str">
        <f>SUBSTITUTE(IF(LEFT(A255,3)="Câu",MID(A255,FIND(".",A255,1)+2,LEN(A255)),""),CHAR(34),CHAR(92)&amp;CHAR(34))</f>
        <v/>
      </c>
      <c r="G255" t="str">
        <f>SUBSTITUTE(B256,CHAR(34),CHAR(92)&amp;CHAR(34))</f>
        <v/>
      </c>
      <c r="H255" t="str">
        <f>SUBSTITUTE(B257,CHAR(34),CHAR(92)&amp;CHAR(34))</f>
        <v xml:space="preserve"> Buông cả hai tay; đứng, nằm trên xe điều khiển xe; sử dụng chân chống hoặc vật khác quệt xuống đường khi xe đang chạy.</v>
      </c>
      <c r="I255" t="str">
        <f>SUBSTITUTE(IF(LEFT(A258,3)="Câu","",B258),CHAR(34),CHAR(92)&amp;CHAR(34))</f>
        <v>Chở tối đa hai người phía sau khi chở người bệnh đi cấp cứu, áp giải người có hành vi vi phạm pháp luật, trẻ em dưới 12 tuổi và người già yếu hoặc người khuyết tật.</v>
      </c>
      <c r="J255" t="str">
        <f>SUBSTITUTE(IF(OR(LEFT(A259,3)="Câu",I255=""),"",IF(B259=0,"",B259)),CHAR(34),CHAR(92)&amp;CHAR(34))</f>
        <v/>
      </c>
      <c r="K255" t="str">
        <f>SUBSTITUTE(SUBSTITUTE(SUBSTITUTE(SUBSTITUTE(IFERROR(VLOOKUP("Câu "&amp;D255&amp;".",dapan!$E:$J,6,0),""),"1","A"),"2","B"),"3","C"),"4","D")</f>
        <v/>
      </c>
      <c r="P255" t="str">
        <f t="shared" si="16"/>
        <v/>
      </c>
      <c r="Q255" t="str">
        <f t="shared" si="17"/>
        <v/>
      </c>
    </row>
    <row r="256" spans="1:17" x14ac:dyDescent="0.25">
      <c r="A256" t="s">
        <v>227</v>
      </c>
      <c r="C256">
        <f>IFERROR(COUNTIFS($A$1:A256,"Câu "&amp;"*")-MID(A256,5,FIND(".",A256,1)-5),0)</f>
        <v>0</v>
      </c>
      <c r="D256">
        <f t="shared" si="18"/>
        <v>64</v>
      </c>
      <c r="E256" t="str">
        <f>SUBSTITUTE(IF(LEFT(A256,3)="Câu",MID(A256,FIND(".",A256,1)+2,LEN(A256)),""),CHAR(34),CHAR(92)&amp;CHAR(34))</f>
        <v>Khi điều khiển xe mô tô hai bánh, xe mô tô ba bánh, xe gắn máy, những hành vi nào sau đây không được phép?</v>
      </c>
      <c r="G256" t="str">
        <f>SUBSTITUTE(B257,CHAR(34),CHAR(92)&amp;CHAR(34))</f>
        <v xml:space="preserve"> Buông cả hai tay; đứng, nằm trên xe điều khiển xe; sử dụng chân chống hoặc vật khác quệt xuống đường khi xe đang chạy.</v>
      </c>
      <c r="H256" t="str">
        <f>SUBSTITUTE(B258,CHAR(34),CHAR(92)&amp;CHAR(34))</f>
        <v>Chở tối đa hai người phía sau khi chở người bệnh đi cấp cứu, áp giải người có hành vi vi phạm pháp luật, trẻ em dưới 12 tuổi và người già yếu hoặc người khuyết tật.</v>
      </c>
      <c r="I256" t="str">
        <f>SUBSTITUTE(IF(LEFT(A259,3)="Câu","",B259),CHAR(34),CHAR(92)&amp;CHAR(34))</f>
        <v/>
      </c>
      <c r="J256" t="str">
        <f>SUBSTITUTE(IF(OR(LEFT(A260,3)="Câu",I256=""),"",IF(B260=0,"",B260)),CHAR(34),CHAR(92)&amp;CHAR(34))</f>
        <v/>
      </c>
      <c r="K256" t="str">
        <f ca="1">SUBSTITUTE(SUBSTITUTE(SUBSTITUTE(SUBSTITUTE(IFERROR(VLOOKUP("Câu "&amp;D256&amp;".",dapan!$E:$J,6,0),""),"1","A"),"2","B"),"3","C"),"4","D")</f>
        <v>A</v>
      </c>
      <c r="P256">
        <f t="shared" si="16"/>
        <v>64</v>
      </c>
      <c r="Q256" t="str">
        <f t="shared" ca="1" si="17"/>
        <v>{"num":64,"id":64,"q":"Khi điều khiển xe mô tô hai bánh, xe mô tô ba bánh, xe gắn máy, những hành vi nào sau đây không được phép?","opts":{"A":" Buông cả hai tay; đứng, nằm trên xe điều khiển xe; sử dụng chân chống hoặc vật khác quệt xuống đường khi xe đang chạy.","B":"Chở tối đa hai người phía sau khi chở người bệnh đi cấp cứu, áp giải người có hành vi vi phạm pháp luật, trẻ em dưới 12 tuổi và người già yếu hoặc người khuyết tật."},"answer":"A"},</v>
      </c>
    </row>
    <row r="257" spans="1:17" hidden="1" x14ac:dyDescent="0.25">
      <c r="A257">
        <v>1</v>
      </c>
      <c r="B257" t="s">
        <v>228</v>
      </c>
      <c r="C257">
        <f>IFERROR(COUNTIFS($A$1:A257,"Câu "&amp;"*")-MID(A257,5,FIND(".",A257,1)-5),0)</f>
        <v>0</v>
      </c>
      <c r="D257" t="str">
        <f t="shared" si="18"/>
        <v/>
      </c>
      <c r="E257" t="str">
        <f>SUBSTITUTE(IF(LEFT(A257,3)="Câu",MID(A257,FIND(".",A257,1)+2,LEN(A257)),""),CHAR(34),CHAR(92)&amp;CHAR(34))</f>
        <v/>
      </c>
      <c r="G257" t="str">
        <f>SUBSTITUTE(B258,CHAR(34),CHAR(92)&amp;CHAR(34))</f>
        <v>Chở tối đa hai người phía sau khi chở người bệnh đi cấp cứu, áp giải người có hành vi vi phạm pháp luật, trẻ em dưới 12 tuổi và người già yếu hoặc người khuyết tật.</v>
      </c>
      <c r="H257" t="str">
        <f>SUBSTITUTE(B259,CHAR(34),CHAR(92)&amp;CHAR(34))</f>
        <v/>
      </c>
      <c r="I257" t="str">
        <f>SUBSTITUTE(IF(LEFT(A260,3)="Câu","",B260),CHAR(34),CHAR(92)&amp;CHAR(34))</f>
        <v xml:space="preserve"> Buông cả hai tay; sử dụng xe để kéo, đẩy xe khác, vật khác; sử dụng chân chống hoặc vật khác quệt xuống đường khi xe đang chạy.</v>
      </c>
      <c r="J257" t="str">
        <f>SUBSTITUTE(IF(OR(LEFT(A261,3)="Câu",I257=""),"",IF(B261=0,"",B261)),CHAR(34),CHAR(92)&amp;CHAR(34))</f>
        <v>Sử dụng xe để chở người hoặc hàng hóa; để chân chạm xuống đất khi khởi hành.</v>
      </c>
      <c r="K257" t="str">
        <f>SUBSTITUTE(SUBSTITUTE(SUBSTITUTE(SUBSTITUTE(IFERROR(VLOOKUP("Câu "&amp;D257&amp;".",dapan!$E:$J,6,0),""),"1","A"),"2","B"),"3","C"),"4","D")</f>
        <v/>
      </c>
      <c r="P257" t="str">
        <f t="shared" si="16"/>
        <v/>
      </c>
      <c r="Q257" t="str">
        <f t="shared" si="17"/>
        <v/>
      </c>
    </row>
    <row r="258" spans="1:17" hidden="1" x14ac:dyDescent="0.25">
      <c r="A258">
        <v>2</v>
      </c>
      <c r="B258" t="s">
        <v>229</v>
      </c>
      <c r="C258">
        <f>IFERROR(COUNTIFS($A$1:A258,"Câu "&amp;"*")-MID(A258,5,FIND(".",A258,1)-5),0)</f>
        <v>0</v>
      </c>
      <c r="D258" t="str">
        <f t="shared" si="18"/>
        <v/>
      </c>
      <c r="E258" t="str">
        <f>SUBSTITUTE(IF(LEFT(A258,3)="Câu",MID(A258,FIND(".",A258,1)+2,LEN(A258)),""),CHAR(34),CHAR(92)&amp;CHAR(34))</f>
        <v/>
      </c>
      <c r="G258" t="str">
        <f>SUBSTITUTE(B259,CHAR(34),CHAR(92)&amp;CHAR(34))</f>
        <v/>
      </c>
      <c r="H258" t="str">
        <f>SUBSTITUTE(B260,CHAR(34),CHAR(92)&amp;CHAR(34))</f>
        <v xml:space="preserve"> Buông cả hai tay; sử dụng xe để kéo, đẩy xe khác, vật khác; sử dụng chân chống hoặc vật khác quệt xuống đường khi xe đang chạy.</v>
      </c>
      <c r="I258" t="str">
        <f>SUBSTITUTE(IF(LEFT(A261,3)="Câu","",B261),CHAR(34),CHAR(92)&amp;CHAR(34))</f>
        <v>Sử dụng xe để chở người hoặc hàng hóa; để chân chạm xuống đất khi khởi hành.</v>
      </c>
      <c r="J258" t="str">
        <f>SUBSTITUTE(IF(OR(LEFT(A262,3)="Câu",I258=""),"",IF(B262=0,"",B262)),CHAR(34),CHAR(92)&amp;CHAR(34))</f>
        <v>Đội mũ bảo hiểm; chạy xe đúng tốc độ quy định và chấp hành đúng quy tắc giao thông đường bộ.</v>
      </c>
      <c r="K258" t="str">
        <f>SUBSTITUTE(SUBSTITUTE(SUBSTITUTE(SUBSTITUTE(IFERROR(VLOOKUP("Câu "&amp;D258&amp;".",dapan!$E:$J,6,0),""),"1","A"),"2","B"),"3","C"),"4","D")</f>
        <v/>
      </c>
      <c r="P258" t="str">
        <f t="shared" si="16"/>
        <v/>
      </c>
      <c r="Q258" t="str">
        <f t="shared" si="17"/>
        <v/>
      </c>
    </row>
    <row r="259" spans="1:17" x14ac:dyDescent="0.25">
      <c r="A259" t="s">
        <v>230</v>
      </c>
      <c r="C259">
        <f>IFERROR(COUNTIFS($A$1:A259,"Câu "&amp;"*")-MID(A259,5,FIND(".",A259,1)-5),0)</f>
        <v>0</v>
      </c>
      <c r="D259">
        <f t="shared" si="18"/>
        <v>65</v>
      </c>
      <c r="E259" t="str">
        <f>SUBSTITUTE(IF(LEFT(A259,3)="Câu",MID(A259,FIND(".",A259,1)+2,LEN(A259)),""),CHAR(34),CHAR(92)&amp;CHAR(34))</f>
        <v>Khi điều khiển xe mô tô hai bánh, xe mô tô ba bánh, xe gắn máy, những hành vi nào sau đây không được phép?</v>
      </c>
      <c r="G259" t="str">
        <f>SUBSTITUTE(B260,CHAR(34),CHAR(92)&amp;CHAR(34))</f>
        <v xml:space="preserve"> Buông cả hai tay; sử dụng xe để kéo, đẩy xe khác, vật khác; sử dụng chân chống hoặc vật khác quệt xuống đường khi xe đang chạy.</v>
      </c>
      <c r="H259" t="str">
        <f>SUBSTITUTE(B261,CHAR(34),CHAR(92)&amp;CHAR(34))</f>
        <v>Sử dụng xe để chở người hoặc hàng hóa; để chân chạm xuống đất khi khởi hành.</v>
      </c>
      <c r="I259" t="str">
        <f>SUBSTITUTE(IF(LEFT(A262,3)="Câu","",B262),CHAR(34),CHAR(92)&amp;CHAR(34))</f>
        <v>Đội mũ bảo hiểm; chạy xe đúng tốc độ quy định và chấp hành đúng quy tắc giao thông đường bộ.</v>
      </c>
      <c r="J259" t="str">
        <f>SUBSTITUTE(IF(OR(LEFT(A263,3)="Câu",I259=""),"",IF(B263=0,"",B263)),CHAR(34),CHAR(92)&amp;CHAR(34))</f>
        <v>Chở người ngồi sau dưới 16 tuổi.</v>
      </c>
      <c r="K259" t="str">
        <f ca="1">SUBSTITUTE(SUBSTITUTE(SUBSTITUTE(SUBSTITUTE(IFERROR(VLOOKUP("Câu "&amp;D259&amp;".",dapan!$E:$J,6,0),""),"1","A"),"2","B"),"3","C"),"4","D")</f>
        <v>A</v>
      </c>
      <c r="P259">
        <f t="shared" ref="P259:P322" si="19">D259</f>
        <v>65</v>
      </c>
      <c r="Q259" t="str">
        <f t="shared" ref="Q259:Q322" ca="1" si="20">IF(D259="","",CHAR(123)&amp;CHAR(34)&amp;"num"&amp;CHAR(34)&amp;":"&amp;P259&amp;","&amp;CHAR(34)&amp;"id"&amp;CHAR(34)&amp;":"&amp;D259&amp;","
&amp;CHAR(34)&amp;"q"&amp;CHAR(34)&amp;":"&amp;CHAR(34)&amp;E259&amp;CHAR(34)&amp;","
&amp;IF(F259="","",CHAR(34)&amp;"img"&amp;CHAR(34)&amp;":"&amp;CHAR(34)&amp;F259&amp;CHAR(34)&amp;",")
&amp;CHAR(34)&amp;"opts"&amp;CHAR(34)&amp;":"&amp;CHAR(123)&amp;CHAR(34)&amp;"A"&amp;CHAR(34)&amp;":"&amp;CHAR(34)&amp;G259&amp;CHAR(34)&amp;","&amp;CHAR(34)&amp;"B"&amp;CHAR(34)&amp;":"&amp;CHAR(34)&amp;H259&amp;CHAR(34)
&amp;IF(I259="","",","&amp;CHAR(34)&amp;"C"&amp;CHAR(34)&amp;":"&amp;CHAR(34)&amp;I259&amp;CHAR(34))&amp;IF(J259="","",","&amp;CHAR(34)&amp;"D"&amp;CHAR(34)&amp;":"&amp;CHAR(34)&amp;J259&amp;CHAR(34))&amp;CHAR(125)&amp;","
&amp;CHAR(34)&amp;"answer"&amp;CHAR(34)&amp;":"&amp;CHAR(34)&amp;K259&amp;CHAR(34)
&amp;IF(L259="","",","&amp;CHAR(34)&amp;"danger"&amp;CHAR(34)&amp;":"&amp;CHAR(34)&amp;"true"&amp;CHAR(34))
&amp;IF(M259="","",","&amp;CHAR(34)&amp;"explain"&amp;CHAR(34)&amp;":"&amp;CHAR(34)&amp;M259&amp;CHAR(34))
&amp;IF(N259="","",","&amp;CHAR(34)&amp;"explainImg"&amp;CHAR(34)&amp;":"&amp;CHAR(34)&amp;N259&amp;CHAR(34))
&amp;IF(O259="","",","&amp;CHAR(34)&amp;"shuffle"&amp;CHAR(34)&amp;":"&amp;CHAR(34)&amp;"false"&amp;CHAR(34))&amp;CHAR(125)&amp;",")</f>
        <v>{"num":65,"id":65,"q":"Khi điều khiển xe mô tô hai bánh, xe mô tô ba bánh, xe gắn máy, những hành vi nào sau đây không được phép?","opts":{"A":" Buông cả hai tay; sử dụng xe để kéo, đẩy xe khác, vật khác; sử dụng chân chống hoặc vật khác quệt xuống đường khi xe đang chạy.","B":"Sử dụng xe để chở người hoặc hàng hóa; để chân chạm xuống đất khi khởi hành.","C":"Đội mũ bảo hiểm; chạy xe đúng tốc độ quy định và chấp hành đúng quy tắc giao thông đường bộ.","D":"Chở người ngồi sau dưới 16 tuổi."},"answer":"A"},</v>
      </c>
    </row>
    <row r="260" spans="1:17" hidden="1" x14ac:dyDescent="0.25">
      <c r="A260">
        <v>1</v>
      </c>
      <c r="B260" t="s">
        <v>231</v>
      </c>
      <c r="C260">
        <f>IFERROR(COUNTIFS($A$1:A260,"Câu "&amp;"*")-MID(A260,5,FIND(".",A260,1)-5),0)</f>
        <v>0</v>
      </c>
      <c r="D260" t="str">
        <f t="shared" si="18"/>
        <v/>
      </c>
      <c r="E260" t="str">
        <f>SUBSTITUTE(IF(LEFT(A260,3)="Câu",MID(A260,FIND(".",A260,1)+2,LEN(A260)),""),CHAR(34),CHAR(92)&amp;CHAR(34))</f>
        <v/>
      </c>
      <c r="G260" t="str">
        <f>SUBSTITUTE(B261,CHAR(34),CHAR(92)&amp;CHAR(34))</f>
        <v>Sử dụng xe để chở người hoặc hàng hóa; để chân chạm xuống đất khi khởi hành.</v>
      </c>
      <c r="H260" t="str">
        <f>SUBSTITUTE(B262,CHAR(34),CHAR(92)&amp;CHAR(34))</f>
        <v>Đội mũ bảo hiểm; chạy xe đúng tốc độ quy định và chấp hành đúng quy tắc giao thông đường bộ.</v>
      </c>
      <c r="I260" t="str">
        <f>SUBSTITUTE(IF(LEFT(A263,3)="Câu","",B263),CHAR(34),CHAR(92)&amp;CHAR(34))</f>
        <v>Chở người ngồi sau dưới 16 tuổi.</v>
      </c>
      <c r="J260" t="str">
        <f>SUBSTITUTE(IF(OR(LEFT(A264,3)="Câu",I260=""),"",IF(B264=0,"",B264)),CHAR(34),CHAR(92)&amp;CHAR(34))</f>
        <v/>
      </c>
      <c r="K260" t="str">
        <f>SUBSTITUTE(SUBSTITUTE(SUBSTITUTE(SUBSTITUTE(IFERROR(VLOOKUP("Câu "&amp;D260&amp;".",dapan!$E:$J,6,0),""),"1","A"),"2","B"),"3","C"),"4","D")</f>
        <v/>
      </c>
      <c r="P260" t="str">
        <f t="shared" si="19"/>
        <v/>
      </c>
      <c r="Q260" t="str">
        <f t="shared" si="20"/>
        <v/>
      </c>
    </row>
    <row r="261" spans="1:17" hidden="1" x14ac:dyDescent="0.25">
      <c r="A261">
        <v>2</v>
      </c>
      <c r="B261" t="s">
        <v>232</v>
      </c>
      <c r="C261">
        <f>IFERROR(COUNTIFS($A$1:A261,"Câu "&amp;"*")-MID(A261,5,FIND(".",A261,1)-5),0)</f>
        <v>0</v>
      </c>
      <c r="D261" t="str">
        <f t="shared" si="18"/>
        <v/>
      </c>
      <c r="E261" t="str">
        <f>SUBSTITUTE(IF(LEFT(A261,3)="Câu",MID(A261,FIND(".",A261,1)+2,LEN(A261)),""),CHAR(34),CHAR(92)&amp;CHAR(34))</f>
        <v/>
      </c>
      <c r="G261" t="str">
        <f>SUBSTITUTE(B262,CHAR(34),CHAR(92)&amp;CHAR(34))</f>
        <v>Đội mũ bảo hiểm; chạy xe đúng tốc độ quy định và chấp hành đúng quy tắc giao thông đường bộ.</v>
      </c>
      <c r="H261" t="str">
        <f>SUBSTITUTE(B263,CHAR(34),CHAR(92)&amp;CHAR(34))</f>
        <v>Chở người ngồi sau dưới 16 tuổi.</v>
      </c>
      <c r="I261" t="str">
        <f>SUBSTITUTE(IF(LEFT(A264,3)="Câu","",B264),CHAR(34),CHAR(92)&amp;CHAR(34))</f>
        <v/>
      </c>
      <c r="J261" t="str">
        <f>SUBSTITUTE(IF(OR(LEFT(A265,3)="Câu",I261=""),"",IF(B265=0,"",B265)),CHAR(34),CHAR(92)&amp;CHAR(34))</f>
        <v/>
      </c>
      <c r="K261" t="str">
        <f>SUBSTITUTE(SUBSTITUTE(SUBSTITUTE(SUBSTITUTE(IFERROR(VLOOKUP("Câu "&amp;D261&amp;".",dapan!$E:$J,6,0),""),"1","A"),"2","B"),"3","C"),"4","D")</f>
        <v/>
      </c>
      <c r="P261" t="str">
        <f t="shared" si="19"/>
        <v/>
      </c>
      <c r="Q261" t="str">
        <f t="shared" si="20"/>
        <v/>
      </c>
    </row>
    <row r="262" spans="1:17" hidden="1" x14ac:dyDescent="0.25">
      <c r="A262">
        <v>3</v>
      </c>
      <c r="B262" t="s">
        <v>233</v>
      </c>
      <c r="C262">
        <f>IFERROR(COUNTIFS($A$1:A262,"Câu "&amp;"*")-MID(A262,5,FIND(".",A262,1)-5),0)</f>
        <v>0</v>
      </c>
      <c r="D262" t="str">
        <f t="shared" si="18"/>
        <v/>
      </c>
      <c r="E262" t="str">
        <f>SUBSTITUTE(IF(LEFT(A262,3)="Câu",MID(A262,FIND(".",A262,1)+2,LEN(A262)),""),CHAR(34),CHAR(92)&amp;CHAR(34))</f>
        <v/>
      </c>
      <c r="G262" t="str">
        <f>SUBSTITUTE(B263,CHAR(34),CHAR(92)&amp;CHAR(34))</f>
        <v>Chở người ngồi sau dưới 16 tuổi.</v>
      </c>
      <c r="H262" t="str">
        <f>SUBSTITUTE(B264,CHAR(34),CHAR(92)&amp;CHAR(34))</f>
        <v/>
      </c>
      <c r="I262" t="str">
        <f>SUBSTITUTE(IF(LEFT(A265,3)="Câu","",B265),CHAR(34),CHAR(92)&amp;CHAR(34))</f>
        <v>Mang, vác vật cồng kềnh.</v>
      </c>
      <c r="J262" t="str">
        <f>SUBSTITUTE(IF(OR(LEFT(A266,3)="Câu",I262=""),"",IF(B266=0,"",B266)),CHAR(34),CHAR(92)&amp;CHAR(34))</f>
        <v>Bám, kéo hoặc đẩy các phương tiện khác.</v>
      </c>
      <c r="K262" t="str">
        <f>SUBSTITUTE(SUBSTITUTE(SUBSTITUTE(SUBSTITUTE(IFERROR(VLOOKUP("Câu "&amp;D262&amp;".",dapan!$E:$J,6,0),""),"1","A"),"2","B"),"3","C"),"4","D")</f>
        <v/>
      </c>
      <c r="P262" t="str">
        <f t="shared" si="19"/>
        <v/>
      </c>
      <c r="Q262" t="str">
        <f t="shared" si="20"/>
        <v/>
      </c>
    </row>
    <row r="263" spans="1:17" hidden="1" x14ac:dyDescent="0.25">
      <c r="A263">
        <v>4</v>
      </c>
      <c r="B263" t="s">
        <v>234</v>
      </c>
      <c r="C263">
        <f>IFERROR(COUNTIFS($A$1:A263,"Câu "&amp;"*")-MID(A263,5,FIND(".",A263,1)-5),0)</f>
        <v>0</v>
      </c>
      <c r="D263" t="str">
        <f t="shared" si="18"/>
        <v/>
      </c>
      <c r="E263" t="str">
        <f>SUBSTITUTE(IF(LEFT(A263,3)="Câu",MID(A263,FIND(".",A263,1)+2,LEN(A263)),""),CHAR(34),CHAR(92)&amp;CHAR(34))</f>
        <v/>
      </c>
      <c r="G263" t="str">
        <f>SUBSTITUTE(B264,CHAR(34),CHAR(92)&amp;CHAR(34))</f>
        <v/>
      </c>
      <c r="H263" t="str">
        <f>SUBSTITUTE(B265,CHAR(34),CHAR(92)&amp;CHAR(34))</f>
        <v>Mang, vác vật cồng kềnh.</v>
      </c>
      <c r="I263" t="str">
        <f>SUBSTITUTE(IF(LEFT(A266,3)="Câu","",B266),CHAR(34),CHAR(92)&amp;CHAR(34))</f>
        <v>Bám, kéo hoặc đẩy các phương tiện khác.</v>
      </c>
      <c r="J263" t="str">
        <f>SUBSTITUTE(IF(OR(LEFT(A267,3)="Câu",I263=""),"",IF(B267=0,"",B267)),CHAR(34),CHAR(92)&amp;CHAR(34))</f>
        <v>Dùng tay cầm điện thoại hoặc các thiết bị điện tử khác.</v>
      </c>
      <c r="K263" t="str">
        <f>SUBSTITUTE(SUBSTITUTE(SUBSTITUTE(SUBSTITUTE(IFERROR(VLOOKUP("Câu "&amp;D263&amp;".",dapan!$E:$J,6,0),""),"1","A"),"2","B"),"3","C"),"4","D")</f>
        <v/>
      </c>
      <c r="P263" t="str">
        <f t="shared" si="19"/>
        <v/>
      </c>
      <c r="Q263" t="str">
        <f t="shared" si="20"/>
        <v/>
      </c>
    </row>
    <row r="264" spans="1:17" x14ac:dyDescent="0.25">
      <c r="A264" t="s">
        <v>235</v>
      </c>
      <c r="C264">
        <f>IFERROR(COUNTIFS($A$1:A264,"Câu "&amp;"*")-MID(A264,5,FIND(".",A264,1)-5),0)</f>
        <v>0</v>
      </c>
      <c r="D264">
        <f t="shared" si="18"/>
        <v>66</v>
      </c>
      <c r="E264" t="str">
        <f>SUBSTITUTE(IF(LEFT(A264,3)="Câu",MID(A264,FIND(".",A264,1)+2,LEN(A264)),""),CHAR(34),CHAR(92)&amp;CHAR(34))</f>
        <v>Người được chở trên xe mô tô hai bánh, xe mô tô ba bánh, xe gắn máy khi tham gia giao thông đường bộ không được thực hiện hành vi nào sau đây?</v>
      </c>
      <c r="G264" t="str">
        <f>SUBSTITUTE(B265,CHAR(34),CHAR(92)&amp;CHAR(34))</f>
        <v>Mang, vác vật cồng kềnh.</v>
      </c>
      <c r="H264" t="str">
        <f>SUBSTITUTE(B266,CHAR(34),CHAR(92)&amp;CHAR(34))</f>
        <v>Bám, kéo hoặc đẩy các phương tiện khác.</v>
      </c>
      <c r="I264" t="str">
        <f>SUBSTITUTE(IF(LEFT(A267,3)="Câu","",B267),CHAR(34),CHAR(92)&amp;CHAR(34))</f>
        <v>Dùng tay cầm điện thoại hoặc các thiết bị điện tử khác.</v>
      </c>
      <c r="J264" t="str">
        <f>SUBSTITUTE(IF(OR(LEFT(A268,3)="Câu",I264=""),"",IF(B268=0,"",B268)),CHAR(34),CHAR(92)&amp;CHAR(34))</f>
        <v xml:space="preserve"> Ý 1 và ý 2.</v>
      </c>
      <c r="K264" t="str">
        <f ca="1">SUBSTITUTE(SUBSTITUTE(SUBSTITUTE(SUBSTITUTE(IFERROR(VLOOKUP("Câu "&amp;D264&amp;".",dapan!$E:$J,6,0),""),"1","A"),"2","B"),"3","C"),"4","D")</f>
        <v>D</v>
      </c>
      <c r="P264">
        <f t="shared" si="19"/>
        <v>66</v>
      </c>
      <c r="Q264" t="str">
        <f t="shared" ca="1" si="20"/>
        <v>{"num":66,"id":66,"q":"Người được chở trên xe mô tô hai bánh, xe mô tô ba bánh, xe gắn máy khi tham gia giao thông đường bộ không được thực hiện hành vi nào sau đây?","opts":{"A":"Mang, vác vật cồng kềnh.","B":"Bám, kéo hoặc đẩy các phương tiện khác.","C":"Dùng tay cầm điện thoại hoặc các thiết bị điện tử khác.","D":" Ý 1 và ý 2."},"answer":"D"},</v>
      </c>
    </row>
    <row r="265" spans="1:17" hidden="1" x14ac:dyDescent="0.25">
      <c r="A265">
        <v>1</v>
      </c>
      <c r="B265" t="s">
        <v>236</v>
      </c>
      <c r="C265">
        <f>IFERROR(COUNTIFS($A$1:A265,"Câu "&amp;"*")-MID(A265,5,FIND(".",A265,1)-5),0)</f>
        <v>0</v>
      </c>
      <c r="D265" t="str">
        <f t="shared" si="18"/>
        <v/>
      </c>
      <c r="E265" t="str">
        <f>SUBSTITUTE(IF(LEFT(A265,3)="Câu",MID(A265,FIND(".",A265,1)+2,LEN(A265)),""),CHAR(34),CHAR(92)&amp;CHAR(34))</f>
        <v/>
      </c>
      <c r="G265" t="str">
        <f>SUBSTITUTE(B266,CHAR(34),CHAR(92)&amp;CHAR(34))</f>
        <v>Bám, kéo hoặc đẩy các phương tiện khác.</v>
      </c>
      <c r="H265" t="str">
        <f>SUBSTITUTE(B267,CHAR(34),CHAR(92)&amp;CHAR(34))</f>
        <v>Dùng tay cầm điện thoại hoặc các thiết bị điện tử khác.</v>
      </c>
      <c r="I265" t="str">
        <f>SUBSTITUTE(IF(LEFT(A268,3)="Câu","",B268),CHAR(34),CHAR(92)&amp;CHAR(34))</f>
        <v xml:space="preserve"> Ý 1 và ý 2.</v>
      </c>
      <c r="J265" t="str">
        <f>SUBSTITUTE(IF(OR(LEFT(A269,3)="Câu",I265=""),"",IF(B269=0,"",B269)),CHAR(34),CHAR(92)&amp;CHAR(34))</f>
        <v/>
      </c>
      <c r="K265" t="str">
        <f>SUBSTITUTE(SUBSTITUTE(SUBSTITUTE(SUBSTITUTE(IFERROR(VLOOKUP("Câu "&amp;D265&amp;".",dapan!$E:$J,6,0),""),"1","A"),"2","B"),"3","C"),"4","D")</f>
        <v/>
      </c>
      <c r="P265" t="str">
        <f t="shared" si="19"/>
        <v/>
      </c>
      <c r="Q265" t="str">
        <f t="shared" si="20"/>
        <v/>
      </c>
    </row>
    <row r="266" spans="1:17" hidden="1" x14ac:dyDescent="0.25">
      <c r="A266">
        <v>2</v>
      </c>
      <c r="B266" t="s">
        <v>237</v>
      </c>
      <c r="C266">
        <f>IFERROR(COUNTIFS($A$1:A266,"Câu "&amp;"*")-MID(A266,5,FIND(".",A266,1)-5),0)</f>
        <v>0</v>
      </c>
      <c r="D266" t="str">
        <f t="shared" si="18"/>
        <v/>
      </c>
      <c r="E266" t="str">
        <f>SUBSTITUTE(IF(LEFT(A266,3)="Câu",MID(A266,FIND(".",A266,1)+2,LEN(A266)),""),CHAR(34),CHAR(92)&amp;CHAR(34))</f>
        <v/>
      </c>
      <c r="G266" t="str">
        <f>SUBSTITUTE(B267,CHAR(34),CHAR(92)&amp;CHAR(34))</f>
        <v>Dùng tay cầm điện thoại hoặc các thiết bị điện tử khác.</v>
      </c>
      <c r="H266" t="str">
        <f>SUBSTITUTE(B268,CHAR(34),CHAR(92)&amp;CHAR(34))</f>
        <v xml:space="preserve"> Ý 1 và ý 2.</v>
      </c>
      <c r="I266" t="str">
        <f>SUBSTITUTE(IF(LEFT(A269,3)="Câu","",B269),CHAR(34),CHAR(92)&amp;CHAR(34))</f>
        <v/>
      </c>
      <c r="J266" t="str">
        <f>SUBSTITUTE(IF(OR(LEFT(A270,3)="Câu",I266=""),"",IF(B270=0,"",B270)),CHAR(34),CHAR(92)&amp;CHAR(34))</f>
        <v/>
      </c>
      <c r="K266" t="str">
        <f>SUBSTITUTE(SUBSTITUTE(SUBSTITUTE(SUBSTITUTE(IFERROR(VLOOKUP("Câu "&amp;D266&amp;".",dapan!$E:$J,6,0),""),"1","A"),"2","B"),"3","C"),"4","D")</f>
        <v/>
      </c>
      <c r="P266" t="str">
        <f t="shared" si="19"/>
        <v/>
      </c>
      <c r="Q266" t="str">
        <f t="shared" si="20"/>
        <v/>
      </c>
    </row>
    <row r="267" spans="1:17" hidden="1" x14ac:dyDescent="0.25">
      <c r="A267">
        <v>3</v>
      </c>
      <c r="B267" t="s">
        <v>238</v>
      </c>
      <c r="C267">
        <f>IFERROR(COUNTIFS($A$1:A267,"Câu "&amp;"*")-MID(A267,5,FIND(".",A267,1)-5),0)</f>
        <v>0</v>
      </c>
      <c r="D267" t="str">
        <f t="shared" si="18"/>
        <v/>
      </c>
      <c r="E267" t="str">
        <f>SUBSTITUTE(IF(LEFT(A267,3)="Câu",MID(A267,FIND(".",A267,1)+2,LEN(A267)),""),CHAR(34),CHAR(92)&amp;CHAR(34))</f>
        <v/>
      </c>
      <c r="G267" t="str">
        <f>SUBSTITUTE(B268,CHAR(34),CHAR(92)&amp;CHAR(34))</f>
        <v xml:space="preserve"> Ý 1 và ý 2.</v>
      </c>
      <c r="H267" t="str">
        <f>SUBSTITUTE(B269,CHAR(34),CHAR(92)&amp;CHAR(34))</f>
        <v/>
      </c>
      <c r="I267" t="str">
        <f>SUBSTITUTE(IF(LEFT(A270,3)="Câu","",B270),CHAR(34),CHAR(92)&amp;CHAR(34))</f>
        <v>Được phép.</v>
      </c>
      <c r="J267" t="str">
        <f>SUBSTITUTE(IF(OR(LEFT(A271,3)="Câu",I267=""),"",IF(B271=0,"",B271)),CHAR(34),CHAR(92)&amp;CHAR(34))</f>
        <v>Được bám trong trường hợp phương tiện của mình bị hỏng.</v>
      </c>
      <c r="K267" t="str">
        <f>SUBSTITUTE(SUBSTITUTE(SUBSTITUTE(SUBSTITUTE(IFERROR(VLOOKUP("Câu "&amp;D267&amp;".",dapan!$E:$J,6,0),""),"1","A"),"2","B"),"3","C"),"4","D")</f>
        <v/>
      </c>
      <c r="P267" t="str">
        <f t="shared" si="19"/>
        <v/>
      </c>
      <c r="Q267" t="str">
        <f t="shared" si="20"/>
        <v/>
      </c>
    </row>
    <row r="268" spans="1:17" hidden="1" x14ac:dyDescent="0.25">
      <c r="A268">
        <v>4</v>
      </c>
      <c r="B268" t="s">
        <v>239</v>
      </c>
      <c r="C268">
        <f>IFERROR(COUNTIFS($A$1:A268,"Câu "&amp;"*")-MID(A268,5,FIND(".",A268,1)-5),0)</f>
        <v>0</v>
      </c>
      <c r="D268" t="str">
        <f t="shared" si="18"/>
        <v/>
      </c>
      <c r="E268" t="str">
        <f>SUBSTITUTE(IF(LEFT(A268,3)="Câu",MID(A268,FIND(".",A268,1)+2,LEN(A268)),""),CHAR(34),CHAR(92)&amp;CHAR(34))</f>
        <v/>
      </c>
      <c r="G268" t="str">
        <f>SUBSTITUTE(B269,CHAR(34),CHAR(92)&amp;CHAR(34))</f>
        <v/>
      </c>
      <c r="H268" t="str">
        <f>SUBSTITUTE(B270,CHAR(34),CHAR(92)&amp;CHAR(34))</f>
        <v>Được phép.</v>
      </c>
      <c r="I268" t="str">
        <f>SUBSTITUTE(IF(LEFT(A271,3)="Câu","",B271),CHAR(34),CHAR(92)&amp;CHAR(34))</f>
        <v>Được bám trong trường hợp phương tiện của mình bị hỏng.</v>
      </c>
      <c r="J268" t="str">
        <f>SUBSTITUTE(IF(OR(LEFT(A272,3)="Câu",I268=""),"",IF(B272=0,"",B272)),CHAR(34),CHAR(92)&amp;CHAR(34))</f>
        <v>Được kéo, đẩy trong trường hợp phương tiện khác bị hỏng.</v>
      </c>
      <c r="K268" t="str">
        <f>SUBSTITUTE(SUBSTITUTE(SUBSTITUTE(SUBSTITUTE(IFERROR(VLOOKUP("Câu "&amp;D268&amp;".",dapan!$E:$J,6,0),""),"1","A"),"2","B"),"3","C"),"4","D")</f>
        <v/>
      </c>
      <c r="P268" t="str">
        <f t="shared" si="19"/>
        <v/>
      </c>
      <c r="Q268" t="str">
        <f t="shared" si="20"/>
        <v/>
      </c>
    </row>
    <row r="269" spans="1:17" x14ac:dyDescent="0.25">
      <c r="A269" t="s">
        <v>240</v>
      </c>
      <c r="C269">
        <f>IFERROR(COUNTIFS($A$1:A269,"Câu "&amp;"*")-MID(A269,5,FIND(".",A269,1)-5),0)</f>
        <v>0</v>
      </c>
      <c r="D269">
        <f t="shared" si="18"/>
        <v>67</v>
      </c>
      <c r="E269" t="str">
        <f>SUBSTITUTE(IF(LEFT(A269,3)="Câu",MID(A269,FIND(".",A269,1)+2,LEN(A269)),""),CHAR(34),CHAR(92)&amp;CHAR(34))</f>
        <v>Người được chở trên xe mô tô hai bánh, xe mô tô ba bánh, xe gắn máy khi tham gia giao thông đường bộ có được bám, kéo hoặc đẩy các phương tiện khác không?</v>
      </c>
      <c r="G269" t="str">
        <f>SUBSTITUTE(B270,CHAR(34),CHAR(92)&amp;CHAR(34))</f>
        <v>Được phép.</v>
      </c>
      <c r="H269" t="str">
        <f>SUBSTITUTE(B271,CHAR(34),CHAR(92)&amp;CHAR(34))</f>
        <v>Được bám trong trường hợp phương tiện của mình bị hỏng.</v>
      </c>
      <c r="I269" t="str">
        <f>SUBSTITUTE(IF(LEFT(A272,3)="Câu","",B272),CHAR(34),CHAR(92)&amp;CHAR(34))</f>
        <v>Được kéo, đẩy trong trường hợp phương tiện khác bị hỏng.</v>
      </c>
      <c r="J269" t="str">
        <f>SUBSTITUTE(IF(OR(LEFT(A273,3)="Câu",I269=""),"",IF(B273=0,"",B273)),CHAR(34),CHAR(92)&amp;CHAR(34))</f>
        <v xml:space="preserve"> Không được phép.</v>
      </c>
      <c r="K269" t="str">
        <f ca="1">SUBSTITUTE(SUBSTITUTE(SUBSTITUTE(SUBSTITUTE(IFERROR(VLOOKUP("Câu "&amp;D269&amp;".",dapan!$E:$J,6,0),""),"1","A"),"2","B"),"3","C"),"4","D")</f>
        <v>D</v>
      </c>
      <c r="P269">
        <f t="shared" si="19"/>
        <v>67</v>
      </c>
      <c r="Q269" t="str">
        <f t="shared" ca="1" si="20"/>
        <v>{"num":67,"id":67,"q":"Người được chở trên xe mô tô hai bánh, xe mô tô ba bánh, xe gắn máy khi tham gia giao thông đường bộ có được bám, kéo hoặc đẩy các phương tiện khác không?","opts":{"A":"Được phép.","B":"Được bám trong trường hợp phương tiện của mình bị hỏng.","C":"Được kéo, đẩy trong trường hợp phương tiện khác bị hỏng.","D":" Không được phép."},"answer":"D"},</v>
      </c>
    </row>
    <row r="270" spans="1:17" hidden="1" x14ac:dyDescent="0.25">
      <c r="A270">
        <v>1</v>
      </c>
      <c r="B270" t="s">
        <v>223</v>
      </c>
      <c r="C270">
        <f>IFERROR(COUNTIFS($A$1:A270,"Câu "&amp;"*")-MID(A270,5,FIND(".",A270,1)-5),0)</f>
        <v>0</v>
      </c>
      <c r="D270" t="str">
        <f t="shared" si="18"/>
        <v/>
      </c>
      <c r="E270" t="str">
        <f>SUBSTITUTE(IF(LEFT(A270,3)="Câu",MID(A270,FIND(".",A270,1)+2,LEN(A270)),""),CHAR(34),CHAR(92)&amp;CHAR(34))</f>
        <v/>
      </c>
      <c r="G270" t="str">
        <f>SUBSTITUTE(B271,CHAR(34),CHAR(92)&amp;CHAR(34))</f>
        <v>Được bám trong trường hợp phương tiện của mình bị hỏng.</v>
      </c>
      <c r="H270" t="str">
        <f>SUBSTITUTE(B272,CHAR(34),CHAR(92)&amp;CHAR(34))</f>
        <v>Được kéo, đẩy trong trường hợp phương tiện khác bị hỏng.</v>
      </c>
      <c r="I270" t="str">
        <f>SUBSTITUTE(IF(LEFT(A273,3)="Câu","",B273),CHAR(34),CHAR(92)&amp;CHAR(34))</f>
        <v xml:space="preserve"> Không được phép.</v>
      </c>
      <c r="J270" t="str">
        <f>SUBSTITUTE(IF(OR(LEFT(A274,3)="Câu",I270=""),"",IF(B274=0,"",B274)),CHAR(34),CHAR(92)&amp;CHAR(34))</f>
        <v/>
      </c>
      <c r="K270" t="str">
        <f>SUBSTITUTE(SUBSTITUTE(SUBSTITUTE(SUBSTITUTE(IFERROR(VLOOKUP("Câu "&amp;D270&amp;".",dapan!$E:$J,6,0),""),"1","A"),"2","B"),"3","C"),"4","D")</f>
        <v/>
      </c>
      <c r="P270" t="str">
        <f t="shared" si="19"/>
        <v/>
      </c>
      <c r="Q270" t="str">
        <f t="shared" si="20"/>
        <v/>
      </c>
    </row>
    <row r="271" spans="1:17" hidden="1" x14ac:dyDescent="0.25">
      <c r="A271">
        <v>2</v>
      </c>
      <c r="B271" t="s">
        <v>241</v>
      </c>
      <c r="C271">
        <f>IFERROR(COUNTIFS($A$1:A271,"Câu "&amp;"*")-MID(A271,5,FIND(".",A271,1)-5),0)</f>
        <v>0</v>
      </c>
      <c r="D271" t="str">
        <f t="shared" si="18"/>
        <v/>
      </c>
      <c r="E271" t="str">
        <f>SUBSTITUTE(IF(LEFT(A271,3)="Câu",MID(A271,FIND(".",A271,1)+2,LEN(A271)),""),CHAR(34),CHAR(92)&amp;CHAR(34))</f>
        <v/>
      </c>
      <c r="G271" t="str">
        <f>SUBSTITUTE(B272,CHAR(34),CHAR(92)&amp;CHAR(34))</f>
        <v>Được kéo, đẩy trong trường hợp phương tiện khác bị hỏng.</v>
      </c>
      <c r="H271" t="str">
        <f>SUBSTITUTE(B273,CHAR(34),CHAR(92)&amp;CHAR(34))</f>
        <v xml:space="preserve"> Không được phép.</v>
      </c>
      <c r="I271" t="str">
        <f>SUBSTITUTE(IF(LEFT(A274,3)="Câu","",B274),CHAR(34),CHAR(92)&amp;CHAR(34))</f>
        <v/>
      </c>
      <c r="J271" t="str">
        <f>SUBSTITUTE(IF(OR(LEFT(A275,3)="Câu",I271=""),"",IF(B275=0,"",B275)),CHAR(34),CHAR(92)&amp;CHAR(34))</f>
        <v/>
      </c>
      <c r="K271" t="str">
        <f>SUBSTITUTE(SUBSTITUTE(SUBSTITUTE(SUBSTITUTE(IFERROR(VLOOKUP("Câu "&amp;D271&amp;".",dapan!$E:$J,6,0),""),"1","A"),"2","B"),"3","C"),"4","D")</f>
        <v/>
      </c>
      <c r="P271" t="str">
        <f t="shared" si="19"/>
        <v/>
      </c>
      <c r="Q271" t="str">
        <f t="shared" si="20"/>
        <v/>
      </c>
    </row>
    <row r="272" spans="1:17" hidden="1" x14ac:dyDescent="0.25">
      <c r="A272">
        <v>3</v>
      </c>
      <c r="B272" t="s">
        <v>242</v>
      </c>
      <c r="C272">
        <f>IFERROR(COUNTIFS($A$1:A272,"Câu "&amp;"*")-MID(A272,5,FIND(".",A272,1)-5),0)</f>
        <v>0</v>
      </c>
      <c r="D272" t="str">
        <f t="shared" si="18"/>
        <v/>
      </c>
      <c r="E272" t="str">
        <f>SUBSTITUTE(IF(LEFT(A272,3)="Câu",MID(A272,FIND(".",A272,1)+2,LEN(A272)),""),CHAR(34),CHAR(92)&amp;CHAR(34))</f>
        <v/>
      </c>
      <c r="G272" t="str">
        <f>SUBSTITUTE(B273,CHAR(34),CHAR(92)&amp;CHAR(34))</f>
        <v xml:space="preserve"> Không được phép.</v>
      </c>
      <c r="H272" t="str">
        <f>SUBSTITUTE(B274,CHAR(34),CHAR(92)&amp;CHAR(34))</f>
        <v/>
      </c>
      <c r="I272" t="str">
        <f>SUBSTITUTE(IF(LEFT(A275,3)="Câu","",B275),CHAR(34),CHAR(92)&amp;CHAR(34))</f>
        <v xml:space="preserve"> Đội mũ bảo hiểm theo đúng quy chuẩn kỹ thuật quốc gia và cài quai đúng quy cách.</v>
      </c>
      <c r="J272" t="str">
        <f>SUBSTITUTE(IF(OR(LEFT(A276,3)="Câu",I272=""),"",IF(B276=0,"",B276)),CHAR(34),CHAR(92)&amp;CHAR(34))</f>
        <v>Người lái xe phải đội mũ bảo hiểm, người được chở trên xe không nhất thiết phải đội mũ bảo hiểm.</v>
      </c>
      <c r="K272" t="str">
        <f>SUBSTITUTE(SUBSTITUTE(SUBSTITUTE(SUBSTITUTE(IFERROR(VLOOKUP("Câu "&amp;D272&amp;".",dapan!$E:$J,6,0),""),"1","A"),"2","B"),"3","C"),"4","D")</f>
        <v/>
      </c>
      <c r="P272" t="str">
        <f t="shared" si="19"/>
        <v/>
      </c>
      <c r="Q272" t="str">
        <f t="shared" si="20"/>
        <v/>
      </c>
    </row>
    <row r="273" spans="1:17" hidden="1" x14ac:dyDescent="0.25">
      <c r="A273">
        <v>4</v>
      </c>
      <c r="B273" t="s">
        <v>226</v>
      </c>
      <c r="C273">
        <f>IFERROR(COUNTIFS($A$1:A273,"Câu "&amp;"*")-MID(A273,5,FIND(".",A273,1)-5),0)</f>
        <v>0</v>
      </c>
      <c r="D273" t="str">
        <f t="shared" si="18"/>
        <v/>
      </c>
      <c r="E273" t="str">
        <f>SUBSTITUTE(IF(LEFT(A273,3)="Câu",MID(A273,FIND(".",A273,1)+2,LEN(A273)),""),CHAR(34),CHAR(92)&amp;CHAR(34))</f>
        <v/>
      </c>
      <c r="G273" t="str">
        <f>SUBSTITUTE(B274,CHAR(34),CHAR(92)&amp;CHAR(34))</f>
        <v/>
      </c>
      <c r="H273" t="str">
        <f>SUBSTITUTE(B275,CHAR(34),CHAR(92)&amp;CHAR(34))</f>
        <v xml:space="preserve"> Đội mũ bảo hiểm theo đúng quy chuẩn kỹ thuật quốc gia và cài quai đúng quy cách.</v>
      </c>
      <c r="I273" t="str">
        <f>SUBSTITUTE(IF(LEFT(A276,3)="Câu","",B276),CHAR(34),CHAR(92)&amp;CHAR(34))</f>
        <v>Người lái xe phải đội mũ bảo hiểm, người được chở trên xe không nhất thiết phải đội mũ bảo hiểm.</v>
      </c>
      <c r="J273" t="str">
        <f>SUBSTITUTE(IF(OR(LEFT(A277,3)="Câu",I273=""),"",IF(B277=0,"",B277)),CHAR(34),CHAR(92)&amp;CHAR(34))</f>
        <v>Phải đội mũ bảo hiểm nhưng không nhất thiết phải cài quai.</v>
      </c>
      <c r="K273" t="str">
        <f>SUBSTITUTE(SUBSTITUTE(SUBSTITUTE(SUBSTITUTE(IFERROR(VLOOKUP("Câu "&amp;D273&amp;".",dapan!$E:$J,6,0),""),"1","A"),"2","B"),"3","C"),"4","D")</f>
        <v/>
      </c>
      <c r="P273" t="str">
        <f t="shared" si="19"/>
        <v/>
      </c>
      <c r="Q273" t="str">
        <f t="shared" si="20"/>
        <v/>
      </c>
    </row>
    <row r="274" spans="1:17" x14ac:dyDescent="0.25">
      <c r="A274" t="s">
        <v>243</v>
      </c>
      <c r="C274">
        <f>IFERROR(COUNTIFS($A$1:A274,"Câu "&amp;"*")-MID(A274,5,FIND(".",A274,1)-5),0)</f>
        <v>0</v>
      </c>
      <c r="D274">
        <f t="shared" si="18"/>
        <v>68</v>
      </c>
      <c r="E274" t="str">
        <f>SUBSTITUTE(IF(LEFT(A274,3)="Câu",MID(A274,FIND(".",A274,1)+2,LEN(A274)),""),CHAR(34),CHAR(92)&amp;CHAR(34))</f>
        <v>Người lái xe, người được chở trên xe mô tô hai bánh, xe mô tô ba bánh, xe gắn máy phải thực hiện quy định nào dưới đây?</v>
      </c>
      <c r="G274" t="str">
        <f>SUBSTITUTE(B275,CHAR(34),CHAR(92)&amp;CHAR(34))</f>
        <v xml:space="preserve"> Đội mũ bảo hiểm theo đúng quy chuẩn kỹ thuật quốc gia và cài quai đúng quy cách.</v>
      </c>
      <c r="H274" t="str">
        <f>SUBSTITUTE(B276,CHAR(34),CHAR(92)&amp;CHAR(34))</f>
        <v>Người lái xe phải đội mũ bảo hiểm, người được chở trên xe không nhất thiết phải đội mũ bảo hiểm.</v>
      </c>
      <c r="I274" t="str">
        <f>SUBSTITUTE(IF(LEFT(A277,3)="Câu","",B277),CHAR(34),CHAR(92)&amp;CHAR(34))</f>
        <v>Phải đội mũ bảo hiểm nhưng không nhất thiết phải cài quai.</v>
      </c>
      <c r="J274" t="str">
        <f>SUBSTITUTE(IF(OR(LEFT(A278,3)="Câu",I274=""),"",IF(B278=0,"",B278)),CHAR(34),CHAR(92)&amp;CHAR(34))</f>
        <v/>
      </c>
      <c r="K274" t="str">
        <f ca="1">SUBSTITUTE(SUBSTITUTE(SUBSTITUTE(SUBSTITUTE(IFERROR(VLOOKUP("Câu "&amp;D274&amp;".",dapan!$E:$J,6,0),""),"1","A"),"2","B"),"3","C"),"4","D")</f>
        <v>A</v>
      </c>
      <c r="P274">
        <f t="shared" si="19"/>
        <v>68</v>
      </c>
      <c r="Q274" t="str">
        <f t="shared" ca="1" si="20"/>
        <v>{"num":68,"id":68,"q":"Người lái xe, người được chở trên xe mô tô hai bánh, xe mô tô ba bánh, xe gắn máy phải thực hiện quy định nào dưới đây?","opts":{"A":" Đội mũ bảo hiểm theo đúng quy chuẩn kỹ thuật quốc gia và cài quai đúng quy cách.","B":"Người lái xe phải đội mũ bảo hiểm, người được chở trên xe không nhất thiết phải đội mũ bảo hiểm.","C":"Phải đội mũ bảo hiểm nhưng không nhất thiết phải cài quai."},"answer":"A"},</v>
      </c>
    </row>
    <row r="275" spans="1:17" hidden="1" x14ac:dyDescent="0.25">
      <c r="A275">
        <v>1</v>
      </c>
      <c r="B275" t="s">
        <v>244</v>
      </c>
      <c r="C275">
        <f>IFERROR(COUNTIFS($A$1:A275,"Câu "&amp;"*")-MID(A275,5,FIND(".",A275,1)-5),0)</f>
        <v>0</v>
      </c>
      <c r="D275" t="str">
        <f t="shared" si="18"/>
        <v/>
      </c>
      <c r="E275" t="str">
        <f>SUBSTITUTE(IF(LEFT(A275,3)="Câu",MID(A275,FIND(".",A275,1)+2,LEN(A275)),""),CHAR(34),CHAR(92)&amp;CHAR(34))</f>
        <v/>
      </c>
      <c r="G275" t="str">
        <f>SUBSTITUTE(B276,CHAR(34),CHAR(92)&amp;CHAR(34))</f>
        <v>Người lái xe phải đội mũ bảo hiểm, người được chở trên xe không nhất thiết phải đội mũ bảo hiểm.</v>
      </c>
      <c r="H275" t="str">
        <f>SUBSTITUTE(B277,CHAR(34),CHAR(92)&amp;CHAR(34))</f>
        <v>Phải đội mũ bảo hiểm nhưng không nhất thiết phải cài quai.</v>
      </c>
      <c r="I275" t="str">
        <f>SUBSTITUTE(IF(LEFT(A278,3)="Câu","",B278),CHAR(34),CHAR(92)&amp;CHAR(34))</f>
        <v/>
      </c>
      <c r="J275" t="str">
        <f>SUBSTITUTE(IF(OR(LEFT(A279,3)="Câu",I275=""),"",IF(B279=0,"",B279)),CHAR(34),CHAR(92)&amp;CHAR(34))</f>
        <v/>
      </c>
      <c r="K275" t="str">
        <f>SUBSTITUTE(SUBSTITUTE(SUBSTITUTE(SUBSTITUTE(IFERROR(VLOOKUP("Câu "&amp;D275&amp;".",dapan!$E:$J,6,0),""),"1","A"),"2","B"),"3","C"),"4","D")</f>
        <v/>
      </c>
      <c r="P275" t="str">
        <f t="shared" si="19"/>
        <v/>
      </c>
      <c r="Q275" t="str">
        <f t="shared" si="20"/>
        <v/>
      </c>
    </row>
    <row r="276" spans="1:17" hidden="1" x14ac:dyDescent="0.25">
      <c r="A276">
        <v>2</v>
      </c>
      <c r="B276" t="s">
        <v>245</v>
      </c>
      <c r="C276">
        <f>IFERROR(COUNTIFS($A$1:A276,"Câu "&amp;"*")-MID(A276,5,FIND(".",A276,1)-5),0)</f>
        <v>0</v>
      </c>
      <c r="D276" t="str">
        <f t="shared" si="18"/>
        <v/>
      </c>
      <c r="E276" t="str">
        <f>SUBSTITUTE(IF(LEFT(A276,3)="Câu",MID(A276,FIND(".",A276,1)+2,LEN(A276)),""),CHAR(34),CHAR(92)&amp;CHAR(34))</f>
        <v/>
      </c>
      <c r="G276" t="str">
        <f>SUBSTITUTE(B277,CHAR(34),CHAR(92)&amp;CHAR(34))</f>
        <v>Phải đội mũ bảo hiểm nhưng không nhất thiết phải cài quai.</v>
      </c>
      <c r="H276" t="str">
        <f>SUBSTITUTE(B278,CHAR(34),CHAR(92)&amp;CHAR(34))</f>
        <v/>
      </c>
      <c r="I276" t="str">
        <f>SUBSTITUTE(IF(LEFT(A279,3)="Câu","",B279),CHAR(34),CHAR(92)&amp;CHAR(34))</f>
        <v xml:space="preserve"> Chở người bệnh đi cấp cứu; áp giải người có hành vi vi phạm pháp luật; trẻ em dưới 12 tuổi; người già yếu hoặc người khuyết tật.</v>
      </c>
      <c r="J276" t="str">
        <f>SUBSTITUTE(IF(OR(LEFT(A280,3)="Câu",I276=""),"",IF(B280=0,"",B280)),CHAR(34),CHAR(92)&amp;CHAR(34))</f>
        <v>Người đã uống rượu, bia; người trong cơ thể có chất ma tuý.</v>
      </c>
      <c r="K276" t="str">
        <f>SUBSTITUTE(SUBSTITUTE(SUBSTITUTE(SUBSTITUTE(IFERROR(VLOOKUP("Câu "&amp;D276&amp;".",dapan!$E:$J,6,0),""),"1","A"),"2","B"),"3","C"),"4","D")</f>
        <v/>
      </c>
      <c r="P276" t="str">
        <f t="shared" si="19"/>
        <v/>
      </c>
      <c r="Q276" t="str">
        <f t="shared" si="20"/>
        <v/>
      </c>
    </row>
    <row r="277" spans="1:17" hidden="1" x14ac:dyDescent="0.25">
      <c r="A277">
        <v>3</v>
      </c>
      <c r="B277" t="s">
        <v>246</v>
      </c>
      <c r="C277">
        <f>IFERROR(COUNTIFS($A$1:A277,"Câu "&amp;"*")-MID(A277,5,FIND(".",A277,1)-5),0)</f>
        <v>0</v>
      </c>
      <c r="D277" t="str">
        <f t="shared" si="18"/>
        <v/>
      </c>
      <c r="E277" t="str">
        <f>SUBSTITUTE(IF(LEFT(A277,3)="Câu",MID(A277,FIND(".",A277,1)+2,LEN(A277)),""),CHAR(34),CHAR(92)&amp;CHAR(34))</f>
        <v/>
      </c>
      <c r="G277" t="str">
        <f>SUBSTITUTE(B278,CHAR(34),CHAR(92)&amp;CHAR(34))</f>
        <v/>
      </c>
      <c r="H277" t="str">
        <f>SUBSTITUTE(B279,CHAR(34),CHAR(92)&amp;CHAR(34))</f>
        <v xml:space="preserve"> Chở người bệnh đi cấp cứu; áp giải người có hành vi vi phạm pháp luật; trẻ em dưới 12 tuổi; người già yếu hoặc người khuyết tật.</v>
      </c>
      <c r="I277" t="str">
        <f>SUBSTITUTE(IF(LEFT(A280,3)="Câu","",B280),CHAR(34),CHAR(92)&amp;CHAR(34))</f>
        <v>Người đã uống rượu, bia; người trong cơ thể có chất ma tuý.</v>
      </c>
      <c r="J277" t="str">
        <f>SUBSTITUTE(IF(OR(LEFT(A281,3)="Câu",I277=""),"",IF(B281=0,"",B281)),CHAR(34),CHAR(92)&amp;CHAR(34))</f>
        <v>Cả hai ý trên.</v>
      </c>
      <c r="K277" t="str">
        <f>SUBSTITUTE(SUBSTITUTE(SUBSTITUTE(SUBSTITUTE(IFERROR(VLOOKUP("Câu "&amp;D277&amp;".",dapan!$E:$J,6,0),""),"1","A"),"2","B"),"3","C"),"4","D")</f>
        <v/>
      </c>
      <c r="P277" t="str">
        <f t="shared" si="19"/>
        <v/>
      </c>
      <c r="Q277" t="str">
        <f t="shared" si="20"/>
        <v/>
      </c>
    </row>
    <row r="278" spans="1:17" x14ac:dyDescent="0.25">
      <c r="A278" t="s">
        <v>247</v>
      </c>
      <c r="C278">
        <f>IFERROR(COUNTIFS($A$1:A278,"Câu "&amp;"*")-MID(A278,5,FIND(".",A278,1)-5),0)</f>
        <v>0</v>
      </c>
      <c r="D278">
        <f t="shared" si="18"/>
        <v>69</v>
      </c>
      <c r="E278" t="str">
        <f>SUBSTITUTE(IF(LEFT(A278,3)="Câu",MID(A278,FIND(".",A278,1)+2,LEN(A278)),""),CHAR(34),CHAR(92)&amp;CHAR(34))</f>
        <v>Người lái xe mô tô hai bánh, xe gắn máy được phép chở tối đa hai người trong những trường hợp nào?</v>
      </c>
      <c r="G278" t="str">
        <f>SUBSTITUTE(B279,CHAR(34),CHAR(92)&amp;CHAR(34))</f>
        <v xml:space="preserve"> Chở người bệnh đi cấp cứu; áp giải người có hành vi vi phạm pháp luật; trẻ em dưới 12 tuổi; người già yếu hoặc người khuyết tật.</v>
      </c>
      <c r="H278" t="str">
        <f>SUBSTITUTE(B280,CHAR(34),CHAR(92)&amp;CHAR(34))</f>
        <v>Người đã uống rượu, bia; người trong cơ thể có chất ma tuý.</v>
      </c>
      <c r="I278" t="str">
        <f>SUBSTITUTE(IF(LEFT(A281,3)="Câu","",B281),CHAR(34),CHAR(92)&amp;CHAR(34))</f>
        <v>Cả hai ý trên.</v>
      </c>
      <c r="J278" t="str">
        <f>SUBSTITUTE(IF(OR(LEFT(A282,3)="Câu",I278=""),"",IF(B282=0,"",B282)),CHAR(34),CHAR(92)&amp;CHAR(34))</f>
        <v/>
      </c>
      <c r="K278" t="str">
        <f ca="1">SUBSTITUTE(SUBSTITUTE(SUBSTITUTE(SUBSTITUTE(IFERROR(VLOOKUP("Câu "&amp;D278&amp;".",dapan!$E:$J,6,0),""),"1","A"),"2","B"),"3","C"),"4","D")</f>
        <v>A</v>
      </c>
      <c r="P278">
        <f t="shared" si="19"/>
        <v>69</v>
      </c>
      <c r="Q278" t="str">
        <f t="shared" ca="1" si="20"/>
        <v>{"num":69,"id":69,"q":"Người lái xe mô tô hai bánh, xe gắn máy được phép chở tối đa hai người trong những trường hợp nào?","opts":{"A":" Chở người bệnh đi cấp cứu; áp giải người có hành vi vi phạm pháp luật; trẻ em dưới 12 tuổi; người già yếu hoặc người khuyết tật.","B":"Người đã uống rượu, bia; người trong cơ thể có chất ma tuý.","C":"Cả hai ý trên."},"answer":"A"},</v>
      </c>
    </row>
    <row r="279" spans="1:17" hidden="1" x14ac:dyDescent="0.25">
      <c r="A279">
        <v>1</v>
      </c>
      <c r="B279" t="s">
        <v>248</v>
      </c>
      <c r="C279">
        <f>IFERROR(COUNTIFS($A$1:A279,"Câu "&amp;"*")-MID(A279,5,FIND(".",A279,1)-5),0)</f>
        <v>0</v>
      </c>
      <c r="D279" t="str">
        <f t="shared" si="18"/>
        <v/>
      </c>
      <c r="E279" t="str">
        <f>SUBSTITUTE(IF(LEFT(A279,3)="Câu",MID(A279,FIND(".",A279,1)+2,LEN(A279)),""),CHAR(34),CHAR(92)&amp;CHAR(34))</f>
        <v/>
      </c>
      <c r="G279" t="str">
        <f>SUBSTITUTE(B280,CHAR(34),CHAR(92)&amp;CHAR(34))</f>
        <v>Người đã uống rượu, bia; người trong cơ thể có chất ma tuý.</v>
      </c>
      <c r="H279" t="str">
        <f>SUBSTITUTE(B281,CHAR(34),CHAR(92)&amp;CHAR(34))</f>
        <v>Cả hai ý trên.</v>
      </c>
      <c r="I279" t="str">
        <f>SUBSTITUTE(IF(LEFT(A282,3)="Câu","",B282),CHAR(34),CHAR(92)&amp;CHAR(34))</f>
        <v/>
      </c>
      <c r="J279" t="str">
        <f>SUBSTITUTE(IF(OR(LEFT(A283,3)="Câu",I279=""),"",IF(B283=0,"",B283)),CHAR(34),CHAR(92)&amp;CHAR(34))</f>
        <v/>
      </c>
      <c r="K279" t="str">
        <f>SUBSTITUTE(SUBSTITUTE(SUBSTITUTE(SUBSTITUTE(IFERROR(VLOOKUP("Câu "&amp;D279&amp;".",dapan!$E:$J,6,0),""),"1","A"),"2","B"),"3","C"),"4","D")</f>
        <v/>
      </c>
      <c r="P279" t="str">
        <f t="shared" si="19"/>
        <v/>
      </c>
      <c r="Q279" t="str">
        <f t="shared" si="20"/>
        <v/>
      </c>
    </row>
    <row r="280" spans="1:17" hidden="1" x14ac:dyDescent="0.25">
      <c r="A280">
        <v>2</v>
      </c>
      <c r="B280" t="s">
        <v>249</v>
      </c>
      <c r="C280">
        <f>IFERROR(COUNTIFS($A$1:A280,"Câu "&amp;"*")-MID(A280,5,FIND(".",A280,1)-5),0)</f>
        <v>0</v>
      </c>
      <c r="D280" t="str">
        <f t="shared" si="18"/>
        <v/>
      </c>
      <c r="E280" t="str">
        <f>SUBSTITUTE(IF(LEFT(A280,3)="Câu",MID(A280,FIND(".",A280,1)+2,LEN(A280)),""),CHAR(34),CHAR(92)&amp;CHAR(34))</f>
        <v/>
      </c>
      <c r="G280" t="str">
        <f>SUBSTITUTE(B281,CHAR(34),CHAR(92)&amp;CHAR(34))</f>
        <v>Cả hai ý trên.</v>
      </c>
      <c r="H280" t="str">
        <f>SUBSTITUTE(B282,CHAR(34),CHAR(92)&amp;CHAR(34))</f>
        <v/>
      </c>
      <c r="I280" t="str">
        <f>SUBSTITUTE(IF(LEFT(A283,3)="Câu","",B283),CHAR(34),CHAR(92)&amp;CHAR(34))</f>
        <v>Đi xe dàn hàng ngang; buông cả hai tay.</v>
      </c>
      <c r="J280" t="str">
        <f>SUBSTITUTE(IF(OR(LEFT(A284,3)="Câu",I280=""),"",IF(B284=0,"",B284)),CHAR(34),CHAR(92)&amp;CHAR(34))</f>
        <v>Sử dụng xe để kéo, đẩy xe khác, vật khác, dẫn dắt vật nuôi, mang, vác và chở vật cồng kềnh; chở người đứng trên xe, giá đèo hàng hoặc ngồi trên tay lái; xếp hàng hóa trên xe quá giới hạn quy định.</v>
      </c>
      <c r="K280" t="str">
        <f>SUBSTITUTE(SUBSTITUTE(SUBSTITUTE(SUBSTITUTE(IFERROR(VLOOKUP("Câu "&amp;D280&amp;".",dapan!$E:$J,6,0),""),"1","A"),"2","B"),"3","C"),"4","D")</f>
        <v/>
      </c>
      <c r="P280" t="str">
        <f t="shared" si="19"/>
        <v/>
      </c>
      <c r="Q280" t="str">
        <f t="shared" si="20"/>
        <v/>
      </c>
    </row>
    <row r="281" spans="1:17" hidden="1" x14ac:dyDescent="0.25">
      <c r="A281">
        <v>3</v>
      </c>
      <c r="B281" t="s">
        <v>18</v>
      </c>
      <c r="C281">
        <f>IFERROR(COUNTIFS($A$1:A281,"Câu "&amp;"*")-MID(A281,5,FIND(".",A281,1)-5),0)</f>
        <v>0</v>
      </c>
      <c r="D281" t="str">
        <f t="shared" ref="D281:D344" si="21">IF(LEFT(A281,3)="Câu",VALUE(MID(A281,5,FIND(".",A281,1)-5)),"")</f>
        <v/>
      </c>
      <c r="E281" t="str">
        <f>SUBSTITUTE(IF(LEFT(A281,3)="Câu",MID(A281,FIND(".",A281,1)+2,LEN(A281)),""),CHAR(34),CHAR(92)&amp;CHAR(34))</f>
        <v/>
      </c>
      <c r="G281" t="str">
        <f>SUBSTITUTE(B282,CHAR(34),CHAR(92)&amp;CHAR(34))</f>
        <v/>
      </c>
      <c r="H281" t="str">
        <f>SUBSTITUTE(B283,CHAR(34),CHAR(92)&amp;CHAR(34))</f>
        <v>Đi xe dàn hàng ngang; buông cả hai tay.</v>
      </c>
      <c r="I281" t="str">
        <f>SUBSTITUTE(IF(LEFT(A284,3)="Câu","",B284),CHAR(34),CHAR(92)&amp;CHAR(34))</f>
        <v>Sử dụng xe để kéo, đẩy xe khác, vật khác, dẫn dắt vật nuôi, mang, vác và chở vật cồng kềnh; chở người đứng trên xe, giá đèo hàng hoặc ngồi trên tay lái; xếp hàng hóa trên xe quá giới hạn quy định.</v>
      </c>
      <c r="J281" t="str">
        <f>SUBSTITUTE(IF(OR(LEFT(A285,3)="Câu",I281=""),"",IF(B285=0,"",B285)),CHAR(34),CHAR(92)&amp;CHAR(34))</f>
        <v>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v>
      </c>
      <c r="K281" t="str">
        <f>SUBSTITUTE(SUBSTITUTE(SUBSTITUTE(SUBSTITUTE(IFERROR(VLOOKUP("Câu "&amp;D281&amp;".",dapan!$E:$J,6,0),""),"1","A"),"2","B"),"3","C"),"4","D")</f>
        <v/>
      </c>
      <c r="P281" t="str">
        <f t="shared" si="19"/>
        <v/>
      </c>
      <c r="Q281" t="str">
        <f t="shared" si="20"/>
        <v/>
      </c>
    </row>
    <row r="282" spans="1:17" x14ac:dyDescent="0.25">
      <c r="A282" t="s">
        <v>250</v>
      </c>
      <c r="C282">
        <f>IFERROR(COUNTIFS($A$1:A282,"Câu "&amp;"*")-MID(A282,5,FIND(".",A282,1)-5),0)</f>
        <v>0</v>
      </c>
      <c r="D282">
        <f t="shared" si="21"/>
        <v>70</v>
      </c>
      <c r="E282" t="str">
        <f>SUBSTITUTE(IF(LEFT(A282,3)="Câu",MID(A282,FIND(".",A282,1)+2,LEN(A282)),""),CHAR(34),CHAR(92)&amp;CHAR(34))</f>
        <v>Người lái xe mô tô hai bánh, xe mô tô ba bánh, xe gắn máy không được thực hiện các hành vi nào dưới đây?</v>
      </c>
      <c r="G282" t="str">
        <f>SUBSTITUTE(B283,CHAR(34),CHAR(92)&amp;CHAR(34))</f>
        <v>Đi xe dàn hàng ngang; buông cả hai tay.</v>
      </c>
      <c r="H282" t="str">
        <f>SUBSTITUTE(B284,CHAR(34),CHAR(92)&amp;CHAR(34))</f>
        <v>Sử dụng xe để kéo, đẩy xe khác, vật khác, dẫn dắt vật nuôi, mang, vác và chở vật cồng kềnh; chở người đứng trên xe, giá đèo hàng hoặc ngồi trên tay lái; xếp hàng hóa trên xe quá giới hạn quy định.</v>
      </c>
      <c r="I282" t="str">
        <f>SUBSTITUTE(IF(LEFT(A285,3)="Câu","",B285),CHAR(34),CHAR(92)&amp;CHAR(34))</f>
        <v>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v>
      </c>
      <c r="J282" t="str">
        <f>SUBSTITUTE(IF(OR(LEFT(A286,3)="Câu",I282=""),"",IF(B286=0,"",B286)),CHAR(34),CHAR(92)&amp;CHAR(34))</f>
        <v xml:space="preserve"> Cả ba ý trên.</v>
      </c>
      <c r="K282" t="str">
        <f ca="1">SUBSTITUTE(SUBSTITUTE(SUBSTITUTE(SUBSTITUTE(IFERROR(VLOOKUP("Câu "&amp;D282&amp;".",dapan!$E:$J,6,0),""),"1","A"),"2","B"),"3","C"),"4","D")</f>
        <v>D</v>
      </c>
      <c r="P282">
        <f t="shared" si="19"/>
        <v>70</v>
      </c>
      <c r="Q282" t="str">
        <f t="shared" ca="1" si="20"/>
        <v>{"num":70,"id":70,"q":"Người lái xe mô tô hai bánh, xe mô tô ba bánh, xe gắn máy không được thực hiện các hành vi nào dưới đây?","opts":{"A":"Đi xe dàn hàng ngang; buông cả hai tay.","B":"Sử dụng xe để kéo, đẩy xe khác, vật khác, dẫn dắt vật nuôi, mang, vác và chở vật cồng kềnh; chở người đứng trên xe, giá đèo hàng hoặc ngồi trên tay lái; xếp hàng hóa trên xe quá giới hạn quy định.","C":"Ngồi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chạy.","D":" Cả ba ý trên."},"answer":"D"},</v>
      </c>
    </row>
    <row r="283" spans="1:17" hidden="1" x14ac:dyDescent="0.25">
      <c r="A283">
        <v>1</v>
      </c>
      <c r="B283" t="s">
        <v>251</v>
      </c>
      <c r="C283">
        <f>IFERROR(COUNTIFS($A$1:A283,"Câu "&amp;"*")-MID(A283,5,FIND(".",A283,1)-5),0)</f>
        <v>0</v>
      </c>
      <c r="D283" t="str">
        <f t="shared" si="21"/>
        <v/>
      </c>
      <c r="E283" t="str">
        <f>SUBSTITUTE(IF(LEFT(A283,3)="Câu",MID(A283,FIND(".",A283,1)+2,LEN(A283)),""),CHAR(34),CHAR(92)&amp;CHAR(34))</f>
        <v/>
      </c>
      <c r="G283" t="str">
        <f>SUBSTITUTE(B284,CHAR(34),CHAR(92)&amp;CHAR(34))</f>
        <v>Sử dụng xe để kéo, đẩy xe khác, vật khác, dẫn dắt vật nuôi, mang, vác và chở vật cồng kềnh; chở người đứng trên xe, giá đèo hàng hoặc ngồi trên tay lái; xếp hàng hóa trên xe quá giới hạn quy định.</v>
      </c>
      <c r="H283" t="str">
        <f>SUBSTITUTE(B285,CHAR(34),CHAR(92)&amp;CHAR(34))</f>
        <v>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v>
      </c>
      <c r="I283" t="str">
        <f>SUBSTITUTE(IF(LEFT(A286,3)="Câu","",B286),CHAR(34),CHAR(92)&amp;CHAR(34))</f>
        <v xml:space="preserve"> Cả ba ý trên.</v>
      </c>
      <c r="J283" t="str">
        <f>SUBSTITUTE(IF(OR(LEFT(A287,3)="Câu",I283=""),"",IF(B287=0,"",B287)),CHAR(34),CHAR(92)&amp;CHAR(34))</f>
        <v/>
      </c>
      <c r="K283" t="str">
        <f>SUBSTITUTE(SUBSTITUTE(SUBSTITUTE(SUBSTITUTE(IFERROR(VLOOKUP("Câu "&amp;D283&amp;".",dapan!$E:$J,6,0),""),"1","A"),"2","B"),"3","C"),"4","D")</f>
        <v/>
      </c>
      <c r="P283" t="str">
        <f t="shared" si="19"/>
        <v/>
      </c>
      <c r="Q283" t="str">
        <f t="shared" si="20"/>
        <v/>
      </c>
    </row>
    <row r="284" spans="1:17" hidden="1" x14ac:dyDescent="0.25">
      <c r="A284">
        <v>2</v>
      </c>
      <c r="B284" t="s">
        <v>252</v>
      </c>
      <c r="C284">
        <f>IFERROR(COUNTIFS($A$1:A284,"Câu "&amp;"*")-MID(A284,5,FIND(".",A284,1)-5),0)</f>
        <v>0</v>
      </c>
      <c r="D284" t="str">
        <f t="shared" si="21"/>
        <v/>
      </c>
      <c r="E284" t="str">
        <f>SUBSTITUTE(IF(LEFT(A284,3)="Câu",MID(A284,FIND(".",A284,1)+2,LEN(A284)),""),CHAR(34),CHAR(92)&amp;CHAR(34))</f>
        <v/>
      </c>
      <c r="G284" t="str">
        <f>SUBSTITUTE(B285,CHAR(34),CHAR(92)&amp;CHAR(34))</f>
        <v>Ngồi về một bên điều khiển xe; đứng, nằm trên xe điều khiển xe; thay người lái xe khi xe đang chạy; quay người về phía sau để điều khiển xe hoặc bịt mắt điều khiển xe; sử dụng chân chống hoặc vật khác quệt xuống đường khi xe đang chạy.</v>
      </c>
      <c r="H284" t="str">
        <f>SUBSTITUTE(B286,CHAR(34),CHAR(92)&amp;CHAR(34))</f>
        <v xml:space="preserve"> Cả ba ý trên.</v>
      </c>
      <c r="I284" t="str">
        <f>SUBSTITUTE(IF(LEFT(A287,3)="Câu","",B287),CHAR(34),CHAR(92)&amp;CHAR(34))</f>
        <v/>
      </c>
      <c r="J284" t="str">
        <f>SUBSTITUTE(IF(OR(LEFT(A288,3)="Câu",I284=""),"",IF(B288=0,"",B288)),CHAR(34),CHAR(92)&amp;CHAR(34))</f>
        <v/>
      </c>
      <c r="K284" t="str">
        <f>SUBSTITUTE(SUBSTITUTE(SUBSTITUTE(SUBSTITUTE(IFERROR(VLOOKUP("Câu "&amp;D284&amp;".",dapan!$E:$J,6,0),""),"1","A"),"2","B"),"3","C"),"4","D")</f>
        <v/>
      </c>
      <c r="P284" t="str">
        <f t="shared" si="19"/>
        <v/>
      </c>
      <c r="Q284" t="str">
        <f t="shared" si="20"/>
        <v/>
      </c>
    </row>
    <row r="285" spans="1:17" hidden="1" x14ac:dyDescent="0.25">
      <c r="A285">
        <v>3</v>
      </c>
      <c r="B285" t="s">
        <v>253</v>
      </c>
      <c r="C285">
        <f>IFERROR(COUNTIFS($A$1:A285,"Câu "&amp;"*")-MID(A285,5,FIND(".",A285,1)-5),0)</f>
        <v>0</v>
      </c>
      <c r="D285" t="str">
        <f t="shared" si="21"/>
        <v/>
      </c>
      <c r="E285" t="str">
        <f>SUBSTITUTE(IF(LEFT(A285,3)="Câu",MID(A285,FIND(".",A285,1)+2,LEN(A285)),""),CHAR(34),CHAR(92)&amp;CHAR(34))</f>
        <v/>
      </c>
      <c r="G285" t="str">
        <f>SUBSTITUTE(B286,CHAR(34),CHAR(92)&amp;CHAR(34))</f>
        <v xml:space="preserve"> Cả ba ý trên.</v>
      </c>
      <c r="H285" t="str">
        <f>SUBSTITUTE(B287,CHAR(34),CHAR(92)&amp;CHAR(34))</f>
        <v/>
      </c>
      <c r="I285" t="str">
        <f>SUBSTITUTE(IF(LEFT(A288,3)="Câu","",B288),CHAR(34),CHAR(92)&amp;CHAR(34))</f>
        <v>Đi xe dàn hàng ngang; đi xe vào phần đường dành cho người đi bộ và phương tiện khác.</v>
      </c>
      <c r="J285" t="str">
        <f>SUBSTITUTE(IF(OR(LEFT(A289,3)="Câu",I285=""),"",IF(B289=0,"",B289)),CHAR(34),CHAR(92)&amp;CHAR(34))</f>
        <v>Sử dụng ô, thiết bị âm thanh, trừ thiết bị trợ thính.</v>
      </c>
      <c r="K285" t="str">
        <f>SUBSTITUTE(SUBSTITUTE(SUBSTITUTE(SUBSTITUTE(IFERROR(VLOOKUP("Câu "&amp;D285&amp;".",dapan!$E:$J,6,0),""),"1","A"),"2","B"),"3","C"),"4","D")</f>
        <v/>
      </c>
      <c r="P285" t="str">
        <f t="shared" si="19"/>
        <v/>
      </c>
      <c r="Q285" t="str">
        <f t="shared" si="20"/>
        <v/>
      </c>
    </row>
    <row r="286" spans="1:17" hidden="1" x14ac:dyDescent="0.25">
      <c r="A286">
        <v>4</v>
      </c>
      <c r="B286" t="s">
        <v>89</v>
      </c>
      <c r="C286">
        <f>IFERROR(COUNTIFS($A$1:A286,"Câu "&amp;"*")-MID(A286,5,FIND(".",A286,1)-5),0)</f>
        <v>0</v>
      </c>
      <c r="D286" t="str">
        <f t="shared" si="21"/>
        <v/>
      </c>
      <c r="E286" t="str">
        <f>SUBSTITUTE(IF(LEFT(A286,3)="Câu",MID(A286,FIND(".",A286,1)+2,LEN(A286)),""),CHAR(34),CHAR(92)&amp;CHAR(34))</f>
        <v/>
      </c>
      <c r="G286" t="str">
        <f>SUBSTITUTE(B287,CHAR(34),CHAR(92)&amp;CHAR(34))</f>
        <v/>
      </c>
      <c r="H286" t="str">
        <f>SUBSTITUTE(B288,CHAR(34),CHAR(92)&amp;CHAR(34))</f>
        <v>Đi xe dàn hàng ngang; đi xe vào phần đường dành cho người đi bộ và phương tiện khác.</v>
      </c>
      <c r="I286" t="str">
        <f>SUBSTITUTE(IF(LEFT(A289,3)="Câu","",B289),CHAR(34),CHAR(92)&amp;CHAR(34))</f>
        <v>Sử dụng ô, thiết bị âm thanh, trừ thiết bị trợ thính.</v>
      </c>
      <c r="J286" t="str">
        <f>SUBSTITUTE(IF(OR(LEFT(A290,3)="Câu",I286=""),"",IF(B290=0,"",B290)),CHAR(34),CHAR(92)&amp;CHAR(34))</f>
        <v xml:space="preserve"> Cả hai ý trên.</v>
      </c>
      <c r="K286" t="str">
        <f>SUBSTITUTE(SUBSTITUTE(SUBSTITUTE(SUBSTITUTE(IFERROR(VLOOKUP("Câu "&amp;D286&amp;".",dapan!$E:$J,6,0),""),"1","A"),"2","B"),"3","C"),"4","D")</f>
        <v/>
      </c>
      <c r="P286" t="str">
        <f t="shared" si="19"/>
        <v/>
      </c>
      <c r="Q286" t="str">
        <f t="shared" si="20"/>
        <v/>
      </c>
    </row>
    <row r="287" spans="1:17" x14ac:dyDescent="0.25">
      <c r="A287" t="s">
        <v>254</v>
      </c>
      <c r="C287">
        <f>IFERROR(COUNTIFS($A$1:A287,"Câu "&amp;"*")-MID(A287,5,FIND(".",A287,1)-5),0)</f>
        <v>0</v>
      </c>
      <c r="D287">
        <f t="shared" si="21"/>
        <v>71</v>
      </c>
      <c r="E287" t="str">
        <f>SUBSTITUTE(IF(LEFT(A287,3)="Câu",MID(A287,FIND(".",A287,1)+2,LEN(A287)),""),CHAR(34),CHAR(92)&amp;CHAR(34))</f>
        <v>Người lái xe mô tô hai bánh, xe mô tô ba bánh, xe gắn máy không được thực hiện các hành vi nào sau đây?</v>
      </c>
      <c r="G287" t="str">
        <f>SUBSTITUTE(B288,CHAR(34),CHAR(92)&amp;CHAR(34))</f>
        <v>Đi xe dàn hàng ngang; đi xe vào phần đường dành cho người đi bộ và phương tiện khác.</v>
      </c>
      <c r="H287" t="str">
        <f>SUBSTITUTE(B289,CHAR(34),CHAR(92)&amp;CHAR(34))</f>
        <v>Sử dụng ô, thiết bị âm thanh, trừ thiết bị trợ thính.</v>
      </c>
      <c r="I287" t="str">
        <f>SUBSTITUTE(IF(LEFT(A290,3)="Câu","",B290),CHAR(34),CHAR(92)&amp;CHAR(34))</f>
        <v xml:space="preserve"> Cả hai ý trên.</v>
      </c>
      <c r="J287" t="str">
        <f>SUBSTITUTE(IF(OR(LEFT(A291,3)="Câu",I287=""),"",IF(B291=0,"",B291)),CHAR(34),CHAR(92)&amp;CHAR(34))</f>
        <v/>
      </c>
      <c r="K287" t="str">
        <f ca="1">SUBSTITUTE(SUBSTITUTE(SUBSTITUTE(SUBSTITUTE(IFERROR(VLOOKUP("Câu "&amp;D287&amp;".",dapan!$E:$J,6,0),""),"1","A"),"2","B"),"3","C"),"4","D")</f>
        <v>C</v>
      </c>
      <c r="P287">
        <f t="shared" si="19"/>
        <v>71</v>
      </c>
      <c r="Q287" t="str">
        <f t="shared" ca="1" si="20"/>
        <v>{"num":71,"id":71,"q":"Người lái xe mô tô hai bánh, xe mô tô ba bánh, xe gắn máy không được thực hiện các hành vi nào sau đây?","opts":{"A":"Đi xe dàn hàng ngang; đi xe vào phần đường dành cho người đi bộ và phương tiện khác.","B":"Sử dụng ô, thiết bị âm thanh, trừ thiết bị trợ thính.","C":" Cả hai ý trên."},"answer":"C"},</v>
      </c>
    </row>
    <row r="288" spans="1:17" hidden="1" x14ac:dyDescent="0.25">
      <c r="A288">
        <v>1</v>
      </c>
      <c r="B288" t="s">
        <v>255</v>
      </c>
      <c r="C288">
        <f>IFERROR(COUNTIFS($A$1:A288,"Câu "&amp;"*")-MID(A288,5,FIND(".",A288,1)-5),0)</f>
        <v>0</v>
      </c>
      <c r="D288" t="str">
        <f t="shared" si="21"/>
        <v/>
      </c>
      <c r="E288" t="str">
        <f>SUBSTITUTE(IF(LEFT(A288,3)="Câu",MID(A288,FIND(".",A288,1)+2,LEN(A288)),""),CHAR(34),CHAR(92)&amp;CHAR(34))</f>
        <v/>
      </c>
      <c r="G288" t="str">
        <f>SUBSTITUTE(B289,CHAR(34),CHAR(92)&amp;CHAR(34))</f>
        <v>Sử dụng ô, thiết bị âm thanh, trừ thiết bị trợ thính.</v>
      </c>
      <c r="H288" t="str">
        <f>SUBSTITUTE(B290,CHAR(34),CHAR(92)&amp;CHAR(34))</f>
        <v xml:space="preserve"> Cả hai ý trên.</v>
      </c>
      <c r="I288" t="str">
        <f>SUBSTITUTE(IF(LEFT(A291,3)="Câu","",B291),CHAR(34),CHAR(92)&amp;CHAR(34))</f>
        <v/>
      </c>
      <c r="J288" t="str">
        <f>SUBSTITUTE(IF(OR(LEFT(A292,3)="Câu",I288=""),"",IF(B292=0,"",B292)),CHAR(34),CHAR(92)&amp;CHAR(34))</f>
        <v/>
      </c>
      <c r="K288" t="str">
        <f>SUBSTITUTE(SUBSTITUTE(SUBSTITUTE(SUBSTITUTE(IFERROR(VLOOKUP("Câu "&amp;D288&amp;".",dapan!$E:$J,6,0),""),"1","A"),"2","B"),"3","C"),"4","D")</f>
        <v/>
      </c>
      <c r="P288" t="str">
        <f t="shared" si="19"/>
        <v/>
      </c>
      <c r="Q288" t="str">
        <f t="shared" si="20"/>
        <v/>
      </c>
    </row>
    <row r="289" spans="1:17" hidden="1" x14ac:dyDescent="0.25">
      <c r="A289">
        <v>2</v>
      </c>
      <c r="B289" t="s">
        <v>256</v>
      </c>
      <c r="C289">
        <f>IFERROR(COUNTIFS($A$1:A289,"Câu "&amp;"*")-MID(A289,5,FIND(".",A289,1)-5),0)</f>
        <v>0</v>
      </c>
      <c r="D289" t="str">
        <f t="shared" si="21"/>
        <v/>
      </c>
      <c r="E289" t="str">
        <f>SUBSTITUTE(IF(LEFT(A289,3)="Câu",MID(A289,FIND(".",A289,1)+2,LEN(A289)),""),CHAR(34),CHAR(92)&amp;CHAR(34))</f>
        <v/>
      </c>
      <c r="G289" t="str">
        <f>SUBSTITUTE(B290,CHAR(34),CHAR(92)&amp;CHAR(34))</f>
        <v xml:space="preserve"> Cả hai ý trên.</v>
      </c>
      <c r="H289" t="str">
        <f>SUBSTITUTE(B291,CHAR(34),CHAR(92)&amp;CHAR(34))</f>
        <v/>
      </c>
      <c r="I289" t="str">
        <f>SUBSTITUTE(IF(LEFT(A292,3)="Câu","",B292),CHAR(34),CHAR(92)&amp;CHAR(34))</f>
        <v>Đi trên phần đường, làn đường quy định, chấp hành hiệu lệnh của người điều khiển giao thông, đèn tín hiệu giao thông.</v>
      </c>
      <c r="J289" t="str">
        <f>SUBSTITUTE(IF(OR(LEFT(A293,3)="Câu",I289=""),"",IF(B293=0,"",B293)),CHAR(34),CHAR(92)&amp;CHAR(34))</f>
        <v xml:space="preserve"> Đi xe dàn hàng ngang, đi xe vào phần đường dành cho người đi bộ.</v>
      </c>
      <c r="K289" t="str">
        <f>SUBSTITUTE(SUBSTITUTE(SUBSTITUTE(SUBSTITUTE(IFERROR(VLOOKUP("Câu "&amp;D289&amp;".",dapan!$E:$J,6,0),""),"1","A"),"2","B"),"3","C"),"4","D")</f>
        <v/>
      </c>
      <c r="P289" t="str">
        <f t="shared" si="19"/>
        <v/>
      </c>
      <c r="Q289" t="str">
        <f t="shared" si="20"/>
        <v/>
      </c>
    </row>
    <row r="290" spans="1:17" hidden="1" x14ac:dyDescent="0.25">
      <c r="A290">
        <v>3</v>
      </c>
      <c r="B290" t="s">
        <v>32</v>
      </c>
      <c r="C290">
        <f>IFERROR(COUNTIFS($A$1:A290,"Câu "&amp;"*")-MID(A290,5,FIND(".",A290,1)-5),0)</f>
        <v>0</v>
      </c>
      <c r="D290" t="str">
        <f t="shared" si="21"/>
        <v/>
      </c>
      <c r="E290" t="str">
        <f>SUBSTITUTE(IF(LEFT(A290,3)="Câu",MID(A290,FIND(".",A290,1)+2,LEN(A290)),""),CHAR(34),CHAR(92)&amp;CHAR(34))</f>
        <v/>
      </c>
      <c r="G290" t="str">
        <f>SUBSTITUTE(B291,CHAR(34),CHAR(92)&amp;CHAR(34))</f>
        <v/>
      </c>
      <c r="H290" t="str">
        <f>SUBSTITUTE(B292,CHAR(34),CHAR(92)&amp;CHAR(34))</f>
        <v>Đi trên phần đường, làn đường quy định, chấp hành hiệu lệnh của người điều khiển giao thông, đèn tín hiệu giao thông.</v>
      </c>
      <c r="I290" t="str">
        <f>SUBSTITUTE(IF(LEFT(A293,3)="Câu","",B293),CHAR(34),CHAR(92)&amp;CHAR(34))</f>
        <v xml:space="preserve"> Đi xe dàn hàng ngang, đi xe vào phần đường dành cho người đi bộ.</v>
      </c>
      <c r="J290" t="str">
        <f>SUBSTITUTE(IF(OR(LEFT(A294,3)="Câu",I290=""),"",IF(B294=0,"",B294)),CHAR(34),CHAR(92)&amp;CHAR(34))</f>
        <v>Cả hai ý trên.</v>
      </c>
      <c r="K290" t="str">
        <f>SUBSTITUTE(SUBSTITUTE(SUBSTITUTE(SUBSTITUTE(IFERROR(VLOOKUP("Câu "&amp;D290&amp;".",dapan!$E:$J,6,0),""),"1","A"),"2","B"),"3","C"),"4","D")</f>
        <v/>
      </c>
      <c r="P290" t="str">
        <f t="shared" si="19"/>
        <v/>
      </c>
      <c r="Q290" t="str">
        <f t="shared" si="20"/>
        <v/>
      </c>
    </row>
    <row r="291" spans="1:17" x14ac:dyDescent="0.25">
      <c r="A291" t="s">
        <v>257</v>
      </c>
      <c r="C291">
        <f>IFERROR(COUNTIFS($A$1:A291,"Câu "&amp;"*")-MID(A291,5,FIND(".",A291,1)-5),0)</f>
        <v>0</v>
      </c>
      <c r="D291">
        <f t="shared" si="21"/>
        <v>72</v>
      </c>
      <c r="E291" t="str">
        <f>SUBSTITUTE(IF(LEFT(A291,3)="Câu",MID(A291,FIND(".",A291,1)+2,LEN(A291)),""),CHAR(34),CHAR(92)&amp;CHAR(34))</f>
        <v>Người lái xe mô tô hai bánh, xe mô tô ba bánh, xe gắn máy không được thực hiện hành vi nào sau đây?</v>
      </c>
      <c r="G291" t="str">
        <f>SUBSTITUTE(B292,CHAR(34),CHAR(92)&amp;CHAR(34))</f>
        <v>Đi trên phần đường, làn đường quy định, chấp hành hiệu lệnh của người điều khiển giao thông, đèn tín hiệu giao thông.</v>
      </c>
      <c r="H291" t="str">
        <f>SUBSTITUTE(B293,CHAR(34),CHAR(92)&amp;CHAR(34))</f>
        <v xml:space="preserve"> Đi xe dàn hàng ngang, đi xe vào phần đường dành cho người đi bộ.</v>
      </c>
      <c r="I291" t="str">
        <f>SUBSTITUTE(IF(LEFT(A294,3)="Câu","",B294),CHAR(34),CHAR(92)&amp;CHAR(34))</f>
        <v>Cả hai ý trên.</v>
      </c>
      <c r="J291" t="str">
        <f>SUBSTITUTE(IF(OR(LEFT(A295,3)="Câu",I291=""),"",IF(B295=0,"",B295)),CHAR(34),CHAR(92)&amp;CHAR(34))</f>
        <v/>
      </c>
      <c r="K291" t="str">
        <f ca="1">SUBSTITUTE(SUBSTITUTE(SUBSTITUTE(SUBSTITUTE(IFERROR(VLOOKUP("Câu "&amp;D291&amp;".",dapan!$E:$J,6,0),""),"1","A"),"2","B"),"3","C"),"4","D")</f>
        <v>B</v>
      </c>
      <c r="P291">
        <f t="shared" si="19"/>
        <v>72</v>
      </c>
      <c r="Q291" t="str">
        <f t="shared" ca="1" si="20"/>
        <v>{"num":72,"id":72,"q":"Người lái xe mô tô hai bánh, xe mô tô ba bánh, xe gắn máy không được thực hiện hành vi nào sau đây?","opts":{"A":"Đi trên phần đường, làn đường quy định, chấp hành hiệu lệnh của người điều khiển giao thông, đèn tín hiệu giao thông.","B":" Đi xe dàn hàng ngang, đi xe vào phần đường dành cho người đi bộ.","C":"Cả hai ý trên."},"answer":"B"},</v>
      </c>
    </row>
    <row r="292" spans="1:17" hidden="1" x14ac:dyDescent="0.25">
      <c r="A292">
        <v>1</v>
      </c>
      <c r="B292" t="s">
        <v>258</v>
      </c>
      <c r="C292">
        <f>IFERROR(COUNTIFS($A$1:A292,"Câu "&amp;"*")-MID(A292,5,FIND(".",A292,1)-5),0)</f>
        <v>0</v>
      </c>
      <c r="D292" t="str">
        <f t="shared" si="21"/>
        <v/>
      </c>
      <c r="E292" t="str">
        <f>SUBSTITUTE(IF(LEFT(A292,3)="Câu",MID(A292,FIND(".",A292,1)+2,LEN(A292)),""),CHAR(34),CHAR(92)&amp;CHAR(34))</f>
        <v/>
      </c>
      <c r="G292" t="str">
        <f>SUBSTITUTE(B293,CHAR(34),CHAR(92)&amp;CHAR(34))</f>
        <v xml:space="preserve"> Đi xe dàn hàng ngang, đi xe vào phần đường dành cho người đi bộ.</v>
      </c>
      <c r="H292" t="str">
        <f>SUBSTITUTE(B294,CHAR(34),CHAR(92)&amp;CHAR(34))</f>
        <v>Cả hai ý trên.</v>
      </c>
      <c r="I292" t="str">
        <f>SUBSTITUTE(IF(LEFT(A295,3)="Câu","",B295),CHAR(34),CHAR(92)&amp;CHAR(34))</f>
        <v/>
      </c>
      <c r="J292" t="str">
        <f>SUBSTITUTE(IF(OR(LEFT(A296,3)="Câu",I292=""),"",IF(B296=0,"",B296)),CHAR(34),CHAR(92)&amp;CHAR(34))</f>
        <v/>
      </c>
      <c r="K292" t="str">
        <f>SUBSTITUTE(SUBSTITUTE(SUBSTITUTE(SUBSTITUTE(IFERROR(VLOOKUP("Câu "&amp;D292&amp;".",dapan!$E:$J,6,0),""),"1","A"),"2","B"),"3","C"),"4","D")</f>
        <v/>
      </c>
      <c r="P292" t="str">
        <f t="shared" si="19"/>
        <v/>
      </c>
      <c r="Q292" t="str">
        <f t="shared" si="20"/>
        <v/>
      </c>
    </row>
    <row r="293" spans="1:17" hidden="1" x14ac:dyDescent="0.25">
      <c r="A293">
        <v>2</v>
      </c>
      <c r="B293" t="s">
        <v>259</v>
      </c>
      <c r="C293">
        <f>IFERROR(COUNTIFS($A$1:A293,"Câu "&amp;"*")-MID(A293,5,FIND(".",A293,1)-5),0)</f>
        <v>0</v>
      </c>
      <c r="D293" t="str">
        <f t="shared" si="21"/>
        <v/>
      </c>
      <c r="E293" t="str">
        <f>SUBSTITUTE(IF(LEFT(A293,3)="Câu",MID(A293,FIND(".",A293,1)+2,LEN(A293)),""),CHAR(34),CHAR(92)&amp;CHAR(34))</f>
        <v/>
      </c>
      <c r="G293" t="str">
        <f>SUBSTITUTE(B294,CHAR(34),CHAR(92)&amp;CHAR(34))</f>
        <v>Cả hai ý trên.</v>
      </c>
      <c r="H293" t="str">
        <f>SUBSTITUTE(B295,CHAR(34),CHAR(92)&amp;CHAR(34))</f>
        <v/>
      </c>
      <c r="I293" t="str">
        <f>SUBSTITUTE(IF(LEFT(A296,3)="Câu","",B296),CHAR(34),CHAR(92)&amp;CHAR(34))</f>
        <v>Được sử dụng.</v>
      </c>
      <c r="J293" t="str">
        <f>SUBSTITUTE(IF(OR(LEFT(A297,3)="Câu",I293=""),"",IF(B297=0,"",B297)),CHAR(34),CHAR(92)&amp;CHAR(34))</f>
        <v>Chỉ người ngồi sau được sử dụng.</v>
      </c>
      <c r="K293" t="str">
        <f>SUBSTITUTE(SUBSTITUTE(SUBSTITUTE(SUBSTITUTE(IFERROR(VLOOKUP("Câu "&amp;D293&amp;".",dapan!$E:$J,6,0),""),"1","A"),"2","B"),"3","C"),"4","D")</f>
        <v/>
      </c>
      <c r="P293" t="str">
        <f t="shared" si="19"/>
        <v/>
      </c>
      <c r="Q293" t="str">
        <f t="shared" si="20"/>
        <v/>
      </c>
    </row>
    <row r="294" spans="1:17" hidden="1" x14ac:dyDescent="0.25">
      <c r="A294">
        <v>3</v>
      </c>
      <c r="B294" t="s">
        <v>18</v>
      </c>
      <c r="C294">
        <f>IFERROR(COUNTIFS($A$1:A294,"Câu "&amp;"*")-MID(A294,5,FIND(".",A294,1)-5),0)</f>
        <v>0</v>
      </c>
      <c r="D294" t="str">
        <f t="shared" si="21"/>
        <v/>
      </c>
      <c r="E294" t="str">
        <f>SUBSTITUTE(IF(LEFT(A294,3)="Câu",MID(A294,FIND(".",A294,1)+2,LEN(A294)),""),CHAR(34),CHAR(92)&amp;CHAR(34))</f>
        <v/>
      </c>
      <c r="G294" t="str">
        <f>SUBSTITUTE(B295,CHAR(34),CHAR(92)&amp;CHAR(34))</f>
        <v/>
      </c>
      <c r="H294" t="str">
        <f>SUBSTITUTE(B296,CHAR(34),CHAR(92)&amp;CHAR(34))</f>
        <v>Được sử dụng.</v>
      </c>
      <c r="I294" t="str">
        <f>SUBSTITUTE(IF(LEFT(A297,3)="Câu","",B297),CHAR(34),CHAR(92)&amp;CHAR(34))</f>
        <v>Chỉ người ngồi sau được sử dụng.</v>
      </c>
      <c r="J294" t="str">
        <f>SUBSTITUTE(IF(OR(LEFT(A298,3)="Câu",I294=""),"",IF(B298=0,"",B298)),CHAR(34),CHAR(92)&amp;CHAR(34))</f>
        <v xml:space="preserve"> Không được sử dụng.</v>
      </c>
      <c r="K294" t="str">
        <f>SUBSTITUTE(SUBSTITUTE(SUBSTITUTE(SUBSTITUTE(IFERROR(VLOOKUP("Câu "&amp;D294&amp;".",dapan!$E:$J,6,0),""),"1","A"),"2","B"),"3","C"),"4","D")</f>
        <v/>
      </c>
      <c r="P294" t="str">
        <f t="shared" si="19"/>
        <v/>
      </c>
      <c r="Q294" t="str">
        <f t="shared" si="20"/>
        <v/>
      </c>
    </row>
    <row r="295" spans="1:17" x14ac:dyDescent="0.25">
      <c r="A295" t="s">
        <v>260</v>
      </c>
      <c r="C295">
        <f>IFERROR(COUNTIFS($A$1:A295,"Câu "&amp;"*")-MID(A295,5,FIND(".",A295,1)-5),0)</f>
        <v>0</v>
      </c>
      <c r="D295">
        <f t="shared" si="21"/>
        <v>73</v>
      </c>
      <c r="E295" t="str">
        <f>SUBSTITUTE(IF(LEFT(A295,3)="Câu",MID(A295,FIND(".",A295,1)+2,LEN(A295)),""),CHAR(34),CHAR(92)&amp;CHAR(34))</f>
        <v>Người được chở trên xe mô tô hai bánh, xe mô tô ba bánh, xe gắn máy khi tham gia giao thông đường bộ có được sử dụng ô khi trời mưa hay không?</v>
      </c>
      <c r="G295" t="str">
        <f>SUBSTITUTE(B296,CHAR(34),CHAR(92)&amp;CHAR(34))</f>
        <v>Được sử dụng.</v>
      </c>
      <c r="H295" t="str">
        <f>SUBSTITUTE(B297,CHAR(34),CHAR(92)&amp;CHAR(34))</f>
        <v>Chỉ người ngồi sau được sử dụng.</v>
      </c>
      <c r="I295" t="str">
        <f>SUBSTITUTE(IF(LEFT(A298,3)="Câu","",B298),CHAR(34),CHAR(92)&amp;CHAR(34))</f>
        <v xml:space="preserve"> Không được sử dụng.</v>
      </c>
      <c r="J295" t="str">
        <f>SUBSTITUTE(IF(OR(LEFT(A299,3)="Câu",I295=""),"",IF(B299=0,"",B299)),CHAR(34),CHAR(92)&amp;CHAR(34))</f>
        <v>Được sử dụng nếu không có áo mưa.</v>
      </c>
      <c r="K295" t="str">
        <f ca="1">SUBSTITUTE(SUBSTITUTE(SUBSTITUTE(SUBSTITUTE(IFERROR(VLOOKUP("Câu "&amp;D295&amp;".",dapan!$E:$J,6,0),""),"1","A"),"2","B"),"3","C"),"4","D")</f>
        <v>C</v>
      </c>
      <c r="P295">
        <f t="shared" si="19"/>
        <v>73</v>
      </c>
      <c r="Q295" t="str">
        <f t="shared" ca="1" si="20"/>
        <v>{"num":73,"id":73,"q":"Người được chở trên xe mô tô hai bánh, xe mô tô ba bánh, xe gắn máy khi tham gia giao thông đường bộ có được sử dụng ô khi trời mưa hay không?","opts":{"A":"Được sử dụng.","B":"Chỉ người ngồi sau được sử dụng.","C":" Không được sử dụng.","D":"Được sử dụng nếu không có áo mưa."},"answer":"C"},</v>
      </c>
    </row>
    <row r="296" spans="1:17" hidden="1" x14ac:dyDescent="0.25">
      <c r="A296">
        <v>1</v>
      </c>
      <c r="B296" t="s">
        <v>261</v>
      </c>
      <c r="C296">
        <f>IFERROR(COUNTIFS($A$1:A296,"Câu "&amp;"*")-MID(A296,5,FIND(".",A296,1)-5),0)</f>
        <v>0</v>
      </c>
      <c r="D296" t="str">
        <f t="shared" si="21"/>
        <v/>
      </c>
      <c r="E296" t="str">
        <f>SUBSTITUTE(IF(LEFT(A296,3)="Câu",MID(A296,FIND(".",A296,1)+2,LEN(A296)),""),CHAR(34),CHAR(92)&amp;CHAR(34))</f>
        <v/>
      </c>
      <c r="G296" t="str">
        <f>SUBSTITUTE(B297,CHAR(34),CHAR(92)&amp;CHAR(34))</f>
        <v>Chỉ người ngồi sau được sử dụng.</v>
      </c>
      <c r="H296" t="str">
        <f>SUBSTITUTE(B298,CHAR(34),CHAR(92)&amp;CHAR(34))</f>
        <v xml:space="preserve"> Không được sử dụng.</v>
      </c>
      <c r="I296" t="str">
        <f>SUBSTITUTE(IF(LEFT(A299,3)="Câu","",B299),CHAR(34),CHAR(92)&amp;CHAR(34))</f>
        <v>Được sử dụng nếu không có áo mưa.</v>
      </c>
      <c r="J296" t="str">
        <f>SUBSTITUTE(IF(OR(LEFT(A300,3)="Câu",I296=""),"",IF(B300=0,"",B300)),CHAR(34),CHAR(92)&amp;CHAR(34))</f>
        <v/>
      </c>
      <c r="K296" t="str">
        <f>SUBSTITUTE(SUBSTITUTE(SUBSTITUTE(SUBSTITUTE(IFERROR(VLOOKUP("Câu "&amp;D296&amp;".",dapan!$E:$J,6,0),""),"1","A"),"2","B"),"3","C"),"4","D")</f>
        <v/>
      </c>
      <c r="P296" t="str">
        <f t="shared" si="19"/>
        <v/>
      </c>
      <c r="Q296" t="str">
        <f t="shared" si="20"/>
        <v/>
      </c>
    </row>
    <row r="297" spans="1:17" hidden="1" x14ac:dyDescent="0.25">
      <c r="A297">
        <v>2</v>
      </c>
      <c r="B297" t="s">
        <v>262</v>
      </c>
      <c r="C297">
        <f>IFERROR(COUNTIFS($A$1:A297,"Câu "&amp;"*")-MID(A297,5,FIND(".",A297,1)-5),0)</f>
        <v>0</v>
      </c>
      <c r="D297" t="str">
        <f t="shared" si="21"/>
        <v/>
      </c>
      <c r="E297" t="str">
        <f>SUBSTITUTE(IF(LEFT(A297,3)="Câu",MID(A297,FIND(".",A297,1)+2,LEN(A297)),""),CHAR(34),CHAR(92)&amp;CHAR(34))</f>
        <v/>
      </c>
      <c r="G297" t="str">
        <f>SUBSTITUTE(B298,CHAR(34),CHAR(92)&amp;CHAR(34))</f>
        <v xml:space="preserve"> Không được sử dụng.</v>
      </c>
      <c r="H297" t="str">
        <f>SUBSTITUTE(B299,CHAR(34),CHAR(92)&amp;CHAR(34))</f>
        <v>Được sử dụng nếu không có áo mưa.</v>
      </c>
      <c r="I297" t="str">
        <f>SUBSTITUTE(IF(LEFT(A300,3)="Câu","",B300),CHAR(34),CHAR(92)&amp;CHAR(34))</f>
        <v/>
      </c>
      <c r="J297" t="str">
        <f>SUBSTITUTE(IF(OR(LEFT(A301,3)="Câu",I297=""),"",IF(B301=0,"",B301)),CHAR(34),CHAR(92)&amp;CHAR(34))</f>
        <v/>
      </c>
      <c r="K297" t="str">
        <f>SUBSTITUTE(SUBSTITUTE(SUBSTITUTE(SUBSTITUTE(IFERROR(VLOOKUP("Câu "&amp;D297&amp;".",dapan!$E:$J,6,0),""),"1","A"),"2","B"),"3","C"),"4","D")</f>
        <v/>
      </c>
      <c r="P297" t="str">
        <f t="shared" si="19"/>
        <v/>
      </c>
      <c r="Q297" t="str">
        <f t="shared" si="20"/>
        <v/>
      </c>
    </row>
    <row r="298" spans="1:17" hidden="1" x14ac:dyDescent="0.25">
      <c r="A298">
        <v>3</v>
      </c>
      <c r="B298" t="s">
        <v>263</v>
      </c>
      <c r="C298">
        <f>IFERROR(COUNTIFS($A$1:A298,"Câu "&amp;"*")-MID(A298,5,FIND(".",A298,1)-5),0)</f>
        <v>0</v>
      </c>
      <c r="D298" t="str">
        <f t="shared" si="21"/>
        <v/>
      </c>
      <c r="E298" t="str">
        <f>SUBSTITUTE(IF(LEFT(A298,3)="Câu",MID(A298,FIND(".",A298,1)+2,LEN(A298)),""),CHAR(34),CHAR(92)&amp;CHAR(34))</f>
        <v/>
      </c>
      <c r="G298" t="str">
        <f>SUBSTITUTE(B299,CHAR(34),CHAR(92)&amp;CHAR(34))</f>
        <v>Được sử dụng nếu không có áo mưa.</v>
      </c>
      <c r="H298" t="str">
        <f>SUBSTITUTE(B300,CHAR(34),CHAR(92)&amp;CHAR(34))</f>
        <v/>
      </c>
      <c r="I298" t="str">
        <f>SUBSTITUTE(IF(LEFT(A301,3)="Câu","",B301),CHAR(34),CHAR(92)&amp;CHAR(34))</f>
        <v>Chỉ được phép nếu cả hai đội mũ bảo hiểm.</v>
      </c>
      <c r="J298" t="str">
        <f>SUBSTITUTE(IF(OR(LEFT(A302,3)="Câu",I298=""),"",IF(B302=0,"",B302)),CHAR(34),CHAR(92)&amp;CHAR(34))</f>
        <v xml:space="preserve"> Không được phép.</v>
      </c>
      <c r="K298" t="str">
        <f>SUBSTITUTE(SUBSTITUTE(SUBSTITUTE(SUBSTITUTE(IFERROR(VLOOKUP("Câu "&amp;D298&amp;".",dapan!$E:$J,6,0),""),"1","A"),"2","B"),"3","C"),"4","D")</f>
        <v/>
      </c>
      <c r="P298" t="str">
        <f t="shared" si="19"/>
        <v/>
      </c>
      <c r="Q298" t="str">
        <f t="shared" si="20"/>
        <v/>
      </c>
    </row>
    <row r="299" spans="1:17" hidden="1" x14ac:dyDescent="0.25">
      <c r="A299">
        <v>4</v>
      </c>
      <c r="B299" t="s">
        <v>264</v>
      </c>
      <c r="C299">
        <f>IFERROR(COUNTIFS($A$1:A299,"Câu "&amp;"*")-MID(A299,5,FIND(".",A299,1)-5),0)</f>
        <v>0</v>
      </c>
      <c r="D299" t="str">
        <f t="shared" si="21"/>
        <v/>
      </c>
      <c r="E299" t="str">
        <f>SUBSTITUTE(IF(LEFT(A299,3)="Câu",MID(A299,FIND(".",A299,1)+2,LEN(A299)),""),CHAR(34),CHAR(92)&amp;CHAR(34))</f>
        <v/>
      </c>
      <c r="G299" t="str">
        <f>SUBSTITUTE(B300,CHAR(34),CHAR(92)&amp;CHAR(34))</f>
        <v/>
      </c>
      <c r="H299" t="str">
        <f>SUBSTITUTE(B301,CHAR(34),CHAR(92)&amp;CHAR(34))</f>
        <v>Chỉ được phép nếu cả hai đội mũ bảo hiểm.</v>
      </c>
      <c r="I299" t="str">
        <f>SUBSTITUTE(IF(LEFT(A302,3)="Câu","",B302),CHAR(34),CHAR(92)&amp;CHAR(34))</f>
        <v xml:space="preserve"> Không được phép.</v>
      </c>
      <c r="J299" t="str">
        <f>SUBSTITUTE(IF(OR(LEFT(A303,3)="Câu",I299=""),"",IF(B303=0,"",B303)),CHAR(34),CHAR(92)&amp;CHAR(34))</f>
        <v>Chỉ được thực hiện trên đường vắng.</v>
      </c>
      <c r="K299" t="str">
        <f>SUBSTITUTE(SUBSTITUTE(SUBSTITUTE(SUBSTITUTE(IFERROR(VLOOKUP("Câu "&amp;D299&amp;".",dapan!$E:$J,6,0),""),"1","A"),"2","B"),"3","C"),"4","D")</f>
        <v/>
      </c>
      <c r="P299" t="str">
        <f t="shared" si="19"/>
        <v/>
      </c>
      <c r="Q299" t="str">
        <f t="shared" si="20"/>
        <v/>
      </c>
    </row>
    <row r="300" spans="1:17" x14ac:dyDescent="0.25">
      <c r="A300" t="s">
        <v>265</v>
      </c>
      <c r="C300">
        <f>IFERROR(COUNTIFS($A$1:A300,"Câu "&amp;"*")-MID(A300,5,FIND(".",A300,1)-5),0)</f>
        <v>0</v>
      </c>
      <c r="D300">
        <f t="shared" si="21"/>
        <v>74</v>
      </c>
      <c r="E300" t="str">
        <f>SUBSTITUTE(IF(LEFT(A300,3)="Câu",MID(A300,FIND(".",A300,1)+2,LEN(A300)),""),CHAR(34),CHAR(92)&amp;CHAR(34))</f>
        <v>Người được chở trên xe mô tô có được kéo theo người đang điều khiển xe đạp hay không?</v>
      </c>
      <c r="G300" t="str">
        <f>SUBSTITUTE(B301,CHAR(34),CHAR(92)&amp;CHAR(34))</f>
        <v>Chỉ được phép nếu cả hai đội mũ bảo hiểm.</v>
      </c>
      <c r="H300" t="str">
        <f>SUBSTITUTE(B302,CHAR(34),CHAR(92)&amp;CHAR(34))</f>
        <v xml:space="preserve"> Không được phép.</v>
      </c>
      <c r="I300" t="str">
        <f>SUBSTITUTE(IF(LEFT(A303,3)="Câu","",B303),CHAR(34),CHAR(92)&amp;CHAR(34))</f>
        <v>Chỉ được thực hiện trên đường vắng.</v>
      </c>
      <c r="J300" t="str">
        <f>SUBSTITUTE(IF(OR(LEFT(A304,3)="Câu",I300=""),"",IF(B304=0,"",B304)),CHAR(34),CHAR(92)&amp;CHAR(34))</f>
        <v/>
      </c>
      <c r="K300" t="str">
        <f ca="1">SUBSTITUTE(SUBSTITUTE(SUBSTITUTE(SUBSTITUTE(IFERROR(VLOOKUP("Câu "&amp;D300&amp;".",dapan!$E:$J,6,0),""),"1","A"),"2","B"),"3","C"),"4","D")</f>
        <v>B</v>
      </c>
      <c r="P300">
        <f t="shared" si="19"/>
        <v>74</v>
      </c>
      <c r="Q300" t="str">
        <f t="shared" ca="1" si="20"/>
        <v>{"num":74,"id":74,"q":"Người được chở trên xe mô tô có được kéo theo người đang điều khiển xe đạp hay không?","opts":{"A":"Chỉ được phép nếu cả hai đội mũ bảo hiểm.","B":" Không được phép.","C":"Chỉ được thực hiện trên đường vắng."},"answer":"B"},</v>
      </c>
    </row>
    <row r="301" spans="1:17" hidden="1" x14ac:dyDescent="0.25">
      <c r="A301">
        <v>1</v>
      </c>
      <c r="B301" t="s">
        <v>266</v>
      </c>
      <c r="C301">
        <f>IFERROR(COUNTIFS($A$1:A301,"Câu "&amp;"*")-MID(A301,5,FIND(".",A301,1)-5),0)</f>
        <v>0</v>
      </c>
      <c r="D301" t="str">
        <f t="shared" si="21"/>
        <v/>
      </c>
      <c r="E301" t="str">
        <f>SUBSTITUTE(IF(LEFT(A301,3)="Câu",MID(A301,FIND(".",A301,1)+2,LEN(A301)),""),CHAR(34),CHAR(92)&amp;CHAR(34))</f>
        <v/>
      </c>
      <c r="G301" t="str">
        <f>SUBSTITUTE(B302,CHAR(34),CHAR(92)&amp;CHAR(34))</f>
        <v xml:space="preserve"> Không được phép.</v>
      </c>
      <c r="H301" t="str">
        <f>SUBSTITUTE(B303,CHAR(34),CHAR(92)&amp;CHAR(34))</f>
        <v>Chỉ được thực hiện trên đường vắng.</v>
      </c>
      <c r="I301" t="str">
        <f>SUBSTITUTE(IF(LEFT(A304,3)="Câu","",B304),CHAR(34),CHAR(92)&amp;CHAR(34))</f>
        <v/>
      </c>
      <c r="J301" t="str">
        <f>SUBSTITUTE(IF(OR(LEFT(A305,3)="Câu",I301=""),"",IF(B305=0,"",B305)),CHAR(34),CHAR(92)&amp;CHAR(34))</f>
        <v/>
      </c>
      <c r="K301" t="str">
        <f>SUBSTITUTE(SUBSTITUTE(SUBSTITUTE(SUBSTITUTE(IFERROR(VLOOKUP("Câu "&amp;D301&amp;".",dapan!$E:$J,6,0),""),"1","A"),"2","B"),"3","C"),"4","D")</f>
        <v/>
      </c>
      <c r="P301" t="str">
        <f t="shared" si="19"/>
        <v/>
      </c>
      <c r="Q301" t="str">
        <f t="shared" si="20"/>
        <v/>
      </c>
    </row>
    <row r="302" spans="1:17" hidden="1" x14ac:dyDescent="0.25">
      <c r="A302">
        <v>2</v>
      </c>
      <c r="B302" t="s">
        <v>226</v>
      </c>
      <c r="C302">
        <f>IFERROR(COUNTIFS($A$1:A302,"Câu "&amp;"*")-MID(A302,5,FIND(".",A302,1)-5),0)</f>
        <v>0</v>
      </c>
      <c r="D302" t="str">
        <f t="shared" si="21"/>
        <v/>
      </c>
      <c r="E302" t="str">
        <f>SUBSTITUTE(IF(LEFT(A302,3)="Câu",MID(A302,FIND(".",A302,1)+2,LEN(A302)),""),CHAR(34),CHAR(92)&amp;CHAR(34))</f>
        <v/>
      </c>
      <c r="G302" t="str">
        <f>SUBSTITUTE(B303,CHAR(34),CHAR(92)&amp;CHAR(34))</f>
        <v>Chỉ được thực hiện trên đường vắng.</v>
      </c>
      <c r="H302" t="str">
        <f>SUBSTITUTE(B304,CHAR(34),CHAR(92)&amp;CHAR(34))</f>
        <v/>
      </c>
      <c r="I302" t="str">
        <f>SUBSTITUTE(IF(LEFT(A305,3)="Câu","",B305),CHAR(34),CHAR(92)&amp;CHAR(34))</f>
        <v>Không bị xử phạt chỉ bị nhắc nhở.</v>
      </c>
      <c r="J302" t="str">
        <f>SUBSTITUTE(IF(OR(LEFT(A306,3)="Câu",I302=""),"",IF(B306=0,"",B306)),CHAR(34),CHAR(92)&amp;CHAR(34))</f>
        <v>Người được chở không bị xử phạt, chỉ xử phạt người điều khiển xe mô tô, xe gắn máy.</v>
      </c>
      <c r="K302" t="str">
        <f>SUBSTITUTE(SUBSTITUTE(SUBSTITUTE(SUBSTITUTE(IFERROR(VLOOKUP("Câu "&amp;D302&amp;".",dapan!$E:$J,6,0),""),"1","A"),"2","B"),"3","C"),"4","D")</f>
        <v/>
      </c>
      <c r="P302" t="str">
        <f t="shared" si="19"/>
        <v/>
      </c>
      <c r="Q302" t="str">
        <f t="shared" si="20"/>
        <v/>
      </c>
    </row>
    <row r="303" spans="1:17" hidden="1" x14ac:dyDescent="0.25">
      <c r="A303">
        <v>3</v>
      </c>
      <c r="B303" t="s">
        <v>267</v>
      </c>
      <c r="C303">
        <f>IFERROR(COUNTIFS($A$1:A303,"Câu "&amp;"*")-MID(A303,5,FIND(".",A303,1)-5),0)</f>
        <v>0</v>
      </c>
      <c r="D303" t="str">
        <f t="shared" si="21"/>
        <v/>
      </c>
      <c r="E303" t="str">
        <f>SUBSTITUTE(IF(LEFT(A303,3)="Câu",MID(A303,FIND(".",A303,1)+2,LEN(A303)),""),CHAR(34),CHAR(92)&amp;CHAR(34))</f>
        <v/>
      </c>
      <c r="G303" t="str">
        <f>SUBSTITUTE(B304,CHAR(34),CHAR(92)&amp;CHAR(34))</f>
        <v/>
      </c>
      <c r="H303" t="str">
        <f>SUBSTITUTE(B305,CHAR(34),CHAR(92)&amp;CHAR(34))</f>
        <v>Không bị xử phạt chỉ bị nhắc nhở.</v>
      </c>
      <c r="I303" t="str">
        <f>SUBSTITUTE(IF(LEFT(A306,3)="Câu","",B306),CHAR(34),CHAR(92)&amp;CHAR(34))</f>
        <v>Người được chở không bị xử phạt, chỉ xử phạt người điều khiển xe mô tô, xe gắn máy.</v>
      </c>
      <c r="J303" t="str">
        <f>SUBSTITUTE(IF(OR(LEFT(A307,3)="Câu",I303=""),"",IF(B307=0,"",B307)),CHAR(34),CHAR(92)&amp;CHAR(34))</f>
        <v>Người được chở bị xử phạt, không xử phạt người điều khiển xe mô tô, xe gắn máy.</v>
      </c>
      <c r="K303" t="str">
        <f>SUBSTITUTE(SUBSTITUTE(SUBSTITUTE(SUBSTITUTE(IFERROR(VLOOKUP("Câu "&amp;D303&amp;".",dapan!$E:$J,6,0),""),"1","A"),"2","B"),"3","C"),"4","D")</f>
        <v/>
      </c>
      <c r="P303" t="str">
        <f t="shared" si="19"/>
        <v/>
      </c>
      <c r="Q303" t="str">
        <f t="shared" si="20"/>
        <v/>
      </c>
    </row>
    <row r="304" spans="1:17" x14ac:dyDescent="0.25">
      <c r="A304" t="s">
        <v>268</v>
      </c>
      <c r="C304">
        <f>IFERROR(COUNTIFS($A$1:A304,"Câu "&amp;"*")-MID(A304,5,FIND(".",A304,1)-5),0)</f>
        <v>0</v>
      </c>
      <c r="D304">
        <f t="shared" si="21"/>
        <v>75</v>
      </c>
      <c r="E304" t="str">
        <f>SUBSTITUTE(IF(LEFT(A304,3)="Câu",MID(A304,FIND(".",A304,1)+2,LEN(A304)),""),CHAR(34),CHAR(92)&amp;CHAR(34))</f>
        <v>Trường hợp người được chở trên xe mô tô, xe gắn máy, các loại xe tương tự xe mô tô và các loại xe tương tự xe gắn máy không đội \"mũ bảo hiểm cho người đi mô tô, xe máy\" hoặc không cài quai đúng quy cách (trừ trường hợp chở người bệnh đi cấp cứu, trẻ em dưới 06 tuổi, áp giải người có hành vi vi phạm pháp luật) thì việc xử phạt vi phạm hành chính được quy định như thế nào?</v>
      </c>
      <c r="G304" t="str">
        <f>SUBSTITUTE(B305,CHAR(34),CHAR(92)&amp;CHAR(34))</f>
        <v>Không bị xử phạt chỉ bị nhắc nhở.</v>
      </c>
      <c r="H304" t="str">
        <f>SUBSTITUTE(B306,CHAR(34),CHAR(92)&amp;CHAR(34))</f>
        <v>Người được chở không bị xử phạt, chỉ xử phạt người điều khiển xe mô tô, xe gắn máy.</v>
      </c>
      <c r="I304" t="str">
        <f>SUBSTITUTE(IF(LEFT(A307,3)="Câu","",B307),CHAR(34),CHAR(92)&amp;CHAR(34))</f>
        <v>Người được chở bị xử phạt, không xử phạt người điều khiển xe mô tô, xe gắn máy.</v>
      </c>
      <c r="J304" t="str">
        <f>SUBSTITUTE(IF(OR(LEFT(A308,3)="Câu",I304=""),"",IF(B308=0,"",B308)),CHAR(34),CHAR(92)&amp;CHAR(34))</f>
        <v xml:space="preserve"> Xử phạt cả người điều khiển và người được chở trên xe mô tô, xe gắn máy.</v>
      </c>
      <c r="K304" t="str">
        <f ca="1">SUBSTITUTE(SUBSTITUTE(SUBSTITUTE(SUBSTITUTE(IFERROR(VLOOKUP("Câu "&amp;D304&amp;".",dapan!$E:$J,6,0),""),"1","A"),"2","B"),"3","C"),"4","D")</f>
        <v>D</v>
      </c>
      <c r="P304">
        <f t="shared" si="19"/>
        <v>75</v>
      </c>
      <c r="Q304" t="str">
        <f t="shared" ca="1" si="20"/>
        <v>{"num":75,"id":75,"q":"Trường hợp người được chở trên xe mô tô, xe gắn máy, các loại xe tương tự xe mô tô và các loại xe tương tự xe gắn máy không đội \"mũ bảo hiểm cho người đi mô tô, xe máy\" hoặc không cài quai đúng quy cách (trừ trường hợp chở người bệnh đi cấp cứu, trẻ em dưới 06 tuổi, áp giải người có hành vi vi phạm pháp luật) thì việc xử phạt vi phạm hành chính được quy định như thế nào?","opts":{"A":"Không bị xử phạt chỉ bị nhắc nhở.","B":"Người được chở không bị xử phạt, chỉ xử phạt người điều khiển xe mô tô, xe gắn máy.","C":"Người được chở bị xử phạt, không xử phạt người điều khiển xe mô tô, xe gắn máy.","D":" Xử phạt cả người điều khiển và người được chở trên xe mô tô, xe gắn máy."},"answer":"D"},</v>
      </c>
    </row>
    <row r="305" spans="1:17" hidden="1" x14ac:dyDescent="0.25">
      <c r="A305">
        <v>1</v>
      </c>
      <c r="B305" t="s">
        <v>269</v>
      </c>
      <c r="C305">
        <f>IFERROR(COUNTIFS($A$1:A305,"Câu "&amp;"*")-MID(A305,5,FIND(".",A305,1)-5),0)</f>
        <v>0</v>
      </c>
      <c r="D305" t="str">
        <f t="shared" si="21"/>
        <v/>
      </c>
      <c r="E305" t="str">
        <f>SUBSTITUTE(IF(LEFT(A305,3)="Câu",MID(A305,FIND(".",A305,1)+2,LEN(A305)),""),CHAR(34),CHAR(92)&amp;CHAR(34))</f>
        <v/>
      </c>
      <c r="G305" t="str">
        <f>SUBSTITUTE(B306,CHAR(34),CHAR(92)&amp;CHAR(34))</f>
        <v>Người được chở không bị xử phạt, chỉ xử phạt người điều khiển xe mô tô, xe gắn máy.</v>
      </c>
      <c r="H305" t="str">
        <f>SUBSTITUTE(B307,CHAR(34),CHAR(92)&amp;CHAR(34))</f>
        <v>Người được chở bị xử phạt, không xử phạt người điều khiển xe mô tô, xe gắn máy.</v>
      </c>
      <c r="I305" t="str">
        <f>SUBSTITUTE(IF(LEFT(A308,3)="Câu","",B308),CHAR(34),CHAR(92)&amp;CHAR(34))</f>
        <v xml:space="preserve"> Xử phạt cả người điều khiển và người được chở trên xe mô tô, xe gắn máy.</v>
      </c>
      <c r="J305" t="str">
        <f>SUBSTITUTE(IF(OR(LEFT(A309,3)="Câu",I305=""),"",IF(B309=0,"",B309)),CHAR(34),CHAR(92)&amp;CHAR(34))</f>
        <v/>
      </c>
      <c r="K305" t="str">
        <f>SUBSTITUTE(SUBSTITUTE(SUBSTITUTE(SUBSTITUTE(IFERROR(VLOOKUP("Câu "&amp;D305&amp;".",dapan!$E:$J,6,0),""),"1","A"),"2","B"),"3","C"),"4","D")</f>
        <v/>
      </c>
      <c r="P305" t="str">
        <f t="shared" si="19"/>
        <v/>
      </c>
      <c r="Q305" t="str">
        <f t="shared" si="20"/>
        <v/>
      </c>
    </row>
    <row r="306" spans="1:17" hidden="1" x14ac:dyDescent="0.25">
      <c r="A306">
        <v>2</v>
      </c>
      <c r="B306" t="s">
        <v>270</v>
      </c>
      <c r="C306">
        <f>IFERROR(COUNTIFS($A$1:A306,"Câu "&amp;"*")-MID(A306,5,FIND(".",A306,1)-5),0)</f>
        <v>0</v>
      </c>
      <c r="D306" t="str">
        <f t="shared" si="21"/>
        <v/>
      </c>
      <c r="E306" t="str">
        <f>SUBSTITUTE(IF(LEFT(A306,3)="Câu",MID(A306,FIND(".",A306,1)+2,LEN(A306)),""),CHAR(34),CHAR(92)&amp;CHAR(34))</f>
        <v/>
      </c>
      <c r="G306" t="str">
        <f>SUBSTITUTE(B307,CHAR(34),CHAR(92)&amp;CHAR(34))</f>
        <v>Người được chở bị xử phạt, không xử phạt người điều khiển xe mô tô, xe gắn máy.</v>
      </c>
      <c r="H306" t="str">
        <f>SUBSTITUTE(B308,CHAR(34),CHAR(92)&amp;CHAR(34))</f>
        <v xml:space="preserve"> Xử phạt cả người điều khiển và người được chở trên xe mô tô, xe gắn máy.</v>
      </c>
      <c r="I306" t="str">
        <f>SUBSTITUTE(IF(LEFT(A309,3)="Câu","",B309),CHAR(34),CHAR(92)&amp;CHAR(34))</f>
        <v/>
      </c>
      <c r="J306" t="str">
        <f>SUBSTITUTE(IF(OR(LEFT(A310,3)="Câu",I306=""),"",IF(B310=0,"",B310)),CHAR(34),CHAR(92)&amp;CHAR(34))</f>
        <v/>
      </c>
      <c r="K306" t="str">
        <f>SUBSTITUTE(SUBSTITUTE(SUBSTITUTE(SUBSTITUTE(IFERROR(VLOOKUP("Câu "&amp;D306&amp;".",dapan!$E:$J,6,0),""),"1","A"),"2","B"),"3","C"),"4","D")</f>
        <v/>
      </c>
      <c r="P306" t="str">
        <f t="shared" si="19"/>
        <v/>
      </c>
      <c r="Q306" t="str">
        <f t="shared" si="20"/>
        <v/>
      </c>
    </row>
    <row r="307" spans="1:17" hidden="1" x14ac:dyDescent="0.25">
      <c r="A307">
        <v>3</v>
      </c>
      <c r="B307" t="s">
        <v>271</v>
      </c>
      <c r="C307">
        <f>IFERROR(COUNTIFS($A$1:A307,"Câu "&amp;"*")-MID(A307,5,FIND(".",A307,1)-5),0)</f>
        <v>0</v>
      </c>
      <c r="D307" t="str">
        <f t="shared" si="21"/>
        <v/>
      </c>
      <c r="E307" t="str">
        <f>SUBSTITUTE(IF(LEFT(A307,3)="Câu",MID(A307,FIND(".",A307,1)+2,LEN(A307)),""),CHAR(34),CHAR(92)&amp;CHAR(34))</f>
        <v/>
      </c>
      <c r="G307" t="str">
        <f>SUBSTITUTE(B308,CHAR(34),CHAR(92)&amp;CHAR(34))</f>
        <v xml:space="preserve"> Xử phạt cả người điều khiển và người được chở trên xe mô tô, xe gắn máy.</v>
      </c>
      <c r="H307" t="str">
        <f>SUBSTITUTE(B309,CHAR(34),CHAR(92)&amp;CHAR(34))</f>
        <v/>
      </c>
      <c r="I307" t="str">
        <f>SUBSTITUTE(IF(LEFT(A310,3)="Câu","",B310),CHAR(34),CHAR(92)&amp;CHAR(34))</f>
        <v xml:space="preserve"> Phải đội mũ bảo hiểm theo đúng quy chuẩn kỹ thuật quốc gia và cài quai đúng quy cách, không sử dụng ô, điện thoại di động, thiết bị âm thanh (trừ thiết bị trợ thính).</v>
      </c>
      <c r="J307" t="str">
        <f>SUBSTITUTE(IF(OR(LEFT(A311,3)="Câu",I307=""),"",IF(B311=0,"",B311)),CHAR(34),CHAR(92)&amp;CHAR(34))</f>
        <v>Phải đội mũ bảo hiểm khi trời mưa gió hoặc trời quá nắng; có thể sử dụng ô, điện thoại di động, thiết bị âm thanh nhưng phải bảo đảm an toàn.</v>
      </c>
      <c r="K307" t="str">
        <f>SUBSTITUTE(SUBSTITUTE(SUBSTITUTE(SUBSTITUTE(IFERROR(VLOOKUP("Câu "&amp;D307&amp;".",dapan!$E:$J,6,0),""),"1","A"),"2","B"),"3","C"),"4","D")</f>
        <v/>
      </c>
      <c r="P307" t="str">
        <f t="shared" si="19"/>
        <v/>
      </c>
      <c r="Q307" t="str">
        <f t="shared" si="20"/>
        <v/>
      </c>
    </row>
    <row r="308" spans="1:17" hidden="1" x14ac:dyDescent="0.25">
      <c r="A308">
        <v>4</v>
      </c>
      <c r="B308" t="s">
        <v>272</v>
      </c>
      <c r="C308">
        <f>IFERROR(COUNTIFS($A$1:A308,"Câu "&amp;"*")-MID(A308,5,FIND(".",A308,1)-5),0)</f>
        <v>0</v>
      </c>
      <c r="D308" t="str">
        <f t="shared" si="21"/>
        <v/>
      </c>
      <c r="E308" t="str">
        <f>SUBSTITUTE(IF(LEFT(A308,3)="Câu",MID(A308,FIND(".",A308,1)+2,LEN(A308)),""),CHAR(34),CHAR(92)&amp;CHAR(34))</f>
        <v/>
      </c>
      <c r="G308" t="str">
        <f>SUBSTITUTE(B309,CHAR(34),CHAR(92)&amp;CHAR(34))</f>
        <v/>
      </c>
      <c r="H308" t="str">
        <f>SUBSTITUTE(B310,CHAR(34),CHAR(92)&amp;CHAR(34))</f>
        <v xml:space="preserve"> Phải đội mũ bảo hiểm theo đúng quy chuẩn kỹ thuật quốc gia và cài quai đúng quy cách, không sử dụng ô, điện thoại di động, thiết bị âm thanh (trừ thiết bị trợ thính).</v>
      </c>
      <c r="I308" t="str">
        <f>SUBSTITUTE(IF(LEFT(A311,3)="Câu","",B311),CHAR(34),CHAR(92)&amp;CHAR(34))</f>
        <v>Phải đội mũ bảo hiểm khi trời mưa gió hoặc trời quá nắng; có thể sử dụng ô, điện thoại di động, thiết bị âm thanh nhưng phải bảo đảm an toàn.</v>
      </c>
      <c r="J308" t="str">
        <f>SUBSTITUTE(IF(OR(LEFT(A312,3)="Câu",I308=""),"",IF(B312=0,"",B312)),CHAR(34),CHAR(92)&amp;CHAR(34))</f>
        <v>Phải đội mũ bảo hiểm khi cảm thấy mất an toàn giao thông hoặc khi chuẩn bị di chuyển quãng đường xa.</v>
      </c>
      <c r="K308" t="str">
        <f>SUBSTITUTE(SUBSTITUTE(SUBSTITUTE(SUBSTITUTE(IFERROR(VLOOKUP("Câu "&amp;D308&amp;".",dapan!$E:$J,6,0),""),"1","A"),"2","B"),"3","C"),"4","D")</f>
        <v/>
      </c>
      <c r="P308" t="str">
        <f t="shared" si="19"/>
        <v/>
      </c>
      <c r="Q308" t="str">
        <f t="shared" si="20"/>
        <v/>
      </c>
    </row>
    <row r="309" spans="1:17" x14ac:dyDescent="0.25">
      <c r="A309" t="s">
        <v>273</v>
      </c>
      <c r="C309">
        <f>IFERROR(COUNTIFS($A$1:A309,"Câu "&amp;"*")-MID(A309,5,FIND(".",A309,1)-5),0)</f>
        <v>0</v>
      </c>
      <c r="D309">
        <f t="shared" si="21"/>
        <v>76</v>
      </c>
      <c r="E309" t="str">
        <f>SUBSTITUTE(IF(LEFT(A309,3)="Câu",MID(A309,FIND(".",A309,1)+2,LEN(A309)),""),CHAR(34),CHAR(92)&amp;CHAR(34))</f>
        <v>Trong các trường hợp dưới đây, để bảo đảm an toàn khi tham gia giao thông, người lái xe mô tô cần thực hiện như thế nào?</v>
      </c>
      <c r="G309" t="str">
        <f>SUBSTITUTE(B310,CHAR(34),CHAR(92)&amp;CHAR(34))</f>
        <v xml:space="preserve"> Phải đội mũ bảo hiểm theo đúng quy chuẩn kỹ thuật quốc gia và cài quai đúng quy cách, không sử dụng ô, điện thoại di động, thiết bị âm thanh (trừ thiết bị trợ thính).</v>
      </c>
      <c r="H309" t="str">
        <f>SUBSTITUTE(B311,CHAR(34),CHAR(92)&amp;CHAR(34))</f>
        <v>Phải đội mũ bảo hiểm khi trời mưa gió hoặc trời quá nắng; có thể sử dụng ô, điện thoại di động, thiết bị âm thanh nhưng phải bảo đảm an toàn.</v>
      </c>
      <c r="I309" t="str">
        <f>SUBSTITUTE(IF(LEFT(A312,3)="Câu","",B312),CHAR(34),CHAR(92)&amp;CHAR(34))</f>
        <v>Phải đội mũ bảo hiểm khi cảm thấy mất an toàn giao thông hoặc khi chuẩn bị di chuyển quãng đường xa.</v>
      </c>
      <c r="J309" t="str">
        <f>SUBSTITUTE(IF(OR(LEFT(A313,3)="Câu",I309=""),"",IF(B313=0,"",B313)),CHAR(34),CHAR(92)&amp;CHAR(34))</f>
        <v/>
      </c>
      <c r="K309" t="str">
        <f ca="1">SUBSTITUTE(SUBSTITUTE(SUBSTITUTE(SUBSTITUTE(IFERROR(VLOOKUP("Câu "&amp;D309&amp;".",dapan!$E:$J,6,0),""),"1","A"),"2","B"),"3","C"),"4","D")</f>
        <v>A</v>
      </c>
      <c r="P309">
        <f t="shared" si="19"/>
        <v>76</v>
      </c>
      <c r="Q309" t="str">
        <f t="shared" ca="1" si="20"/>
        <v>{"num":76,"id":76,"q":"Trong các trường hợp dưới đây, để bảo đảm an toàn khi tham gia giao thông, người lái xe mô tô cần thực hiện như thế nào?","opts":{"A":" Phải đội mũ bảo hiểm theo đúng quy chuẩn kỹ thuật quốc gia và cài quai đúng quy cách, không sử dụng ô, điện thoại di động, thiết bị âm thanh (trừ thiết bị trợ thính).","B":"Phải đội mũ bảo hiểm khi trời mưa gió hoặc trời quá nắng; có thể sử dụng ô, điện thoại di động, thiết bị âm thanh nhưng phải bảo đảm an toàn.","C":"Phải đội mũ bảo hiểm khi cảm thấy mất an toàn giao thông hoặc khi chuẩn bị di chuyển quãng đường xa."},"answer":"A"},</v>
      </c>
    </row>
    <row r="310" spans="1:17" hidden="1" x14ac:dyDescent="0.25">
      <c r="A310">
        <v>1</v>
      </c>
      <c r="B310" t="s">
        <v>274</v>
      </c>
      <c r="C310">
        <f>IFERROR(COUNTIFS($A$1:A310,"Câu "&amp;"*")-MID(A310,5,FIND(".",A310,1)-5),0)</f>
        <v>0</v>
      </c>
      <c r="D310" t="str">
        <f t="shared" si="21"/>
        <v/>
      </c>
      <c r="E310" t="str">
        <f>SUBSTITUTE(IF(LEFT(A310,3)="Câu",MID(A310,FIND(".",A310,1)+2,LEN(A310)),""),CHAR(34),CHAR(92)&amp;CHAR(34))</f>
        <v/>
      </c>
      <c r="G310" t="str">
        <f>SUBSTITUTE(B311,CHAR(34),CHAR(92)&amp;CHAR(34))</f>
        <v>Phải đội mũ bảo hiểm khi trời mưa gió hoặc trời quá nắng; có thể sử dụng ô, điện thoại di động, thiết bị âm thanh nhưng phải bảo đảm an toàn.</v>
      </c>
      <c r="H310" t="str">
        <f>SUBSTITUTE(B312,CHAR(34),CHAR(92)&amp;CHAR(34))</f>
        <v>Phải đội mũ bảo hiểm khi cảm thấy mất an toàn giao thông hoặc khi chuẩn bị di chuyển quãng đường xa.</v>
      </c>
      <c r="I310" t="str">
        <f>SUBSTITUTE(IF(LEFT(A313,3)="Câu","",B313),CHAR(34),CHAR(92)&amp;CHAR(34))</f>
        <v/>
      </c>
      <c r="J310" t="str">
        <f>SUBSTITUTE(IF(OR(LEFT(A314,3)="Câu",I310=""),"",IF(B314=0,"",B314)),CHAR(34),CHAR(92)&amp;CHAR(34))</f>
        <v/>
      </c>
      <c r="K310" t="str">
        <f>SUBSTITUTE(SUBSTITUTE(SUBSTITUTE(SUBSTITUTE(IFERROR(VLOOKUP("Câu "&amp;D310&amp;".",dapan!$E:$J,6,0),""),"1","A"),"2","B"),"3","C"),"4","D")</f>
        <v/>
      </c>
      <c r="P310" t="str">
        <f t="shared" si="19"/>
        <v/>
      </c>
      <c r="Q310" t="str">
        <f t="shared" si="20"/>
        <v/>
      </c>
    </row>
    <row r="311" spans="1:17" hidden="1" x14ac:dyDescent="0.25">
      <c r="A311">
        <v>2</v>
      </c>
      <c r="B311" t="s">
        <v>275</v>
      </c>
      <c r="C311">
        <f>IFERROR(COUNTIFS($A$1:A311,"Câu "&amp;"*")-MID(A311,5,FIND(".",A311,1)-5),0)</f>
        <v>0</v>
      </c>
      <c r="D311" t="str">
        <f t="shared" si="21"/>
        <v/>
      </c>
      <c r="E311" t="str">
        <f>SUBSTITUTE(IF(LEFT(A311,3)="Câu",MID(A311,FIND(".",A311,1)+2,LEN(A311)),""),CHAR(34),CHAR(92)&amp;CHAR(34))</f>
        <v/>
      </c>
      <c r="G311" t="str">
        <f>SUBSTITUTE(B312,CHAR(34),CHAR(92)&amp;CHAR(34))</f>
        <v>Phải đội mũ bảo hiểm khi cảm thấy mất an toàn giao thông hoặc khi chuẩn bị di chuyển quãng đường xa.</v>
      </c>
      <c r="H311" t="str">
        <f>SUBSTITUTE(B313,CHAR(34),CHAR(92)&amp;CHAR(34))</f>
        <v/>
      </c>
      <c r="I311" t="str">
        <f>SUBSTITUTE(IF(LEFT(A314,3)="Câu","",B314),CHAR(34),CHAR(92)&amp;CHAR(34))</f>
        <v>Xe thô sơ, người đi bộ xuống trước, xe cơ giới, xe máy chuyên dùng xuống sau.</v>
      </c>
      <c r="J311" t="str">
        <f>SUBSTITUTE(IF(OR(LEFT(A315,3)="Câu",I311=""),"",IF(B315=0,"",B315)),CHAR(34),CHAR(92)&amp;CHAR(34))</f>
        <v xml:space="preserve"> Xe cơ giới, xe máy chuyên dùng xuống trước, xe thô sơ, người đi bộ xuống sau.</v>
      </c>
      <c r="K311" t="str">
        <f>SUBSTITUTE(SUBSTITUTE(SUBSTITUTE(SUBSTITUTE(IFERROR(VLOOKUP("Câu "&amp;D311&amp;".",dapan!$E:$J,6,0),""),"1","A"),"2","B"),"3","C"),"4","D")</f>
        <v/>
      </c>
      <c r="P311" t="str">
        <f t="shared" si="19"/>
        <v/>
      </c>
      <c r="Q311" t="str">
        <f t="shared" si="20"/>
        <v/>
      </c>
    </row>
    <row r="312" spans="1:17" hidden="1" x14ac:dyDescent="0.25">
      <c r="A312">
        <v>3</v>
      </c>
      <c r="B312" t="s">
        <v>276</v>
      </c>
      <c r="C312">
        <f>IFERROR(COUNTIFS($A$1:A312,"Câu "&amp;"*")-MID(A312,5,FIND(".",A312,1)-5),0)</f>
        <v>0</v>
      </c>
      <c r="D312" t="str">
        <f t="shared" si="21"/>
        <v/>
      </c>
      <c r="E312" t="str">
        <f>SUBSTITUTE(IF(LEFT(A312,3)="Câu",MID(A312,FIND(".",A312,1)+2,LEN(A312)),""),CHAR(34),CHAR(92)&amp;CHAR(34))</f>
        <v/>
      </c>
      <c r="G312" t="str">
        <f>SUBSTITUTE(B313,CHAR(34),CHAR(92)&amp;CHAR(34))</f>
        <v/>
      </c>
      <c r="H312" t="str">
        <f>SUBSTITUTE(B314,CHAR(34),CHAR(92)&amp;CHAR(34))</f>
        <v>Xe thô sơ, người đi bộ xuống trước, xe cơ giới, xe máy chuyên dùng xuống sau.</v>
      </c>
      <c r="I312" t="str">
        <f>SUBSTITUTE(IF(LEFT(A315,3)="Câu","",B315),CHAR(34),CHAR(92)&amp;CHAR(34))</f>
        <v xml:space="preserve"> Xe cơ giới, xe máy chuyên dùng xuống trước, xe thô sơ, người đi bộ xuống sau.</v>
      </c>
      <c r="J312" t="str">
        <f>SUBSTITUTE(IF(OR(LEFT(A316,3)="Câu",I312=""),"",IF(B316=0,"",B316)),CHAR(34),CHAR(92)&amp;CHAR(34))</f>
        <v>Xe cơ giới, xe thô sơ xuống trước, xe máy chuyên dùng, người đi bộ xuống sau.</v>
      </c>
      <c r="K312" t="str">
        <f>SUBSTITUTE(SUBSTITUTE(SUBSTITUTE(SUBSTITUTE(IFERROR(VLOOKUP("Câu "&amp;D312&amp;".",dapan!$E:$J,6,0),""),"1","A"),"2","B"),"3","C"),"4","D")</f>
        <v/>
      </c>
      <c r="P312" t="str">
        <f t="shared" si="19"/>
        <v/>
      </c>
      <c r="Q312" t="str">
        <f t="shared" si="20"/>
        <v/>
      </c>
    </row>
    <row r="313" spans="1:17" x14ac:dyDescent="0.25">
      <c r="A313" t="s">
        <v>277</v>
      </c>
      <c r="C313">
        <f>IFERROR(COUNTIFS($A$1:A313,"Câu "&amp;"*")-MID(A313,5,FIND(".",A313,1)-5),0)</f>
        <v>0</v>
      </c>
      <c r="D313">
        <f t="shared" si="21"/>
        <v>77</v>
      </c>
      <c r="E313" t="str">
        <f>SUBSTITUTE(IF(LEFT(A313,3)="Câu",MID(A313,FIND(".",A313,1)+2,LEN(A313)),""),CHAR(34),CHAR(92)&amp;CHAR(34))</f>
        <v>Thứ tự xuống phà như thế nào là đúng quy tắc giao thông?</v>
      </c>
      <c r="G313" t="str">
        <f>SUBSTITUTE(B314,CHAR(34),CHAR(92)&amp;CHAR(34))</f>
        <v>Xe thô sơ, người đi bộ xuống trước, xe cơ giới, xe máy chuyên dùng xuống sau.</v>
      </c>
      <c r="H313" t="str">
        <f>SUBSTITUTE(B315,CHAR(34),CHAR(92)&amp;CHAR(34))</f>
        <v xml:space="preserve"> Xe cơ giới, xe máy chuyên dùng xuống trước, xe thô sơ, người đi bộ xuống sau.</v>
      </c>
      <c r="I313" t="str">
        <f>SUBSTITUTE(IF(LEFT(A316,3)="Câu","",B316),CHAR(34),CHAR(92)&amp;CHAR(34))</f>
        <v>Xe cơ giới, xe thô sơ xuống trước, xe máy chuyên dùng, người đi bộ xuống sau.</v>
      </c>
      <c r="J313" t="str">
        <f>SUBSTITUTE(IF(OR(LEFT(A317,3)="Câu",I313=""),"",IF(B317=0,"",B317)),CHAR(34),CHAR(92)&amp;CHAR(34))</f>
        <v/>
      </c>
      <c r="K313" t="str">
        <f ca="1">SUBSTITUTE(SUBSTITUTE(SUBSTITUTE(SUBSTITUTE(IFERROR(VLOOKUP("Câu "&amp;D313&amp;".",dapan!$E:$J,6,0),""),"1","A"),"2","B"),"3","C"),"4","D")</f>
        <v>B</v>
      </c>
      <c r="P313">
        <f t="shared" si="19"/>
        <v>77</v>
      </c>
      <c r="Q313" t="str">
        <f t="shared" ca="1" si="20"/>
        <v>{"num":77,"id":77,"q":"Thứ tự xuống phà như thế nào là đúng quy tắc giao thông?","opts":{"A":"Xe thô sơ, người đi bộ xuống trước, xe cơ giới, xe máy chuyên dùng xuống sau.","B":" Xe cơ giới, xe máy chuyên dùng xuống trước, xe thô sơ, người đi bộ xuống sau.","C":"Xe cơ giới, xe thô sơ xuống trước, xe máy chuyên dùng, người đi bộ xuống sau."},"answer":"B"},</v>
      </c>
    </row>
    <row r="314" spans="1:17" hidden="1" x14ac:dyDescent="0.25">
      <c r="A314">
        <v>1</v>
      </c>
      <c r="B314" t="s">
        <v>278</v>
      </c>
      <c r="C314">
        <f>IFERROR(COUNTIFS($A$1:A314,"Câu "&amp;"*")-MID(A314,5,FIND(".",A314,1)-5),0)</f>
        <v>0</v>
      </c>
      <c r="D314" t="str">
        <f t="shared" si="21"/>
        <v/>
      </c>
      <c r="E314" t="str">
        <f>SUBSTITUTE(IF(LEFT(A314,3)="Câu",MID(A314,FIND(".",A314,1)+2,LEN(A314)),""),CHAR(34),CHAR(92)&amp;CHAR(34))</f>
        <v/>
      </c>
      <c r="G314" t="str">
        <f>SUBSTITUTE(B315,CHAR(34),CHAR(92)&amp;CHAR(34))</f>
        <v xml:space="preserve"> Xe cơ giới, xe máy chuyên dùng xuống trước, xe thô sơ, người đi bộ xuống sau.</v>
      </c>
      <c r="H314" t="str">
        <f>SUBSTITUTE(B316,CHAR(34),CHAR(92)&amp;CHAR(34))</f>
        <v>Xe cơ giới, xe thô sơ xuống trước, xe máy chuyên dùng, người đi bộ xuống sau.</v>
      </c>
      <c r="I314" t="str">
        <f>SUBSTITUTE(IF(LEFT(A317,3)="Câu","",B317),CHAR(34),CHAR(92)&amp;CHAR(34))</f>
        <v/>
      </c>
      <c r="J314" t="str">
        <f>SUBSTITUTE(IF(OR(LEFT(A318,3)="Câu",I314=""),"",IF(B318=0,"",B318)),CHAR(34),CHAR(92)&amp;CHAR(34))</f>
        <v/>
      </c>
      <c r="K314" t="str">
        <f>SUBSTITUTE(SUBSTITUTE(SUBSTITUTE(SUBSTITUTE(IFERROR(VLOOKUP("Câu "&amp;D314&amp;".",dapan!$E:$J,6,0),""),"1","A"),"2","B"),"3","C"),"4","D")</f>
        <v/>
      </c>
      <c r="P314" t="str">
        <f t="shared" si="19"/>
        <v/>
      </c>
      <c r="Q314" t="str">
        <f t="shared" si="20"/>
        <v/>
      </c>
    </row>
    <row r="315" spans="1:17" hidden="1" x14ac:dyDescent="0.25">
      <c r="A315">
        <v>2</v>
      </c>
      <c r="B315" t="s">
        <v>279</v>
      </c>
      <c r="C315">
        <f>IFERROR(COUNTIFS($A$1:A315,"Câu "&amp;"*")-MID(A315,5,FIND(".",A315,1)-5),0)</f>
        <v>0</v>
      </c>
      <c r="D315" t="str">
        <f t="shared" si="21"/>
        <v/>
      </c>
      <c r="E315" t="str">
        <f>SUBSTITUTE(IF(LEFT(A315,3)="Câu",MID(A315,FIND(".",A315,1)+2,LEN(A315)),""),CHAR(34),CHAR(92)&amp;CHAR(34))</f>
        <v/>
      </c>
      <c r="G315" t="str">
        <f>SUBSTITUTE(B316,CHAR(34),CHAR(92)&amp;CHAR(34))</f>
        <v>Xe cơ giới, xe thô sơ xuống trước, xe máy chuyên dùng, người đi bộ xuống sau.</v>
      </c>
      <c r="H315" t="str">
        <f>SUBSTITUTE(B317,CHAR(34),CHAR(92)&amp;CHAR(34))</f>
        <v/>
      </c>
      <c r="I315" t="str">
        <f>SUBSTITUTE(IF(LEFT(A318,3)="Câu","",B318),CHAR(34),CHAR(92)&amp;CHAR(34))</f>
        <v>Cho xe đi trên bất kỳ làn đường nào hoặc giữa 02 làn đường nếu không có xe đi phía trước; khi cần thiết phải chuyển làn đường, người lái xe phải quan sát xe phía trước để bảo đảm an toàn.</v>
      </c>
      <c r="J315" t="str">
        <f>SUBSTITUTE(IF(OR(LEFT(A319,3)="Câu",I315=""),"",IF(B319=0,"",B319)),CHAR(34),CHAR(92)&amp;CHAR(34))</f>
        <v xml:space="preserve">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v>
      </c>
      <c r="K315" t="str">
        <f>SUBSTITUTE(SUBSTITUTE(SUBSTITUTE(SUBSTITUTE(IFERROR(VLOOKUP("Câu "&amp;D315&amp;".",dapan!$E:$J,6,0),""),"1","A"),"2","B"),"3","C"),"4","D")</f>
        <v/>
      </c>
      <c r="P315" t="str">
        <f t="shared" si="19"/>
        <v/>
      </c>
      <c r="Q315" t="str">
        <f t="shared" si="20"/>
        <v/>
      </c>
    </row>
    <row r="316" spans="1:17" hidden="1" x14ac:dyDescent="0.25">
      <c r="A316">
        <v>3</v>
      </c>
      <c r="B316" t="s">
        <v>280</v>
      </c>
      <c r="C316">
        <f>IFERROR(COUNTIFS($A$1:A316,"Câu "&amp;"*")-MID(A316,5,FIND(".",A316,1)-5),0)</f>
        <v>0</v>
      </c>
      <c r="D316" t="str">
        <f t="shared" si="21"/>
        <v/>
      </c>
      <c r="E316" t="str">
        <f>SUBSTITUTE(IF(LEFT(A316,3)="Câu",MID(A316,FIND(".",A316,1)+2,LEN(A316)),""),CHAR(34),CHAR(92)&amp;CHAR(34))</f>
        <v/>
      </c>
      <c r="G316" t="str">
        <f>SUBSTITUTE(B317,CHAR(34),CHAR(92)&amp;CHAR(34))</f>
        <v/>
      </c>
      <c r="H316" t="str">
        <f>SUBSTITUTE(B318,CHAR(34),CHAR(92)&amp;CHAR(34))</f>
        <v>Cho xe đi trên bất kỳ làn đường nào hoặc giữa 02 làn đường nếu không có xe đi phía trước; khi cần thiết phải chuyển làn đường, người lái xe phải quan sát xe phía trước để bảo đảm an toàn.</v>
      </c>
      <c r="I316" t="str">
        <f>SUBSTITUTE(IF(LEFT(A319,3)="Câu","",B319),CHAR(34),CHAR(92)&amp;CHAR(34))</f>
        <v xml:space="preserve">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v>
      </c>
      <c r="J316" t="str">
        <f>SUBSTITUTE(IF(OR(LEFT(A320,3)="Câu",I316=""),"",IF(B320=0,"",B320)),CHAR(34),CHAR(92)&amp;CHAR(34))</f>
        <v>Phải cho xe đi trong một làn đường, chỉ được chuyển làn đường khi vượt xe phía trước cùng làn đường.</v>
      </c>
      <c r="K316" t="str">
        <f>SUBSTITUTE(SUBSTITUTE(SUBSTITUTE(SUBSTITUTE(IFERROR(VLOOKUP("Câu "&amp;D316&amp;".",dapan!$E:$J,6,0),""),"1","A"),"2","B"),"3","C"),"4","D")</f>
        <v/>
      </c>
      <c r="P316" t="str">
        <f t="shared" si="19"/>
        <v/>
      </c>
      <c r="Q316" t="str">
        <f t="shared" si="20"/>
        <v/>
      </c>
    </row>
    <row r="317" spans="1:17" x14ac:dyDescent="0.25">
      <c r="A317" t="s">
        <v>281</v>
      </c>
      <c r="C317">
        <f>IFERROR(COUNTIFS($A$1:A317,"Câu "&amp;"*")-MID(A317,5,FIND(".",A317,1)-5),0)</f>
        <v>0</v>
      </c>
      <c r="D317">
        <f t="shared" si="21"/>
        <v>78</v>
      </c>
      <c r="E317" t="str">
        <f>SUBSTITUTE(IF(LEFT(A317,3)="Câu",MID(A317,FIND(".",A317,1)+2,LEN(A317)),""),CHAR(34),CHAR(92)&amp;CHAR(34))</f>
        <v>Trên đường có nhiều làn đường cho xe đi cùng chiều được phân biệt bằng vạch kẻ phân làn đường, người điều khiển phương tiện tham gia giao thông đường bộ phải cho xe đi như thế nào?</v>
      </c>
      <c r="G317" t="str">
        <f>SUBSTITUTE(B318,CHAR(34),CHAR(92)&amp;CHAR(34))</f>
        <v>Cho xe đi trên bất kỳ làn đường nào hoặc giữa 02 làn đường nếu không có xe đi phía trước; khi cần thiết phải chuyển làn đường, người lái xe phải quan sát xe phía trước để bảo đảm an toàn.</v>
      </c>
      <c r="H317" t="str">
        <f>SUBSTITUTE(B319,CHAR(34),CHAR(92)&amp;CHAR(34))</f>
        <v xml:space="preserve">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v>
      </c>
      <c r="I317" t="str">
        <f>SUBSTITUTE(IF(LEFT(A320,3)="Câu","",B320),CHAR(34),CHAR(92)&amp;CHAR(34))</f>
        <v>Phải cho xe đi trong một làn đường, chỉ được chuyển làn đường khi vượt xe phía trước cùng làn đường.</v>
      </c>
      <c r="J317" t="str">
        <f>SUBSTITUTE(IF(OR(LEFT(A321,3)="Câu",I317=""),"",IF(B321=0,"",B321)),CHAR(34),CHAR(92)&amp;CHAR(34))</f>
        <v/>
      </c>
      <c r="K317" t="str">
        <f ca="1">SUBSTITUTE(SUBSTITUTE(SUBSTITUTE(SUBSTITUTE(IFERROR(VLOOKUP("Câu "&amp;D317&amp;".",dapan!$E:$J,6,0),""),"1","A"),"2","B"),"3","C"),"4","D")</f>
        <v>B</v>
      </c>
      <c r="P317">
        <f t="shared" si="19"/>
        <v>78</v>
      </c>
      <c r="Q317" t="str">
        <f t="shared" ca="1" si="20"/>
        <v>{"num":78,"id":78,"q":"Trên đường có nhiều làn đường cho xe đi cùng chiều được phân biệt bằng vạch kẻ phân làn đường, người điều khiển phương tiện tham gia giao thông đường bộ phải cho xe đi như thế nào?","opts":{"A":"Cho xe đi trên bất kỳ làn đường nào hoặc giữa 02 làn đường nếu không có xe đi phía trước; khi cần thiết phải chuyển làn đường, người lái xe phải quan sát xe phía trước để bảo đảm an toàn.","B":"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làn.","C":"Phải cho xe đi trong một làn đường, chỉ được chuyển làn đường khi vượt xe phía trước cùng làn đường."},"answer":"B"},</v>
      </c>
    </row>
    <row r="318" spans="1:17" hidden="1" x14ac:dyDescent="0.25">
      <c r="A318">
        <v>1</v>
      </c>
      <c r="B318" t="s">
        <v>282</v>
      </c>
      <c r="C318">
        <f>IFERROR(COUNTIFS($A$1:A318,"Câu "&amp;"*")-MID(A318,5,FIND(".",A318,1)-5),0)</f>
        <v>0</v>
      </c>
      <c r="D318" t="str">
        <f t="shared" si="21"/>
        <v/>
      </c>
      <c r="E318" t="str">
        <f>SUBSTITUTE(IF(LEFT(A318,3)="Câu",MID(A318,FIND(".",A318,1)+2,LEN(A318)),""),CHAR(34),CHAR(92)&amp;CHAR(34))</f>
        <v/>
      </c>
      <c r="G318" t="str">
        <f>SUBSTITUTE(B319,CHAR(34),CHAR(92)&amp;CHAR(34))</f>
        <v xml:space="preserve"> Phải cho xe đi trong một làn đường và chỉ được chuyển làn đường ở những nơi cho phép; mỗi lần chuyển làn đường chỉ được phép chuyển sang một làn đường liền kề; khi chuyển làn đường phải có tín hiệu báo trước; phải quan sát bảo đảm khoảng cách an toàn với xe phía trước, phía sau và hai bên mới được chuyển làn.</v>
      </c>
      <c r="H318" t="str">
        <f>SUBSTITUTE(B320,CHAR(34),CHAR(92)&amp;CHAR(34))</f>
        <v>Phải cho xe đi trong một làn đường, chỉ được chuyển làn đường khi vượt xe phía trước cùng làn đường.</v>
      </c>
      <c r="I318" t="str">
        <f>SUBSTITUTE(IF(LEFT(A321,3)="Câu","",B321),CHAR(34),CHAR(92)&amp;CHAR(34))</f>
        <v/>
      </c>
      <c r="J318" t="str">
        <f>SUBSTITUTE(IF(OR(LEFT(A322,3)="Câu",I318=""),"",IF(B322=0,"",B322)),CHAR(34),CHAR(92)&amp;CHAR(34))</f>
        <v/>
      </c>
      <c r="K318" t="str">
        <f>SUBSTITUTE(SUBSTITUTE(SUBSTITUTE(SUBSTITUTE(IFERROR(VLOOKUP("Câu "&amp;D318&amp;".",dapan!$E:$J,6,0),""),"1","A"),"2","B"),"3","C"),"4","D")</f>
        <v/>
      </c>
      <c r="P318" t="str">
        <f t="shared" si="19"/>
        <v/>
      </c>
      <c r="Q318" t="str">
        <f t="shared" si="20"/>
        <v/>
      </c>
    </row>
    <row r="319" spans="1:17" hidden="1" x14ac:dyDescent="0.25">
      <c r="A319">
        <v>2</v>
      </c>
      <c r="B319" t="s">
        <v>1749</v>
      </c>
      <c r="C319">
        <f>IFERROR(COUNTIFS($A$1:A319,"Câu "&amp;"*")-MID(A319,5,FIND(".",A319,1)-5),0)</f>
        <v>0</v>
      </c>
      <c r="D319" t="str">
        <f t="shared" si="21"/>
        <v/>
      </c>
      <c r="E319" t="str">
        <f>SUBSTITUTE(IF(LEFT(A319,3)="Câu",MID(A319,FIND(".",A319,1)+2,LEN(A319)),""),CHAR(34),CHAR(92)&amp;CHAR(34))</f>
        <v/>
      </c>
      <c r="G319" t="str">
        <f>SUBSTITUTE(B320,CHAR(34),CHAR(92)&amp;CHAR(34))</f>
        <v>Phải cho xe đi trong một làn đường, chỉ được chuyển làn đường khi vượt xe phía trước cùng làn đường.</v>
      </c>
      <c r="H319" t="str">
        <f>SUBSTITUTE(B321,CHAR(34),CHAR(92)&amp;CHAR(34))</f>
        <v/>
      </c>
      <c r="I319" t="str">
        <f>SUBSTITUTE(IF(LEFT(A322,3)="Câu","",B322),CHAR(34),CHAR(92)&amp;CHAR(34))</f>
        <v>Xe thô sơ phải đi trên làn đường bên trái, xe cơ giới, xe máy chuyên dùng đi trên làn đường bên phải trong cùng.</v>
      </c>
      <c r="J319" t="str">
        <f>SUBSTITUTE(IF(OR(LEFT(A323,3)="Câu",I319=""),"",IF(B323=0,"",B323)),CHAR(34),CHAR(92)&amp;CHAR(34))</f>
        <v xml:space="preserve"> Xe thô sơ phải đi trên làn đường bên phải trong cùng, xe cơ giới, xe máy chuyên dùng đi trên làn đường bên trái.</v>
      </c>
      <c r="K319" t="str">
        <f>SUBSTITUTE(SUBSTITUTE(SUBSTITUTE(SUBSTITUTE(IFERROR(VLOOKUP("Câu "&amp;D319&amp;".",dapan!$E:$J,6,0),""),"1","A"),"2","B"),"3","C"),"4","D")</f>
        <v/>
      </c>
      <c r="P319" t="str">
        <f t="shared" si="19"/>
        <v/>
      </c>
      <c r="Q319" t="str">
        <f t="shared" si="20"/>
        <v/>
      </c>
    </row>
    <row r="320" spans="1:17" hidden="1" x14ac:dyDescent="0.25">
      <c r="A320">
        <v>3</v>
      </c>
      <c r="B320" t="s">
        <v>283</v>
      </c>
      <c r="C320">
        <f>IFERROR(COUNTIFS($A$1:A320,"Câu "&amp;"*")-MID(A320,5,FIND(".",A320,1)-5),0)</f>
        <v>0</v>
      </c>
      <c r="D320" t="str">
        <f t="shared" si="21"/>
        <v/>
      </c>
      <c r="E320" t="str">
        <f>SUBSTITUTE(IF(LEFT(A320,3)="Câu",MID(A320,FIND(".",A320,1)+2,LEN(A320)),""),CHAR(34),CHAR(92)&amp;CHAR(34))</f>
        <v/>
      </c>
      <c r="G320" t="str">
        <f>SUBSTITUTE(B321,CHAR(34),CHAR(92)&amp;CHAR(34))</f>
        <v/>
      </c>
      <c r="H320" t="str">
        <f>SUBSTITUTE(B322,CHAR(34),CHAR(92)&amp;CHAR(34))</f>
        <v>Xe thô sơ phải đi trên làn đường bên trái, xe cơ giới, xe máy chuyên dùng đi trên làn đường bên phải trong cùng.</v>
      </c>
      <c r="I320" t="str">
        <f>SUBSTITUTE(IF(LEFT(A323,3)="Câu","",B323),CHAR(34),CHAR(92)&amp;CHAR(34))</f>
        <v xml:space="preserve"> Xe thô sơ phải đi trên làn đường bên phải trong cùng, xe cơ giới, xe máy chuyên dùng đi trên làn đường bên trái.</v>
      </c>
      <c r="J320" t="str">
        <f>SUBSTITUTE(IF(OR(LEFT(A324,3)="Câu",I320=""),"",IF(B324=0,"",B324)),CHAR(34),CHAR(92)&amp;CHAR(34))</f>
        <v>Xe thô sơ phải đi trên làn đường bên phải trong cùng, xe cơ giới, xe máy chuyên dùng được đi trên tất cả các làn đường.</v>
      </c>
      <c r="K320" t="str">
        <f>SUBSTITUTE(SUBSTITUTE(SUBSTITUTE(SUBSTITUTE(IFERROR(VLOOKUP("Câu "&amp;D320&amp;".",dapan!$E:$J,6,0),""),"1","A"),"2","B"),"3","C"),"4","D")</f>
        <v/>
      </c>
      <c r="P320" t="str">
        <f t="shared" si="19"/>
        <v/>
      </c>
      <c r="Q320" t="str">
        <f t="shared" si="20"/>
        <v/>
      </c>
    </row>
    <row r="321" spans="1:17" x14ac:dyDescent="0.25">
      <c r="A321" t="s">
        <v>284</v>
      </c>
      <c r="C321">
        <f>IFERROR(COUNTIFS($A$1:A321,"Câu "&amp;"*")-MID(A321,5,FIND(".",A321,1)-5),0)</f>
        <v>0</v>
      </c>
      <c r="D321">
        <f t="shared" si="21"/>
        <v>79</v>
      </c>
      <c r="E321" t="str">
        <f>SUBSTITUTE(IF(LEFT(A321,3)="Câu",MID(A321,FIND(".",A321,1)+2,LEN(A321)),""),CHAR(34),CHAR(92)&amp;CHAR(34))</f>
        <v>Trên đường một chiều có vạch kẻ phân làn đường, xe thô sơ và xe cơ giới phải đi như thế nào là đúng quy tắc giao thông?</v>
      </c>
      <c r="G321" t="str">
        <f>SUBSTITUTE(B322,CHAR(34),CHAR(92)&amp;CHAR(34))</f>
        <v>Xe thô sơ phải đi trên làn đường bên trái, xe cơ giới, xe máy chuyên dùng đi trên làn đường bên phải trong cùng.</v>
      </c>
      <c r="H321" t="str">
        <f>SUBSTITUTE(B323,CHAR(34),CHAR(92)&amp;CHAR(34))</f>
        <v xml:space="preserve"> Xe thô sơ phải đi trên làn đường bên phải trong cùng, xe cơ giới, xe máy chuyên dùng đi trên làn đường bên trái.</v>
      </c>
      <c r="I321" t="str">
        <f>SUBSTITUTE(IF(LEFT(A324,3)="Câu","",B324),CHAR(34),CHAR(92)&amp;CHAR(34))</f>
        <v>Xe thô sơ phải đi trên làn đường bên phải trong cùng, xe cơ giới, xe máy chuyên dùng được đi trên tất cả các làn đường.</v>
      </c>
      <c r="J321" t="str">
        <f>SUBSTITUTE(IF(OR(LEFT(A325,3)="Câu",I321=""),"",IF(B325=0,"",B325)),CHAR(34),CHAR(92)&amp;CHAR(34))</f>
        <v/>
      </c>
      <c r="K321" t="str">
        <f ca="1">SUBSTITUTE(SUBSTITUTE(SUBSTITUTE(SUBSTITUTE(IFERROR(VLOOKUP("Câu "&amp;D321&amp;".",dapan!$E:$J,6,0),""),"1","A"),"2","B"),"3","C"),"4","D")</f>
        <v>B</v>
      </c>
      <c r="P321">
        <f t="shared" si="19"/>
        <v>79</v>
      </c>
      <c r="Q321" t="str">
        <f t="shared" ca="1" si="20"/>
        <v>{"num":79,"id":79,"q":"Trên đường một chiều có vạch kẻ phân làn đường, xe thô sơ và xe cơ giới phải đi như thế nào là đúng quy tắc giao thông?","opts":{"A":"Xe thô sơ phải đi trên làn đường bên trái, xe cơ giới, xe máy chuyên dùng đi trên làn đường bên phải trong cùng.","B":" Xe thô sơ phải đi trên làn đường bên phải trong cùng, xe cơ giới, xe máy chuyên dùng đi trên làn đường bên trái.","C":"Xe thô sơ phải đi trên làn đường bên phải trong cùng, xe cơ giới, xe máy chuyên dùng được đi trên tất cả các làn đường."},"answer":"B"},</v>
      </c>
    </row>
    <row r="322" spans="1:17" hidden="1" x14ac:dyDescent="0.25">
      <c r="A322">
        <v>1</v>
      </c>
      <c r="B322" t="s">
        <v>285</v>
      </c>
      <c r="C322">
        <f>IFERROR(COUNTIFS($A$1:A322,"Câu "&amp;"*")-MID(A322,5,FIND(".",A322,1)-5),0)</f>
        <v>0</v>
      </c>
      <c r="D322" t="str">
        <f t="shared" si="21"/>
        <v/>
      </c>
      <c r="E322" t="str">
        <f>SUBSTITUTE(IF(LEFT(A322,3)="Câu",MID(A322,FIND(".",A322,1)+2,LEN(A322)),""),CHAR(34),CHAR(92)&amp;CHAR(34))</f>
        <v/>
      </c>
      <c r="G322" t="str">
        <f>SUBSTITUTE(B323,CHAR(34),CHAR(92)&amp;CHAR(34))</f>
        <v xml:space="preserve"> Xe thô sơ phải đi trên làn đường bên phải trong cùng, xe cơ giới, xe máy chuyên dùng đi trên làn đường bên trái.</v>
      </c>
      <c r="H322" t="str">
        <f>SUBSTITUTE(B324,CHAR(34),CHAR(92)&amp;CHAR(34))</f>
        <v>Xe thô sơ phải đi trên làn đường bên phải trong cùng, xe cơ giới, xe máy chuyên dùng được đi trên tất cả các làn đường.</v>
      </c>
      <c r="I322" t="str">
        <f>SUBSTITUTE(IF(LEFT(A325,3)="Câu","",B325),CHAR(34),CHAR(92)&amp;CHAR(34))</f>
        <v/>
      </c>
      <c r="J322" t="str">
        <f>SUBSTITUTE(IF(OR(LEFT(A326,3)="Câu",I322=""),"",IF(B326=0,"",B326)),CHAR(34),CHAR(92)&amp;CHAR(34))</f>
        <v/>
      </c>
      <c r="K322" t="str">
        <f>SUBSTITUTE(SUBSTITUTE(SUBSTITUTE(SUBSTITUTE(IFERROR(VLOOKUP("Câu "&amp;D322&amp;".",dapan!$E:$J,6,0),""),"1","A"),"2","B"),"3","C"),"4","D")</f>
        <v/>
      </c>
      <c r="P322" t="str">
        <f t="shared" si="19"/>
        <v/>
      </c>
      <c r="Q322" t="str">
        <f t="shared" si="20"/>
        <v/>
      </c>
    </row>
    <row r="323" spans="1:17" hidden="1" x14ac:dyDescent="0.25">
      <c r="A323">
        <v>2</v>
      </c>
      <c r="B323" t="s">
        <v>286</v>
      </c>
      <c r="C323">
        <f>IFERROR(COUNTIFS($A$1:A323,"Câu "&amp;"*")-MID(A323,5,FIND(".",A323,1)-5),0)</f>
        <v>0</v>
      </c>
      <c r="D323" t="str">
        <f t="shared" si="21"/>
        <v/>
      </c>
      <c r="E323" t="str">
        <f>SUBSTITUTE(IF(LEFT(A323,3)="Câu",MID(A323,FIND(".",A323,1)+2,LEN(A323)),""),CHAR(34),CHAR(92)&amp;CHAR(34))</f>
        <v/>
      </c>
      <c r="G323" t="str">
        <f>SUBSTITUTE(B324,CHAR(34),CHAR(92)&amp;CHAR(34))</f>
        <v>Xe thô sơ phải đi trên làn đường bên phải trong cùng, xe cơ giới, xe máy chuyên dùng được đi trên tất cả các làn đường.</v>
      </c>
      <c r="H323" t="str">
        <f>SUBSTITUTE(B325,CHAR(34),CHAR(92)&amp;CHAR(34))</f>
        <v/>
      </c>
      <c r="I323" t="str">
        <f>SUBSTITUTE(IF(LEFT(A326,3)="Câu","",B326),CHAR(34),CHAR(92)&amp;CHAR(34))</f>
        <v>Chỉ được báo hiệu bằng còi.</v>
      </c>
      <c r="J323" t="str">
        <f>SUBSTITUTE(IF(OR(LEFT(A327,3)="Câu",I323=""),"",IF(B327=0,"",B327)),CHAR(34),CHAR(92)&amp;CHAR(34))</f>
        <v>Phải báo hiệu bằng cả còi và đèn.</v>
      </c>
      <c r="K323" t="str">
        <f>SUBSTITUTE(SUBSTITUTE(SUBSTITUTE(SUBSTITUTE(IFERROR(VLOOKUP("Câu "&amp;D323&amp;".",dapan!$E:$J,6,0),""),"1","A"),"2","B"),"3","C"),"4","D")</f>
        <v/>
      </c>
      <c r="P323" t="str">
        <f t="shared" ref="P323:P386" si="22">D323</f>
        <v/>
      </c>
      <c r="Q323" t="str">
        <f t="shared" ref="Q323:Q386" si="23">IF(D323="","",CHAR(123)&amp;CHAR(34)&amp;"num"&amp;CHAR(34)&amp;":"&amp;P323&amp;","&amp;CHAR(34)&amp;"id"&amp;CHAR(34)&amp;":"&amp;D323&amp;","
&amp;CHAR(34)&amp;"q"&amp;CHAR(34)&amp;":"&amp;CHAR(34)&amp;E323&amp;CHAR(34)&amp;","
&amp;IF(F323="","",CHAR(34)&amp;"img"&amp;CHAR(34)&amp;":"&amp;CHAR(34)&amp;F323&amp;CHAR(34)&amp;",")
&amp;CHAR(34)&amp;"opts"&amp;CHAR(34)&amp;":"&amp;CHAR(123)&amp;CHAR(34)&amp;"A"&amp;CHAR(34)&amp;":"&amp;CHAR(34)&amp;G323&amp;CHAR(34)&amp;","&amp;CHAR(34)&amp;"B"&amp;CHAR(34)&amp;":"&amp;CHAR(34)&amp;H323&amp;CHAR(34)
&amp;IF(I323="","",","&amp;CHAR(34)&amp;"C"&amp;CHAR(34)&amp;":"&amp;CHAR(34)&amp;I323&amp;CHAR(34))&amp;IF(J323="","",","&amp;CHAR(34)&amp;"D"&amp;CHAR(34)&amp;":"&amp;CHAR(34)&amp;J323&amp;CHAR(34))&amp;CHAR(125)&amp;","
&amp;CHAR(34)&amp;"answer"&amp;CHAR(34)&amp;":"&amp;CHAR(34)&amp;K323&amp;CHAR(34)
&amp;IF(L323="","",","&amp;CHAR(34)&amp;"danger"&amp;CHAR(34)&amp;":"&amp;CHAR(34)&amp;"true"&amp;CHAR(34))
&amp;IF(M323="","",","&amp;CHAR(34)&amp;"explain"&amp;CHAR(34)&amp;":"&amp;CHAR(34)&amp;M323&amp;CHAR(34))
&amp;IF(N323="","",","&amp;CHAR(34)&amp;"explainImg"&amp;CHAR(34)&amp;":"&amp;CHAR(34)&amp;N323&amp;CHAR(34))
&amp;IF(O323="","",","&amp;CHAR(34)&amp;"shuffle"&amp;CHAR(34)&amp;":"&amp;CHAR(34)&amp;"false"&amp;CHAR(34))&amp;CHAR(125)&amp;",")</f>
        <v/>
      </c>
    </row>
    <row r="324" spans="1:17" hidden="1" x14ac:dyDescent="0.25">
      <c r="A324">
        <v>3</v>
      </c>
      <c r="B324" t="s">
        <v>287</v>
      </c>
      <c r="C324">
        <f>IFERROR(COUNTIFS($A$1:A324,"Câu "&amp;"*")-MID(A324,5,FIND(".",A324,1)-5),0)</f>
        <v>0</v>
      </c>
      <c r="D324" t="str">
        <f t="shared" si="21"/>
        <v/>
      </c>
      <c r="E324" t="str">
        <f>SUBSTITUTE(IF(LEFT(A324,3)="Câu",MID(A324,FIND(".",A324,1)+2,LEN(A324)),""),CHAR(34),CHAR(92)&amp;CHAR(34))</f>
        <v/>
      </c>
      <c r="G324" t="str">
        <f>SUBSTITUTE(B325,CHAR(34),CHAR(92)&amp;CHAR(34))</f>
        <v/>
      </c>
      <c r="H324" t="str">
        <f>SUBSTITUTE(B326,CHAR(34),CHAR(92)&amp;CHAR(34))</f>
        <v>Chỉ được báo hiệu bằng còi.</v>
      </c>
      <c r="I324" t="str">
        <f>SUBSTITUTE(IF(LEFT(A327,3)="Câu","",B327),CHAR(34),CHAR(92)&amp;CHAR(34))</f>
        <v>Phải báo hiệu bằng cả còi và đèn.</v>
      </c>
      <c r="J324" t="str">
        <f>SUBSTITUTE(IF(OR(LEFT(A328,3)="Câu",I324=""),"",IF(B328=0,"",B328)),CHAR(34),CHAR(92)&amp;CHAR(34))</f>
        <v xml:space="preserve"> Chỉ được báo hiệu bằng đèn.</v>
      </c>
      <c r="K324" t="str">
        <f>SUBSTITUTE(SUBSTITUTE(SUBSTITUTE(SUBSTITUTE(IFERROR(VLOOKUP("Câu "&amp;D324&amp;".",dapan!$E:$J,6,0),""),"1","A"),"2","B"),"3","C"),"4","D")</f>
        <v/>
      </c>
      <c r="P324" t="str">
        <f t="shared" si="22"/>
        <v/>
      </c>
      <c r="Q324" t="str">
        <f t="shared" si="23"/>
        <v/>
      </c>
    </row>
    <row r="325" spans="1:17" x14ac:dyDescent="0.25">
      <c r="A325" t="s">
        <v>288</v>
      </c>
      <c r="C325">
        <f>IFERROR(COUNTIFS($A$1:A325,"Câu "&amp;"*")-MID(A325,5,FIND(".",A325,1)-5),0)</f>
        <v>0</v>
      </c>
      <c r="D325">
        <f t="shared" si="21"/>
        <v>80</v>
      </c>
      <c r="E325" t="str">
        <f>SUBSTITUTE(IF(LEFT(A325,3)="Câu",MID(A325,FIND(".",A325,1)+2,LEN(A325)),""),CHAR(34),CHAR(92)&amp;CHAR(34))</f>
        <v>Khi lái xe trong đô thị và khu đông dân cư trong thời gian từ 22 giờ ngày hôm trước đến 05 giờ ngày hôm sau, nếu cần vượt một xe khác, người lái xe phải báo hiệu như thế nào là đúng quy tắc giao thông?</v>
      </c>
      <c r="G325" t="str">
        <f>SUBSTITUTE(B326,CHAR(34),CHAR(92)&amp;CHAR(34))</f>
        <v>Chỉ được báo hiệu bằng còi.</v>
      </c>
      <c r="H325" t="str">
        <f>SUBSTITUTE(B327,CHAR(34),CHAR(92)&amp;CHAR(34))</f>
        <v>Phải báo hiệu bằng cả còi và đèn.</v>
      </c>
      <c r="I325" t="str">
        <f>SUBSTITUTE(IF(LEFT(A328,3)="Câu","",B328),CHAR(34),CHAR(92)&amp;CHAR(34))</f>
        <v xml:space="preserve"> Chỉ được báo hiệu bằng đèn.</v>
      </c>
      <c r="J325" t="str">
        <f>SUBSTITUTE(IF(OR(LEFT(A329,3)="Câu",I325=""),"",IF(B329=0,"",B329)),CHAR(34),CHAR(92)&amp;CHAR(34))</f>
        <v/>
      </c>
      <c r="K325" t="str">
        <f ca="1">SUBSTITUTE(SUBSTITUTE(SUBSTITUTE(SUBSTITUTE(IFERROR(VLOOKUP("Câu "&amp;D325&amp;".",dapan!$E:$J,6,0),""),"1","A"),"2","B"),"3","C"),"4","D")</f>
        <v>C</v>
      </c>
      <c r="P325">
        <f t="shared" si="22"/>
        <v>80</v>
      </c>
      <c r="Q325" t="str">
        <f t="shared" ca="1" si="23"/>
        <v>{"num":80,"id":80,"q":"Khi lái xe trong đô thị và khu đông dân cư trong thời gian từ 22 giờ ngày hôm trước đến 05 giờ ngày hôm sau, nếu cần vượt một xe khác, người lái xe phải báo hiệu như thế nào là đúng quy tắc giao thông?","opts":{"A":"Chỉ được báo hiệu bằng còi.","B":"Phải báo hiệu bằng cả còi và đèn.","C":" Chỉ được báo hiệu bằng đèn."},"answer":"C"},</v>
      </c>
    </row>
    <row r="326" spans="1:17" hidden="1" x14ac:dyDescent="0.25">
      <c r="A326">
        <v>1</v>
      </c>
      <c r="B326" t="s">
        <v>289</v>
      </c>
      <c r="C326">
        <f>IFERROR(COUNTIFS($A$1:A326,"Câu "&amp;"*")-MID(A326,5,FIND(".",A326,1)-5),0)</f>
        <v>0</v>
      </c>
      <c r="D326" t="str">
        <f t="shared" si="21"/>
        <v/>
      </c>
      <c r="E326" t="str">
        <f>SUBSTITUTE(IF(LEFT(A326,3)="Câu",MID(A326,FIND(".",A326,1)+2,LEN(A326)),""),CHAR(34),CHAR(92)&amp;CHAR(34))</f>
        <v/>
      </c>
      <c r="G326" t="str">
        <f>SUBSTITUTE(B327,CHAR(34),CHAR(92)&amp;CHAR(34))</f>
        <v>Phải báo hiệu bằng cả còi và đèn.</v>
      </c>
      <c r="H326" t="str">
        <f>SUBSTITUTE(B328,CHAR(34),CHAR(92)&amp;CHAR(34))</f>
        <v xml:space="preserve"> Chỉ được báo hiệu bằng đèn.</v>
      </c>
      <c r="I326" t="str">
        <f>SUBSTITUTE(IF(LEFT(A329,3)="Câu","",B329),CHAR(34),CHAR(92)&amp;CHAR(34))</f>
        <v/>
      </c>
      <c r="J326" t="str">
        <f>SUBSTITUTE(IF(OR(LEFT(A330,3)="Câu",I326=""),"",IF(B330=0,"",B330)),CHAR(34),CHAR(92)&amp;CHAR(34))</f>
        <v/>
      </c>
      <c r="K326" t="str">
        <f>SUBSTITUTE(SUBSTITUTE(SUBSTITUTE(SUBSTITUTE(IFERROR(VLOOKUP("Câu "&amp;D326&amp;".",dapan!$E:$J,6,0),""),"1","A"),"2","B"),"3","C"),"4","D")</f>
        <v/>
      </c>
      <c r="P326" t="str">
        <f t="shared" si="22"/>
        <v/>
      </c>
      <c r="Q326" t="str">
        <f t="shared" si="23"/>
        <v/>
      </c>
    </row>
    <row r="327" spans="1:17" hidden="1" x14ac:dyDescent="0.25">
      <c r="A327">
        <v>2</v>
      </c>
      <c r="B327" t="s">
        <v>290</v>
      </c>
      <c r="C327">
        <f>IFERROR(COUNTIFS($A$1:A327,"Câu "&amp;"*")-MID(A327,5,FIND(".",A327,1)-5),0)</f>
        <v>0</v>
      </c>
      <c r="D327" t="str">
        <f t="shared" si="21"/>
        <v/>
      </c>
      <c r="E327" t="str">
        <f>SUBSTITUTE(IF(LEFT(A327,3)="Câu",MID(A327,FIND(".",A327,1)+2,LEN(A327)),""),CHAR(34),CHAR(92)&amp;CHAR(34))</f>
        <v/>
      </c>
      <c r="G327" t="str">
        <f>SUBSTITUTE(B328,CHAR(34),CHAR(92)&amp;CHAR(34))</f>
        <v xml:space="preserve"> Chỉ được báo hiệu bằng đèn.</v>
      </c>
      <c r="H327" t="str">
        <f>SUBSTITUTE(B329,CHAR(34),CHAR(92)&amp;CHAR(34))</f>
        <v/>
      </c>
      <c r="I327" t="str">
        <f>SUBSTITUTE(IF(LEFT(A330,3)="Câu","",B330),CHAR(34),CHAR(92)&amp;CHAR(34))</f>
        <v>Tăng tốc độ và ra hiệu cho xe sau vượt, không được gây trở ngại cho xe xin vượt.</v>
      </c>
      <c r="J327" t="str">
        <f>SUBSTITUTE(IF(OR(LEFT(A331,3)="Câu",I327=""),"",IF(B331=0,"",B331)),CHAR(34),CHAR(92)&amp;CHAR(34))</f>
        <v xml:space="preserve">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v>
      </c>
      <c r="K327" t="str">
        <f>SUBSTITUTE(SUBSTITUTE(SUBSTITUTE(SUBSTITUTE(IFERROR(VLOOKUP("Câu "&amp;D327&amp;".",dapan!$E:$J,6,0),""),"1","A"),"2","B"),"3","C"),"4","D")</f>
        <v/>
      </c>
      <c r="P327" t="str">
        <f t="shared" si="22"/>
        <v/>
      </c>
      <c r="Q327" t="str">
        <f t="shared" si="23"/>
        <v/>
      </c>
    </row>
    <row r="328" spans="1:17" hidden="1" x14ac:dyDescent="0.25">
      <c r="A328">
        <v>3</v>
      </c>
      <c r="B328" t="s">
        <v>291</v>
      </c>
      <c r="C328">
        <f>IFERROR(COUNTIFS($A$1:A328,"Câu "&amp;"*")-MID(A328,5,FIND(".",A328,1)-5),0)</f>
        <v>0</v>
      </c>
      <c r="D328" t="str">
        <f t="shared" si="21"/>
        <v/>
      </c>
      <c r="E328" t="str">
        <f>SUBSTITUTE(IF(LEFT(A328,3)="Câu",MID(A328,FIND(".",A328,1)+2,LEN(A328)),""),CHAR(34),CHAR(92)&amp;CHAR(34))</f>
        <v/>
      </c>
      <c r="G328" t="str">
        <f>SUBSTITUTE(B329,CHAR(34),CHAR(92)&amp;CHAR(34))</f>
        <v/>
      </c>
      <c r="H328" t="str">
        <f>SUBSTITUTE(B330,CHAR(34),CHAR(92)&amp;CHAR(34))</f>
        <v>Tăng tốc độ và ra hiệu cho xe sau vượt, không được gây trở ngại cho xe xin vượt.</v>
      </c>
      <c r="I328" t="str">
        <f>SUBSTITUTE(IF(LEFT(A331,3)="Câu","",B331),CHAR(34),CHAR(92)&amp;CHAR(34))</f>
        <v xml:space="preserve">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v>
      </c>
      <c r="J328" t="str">
        <f>SUBSTITUTE(IF(OR(LEFT(A332,3)="Câu",I328=""),"",IF(B332=0,"",B332)),CHAR(34),CHAR(92)&amp;CHAR(34))</f>
        <v>Cho xe đi sát về bên trái của phần đường xe chạy và ra hiệu cho xe sau vượt, không được gây trở ngại cho xe xin vượt.</v>
      </c>
      <c r="K328" t="str">
        <f>SUBSTITUTE(SUBSTITUTE(SUBSTITUTE(SUBSTITUTE(IFERROR(VLOOKUP("Câu "&amp;D328&amp;".",dapan!$E:$J,6,0),""),"1","A"),"2","B"),"3","C"),"4","D")</f>
        <v/>
      </c>
      <c r="P328" t="str">
        <f t="shared" si="22"/>
        <v/>
      </c>
      <c r="Q328" t="str">
        <f t="shared" si="23"/>
        <v/>
      </c>
    </row>
    <row r="329" spans="1:17" x14ac:dyDescent="0.25">
      <c r="A329" t="s">
        <v>292</v>
      </c>
      <c r="C329">
        <f>IFERROR(COUNTIFS($A$1:A329,"Câu "&amp;"*")-MID(A329,5,FIND(".",A329,1)-5),0)</f>
        <v>0</v>
      </c>
      <c r="D329">
        <f t="shared" si="21"/>
        <v>81</v>
      </c>
      <c r="E329" t="str">
        <f>SUBSTITUTE(IF(LEFT(A329,3)="Câu",MID(A329,FIND(".",A329,1)+2,LEN(A329)),""),CHAR(34),CHAR(92)&amp;CHAR(34))</f>
        <v>Khi điều khiển xe chạy trên đường, biết có xe sau xin vượt, nếu đủ điều kiện an toàn người điều khiển phương tiện phải làm gì?</v>
      </c>
      <c r="G329" t="str">
        <f>SUBSTITUTE(B330,CHAR(34),CHAR(92)&amp;CHAR(34))</f>
        <v>Tăng tốc độ và ra hiệu cho xe sau vượt, không được gây trở ngại cho xe xin vượt.</v>
      </c>
      <c r="H329" t="str">
        <f>SUBSTITUTE(B331,CHAR(34),CHAR(92)&amp;CHAR(34))</f>
        <v xml:space="preserve">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v>
      </c>
      <c r="I329" t="str">
        <f>SUBSTITUTE(IF(LEFT(A332,3)="Câu","",B332),CHAR(34),CHAR(92)&amp;CHAR(34))</f>
        <v>Cho xe đi sát về bên trái của phần đường xe chạy và ra hiệu cho xe sau vượt, không được gây trở ngại cho xe xin vượt.</v>
      </c>
      <c r="J329" t="str">
        <f>SUBSTITUTE(IF(OR(LEFT(A333,3)="Câu",I329=""),"",IF(B333=0,"",B333)),CHAR(34),CHAR(92)&amp;CHAR(34))</f>
        <v/>
      </c>
      <c r="K329" t="str">
        <f ca="1">SUBSTITUTE(SUBSTITUTE(SUBSTITUTE(SUBSTITUTE(IFERROR(VLOOKUP("Câu "&amp;D329&amp;".",dapan!$E:$J,6,0),""),"1","A"),"2","B"),"3","C"),"4","D")</f>
        <v>B</v>
      </c>
      <c r="P329">
        <f t="shared" si="22"/>
        <v>81</v>
      </c>
      <c r="Q329" t="str">
        <f t="shared" ca="1" si="23"/>
        <v>{"num":81,"id":81,"q":"Khi điều khiển xe chạy trên đường, biết có xe sau xin vượt, nếu đủ điều kiện an toàn người điều khiển phương tiện phải làm gì?","opts":{"A":"Tăng tốc độ và ra hiệu cho xe sau vượt, không được gây trở ngại cho xe xin vượt.","B":"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vượt.","C":"Cho xe đi sát về bên trái của phần đường xe chạy và ra hiệu cho xe sau vượt, không được gây trở ngại cho xe xin vượt."},"answer":"B"},</v>
      </c>
    </row>
    <row r="330" spans="1:17" hidden="1" x14ac:dyDescent="0.25">
      <c r="A330">
        <v>1</v>
      </c>
      <c r="B330" t="s">
        <v>293</v>
      </c>
      <c r="C330">
        <f>IFERROR(COUNTIFS($A$1:A330,"Câu "&amp;"*")-MID(A330,5,FIND(".",A330,1)-5),0)</f>
        <v>0</v>
      </c>
      <c r="D330" t="str">
        <f t="shared" si="21"/>
        <v/>
      </c>
      <c r="E330" t="str">
        <f>SUBSTITUTE(IF(LEFT(A330,3)="Câu",MID(A330,FIND(".",A330,1)+2,LEN(A330)),""),CHAR(34),CHAR(92)&amp;CHAR(34))</f>
        <v/>
      </c>
      <c r="G330" t="str">
        <f>SUBSTITUTE(B331,CHAR(34),CHAR(92)&amp;CHAR(34))</f>
        <v xml:space="preserve">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v>
      </c>
      <c r="H330" t="str">
        <f>SUBSTITUTE(B332,CHAR(34),CHAR(92)&amp;CHAR(34))</f>
        <v>Cho xe đi sát về bên trái của phần đường xe chạy và ra hiệu cho xe sau vượt, không được gây trở ngại cho xe xin vượt.</v>
      </c>
      <c r="I330" t="str">
        <f>SUBSTITUTE(IF(LEFT(A333,3)="Câu","",B333),CHAR(34),CHAR(92)&amp;CHAR(34))</f>
        <v/>
      </c>
      <c r="J330" t="str">
        <f>SUBSTITUTE(IF(OR(LEFT(A334,3)="Câu",I330=""),"",IF(B334=0,"",B334)),CHAR(34),CHAR(92)&amp;CHAR(34))</f>
        <v/>
      </c>
      <c r="K330" t="str">
        <f>SUBSTITUTE(SUBSTITUTE(SUBSTITUTE(SUBSTITUTE(IFERROR(VLOOKUP("Câu "&amp;D330&amp;".",dapan!$E:$J,6,0),""),"1","A"),"2","B"),"3","C"),"4","D")</f>
        <v/>
      </c>
      <c r="P330" t="str">
        <f t="shared" si="22"/>
        <v/>
      </c>
      <c r="Q330" t="str">
        <f t="shared" si="23"/>
        <v/>
      </c>
    </row>
    <row r="331" spans="1:17" hidden="1" x14ac:dyDescent="0.25">
      <c r="A331">
        <v>2</v>
      </c>
      <c r="B331" t="s">
        <v>294</v>
      </c>
      <c r="C331">
        <f>IFERROR(COUNTIFS($A$1:A331,"Câu "&amp;"*")-MID(A331,5,FIND(".",A331,1)-5),0)</f>
        <v>0</v>
      </c>
      <c r="D331" t="str">
        <f t="shared" si="21"/>
        <v/>
      </c>
      <c r="E331" t="str">
        <f>SUBSTITUTE(IF(LEFT(A331,3)="Câu",MID(A331,FIND(".",A331,1)+2,LEN(A331)),""),CHAR(34),CHAR(92)&amp;CHAR(34))</f>
        <v/>
      </c>
      <c r="G331" t="str">
        <f>SUBSTITUTE(B332,CHAR(34),CHAR(92)&amp;CHAR(34))</f>
        <v>Cho xe đi sát về bên trái của phần đường xe chạy và ra hiệu cho xe sau vượt, không được gây trở ngại cho xe xin vượt.</v>
      </c>
      <c r="H331" t="str">
        <f>SUBSTITUTE(B333,CHAR(34),CHAR(92)&amp;CHAR(34))</f>
        <v/>
      </c>
      <c r="I331" t="str">
        <f>SUBSTITUTE(IF(LEFT(A334,3)="Câu","",B334),CHAR(34),CHAR(92)&amp;CHAR(34))</f>
        <v xml:space="preserve"> Có tín hiệu rẽ trái để báo hiệu cho người điều khiển phương tiện tham gia giao thông đường bộ phía sau biết là chưa được vượt.</v>
      </c>
      <c r="J331" t="str">
        <f>SUBSTITUTE(IF(OR(LEFT(A335,3)="Câu",I331=""),"",IF(B335=0,"",B335)),CHAR(34),CHAR(92)&amp;CHAR(34))</f>
        <v>Tiếp tục đi cho đến khi đủ điều kiện an toàn, nếu xe sau vẫn xin vượt thì báo hiệu cho xe sau vượt.</v>
      </c>
      <c r="K331" t="str">
        <f>SUBSTITUTE(SUBSTITUTE(SUBSTITUTE(SUBSTITUTE(IFERROR(VLOOKUP("Câu "&amp;D331&amp;".",dapan!$E:$J,6,0),""),"1","A"),"2","B"),"3","C"),"4","D")</f>
        <v/>
      </c>
      <c r="P331" t="str">
        <f t="shared" si="22"/>
        <v/>
      </c>
      <c r="Q331" t="str">
        <f t="shared" si="23"/>
        <v/>
      </c>
    </row>
    <row r="332" spans="1:17" hidden="1" x14ac:dyDescent="0.25">
      <c r="A332">
        <v>3</v>
      </c>
      <c r="B332" t="s">
        <v>295</v>
      </c>
      <c r="C332">
        <f>IFERROR(COUNTIFS($A$1:A332,"Câu "&amp;"*")-MID(A332,5,FIND(".",A332,1)-5),0)</f>
        <v>0</v>
      </c>
      <c r="D332" t="str">
        <f t="shared" si="21"/>
        <v/>
      </c>
      <c r="E332" t="str">
        <f>SUBSTITUTE(IF(LEFT(A332,3)="Câu",MID(A332,FIND(".",A332,1)+2,LEN(A332)),""),CHAR(34),CHAR(92)&amp;CHAR(34))</f>
        <v/>
      </c>
      <c r="G332" t="str">
        <f>SUBSTITUTE(B333,CHAR(34),CHAR(92)&amp;CHAR(34))</f>
        <v/>
      </c>
      <c r="H332" t="str">
        <f>SUBSTITUTE(B334,CHAR(34),CHAR(92)&amp;CHAR(34))</f>
        <v xml:space="preserve"> Có tín hiệu rẽ trái để báo hiệu cho người điều khiển phương tiện tham gia giao thông đường bộ phía sau biết là chưa được vượt.</v>
      </c>
      <c r="I332" t="str">
        <f>SUBSTITUTE(IF(LEFT(A335,3)="Câu","",B335),CHAR(34),CHAR(92)&amp;CHAR(34))</f>
        <v>Tiếp tục đi cho đến khi đủ điều kiện an toàn, nếu xe sau vẫn xin vượt thì báo hiệu cho xe sau vượt.</v>
      </c>
      <c r="J332" t="str">
        <f>SUBSTITUTE(IF(OR(LEFT(A336,3)="Câu",I332=""),"",IF(B336=0,"",B336)),CHAR(34),CHAR(92)&amp;CHAR(34))</f>
        <v>Tăng tốc độ để báo hiệu cho xe xin vượt biết là chưa được vượt.</v>
      </c>
      <c r="K332" t="str">
        <f>SUBSTITUTE(SUBSTITUTE(SUBSTITUTE(SUBSTITUTE(IFERROR(VLOOKUP("Câu "&amp;D332&amp;".",dapan!$E:$J,6,0),""),"1","A"),"2","B"),"3","C"),"4","D")</f>
        <v/>
      </c>
      <c r="P332" t="str">
        <f t="shared" si="22"/>
        <v/>
      </c>
      <c r="Q332" t="str">
        <f t="shared" si="23"/>
        <v/>
      </c>
    </row>
    <row r="333" spans="1:17" x14ac:dyDescent="0.25">
      <c r="A333" t="s">
        <v>296</v>
      </c>
      <c r="C333">
        <f>IFERROR(COUNTIFS($A$1:A333,"Câu "&amp;"*")-MID(A333,5,FIND(".",A333,1)-5),0)</f>
        <v>0</v>
      </c>
      <c r="D333">
        <f t="shared" si="21"/>
        <v>82</v>
      </c>
      <c r="E333" t="str">
        <f>SUBSTITUTE(IF(LEFT(A333,3)="Câu",MID(A333,FIND(".",A333,1)+2,LEN(A333)),""),CHAR(34),CHAR(92)&amp;CHAR(34))</f>
        <v>Khi điều khiển xe chạy trên đường, biết có xe sau xin vượt, nếu không đủ điều kiện an toàn người điều khiển phương tiện phải làm gì?</v>
      </c>
      <c r="G333" t="str">
        <f>SUBSTITUTE(B334,CHAR(34),CHAR(92)&amp;CHAR(34))</f>
        <v xml:space="preserve"> Có tín hiệu rẽ trái để báo hiệu cho người điều khiển phương tiện tham gia giao thông đường bộ phía sau biết là chưa được vượt.</v>
      </c>
      <c r="H333" t="str">
        <f>SUBSTITUTE(B335,CHAR(34),CHAR(92)&amp;CHAR(34))</f>
        <v>Tiếp tục đi cho đến khi đủ điều kiện an toàn, nếu xe sau vẫn xin vượt thì báo hiệu cho xe sau vượt.</v>
      </c>
      <c r="I333" t="str">
        <f>SUBSTITUTE(IF(LEFT(A336,3)="Câu","",B336),CHAR(34),CHAR(92)&amp;CHAR(34))</f>
        <v>Tăng tốc độ để báo hiệu cho xe xin vượt biết là chưa được vượt.</v>
      </c>
      <c r="J333" t="str">
        <f>SUBSTITUTE(IF(OR(LEFT(A337,3)="Câu",I333=""),"",IF(B337=0,"",B337)),CHAR(34),CHAR(92)&amp;CHAR(34))</f>
        <v/>
      </c>
      <c r="K333" t="str">
        <f ca="1">SUBSTITUTE(SUBSTITUTE(SUBSTITUTE(SUBSTITUTE(IFERROR(VLOOKUP("Câu "&amp;D333&amp;".",dapan!$E:$J,6,0),""),"1","A"),"2","B"),"3","C"),"4","D")</f>
        <v>A</v>
      </c>
      <c r="P333">
        <f t="shared" si="22"/>
        <v>82</v>
      </c>
      <c r="Q333" t="str">
        <f t="shared" ca="1" si="23"/>
        <v>{"num":82,"id":82,"q":"Khi điều khiển xe chạy trên đường, biết có xe sau xin vượt, nếu không đủ điều kiện an toàn người điều khiển phương tiện phải làm gì?","opts":{"A":" Có tín hiệu rẽ trái để báo hiệu cho người điều khiển phương tiện tham gia giao thông đường bộ phía sau biết là chưa được vượt.","B":"Tiếp tục đi cho đến khi đủ điều kiện an toàn, nếu xe sau vẫn xin vượt thì báo hiệu cho xe sau vượt.","C":"Tăng tốc độ để báo hiệu cho xe xin vượt biết là chưa được vượt."},"answer":"A"},</v>
      </c>
    </row>
    <row r="334" spans="1:17" hidden="1" x14ac:dyDescent="0.25">
      <c r="A334">
        <v>1</v>
      </c>
      <c r="B334" t="s">
        <v>297</v>
      </c>
      <c r="C334">
        <f>IFERROR(COUNTIFS($A$1:A334,"Câu "&amp;"*")-MID(A334,5,FIND(".",A334,1)-5),0)</f>
        <v>0</v>
      </c>
      <c r="D334" t="str">
        <f t="shared" si="21"/>
        <v/>
      </c>
      <c r="E334" t="str">
        <f>SUBSTITUTE(IF(LEFT(A334,3)="Câu",MID(A334,FIND(".",A334,1)+2,LEN(A334)),""),CHAR(34),CHAR(92)&amp;CHAR(34))</f>
        <v/>
      </c>
      <c r="G334" t="str">
        <f>SUBSTITUTE(B335,CHAR(34),CHAR(92)&amp;CHAR(34))</f>
        <v>Tiếp tục đi cho đến khi đủ điều kiện an toàn, nếu xe sau vẫn xin vượt thì báo hiệu cho xe sau vượt.</v>
      </c>
      <c r="H334" t="str">
        <f>SUBSTITUTE(B336,CHAR(34),CHAR(92)&amp;CHAR(34))</f>
        <v>Tăng tốc độ để báo hiệu cho xe xin vượt biết là chưa được vượt.</v>
      </c>
      <c r="I334" t="str">
        <f>SUBSTITUTE(IF(LEFT(A337,3)="Câu","",B337),CHAR(34),CHAR(92)&amp;CHAR(34))</f>
        <v/>
      </c>
      <c r="J334" t="str">
        <f>SUBSTITUTE(IF(OR(LEFT(A338,3)="Câu",I334=""),"",IF(B338=0,"",B338)),CHAR(34),CHAR(92)&amp;CHAR(34))</f>
        <v/>
      </c>
      <c r="K334" t="str">
        <f>SUBSTITUTE(SUBSTITUTE(SUBSTITUTE(SUBSTITUTE(IFERROR(VLOOKUP("Câu "&amp;D334&amp;".",dapan!$E:$J,6,0),""),"1","A"),"2","B"),"3","C"),"4","D")</f>
        <v/>
      </c>
      <c r="P334" t="str">
        <f t="shared" si="22"/>
        <v/>
      </c>
      <c r="Q334" t="str">
        <f t="shared" si="23"/>
        <v/>
      </c>
    </row>
    <row r="335" spans="1:17" hidden="1" x14ac:dyDescent="0.25">
      <c r="A335">
        <v>2</v>
      </c>
      <c r="B335" t="s">
        <v>298</v>
      </c>
      <c r="C335">
        <f>IFERROR(COUNTIFS($A$1:A335,"Câu "&amp;"*")-MID(A335,5,FIND(".",A335,1)-5),0)</f>
        <v>0</v>
      </c>
      <c r="D335" t="str">
        <f t="shared" si="21"/>
        <v/>
      </c>
      <c r="E335" t="str">
        <f>SUBSTITUTE(IF(LEFT(A335,3)="Câu",MID(A335,FIND(".",A335,1)+2,LEN(A335)),""),CHAR(34),CHAR(92)&amp;CHAR(34))</f>
        <v/>
      </c>
      <c r="G335" t="str">
        <f>SUBSTITUTE(B336,CHAR(34),CHAR(92)&amp;CHAR(34))</f>
        <v>Tăng tốc độ để báo hiệu cho xe xin vượt biết là chưa được vượt.</v>
      </c>
      <c r="H335" t="str">
        <f>SUBSTITUTE(B337,CHAR(34),CHAR(92)&amp;CHAR(34))</f>
        <v/>
      </c>
      <c r="I335" t="str">
        <f>SUBSTITUTE(IF(LEFT(A338,3)="Câu","",B338),CHAR(34),CHAR(92)&amp;CHAR(34))</f>
        <v xml:space="preserve"> Phải nhường đường cho người đi bộ, xe thô sơ, xe đi ngược chiều và chỉ chuyển hướng khi không gây trở ngại hoặc nguy hiểm cho người, phương tiện khác.</v>
      </c>
      <c r="J335" t="str">
        <f>SUBSTITUTE(IF(OR(LEFT(A339,3)="Câu",I335=""),"",IF(B339=0,"",B339)),CHAR(34),CHAR(92)&amp;CHAR(34))</f>
        <v>Nhanh chóng chuyển hướng để không gây trở ngại hoặc nguy hiểm cho người, phương tiện khác.</v>
      </c>
      <c r="K335" t="str">
        <f>SUBSTITUTE(SUBSTITUTE(SUBSTITUTE(SUBSTITUTE(IFERROR(VLOOKUP("Câu "&amp;D335&amp;".",dapan!$E:$J,6,0),""),"1","A"),"2","B"),"3","C"),"4","D")</f>
        <v/>
      </c>
      <c r="P335" t="str">
        <f t="shared" si="22"/>
        <v/>
      </c>
      <c r="Q335" t="str">
        <f t="shared" si="23"/>
        <v/>
      </c>
    </row>
    <row r="336" spans="1:17" hidden="1" x14ac:dyDescent="0.25">
      <c r="A336">
        <v>3</v>
      </c>
      <c r="B336" t="s">
        <v>299</v>
      </c>
      <c r="C336">
        <f>IFERROR(COUNTIFS($A$1:A336,"Câu "&amp;"*")-MID(A336,5,FIND(".",A336,1)-5),0)</f>
        <v>0</v>
      </c>
      <c r="D336" t="str">
        <f t="shared" si="21"/>
        <v/>
      </c>
      <c r="E336" t="str">
        <f>SUBSTITUTE(IF(LEFT(A336,3)="Câu",MID(A336,FIND(".",A336,1)+2,LEN(A336)),""),CHAR(34),CHAR(92)&amp;CHAR(34))</f>
        <v/>
      </c>
      <c r="G336" t="str">
        <f>SUBSTITUTE(B337,CHAR(34),CHAR(92)&amp;CHAR(34))</f>
        <v/>
      </c>
      <c r="H336" t="str">
        <f>SUBSTITUTE(B338,CHAR(34),CHAR(92)&amp;CHAR(34))</f>
        <v xml:space="preserve"> Phải nhường đường cho người đi bộ, xe thô sơ, xe đi ngược chiều và chỉ chuyển hướng khi không gây trở ngại hoặc nguy hiểm cho người, phương tiện khác.</v>
      </c>
      <c r="I336" t="str">
        <f>SUBSTITUTE(IF(LEFT(A339,3)="Câu","",B339),CHAR(34),CHAR(92)&amp;CHAR(34))</f>
        <v>Nhanh chóng chuyển hướng để không gây trở ngại hoặc nguy hiểm cho người, phương tiện khác.</v>
      </c>
      <c r="J336" t="str">
        <f>SUBSTITUTE(IF(OR(LEFT(A340,3)="Câu",I336=""),"",IF(B340=0,"",B340)),CHAR(34),CHAR(92)&amp;CHAR(34))</f>
        <v>Ra tín hiệu chuyển hướng để yêu cầu các phương tiện khác dừng lại cho xe chuyển hướng di chuyển.</v>
      </c>
      <c r="K336" t="str">
        <f>SUBSTITUTE(SUBSTITUTE(SUBSTITUTE(SUBSTITUTE(IFERROR(VLOOKUP("Câu "&amp;D336&amp;".",dapan!$E:$J,6,0),""),"1","A"),"2","B"),"3","C"),"4","D")</f>
        <v/>
      </c>
      <c r="P336" t="str">
        <f t="shared" si="22"/>
        <v/>
      </c>
      <c r="Q336" t="str">
        <f t="shared" si="23"/>
        <v/>
      </c>
    </row>
    <row r="337" spans="1:17" x14ac:dyDescent="0.25">
      <c r="A337" t="s">
        <v>300</v>
      </c>
      <c r="C337">
        <f>IFERROR(COUNTIFS($A$1:A337,"Câu "&amp;"*")-MID(A337,5,FIND(".",A337,1)-5),0)</f>
        <v>0</v>
      </c>
      <c r="D337">
        <f t="shared" si="21"/>
        <v>83</v>
      </c>
      <c r="E337" t="str">
        <f>SUBSTITUTE(IF(LEFT(A337,3)="Câu",MID(A337,FIND(".",A337,1)+2,LEN(A337)),""),CHAR(34),CHAR(92)&amp;CHAR(34))</f>
        <v>Khi chuyển hướng, người lái xe, người điều khiển xe máy chuyên dùng phải làm gì để bảo đảm an toàn?</v>
      </c>
      <c r="G337" t="str">
        <f>SUBSTITUTE(B338,CHAR(34),CHAR(92)&amp;CHAR(34))</f>
        <v xml:space="preserve"> Phải nhường đường cho người đi bộ, xe thô sơ, xe đi ngược chiều và chỉ chuyển hướng khi không gây trở ngại hoặc nguy hiểm cho người, phương tiện khác.</v>
      </c>
      <c r="H337" t="str">
        <f>SUBSTITUTE(B339,CHAR(34),CHAR(92)&amp;CHAR(34))</f>
        <v>Nhanh chóng chuyển hướng để không gây trở ngại hoặc nguy hiểm cho người, phương tiện khác.</v>
      </c>
      <c r="I337" t="str">
        <f>SUBSTITUTE(IF(LEFT(A340,3)="Câu","",B340),CHAR(34),CHAR(92)&amp;CHAR(34))</f>
        <v>Ra tín hiệu chuyển hướng để yêu cầu các phương tiện khác dừng lại cho xe chuyển hướng di chuyển.</v>
      </c>
      <c r="J337" t="str">
        <f>SUBSTITUTE(IF(OR(LEFT(A341,3)="Câu",I337=""),"",IF(B341=0,"",B341)),CHAR(34),CHAR(92)&amp;CHAR(34))</f>
        <v/>
      </c>
      <c r="K337" t="str">
        <f ca="1">SUBSTITUTE(SUBSTITUTE(SUBSTITUTE(SUBSTITUTE(IFERROR(VLOOKUP("Câu "&amp;D337&amp;".",dapan!$E:$J,6,0),""),"1","A"),"2","B"),"3","C"),"4","D")</f>
        <v>A</v>
      </c>
      <c r="P337">
        <f t="shared" si="22"/>
        <v>83</v>
      </c>
      <c r="Q337" t="str">
        <f t="shared" ca="1" si="23"/>
        <v>{"num":83,"id":83,"q":"Khi chuyển hướng, người lái xe, người điều khiển xe máy chuyên dùng phải làm gì để bảo đảm an toàn?","opts":{"A":" Phải nhường đường cho người đi bộ, xe thô sơ, xe đi ngược chiều và chỉ chuyển hướng khi không gây trở ngại hoặc nguy hiểm cho người, phương tiện khác.","B":"Nhanh chóng chuyển hướng để không gây trở ngại hoặc nguy hiểm cho người, phương tiện khác.","C":"Ra tín hiệu chuyển hướng để yêu cầu các phương tiện khác dừng lại cho xe chuyển hướng di chuyển."},"answer":"A"},</v>
      </c>
    </row>
    <row r="338" spans="1:17" hidden="1" x14ac:dyDescent="0.25">
      <c r="A338">
        <v>1</v>
      </c>
      <c r="B338" t="s">
        <v>301</v>
      </c>
      <c r="C338">
        <f>IFERROR(COUNTIFS($A$1:A338,"Câu "&amp;"*")-MID(A338,5,FIND(".",A338,1)-5),0)</f>
        <v>0</v>
      </c>
      <c r="D338" t="str">
        <f t="shared" si="21"/>
        <v/>
      </c>
      <c r="E338" t="str">
        <f>SUBSTITUTE(IF(LEFT(A338,3)="Câu",MID(A338,FIND(".",A338,1)+2,LEN(A338)),""),CHAR(34),CHAR(92)&amp;CHAR(34))</f>
        <v/>
      </c>
      <c r="G338" t="str">
        <f>SUBSTITUTE(B339,CHAR(34),CHAR(92)&amp;CHAR(34))</f>
        <v>Nhanh chóng chuyển hướng để không gây trở ngại hoặc nguy hiểm cho người, phương tiện khác.</v>
      </c>
      <c r="H338" t="str">
        <f>SUBSTITUTE(B340,CHAR(34),CHAR(92)&amp;CHAR(34))</f>
        <v>Ra tín hiệu chuyển hướng để yêu cầu các phương tiện khác dừng lại cho xe chuyển hướng di chuyển.</v>
      </c>
      <c r="I338" t="str">
        <f>SUBSTITUTE(IF(LEFT(A341,3)="Câu","",B341),CHAR(34),CHAR(92)&amp;CHAR(34))</f>
        <v/>
      </c>
      <c r="J338" t="str">
        <f>SUBSTITUTE(IF(OR(LEFT(A342,3)="Câu",I338=""),"",IF(B342=0,"",B342)),CHAR(34),CHAR(92)&amp;CHAR(34))</f>
        <v/>
      </c>
      <c r="K338" t="str">
        <f>SUBSTITUTE(SUBSTITUTE(SUBSTITUTE(SUBSTITUTE(IFERROR(VLOOKUP("Câu "&amp;D338&amp;".",dapan!$E:$J,6,0),""),"1","A"),"2","B"),"3","C"),"4","D")</f>
        <v/>
      </c>
      <c r="P338" t="str">
        <f t="shared" si="22"/>
        <v/>
      </c>
      <c r="Q338" t="str">
        <f t="shared" si="23"/>
        <v/>
      </c>
    </row>
    <row r="339" spans="1:17" hidden="1" x14ac:dyDescent="0.25">
      <c r="A339">
        <v>2</v>
      </c>
      <c r="B339" t="s">
        <v>302</v>
      </c>
      <c r="C339">
        <f>IFERROR(COUNTIFS($A$1:A339,"Câu "&amp;"*")-MID(A339,5,FIND(".",A339,1)-5),0)</f>
        <v>0</v>
      </c>
      <c r="D339" t="str">
        <f t="shared" si="21"/>
        <v/>
      </c>
      <c r="E339" t="str">
        <f>SUBSTITUTE(IF(LEFT(A339,3)="Câu",MID(A339,FIND(".",A339,1)+2,LEN(A339)),""),CHAR(34),CHAR(92)&amp;CHAR(34))</f>
        <v/>
      </c>
      <c r="G339" t="str">
        <f>SUBSTITUTE(B340,CHAR(34),CHAR(92)&amp;CHAR(34))</f>
        <v>Ra tín hiệu chuyển hướng để yêu cầu các phương tiện khác dừng lại cho xe chuyển hướng di chuyển.</v>
      </c>
      <c r="H339" t="str">
        <f>SUBSTITUTE(B341,CHAR(34),CHAR(92)&amp;CHAR(34))</f>
        <v/>
      </c>
      <c r="I339" t="str">
        <f>SUBSTITUTE(IF(LEFT(A342,3)="Câu","",B342),CHAR(34),CHAR(92)&amp;CHAR(34))</f>
        <v>Quan sát gương, nếu không có phương tiện gần hướng rẽ thì nhanh chóng chuyển hướng.</v>
      </c>
      <c r="J339" t="str">
        <f>SUBSTITUTE(IF(OR(LEFT(A343,3)="Câu",I339=""),"",IF(B343=0,"",B343)),CHAR(34),CHAR(92)&amp;CHAR(34))</f>
        <v xml:space="preserve">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v>
      </c>
      <c r="K339" t="str">
        <f>SUBSTITUTE(SUBSTITUTE(SUBSTITUTE(SUBSTITUTE(IFERROR(VLOOKUP("Câu "&amp;D339&amp;".",dapan!$E:$J,6,0),""),"1","A"),"2","B"),"3","C"),"4","D")</f>
        <v/>
      </c>
      <c r="P339" t="str">
        <f t="shared" si="22"/>
        <v/>
      </c>
      <c r="Q339" t="str">
        <f t="shared" si="23"/>
        <v/>
      </c>
    </row>
    <row r="340" spans="1:17" hidden="1" x14ac:dyDescent="0.25">
      <c r="A340">
        <v>3</v>
      </c>
      <c r="B340" t="s">
        <v>303</v>
      </c>
      <c r="C340">
        <f>IFERROR(COUNTIFS($A$1:A340,"Câu "&amp;"*")-MID(A340,5,FIND(".",A340,1)-5),0)</f>
        <v>0</v>
      </c>
      <c r="D340" t="str">
        <f t="shared" si="21"/>
        <v/>
      </c>
      <c r="E340" t="str">
        <f>SUBSTITUTE(IF(LEFT(A340,3)="Câu",MID(A340,FIND(".",A340,1)+2,LEN(A340)),""),CHAR(34),CHAR(92)&amp;CHAR(34))</f>
        <v/>
      </c>
      <c r="G340" t="str">
        <f>SUBSTITUTE(B341,CHAR(34),CHAR(92)&amp;CHAR(34))</f>
        <v/>
      </c>
      <c r="H340" t="str">
        <f>SUBSTITUTE(B342,CHAR(34),CHAR(92)&amp;CHAR(34))</f>
        <v>Quan sát gương, nếu không có phương tiện gần hướng rẽ thì nhanh chóng chuyển hướng.</v>
      </c>
      <c r="I340" t="str">
        <f>SUBSTITUTE(IF(LEFT(A343,3)="Câu","",B343),CHAR(34),CHAR(92)&amp;CHAR(34))</f>
        <v xml:space="preserve">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v>
      </c>
      <c r="J340" t="str">
        <f>SUBSTITUTE(IF(OR(LEFT(A344,3)="Câu",I340=""),"",IF(B344=0,"",B344)),CHAR(34),CHAR(92)&amp;CHAR(34))</f>
        <v>Quan sát gương, tăng tốc độ, ra tín hiệu và chuyển hướng.</v>
      </c>
      <c r="K340" t="str">
        <f>SUBSTITUTE(SUBSTITUTE(SUBSTITUTE(SUBSTITUTE(IFERROR(VLOOKUP("Câu "&amp;D340&amp;".",dapan!$E:$J,6,0),""),"1","A"),"2","B"),"3","C"),"4","D")</f>
        <v/>
      </c>
      <c r="P340" t="str">
        <f t="shared" si="22"/>
        <v/>
      </c>
      <c r="Q340" t="str">
        <f t="shared" si="23"/>
        <v/>
      </c>
    </row>
    <row r="341" spans="1:17" x14ac:dyDescent="0.25">
      <c r="A341" t="s">
        <v>304</v>
      </c>
      <c r="C341">
        <f>IFERROR(COUNTIFS($A$1:A341,"Câu "&amp;"*")-MID(A341,5,FIND(".",A341,1)-5),0)</f>
        <v>0</v>
      </c>
      <c r="D341">
        <f t="shared" si="21"/>
        <v>84</v>
      </c>
      <c r="E341" t="str">
        <f>SUBSTITUTE(IF(LEFT(A341,3)="Câu",MID(A341,FIND(".",A341,1)+2,LEN(A341)),""),CHAR(34),CHAR(92)&amp;CHAR(34))</f>
        <v>Trước khi chuyển hướng, người điều khiển phương tiện tham gia giao thông đường bộ phải thực hiện như thế nào để bảo đảm an toàn?</v>
      </c>
      <c r="G341" t="str">
        <f>SUBSTITUTE(B342,CHAR(34),CHAR(92)&amp;CHAR(34))</f>
        <v>Quan sát gương, nếu không có phương tiện gần hướng rẽ thì nhanh chóng chuyển hướng.</v>
      </c>
      <c r="H341" t="str">
        <f>SUBSTITUTE(B343,CHAR(34),CHAR(92)&amp;CHAR(34))</f>
        <v xml:space="preserve">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v>
      </c>
      <c r="I341" t="str">
        <f>SUBSTITUTE(IF(LEFT(A344,3)="Câu","",B344),CHAR(34),CHAR(92)&amp;CHAR(34))</f>
        <v>Quan sát gương, tăng tốc độ, ra tín hiệu và chuyển hướng.</v>
      </c>
      <c r="J341" t="str">
        <f>SUBSTITUTE(IF(OR(LEFT(A345,3)="Câu",I341=""),"",IF(B345=0,"",B345)),CHAR(34),CHAR(92)&amp;CHAR(34))</f>
        <v/>
      </c>
      <c r="K341" t="str">
        <f ca="1">SUBSTITUTE(SUBSTITUTE(SUBSTITUTE(SUBSTITUTE(IFERROR(VLOOKUP("Câu "&amp;D341&amp;".",dapan!$E:$J,6,0),""),"1","A"),"2","B"),"3","C"),"4","D")</f>
        <v>B</v>
      </c>
      <c r="P341">
        <f t="shared" si="22"/>
        <v>84</v>
      </c>
      <c r="Q341" t="str">
        <f t="shared" ca="1" si="23"/>
        <v>{"num":84,"id":84,"q":"Trước khi chuyển hướng, người điều khiển phương tiện tham gia giao thông đường bộ phải thực hiện như thế nào để bảo đảm an toàn?","opts":{"A":"Quan sát gương, nếu không có phương tiện gần hướng rẽ thì nhanh chóng chuyển hướng.","B":"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hướng.","C":"Quan sát gương, tăng tốc độ, ra tín hiệu và chuyển hướng."},"answer":"B"},</v>
      </c>
    </row>
    <row r="342" spans="1:17" hidden="1" x14ac:dyDescent="0.25">
      <c r="A342">
        <v>1</v>
      </c>
      <c r="B342" t="s">
        <v>305</v>
      </c>
      <c r="C342">
        <f>IFERROR(COUNTIFS($A$1:A342,"Câu "&amp;"*")-MID(A342,5,FIND(".",A342,1)-5),0)</f>
        <v>0</v>
      </c>
      <c r="D342" t="str">
        <f t="shared" si="21"/>
        <v/>
      </c>
      <c r="E342" t="str">
        <f>SUBSTITUTE(IF(LEFT(A342,3)="Câu",MID(A342,FIND(".",A342,1)+2,LEN(A342)),""),CHAR(34),CHAR(92)&amp;CHAR(34))</f>
        <v/>
      </c>
      <c r="G342" t="str">
        <f>SUBSTITUTE(B343,CHAR(34),CHAR(92)&amp;CHAR(34))</f>
        <v xml:space="preserve"> Quan sát, bảo đảm khoảng cách an toàn với xe phía sau, giảm tốc độ và có tín hiệu báo hướng rẽ hoặc có tín hiệu bằng tay theo hướng rẽ đối với xe thô sơ không có đèn báo hướng rẽ, chuyển dần sang làn gần nhất với hướng rẽ. Tín hiệu báo hướng rẽ hoặc tín hiệu bằng tay phải sử dụng liên tục trong quá trình chuyển hướng. Khi bảo đảm an toàn, không gây trở ngại cho người và phương tiện khác mới được chuyển hướng.</v>
      </c>
      <c r="H342" t="str">
        <f>SUBSTITUTE(B344,CHAR(34),CHAR(92)&amp;CHAR(34))</f>
        <v>Quan sát gương, tăng tốc độ, ra tín hiệu và chuyển hướng.</v>
      </c>
      <c r="I342" t="str">
        <f>SUBSTITUTE(IF(LEFT(A345,3)="Câu","",B345),CHAR(34),CHAR(92)&amp;CHAR(34))</f>
        <v/>
      </c>
      <c r="J342" t="str">
        <f>SUBSTITUTE(IF(OR(LEFT(A346,3)="Câu",I342=""),"",IF(B346=0,"",B346)),CHAR(34),CHAR(92)&amp;CHAR(34))</f>
        <v/>
      </c>
      <c r="K342" t="str">
        <f>SUBSTITUTE(SUBSTITUTE(SUBSTITUTE(SUBSTITUTE(IFERROR(VLOOKUP("Câu "&amp;D342&amp;".",dapan!$E:$J,6,0),""),"1","A"),"2","B"),"3","C"),"4","D")</f>
        <v/>
      </c>
      <c r="P342" t="str">
        <f t="shared" si="22"/>
        <v/>
      </c>
      <c r="Q342" t="str">
        <f t="shared" si="23"/>
        <v/>
      </c>
    </row>
    <row r="343" spans="1:17" hidden="1" x14ac:dyDescent="0.25">
      <c r="A343">
        <v>2</v>
      </c>
      <c r="B343" t="s">
        <v>306</v>
      </c>
      <c r="C343">
        <f>IFERROR(COUNTIFS($A$1:A343,"Câu "&amp;"*")-MID(A343,5,FIND(".",A343,1)-5),0)</f>
        <v>0</v>
      </c>
      <c r="D343" t="str">
        <f t="shared" si="21"/>
        <v/>
      </c>
      <c r="E343" t="str">
        <f>SUBSTITUTE(IF(LEFT(A343,3)="Câu",MID(A343,FIND(".",A343,1)+2,LEN(A343)),""),CHAR(34),CHAR(92)&amp;CHAR(34))</f>
        <v/>
      </c>
      <c r="G343" t="str">
        <f>SUBSTITUTE(B344,CHAR(34),CHAR(92)&amp;CHAR(34))</f>
        <v>Quan sát gương, tăng tốc độ, ra tín hiệu và chuyển hướng.</v>
      </c>
      <c r="H343" t="str">
        <f>SUBSTITUTE(B345,CHAR(34),CHAR(92)&amp;CHAR(34))</f>
        <v/>
      </c>
      <c r="I343" t="str">
        <f>SUBSTITUTE(IF(LEFT(A346,3)="Câu","",B346),CHAR(34),CHAR(92)&amp;CHAR(34))</f>
        <v>Quan sát phía sau và cho lùi xe ở tốc độ chậm.</v>
      </c>
      <c r="J343" t="str">
        <f>SUBSTITUTE(IF(OR(LEFT(A347,3)="Câu",I343=""),"",IF(B347=0,"",B347)),CHAR(34),CHAR(92)&amp;CHAR(34))</f>
        <v>Có tín hiệu báo lùi, nếu phía sau không có người hoặc phương tiện khác thì nhanh chóng lùi để bảo đảm an toàn.</v>
      </c>
      <c r="K343" t="str">
        <f>SUBSTITUTE(SUBSTITUTE(SUBSTITUTE(SUBSTITUTE(IFERROR(VLOOKUP("Câu "&amp;D343&amp;".",dapan!$E:$J,6,0),""),"1","A"),"2","B"),"3","C"),"4","D")</f>
        <v/>
      </c>
      <c r="P343" t="str">
        <f t="shared" si="22"/>
        <v/>
      </c>
      <c r="Q343" t="str">
        <f t="shared" si="23"/>
        <v/>
      </c>
    </row>
    <row r="344" spans="1:17" hidden="1" x14ac:dyDescent="0.25">
      <c r="A344">
        <v>3</v>
      </c>
      <c r="B344" t="s">
        <v>307</v>
      </c>
      <c r="C344">
        <f>IFERROR(COUNTIFS($A$1:A344,"Câu "&amp;"*")-MID(A344,5,FIND(".",A344,1)-5),0)</f>
        <v>0</v>
      </c>
      <c r="D344" t="str">
        <f t="shared" si="21"/>
        <v/>
      </c>
      <c r="E344" t="str">
        <f>SUBSTITUTE(IF(LEFT(A344,3)="Câu",MID(A344,FIND(".",A344,1)+2,LEN(A344)),""),CHAR(34),CHAR(92)&amp;CHAR(34))</f>
        <v/>
      </c>
      <c r="G344" t="str">
        <f>SUBSTITUTE(B345,CHAR(34),CHAR(92)&amp;CHAR(34))</f>
        <v/>
      </c>
      <c r="H344" t="str">
        <f>SUBSTITUTE(B346,CHAR(34),CHAR(92)&amp;CHAR(34))</f>
        <v>Quan sát phía sau và cho lùi xe ở tốc độ chậm.</v>
      </c>
      <c r="I344" t="str">
        <f>SUBSTITUTE(IF(LEFT(A347,3)="Câu","",B347),CHAR(34),CHAR(92)&amp;CHAR(34))</f>
        <v>Có tín hiệu báo lùi, nếu phía sau không có người hoặc phương tiện khác thì nhanh chóng lùi để bảo đảm an toàn.</v>
      </c>
      <c r="J344" t="str">
        <f>SUBSTITUTE(IF(OR(LEFT(A348,3)="Câu",I344=""),"",IF(B348=0,"",B348)),CHAR(34),CHAR(92)&amp;CHAR(34))</f>
        <v xml:space="preserve"> Phải quan sát hai bên và phía sau xe, có tín hiệu lùi và chỉ lùi xe khi bảo đảm an toàn.</v>
      </c>
      <c r="K344" t="str">
        <f>SUBSTITUTE(SUBSTITUTE(SUBSTITUTE(SUBSTITUTE(IFERROR(VLOOKUP("Câu "&amp;D344&amp;".",dapan!$E:$J,6,0),""),"1","A"),"2","B"),"3","C"),"4","D")</f>
        <v/>
      </c>
      <c r="P344" t="str">
        <f t="shared" si="22"/>
        <v/>
      </c>
      <c r="Q344" t="str">
        <f t="shared" si="23"/>
        <v/>
      </c>
    </row>
    <row r="345" spans="1:17" x14ac:dyDescent="0.25">
      <c r="A345" t="s">
        <v>308</v>
      </c>
      <c r="C345">
        <f>IFERROR(COUNTIFS($A$1:A345,"Câu "&amp;"*")-MID(A345,5,FIND(".",A345,1)-5),0)</f>
        <v>0</v>
      </c>
      <c r="D345">
        <f t="shared" ref="D345:D408" si="24">IF(LEFT(A345,3)="Câu",VALUE(MID(A345,5,FIND(".",A345,1)-5)),"")</f>
        <v>85</v>
      </c>
      <c r="E345" t="str">
        <f>SUBSTITUTE(IF(LEFT(A345,3)="Câu",MID(A345,FIND(".",A345,1)+2,LEN(A345)),""),CHAR(34),CHAR(92)&amp;CHAR(34))</f>
        <v>Khi lùi xe, người điều khiển phương tiện tham gia giao thông đường bộ phải làm gì để bảo đảm an toàn?</v>
      </c>
      <c r="G345" t="str">
        <f>SUBSTITUTE(B346,CHAR(34),CHAR(92)&amp;CHAR(34))</f>
        <v>Quan sát phía sau và cho lùi xe ở tốc độ chậm.</v>
      </c>
      <c r="H345" t="str">
        <f>SUBSTITUTE(B347,CHAR(34),CHAR(92)&amp;CHAR(34))</f>
        <v>Có tín hiệu báo lùi, nếu phía sau không có người hoặc phương tiện khác thì nhanh chóng lùi để bảo đảm an toàn.</v>
      </c>
      <c r="I345" t="str">
        <f>SUBSTITUTE(IF(LEFT(A348,3)="Câu","",B348),CHAR(34),CHAR(92)&amp;CHAR(34))</f>
        <v xml:space="preserve"> Phải quan sát hai bên và phía sau xe, có tín hiệu lùi và chỉ lùi xe khi bảo đảm an toàn.</v>
      </c>
      <c r="J345" t="str">
        <f>SUBSTITUTE(IF(OR(LEFT(A349,3)="Câu",I345=""),"",IF(B349=0,"",B349)),CHAR(34),CHAR(92)&amp;CHAR(34))</f>
        <v/>
      </c>
      <c r="K345" t="str">
        <f ca="1">SUBSTITUTE(SUBSTITUTE(SUBSTITUTE(SUBSTITUTE(IFERROR(VLOOKUP("Câu "&amp;D345&amp;".",dapan!$E:$J,6,0),""),"1","A"),"2","B"),"3","C"),"4","D")</f>
        <v>C</v>
      </c>
      <c r="P345">
        <f t="shared" si="22"/>
        <v>85</v>
      </c>
      <c r="Q345" t="str">
        <f t="shared" ca="1" si="23"/>
        <v>{"num":85,"id":85,"q":"Khi lùi xe, người điều khiển phương tiện tham gia giao thông đường bộ phải làm gì để bảo đảm an toàn?","opts":{"A":"Quan sát phía sau và cho lùi xe ở tốc độ chậm.","B":"Có tín hiệu báo lùi, nếu phía sau không có người hoặc phương tiện khác thì nhanh chóng lùi để bảo đảm an toàn.","C":" Phải quan sát hai bên và phía sau xe, có tín hiệu lùi và chỉ lùi xe khi bảo đảm an toàn."},"answer":"C"},</v>
      </c>
    </row>
    <row r="346" spans="1:17" hidden="1" x14ac:dyDescent="0.25">
      <c r="A346">
        <v>1</v>
      </c>
      <c r="B346" t="s">
        <v>309</v>
      </c>
      <c r="C346">
        <f>IFERROR(COUNTIFS($A$1:A346,"Câu "&amp;"*")-MID(A346,5,FIND(".",A346,1)-5),0)</f>
        <v>0</v>
      </c>
      <c r="D346" t="str">
        <f t="shared" si="24"/>
        <v/>
      </c>
      <c r="E346" t="str">
        <f>SUBSTITUTE(IF(LEFT(A346,3)="Câu",MID(A346,FIND(".",A346,1)+2,LEN(A346)),""),CHAR(34),CHAR(92)&amp;CHAR(34))</f>
        <v/>
      </c>
      <c r="G346" t="str">
        <f>SUBSTITUTE(B347,CHAR(34),CHAR(92)&amp;CHAR(34))</f>
        <v>Có tín hiệu báo lùi, nếu phía sau không có người hoặc phương tiện khác thì nhanh chóng lùi để bảo đảm an toàn.</v>
      </c>
      <c r="H346" t="str">
        <f>SUBSTITUTE(B348,CHAR(34),CHAR(92)&amp;CHAR(34))</f>
        <v xml:space="preserve"> Phải quan sát hai bên và phía sau xe, có tín hiệu lùi và chỉ lùi xe khi bảo đảm an toàn.</v>
      </c>
      <c r="I346" t="str">
        <f>SUBSTITUTE(IF(LEFT(A349,3)="Câu","",B349),CHAR(34),CHAR(92)&amp;CHAR(34))</f>
        <v/>
      </c>
      <c r="J346" t="str">
        <f>SUBSTITUTE(IF(OR(LEFT(A350,3)="Câu",I346=""),"",IF(B350=0,"",B350)),CHAR(34),CHAR(92)&amp;CHAR(34))</f>
        <v/>
      </c>
      <c r="K346" t="str">
        <f>SUBSTITUTE(SUBSTITUTE(SUBSTITUTE(SUBSTITUTE(IFERROR(VLOOKUP("Câu "&amp;D346&amp;".",dapan!$E:$J,6,0),""),"1","A"),"2","B"),"3","C"),"4","D")</f>
        <v/>
      </c>
      <c r="P346" t="str">
        <f t="shared" si="22"/>
        <v/>
      </c>
      <c r="Q346" t="str">
        <f t="shared" si="23"/>
        <v/>
      </c>
    </row>
    <row r="347" spans="1:17" hidden="1" x14ac:dyDescent="0.25">
      <c r="A347">
        <v>2</v>
      </c>
      <c r="B347" t="s">
        <v>310</v>
      </c>
      <c r="C347">
        <f>IFERROR(COUNTIFS($A$1:A347,"Câu "&amp;"*")-MID(A347,5,FIND(".",A347,1)-5),0)</f>
        <v>0</v>
      </c>
      <c r="D347" t="str">
        <f t="shared" si="24"/>
        <v/>
      </c>
      <c r="E347" t="str">
        <f>SUBSTITUTE(IF(LEFT(A347,3)="Câu",MID(A347,FIND(".",A347,1)+2,LEN(A347)),""),CHAR(34),CHAR(92)&amp;CHAR(34))</f>
        <v/>
      </c>
      <c r="G347" t="str">
        <f>SUBSTITUTE(B348,CHAR(34),CHAR(92)&amp;CHAR(34))</f>
        <v xml:space="preserve"> Phải quan sát hai bên và phía sau xe, có tín hiệu lùi và chỉ lùi xe khi bảo đảm an toàn.</v>
      </c>
      <c r="H347" t="str">
        <f>SUBSTITUTE(B349,CHAR(34),CHAR(92)&amp;CHAR(34))</f>
        <v/>
      </c>
      <c r="I347" t="str">
        <f>SUBSTITUTE(IF(LEFT(A350,3)="Câu","",B350),CHAR(34),CHAR(92)&amp;CHAR(34))</f>
        <v>Phải lùi thật chậm.</v>
      </c>
      <c r="J347" t="str">
        <f>SUBSTITUTE(IF(OR(LEFT(A351,3)="Câu",I347=""),"",IF(B351=0,"",B351)),CHAR(34),CHAR(92)&amp;CHAR(34))</f>
        <v>Bấm còi 3 lần liên tiếp trước khi lùi.</v>
      </c>
      <c r="K347" t="str">
        <f>SUBSTITUTE(SUBSTITUTE(SUBSTITUTE(SUBSTITUTE(IFERROR(VLOOKUP("Câu "&amp;D347&amp;".",dapan!$E:$J,6,0),""),"1","A"),"2","B"),"3","C"),"4","D")</f>
        <v/>
      </c>
      <c r="P347" t="str">
        <f t="shared" si="22"/>
        <v/>
      </c>
      <c r="Q347" t="str">
        <f t="shared" si="23"/>
        <v/>
      </c>
    </row>
    <row r="348" spans="1:17" hidden="1" x14ac:dyDescent="0.25">
      <c r="A348">
        <v>3</v>
      </c>
      <c r="B348" t="s">
        <v>311</v>
      </c>
      <c r="C348">
        <f>IFERROR(COUNTIFS($A$1:A348,"Câu "&amp;"*")-MID(A348,5,FIND(".",A348,1)-5),0)</f>
        <v>0</v>
      </c>
      <c r="D348" t="str">
        <f t="shared" si="24"/>
        <v/>
      </c>
      <c r="E348" t="str">
        <f>SUBSTITUTE(IF(LEFT(A348,3)="Câu",MID(A348,FIND(".",A348,1)+2,LEN(A348)),""),CHAR(34),CHAR(92)&amp;CHAR(34))</f>
        <v/>
      </c>
      <c r="G348" t="str">
        <f>SUBSTITUTE(B349,CHAR(34),CHAR(92)&amp;CHAR(34))</f>
        <v/>
      </c>
      <c r="H348" t="str">
        <f>SUBSTITUTE(B350,CHAR(34),CHAR(92)&amp;CHAR(34))</f>
        <v>Phải lùi thật chậm.</v>
      </c>
      <c r="I348" t="str">
        <f>SUBSTITUTE(IF(LEFT(A351,3)="Câu","",B351),CHAR(34),CHAR(92)&amp;CHAR(34))</f>
        <v>Bấm còi 3 lần liên tiếp trước khi lùi.</v>
      </c>
      <c r="J348" t="str">
        <f>SUBSTITUTE(IF(OR(LEFT(A352,3)="Câu",I348=""),"",IF(B352=0,"",B352)),CHAR(34),CHAR(92)&amp;CHAR(34))</f>
        <v xml:space="preserve"> Không được lùi xe.</v>
      </c>
      <c r="K348" t="str">
        <f>SUBSTITUTE(SUBSTITUTE(SUBSTITUTE(SUBSTITUTE(IFERROR(VLOOKUP("Câu "&amp;D348&amp;".",dapan!$E:$J,6,0),""),"1","A"),"2","B"),"3","C"),"4","D")</f>
        <v/>
      </c>
      <c r="P348" t="str">
        <f t="shared" si="22"/>
        <v/>
      </c>
      <c r="Q348" t="str">
        <f t="shared" si="23"/>
        <v/>
      </c>
    </row>
    <row r="349" spans="1:17" x14ac:dyDescent="0.25">
      <c r="A349" t="s">
        <v>312</v>
      </c>
      <c r="C349">
        <f>IFERROR(COUNTIFS($A$1:A349,"Câu "&amp;"*")-MID(A349,5,FIND(".",A349,1)-5),0)</f>
        <v>0</v>
      </c>
      <c r="D349">
        <f t="shared" si="24"/>
        <v>86</v>
      </c>
      <c r="E349" t="str">
        <f>SUBSTITUTE(IF(LEFT(A349,3)="Câu",MID(A349,FIND(".",A349,1)+2,LEN(A349)),""),CHAR(34),CHAR(92)&amp;CHAR(34))</f>
        <v>Khi muốn lùi xe ở nơi có tầm nhìn bị che khuất, người lái xe phải xử lý như thế nào để đảm bảo an toàn?</v>
      </c>
      <c r="G349" t="str">
        <f>SUBSTITUTE(B350,CHAR(34),CHAR(92)&amp;CHAR(34))</f>
        <v>Phải lùi thật chậm.</v>
      </c>
      <c r="H349" t="str">
        <f>SUBSTITUTE(B351,CHAR(34),CHAR(92)&amp;CHAR(34))</f>
        <v>Bấm còi 3 lần liên tiếp trước khi lùi.</v>
      </c>
      <c r="I349" t="str">
        <f>SUBSTITUTE(IF(LEFT(A352,3)="Câu","",B352),CHAR(34),CHAR(92)&amp;CHAR(34))</f>
        <v xml:space="preserve"> Không được lùi xe.</v>
      </c>
      <c r="J349" t="str">
        <f>SUBSTITUTE(IF(OR(LEFT(A353,3)="Câu",I349=""),"",IF(B353=0,"",B353)),CHAR(34),CHAR(92)&amp;CHAR(34))</f>
        <v/>
      </c>
      <c r="K349" t="str">
        <f ca="1">SUBSTITUTE(SUBSTITUTE(SUBSTITUTE(SUBSTITUTE(IFERROR(VLOOKUP("Câu "&amp;D349&amp;".",dapan!$E:$J,6,0),""),"1","A"),"2","B"),"3","C"),"4","D")</f>
        <v>C</v>
      </c>
      <c r="P349">
        <f t="shared" si="22"/>
        <v>86</v>
      </c>
      <c r="Q349" t="str">
        <f t="shared" ca="1" si="23"/>
        <v>{"num":86,"id":86,"q":"Khi muốn lùi xe ở nơi có tầm nhìn bị che khuất, người lái xe phải xử lý như thế nào để đảm bảo an toàn?","opts":{"A":"Phải lùi thật chậm.","B":"Bấm còi 3 lần liên tiếp trước khi lùi.","C":" Không được lùi xe."},"answer":"C"},</v>
      </c>
    </row>
    <row r="350" spans="1:17" hidden="1" x14ac:dyDescent="0.25">
      <c r="A350">
        <v>1</v>
      </c>
      <c r="B350" t="s">
        <v>313</v>
      </c>
      <c r="C350">
        <f>IFERROR(COUNTIFS($A$1:A350,"Câu "&amp;"*")-MID(A350,5,FIND(".",A350,1)-5),0)</f>
        <v>0</v>
      </c>
      <c r="D350" t="str">
        <f t="shared" si="24"/>
        <v/>
      </c>
      <c r="E350" t="str">
        <f>SUBSTITUTE(IF(LEFT(A350,3)="Câu",MID(A350,FIND(".",A350,1)+2,LEN(A350)),""),CHAR(34),CHAR(92)&amp;CHAR(34))</f>
        <v/>
      </c>
      <c r="G350" t="str">
        <f>SUBSTITUTE(B351,CHAR(34),CHAR(92)&amp;CHAR(34))</f>
        <v>Bấm còi 3 lần liên tiếp trước khi lùi.</v>
      </c>
      <c r="H350" t="str">
        <f>SUBSTITUTE(B352,CHAR(34),CHAR(92)&amp;CHAR(34))</f>
        <v xml:space="preserve"> Không được lùi xe.</v>
      </c>
      <c r="I350" t="str">
        <f>SUBSTITUTE(IF(LEFT(A353,3)="Câu","",B353),CHAR(34),CHAR(92)&amp;CHAR(34))</f>
        <v/>
      </c>
      <c r="J350" t="str">
        <f>SUBSTITUTE(IF(OR(LEFT(A354,3)="Câu",I350=""),"",IF(B354=0,"",B354)),CHAR(34),CHAR(92)&amp;CHAR(34))</f>
        <v/>
      </c>
      <c r="K350" t="str">
        <f>SUBSTITUTE(SUBSTITUTE(SUBSTITUTE(SUBSTITUTE(IFERROR(VLOOKUP("Câu "&amp;D350&amp;".",dapan!$E:$J,6,0),""),"1","A"),"2","B"),"3","C"),"4","D")</f>
        <v/>
      </c>
      <c r="P350" t="str">
        <f t="shared" si="22"/>
        <v/>
      </c>
      <c r="Q350" t="str">
        <f t="shared" si="23"/>
        <v/>
      </c>
    </row>
    <row r="351" spans="1:17" hidden="1" x14ac:dyDescent="0.25">
      <c r="A351">
        <v>2</v>
      </c>
      <c r="B351" t="s">
        <v>314</v>
      </c>
      <c r="C351">
        <f>IFERROR(COUNTIFS($A$1:A351,"Câu "&amp;"*")-MID(A351,5,FIND(".",A351,1)-5),0)</f>
        <v>0</v>
      </c>
      <c r="D351" t="str">
        <f t="shared" si="24"/>
        <v/>
      </c>
      <c r="E351" t="str">
        <f>SUBSTITUTE(IF(LEFT(A351,3)="Câu",MID(A351,FIND(".",A351,1)+2,LEN(A351)),""),CHAR(34),CHAR(92)&amp;CHAR(34))</f>
        <v/>
      </c>
      <c r="G351" t="str">
        <f>SUBSTITUTE(B352,CHAR(34),CHAR(92)&amp;CHAR(34))</f>
        <v xml:space="preserve"> Không được lùi xe.</v>
      </c>
      <c r="H351" t="str">
        <f>SUBSTITUTE(B353,CHAR(34),CHAR(92)&amp;CHAR(34))</f>
        <v/>
      </c>
      <c r="I351" t="str">
        <f>SUBSTITUTE(IF(LEFT(A354,3)="Câu","",B354),CHAR(34),CHAR(92)&amp;CHAR(34))</f>
        <v xml:space="preserve"> Giảm tốc độ và cho xe đi về bên phải theo chiều xe chạy của mình.</v>
      </c>
      <c r="J351" t="str">
        <f>SUBSTITUTE(IF(OR(LEFT(A355,3)="Câu",I351=""),"",IF(B355=0,"",B355)),CHAR(34),CHAR(92)&amp;CHAR(34))</f>
        <v>Một trong hai xe phải dừng lại cho xe kia đi qua mới được đi.</v>
      </c>
      <c r="K351" t="str">
        <f>SUBSTITUTE(SUBSTITUTE(SUBSTITUTE(SUBSTITUTE(IFERROR(VLOOKUP("Câu "&amp;D351&amp;".",dapan!$E:$J,6,0),""),"1","A"),"2","B"),"3","C"),"4","D")</f>
        <v/>
      </c>
      <c r="P351" t="str">
        <f t="shared" si="22"/>
        <v/>
      </c>
      <c r="Q351" t="str">
        <f t="shared" si="23"/>
        <v/>
      </c>
    </row>
    <row r="352" spans="1:17" hidden="1" x14ac:dyDescent="0.25">
      <c r="A352">
        <v>3</v>
      </c>
      <c r="B352" t="s">
        <v>315</v>
      </c>
      <c r="C352">
        <f>IFERROR(COUNTIFS($A$1:A352,"Câu "&amp;"*")-MID(A352,5,FIND(".",A352,1)-5),0)</f>
        <v>0</v>
      </c>
      <c r="D352" t="str">
        <f t="shared" si="24"/>
        <v/>
      </c>
      <c r="E352" t="str">
        <f>SUBSTITUTE(IF(LEFT(A352,3)="Câu",MID(A352,FIND(".",A352,1)+2,LEN(A352)),""),CHAR(34),CHAR(92)&amp;CHAR(34))</f>
        <v/>
      </c>
      <c r="G352" t="str">
        <f>SUBSTITUTE(B353,CHAR(34),CHAR(92)&amp;CHAR(34))</f>
        <v/>
      </c>
      <c r="H352" t="str">
        <f>SUBSTITUTE(B354,CHAR(34),CHAR(92)&amp;CHAR(34))</f>
        <v xml:space="preserve"> Giảm tốc độ và cho xe đi về bên phải theo chiều xe chạy của mình.</v>
      </c>
      <c r="I352" t="str">
        <f>SUBSTITUTE(IF(LEFT(A355,3)="Câu","",B355),CHAR(34),CHAR(92)&amp;CHAR(34))</f>
        <v>Một trong hai xe phải dừng lại cho xe kia đi qua mới được đi.</v>
      </c>
      <c r="J352" t="str">
        <f>SUBSTITUTE(IF(OR(LEFT(A356,3)="Câu",I352=""),"",IF(B356=0,"",B356)),CHAR(34),CHAR(92)&amp;CHAR(34))</f>
        <v>Tăng tốc độ, cho xe đi về bên phải theo chiều xe chạy của mình để nhanh chóng vượt qua.</v>
      </c>
      <c r="K352" t="str">
        <f>SUBSTITUTE(SUBSTITUTE(SUBSTITUTE(SUBSTITUTE(IFERROR(VLOOKUP("Câu "&amp;D352&amp;".",dapan!$E:$J,6,0),""),"1","A"),"2","B"),"3","C"),"4","D")</f>
        <v/>
      </c>
      <c r="P352" t="str">
        <f t="shared" si="22"/>
        <v/>
      </c>
      <c r="Q352" t="str">
        <f t="shared" si="23"/>
        <v/>
      </c>
    </row>
    <row r="353" spans="1:17" x14ac:dyDescent="0.25">
      <c r="A353" t="s">
        <v>316</v>
      </c>
      <c r="C353">
        <f>IFERROR(COUNTIFS($A$1:A353,"Câu "&amp;"*")-MID(A353,5,FIND(".",A353,1)-5),0)</f>
        <v>0</v>
      </c>
      <c r="D353">
        <f t="shared" si="24"/>
        <v>87</v>
      </c>
      <c r="E353" t="str">
        <f>SUBSTITUTE(IF(LEFT(A353,3)="Câu",MID(A353,FIND(".",A353,1)+2,LEN(A353)),""),CHAR(34),CHAR(92)&amp;CHAR(34))</f>
        <v>Trên đường không phân chia thành hai chiều xe chạy riêng biệt, người điều khiển phương tiện tham gia giao thông đường bộ phải tránh xe đi ngược chiều như thế nào để bảo đảm an toàn?</v>
      </c>
      <c r="G353" t="str">
        <f>SUBSTITUTE(B354,CHAR(34),CHAR(92)&amp;CHAR(34))</f>
        <v xml:space="preserve"> Giảm tốc độ và cho xe đi về bên phải theo chiều xe chạy của mình.</v>
      </c>
      <c r="H353" t="str">
        <f>SUBSTITUTE(B355,CHAR(34),CHAR(92)&amp;CHAR(34))</f>
        <v>Một trong hai xe phải dừng lại cho xe kia đi qua mới được đi.</v>
      </c>
      <c r="I353" t="str">
        <f>SUBSTITUTE(IF(LEFT(A356,3)="Câu","",B356),CHAR(34),CHAR(92)&amp;CHAR(34))</f>
        <v>Tăng tốc độ, cho xe đi về bên phải theo chiều xe chạy của mình để nhanh chóng vượt qua.</v>
      </c>
      <c r="J353" t="str">
        <f>SUBSTITUTE(IF(OR(LEFT(A357,3)="Câu",I353=""),"",IF(B357=0,"",B357)),CHAR(34),CHAR(92)&amp;CHAR(34))</f>
        <v/>
      </c>
      <c r="K353" t="str">
        <f ca="1">SUBSTITUTE(SUBSTITUTE(SUBSTITUTE(SUBSTITUTE(IFERROR(VLOOKUP("Câu "&amp;D353&amp;".",dapan!$E:$J,6,0),""),"1","A"),"2","B"),"3","C"),"4","D")</f>
        <v>A</v>
      </c>
      <c r="P353">
        <f t="shared" si="22"/>
        <v>87</v>
      </c>
      <c r="Q353" t="str">
        <f t="shared" ca="1" si="23"/>
        <v>{"num":87,"id":87,"q":"Trên đường không phân chia thành hai chiều xe chạy riêng biệt, người điều khiển phương tiện tham gia giao thông đường bộ phải tránh xe đi ngược chiều như thế nào để bảo đảm an toàn?","opts":{"A":" Giảm tốc độ và cho xe đi về bên phải theo chiều xe chạy của mình.","B":"Một trong hai xe phải dừng lại cho xe kia đi qua mới được đi.","C":"Tăng tốc độ, cho xe đi về bên phải theo chiều xe chạy của mình để nhanh chóng vượt qua."},"answer":"A"},</v>
      </c>
    </row>
    <row r="354" spans="1:17" hidden="1" x14ac:dyDescent="0.25">
      <c r="A354">
        <v>1</v>
      </c>
      <c r="B354" t="s">
        <v>317</v>
      </c>
      <c r="C354">
        <f>IFERROR(COUNTIFS($A$1:A354,"Câu "&amp;"*")-MID(A354,5,FIND(".",A354,1)-5),0)</f>
        <v>0</v>
      </c>
      <c r="D354" t="str">
        <f t="shared" si="24"/>
        <v/>
      </c>
      <c r="E354" t="str">
        <f>SUBSTITUTE(IF(LEFT(A354,3)="Câu",MID(A354,FIND(".",A354,1)+2,LEN(A354)),""),CHAR(34),CHAR(92)&amp;CHAR(34))</f>
        <v/>
      </c>
      <c r="G354" t="str">
        <f>SUBSTITUTE(B355,CHAR(34),CHAR(92)&amp;CHAR(34))</f>
        <v>Một trong hai xe phải dừng lại cho xe kia đi qua mới được đi.</v>
      </c>
      <c r="H354" t="str">
        <f>SUBSTITUTE(B356,CHAR(34),CHAR(92)&amp;CHAR(34))</f>
        <v>Tăng tốc độ, cho xe đi về bên phải theo chiều xe chạy của mình để nhanh chóng vượt qua.</v>
      </c>
      <c r="I354" t="str">
        <f>SUBSTITUTE(IF(LEFT(A357,3)="Câu","",B357),CHAR(34),CHAR(92)&amp;CHAR(34))</f>
        <v/>
      </c>
      <c r="J354" t="str">
        <f>SUBSTITUTE(IF(OR(LEFT(A358,3)="Câu",I354=""),"",IF(B358=0,"",B358)),CHAR(34),CHAR(92)&amp;CHAR(34))</f>
        <v/>
      </c>
      <c r="K354" t="str">
        <f>SUBSTITUTE(SUBSTITUTE(SUBSTITUTE(SUBSTITUTE(IFERROR(VLOOKUP("Câu "&amp;D354&amp;".",dapan!$E:$J,6,0),""),"1","A"),"2","B"),"3","C"),"4","D")</f>
        <v/>
      </c>
      <c r="P354" t="str">
        <f t="shared" si="22"/>
        <v/>
      </c>
      <c r="Q354" t="str">
        <f t="shared" si="23"/>
        <v/>
      </c>
    </row>
    <row r="355" spans="1:17" hidden="1" x14ac:dyDescent="0.25">
      <c r="A355">
        <v>2</v>
      </c>
      <c r="B355" t="s">
        <v>318</v>
      </c>
      <c r="C355">
        <f>IFERROR(COUNTIFS($A$1:A355,"Câu "&amp;"*")-MID(A355,5,FIND(".",A355,1)-5),0)</f>
        <v>0</v>
      </c>
      <c r="D355" t="str">
        <f t="shared" si="24"/>
        <v/>
      </c>
      <c r="E355" t="str">
        <f>SUBSTITUTE(IF(LEFT(A355,3)="Câu",MID(A355,FIND(".",A355,1)+2,LEN(A355)),""),CHAR(34),CHAR(92)&amp;CHAR(34))</f>
        <v/>
      </c>
      <c r="G355" t="str">
        <f>SUBSTITUTE(B356,CHAR(34),CHAR(92)&amp;CHAR(34))</f>
        <v>Tăng tốc độ, cho xe đi về bên phải theo chiều xe chạy của mình để nhanh chóng vượt qua.</v>
      </c>
      <c r="H355" t="str">
        <f>SUBSTITUTE(B357,CHAR(34),CHAR(92)&amp;CHAR(34))</f>
        <v/>
      </c>
      <c r="I355" t="str">
        <f>SUBSTITUTE(IF(LEFT(A358,3)="Câu","",B358),CHAR(34),CHAR(92)&amp;CHAR(34))</f>
        <v>Nơi đường hẹp chỉ đủ cho một xe chạy và có chỗ tránh xe thì xe nào ở gần chỗ tránh hơn phải vào vị trí tránh, nhường đường cho xe đi ngược chiều.</v>
      </c>
      <c r="J355" t="str">
        <f>SUBSTITUTE(IF(OR(LEFT(A359,3)="Câu",I355=""),"",IF(B359=0,"",B359)),CHAR(34),CHAR(92)&amp;CHAR(34))</f>
        <v>Xe xuống dốc phải nhường đường cho xe lên dốc.</v>
      </c>
      <c r="K355" t="str">
        <f>SUBSTITUTE(SUBSTITUTE(SUBSTITUTE(SUBSTITUTE(IFERROR(VLOOKUP("Câu "&amp;D355&amp;".",dapan!$E:$J,6,0),""),"1","A"),"2","B"),"3","C"),"4","D")</f>
        <v/>
      </c>
      <c r="P355" t="str">
        <f t="shared" si="22"/>
        <v/>
      </c>
      <c r="Q355" t="str">
        <f t="shared" si="23"/>
        <v/>
      </c>
    </row>
    <row r="356" spans="1:17" hidden="1" x14ac:dyDescent="0.25">
      <c r="A356">
        <v>3</v>
      </c>
      <c r="B356" t="s">
        <v>319</v>
      </c>
      <c r="C356">
        <f>IFERROR(COUNTIFS($A$1:A356,"Câu "&amp;"*")-MID(A356,5,FIND(".",A356,1)-5),0)</f>
        <v>0</v>
      </c>
      <c r="D356" t="str">
        <f t="shared" si="24"/>
        <v/>
      </c>
      <c r="E356" t="str">
        <f>SUBSTITUTE(IF(LEFT(A356,3)="Câu",MID(A356,FIND(".",A356,1)+2,LEN(A356)),""),CHAR(34),CHAR(92)&amp;CHAR(34))</f>
        <v/>
      </c>
      <c r="G356" t="str">
        <f>SUBSTITUTE(B357,CHAR(34),CHAR(92)&amp;CHAR(34))</f>
        <v/>
      </c>
      <c r="H356" t="str">
        <f>SUBSTITUTE(B358,CHAR(34),CHAR(92)&amp;CHAR(34))</f>
        <v>Nơi đường hẹp chỉ đủ cho một xe chạy và có chỗ tránh xe thì xe nào ở gần chỗ tránh hơn phải vào vị trí tránh, nhường đường cho xe đi ngược chiều.</v>
      </c>
      <c r="I356" t="str">
        <f>SUBSTITUTE(IF(LEFT(A359,3)="Câu","",B359),CHAR(34),CHAR(92)&amp;CHAR(34))</f>
        <v>Xe xuống dốc phải nhường đường cho xe lên dốc.</v>
      </c>
      <c r="J356" t="str">
        <f>SUBSTITUTE(IF(OR(LEFT(A360,3)="Câu",I356=""),"",IF(B360=0,"",B360)),CHAR(34),CHAR(92)&amp;CHAR(34))</f>
        <v>Xe có chướng ngại vật phía trước phải nhường đường cho xe không có chướng ngại vật phía trước.</v>
      </c>
      <c r="K356" t="str">
        <f>SUBSTITUTE(SUBSTITUTE(SUBSTITUTE(SUBSTITUTE(IFERROR(VLOOKUP("Câu "&amp;D356&amp;".",dapan!$E:$J,6,0),""),"1","A"),"2","B"),"3","C"),"4","D")</f>
        <v/>
      </c>
      <c r="P356" t="str">
        <f t="shared" si="22"/>
        <v/>
      </c>
      <c r="Q356" t="str">
        <f t="shared" si="23"/>
        <v/>
      </c>
    </row>
    <row r="357" spans="1:17" x14ac:dyDescent="0.25">
      <c r="A357" t="s">
        <v>320</v>
      </c>
      <c r="C357">
        <f>IFERROR(COUNTIFS($A$1:A357,"Câu "&amp;"*")-MID(A357,5,FIND(".",A357,1)-5),0)</f>
        <v>0</v>
      </c>
      <c r="D357">
        <f t="shared" si="24"/>
        <v>88</v>
      </c>
      <c r="E357" t="str">
        <f>SUBSTITUTE(IF(LEFT(A357,3)="Câu",MID(A357,FIND(".",A357,1)+2,LEN(A357)),""),CHAR(34),CHAR(92)&amp;CHAR(34))</f>
        <v>Khi tránh xe đi ngược chiều, các xe phải nhường đường như thế nào là đúng quy tắc giao thông?</v>
      </c>
      <c r="G357" t="str">
        <f>SUBSTITUTE(B358,CHAR(34),CHAR(92)&amp;CHAR(34))</f>
        <v>Nơi đường hẹp chỉ đủ cho một xe chạy và có chỗ tránh xe thì xe nào ở gần chỗ tránh hơn phải vào vị trí tránh, nhường đường cho xe đi ngược chiều.</v>
      </c>
      <c r="H357" t="str">
        <f>SUBSTITUTE(B359,CHAR(34),CHAR(92)&amp;CHAR(34))</f>
        <v>Xe xuống dốc phải nhường đường cho xe lên dốc.</v>
      </c>
      <c r="I357" t="str">
        <f>SUBSTITUTE(IF(LEFT(A360,3)="Câu","",B360),CHAR(34),CHAR(92)&amp;CHAR(34))</f>
        <v>Xe có chướng ngại vật phía trước phải nhường đường cho xe không có chướng ngại vật phía trước.</v>
      </c>
      <c r="J357" t="str">
        <f>SUBSTITUTE(IF(OR(LEFT(A361,3)="Câu",I357=""),"",IF(B361=0,"",B361)),CHAR(34),CHAR(92)&amp;CHAR(34))</f>
        <v xml:space="preserve"> Cả ba ý trên.</v>
      </c>
      <c r="K357" t="str">
        <f ca="1">SUBSTITUTE(SUBSTITUTE(SUBSTITUTE(SUBSTITUTE(IFERROR(VLOOKUP("Câu "&amp;D357&amp;".",dapan!$E:$J,6,0),""),"1","A"),"2","B"),"3","C"),"4","D")</f>
        <v>D</v>
      </c>
      <c r="P357">
        <f t="shared" si="22"/>
        <v>88</v>
      </c>
      <c r="Q357" t="str">
        <f t="shared" ca="1" si="23"/>
        <v>{"num":88,"id":88,"q":"Khi tránh xe đi ngược chiều, các xe phải nhường đường như thế nào là đúng quy tắc giao thông?","opts":{"A":"Nơi đường hẹp chỉ đủ cho một xe chạy và có chỗ tránh xe thì xe nào ở gần chỗ tránh hơn phải vào vị trí tránh, nhường đường cho xe đi ngược chiều.","B":"Xe xuống dốc phải nhường đường cho xe lên dốc.","C":"Xe có chướng ngại vật phía trước phải nhường đường cho xe không có chướng ngại vật phía trước.","D":" Cả ba ý trên."},"answer":"D"},</v>
      </c>
    </row>
    <row r="358" spans="1:17" hidden="1" x14ac:dyDescent="0.25">
      <c r="A358">
        <v>1</v>
      </c>
      <c r="B358" t="s">
        <v>321</v>
      </c>
      <c r="C358">
        <f>IFERROR(COUNTIFS($A$1:A358,"Câu "&amp;"*")-MID(A358,5,FIND(".",A358,1)-5),0)</f>
        <v>0</v>
      </c>
      <c r="D358" t="str">
        <f t="shared" si="24"/>
        <v/>
      </c>
      <c r="E358" t="str">
        <f>SUBSTITUTE(IF(LEFT(A358,3)="Câu",MID(A358,FIND(".",A358,1)+2,LEN(A358)),""),CHAR(34),CHAR(92)&amp;CHAR(34))</f>
        <v/>
      </c>
      <c r="G358" t="str">
        <f>SUBSTITUTE(B359,CHAR(34),CHAR(92)&amp;CHAR(34))</f>
        <v>Xe xuống dốc phải nhường đường cho xe lên dốc.</v>
      </c>
      <c r="H358" t="str">
        <f>SUBSTITUTE(B360,CHAR(34),CHAR(92)&amp;CHAR(34))</f>
        <v>Xe có chướng ngại vật phía trước phải nhường đường cho xe không có chướng ngại vật phía trước.</v>
      </c>
      <c r="I358" t="str">
        <f>SUBSTITUTE(IF(LEFT(A361,3)="Câu","",B361),CHAR(34),CHAR(92)&amp;CHAR(34))</f>
        <v xml:space="preserve"> Cả ba ý trên.</v>
      </c>
      <c r="J358" t="str">
        <f>SUBSTITUTE(IF(OR(LEFT(A362,3)="Câu",I358=""),"",IF(B362=0,"",B362)),CHAR(34),CHAR(92)&amp;CHAR(34))</f>
        <v/>
      </c>
      <c r="K358" t="str">
        <f>SUBSTITUTE(SUBSTITUTE(SUBSTITUTE(SUBSTITUTE(IFERROR(VLOOKUP("Câu "&amp;D358&amp;".",dapan!$E:$J,6,0),""),"1","A"),"2","B"),"3","C"),"4","D")</f>
        <v/>
      </c>
      <c r="P358" t="str">
        <f t="shared" si="22"/>
        <v/>
      </c>
      <c r="Q358" t="str">
        <f t="shared" si="23"/>
        <v/>
      </c>
    </row>
    <row r="359" spans="1:17" hidden="1" x14ac:dyDescent="0.25">
      <c r="A359">
        <v>2</v>
      </c>
      <c r="B359" t="s">
        <v>322</v>
      </c>
      <c r="C359">
        <f>IFERROR(COUNTIFS($A$1:A359,"Câu "&amp;"*")-MID(A359,5,FIND(".",A359,1)-5),0)</f>
        <v>0</v>
      </c>
      <c r="D359" t="str">
        <f t="shared" si="24"/>
        <v/>
      </c>
      <c r="E359" t="str">
        <f>SUBSTITUTE(IF(LEFT(A359,3)="Câu",MID(A359,FIND(".",A359,1)+2,LEN(A359)),""),CHAR(34),CHAR(92)&amp;CHAR(34))</f>
        <v/>
      </c>
      <c r="G359" t="str">
        <f>SUBSTITUTE(B360,CHAR(34),CHAR(92)&amp;CHAR(34))</f>
        <v>Xe có chướng ngại vật phía trước phải nhường đường cho xe không có chướng ngại vật phía trước.</v>
      </c>
      <c r="H359" t="str">
        <f>SUBSTITUTE(B361,CHAR(34),CHAR(92)&amp;CHAR(34))</f>
        <v xml:space="preserve"> Cả ba ý trên.</v>
      </c>
      <c r="I359" t="str">
        <f>SUBSTITUTE(IF(LEFT(A362,3)="Câu","",B362),CHAR(34),CHAR(92)&amp;CHAR(34))</f>
        <v/>
      </c>
      <c r="J359" t="str">
        <f>SUBSTITUTE(IF(OR(LEFT(A363,3)="Câu",I359=""),"",IF(B363=0,"",B363)),CHAR(34),CHAR(92)&amp;CHAR(34))</f>
        <v/>
      </c>
      <c r="K359" t="str">
        <f>SUBSTITUTE(SUBSTITUTE(SUBSTITUTE(SUBSTITUTE(IFERROR(VLOOKUP("Câu "&amp;D359&amp;".",dapan!$E:$J,6,0),""),"1","A"),"2","B"),"3","C"),"4","D")</f>
        <v/>
      </c>
      <c r="P359" t="str">
        <f t="shared" si="22"/>
        <v/>
      </c>
      <c r="Q359" t="str">
        <f t="shared" si="23"/>
        <v/>
      </c>
    </row>
    <row r="360" spans="1:17" hidden="1" x14ac:dyDescent="0.25">
      <c r="A360">
        <v>3</v>
      </c>
      <c r="B360" t="s">
        <v>323</v>
      </c>
      <c r="C360">
        <f>IFERROR(COUNTIFS($A$1:A360,"Câu "&amp;"*")-MID(A360,5,FIND(".",A360,1)-5),0)</f>
        <v>0</v>
      </c>
      <c r="D360" t="str">
        <f t="shared" si="24"/>
        <v/>
      </c>
      <c r="E360" t="str">
        <f>SUBSTITUTE(IF(LEFT(A360,3)="Câu",MID(A360,FIND(".",A360,1)+2,LEN(A360)),""),CHAR(34),CHAR(92)&amp;CHAR(34))</f>
        <v/>
      </c>
      <c r="G360" t="str">
        <f>SUBSTITUTE(B361,CHAR(34),CHAR(92)&amp;CHAR(34))</f>
        <v xml:space="preserve"> Cả ba ý trên.</v>
      </c>
      <c r="H360" t="str">
        <f>SUBSTITUTE(B362,CHAR(34),CHAR(92)&amp;CHAR(34))</f>
        <v/>
      </c>
      <c r="I360" t="str">
        <f>SUBSTITUTE(IF(LEFT(A363,3)="Câu","",B363),CHAR(34),CHAR(92)&amp;CHAR(34))</f>
        <v>Tiếp tục đi và phát tín hiệu cho xe lên dốc nhường đường cho xe bạn.</v>
      </c>
      <c r="J360" t="str">
        <f>SUBSTITUTE(IF(OR(LEFT(A364,3)="Câu",I360=""),"",IF(B364=0,"",B364)),CHAR(34),CHAR(92)&amp;CHAR(34))</f>
        <v xml:space="preserve"> Nhường đường cho xe lên dốc.</v>
      </c>
      <c r="K360" t="str">
        <f>SUBSTITUTE(SUBSTITUTE(SUBSTITUTE(SUBSTITUTE(IFERROR(VLOOKUP("Câu "&amp;D360&amp;".",dapan!$E:$J,6,0),""),"1","A"),"2","B"),"3","C"),"4","D")</f>
        <v/>
      </c>
      <c r="P360" t="str">
        <f t="shared" si="22"/>
        <v/>
      </c>
      <c r="Q360" t="str">
        <f t="shared" si="23"/>
        <v/>
      </c>
    </row>
    <row r="361" spans="1:17" hidden="1" x14ac:dyDescent="0.25">
      <c r="A361">
        <v>4</v>
      </c>
      <c r="B361" t="s">
        <v>89</v>
      </c>
      <c r="C361">
        <f>IFERROR(COUNTIFS($A$1:A361,"Câu "&amp;"*")-MID(A361,5,FIND(".",A361,1)-5),0)</f>
        <v>0</v>
      </c>
      <c r="D361" t="str">
        <f t="shared" si="24"/>
        <v/>
      </c>
      <c r="E361" t="str">
        <f>SUBSTITUTE(IF(LEFT(A361,3)="Câu",MID(A361,FIND(".",A361,1)+2,LEN(A361)),""),CHAR(34),CHAR(92)&amp;CHAR(34))</f>
        <v/>
      </c>
      <c r="G361" t="str">
        <f>SUBSTITUTE(B362,CHAR(34),CHAR(92)&amp;CHAR(34))</f>
        <v/>
      </c>
      <c r="H361" t="str">
        <f>SUBSTITUTE(B363,CHAR(34),CHAR(92)&amp;CHAR(34))</f>
        <v>Tiếp tục đi và phát tín hiệu cho xe lên dốc nhường đường cho xe bạn.</v>
      </c>
      <c r="I361" t="str">
        <f>SUBSTITUTE(IF(LEFT(A364,3)="Câu","",B364),CHAR(34),CHAR(92)&amp;CHAR(34))</f>
        <v xml:space="preserve"> Nhường đường cho xe lên dốc.</v>
      </c>
      <c r="J361" t="str">
        <f>SUBSTITUTE(IF(OR(LEFT(A365,3)="Câu",I361=""),"",IF(B365=0,"",B365)),CHAR(34),CHAR(92)&amp;CHAR(34))</f>
        <v>Chỉ nhường đường khi xe lên dốc nháy đèn.</v>
      </c>
      <c r="K361" t="str">
        <f>SUBSTITUTE(SUBSTITUTE(SUBSTITUTE(SUBSTITUTE(IFERROR(VLOOKUP("Câu "&amp;D361&amp;".",dapan!$E:$J,6,0),""),"1","A"),"2","B"),"3","C"),"4","D")</f>
        <v/>
      </c>
      <c r="P361" t="str">
        <f t="shared" si="22"/>
        <v/>
      </c>
      <c r="Q361" t="str">
        <f t="shared" si="23"/>
        <v/>
      </c>
    </row>
    <row r="362" spans="1:17" x14ac:dyDescent="0.25">
      <c r="A362" t="s">
        <v>324</v>
      </c>
      <c r="C362">
        <f>IFERROR(COUNTIFS($A$1:A362,"Câu "&amp;"*")-MID(A362,5,FIND(".",A362,1)-5),0)</f>
        <v>0</v>
      </c>
      <c r="D362">
        <f t="shared" si="24"/>
        <v>89</v>
      </c>
      <c r="E362" t="str">
        <f>SUBSTITUTE(IF(LEFT(A362,3)="Câu",MID(A362,FIND(".",A362,1)+2,LEN(A362)),""),CHAR(34),CHAR(92)&amp;CHAR(34))</f>
        <v>Khi đang lái xe xuống dốc gặp một xe đang đi lên dốc, người lái xe phải làm gì?</v>
      </c>
      <c r="G362" t="str">
        <f>SUBSTITUTE(B363,CHAR(34),CHAR(92)&amp;CHAR(34))</f>
        <v>Tiếp tục đi và phát tín hiệu cho xe lên dốc nhường đường cho xe bạn.</v>
      </c>
      <c r="H362" t="str">
        <f>SUBSTITUTE(B364,CHAR(34),CHAR(92)&amp;CHAR(34))</f>
        <v xml:space="preserve"> Nhường đường cho xe lên dốc.</v>
      </c>
      <c r="I362" t="str">
        <f>SUBSTITUTE(IF(LEFT(A365,3)="Câu","",B365),CHAR(34),CHAR(92)&amp;CHAR(34))</f>
        <v>Chỉ nhường đường khi xe lên dốc nháy đèn.</v>
      </c>
      <c r="J362" t="str">
        <f>SUBSTITUTE(IF(OR(LEFT(A366,3)="Câu",I362=""),"",IF(B366=0,"",B366)),CHAR(34),CHAR(92)&amp;CHAR(34))</f>
        <v/>
      </c>
      <c r="K362" t="str">
        <f ca="1">SUBSTITUTE(SUBSTITUTE(SUBSTITUTE(SUBSTITUTE(IFERROR(VLOOKUP("Câu "&amp;D362&amp;".",dapan!$E:$J,6,0),""),"1","A"),"2","B"),"3","C"),"4","D")</f>
        <v>B</v>
      </c>
      <c r="P362">
        <f t="shared" si="22"/>
        <v>89</v>
      </c>
      <c r="Q362" t="str">
        <f t="shared" ca="1" si="23"/>
        <v>{"num":89,"id":89,"q":"Khi đang lái xe xuống dốc gặp một xe đang đi lên dốc, người lái xe phải làm gì?","opts":{"A":"Tiếp tục đi và phát tín hiệu cho xe lên dốc nhường đường cho xe bạn.","B":" Nhường đường cho xe lên dốc.","C":"Chỉ nhường đường khi xe lên dốc nháy đèn."},"answer":"B"},</v>
      </c>
    </row>
    <row r="363" spans="1:17" hidden="1" x14ac:dyDescent="0.25">
      <c r="A363">
        <v>1</v>
      </c>
      <c r="B363" t="s">
        <v>325</v>
      </c>
      <c r="C363">
        <f>IFERROR(COUNTIFS($A$1:A363,"Câu "&amp;"*")-MID(A363,5,FIND(".",A363,1)-5),0)</f>
        <v>0</v>
      </c>
      <c r="D363" t="str">
        <f t="shared" si="24"/>
        <v/>
      </c>
      <c r="E363" t="str">
        <f>SUBSTITUTE(IF(LEFT(A363,3)="Câu",MID(A363,FIND(".",A363,1)+2,LEN(A363)),""),CHAR(34),CHAR(92)&amp;CHAR(34))</f>
        <v/>
      </c>
      <c r="G363" t="str">
        <f>SUBSTITUTE(B364,CHAR(34),CHAR(92)&amp;CHAR(34))</f>
        <v xml:space="preserve"> Nhường đường cho xe lên dốc.</v>
      </c>
      <c r="H363" t="str">
        <f>SUBSTITUTE(B365,CHAR(34),CHAR(92)&amp;CHAR(34))</f>
        <v>Chỉ nhường đường khi xe lên dốc nháy đèn.</v>
      </c>
      <c r="I363" t="str">
        <f>SUBSTITUTE(IF(LEFT(A366,3)="Câu","",B366),CHAR(34),CHAR(92)&amp;CHAR(34))</f>
        <v/>
      </c>
      <c r="J363" t="str">
        <f>SUBSTITUTE(IF(OR(LEFT(A367,3)="Câu",I363=""),"",IF(B367=0,"",B367)),CHAR(34),CHAR(92)&amp;CHAR(34))</f>
        <v/>
      </c>
      <c r="K363" t="str">
        <f>SUBSTITUTE(SUBSTITUTE(SUBSTITUTE(SUBSTITUTE(IFERROR(VLOOKUP("Câu "&amp;D363&amp;".",dapan!$E:$J,6,0),""),"1","A"),"2","B"),"3","C"),"4","D")</f>
        <v/>
      </c>
      <c r="P363" t="str">
        <f t="shared" si="22"/>
        <v/>
      </c>
      <c r="Q363" t="str">
        <f t="shared" si="23"/>
        <v/>
      </c>
    </row>
    <row r="364" spans="1:17" hidden="1" x14ac:dyDescent="0.25">
      <c r="A364">
        <v>2</v>
      </c>
      <c r="B364" t="s">
        <v>326</v>
      </c>
      <c r="C364">
        <f>IFERROR(COUNTIFS($A$1:A364,"Câu "&amp;"*")-MID(A364,5,FIND(".",A364,1)-5),0)</f>
        <v>0</v>
      </c>
      <c r="D364" t="str">
        <f t="shared" si="24"/>
        <v/>
      </c>
      <c r="E364" t="str">
        <f>SUBSTITUTE(IF(LEFT(A364,3)="Câu",MID(A364,FIND(".",A364,1)+2,LEN(A364)),""),CHAR(34),CHAR(92)&amp;CHAR(34))</f>
        <v/>
      </c>
      <c r="G364" t="str">
        <f>SUBSTITUTE(B365,CHAR(34),CHAR(92)&amp;CHAR(34))</f>
        <v>Chỉ nhường đường khi xe lên dốc nháy đèn.</v>
      </c>
      <c r="H364" t="str">
        <f>SUBSTITUTE(B366,CHAR(34),CHAR(92)&amp;CHAR(34))</f>
        <v/>
      </c>
      <c r="I364" t="str">
        <f>SUBSTITUTE(IF(LEFT(A367,3)="Câu","",B367),CHAR(34),CHAR(92)&amp;CHAR(34))</f>
        <v xml:space="preserve"> Quan sát, giảm tốc độ hoặc dừng lại để bảo đảm an toàn.</v>
      </c>
      <c r="J364" t="str">
        <f>SUBSTITUTE(IF(OR(LEFT(A368,3)="Câu",I364=""),"",IF(B368=0,"",B368)),CHAR(34),CHAR(92)&amp;CHAR(34))</f>
        <v>Đi sang làn đường của xe ngược chiều để mở rộng tầm nhìn và vượt xe khác.</v>
      </c>
      <c r="K364" t="str">
        <f>SUBSTITUTE(SUBSTITUTE(SUBSTITUTE(SUBSTITUTE(IFERROR(VLOOKUP("Câu "&amp;D364&amp;".",dapan!$E:$J,6,0),""),"1","A"),"2","B"),"3","C"),"4","D")</f>
        <v/>
      </c>
      <c r="P364" t="str">
        <f t="shared" si="22"/>
        <v/>
      </c>
      <c r="Q364" t="str">
        <f t="shared" si="23"/>
        <v/>
      </c>
    </row>
    <row r="365" spans="1:17" hidden="1" x14ac:dyDescent="0.25">
      <c r="A365">
        <v>3</v>
      </c>
      <c r="B365" t="s">
        <v>327</v>
      </c>
      <c r="C365">
        <f>IFERROR(COUNTIFS($A$1:A365,"Câu "&amp;"*")-MID(A365,5,FIND(".",A365,1)-5),0)</f>
        <v>0</v>
      </c>
      <c r="D365" t="str">
        <f t="shared" si="24"/>
        <v/>
      </c>
      <c r="E365" t="str">
        <f>SUBSTITUTE(IF(LEFT(A365,3)="Câu",MID(A365,FIND(".",A365,1)+2,LEN(A365)),""),CHAR(34),CHAR(92)&amp;CHAR(34))</f>
        <v/>
      </c>
      <c r="G365" t="str">
        <f>SUBSTITUTE(B366,CHAR(34),CHAR(92)&amp;CHAR(34))</f>
        <v/>
      </c>
      <c r="H365" t="str">
        <f>SUBSTITUTE(B367,CHAR(34),CHAR(92)&amp;CHAR(34))</f>
        <v xml:space="preserve"> Quan sát, giảm tốc độ hoặc dừng lại để bảo đảm an toàn.</v>
      </c>
      <c r="I365" t="str">
        <f>SUBSTITUTE(IF(LEFT(A368,3)="Câu","",B368),CHAR(34),CHAR(92)&amp;CHAR(34))</f>
        <v>Đi sang làn đường của xe ngược chiều để mở rộng tầm nhìn và vượt xe khác.</v>
      </c>
      <c r="J365" t="str">
        <f>SUBSTITUTE(IF(OR(LEFT(A369,3)="Câu",I365=""),"",IF(B369=0,"",B369)),CHAR(34),CHAR(92)&amp;CHAR(34))</f>
        <v>Cho xe đi sát bên phải làn đường, bật tín hiệu báo hiệu để vượt bên phải xe khác.</v>
      </c>
      <c r="K365" t="str">
        <f>SUBSTITUTE(SUBSTITUTE(SUBSTITUTE(SUBSTITUTE(IFERROR(VLOOKUP("Câu "&amp;D365&amp;".",dapan!$E:$J,6,0),""),"1","A"),"2","B"),"3","C"),"4","D")</f>
        <v/>
      </c>
      <c r="P365" t="str">
        <f t="shared" si="22"/>
        <v/>
      </c>
      <c r="Q365" t="str">
        <f t="shared" si="23"/>
        <v/>
      </c>
    </row>
    <row r="366" spans="1:17" x14ac:dyDescent="0.25">
      <c r="A366" t="s">
        <v>328</v>
      </c>
      <c r="C366">
        <f>IFERROR(COUNTIFS($A$1:A366,"Câu "&amp;"*")-MID(A366,5,FIND(".",A366,1)-5),0)</f>
        <v>0</v>
      </c>
      <c r="D366">
        <f t="shared" si="24"/>
        <v>90</v>
      </c>
      <c r="E366" t="str">
        <f>SUBSTITUTE(IF(LEFT(A366,3)="Câu",MID(A366,FIND(".",A366,1)+2,LEN(A366)),""),CHAR(34),CHAR(92)&amp;CHAR(34))</f>
        <v>Người lái xe phải làm gì để bảo đảm an toàn khi lái xe trên đường cong có tầm nhìn bị hạn chế?</v>
      </c>
      <c r="G366" t="str">
        <f>SUBSTITUTE(B367,CHAR(34),CHAR(92)&amp;CHAR(34))</f>
        <v xml:space="preserve"> Quan sát, giảm tốc độ hoặc dừng lại để bảo đảm an toàn.</v>
      </c>
      <c r="H366" t="str">
        <f>SUBSTITUTE(B368,CHAR(34),CHAR(92)&amp;CHAR(34))</f>
        <v>Đi sang làn đường của xe ngược chiều để mở rộng tầm nhìn và vượt xe khác.</v>
      </c>
      <c r="I366" t="str">
        <f>SUBSTITUTE(IF(LEFT(A369,3)="Câu","",B369),CHAR(34),CHAR(92)&amp;CHAR(34))</f>
        <v>Cho xe đi sát bên phải làn đường, bật tín hiệu báo hiệu để vượt bên phải xe khác.</v>
      </c>
      <c r="J366" t="str">
        <f>SUBSTITUTE(IF(OR(LEFT(A370,3)="Câu",I366=""),"",IF(B370=0,"",B370)),CHAR(34),CHAR(92)&amp;CHAR(34))</f>
        <v/>
      </c>
      <c r="K366" t="str">
        <f ca="1">SUBSTITUTE(SUBSTITUTE(SUBSTITUTE(SUBSTITUTE(IFERROR(VLOOKUP("Câu "&amp;D366&amp;".",dapan!$E:$J,6,0),""),"1","A"),"2","B"),"3","C"),"4","D")</f>
        <v>A</v>
      </c>
      <c r="P366">
        <f t="shared" si="22"/>
        <v>90</v>
      </c>
      <c r="Q366" t="str">
        <f t="shared" ca="1" si="23"/>
        <v>{"num":90,"id":90,"q":"Người lái xe phải làm gì để bảo đảm an toàn khi lái xe trên đường cong có tầm nhìn bị hạn chế?","opts":{"A":" Quan sát, giảm tốc độ hoặc dừng lại để bảo đảm an toàn.","B":"Đi sang làn đường của xe ngược chiều để mở rộng tầm nhìn và vượt xe khác.","C":"Cho xe đi sát bên phải làn đường, bật tín hiệu báo hiệu để vượt bên phải xe khác."},"answer":"A"},</v>
      </c>
    </row>
    <row r="367" spans="1:17" hidden="1" x14ac:dyDescent="0.25">
      <c r="A367">
        <v>1</v>
      </c>
      <c r="B367" t="s">
        <v>329</v>
      </c>
      <c r="C367">
        <f>IFERROR(COUNTIFS($A$1:A367,"Câu "&amp;"*")-MID(A367,5,FIND(".",A367,1)-5),0)</f>
        <v>0</v>
      </c>
      <c r="D367" t="str">
        <f t="shared" si="24"/>
        <v/>
      </c>
      <c r="E367" t="str">
        <f>SUBSTITUTE(IF(LEFT(A367,3)="Câu",MID(A367,FIND(".",A367,1)+2,LEN(A367)),""),CHAR(34),CHAR(92)&amp;CHAR(34))</f>
        <v/>
      </c>
      <c r="G367" t="str">
        <f>SUBSTITUTE(B368,CHAR(34),CHAR(92)&amp;CHAR(34))</f>
        <v>Đi sang làn đường của xe ngược chiều để mở rộng tầm nhìn và vượt xe khác.</v>
      </c>
      <c r="H367" t="str">
        <f>SUBSTITUTE(B369,CHAR(34),CHAR(92)&amp;CHAR(34))</f>
        <v>Cho xe đi sát bên phải làn đường, bật tín hiệu báo hiệu để vượt bên phải xe khác.</v>
      </c>
      <c r="I367" t="str">
        <f>SUBSTITUTE(IF(LEFT(A370,3)="Câu","",B370),CHAR(34),CHAR(92)&amp;CHAR(34))</f>
        <v/>
      </c>
      <c r="J367" t="str">
        <f>SUBSTITUTE(IF(OR(LEFT(A371,3)="Câu",I367=""),"",IF(B371=0,"",B371)),CHAR(34),CHAR(92)&amp;CHAR(34))</f>
        <v/>
      </c>
      <c r="K367" t="str">
        <f>SUBSTITUTE(SUBSTITUTE(SUBSTITUTE(SUBSTITUTE(IFERROR(VLOOKUP("Câu "&amp;D367&amp;".",dapan!$E:$J,6,0),""),"1","A"),"2","B"),"3","C"),"4","D")</f>
        <v/>
      </c>
      <c r="P367" t="str">
        <f t="shared" si="22"/>
        <v/>
      </c>
      <c r="Q367" t="str">
        <f t="shared" si="23"/>
        <v/>
      </c>
    </row>
    <row r="368" spans="1:17" hidden="1" x14ac:dyDescent="0.25">
      <c r="A368">
        <v>2</v>
      </c>
      <c r="B368" t="s">
        <v>330</v>
      </c>
      <c r="C368">
        <f>IFERROR(COUNTIFS($A$1:A368,"Câu "&amp;"*")-MID(A368,5,FIND(".",A368,1)-5),0)</f>
        <v>0</v>
      </c>
      <c r="D368" t="str">
        <f t="shared" si="24"/>
        <v/>
      </c>
      <c r="E368" t="str">
        <f>SUBSTITUTE(IF(LEFT(A368,3)="Câu",MID(A368,FIND(".",A368,1)+2,LEN(A368)),""),CHAR(34),CHAR(92)&amp;CHAR(34))</f>
        <v/>
      </c>
      <c r="G368" t="str">
        <f>SUBSTITUTE(B369,CHAR(34),CHAR(92)&amp;CHAR(34))</f>
        <v>Cho xe đi sát bên phải làn đường, bật tín hiệu báo hiệu để vượt bên phải xe khác.</v>
      </c>
      <c r="H368" t="str">
        <f>SUBSTITUTE(B370,CHAR(34),CHAR(92)&amp;CHAR(34))</f>
        <v/>
      </c>
      <c r="I368" t="str">
        <f>SUBSTITUTE(IF(LEFT(A371,3)="Câu","",B371),CHAR(34),CHAR(92)&amp;CHAR(34))</f>
        <v>Nhường đường cho xe đi ở bên phải mình tới.</v>
      </c>
      <c r="J368" t="str">
        <f>SUBSTITUTE(IF(OR(LEFT(A372,3)="Câu",I368=""),"",IF(B372=0,"",B372)),CHAR(34),CHAR(92)&amp;CHAR(34))</f>
        <v>Nhường đường cho xe đi ở bên trái mình tới.</v>
      </c>
      <c r="K368" t="str">
        <f>SUBSTITUTE(SUBSTITUTE(SUBSTITUTE(SUBSTITUTE(IFERROR(VLOOKUP("Câu "&amp;D368&amp;".",dapan!$E:$J,6,0),""),"1","A"),"2","B"),"3","C"),"4","D")</f>
        <v/>
      </c>
      <c r="P368" t="str">
        <f t="shared" si="22"/>
        <v/>
      </c>
      <c r="Q368" t="str">
        <f t="shared" si="23"/>
        <v/>
      </c>
    </row>
    <row r="369" spans="1:17" hidden="1" x14ac:dyDescent="0.25">
      <c r="A369">
        <v>3</v>
      </c>
      <c r="B369" t="s">
        <v>331</v>
      </c>
      <c r="C369">
        <f>IFERROR(COUNTIFS($A$1:A369,"Câu "&amp;"*")-MID(A369,5,FIND(".",A369,1)-5),0)</f>
        <v>0</v>
      </c>
      <c r="D369" t="str">
        <f t="shared" si="24"/>
        <v/>
      </c>
      <c r="E369" t="str">
        <f>SUBSTITUTE(IF(LEFT(A369,3)="Câu",MID(A369,FIND(".",A369,1)+2,LEN(A369)),""),CHAR(34),CHAR(92)&amp;CHAR(34))</f>
        <v/>
      </c>
      <c r="G369" t="str">
        <f>SUBSTITUTE(B370,CHAR(34),CHAR(92)&amp;CHAR(34))</f>
        <v/>
      </c>
      <c r="H369" t="str">
        <f>SUBSTITUTE(B371,CHAR(34),CHAR(92)&amp;CHAR(34))</f>
        <v>Nhường đường cho xe đi ở bên phải mình tới.</v>
      </c>
      <c r="I369" t="str">
        <f>SUBSTITUTE(IF(LEFT(A372,3)="Câu","",B372),CHAR(34),CHAR(92)&amp;CHAR(34))</f>
        <v>Nhường đường cho xe đi ở bên trái mình tới.</v>
      </c>
      <c r="J369" t="str">
        <f>SUBSTITUTE(IF(OR(LEFT(A373,3)="Câu",I369=""),"",IF(B373=0,"",B373)),CHAR(34),CHAR(92)&amp;CHAR(34))</f>
        <v xml:space="preserve"> Nhường đường cho xe đi trên đường ưu tiên hoặc đường chính từ bất kỳ hướng nào tới.</v>
      </c>
      <c r="K369" t="str">
        <f>SUBSTITUTE(SUBSTITUTE(SUBSTITUTE(SUBSTITUTE(IFERROR(VLOOKUP("Câu "&amp;D369&amp;".",dapan!$E:$J,6,0),""),"1","A"),"2","B"),"3","C"),"4","D")</f>
        <v/>
      </c>
      <c r="P369" t="str">
        <f t="shared" si="22"/>
        <v/>
      </c>
      <c r="Q369" t="str">
        <f t="shared" si="23"/>
        <v/>
      </c>
    </row>
    <row r="370" spans="1:17" x14ac:dyDescent="0.25">
      <c r="A370" t="s">
        <v>332</v>
      </c>
      <c r="C370">
        <f>IFERROR(COUNTIFS($A$1:A370,"Câu "&amp;"*")-MID(A370,5,FIND(".",A370,1)-5),0)</f>
        <v>0</v>
      </c>
      <c r="D370">
        <f t="shared" si="24"/>
        <v>91</v>
      </c>
      <c r="E370" t="str">
        <f>SUBSTITUTE(IF(LEFT(A370,3)="Câu",MID(A370,FIND(".",A370,1)+2,LEN(A370)),""),CHAR(34),CHAR(92)&amp;CHAR(34))</f>
        <v>Tại nơi đường giao nhau, người lái xe đang đi trên đường không ưu tiên, đường nhánh phải nhường đường như thế nào là đúng quy tắc giao thông?</v>
      </c>
      <c r="G370" t="str">
        <f>SUBSTITUTE(B371,CHAR(34),CHAR(92)&amp;CHAR(34))</f>
        <v>Nhường đường cho xe đi ở bên phải mình tới.</v>
      </c>
      <c r="H370" t="str">
        <f>SUBSTITUTE(B372,CHAR(34),CHAR(92)&amp;CHAR(34))</f>
        <v>Nhường đường cho xe đi ở bên trái mình tới.</v>
      </c>
      <c r="I370" t="str">
        <f>SUBSTITUTE(IF(LEFT(A373,3)="Câu","",B373),CHAR(34),CHAR(92)&amp;CHAR(34))</f>
        <v xml:space="preserve"> Nhường đường cho xe đi trên đường ưu tiên hoặc đường chính từ bất kỳ hướng nào tới.</v>
      </c>
      <c r="J370" t="str">
        <f>SUBSTITUTE(IF(OR(LEFT(A374,3)="Câu",I370=""),"",IF(B374=0,"",B374)),CHAR(34),CHAR(92)&amp;CHAR(34))</f>
        <v/>
      </c>
      <c r="K370" t="str">
        <f ca="1">SUBSTITUTE(SUBSTITUTE(SUBSTITUTE(SUBSTITUTE(IFERROR(VLOOKUP("Câu "&amp;D370&amp;".",dapan!$E:$J,6,0),""),"1","A"),"2","B"),"3","C"),"4","D")</f>
        <v>C</v>
      </c>
      <c r="P370">
        <f t="shared" si="22"/>
        <v>91</v>
      </c>
      <c r="Q370" t="str">
        <f t="shared" ca="1" si="23"/>
        <v>{"num":91,"id":91,"q":"Tại nơi đường giao nhau, người lái xe đang đi trên đường không ưu tiên, đường nhánh phải nhường đường như thế nào là đúng quy tắc giao thông?","opts":{"A":"Nhường đường cho xe đi ở bên phải mình tới.","B":"Nhường đường cho xe đi ở bên trái mình tới.","C":" Nhường đường cho xe đi trên đường ưu tiên hoặc đường chính từ bất kỳ hướng nào tới."},"answer":"C"},</v>
      </c>
    </row>
    <row r="371" spans="1:17" hidden="1" x14ac:dyDescent="0.25">
      <c r="A371">
        <v>1</v>
      </c>
      <c r="B371" t="s">
        <v>333</v>
      </c>
      <c r="C371">
        <f>IFERROR(COUNTIFS($A$1:A371,"Câu "&amp;"*")-MID(A371,5,FIND(".",A371,1)-5),0)</f>
        <v>0</v>
      </c>
      <c r="D371" t="str">
        <f t="shared" si="24"/>
        <v/>
      </c>
      <c r="E371" t="str">
        <f>SUBSTITUTE(IF(LEFT(A371,3)="Câu",MID(A371,FIND(".",A371,1)+2,LEN(A371)),""),CHAR(34),CHAR(92)&amp;CHAR(34))</f>
        <v/>
      </c>
      <c r="G371" t="str">
        <f>SUBSTITUTE(B372,CHAR(34),CHAR(92)&amp;CHAR(34))</f>
        <v>Nhường đường cho xe đi ở bên trái mình tới.</v>
      </c>
      <c r="H371" t="str">
        <f>SUBSTITUTE(B373,CHAR(34),CHAR(92)&amp;CHAR(34))</f>
        <v xml:space="preserve"> Nhường đường cho xe đi trên đường ưu tiên hoặc đường chính từ bất kỳ hướng nào tới.</v>
      </c>
      <c r="I371" t="str">
        <f>SUBSTITUTE(IF(LEFT(A374,3)="Câu","",B374),CHAR(34),CHAR(92)&amp;CHAR(34))</f>
        <v/>
      </c>
      <c r="J371" t="str">
        <f>SUBSTITUTE(IF(OR(LEFT(A375,3)="Câu",I371=""),"",IF(B375=0,"",B375)),CHAR(34),CHAR(92)&amp;CHAR(34))</f>
        <v/>
      </c>
      <c r="K371" t="str">
        <f>SUBSTITUTE(SUBSTITUTE(SUBSTITUTE(SUBSTITUTE(IFERROR(VLOOKUP("Câu "&amp;D371&amp;".",dapan!$E:$J,6,0),""),"1","A"),"2","B"),"3","C"),"4","D")</f>
        <v/>
      </c>
      <c r="P371" t="str">
        <f t="shared" si="22"/>
        <v/>
      </c>
      <c r="Q371" t="str">
        <f t="shared" si="23"/>
        <v/>
      </c>
    </row>
    <row r="372" spans="1:17" hidden="1" x14ac:dyDescent="0.25">
      <c r="A372">
        <v>2</v>
      </c>
      <c r="B372" t="s">
        <v>334</v>
      </c>
      <c r="C372">
        <f>IFERROR(COUNTIFS($A$1:A372,"Câu "&amp;"*")-MID(A372,5,FIND(".",A372,1)-5),0)</f>
        <v>0</v>
      </c>
      <c r="D372" t="str">
        <f t="shared" si="24"/>
        <v/>
      </c>
      <c r="E372" t="str">
        <f>SUBSTITUTE(IF(LEFT(A372,3)="Câu",MID(A372,FIND(".",A372,1)+2,LEN(A372)),""),CHAR(34),CHAR(92)&amp;CHAR(34))</f>
        <v/>
      </c>
      <c r="G372" t="str">
        <f>SUBSTITUTE(B373,CHAR(34),CHAR(92)&amp;CHAR(34))</f>
        <v xml:space="preserve"> Nhường đường cho xe đi trên đường ưu tiên hoặc đường chính từ bất kỳ hướng nào tới.</v>
      </c>
      <c r="H372" t="str">
        <f>SUBSTITUTE(B374,CHAR(34),CHAR(92)&amp;CHAR(34))</f>
        <v/>
      </c>
      <c r="I372" t="str">
        <f>SUBSTITUTE(IF(LEFT(A375,3)="Câu","",B375),CHAR(34),CHAR(92)&amp;CHAR(34))</f>
        <v>Nhường đường cho xe đi đến từ bên phải.</v>
      </c>
      <c r="J372" t="str">
        <f>SUBSTITUTE(IF(OR(LEFT(A376,3)="Câu",I372=""),"",IF(B376=0,"",B376)),CHAR(34),CHAR(92)&amp;CHAR(34))</f>
        <v xml:space="preserve"> Nhường đường cho xe đi đến từ bên trái.</v>
      </c>
      <c r="K372" t="str">
        <f>SUBSTITUTE(SUBSTITUTE(SUBSTITUTE(SUBSTITUTE(IFERROR(VLOOKUP("Câu "&amp;D372&amp;".",dapan!$E:$J,6,0),""),"1","A"),"2","B"),"3","C"),"4","D")</f>
        <v/>
      </c>
      <c r="P372" t="str">
        <f t="shared" si="22"/>
        <v/>
      </c>
      <c r="Q372" t="str">
        <f t="shared" si="23"/>
        <v/>
      </c>
    </row>
    <row r="373" spans="1:17" hidden="1" x14ac:dyDescent="0.25">
      <c r="A373">
        <v>3</v>
      </c>
      <c r="B373" t="s">
        <v>335</v>
      </c>
      <c r="C373">
        <f>IFERROR(COUNTIFS($A$1:A373,"Câu "&amp;"*")-MID(A373,5,FIND(".",A373,1)-5),0)</f>
        <v>0</v>
      </c>
      <c r="D373" t="str">
        <f t="shared" si="24"/>
        <v/>
      </c>
      <c r="E373" t="str">
        <f>SUBSTITUTE(IF(LEFT(A373,3)="Câu",MID(A373,FIND(".",A373,1)+2,LEN(A373)),""),CHAR(34),CHAR(92)&amp;CHAR(34))</f>
        <v/>
      </c>
      <c r="G373" t="str">
        <f>SUBSTITUTE(B374,CHAR(34),CHAR(92)&amp;CHAR(34))</f>
        <v/>
      </c>
      <c r="H373" t="str">
        <f>SUBSTITUTE(B375,CHAR(34),CHAR(92)&amp;CHAR(34))</f>
        <v>Nhường đường cho xe đi đến từ bên phải.</v>
      </c>
      <c r="I373" t="str">
        <f>SUBSTITUTE(IF(LEFT(A376,3)="Câu","",B376),CHAR(34),CHAR(92)&amp;CHAR(34))</f>
        <v xml:space="preserve"> Nhường đường cho xe đi đến từ bên trái.</v>
      </c>
      <c r="J373" t="str">
        <f>SUBSTITUTE(IF(OR(LEFT(A377,3)="Câu",I373=""),"",IF(B377=0,"",B377)),CHAR(34),CHAR(92)&amp;CHAR(34))</f>
        <v>Không phải nhường đường.</v>
      </c>
      <c r="K373" t="str">
        <f>SUBSTITUTE(SUBSTITUTE(SUBSTITUTE(SUBSTITUTE(IFERROR(VLOOKUP("Câu "&amp;D373&amp;".",dapan!$E:$J,6,0),""),"1","A"),"2","B"),"3","C"),"4","D")</f>
        <v/>
      </c>
      <c r="P373" t="str">
        <f t="shared" si="22"/>
        <v/>
      </c>
      <c r="Q373" t="str">
        <f t="shared" si="23"/>
        <v/>
      </c>
    </row>
    <row r="374" spans="1:17" x14ac:dyDescent="0.25">
      <c r="A374" t="s">
        <v>336</v>
      </c>
      <c r="C374">
        <f>IFERROR(COUNTIFS($A$1:A374,"Câu "&amp;"*")-MID(A374,5,FIND(".",A374,1)-5),0)</f>
        <v>0</v>
      </c>
      <c r="D374">
        <f t="shared" si="24"/>
        <v>92</v>
      </c>
      <c r="E374" t="str">
        <f>SUBSTITUTE(IF(LEFT(A374,3)="Câu",MID(A374,FIND(".",A374,1)+2,LEN(A374)),""),CHAR(34),CHAR(92)&amp;CHAR(34))</f>
        <v>Tại nơi đường giao nhau có báo hiệu đi theo vòng xuyến, người lái xe phải nhường đường như thế nào là đúng quy tắc giao thông?</v>
      </c>
      <c r="G374" t="str">
        <f>SUBSTITUTE(B375,CHAR(34),CHAR(92)&amp;CHAR(34))</f>
        <v>Nhường đường cho xe đi đến từ bên phải.</v>
      </c>
      <c r="H374" t="str">
        <f>SUBSTITUTE(B376,CHAR(34),CHAR(92)&amp;CHAR(34))</f>
        <v xml:space="preserve"> Nhường đường cho xe đi đến từ bên trái.</v>
      </c>
      <c r="I374" t="str">
        <f>SUBSTITUTE(IF(LEFT(A377,3)="Câu","",B377),CHAR(34),CHAR(92)&amp;CHAR(34))</f>
        <v>Không phải nhường đường.</v>
      </c>
      <c r="J374" t="str">
        <f>SUBSTITUTE(IF(OR(LEFT(A378,3)="Câu",I374=""),"",IF(B378=0,"",B378)),CHAR(34),CHAR(92)&amp;CHAR(34))</f>
        <v/>
      </c>
      <c r="K374" t="str">
        <f ca="1">SUBSTITUTE(SUBSTITUTE(SUBSTITUTE(SUBSTITUTE(IFERROR(VLOOKUP("Câu "&amp;D374&amp;".",dapan!$E:$J,6,0),""),"1","A"),"2","B"),"3","C"),"4","D")</f>
        <v>B</v>
      </c>
      <c r="P374">
        <f t="shared" si="22"/>
        <v>92</v>
      </c>
      <c r="Q374" t="str">
        <f t="shared" ca="1" si="23"/>
        <v>{"num":92,"id":92,"q":"Tại nơi đường giao nhau có báo hiệu đi theo vòng xuyến, người lái xe phải nhường đường như thế nào là đúng quy tắc giao thông?","opts":{"A":"Nhường đường cho xe đi đến từ bên phải.","B":" Nhường đường cho xe đi đến từ bên trái.","C":"Không phải nhường đường."},"answer":"B"},</v>
      </c>
    </row>
    <row r="375" spans="1:17" hidden="1" x14ac:dyDescent="0.25">
      <c r="A375">
        <v>1</v>
      </c>
      <c r="B375" t="s">
        <v>337</v>
      </c>
      <c r="C375">
        <f>IFERROR(COUNTIFS($A$1:A375,"Câu "&amp;"*")-MID(A375,5,FIND(".",A375,1)-5),0)</f>
        <v>0</v>
      </c>
      <c r="D375" t="str">
        <f t="shared" si="24"/>
        <v/>
      </c>
      <c r="E375" t="str">
        <f>SUBSTITUTE(IF(LEFT(A375,3)="Câu",MID(A375,FIND(".",A375,1)+2,LEN(A375)),""),CHAR(34),CHAR(92)&amp;CHAR(34))</f>
        <v/>
      </c>
      <c r="G375" t="str">
        <f>SUBSTITUTE(B376,CHAR(34),CHAR(92)&amp;CHAR(34))</f>
        <v xml:space="preserve"> Nhường đường cho xe đi đến từ bên trái.</v>
      </c>
      <c r="H375" t="str">
        <f>SUBSTITUTE(B377,CHAR(34),CHAR(92)&amp;CHAR(34))</f>
        <v>Không phải nhường đường.</v>
      </c>
      <c r="I375" t="str">
        <f>SUBSTITUTE(IF(LEFT(A378,3)="Câu","",B378),CHAR(34),CHAR(92)&amp;CHAR(34))</f>
        <v/>
      </c>
      <c r="J375" t="str">
        <f>SUBSTITUTE(IF(OR(LEFT(A379,3)="Câu",I375=""),"",IF(B379=0,"",B379)),CHAR(34),CHAR(92)&amp;CHAR(34))</f>
        <v/>
      </c>
      <c r="K375" t="str">
        <f>SUBSTITUTE(SUBSTITUTE(SUBSTITUTE(SUBSTITUTE(IFERROR(VLOOKUP("Câu "&amp;D375&amp;".",dapan!$E:$J,6,0),""),"1","A"),"2","B"),"3","C"),"4","D")</f>
        <v/>
      </c>
      <c r="P375" t="str">
        <f t="shared" si="22"/>
        <v/>
      </c>
      <c r="Q375" t="str">
        <f t="shared" si="23"/>
        <v/>
      </c>
    </row>
    <row r="376" spans="1:17" hidden="1" x14ac:dyDescent="0.25">
      <c r="A376">
        <v>2</v>
      </c>
      <c r="B376" t="s">
        <v>338</v>
      </c>
      <c r="C376">
        <f>IFERROR(COUNTIFS($A$1:A376,"Câu "&amp;"*")-MID(A376,5,FIND(".",A376,1)-5),0)</f>
        <v>0</v>
      </c>
      <c r="D376" t="str">
        <f t="shared" si="24"/>
        <v/>
      </c>
      <c r="E376" t="str">
        <f>SUBSTITUTE(IF(LEFT(A376,3)="Câu",MID(A376,FIND(".",A376,1)+2,LEN(A376)),""),CHAR(34),CHAR(92)&amp;CHAR(34))</f>
        <v/>
      </c>
      <c r="G376" t="str">
        <f>SUBSTITUTE(B377,CHAR(34),CHAR(92)&amp;CHAR(34))</f>
        <v>Không phải nhường đường.</v>
      </c>
      <c r="H376" t="str">
        <f>SUBSTITUTE(B378,CHAR(34),CHAR(92)&amp;CHAR(34))</f>
        <v/>
      </c>
      <c r="I376" t="str">
        <f>SUBSTITUTE(IF(LEFT(A379,3)="Câu","",B379),CHAR(34),CHAR(92)&amp;CHAR(34))</f>
        <v xml:space="preserve"> Phải nhường đường cho xe đi đến từ bên phải.</v>
      </c>
      <c r="J376" t="str">
        <f>SUBSTITUTE(IF(OR(LEFT(A380,3)="Câu",I376=""),"",IF(B380=0,"",B380)),CHAR(34),CHAR(92)&amp;CHAR(34))</f>
        <v>Xe báo hiệu xin đường trước, xe đó được đi trước.</v>
      </c>
      <c r="K376" t="str">
        <f>SUBSTITUTE(SUBSTITUTE(SUBSTITUTE(SUBSTITUTE(IFERROR(VLOOKUP("Câu "&amp;D376&amp;".",dapan!$E:$J,6,0),""),"1","A"),"2","B"),"3","C"),"4","D")</f>
        <v/>
      </c>
      <c r="P376" t="str">
        <f t="shared" si="22"/>
        <v/>
      </c>
      <c r="Q376" t="str">
        <f t="shared" si="23"/>
        <v/>
      </c>
    </row>
    <row r="377" spans="1:17" hidden="1" x14ac:dyDescent="0.25">
      <c r="A377">
        <v>3</v>
      </c>
      <c r="B377" t="s">
        <v>339</v>
      </c>
      <c r="C377">
        <f>IFERROR(COUNTIFS($A$1:A377,"Câu "&amp;"*")-MID(A377,5,FIND(".",A377,1)-5),0)</f>
        <v>0</v>
      </c>
      <c r="D377" t="str">
        <f t="shared" si="24"/>
        <v/>
      </c>
      <c r="E377" t="str">
        <f>SUBSTITUTE(IF(LEFT(A377,3)="Câu",MID(A377,FIND(".",A377,1)+2,LEN(A377)),""),CHAR(34),CHAR(92)&amp;CHAR(34))</f>
        <v/>
      </c>
      <c r="G377" t="str">
        <f>SUBSTITUTE(B378,CHAR(34),CHAR(92)&amp;CHAR(34))</f>
        <v/>
      </c>
      <c r="H377" t="str">
        <f>SUBSTITUTE(B379,CHAR(34),CHAR(92)&amp;CHAR(34))</f>
        <v xml:space="preserve"> Phải nhường đường cho xe đi đến từ bên phải.</v>
      </c>
      <c r="I377" t="str">
        <f>SUBSTITUTE(IF(LEFT(A380,3)="Câu","",B380),CHAR(34),CHAR(92)&amp;CHAR(34))</f>
        <v>Xe báo hiệu xin đường trước, xe đó được đi trước.</v>
      </c>
      <c r="J377" t="str">
        <f>SUBSTITUTE(IF(OR(LEFT(A381,3)="Câu",I377=""),"",IF(B381=0,"",B381)),CHAR(34),CHAR(92)&amp;CHAR(34))</f>
        <v>Phải nhường đường cho xe đi đến từ bên trái.</v>
      </c>
      <c r="K377" t="str">
        <f>SUBSTITUTE(SUBSTITUTE(SUBSTITUTE(SUBSTITUTE(IFERROR(VLOOKUP("Câu "&amp;D377&amp;".",dapan!$E:$J,6,0),""),"1","A"),"2","B"),"3","C"),"4","D")</f>
        <v/>
      </c>
      <c r="P377" t="str">
        <f t="shared" si="22"/>
        <v/>
      </c>
      <c r="Q377" t="str">
        <f t="shared" si="23"/>
        <v/>
      </c>
    </row>
    <row r="378" spans="1:17" x14ac:dyDescent="0.25">
      <c r="A378" t="s">
        <v>340</v>
      </c>
      <c r="C378">
        <f>IFERROR(COUNTIFS($A$1:A378,"Câu "&amp;"*")-MID(A378,5,FIND(".",A378,1)-5),0)</f>
        <v>0</v>
      </c>
      <c r="D378">
        <f t="shared" si="24"/>
        <v>93</v>
      </c>
      <c r="E378" t="str">
        <f>SUBSTITUTE(IF(LEFT(A378,3)="Câu",MID(A378,FIND(".",A378,1)+2,LEN(A378)),""),CHAR(34),CHAR(92)&amp;CHAR(34))</f>
        <v>Tại nơi đường giao nhau không có báo hiệu đi theo vòng xuyến, người điều khiển phương tiện phải nhường đường như thế nào là đúng quy tắc giao thông?</v>
      </c>
      <c r="G378" t="str">
        <f>SUBSTITUTE(B379,CHAR(34),CHAR(92)&amp;CHAR(34))</f>
        <v xml:space="preserve"> Phải nhường đường cho xe đi đến từ bên phải.</v>
      </c>
      <c r="H378" t="str">
        <f>SUBSTITUTE(B380,CHAR(34),CHAR(92)&amp;CHAR(34))</f>
        <v>Xe báo hiệu xin đường trước, xe đó được đi trước.</v>
      </c>
      <c r="I378" t="str">
        <f>SUBSTITUTE(IF(LEFT(A381,3)="Câu","",B381),CHAR(34),CHAR(92)&amp;CHAR(34))</f>
        <v>Phải nhường đường cho xe đi đến từ bên trái.</v>
      </c>
      <c r="J378" t="str">
        <f>SUBSTITUTE(IF(OR(LEFT(A382,3)="Câu",I378=""),"",IF(B382=0,"",B382)),CHAR(34),CHAR(92)&amp;CHAR(34))</f>
        <v/>
      </c>
      <c r="K378" t="str">
        <f ca="1">SUBSTITUTE(SUBSTITUTE(SUBSTITUTE(SUBSTITUTE(IFERROR(VLOOKUP("Câu "&amp;D378&amp;".",dapan!$E:$J,6,0),""),"1","A"),"2","B"),"3","C"),"4","D")</f>
        <v>A</v>
      </c>
      <c r="P378">
        <f t="shared" si="22"/>
        <v>93</v>
      </c>
      <c r="Q378" t="str">
        <f t="shared" ca="1" si="23"/>
        <v>{"num":93,"id":93,"q":"Tại nơi đường giao nhau không có báo hiệu đi theo vòng xuyến, người điều khiển phương tiện phải nhường đường như thế nào là đúng quy tắc giao thông?","opts":{"A":" Phải nhường đường cho xe đi đến từ bên phải.","B":"Xe báo hiệu xin đường trước, xe đó được đi trước.","C":"Phải nhường đường cho xe đi đến từ bên trái."},"answer":"A"},</v>
      </c>
    </row>
    <row r="379" spans="1:17" hidden="1" x14ac:dyDescent="0.25">
      <c r="A379">
        <v>1</v>
      </c>
      <c r="B379" t="s">
        <v>341</v>
      </c>
      <c r="C379">
        <f>IFERROR(COUNTIFS($A$1:A379,"Câu "&amp;"*")-MID(A379,5,FIND(".",A379,1)-5),0)</f>
        <v>0</v>
      </c>
      <c r="D379" t="str">
        <f t="shared" si="24"/>
        <v/>
      </c>
      <c r="E379" t="str">
        <f>SUBSTITUTE(IF(LEFT(A379,3)="Câu",MID(A379,FIND(".",A379,1)+2,LEN(A379)),""),CHAR(34),CHAR(92)&amp;CHAR(34))</f>
        <v/>
      </c>
      <c r="G379" t="str">
        <f>SUBSTITUTE(B380,CHAR(34),CHAR(92)&amp;CHAR(34))</f>
        <v>Xe báo hiệu xin đường trước, xe đó được đi trước.</v>
      </c>
      <c r="H379" t="str">
        <f>SUBSTITUTE(B381,CHAR(34),CHAR(92)&amp;CHAR(34))</f>
        <v>Phải nhường đường cho xe đi đến từ bên trái.</v>
      </c>
      <c r="I379" t="str">
        <f>SUBSTITUTE(IF(LEFT(A382,3)="Câu","",B382),CHAR(34),CHAR(92)&amp;CHAR(34))</f>
        <v/>
      </c>
      <c r="J379" t="str">
        <f>SUBSTITUTE(IF(OR(LEFT(A383,3)="Câu",I379=""),"",IF(B383=0,"",B383)),CHAR(34),CHAR(92)&amp;CHAR(34))</f>
        <v/>
      </c>
      <c r="K379" t="str">
        <f>SUBSTITUTE(SUBSTITUTE(SUBSTITUTE(SUBSTITUTE(IFERROR(VLOOKUP("Câu "&amp;D379&amp;".",dapan!$E:$J,6,0),""),"1","A"),"2","B"),"3","C"),"4","D")</f>
        <v/>
      </c>
      <c r="P379" t="str">
        <f t="shared" si="22"/>
        <v/>
      </c>
      <c r="Q379" t="str">
        <f t="shared" si="23"/>
        <v/>
      </c>
    </row>
    <row r="380" spans="1:17" hidden="1" x14ac:dyDescent="0.25">
      <c r="A380">
        <v>2</v>
      </c>
      <c r="B380" t="s">
        <v>342</v>
      </c>
      <c r="C380">
        <f>IFERROR(COUNTIFS($A$1:A380,"Câu "&amp;"*")-MID(A380,5,FIND(".",A380,1)-5),0)</f>
        <v>0</v>
      </c>
      <c r="D380" t="str">
        <f t="shared" si="24"/>
        <v/>
      </c>
      <c r="E380" t="str">
        <f>SUBSTITUTE(IF(LEFT(A380,3)="Câu",MID(A380,FIND(".",A380,1)+2,LEN(A380)),""),CHAR(34),CHAR(92)&amp;CHAR(34))</f>
        <v/>
      </c>
      <c r="G380" t="str">
        <f>SUBSTITUTE(B381,CHAR(34),CHAR(92)&amp;CHAR(34))</f>
        <v>Phải nhường đường cho xe đi đến từ bên trái.</v>
      </c>
      <c r="H380" t="str">
        <f>SUBSTITUTE(B382,CHAR(34),CHAR(92)&amp;CHAR(34))</f>
        <v/>
      </c>
      <c r="I380" t="str">
        <f>SUBSTITUTE(IF(LEFT(A383,3)="Câu","",B383),CHAR(34),CHAR(92)&amp;CHAR(34))</f>
        <v>Xe chữa cháy của Cảnh sát phòng cháy, chữa cháy và cứu nạn, cứu hộ và xe chữa cháy của các lực lượng khác; xe của lực lượng quân sự, công an và kiểm sát; đoàn xe có xe Cảnh sát giao thông dẫn đường; xe cứu thương; xe hộ đê không có tín hiệu ưu tiên theo quy định.</v>
      </c>
      <c r="J380" t="str">
        <f>SUBSTITUTE(IF(OR(LEFT(A384,3)="Câu",I380=""),"",IF(B384=0,"",B384)),CHAR(34),CHAR(92)&amp;CHAR(34))</f>
        <v xml:space="preserve"> Xe ưu tiên gồm xe chữa cháy của Cảnh sát phòng cháy, chữa cháy và cứu nạn, cứu hộ và xe chữa cháy của các lực lượng khác được huy động đi làm nhiệm vụ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theo quy định của pháp luật; đoàn xe tang.</v>
      </c>
      <c r="K380" t="str">
        <f>SUBSTITUTE(SUBSTITUTE(SUBSTITUTE(SUBSTITUTE(IFERROR(VLOOKUP("Câu "&amp;D380&amp;".",dapan!$E:$J,6,0),""),"1","A"),"2","B"),"3","C"),"4","D")</f>
        <v/>
      </c>
      <c r="P380" t="str">
        <f t="shared" si="22"/>
        <v/>
      </c>
      <c r="Q380" t="str">
        <f t="shared" si="23"/>
        <v/>
      </c>
    </row>
    <row r="381" spans="1:17" hidden="1" x14ac:dyDescent="0.25">
      <c r="A381">
        <v>3</v>
      </c>
      <c r="B381" t="s">
        <v>343</v>
      </c>
      <c r="C381">
        <f>IFERROR(COUNTIFS($A$1:A381,"Câu "&amp;"*")-MID(A381,5,FIND(".",A381,1)-5),0)</f>
        <v>0</v>
      </c>
      <c r="D381" t="str">
        <f t="shared" si="24"/>
        <v/>
      </c>
      <c r="E381" t="str">
        <f>SUBSTITUTE(IF(LEFT(A381,3)="Câu",MID(A381,FIND(".",A381,1)+2,LEN(A381)),""),CHAR(34),CHAR(92)&amp;CHAR(34))</f>
        <v/>
      </c>
      <c r="G381" t="str">
        <f>SUBSTITUTE(B382,CHAR(34),CHAR(92)&amp;CHAR(34))</f>
        <v/>
      </c>
      <c r="H381" t="str">
        <f>SUBSTITUTE(B383,CHAR(34),CHAR(92)&amp;CHAR(34))</f>
        <v>Xe chữa cháy của Cảnh sát phòng cháy, chữa cháy và cứu nạn, cứu hộ và xe chữa cháy của các lực lượng khác; xe của lực lượng quân sự, công an và kiểm sát; đoàn xe có xe Cảnh sát giao thông dẫn đường; xe cứu thương; xe hộ đê không có tín hiệu ưu tiên theo quy định.</v>
      </c>
      <c r="I381" t="str">
        <f>SUBSTITUTE(IF(LEFT(A384,3)="Câu","",B384),CHAR(34),CHAR(92)&amp;CHAR(34))</f>
        <v xml:space="preserve"> Xe ưu tiên gồm xe chữa cháy của Cảnh sát phòng cháy, chữa cháy và cứu nạn, cứu hộ và xe chữa cháy của các lực lượng khác được huy động đi làm nhiệm vụ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theo quy định của pháp luật; đoàn xe tang.</v>
      </c>
      <c r="J381" t="str">
        <f>SUBSTITUTE(IF(OR(LEFT(A385,3)="Câu",I381=""),"",IF(B385=0,"",B385)),CHAR(34),CHAR(92)&amp;CHAR(34))</f>
        <v>Xe ô tô, xe máy, đoàn xe đang diễu hành có tổ chức có báo tín hiệu xin vượt bằng còi và đèn.</v>
      </c>
      <c r="K381" t="str">
        <f>SUBSTITUTE(SUBSTITUTE(SUBSTITUTE(SUBSTITUTE(IFERROR(VLOOKUP("Câu "&amp;D381&amp;".",dapan!$E:$J,6,0),""),"1","A"),"2","B"),"3","C"),"4","D")</f>
        <v/>
      </c>
      <c r="P381" t="str">
        <f t="shared" si="22"/>
        <v/>
      </c>
      <c r="Q381" t="str">
        <f t="shared" si="23"/>
        <v/>
      </c>
    </row>
    <row r="382" spans="1:17" x14ac:dyDescent="0.25">
      <c r="A382" t="s">
        <v>344</v>
      </c>
      <c r="C382">
        <f>IFERROR(COUNTIFS($A$1:A382,"Câu "&amp;"*")-MID(A382,5,FIND(".",A382,1)-5),0)</f>
        <v>0</v>
      </c>
      <c r="D382">
        <f t="shared" si="24"/>
        <v>94</v>
      </c>
      <c r="E382" t="str">
        <f>SUBSTITUTE(IF(LEFT(A382,3)="Câu",MID(A382,FIND(".",A382,1)+2,LEN(A382)),""),CHAR(34),CHAR(92)&amp;CHAR(34))</f>
        <v>Người lái xe phải nhanh chóng giảm tốc độ, đi sát lề đường bên phải hoặc dừng lại để nhường đường cho các loại xe nào dưới đây?</v>
      </c>
      <c r="G382" t="str">
        <f>SUBSTITUTE(B383,CHAR(34),CHAR(92)&amp;CHAR(34))</f>
        <v>Xe chữa cháy của Cảnh sát phòng cháy, chữa cháy và cứu nạn, cứu hộ và xe chữa cháy của các lực lượng khác; xe của lực lượng quân sự, công an và kiểm sát; đoàn xe có xe Cảnh sát giao thông dẫn đường; xe cứu thương; xe hộ đê không có tín hiệu ưu tiên theo quy định.</v>
      </c>
      <c r="H382" t="str">
        <f>SUBSTITUTE(B384,CHAR(34),CHAR(92)&amp;CHAR(34))</f>
        <v xml:space="preserve"> Xe ưu tiên gồm xe chữa cháy của Cảnh sát phòng cháy, chữa cháy và cứu nạn, cứu hộ và xe chữa cháy của các lực lượng khác được huy động đi làm nhiệm vụ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theo quy định của pháp luật; đoàn xe tang.</v>
      </c>
      <c r="I382" t="str">
        <f>SUBSTITUTE(IF(LEFT(A385,3)="Câu","",B385),CHAR(34),CHAR(92)&amp;CHAR(34))</f>
        <v>Xe ô tô, xe máy, đoàn xe đang diễu hành có tổ chức có báo tín hiệu xin vượt bằng còi và đèn.</v>
      </c>
      <c r="J382" t="str">
        <f>SUBSTITUTE(IF(OR(LEFT(A386,3)="Câu",I382=""),"",IF(B386=0,"",B386)),CHAR(34),CHAR(92)&amp;CHAR(34))</f>
        <v/>
      </c>
      <c r="K382" t="str">
        <f ca="1">SUBSTITUTE(SUBSTITUTE(SUBSTITUTE(SUBSTITUTE(IFERROR(VLOOKUP("Câu "&amp;D382&amp;".",dapan!$E:$J,6,0),""),"1","A"),"2","B"),"3","C"),"4","D")</f>
        <v>B</v>
      </c>
      <c r="P382">
        <f t="shared" si="22"/>
        <v>94</v>
      </c>
      <c r="Q382" t="str">
        <f t="shared" ca="1" si="23"/>
        <v>{"num":94,"id":94,"q":"Người lái xe phải nhanh chóng giảm tốc độ, đi sát lề đường bên phải hoặc dừng lại để nhường đường cho các loại xe nào dưới đây?","opts":{"A":"Xe chữa cháy của Cảnh sát phòng cháy, chữa cháy và cứu nạn, cứu hộ và xe chữa cháy của các lực lượng khác; xe của lực lượng quân sự, công an và kiểm sát; đoàn xe có xe Cảnh sát giao thông dẫn đường; xe cứu thương; xe hộ đê không có tín hiệu ưu tiên theo quy định.","B":" Xe ưu tiên gồm xe chữa cháy của Cảnh sát phòng cháy, chữa cháy và cứu nạn, cứu hộ và xe chữa cháy của các lực lượng khác được huy động đi làm nhiệm vụ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theo quy định của pháp luật; đoàn xe tang.","C":"Xe ô tô, xe máy, đoàn xe đang diễu hành có tổ chức có báo tín hiệu xin vượt bằng còi và đèn."},"answer":"B"},</v>
      </c>
    </row>
    <row r="383" spans="1:17" hidden="1" x14ac:dyDescent="0.25">
      <c r="A383">
        <v>1</v>
      </c>
      <c r="B383" t="s">
        <v>345</v>
      </c>
      <c r="C383">
        <f>IFERROR(COUNTIFS($A$1:A383,"Câu "&amp;"*")-MID(A383,5,FIND(".",A383,1)-5),0)</f>
        <v>0</v>
      </c>
      <c r="D383" t="str">
        <f t="shared" si="24"/>
        <v/>
      </c>
      <c r="E383" t="str">
        <f>SUBSTITUTE(IF(LEFT(A383,3)="Câu",MID(A383,FIND(".",A383,1)+2,LEN(A383)),""),CHAR(34),CHAR(92)&amp;CHAR(34))</f>
        <v/>
      </c>
      <c r="G383" t="str">
        <f>SUBSTITUTE(B384,CHAR(34),CHAR(92)&amp;CHAR(34))</f>
        <v xml:space="preserve"> Xe ưu tiên gồm xe chữa cháy của Cảnh sát phòng cháy, chữa cháy và cứu nạn, cứu hộ và xe chữa cháy của các lực lượng khác được huy động đi làm nhiệm vụ chữa cháy; xe của lực lượng quân sự, công an và kiểm sát đi làm nhiệm vụ khẩn cấp; đoàn xe có xe Cảnh sát giao thông dẫn đường; xe cứu thương đi làm nhiệm vụ cấp cứu; xe hộ đê đi làm nhiệm vụ; xe đi làm nhiệm vụ cứu nạn, cứu hộ, khắc phục sự cố thiên tai, dịch bệnh hoặc xe đi làm nhiệm vụ trong tình trạng khẩn cấp theo quy định của pháp luật; đoàn xe tang.</v>
      </c>
      <c r="H383" t="str">
        <f>SUBSTITUTE(B385,CHAR(34),CHAR(92)&amp;CHAR(34))</f>
        <v>Xe ô tô, xe máy, đoàn xe đang diễu hành có tổ chức có báo tín hiệu xin vượt bằng còi và đèn.</v>
      </c>
      <c r="I383" t="str">
        <f>SUBSTITUTE(IF(LEFT(A386,3)="Câu","",B386),CHAR(34),CHAR(92)&amp;CHAR(34))</f>
        <v/>
      </c>
      <c r="J383" t="str">
        <f>SUBSTITUTE(IF(OR(LEFT(A387,3)="Câu",I383=""),"",IF(B387=0,"",B387)),CHAR(34),CHAR(92)&amp;CHAR(34))</f>
        <v/>
      </c>
      <c r="K383" t="str">
        <f>SUBSTITUTE(SUBSTITUTE(SUBSTITUTE(SUBSTITUTE(IFERROR(VLOOKUP("Câu "&amp;D383&amp;".",dapan!$E:$J,6,0),""),"1","A"),"2","B"),"3","C"),"4","D")</f>
        <v/>
      </c>
      <c r="P383" t="str">
        <f t="shared" si="22"/>
        <v/>
      </c>
      <c r="Q383" t="str">
        <f t="shared" si="23"/>
        <v/>
      </c>
    </row>
    <row r="384" spans="1:17" hidden="1" x14ac:dyDescent="0.25">
      <c r="A384">
        <v>2</v>
      </c>
      <c r="B384" t="s">
        <v>346</v>
      </c>
      <c r="C384">
        <f>IFERROR(COUNTIFS($A$1:A384,"Câu "&amp;"*")-MID(A384,5,FIND(".",A384,1)-5),0)</f>
        <v>0</v>
      </c>
      <c r="D384" t="str">
        <f t="shared" si="24"/>
        <v/>
      </c>
      <c r="E384" t="str">
        <f>SUBSTITUTE(IF(LEFT(A384,3)="Câu",MID(A384,FIND(".",A384,1)+2,LEN(A384)),""),CHAR(34),CHAR(92)&amp;CHAR(34))</f>
        <v/>
      </c>
      <c r="G384" t="str">
        <f>SUBSTITUTE(B385,CHAR(34),CHAR(92)&amp;CHAR(34))</f>
        <v>Xe ô tô, xe máy, đoàn xe đang diễu hành có tổ chức có báo tín hiệu xin vượt bằng còi và đèn.</v>
      </c>
      <c r="H384" t="str">
        <f>SUBSTITUTE(B386,CHAR(34),CHAR(92)&amp;CHAR(34))</f>
        <v/>
      </c>
      <c r="I384" t="str">
        <f>SUBSTITUTE(IF(LEFT(A387,3)="Câu","",B387),CHAR(34),CHAR(92)&amp;CHAR(34))</f>
        <v>Không bị hạn chế tốc độ.</v>
      </c>
      <c r="J384" t="str">
        <f>SUBSTITUTE(IF(OR(LEFT(A388,3)="Câu",I384=""),"",IF(B388=0,"",B388)),CHAR(34),CHAR(92)&amp;CHAR(34))</f>
        <v>Được phép đi không phụ thuộc vào tín hiệu đèn giao thông, đi vào đường ngược chiều, các đường khác có thể đi được.</v>
      </c>
      <c r="K384" t="str">
        <f>SUBSTITUTE(SUBSTITUTE(SUBSTITUTE(SUBSTITUTE(IFERROR(VLOOKUP("Câu "&amp;D384&amp;".",dapan!$E:$J,6,0),""),"1","A"),"2","B"),"3","C"),"4","D")</f>
        <v/>
      </c>
      <c r="P384" t="str">
        <f t="shared" si="22"/>
        <v/>
      </c>
      <c r="Q384" t="str">
        <f t="shared" si="23"/>
        <v/>
      </c>
    </row>
    <row r="385" spans="1:17" hidden="1" x14ac:dyDescent="0.25">
      <c r="A385">
        <v>3</v>
      </c>
      <c r="B385" t="s">
        <v>347</v>
      </c>
      <c r="C385">
        <f>IFERROR(COUNTIFS($A$1:A385,"Câu "&amp;"*")-MID(A385,5,FIND(".",A385,1)-5),0)</f>
        <v>0</v>
      </c>
      <c r="D385" t="str">
        <f t="shared" si="24"/>
        <v/>
      </c>
      <c r="E385" t="str">
        <f>SUBSTITUTE(IF(LEFT(A385,3)="Câu",MID(A385,FIND(".",A385,1)+2,LEN(A385)),""),CHAR(34),CHAR(92)&amp;CHAR(34))</f>
        <v/>
      </c>
      <c r="G385" t="str">
        <f>SUBSTITUTE(B386,CHAR(34),CHAR(92)&amp;CHAR(34))</f>
        <v/>
      </c>
      <c r="H385" t="str">
        <f>SUBSTITUTE(B387,CHAR(34),CHAR(92)&amp;CHAR(34))</f>
        <v>Không bị hạn chế tốc độ.</v>
      </c>
      <c r="I385" t="str">
        <f>SUBSTITUTE(IF(LEFT(A388,3)="Câu","",B388),CHAR(34),CHAR(92)&amp;CHAR(34))</f>
        <v>Được phép đi không phụ thuộc vào tín hiệu đèn giao thông, đi vào đường ngược chiều, các đường khác có thể đi được.</v>
      </c>
      <c r="J385" t="str">
        <f>SUBSTITUTE(IF(OR(LEFT(A389,3)="Câu",I385=""),"",IF(B389=0,"",B389)),CHAR(34),CHAR(92)&amp;CHAR(34))</f>
        <v>Được đi ngược chiều trên làn dừng xe khẩn cấp trên đường cao tốc.</v>
      </c>
      <c r="K385" t="str">
        <f>SUBSTITUTE(SUBSTITUTE(SUBSTITUTE(SUBSTITUTE(IFERROR(VLOOKUP("Câu "&amp;D385&amp;".",dapan!$E:$J,6,0),""),"1","A"),"2","B"),"3","C"),"4","D")</f>
        <v/>
      </c>
      <c r="P385" t="str">
        <f t="shared" si="22"/>
        <v/>
      </c>
      <c r="Q385" t="str">
        <f t="shared" si="23"/>
        <v/>
      </c>
    </row>
    <row r="386" spans="1:17" x14ac:dyDescent="0.25">
      <c r="A386" t="s">
        <v>348</v>
      </c>
      <c r="C386">
        <f>IFERROR(COUNTIFS($A$1:A386,"Câu "&amp;"*")-MID(A386,5,FIND(".",A386,1)-5),0)</f>
        <v>0</v>
      </c>
      <c r="D386">
        <f t="shared" si="24"/>
        <v>95</v>
      </c>
      <c r="E386" t="str">
        <f>SUBSTITUTE(IF(LEFT(A386,3)="Câu",MID(A386,FIND(".",A386,1)+2,LEN(A386)),""),CHAR(34),CHAR(92)&amp;CHAR(34))</f>
        <v>Xe ưu tiên (trừ đoàn xe tang) tham gia giao thông đường bộ khi đi làm nhiệm vụ được quyền ưu tiên nào dưới đây?</v>
      </c>
      <c r="G386" t="str">
        <f>SUBSTITUTE(B387,CHAR(34),CHAR(92)&amp;CHAR(34))</f>
        <v>Không bị hạn chế tốc độ.</v>
      </c>
      <c r="H386" t="str">
        <f>SUBSTITUTE(B388,CHAR(34),CHAR(92)&amp;CHAR(34))</f>
        <v>Được phép đi không phụ thuộc vào tín hiệu đèn giao thông, đi vào đường ngược chiều, các đường khác có thể đi được.</v>
      </c>
      <c r="I386" t="str">
        <f>SUBSTITUTE(IF(LEFT(A389,3)="Câu","",B389),CHAR(34),CHAR(92)&amp;CHAR(34))</f>
        <v>Được đi ngược chiều trên làn dừng xe khẩn cấp trên đường cao tốc.</v>
      </c>
      <c r="J386" t="str">
        <f>SUBSTITUTE(IF(OR(LEFT(A390,3)="Câu",I386=""),"",IF(B390=0,"",B390)),CHAR(34),CHAR(92)&amp;CHAR(34))</f>
        <v xml:space="preserve"> Cả ba ý trên.</v>
      </c>
      <c r="K386" t="str">
        <f ca="1">SUBSTITUTE(SUBSTITUTE(SUBSTITUTE(SUBSTITUTE(IFERROR(VLOOKUP("Câu "&amp;D386&amp;".",dapan!$E:$J,6,0),""),"1","A"),"2","B"),"3","C"),"4","D")</f>
        <v>D</v>
      </c>
      <c r="P386">
        <f t="shared" si="22"/>
        <v>95</v>
      </c>
      <c r="Q386" t="str">
        <f t="shared" ca="1" si="23"/>
        <v>{"num":95,"id":95,"q":"Xe ưu tiên (trừ đoàn xe tang) tham gia giao thông đường bộ khi đi làm nhiệm vụ được quyền ưu tiên nào dưới đây?","opts":{"A":"Không bị hạn chế tốc độ.","B":"Được phép đi không phụ thuộc vào tín hiệu đèn giao thông, đi vào đường ngược chiều, các đường khác có thể đi được.","C":"Được đi ngược chiều trên làn dừng xe khẩn cấp trên đường cao tốc.","D":" Cả ba ý trên."},"answer":"D"},</v>
      </c>
    </row>
    <row r="387" spans="1:17" hidden="1" x14ac:dyDescent="0.25">
      <c r="A387">
        <v>1</v>
      </c>
      <c r="B387" t="s">
        <v>349</v>
      </c>
      <c r="C387">
        <f>IFERROR(COUNTIFS($A$1:A387,"Câu "&amp;"*")-MID(A387,5,FIND(".",A387,1)-5),0)</f>
        <v>0</v>
      </c>
      <c r="D387" t="str">
        <f t="shared" si="24"/>
        <v/>
      </c>
      <c r="E387" t="str">
        <f>SUBSTITUTE(IF(LEFT(A387,3)="Câu",MID(A387,FIND(".",A387,1)+2,LEN(A387)),""),CHAR(34),CHAR(92)&amp;CHAR(34))</f>
        <v/>
      </c>
      <c r="G387" t="str">
        <f>SUBSTITUTE(B388,CHAR(34),CHAR(92)&amp;CHAR(34))</f>
        <v>Được phép đi không phụ thuộc vào tín hiệu đèn giao thông, đi vào đường ngược chiều, các đường khác có thể đi được.</v>
      </c>
      <c r="H387" t="str">
        <f>SUBSTITUTE(B389,CHAR(34),CHAR(92)&amp;CHAR(34))</f>
        <v>Được đi ngược chiều trên làn dừng xe khẩn cấp trên đường cao tốc.</v>
      </c>
      <c r="I387" t="str">
        <f>SUBSTITUTE(IF(LEFT(A390,3)="Câu","",B390),CHAR(34),CHAR(92)&amp;CHAR(34))</f>
        <v xml:space="preserve"> Cả ba ý trên.</v>
      </c>
      <c r="J387" t="str">
        <f>SUBSTITUTE(IF(OR(LEFT(A391,3)="Câu",I387=""),"",IF(B391=0,"",B391)),CHAR(34),CHAR(92)&amp;CHAR(34))</f>
        <v/>
      </c>
      <c r="K387" t="str">
        <f>SUBSTITUTE(SUBSTITUTE(SUBSTITUTE(SUBSTITUTE(IFERROR(VLOOKUP("Câu "&amp;D387&amp;".",dapan!$E:$J,6,0),""),"1","A"),"2","B"),"3","C"),"4","D")</f>
        <v/>
      </c>
      <c r="P387" t="str">
        <f t="shared" ref="P387:P450" si="25">D387</f>
        <v/>
      </c>
      <c r="Q387" t="str">
        <f t="shared" ref="Q387:Q450" si="26">IF(D387="","",CHAR(123)&amp;CHAR(34)&amp;"num"&amp;CHAR(34)&amp;":"&amp;P387&amp;","&amp;CHAR(34)&amp;"id"&amp;CHAR(34)&amp;":"&amp;D387&amp;","
&amp;CHAR(34)&amp;"q"&amp;CHAR(34)&amp;":"&amp;CHAR(34)&amp;E387&amp;CHAR(34)&amp;","
&amp;IF(F387="","",CHAR(34)&amp;"img"&amp;CHAR(34)&amp;":"&amp;CHAR(34)&amp;F387&amp;CHAR(34)&amp;",")
&amp;CHAR(34)&amp;"opts"&amp;CHAR(34)&amp;":"&amp;CHAR(123)&amp;CHAR(34)&amp;"A"&amp;CHAR(34)&amp;":"&amp;CHAR(34)&amp;G387&amp;CHAR(34)&amp;","&amp;CHAR(34)&amp;"B"&amp;CHAR(34)&amp;":"&amp;CHAR(34)&amp;H387&amp;CHAR(34)
&amp;IF(I387="","",","&amp;CHAR(34)&amp;"C"&amp;CHAR(34)&amp;":"&amp;CHAR(34)&amp;I387&amp;CHAR(34))&amp;IF(J387="","",","&amp;CHAR(34)&amp;"D"&amp;CHAR(34)&amp;":"&amp;CHAR(34)&amp;J387&amp;CHAR(34))&amp;CHAR(125)&amp;","
&amp;CHAR(34)&amp;"answer"&amp;CHAR(34)&amp;":"&amp;CHAR(34)&amp;K387&amp;CHAR(34)
&amp;IF(L387="","",","&amp;CHAR(34)&amp;"danger"&amp;CHAR(34)&amp;":"&amp;CHAR(34)&amp;"true"&amp;CHAR(34))
&amp;IF(M387="","",","&amp;CHAR(34)&amp;"explain"&amp;CHAR(34)&amp;":"&amp;CHAR(34)&amp;M387&amp;CHAR(34))
&amp;IF(N387="","",","&amp;CHAR(34)&amp;"explainImg"&amp;CHAR(34)&amp;":"&amp;CHAR(34)&amp;N387&amp;CHAR(34))
&amp;IF(O387="","",","&amp;CHAR(34)&amp;"shuffle"&amp;CHAR(34)&amp;":"&amp;CHAR(34)&amp;"false"&amp;CHAR(34))&amp;CHAR(125)&amp;",")</f>
        <v/>
      </c>
    </row>
    <row r="388" spans="1:17" hidden="1" x14ac:dyDescent="0.25">
      <c r="A388">
        <v>2</v>
      </c>
      <c r="B388" t="s">
        <v>350</v>
      </c>
      <c r="C388">
        <f>IFERROR(COUNTIFS($A$1:A388,"Câu "&amp;"*")-MID(A388,5,FIND(".",A388,1)-5),0)</f>
        <v>0</v>
      </c>
      <c r="D388" t="str">
        <f t="shared" si="24"/>
        <v/>
      </c>
      <c r="E388" t="str">
        <f>SUBSTITUTE(IF(LEFT(A388,3)="Câu",MID(A388,FIND(".",A388,1)+2,LEN(A388)),""),CHAR(34),CHAR(92)&amp;CHAR(34))</f>
        <v/>
      </c>
      <c r="G388" t="str">
        <f>SUBSTITUTE(B389,CHAR(34),CHAR(92)&amp;CHAR(34))</f>
        <v>Được đi ngược chiều trên làn dừng xe khẩn cấp trên đường cao tốc.</v>
      </c>
      <c r="H388" t="str">
        <f>SUBSTITUTE(B390,CHAR(34),CHAR(92)&amp;CHAR(34))</f>
        <v xml:space="preserve"> Cả ba ý trên.</v>
      </c>
      <c r="I388" t="str">
        <f>SUBSTITUTE(IF(LEFT(A391,3)="Câu","",B391),CHAR(34),CHAR(92)&amp;CHAR(34))</f>
        <v/>
      </c>
      <c r="J388" t="str">
        <f>SUBSTITUTE(IF(OR(LEFT(A392,3)="Câu",I388=""),"",IF(B392=0,"",B392)),CHAR(34),CHAR(92)&amp;CHAR(34))</f>
        <v/>
      </c>
      <c r="K388" t="str">
        <f>SUBSTITUTE(SUBSTITUTE(SUBSTITUTE(SUBSTITUTE(IFERROR(VLOOKUP("Câu "&amp;D388&amp;".",dapan!$E:$J,6,0),""),"1","A"),"2","B"),"3","C"),"4","D")</f>
        <v/>
      </c>
      <c r="P388" t="str">
        <f t="shared" si="25"/>
        <v/>
      </c>
      <c r="Q388" t="str">
        <f t="shared" si="26"/>
        <v/>
      </c>
    </row>
    <row r="389" spans="1:17" hidden="1" x14ac:dyDescent="0.25">
      <c r="A389">
        <v>3</v>
      </c>
      <c r="B389" t="s">
        <v>351</v>
      </c>
      <c r="C389">
        <f>IFERROR(COUNTIFS($A$1:A389,"Câu "&amp;"*")-MID(A389,5,FIND(".",A389,1)-5),0)</f>
        <v>0</v>
      </c>
      <c r="D389" t="str">
        <f t="shared" si="24"/>
        <v/>
      </c>
      <c r="E389" t="str">
        <f>SUBSTITUTE(IF(LEFT(A389,3)="Câu",MID(A389,FIND(".",A389,1)+2,LEN(A389)),""),CHAR(34),CHAR(92)&amp;CHAR(34))</f>
        <v/>
      </c>
      <c r="G389" t="str">
        <f>SUBSTITUTE(B390,CHAR(34),CHAR(92)&amp;CHAR(34))</f>
        <v xml:space="preserve"> Cả ba ý trên.</v>
      </c>
      <c r="H389" t="str">
        <f>SUBSTITUTE(B391,CHAR(34),CHAR(92)&amp;CHAR(34))</f>
        <v/>
      </c>
      <c r="I389" t="str">
        <f>SUBSTITUTE(IF(LEFT(A392,3)="Câu","",B392),CHAR(34),CHAR(92)&amp;CHAR(34))</f>
        <v xml:space="preserve"> Giảm tốc độ, đi sát lề đường bên phải hoặc dừng lại để nhường đường.</v>
      </c>
      <c r="J389" t="str">
        <f>SUBSTITUTE(IF(OR(LEFT(A393,3)="Câu",I389=""),"",IF(B393=0,"",B393)),CHAR(34),CHAR(92)&amp;CHAR(34))</f>
        <v>Tăng tốc độ và đi sát lề đường bên phải để nhường đường.</v>
      </c>
      <c r="K389" t="str">
        <f>SUBSTITUTE(SUBSTITUTE(SUBSTITUTE(SUBSTITUTE(IFERROR(VLOOKUP("Câu "&amp;D389&amp;".",dapan!$E:$J,6,0),""),"1","A"),"2","B"),"3","C"),"4","D")</f>
        <v/>
      </c>
      <c r="P389" t="str">
        <f t="shared" si="25"/>
        <v/>
      </c>
      <c r="Q389" t="str">
        <f t="shared" si="26"/>
        <v/>
      </c>
    </row>
    <row r="390" spans="1:17" hidden="1" x14ac:dyDescent="0.25">
      <c r="A390">
        <v>4</v>
      </c>
      <c r="B390" t="s">
        <v>89</v>
      </c>
      <c r="C390">
        <f>IFERROR(COUNTIFS($A$1:A390,"Câu "&amp;"*")-MID(A390,5,FIND(".",A390,1)-5),0)</f>
        <v>0</v>
      </c>
      <c r="D390" t="str">
        <f t="shared" si="24"/>
        <v/>
      </c>
      <c r="E390" t="str">
        <f>SUBSTITUTE(IF(LEFT(A390,3)="Câu",MID(A390,FIND(".",A390,1)+2,LEN(A390)),""),CHAR(34),CHAR(92)&amp;CHAR(34))</f>
        <v/>
      </c>
      <c r="G390" t="str">
        <f>SUBSTITUTE(B391,CHAR(34),CHAR(92)&amp;CHAR(34))</f>
        <v/>
      </c>
      <c r="H390" t="str">
        <f>SUBSTITUTE(B392,CHAR(34),CHAR(92)&amp;CHAR(34))</f>
        <v xml:space="preserve"> Giảm tốc độ, đi sát lề đường bên phải hoặc dừng lại để nhường đường.</v>
      </c>
      <c r="I390" t="str">
        <f>SUBSTITUTE(IF(LEFT(A393,3)="Câu","",B393),CHAR(34),CHAR(92)&amp;CHAR(34))</f>
        <v>Tăng tốc độ và đi sát lề đường bên phải để nhường đường.</v>
      </c>
      <c r="J390" t="str">
        <f>SUBSTITUTE(IF(OR(LEFT(A394,3)="Câu",I390=""),"",IF(B394=0,"",B394)),CHAR(34),CHAR(92)&amp;CHAR(34))</f>
        <v>Giảm tốc độ, đi sát lề đường bên trái để nhường đường.</v>
      </c>
      <c r="K390" t="str">
        <f>SUBSTITUTE(SUBSTITUTE(SUBSTITUTE(SUBSTITUTE(IFERROR(VLOOKUP("Câu "&amp;D390&amp;".",dapan!$E:$J,6,0),""),"1","A"),"2","B"),"3","C"),"4","D")</f>
        <v/>
      </c>
      <c r="P390" t="str">
        <f t="shared" si="25"/>
        <v/>
      </c>
      <c r="Q390" t="str">
        <f t="shared" si="26"/>
        <v/>
      </c>
    </row>
    <row r="391" spans="1:17" x14ac:dyDescent="0.25">
      <c r="A391" t="s">
        <v>352</v>
      </c>
      <c r="C391">
        <f>IFERROR(COUNTIFS($A$1:A391,"Câu "&amp;"*")-MID(A391,5,FIND(".",A391,1)-5),0)</f>
        <v>0</v>
      </c>
      <c r="D391">
        <f t="shared" si="24"/>
        <v>96</v>
      </c>
      <c r="E391" t="str">
        <f>SUBSTITUTE(IF(LEFT(A391,3)="Câu",MID(A391,FIND(".",A391,1)+2,LEN(A391)),""),CHAR(34),CHAR(92)&amp;CHAR(34))</f>
        <v>Khi có tín hiệu của xe ưu tiên, người và phương tiện tham gia giao thông đường bộ phải tuân thủ quy định nào dưới đây?</v>
      </c>
      <c r="G391" t="str">
        <f>SUBSTITUTE(B392,CHAR(34),CHAR(92)&amp;CHAR(34))</f>
        <v xml:space="preserve"> Giảm tốc độ, đi sát lề đường bên phải hoặc dừng lại để nhường đường.</v>
      </c>
      <c r="H391" t="str">
        <f>SUBSTITUTE(B393,CHAR(34),CHAR(92)&amp;CHAR(34))</f>
        <v>Tăng tốc độ và đi sát lề đường bên phải để nhường đường.</v>
      </c>
      <c r="I391" t="str">
        <f>SUBSTITUTE(IF(LEFT(A394,3)="Câu","",B394),CHAR(34),CHAR(92)&amp;CHAR(34))</f>
        <v>Giảm tốc độ, đi sát lề đường bên trái để nhường đường.</v>
      </c>
      <c r="J391" t="str">
        <f>SUBSTITUTE(IF(OR(LEFT(A395,3)="Câu",I391=""),"",IF(B395=0,"",B395)),CHAR(34),CHAR(92)&amp;CHAR(34))</f>
        <v/>
      </c>
      <c r="K391" t="str">
        <f ca="1">SUBSTITUTE(SUBSTITUTE(SUBSTITUTE(SUBSTITUTE(IFERROR(VLOOKUP("Câu "&amp;D391&amp;".",dapan!$E:$J,6,0),""),"1","A"),"2","B"),"3","C"),"4","D")</f>
        <v>A</v>
      </c>
      <c r="P391">
        <f t="shared" si="25"/>
        <v>96</v>
      </c>
      <c r="Q391" t="str">
        <f t="shared" ca="1" si="26"/>
        <v>{"num":96,"id":96,"q":"Khi có tín hiệu của xe ưu tiên, người và phương tiện tham gia giao thông đường bộ phải tuân thủ quy định nào dưới đây?","opts":{"A":" Giảm tốc độ, đi sát lề đường bên phải hoặc dừng lại để nhường đường.","B":"Tăng tốc độ và đi sát lề đường bên phải để nhường đường.","C":"Giảm tốc độ, đi sát lề đường bên trái để nhường đường."},"answer":"A"},</v>
      </c>
    </row>
    <row r="392" spans="1:17" hidden="1" x14ac:dyDescent="0.25">
      <c r="A392">
        <v>1</v>
      </c>
      <c r="B392" t="s">
        <v>353</v>
      </c>
      <c r="C392">
        <f>IFERROR(COUNTIFS($A$1:A392,"Câu "&amp;"*")-MID(A392,5,FIND(".",A392,1)-5),0)</f>
        <v>0</v>
      </c>
      <c r="D392" t="str">
        <f t="shared" si="24"/>
        <v/>
      </c>
      <c r="E392" t="str">
        <f>SUBSTITUTE(IF(LEFT(A392,3)="Câu",MID(A392,FIND(".",A392,1)+2,LEN(A392)),""),CHAR(34),CHAR(92)&amp;CHAR(34))</f>
        <v/>
      </c>
      <c r="G392" t="str">
        <f>SUBSTITUTE(B393,CHAR(34),CHAR(92)&amp;CHAR(34))</f>
        <v>Tăng tốc độ và đi sát lề đường bên phải để nhường đường.</v>
      </c>
      <c r="H392" t="str">
        <f>SUBSTITUTE(B394,CHAR(34),CHAR(92)&amp;CHAR(34))</f>
        <v>Giảm tốc độ, đi sát lề đường bên trái để nhường đường.</v>
      </c>
      <c r="I392" t="str">
        <f>SUBSTITUTE(IF(LEFT(A395,3)="Câu","",B395),CHAR(34),CHAR(92)&amp;CHAR(34))</f>
        <v/>
      </c>
      <c r="J392" t="str">
        <f>SUBSTITUTE(IF(OR(LEFT(A396,3)="Câu",I392=""),"",IF(B396=0,"",B396)),CHAR(34),CHAR(92)&amp;CHAR(34))</f>
        <v/>
      </c>
      <c r="K392" t="str">
        <f>SUBSTITUTE(SUBSTITUTE(SUBSTITUTE(SUBSTITUTE(IFERROR(VLOOKUP("Câu "&amp;D392&amp;".",dapan!$E:$J,6,0),""),"1","A"),"2","B"),"3","C"),"4","D")</f>
        <v/>
      </c>
      <c r="P392" t="str">
        <f t="shared" si="25"/>
        <v/>
      </c>
      <c r="Q392" t="str">
        <f t="shared" si="26"/>
        <v/>
      </c>
    </row>
    <row r="393" spans="1:17" hidden="1" x14ac:dyDescent="0.25">
      <c r="A393">
        <v>2</v>
      </c>
      <c r="B393" t="s">
        <v>354</v>
      </c>
      <c r="C393">
        <f>IFERROR(COUNTIFS($A$1:A393,"Câu "&amp;"*")-MID(A393,5,FIND(".",A393,1)-5),0)</f>
        <v>0</v>
      </c>
      <c r="D393" t="str">
        <f t="shared" si="24"/>
        <v/>
      </c>
      <c r="E393" t="str">
        <f>SUBSTITUTE(IF(LEFT(A393,3)="Câu",MID(A393,FIND(".",A393,1)+2,LEN(A393)),""),CHAR(34),CHAR(92)&amp;CHAR(34))</f>
        <v/>
      </c>
      <c r="G393" t="str">
        <f>SUBSTITUTE(B394,CHAR(34),CHAR(92)&amp;CHAR(34))</f>
        <v>Giảm tốc độ, đi sát lề đường bên trái để nhường đường.</v>
      </c>
      <c r="H393" t="str">
        <f>SUBSTITUTE(B395,CHAR(34),CHAR(92)&amp;CHAR(34))</f>
        <v/>
      </c>
      <c r="I393" t="str">
        <f>SUBSTITUTE(IF(LEFT(A396,3)="Câu","",B396),CHAR(34),CHAR(92)&amp;CHAR(34))</f>
        <v>Không được vượt.</v>
      </c>
      <c r="J393" t="str">
        <f>SUBSTITUTE(IF(OR(LEFT(A397,3)="Câu",I393=""),"",IF(B397=0,"",B397)),CHAR(34),CHAR(92)&amp;CHAR(34))</f>
        <v>Được phép vượt ở phần đường dành cho người đi bộ qua đường.</v>
      </c>
      <c r="K393" t="str">
        <f>SUBSTITUTE(SUBSTITUTE(SUBSTITUTE(SUBSTITUTE(IFERROR(VLOOKUP("Câu "&amp;D393&amp;".",dapan!$E:$J,6,0),""),"1","A"),"2","B"),"3","C"),"4","D")</f>
        <v/>
      </c>
      <c r="P393" t="str">
        <f t="shared" si="25"/>
        <v/>
      </c>
      <c r="Q393" t="str">
        <f t="shared" si="26"/>
        <v/>
      </c>
    </row>
    <row r="394" spans="1:17" hidden="1" x14ac:dyDescent="0.25">
      <c r="A394">
        <v>3</v>
      </c>
      <c r="B394" t="s">
        <v>355</v>
      </c>
      <c r="C394">
        <f>IFERROR(COUNTIFS($A$1:A394,"Câu "&amp;"*")-MID(A394,5,FIND(".",A394,1)-5),0)</f>
        <v>0</v>
      </c>
      <c r="D394" t="str">
        <f t="shared" si="24"/>
        <v/>
      </c>
      <c r="E394" t="str">
        <f>SUBSTITUTE(IF(LEFT(A394,3)="Câu",MID(A394,FIND(".",A394,1)+2,LEN(A394)),""),CHAR(34),CHAR(92)&amp;CHAR(34))</f>
        <v/>
      </c>
      <c r="G394" t="str">
        <f>SUBSTITUTE(B395,CHAR(34),CHAR(92)&amp;CHAR(34))</f>
        <v/>
      </c>
      <c r="H394" t="str">
        <f>SUBSTITUTE(B396,CHAR(34),CHAR(92)&amp;CHAR(34))</f>
        <v>Không được vượt.</v>
      </c>
      <c r="I394" t="str">
        <f>SUBSTITUTE(IF(LEFT(A397,3)="Câu","",B397),CHAR(34),CHAR(92)&amp;CHAR(34))</f>
        <v>Được phép vượt ở phần đường dành cho người đi bộ qua đường.</v>
      </c>
      <c r="J394" t="str">
        <f>SUBSTITUTE(IF(OR(LEFT(A398,3)="Câu",I394=""),"",IF(B398=0,"",B398)),CHAR(34),CHAR(92)&amp;CHAR(34))</f>
        <v xml:space="preserve"> Được vượt khi bảo đảm an toàn.</v>
      </c>
      <c r="K394" t="str">
        <f>SUBSTITUTE(SUBSTITUTE(SUBSTITUTE(SUBSTITUTE(IFERROR(VLOOKUP("Câu "&amp;D394&amp;".",dapan!$E:$J,6,0),""),"1","A"),"2","B"),"3","C"),"4","D")</f>
        <v/>
      </c>
      <c r="P394" t="str">
        <f t="shared" si="25"/>
        <v/>
      </c>
      <c r="Q394" t="str">
        <f t="shared" si="26"/>
        <v/>
      </c>
    </row>
    <row r="395" spans="1:17" x14ac:dyDescent="0.25">
      <c r="A395" t="s">
        <v>356</v>
      </c>
      <c r="C395">
        <f>IFERROR(COUNTIFS($A$1:A395,"Câu "&amp;"*")-MID(A395,5,FIND(".",A395,1)-5),0)</f>
        <v>0</v>
      </c>
      <c r="D395">
        <f t="shared" si="24"/>
        <v>97</v>
      </c>
      <c r="E395" t="str">
        <f>SUBSTITUTE(IF(LEFT(A395,3)="Câu",MID(A395,FIND(".",A395,1)+2,LEN(A395)),""),CHAR(34),CHAR(92)&amp;CHAR(34))</f>
        <v>Khi đang lái xe, phía trước có một xe Cảnh sát giao thông không phát tín hiệu ưu tiên, người lái xe có được phép vượt hay không?</v>
      </c>
      <c r="G395" t="str">
        <f>SUBSTITUTE(B396,CHAR(34),CHAR(92)&amp;CHAR(34))</f>
        <v>Không được vượt.</v>
      </c>
      <c r="H395" t="str">
        <f>SUBSTITUTE(B397,CHAR(34),CHAR(92)&amp;CHAR(34))</f>
        <v>Được phép vượt ở phần đường dành cho người đi bộ qua đường.</v>
      </c>
      <c r="I395" t="str">
        <f>SUBSTITUTE(IF(LEFT(A398,3)="Câu","",B398),CHAR(34),CHAR(92)&amp;CHAR(34))</f>
        <v xml:space="preserve"> Được vượt khi bảo đảm an toàn.</v>
      </c>
      <c r="J395" t="str">
        <f>SUBSTITUTE(IF(OR(LEFT(A399,3)="Câu",I395=""),"",IF(B399=0,"",B399)),CHAR(34),CHAR(92)&amp;CHAR(34))</f>
        <v/>
      </c>
      <c r="K395" t="str">
        <f ca="1">SUBSTITUTE(SUBSTITUTE(SUBSTITUTE(SUBSTITUTE(IFERROR(VLOOKUP("Câu "&amp;D395&amp;".",dapan!$E:$J,6,0),""),"1","A"),"2","B"),"3","C"),"4","D")</f>
        <v>C</v>
      </c>
      <c r="P395">
        <f t="shared" si="25"/>
        <v>97</v>
      </c>
      <c r="Q395" t="str">
        <f t="shared" ca="1" si="26"/>
        <v>{"num":97,"id":97,"q":"Khi đang lái xe, phía trước có một xe Cảnh sát giao thông không phát tín hiệu ưu tiên, người lái xe có được phép vượt hay không?","opts":{"A":"Không được vượt.","B":"Được phép vượt ở phần đường dành cho người đi bộ qua đường.","C":" Được vượt khi bảo đảm an toàn."},"answer":"C"},</v>
      </c>
    </row>
    <row r="396" spans="1:17" hidden="1" x14ac:dyDescent="0.25">
      <c r="A396">
        <v>1</v>
      </c>
      <c r="B396" t="s">
        <v>357</v>
      </c>
      <c r="C396">
        <f>IFERROR(COUNTIFS($A$1:A396,"Câu "&amp;"*")-MID(A396,5,FIND(".",A396,1)-5),0)</f>
        <v>0</v>
      </c>
      <c r="D396" t="str">
        <f t="shared" si="24"/>
        <v/>
      </c>
      <c r="E396" t="str">
        <f>SUBSTITUTE(IF(LEFT(A396,3)="Câu",MID(A396,FIND(".",A396,1)+2,LEN(A396)),""),CHAR(34),CHAR(92)&amp;CHAR(34))</f>
        <v/>
      </c>
      <c r="G396" t="str">
        <f>SUBSTITUTE(B397,CHAR(34),CHAR(92)&amp;CHAR(34))</f>
        <v>Được phép vượt ở phần đường dành cho người đi bộ qua đường.</v>
      </c>
      <c r="H396" t="str">
        <f>SUBSTITUTE(B398,CHAR(34),CHAR(92)&amp;CHAR(34))</f>
        <v xml:space="preserve"> Được vượt khi bảo đảm an toàn.</v>
      </c>
      <c r="I396" t="str">
        <f>SUBSTITUTE(IF(LEFT(A399,3)="Câu","",B399),CHAR(34),CHAR(92)&amp;CHAR(34))</f>
        <v/>
      </c>
      <c r="J396" t="str">
        <f>SUBSTITUTE(IF(OR(LEFT(A400,3)="Câu",I396=""),"",IF(B400=0,"",B400)),CHAR(34),CHAR(92)&amp;CHAR(34))</f>
        <v/>
      </c>
      <c r="K396" t="str">
        <f>SUBSTITUTE(SUBSTITUTE(SUBSTITUTE(SUBSTITUTE(IFERROR(VLOOKUP("Câu "&amp;D396&amp;".",dapan!$E:$J,6,0),""),"1","A"),"2","B"),"3","C"),"4","D")</f>
        <v/>
      </c>
      <c r="P396" t="str">
        <f t="shared" si="25"/>
        <v/>
      </c>
      <c r="Q396" t="str">
        <f t="shared" si="26"/>
        <v/>
      </c>
    </row>
    <row r="397" spans="1:17" hidden="1" x14ac:dyDescent="0.25">
      <c r="A397">
        <v>2</v>
      </c>
      <c r="B397" t="s">
        <v>358</v>
      </c>
      <c r="C397">
        <f>IFERROR(COUNTIFS($A$1:A397,"Câu "&amp;"*")-MID(A397,5,FIND(".",A397,1)-5),0)</f>
        <v>0</v>
      </c>
      <c r="D397" t="str">
        <f t="shared" si="24"/>
        <v/>
      </c>
      <c r="E397" t="str">
        <f>SUBSTITUTE(IF(LEFT(A397,3)="Câu",MID(A397,FIND(".",A397,1)+2,LEN(A397)),""),CHAR(34),CHAR(92)&amp;CHAR(34))</f>
        <v/>
      </c>
      <c r="G397" t="str">
        <f>SUBSTITUTE(B398,CHAR(34),CHAR(92)&amp;CHAR(34))</f>
        <v xml:space="preserve"> Được vượt khi bảo đảm an toàn.</v>
      </c>
      <c r="H397" t="str">
        <f>SUBSTITUTE(B399,CHAR(34),CHAR(92)&amp;CHAR(34))</f>
        <v/>
      </c>
      <c r="I397" t="str">
        <f>SUBSTITUTE(IF(LEFT(A400,3)="Câu","",B400),CHAR(34),CHAR(92)&amp;CHAR(34))</f>
        <v xml:space="preserve"> Không được vượt.</v>
      </c>
      <c r="J397" t="str">
        <f>SUBSTITUTE(IF(OR(LEFT(A401,3)="Câu",I397=""),"",IF(B401=0,"",B401)),CHAR(34),CHAR(92)&amp;CHAR(34))</f>
        <v>Được vượt khi đang đi trên cầu.</v>
      </c>
      <c r="K397" t="str">
        <f>SUBSTITUTE(SUBSTITUTE(SUBSTITUTE(SUBSTITUTE(IFERROR(VLOOKUP("Câu "&amp;D397&amp;".",dapan!$E:$J,6,0),""),"1","A"),"2","B"),"3","C"),"4","D")</f>
        <v/>
      </c>
      <c r="P397" t="str">
        <f t="shared" si="25"/>
        <v/>
      </c>
      <c r="Q397" t="str">
        <f t="shared" si="26"/>
        <v/>
      </c>
    </row>
    <row r="398" spans="1:17" hidden="1" x14ac:dyDescent="0.25">
      <c r="A398">
        <v>3</v>
      </c>
      <c r="B398" t="s">
        <v>359</v>
      </c>
      <c r="C398">
        <f>IFERROR(COUNTIFS($A$1:A398,"Câu "&amp;"*")-MID(A398,5,FIND(".",A398,1)-5),0)</f>
        <v>0</v>
      </c>
      <c r="D398" t="str">
        <f t="shared" si="24"/>
        <v/>
      </c>
      <c r="E398" t="str">
        <f>SUBSTITUTE(IF(LEFT(A398,3)="Câu",MID(A398,FIND(".",A398,1)+2,LEN(A398)),""),CHAR(34),CHAR(92)&amp;CHAR(34))</f>
        <v/>
      </c>
      <c r="G398" t="str">
        <f>SUBSTITUTE(B399,CHAR(34),CHAR(92)&amp;CHAR(34))</f>
        <v/>
      </c>
      <c r="H398" t="str">
        <f>SUBSTITUTE(B400,CHAR(34),CHAR(92)&amp;CHAR(34))</f>
        <v xml:space="preserve"> Không được vượt.</v>
      </c>
      <c r="I398" t="str">
        <f>SUBSTITUTE(IF(LEFT(A401,3)="Câu","",B401),CHAR(34),CHAR(92)&amp;CHAR(34))</f>
        <v>Được vượt khi đang đi trên cầu.</v>
      </c>
      <c r="J398" t="str">
        <f>SUBSTITUTE(IF(OR(LEFT(A402,3)="Câu",I398=""),"",IF(B402=0,"",B402)),CHAR(34),CHAR(92)&amp;CHAR(34))</f>
        <v>Được phép vượt khi đi qua nơi giao nhau có ít phương tiện cùng tham gia giao thông.</v>
      </c>
      <c r="K398" t="str">
        <f>SUBSTITUTE(SUBSTITUTE(SUBSTITUTE(SUBSTITUTE(IFERROR(VLOOKUP("Câu "&amp;D398&amp;".",dapan!$E:$J,6,0),""),"1","A"),"2","B"),"3","C"),"4","D")</f>
        <v/>
      </c>
      <c r="P398" t="str">
        <f t="shared" si="25"/>
        <v/>
      </c>
      <c r="Q398" t="str">
        <f t="shared" si="26"/>
        <v/>
      </c>
    </row>
    <row r="399" spans="1:17" x14ac:dyDescent="0.25">
      <c r="A399" t="s">
        <v>360</v>
      </c>
      <c r="C399">
        <f>IFERROR(COUNTIFS($A$1:A399,"Câu "&amp;"*")-MID(A399,5,FIND(".",A399,1)-5),0)</f>
        <v>0</v>
      </c>
      <c r="D399">
        <f t="shared" si="24"/>
        <v>98</v>
      </c>
      <c r="E399" t="str">
        <f>SUBSTITUTE(IF(LEFT(A399,3)="Câu",MID(A399,FIND(".",A399,1)+2,LEN(A399)),""),CHAR(34),CHAR(92)&amp;CHAR(34))</f>
        <v>Khi đang lái xe, phía trước có một xe cứu thương đang phát tín hiệu ưu tiên, người lái xe có được phép vượt hay không?</v>
      </c>
      <c r="G399" t="str">
        <f>SUBSTITUTE(B400,CHAR(34),CHAR(92)&amp;CHAR(34))</f>
        <v xml:space="preserve"> Không được vượt.</v>
      </c>
      <c r="H399" t="str">
        <f>SUBSTITUTE(B401,CHAR(34),CHAR(92)&amp;CHAR(34))</f>
        <v>Được vượt khi đang đi trên cầu.</v>
      </c>
      <c r="I399" t="str">
        <f>SUBSTITUTE(IF(LEFT(A402,3)="Câu","",B402),CHAR(34),CHAR(92)&amp;CHAR(34))</f>
        <v>Được phép vượt khi đi qua nơi giao nhau có ít phương tiện cùng tham gia giao thông.</v>
      </c>
      <c r="J399" t="str">
        <f>SUBSTITUTE(IF(OR(LEFT(A403,3)="Câu",I399=""),"",IF(B403=0,"",B403)),CHAR(34),CHAR(92)&amp;CHAR(34))</f>
        <v>Được vượt khi bảo đảm an toàn.</v>
      </c>
      <c r="K399" t="str">
        <f ca="1">SUBSTITUTE(SUBSTITUTE(SUBSTITUTE(SUBSTITUTE(IFERROR(VLOOKUP("Câu "&amp;D399&amp;".",dapan!$E:$J,6,0),""),"1","A"),"2","B"),"3","C"),"4","D")</f>
        <v>A</v>
      </c>
      <c r="P399">
        <f t="shared" si="25"/>
        <v>98</v>
      </c>
      <c r="Q399" t="str">
        <f t="shared" ca="1" si="26"/>
        <v>{"num":98,"id":98,"q":"Khi đang lái xe, phía trước có một xe cứu thương đang phát tín hiệu ưu tiên, người lái xe có được phép vượt hay không?","opts":{"A":" Không được vượt.","B":"Được vượt khi đang đi trên cầu.","C":"Được phép vượt khi đi qua nơi giao nhau có ít phương tiện cùng tham gia giao thông.","D":"Được vượt khi bảo đảm an toàn."},"answer":"A"},</v>
      </c>
    </row>
    <row r="400" spans="1:17" hidden="1" x14ac:dyDescent="0.25">
      <c r="A400">
        <v>1</v>
      </c>
      <c r="B400" t="s">
        <v>361</v>
      </c>
      <c r="C400">
        <f>IFERROR(COUNTIFS($A$1:A400,"Câu "&amp;"*")-MID(A400,5,FIND(".",A400,1)-5),0)</f>
        <v>0</v>
      </c>
      <c r="D400" t="str">
        <f t="shared" si="24"/>
        <v/>
      </c>
      <c r="E400" t="str">
        <f>SUBSTITUTE(IF(LEFT(A400,3)="Câu",MID(A400,FIND(".",A400,1)+2,LEN(A400)),""),CHAR(34),CHAR(92)&amp;CHAR(34))</f>
        <v/>
      </c>
      <c r="G400" t="str">
        <f>SUBSTITUTE(B401,CHAR(34),CHAR(92)&amp;CHAR(34))</f>
        <v>Được vượt khi đang đi trên cầu.</v>
      </c>
      <c r="H400" t="str">
        <f>SUBSTITUTE(B402,CHAR(34),CHAR(92)&amp;CHAR(34))</f>
        <v>Được phép vượt khi đi qua nơi giao nhau có ít phương tiện cùng tham gia giao thông.</v>
      </c>
      <c r="I400" t="str">
        <f>SUBSTITUTE(IF(LEFT(A403,3)="Câu","",B403),CHAR(34),CHAR(92)&amp;CHAR(34))</f>
        <v>Được vượt khi bảo đảm an toàn.</v>
      </c>
      <c r="J400" t="str">
        <f>SUBSTITUTE(IF(OR(LEFT(A404,3)="Câu",I400=""),"",IF(B404=0,"",B404)),CHAR(34),CHAR(92)&amp;CHAR(34))</f>
        <v/>
      </c>
      <c r="K400" t="str">
        <f>SUBSTITUTE(SUBSTITUTE(SUBSTITUTE(SUBSTITUTE(IFERROR(VLOOKUP("Câu "&amp;D400&amp;".",dapan!$E:$J,6,0),""),"1","A"),"2","B"),"3","C"),"4","D")</f>
        <v/>
      </c>
      <c r="P400" t="str">
        <f t="shared" si="25"/>
        <v/>
      </c>
      <c r="Q400" t="str">
        <f t="shared" si="26"/>
        <v/>
      </c>
    </row>
    <row r="401" spans="1:17" hidden="1" x14ac:dyDescent="0.25">
      <c r="A401">
        <v>2</v>
      </c>
      <c r="B401" t="s">
        <v>362</v>
      </c>
      <c r="C401">
        <f>IFERROR(COUNTIFS($A$1:A401,"Câu "&amp;"*")-MID(A401,5,FIND(".",A401,1)-5),0)</f>
        <v>0</v>
      </c>
      <c r="D401" t="str">
        <f t="shared" si="24"/>
        <v/>
      </c>
      <c r="E401" t="str">
        <f>SUBSTITUTE(IF(LEFT(A401,3)="Câu",MID(A401,FIND(".",A401,1)+2,LEN(A401)),""),CHAR(34),CHAR(92)&amp;CHAR(34))</f>
        <v/>
      </c>
      <c r="G401" t="str">
        <f>SUBSTITUTE(B402,CHAR(34),CHAR(92)&amp;CHAR(34))</f>
        <v>Được phép vượt khi đi qua nơi giao nhau có ít phương tiện cùng tham gia giao thông.</v>
      </c>
      <c r="H401" t="str">
        <f>SUBSTITUTE(B403,CHAR(34),CHAR(92)&amp;CHAR(34))</f>
        <v>Được vượt khi bảo đảm an toàn.</v>
      </c>
      <c r="I401" t="str">
        <f>SUBSTITUTE(IF(LEFT(A404,3)="Câu","",B404),CHAR(34),CHAR(92)&amp;CHAR(34))</f>
        <v/>
      </c>
      <c r="J401" t="str">
        <f>SUBSTITUTE(IF(OR(LEFT(A405,3)="Câu",I401=""),"",IF(B405=0,"",B405)),CHAR(34),CHAR(92)&amp;CHAR(34))</f>
        <v/>
      </c>
      <c r="K401" t="str">
        <f>SUBSTITUTE(SUBSTITUTE(SUBSTITUTE(SUBSTITUTE(IFERROR(VLOOKUP("Câu "&amp;D401&amp;".",dapan!$E:$J,6,0),""),"1","A"),"2","B"),"3","C"),"4","D")</f>
        <v/>
      </c>
      <c r="P401" t="str">
        <f t="shared" si="25"/>
        <v/>
      </c>
      <c r="Q401" t="str">
        <f t="shared" si="26"/>
        <v/>
      </c>
    </row>
    <row r="402" spans="1:17" hidden="1" x14ac:dyDescent="0.25">
      <c r="A402">
        <v>3</v>
      </c>
      <c r="B402" t="s">
        <v>363</v>
      </c>
      <c r="C402">
        <f>IFERROR(COUNTIFS($A$1:A402,"Câu "&amp;"*")-MID(A402,5,FIND(".",A402,1)-5),0)</f>
        <v>0</v>
      </c>
      <c r="D402" t="str">
        <f t="shared" si="24"/>
        <v/>
      </c>
      <c r="E402" t="str">
        <f>SUBSTITUTE(IF(LEFT(A402,3)="Câu",MID(A402,FIND(".",A402,1)+2,LEN(A402)),""),CHAR(34),CHAR(92)&amp;CHAR(34))</f>
        <v/>
      </c>
      <c r="G402" t="str">
        <f>SUBSTITUTE(B403,CHAR(34),CHAR(92)&amp;CHAR(34))</f>
        <v>Được vượt khi bảo đảm an toàn.</v>
      </c>
      <c r="H402" t="str">
        <f>SUBSTITUTE(B404,CHAR(34),CHAR(92)&amp;CHAR(34))</f>
        <v/>
      </c>
      <c r="I402" t="str">
        <f>SUBSTITUTE(IF(LEFT(A405,3)="Câu","",B405),CHAR(34),CHAR(92)&amp;CHAR(34))</f>
        <v xml:space="preserve"> Dừng lại về bên phải đường của mình, trước vạch dừng xe và quan sát hai phía, khi không có phương tiện giao thông đường sắt tới mới được đi qua.</v>
      </c>
      <c r="J402" t="str">
        <f>SUBSTITUTE(IF(OR(LEFT(A406,3)="Câu",I402=""),"",IF(B406=0,"",B406)),CHAR(34),CHAR(92)&amp;CHAR(34))</f>
        <v>Quan sát hai phía, khi không có phương tiện giao thông đường sắt tới thì nhanh chóng đi qua.</v>
      </c>
      <c r="K402" t="str">
        <f>SUBSTITUTE(SUBSTITUTE(SUBSTITUTE(SUBSTITUTE(IFERROR(VLOOKUP("Câu "&amp;D402&amp;".",dapan!$E:$J,6,0),""),"1","A"),"2","B"),"3","C"),"4","D")</f>
        <v/>
      </c>
      <c r="P402" t="str">
        <f t="shared" si="25"/>
        <v/>
      </c>
      <c r="Q402" t="str">
        <f t="shared" si="26"/>
        <v/>
      </c>
    </row>
    <row r="403" spans="1:17" hidden="1" x14ac:dyDescent="0.25">
      <c r="A403">
        <v>4</v>
      </c>
      <c r="B403" t="s">
        <v>364</v>
      </c>
      <c r="C403">
        <f>IFERROR(COUNTIFS($A$1:A403,"Câu "&amp;"*")-MID(A403,5,FIND(".",A403,1)-5),0)</f>
        <v>0</v>
      </c>
      <c r="D403" t="str">
        <f t="shared" si="24"/>
        <v/>
      </c>
      <c r="E403" t="str">
        <f>SUBSTITUTE(IF(LEFT(A403,3)="Câu",MID(A403,FIND(".",A403,1)+2,LEN(A403)),""),CHAR(34),CHAR(92)&amp;CHAR(34))</f>
        <v/>
      </c>
      <c r="G403" t="str">
        <f>SUBSTITUTE(B404,CHAR(34),CHAR(92)&amp;CHAR(34))</f>
        <v/>
      </c>
      <c r="H403" t="str">
        <f>SUBSTITUTE(B405,CHAR(34),CHAR(92)&amp;CHAR(34))</f>
        <v xml:space="preserve"> Dừng lại về bên phải đường của mình, trước vạch dừng xe và quan sát hai phía, khi không có phương tiện giao thông đường sắt tới mới được đi qua.</v>
      </c>
      <c r="I403" t="str">
        <f>SUBSTITUTE(IF(LEFT(A406,3)="Câu","",B406),CHAR(34),CHAR(92)&amp;CHAR(34))</f>
        <v>Quan sát hai phía, khi không có phương tiện giao thông đường sắt tới thì nhanh chóng đi qua.</v>
      </c>
      <c r="J403" t="str">
        <f>SUBSTITUTE(IF(OR(LEFT(A407,3)="Câu",I403=""),"",IF(B407=0,"",B407)),CHAR(34),CHAR(92)&amp;CHAR(34))</f>
        <v>Dừng lại khoảng cách tối thiểu 3 mét tính từ ray đường sắt gần nhất, khi không có phương tiện giao thông đường sắt tới thì nhanh chóng đi qua.</v>
      </c>
      <c r="K403" t="str">
        <f>SUBSTITUTE(SUBSTITUTE(SUBSTITUTE(SUBSTITUTE(IFERROR(VLOOKUP("Câu "&amp;D403&amp;".",dapan!$E:$J,6,0),""),"1","A"),"2","B"),"3","C"),"4","D")</f>
        <v/>
      </c>
      <c r="P403" t="str">
        <f t="shared" si="25"/>
        <v/>
      </c>
      <c r="Q403" t="str">
        <f t="shared" si="26"/>
        <v/>
      </c>
    </row>
    <row r="404" spans="1:17" x14ac:dyDescent="0.25">
      <c r="A404" t="s">
        <v>365</v>
      </c>
      <c r="C404">
        <f>IFERROR(COUNTIFS($A$1:A404,"Câu "&amp;"*")-MID(A404,5,FIND(".",A404,1)-5),0)</f>
        <v>0</v>
      </c>
      <c r="D404">
        <f t="shared" si="24"/>
        <v>99</v>
      </c>
      <c r="E404" t="str">
        <f>SUBSTITUTE(IF(LEFT(A404,3)="Câu",MID(A404,FIND(".",A404,1)+2,LEN(A404)),""),CHAR(34),CHAR(92)&amp;CHAR(34))</f>
        <v>Khi tới đường ngang không có người gác, chắn đường bộ, chuông, đèn tín hiệu, người tham gia giao thông đường bộ phải làm gì để bảo đảm an toàn?</v>
      </c>
      <c r="G404" t="str">
        <f>SUBSTITUTE(B405,CHAR(34),CHAR(92)&amp;CHAR(34))</f>
        <v xml:space="preserve"> Dừng lại về bên phải đường của mình, trước vạch dừng xe và quan sát hai phía, khi không có phương tiện giao thông đường sắt tới mới được đi qua.</v>
      </c>
      <c r="H404" t="str">
        <f>SUBSTITUTE(B406,CHAR(34),CHAR(92)&amp;CHAR(34))</f>
        <v>Quan sát hai phía, khi không có phương tiện giao thông đường sắt tới thì nhanh chóng đi qua.</v>
      </c>
      <c r="I404" t="str">
        <f>SUBSTITUTE(IF(LEFT(A407,3)="Câu","",B407),CHAR(34),CHAR(92)&amp;CHAR(34))</f>
        <v>Dừng lại khoảng cách tối thiểu 3 mét tính từ ray đường sắt gần nhất, khi không có phương tiện giao thông đường sắt tới thì nhanh chóng đi qua.</v>
      </c>
      <c r="J404" t="str">
        <f>SUBSTITUTE(IF(OR(LEFT(A408,3)="Câu",I404=""),"",IF(B408=0,"",B408)),CHAR(34),CHAR(92)&amp;CHAR(34))</f>
        <v/>
      </c>
      <c r="K404" t="str">
        <f ca="1">SUBSTITUTE(SUBSTITUTE(SUBSTITUTE(SUBSTITUTE(IFERROR(VLOOKUP("Câu "&amp;D404&amp;".",dapan!$E:$J,6,0),""),"1","A"),"2","B"),"3","C"),"4","D")</f>
        <v>A</v>
      </c>
      <c r="P404">
        <f t="shared" si="25"/>
        <v>99</v>
      </c>
      <c r="Q404" t="str">
        <f t="shared" ca="1" si="26"/>
        <v>{"num":99,"id":99,"q":"Khi tới đường ngang không có người gác, chắn đường bộ, chuông, đèn tín hiệu, người tham gia giao thông đường bộ phải làm gì để bảo đảm an toàn?","opts":{"A":" Dừng lại về bên phải đường của mình, trước vạch dừng xe và quan sát hai phía, khi không có phương tiện giao thông đường sắt tới mới được đi qua.","B":"Quan sát hai phía, khi không có phương tiện giao thông đường sắt tới thì nhanh chóng đi qua.","C":"Dừng lại khoảng cách tối thiểu 3 mét tính từ ray đường sắt gần nhất, khi không có phương tiện giao thông đường sắt tới thì nhanh chóng đi qua."},"answer":"A"},</v>
      </c>
    </row>
    <row r="405" spans="1:17" hidden="1" x14ac:dyDescent="0.25">
      <c r="A405">
        <v>1</v>
      </c>
      <c r="B405" t="s">
        <v>366</v>
      </c>
      <c r="C405">
        <f>IFERROR(COUNTIFS($A$1:A405,"Câu "&amp;"*")-MID(A405,5,FIND(".",A405,1)-5),0)</f>
        <v>0</v>
      </c>
      <c r="D405" t="str">
        <f t="shared" si="24"/>
        <v/>
      </c>
      <c r="E405" t="str">
        <f>SUBSTITUTE(IF(LEFT(A405,3)="Câu",MID(A405,FIND(".",A405,1)+2,LEN(A405)),""),CHAR(34),CHAR(92)&amp;CHAR(34))</f>
        <v/>
      </c>
      <c r="G405" t="str">
        <f>SUBSTITUTE(B406,CHAR(34),CHAR(92)&amp;CHAR(34))</f>
        <v>Quan sát hai phía, khi không có phương tiện giao thông đường sắt tới thì nhanh chóng đi qua.</v>
      </c>
      <c r="H405" t="str">
        <f>SUBSTITUTE(B407,CHAR(34),CHAR(92)&amp;CHAR(34))</f>
        <v>Dừng lại khoảng cách tối thiểu 3 mét tính từ ray đường sắt gần nhất, khi không có phương tiện giao thông đường sắt tới thì nhanh chóng đi qua.</v>
      </c>
      <c r="I405" t="str">
        <f>SUBSTITUTE(IF(LEFT(A408,3)="Câu","",B408),CHAR(34),CHAR(92)&amp;CHAR(34))</f>
        <v/>
      </c>
      <c r="J405" t="str">
        <f>SUBSTITUTE(IF(OR(LEFT(A409,3)="Câu",I405=""),"",IF(B409=0,"",B409)),CHAR(34),CHAR(92)&amp;CHAR(34))</f>
        <v/>
      </c>
      <c r="K405" t="str">
        <f>SUBSTITUTE(SUBSTITUTE(SUBSTITUTE(SUBSTITUTE(IFERROR(VLOOKUP("Câu "&amp;D405&amp;".",dapan!$E:$J,6,0),""),"1","A"),"2","B"),"3","C"),"4","D")</f>
        <v/>
      </c>
      <c r="P405" t="str">
        <f t="shared" si="25"/>
        <v/>
      </c>
      <c r="Q405" t="str">
        <f t="shared" si="26"/>
        <v/>
      </c>
    </row>
    <row r="406" spans="1:17" hidden="1" x14ac:dyDescent="0.25">
      <c r="A406">
        <v>2</v>
      </c>
      <c r="B406" t="s">
        <v>367</v>
      </c>
      <c r="C406">
        <f>IFERROR(COUNTIFS($A$1:A406,"Câu "&amp;"*")-MID(A406,5,FIND(".",A406,1)-5),0)</f>
        <v>0</v>
      </c>
      <c r="D406" t="str">
        <f t="shared" si="24"/>
        <v/>
      </c>
      <c r="E406" t="str">
        <f>SUBSTITUTE(IF(LEFT(A406,3)="Câu",MID(A406,FIND(".",A406,1)+2,LEN(A406)),""),CHAR(34),CHAR(92)&amp;CHAR(34))</f>
        <v/>
      </c>
      <c r="G406" t="str">
        <f>SUBSTITUTE(B407,CHAR(34),CHAR(92)&amp;CHAR(34))</f>
        <v>Dừng lại khoảng cách tối thiểu 3 mét tính từ ray đường sắt gần nhất, khi không có phương tiện giao thông đường sắt tới thì nhanh chóng đi qua.</v>
      </c>
      <c r="H406" t="str">
        <f>SUBSTITUTE(B408,CHAR(34),CHAR(92)&amp;CHAR(34))</f>
        <v/>
      </c>
      <c r="I406" t="str">
        <f>SUBSTITUTE(IF(LEFT(A409,3)="Câu","",B409),CHAR(34),CHAR(92)&amp;CHAR(34))</f>
        <v>Dừng lại về bên trái đường của mình, trước vạch dừng xe.</v>
      </c>
      <c r="J406" t="str">
        <f>SUBSTITUTE(IF(OR(LEFT(A410,3)="Câu",I406=""),"",IF(B410=0,"",B410)),CHAR(34),CHAR(92)&amp;CHAR(34))</f>
        <v>Dừng lại giữa đường của mình, trước vạch dừng xe.</v>
      </c>
      <c r="K406" t="str">
        <f>SUBSTITUTE(SUBSTITUTE(SUBSTITUTE(SUBSTITUTE(IFERROR(VLOOKUP("Câu "&amp;D406&amp;".",dapan!$E:$J,6,0),""),"1","A"),"2","B"),"3","C"),"4","D")</f>
        <v/>
      </c>
      <c r="P406" t="str">
        <f t="shared" si="25"/>
        <v/>
      </c>
      <c r="Q406" t="str">
        <f t="shared" si="26"/>
        <v/>
      </c>
    </row>
    <row r="407" spans="1:17" hidden="1" x14ac:dyDescent="0.25">
      <c r="A407">
        <v>3</v>
      </c>
      <c r="B407" t="s">
        <v>368</v>
      </c>
      <c r="C407">
        <f>IFERROR(COUNTIFS($A$1:A407,"Câu "&amp;"*")-MID(A407,5,FIND(".",A407,1)-5),0)</f>
        <v>0</v>
      </c>
      <c r="D407" t="str">
        <f t="shared" si="24"/>
        <v/>
      </c>
      <c r="E407" t="str">
        <f>SUBSTITUTE(IF(LEFT(A407,3)="Câu",MID(A407,FIND(".",A407,1)+2,LEN(A407)),""),CHAR(34),CHAR(92)&amp;CHAR(34))</f>
        <v/>
      </c>
      <c r="G407" t="str">
        <f>SUBSTITUTE(B408,CHAR(34),CHAR(92)&amp;CHAR(34))</f>
        <v/>
      </c>
      <c r="H407" t="str">
        <f>SUBSTITUTE(B409,CHAR(34),CHAR(92)&amp;CHAR(34))</f>
        <v>Dừng lại về bên trái đường của mình, trước vạch dừng xe.</v>
      </c>
      <c r="I407" t="str">
        <f>SUBSTITUTE(IF(LEFT(A410,3)="Câu","",B410),CHAR(34),CHAR(92)&amp;CHAR(34))</f>
        <v>Dừng lại giữa đường của mình, trước vạch dừng xe.</v>
      </c>
      <c r="J407" t="str">
        <f>SUBSTITUTE(IF(OR(LEFT(A411,3)="Câu",I407=""),"",IF(B411=0,"",B411)),CHAR(34),CHAR(92)&amp;CHAR(34))</f>
        <v xml:space="preserve"> Dừng lại về bên phải đường của mình, trước vạch dừng xe.</v>
      </c>
      <c r="K407" t="str">
        <f>SUBSTITUTE(SUBSTITUTE(SUBSTITUTE(SUBSTITUTE(IFERROR(VLOOKUP("Câu "&amp;D407&amp;".",dapan!$E:$J,6,0),""),"1","A"),"2","B"),"3","C"),"4","D")</f>
        <v/>
      </c>
      <c r="P407" t="str">
        <f t="shared" si="25"/>
        <v/>
      </c>
      <c r="Q407" t="str">
        <f t="shared" si="26"/>
        <v/>
      </c>
    </row>
    <row r="408" spans="1:17" x14ac:dyDescent="0.25">
      <c r="A408" t="s">
        <v>369</v>
      </c>
      <c r="C408">
        <f>IFERROR(COUNTIFS($A$1:A408,"Câu "&amp;"*")-MID(A408,5,FIND(".",A408,1)-5),0)</f>
        <v>0</v>
      </c>
      <c r="D408">
        <f t="shared" si="24"/>
        <v>100</v>
      </c>
      <c r="E408" t="str">
        <f>SUBSTITUTE(IF(LEFT(A408,3)="Câu",MID(A408,FIND(".",A408,1)+2,LEN(A408)),""),CHAR(34),CHAR(92)&amp;CHAR(34))</f>
        <v>Tại đường ngang, cầu chung đường sắt, khi có hiệu lệnh của nhân viên gác chắn, đèn đỏ sáng nhấp nháy, chuông kêu, chắn đường bộ đang dịch chuyển hoặc đã đóng, người tham gia giao thông đường bộ phải làm gì để bảo đảm an toàn?</v>
      </c>
      <c r="G408" t="str">
        <f>SUBSTITUTE(B409,CHAR(34),CHAR(92)&amp;CHAR(34))</f>
        <v>Dừng lại về bên trái đường của mình, trước vạch dừng xe.</v>
      </c>
      <c r="H408" t="str">
        <f>SUBSTITUTE(B410,CHAR(34),CHAR(92)&amp;CHAR(34))</f>
        <v>Dừng lại giữa đường của mình, trước vạch dừng xe.</v>
      </c>
      <c r="I408" t="str">
        <f>SUBSTITUTE(IF(LEFT(A411,3)="Câu","",B411),CHAR(34),CHAR(92)&amp;CHAR(34))</f>
        <v xml:space="preserve"> Dừng lại về bên phải đường của mình, trước vạch dừng xe.</v>
      </c>
      <c r="J408" t="str">
        <f>SUBSTITUTE(IF(OR(LEFT(A412,3)="Câu",I408=""),"",IF(B412=0,"",B412)),CHAR(34),CHAR(92)&amp;CHAR(34))</f>
        <v/>
      </c>
      <c r="K408" t="str">
        <f ca="1">SUBSTITUTE(SUBSTITUTE(SUBSTITUTE(SUBSTITUTE(IFERROR(VLOOKUP("Câu "&amp;D408&amp;".",dapan!$E:$J,6,0),""),"1","A"),"2","B"),"3","C"),"4","D")</f>
        <v>C</v>
      </c>
      <c r="P408">
        <f t="shared" si="25"/>
        <v>100</v>
      </c>
      <c r="Q408" t="str">
        <f t="shared" ca="1" si="26"/>
        <v>{"num":100,"id":100,"q":"Tại đường ngang, cầu chung đường sắt, khi có hiệu lệnh của nhân viên gác chắn, đèn đỏ sáng nhấp nháy, chuông kêu, chắn đường bộ đang dịch chuyển hoặc đã đóng, người tham gia giao thông đường bộ phải làm gì để bảo đảm an toàn?","opts":{"A":"Dừng lại về bên trái đường của mình, trước vạch dừng xe.","B":"Dừng lại giữa đường của mình, trước vạch dừng xe.","C":" Dừng lại về bên phải đường của mình, trước vạch dừng xe."},"answer":"C"},</v>
      </c>
    </row>
    <row r="409" spans="1:17" hidden="1" x14ac:dyDescent="0.25">
      <c r="A409">
        <v>1</v>
      </c>
      <c r="B409" t="s">
        <v>370</v>
      </c>
      <c r="C409">
        <f>IFERROR(COUNTIFS($A$1:A409,"Câu "&amp;"*")-MID(A409,5,FIND(".",A409,1)-5),0)</f>
        <v>0</v>
      </c>
      <c r="D409" t="str">
        <f t="shared" ref="D409:D472" si="27">IF(LEFT(A409,3)="Câu",VALUE(MID(A409,5,FIND(".",A409,1)-5)),"")</f>
        <v/>
      </c>
      <c r="E409" t="str">
        <f>SUBSTITUTE(IF(LEFT(A409,3)="Câu",MID(A409,FIND(".",A409,1)+2,LEN(A409)),""),CHAR(34),CHAR(92)&amp;CHAR(34))</f>
        <v/>
      </c>
      <c r="G409" t="str">
        <f>SUBSTITUTE(B410,CHAR(34),CHAR(92)&amp;CHAR(34))</f>
        <v>Dừng lại giữa đường của mình, trước vạch dừng xe.</v>
      </c>
      <c r="H409" t="str">
        <f>SUBSTITUTE(B411,CHAR(34),CHAR(92)&amp;CHAR(34))</f>
        <v xml:space="preserve"> Dừng lại về bên phải đường của mình, trước vạch dừng xe.</v>
      </c>
      <c r="I409" t="str">
        <f>SUBSTITUTE(IF(LEFT(A412,3)="Câu","",B412),CHAR(34),CHAR(92)&amp;CHAR(34))</f>
        <v/>
      </c>
      <c r="J409" t="str">
        <f>SUBSTITUTE(IF(OR(LEFT(A413,3)="Câu",I409=""),"",IF(B413=0,"",B413)),CHAR(34),CHAR(92)&amp;CHAR(34))</f>
        <v/>
      </c>
      <c r="K409" t="str">
        <f>SUBSTITUTE(SUBSTITUTE(SUBSTITUTE(SUBSTITUTE(IFERROR(VLOOKUP("Câu "&amp;D409&amp;".",dapan!$E:$J,6,0),""),"1","A"),"2","B"),"3","C"),"4","D")</f>
        <v/>
      </c>
      <c r="P409" t="str">
        <f t="shared" si="25"/>
        <v/>
      </c>
      <c r="Q409" t="str">
        <f t="shared" si="26"/>
        <v/>
      </c>
    </row>
    <row r="410" spans="1:17" hidden="1" x14ac:dyDescent="0.25">
      <c r="A410">
        <v>2</v>
      </c>
      <c r="B410" t="s">
        <v>371</v>
      </c>
      <c r="C410">
        <f>IFERROR(COUNTIFS($A$1:A410,"Câu "&amp;"*")-MID(A410,5,FIND(".",A410,1)-5),0)</f>
        <v>0</v>
      </c>
      <c r="D410" t="str">
        <f t="shared" si="27"/>
        <v/>
      </c>
      <c r="E410" t="str">
        <f>SUBSTITUTE(IF(LEFT(A410,3)="Câu",MID(A410,FIND(".",A410,1)+2,LEN(A410)),""),CHAR(34),CHAR(92)&amp;CHAR(34))</f>
        <v/>
      </c>
      <c r="G410" t="str">
        <f>SUBSTITUTE(B411,CHAR(34),CHAR(92)&amp;CHAR(34))</f>
        <v xml:space="preserve"> Dừng lại về bên phải đường của mình, trước vạch dừng xe.</v>
      </c>
      <c r="H410" t="str">
        <f>SUBSTITUTE(B412,CHAR(34),CHAR(92)&amp;CHAR(34))</f>
        <v/>
      </c>
      <c r="I410" t="str">
        <f>SUBSTITUTE(IF(LEFT(A413,3)="Câu","",B413),CHAR(34),CHAR(92)&amp;CHAR(34))</f>
        <v xml:space="preserve"> Người lái xe và người có mặt phải ngay lập tức báo hiệu để dừng tàu, thực hiện các biện pháp bảo đảm an toàn.</v>
      </c>
      <c r="J410" t="str">
        <f>SUBSTITUTE(IF(OR(LEFT(A414,3)="Câu",I410=""),"",IF(B414=0,"",B414)),CHAR(34),CHAR(92)&amp;CHAR(34))</f>
        <v>Để xe lại, tìm cách báo cho người quản lý đường sắt, nhà ga nơi gần nhất.</v>
      </c>
      <c r="K410" t="str">
        <f>SUBSTITUTE(SUBSTITUTE(SUBSTITUTE(SUBSTITUTE(IFERROR(VLOOKUP("Câu "&amp;D410&amp;".",dapan!$E:$J,6,0),""),"1","A"),"2","B"),"3","C"),"4","D")</f>
        <v/>
      </c>
      <c r="P410" t="str">
        <f t="shared" si="25"/>
        <v/>
      </c>
      <c r="Q410" t="str">
        <f t="shared" si="26"/>
        <v/>
      </c>
    </row>
    <row r="411" spans="1:17" hidden="1" x14ac:dyDescent="0.25">
      <c r="A411">
        <v>3</v>
      </c>
      <c r="B411" t="s">
        <v>372</v>
      </c>
      <c r="C411">
        <f>IFERROR(COUNTIFS($A$1:A411,"Câu "&amp;"*")-MID(A411,5,FIND(".",A411,1)-5),0)</f>
        <v>0</v>
      </c>
      <c r="D411" t="str">
        <f t="shared" si="27"/>
        <v/>
      </c>
      <c r="E411" t="str">
        <f>SUBSTITUTE(IF(LEFT(A411,3)="Câu",MID(A411,FIND(".",A411,1)+2,LEN(A411)),""),CHAR(34),CHAR(92)&amp;CHAR(34))</f>
        <v/>
      </c>
      <c r="G411" t="str">
        <f>SUBSTITUTE(B412,CHAR(34),CHAR(92)&amp;CHAR(34))</f>
        <v/>
      </c>
      <c r="H411" t="str">
        <f>SUBSTITUTE(B413,CHAR(34),CHAR(92)&amp;CHAR(34))</f>
        <v xml:space="preserve"> Người lái xe và người có mặt phải ngay lập tức báo hiệu để dừng tàu, thực hiện các biện pháp bảo đảm an toàn.</v>
      </c>
      <c r="I411" t="str">
        <f>SUBSTITUTE(IF(LEFT(A414,3)="Câu","",B414),CHAR(34),CHAR(92)&amp;CHAR(34))</f>
        <v>Để xe lại, tìm cách báo cho người quản lý đường sắt, nhà ga nơi gần nhất.</v>
      </c>
      <c r="J411" t="str">
        <f>SUBSTITUTE(IF(OR(LEFT(A415,3)="Câu",I411=""),"",IF(B415=0,"",B415)),CHAR(34),CHAR(92)&amp;CHAR(34))</f>
        <v>Không di chuyển phương tiện, tự khắc phục sửa chữa.</v>
      </c>
      <c r="K411" t="str">
        <f>SUBSTITUTE(SUBSTITUTE(SUBSTITUTE(SUBSTITUTE(IFERROR(VLOOKUP("Câu "&amp;D411&amp;".",dapan!$E:$J,6,0),""),"1","A"),"2","B"),"3","C"),"4","D")</f>
        <v/>
      </c>
      <c r="P411" t="str">
        <f t="shared" si="25"/>
        <v/>
      </c>
      <c r="Q411" t="str">
        <f t="shared" si="26"/>
        <v/>
      </c>
    </row>
    <row r="412" spans="1:17" x14ac:dyDescent="0.25">
      <c r="A412" t="s">
        <v>373</v>
      </c>
      <c r="C412">
        <f>IFERROR(COUNTIFS($A$1:A412,"Câu "&amp;"*")-MID(A412,5,FIND(".",A412,1)-5),0)</f>
        <v>0</v>
      </c>
      <c r="D412">
        <f t="shared" si="27"/>
        <v>101</v>
      </c>
      <c r="E412" t="str">
        <f>SUBSTITUTE(IF(LEFT(A412,3)="Câu",MID(A412,FIND(".",A412,1)+2,LEN(A412)),""),CHAR(34),CHAR(92)&amp;CHAR(34))</f>
        <v>Khi xe ô tô bị hư hỏng, bị tai nạn trên đường ngang, cầu chung đường sắt mà không thể di chuyển ngay khỏi phạm vi an toàn đường sắt, người lái xe và người có mặt xử lý như thế nào là đúng quy định?</v>
      </c>
      <c r="G412" t="str">
        <f>SUBSTITUTE(B413,CHAR(34),CHAR(92)&amp;CHAR(34))</f>
        <v xml:space="preserve"> Người lái xe và người có mặt phải ngay lập tức báo hiệu để dừng tàu, thực hiện các biện pháp bảo đảm an toàn.</v>
      </c>
      <c r="H412" t="str">
        <f>SUBSTITUTE(B414,CHAR(34),CHAR(92)&amp;CHAR(34))</f>
        <v>Để xe lại, tìm cách báo cho người quản lý đường sắt, nhà ga nơi gần nhất.</v>
      </c>
      <c r="I412" t="str">
        <f>SUBSTITUTE(IF(LEFT(A415,3)="Câu","",B415),CHAR(34),CHAR(92)&amp;CHAR(34))</f>
        <v>Không di chuyển phương tiện, tự khắc phục sửa chữa.</v>
      </c>
      <c r="J412" t="str">
        <f>SUBSTITUTE(IF(OR(LEFT(A416,3)="Câu",I412=""),"",IF(B416=0,"",B416)),CHAR(34),CHAR(92)&amp;CHAR(34))</f>
        <v/>
      </c>
      <c r="K412" t="str">
        <f ca="1">SUBSTITUTE(SUBSTITUTE(SUBSTITUTE(SUBSTITUTE(IFERROR(VLOOKUP("Câu "&amp;D412&amp;".",dapan!$E:$J,6,0),""),"1","A"),"2","B"),"3","C"),"4","D")</f>
        <v>A</v>
      </c>
      <c r="P412">
        <f t="shared" si="25"/>
        <v>101</v>
      </c>
      <c r="Q412" t="str">
        <f t="shared" ca="1" si="26"/>
        <v>{"num":101,"id":101,"q":"Khi xe ô tô bị hư hỏng, bị tai nạn trên đường ngang, cầu chung đường sắt mà không thể di chuyển ngay khỏi phạm vi an toàn đường sắt, người lái xe và người có mặt xử lý như thế nào là đúng quy định?","opts":{"A":" Người lái xe và người có mặt phải ngay lập tức báo hiệu để dừng tàu, thực hiện các biện pháp bảo đảm an toàn.","B":"Để xe lại, tìm cách báo cho người quản lý đường sắt, nhà ga nơi gần nhất.","C":"Không di chuyển phương tiện, tự khắc phục sửa chữa."},"answer":"A"},</v>
      </c>
    </row>
    <row r="413" spans="1:17" hidden="1" x14ac:dyDescent="0.25">
      <c r="A413">
        <v>1</v>
      </c>
      <c r="B413" t="s">
        <v>374</v>
      </c>
      <c r="C413">
        <f>IFERROR(COUNTIFS($A$1:A413,"Câu "&amp;"*")-MID(A413,5,FIND(".",A413,1)-5),0)</f>
        <v>0</v>
      </c>
      <c r="D413" t="str">
        <f t="shared" si="27"/>
        <v/>
      </c>
      <c r="E413" t="str">
        <f>SUBSTITUTE(IF(LEFT(A413,3)="Câu",MID(A413,FIND(".",A413,1)+2,LEN(A413)),""),CHAR(34),CHAR(92)&amp;CHAR(34))</f>
        <v/>
      </c>
      <c r="G413" t="str">
        <f>SUBSTITUTE(B414,CHAR(34),CHAR(92)&amp;CHAR(34))</f>
        <v>Để xe lại, tìm cách báo cho người quản lý đường sắt, nhà ga nơi gần nhất.</v>
      </c>
      <c r="H413" t="str">
        <f>SUBSTITUTE(B415,CHAR(34),CHAR(92)&amp;CHAR(34))</f>
        <v>Không di chuyển phương tiện, tự khắc phục sửa chữa.</v>
      </c>
      <c r="I413" t="str">
        <f>SUBSTITUTE(IF(LEFT(A416,3)="Câu","",B416),CHAR(34),CHAR(92)&amp;CHAR(34))</f>
        <v/>
      </c>
      <c r="J413" t="str">
        <f>SUBSTITUTE(IF(OR(LEFT(A417,3)="Câu",I413=""),"",IF(B417=0,"",B417)),CHAR(34),CHAR(92)&amp;CHAR(34))</f>
        <v/>
      </c>
      <c r="K413" t="str">
        <f>SUBSTITUTE(SUBSTITUTE(SUBSTITUTE(SUBSTITUTE(IFERROR(VLOOKUP("Câu "&amp;D413&amp;".",dapan!$E:$J,6,0),""),"1","A"),"2","B"),"3","C"),"4","D")</f>
        <v/>
      </c>
      <c r="P413" t="str">
        <f t="shared" si="25"/>
        <v/>
      </c>
      <c r="Q413" t="str">
        <f t="shared" si="26"/>
        <v/>
      </c>
    </row>
    <row r="414" spans="1:17" hidden="1" x14ac:dyDescent="0.25">
      <c r="A414">
        <v>2</v>
      </c>
      <c r="B414" t="s">
        <v>375</v>
      </c>
      <c r="C414">
        <f>IFERROR(COUNTIFS($A$1:A414,"Câu "&amp;"*")-MID(A414,5,FIND(".",A414,1)-5),0)</f>
        <v>0</v>
      </c>
      <c r="D414" t="str">
        <f t="shared" si="27"/>
        <v/>
      </c>
      <c r="E414" t="str">
        <f>SUBSTITUTE(IF(LEFT(A414,3)="Câu",MID(A414,FIND(".",A414,1)+2,LEN(A414)),""),CHAR(34),CHAR(92)&amp;CHAR(34))</f>
        <v/>
      </c>
      <c r="G414" t="str">
        <f>SUBSTITUTE(B415,CHAR(34),CHAR(92)&amp;CHAR(34))</f>
        <v>Không di chuyển phương tiện, tự khắc phục sửa chữa.</v>
      </c>
      <c r="H414" t="str">
        <f>SUBSTITUTE(B416,CHAR(34),CHAR(92)&amp;CHAR(34))</f>
        <v/>
      </c>
      <c r="I414" t="str">
        <f>SUBSTITUTE(IF(LEFT(A417,3)="Câu","",B417),CHAR(34),CHAR(92)&amp;CHAR(34))</f>
        <v>Hiệu lệnh của nhân viên gác chắn.</v>
      </c>
      <c r="J414" t="str">
        <f>SUBSTITUTE(IF(OR(LEFT(A418,3)="Câu",I414=""),"",IF(B418=0,"",B418)),CHAR(34),CHAR(92)&amp;CHAR(34))</f>
        <v>Đèn đỏ sáng nhấp nháy, chuông kêu.</v>
      </c>
      <c r="K414" t="str">
        <f>SUBSTITUTE(SUBSTITUTE(SUBSTITUTE(SUBSTITUTE(IFERROR(VLOOKUP("Câu "&amp;D414&amp;".",dapan!$E:$J,6,0),""),"1","A"),"2","B"),"3","C"),"4","D")</f>
        <v/>
      </c>
      <c r="P414" t="str">
        <f t="shared" si="25"/>
        <v/>
      </c>
      <c r="Q414" t="str">
        <f t="shared" si="26"/>
        <v/>
      </c>
    </row>
    <row r="415" spans="1:17" hidden="1" x14ac:dyDescent="0.25">
      <c r="A415">
        <v>3</v>
      </c>
      <c r="B415" t="s">
        <v>376</v>
      </c>
      <c r="C415">
        <f>IFERROR(COUNTIFS($A$1:A415,"Câu "&amp;"*")-MID(A415,5,FIND(".",A415,1)-5),0)</f>
        <v>0</v>
      </c>
      <c r="D415" t="str">
        <f t="shared" si="27"/>
        <v/>
      </c>
      <c r="E415" t="str">
        <f>SUBSTITUTE(IF(LEFT(A415,3)="Câu",MID(A415,FIND(".",A415,1)+2,LEN(A415)),""),CHAR(34),CHAR(92)&amp;CHAR(34))</f>
        <v/>
      </c>
      <c r="G415" t="str">
        <f>SUBSTITUTE(B416,CHAR(34),CHAR(92)&amp;CHAR(34))</f>
        <v/>
      </c>
      <c r="H415" t="str">
        <f>SUBSTITUTE(B417,CHAR(34),CHAR(92)&amp;CHAR(34))</f>
        <v>Hiệu lệnh của nhân viên gác chắn.</v>
      </c>
      <c r="I415" t="str">
        <f>SUBSTITUTE(IF(LEFT(A418,3)="Câu","",B418),CHAR(34),CHAR(92)&amp;CHAR(34))</f>
        <v>Đèn đỏ sáng nhấp nháy, chuông kêu.</v>
      </c>
      <c r="J415" t="str">
        <f>SUBSTITUTE(IF(OR(LEFT(A419,3)="Câu",I415=""),"",IF(B419=0,"",B419)),CHAR(34),CHAR(92)&amp;CHAR(34))</f>
        <v>Chắn đường bộ đang dịch chuyển hoặc đã đóng.</v>
      </c>
      <c r="K415" t="str">
        <f>SUBSTITUTE(SUBSTITUTE(SUBSTITUTE(SUBSTITUTE(IFERROR(VLOOKUP("Câu "&amp;D415&amp;".",dapan!$E:$J,6,0),""),"1","A"),"2","B"),"3","C"),"4","D")</f>
        <v/>
      </c>
      <c r="P415" t="str">
        <f t="shared" si="25"/>
        <v/>
      </c>
      <c r="Q415" t="str">
        <f t="shared" si="26"/>
        <v/>
      </c>
    </row>
    <row r="416" spans="1:17" x14ac:dyDescent="0.25">
      <c r="A416" t="s">
        <v>377</v>
      </c>
      <c r="C416">
        <f>IFERROR(COUNTIFS($A$1:A416,"Câu "&amp;"*")-MID(A416,5,FIND(".",A416,1)-5),0)</f>
        <v>0</v>
      </c>
      <c r="D416">
        <f t="shared" si="27"/>
        <v>102</v>
      </c>
      <c r="E416" t="str">
        <f>SUBSTITUTE(IF(LEFT(A416,3)="Câu",MID(A416,FIND(".",A416,1)+2,LEN(A416)),""),CHAR(34),CHAR(92)&amp;CHAR(34))</f>
        <v>Người tham gia giao thông đường bộ phải dừng lại về bên phải đường của mình trước vạch dừng xe tại đường ngang, cầu chung đường sắt khi có báo hiệu nào dưới đây?</v>
      </c>
      <c r="G416" t="str">
        <f>SUBSTITUTE(B417,CHAR(34),CHAR(92)&amp;CHAR(34))</f>
        <v>Hiệu lệnh của nhân viên gác chắn.</v>
      </c>
      <c r="H416" t="str">
        <f>SUBSTITUTE(B418,CHAR(34),CHAR(92)&amp;CHAR(34))</f>
        <v>Đèn đỏ sáng nhấp nháy, chuông kêu.</v>
      </c>
      <c r="I416" t="str">
        <f>SUBSTITUTE(IF(LEFT(A419,3)="Câu","",B419),CHAR(34),CHAR(92)&amp;CHAR(34))</f>
        <v>Chắn đường bộ đang dịch chuyển hoặc đã đóng.</v>
      </c>
      <c r="J416" t="str">
        <f>SUBSTITUTE(IF(OR(LEFT(A420,3)="Câu",I416=""),"",IF(B420=0,"",B420)),CHAR(34),CHAR(92)&amp;CHAR(34))</f>
        <v xml:space="preserve"> Cả ba ý trên.</v>
      </c>
      <c r="K416" t="str">
        <f ca="1">SUBSTITUTE(SUBSTITUTE(SUBSTITUTE(SUBSTITUTE(IFERROR(VLOOKUP("Câu "&amp;D416&amp;".",dapan!$E:$J,6,0),""),"1","A"),"2","B"),"3","C"),"4","D")</f>
        <v>D</v>
      </c>
      <c r="P416">
        <f t="shared" si="25"/>
        <v>102</v>
      </c>
      <c r="Q416" t="str">
        <f t="shared" ca="1" si="26"/>
        <v>{"num":102,"id":102,"q":"Người tham gia giao thông đường bộ phải dừng lại về bên phải đường của mình trước vạch dừng xe tại đường ngang, cầu chung đường sắt khi có báo hiệu nào dưới đây?","opts":{"A":"Hiệu lệnh của nhân viên gác chắn.","B":"Đèn đỏ sáng nhấp nháy, chuông kêu.","C":"Chắn đường bộ đang dịch chuyển hoặc đã đóng.","D":" Cả ba ý trên."},"answer":"D"},</v>
      </c>
    </row>
    <row r="417" spans="1:17" hidden="1" x14ac:dyDescent="0.25">
      <c r="A417">
        <v>1</v>
      </c>
      <c r="B417" t="s">
        <v>378</v>
      </c>
      <c r="C417">
        <f>IFERROR(COUNTIFS($A$1:A417,"Câu "&amp;"*")-MID(A417,5,FIND(".",A417,1)-5),0)</f>
        <v>0</v>
      </c>
      <c r="D417" t="str">
        <f t="shared" si="27"/>
        <v/>
      </c>
      <c r="E417" t="str">
        <f>SUBSTITUTE(IF(LEFT(A417,3)="Câu",MID(A417,FIND(".",A417,1)+2,LEN(A417)),""),CHAR(34),CHAR(92)&amp;CHAR(34))</f>
        <v/>
      </c>
      <c r="G417" t="str">
        <f>SUBSTITUTE(B418,CHAR(34),CHAR(92)&amp;CHAR(34))</f>
        <v>Đèn đỏ sáng nhấp nháy, chuông kêu.</v>
      </c>
      <c r="H417" t="str">
        <f>SUBSTITUTE(B419,CHAR(34),CHAR(92)&amp;CHAR(34))</f>
        <v>Chắn đường bộ đang dịch chuyển hoặc đã đóng.</v>
      </c>
      <c r="I417" t="str">
        <f>SUBSTITUTE(IF(LEFT(A420,3)="Câu","",B420),CHAR(34),CHAR(92)&amp;CHAR(34))</f>
        <v xml:space="preserve"> Cả ba ý trên.</v>
      </c>
      <c r="J417" t="str">
        <f>SUBSTITUTE(IF(OR(LEFT(A421,3)="Câu",I417=""),"",IF(B421=0,"",B421)),CHAR(34),CHAR(92)&amp;CHAR(34))</f>
        <v/>
      </c>
      <c r="K417" t="str">
        <f>SUBSTITUTE(SUBSTITUTE(SUBSTITUTE(SUBSTITUTE(IFERROR(VLOOKUP("Câu "&amp;D417&amp;".",dapan!$E:$J,6,0),""),"1","A"),"2","B"),"3","C"),"4","D")</f>
        <v/>
      </c>
      <c r="P417" t="str">
        <f t="shared" si="25"/>
        <v/>
      </c>
      <c r="Q417" t="str">
        <f t="shared" si="26"/>
        <v/>
      </c>
    </row>
    <row r="418" spans="1:17" hidden="1" x14ac:dyDescent="0.25">
      <c r="A418">
        <v>2</v>
      </c>
      <c r="B418" t="s">
        <v>379</v>
      </c>
      <c r="C418">
        <f>IFERROR(COUNTIFS($A$1:A418,"Câu "&amp;"*")-MID(A418,5,FIND(".",A418,1)-5),0)</f>
        <v>0</v>
      </c>
      <c r="D418" t="str">
        <f t="shared" si="27"/>
        <v/>
      </c>
      <c r="E418" t="str">
        <f>SUBSTITUTE(IF(LEFT(A418,3)="Câu",MID(A418,FIND(".",A418,1)+2,LEN(A418)),""),CHAR(34),CHAR(92)&amp;CHAR(34))</f>
        <v/>
      </c>
      <c r="G418" t="str">
        <f>SUBSTITUTE(B419,CHAR(34),CHAR(92)&amp;CHAR(34))</f>
        <v>Chắn đường bộ đang dịch chuyển hoặc đã đóng.</v>
      </c>
      <c r="H418" t="str">
        <f>SUBSTITUTE(B420,CHAR(34),CHAR(92)&amp;CHAR(34))</f>
        <v xml:space="preserve"> Cả ba ý trên.</v>
      </c>
      <c r="I418" t="str">
        <f>SUBSTITUTE(IF(LEFT(A421,3)="Câu","",B421),CHAR(34),CHAR(92)&amp;CHAR(34))</f>
        <v/>
      </c>
      <c r="J418" t="str">
        <f>SUBSTITUTE(IF(OR(LEFT(A422,3)="Câu",I418=""),"",IF(B422=0,"",B422)),CHAR(34),CHAR(92)&amp;CHAR(34))</f>
        <v/>
      </c>
      <c r="K418" t="str">
        <f>SUBSTITUTE(SUBSTITUTE(SUBSTITUTE(SUBSTITUTE(IFERROR(VLOOKUP("Câu "&amp;D418&amp;".",dapan!$E:$J,6,0),""),"1","A"),"2","B"),"3","C"),"4","D")</f>
        <v/>
      </c>
      <c r="P418" t="str">
        <f t="shared" si="25"/>
        <v/>
      </c>
      <c r="Q418" t="str">
        <f t="shared" si="26"/>
        <v/>
      </c>
    </row>
    <row r="419" spans="1:17" hidden="1" x14ac:dyDescent="0.25">
      <c r="A419">
        <v>3</v>
      </c>
      <c r="B419" t="s">
        <v>380</v>
      </c>
      <c r="C419">
        <f>IFERROR(COUNTIFS($A$1:A419,"Câu "&amp;"*")-MID(A419,5,FIND(".",A419,1)-5),0)</f>
        <v>0</v>
      </c>
      <c r="D419" t="str">
        <f t="shared" si="27"/>
        <v/>
      </c>
      <c r="E419" t="str">
        <f>SUBSTITUTE(IF(LEFT(A419,3)="Câu",MID(A419,FIND(".",A419,1)+2,LEN(A419)),""),CHAR(34),CHAR(92)&amp;CHAR(34))</f>
        <v/>
      </c>
      <c r="G419" t="str">
        <f>SUBSTITUTE(B420,CHAR(34),CHAR(92)&amp;CHAR(34))</f>
        <v xml:space="preserve"> Cả ba ý trên.</v>
      </c>
      <c r="H419" t="str">
        <f>SUBSTITUTE(B421,CHAR(34),CHAR(92)&amp;CHAR(34))</f>
        <v/>
      </c>
      <c r="I419" t="str">
        <f>SUBSTITUTE(IF(LEFT(A422,3)="Câu","",B422),CHAR(34),CHAR(92)&amp;CHAR(34))</f>
        <v xml:space="preserve"> Xe cơ giới, xe máy chuyên dùng phải bật đèn chiếu gần; xe thô sơ phải bật đèn hoặc có vật phát sáng báo hiệu; không dừng xe, đỗ xe trong hầm đường bộ; trường hợp gặp sự cố kỹ thuật hoặc bất khả kháng khác buộc phải dừng xe, đỗ xe, người lái xe, người điều khiển xe máy chuyên dùng phải đưa xe vào vị trí dừng xe, đỗ xe khẩn cấp, nếu không di chuyển được, phải có báo hiệu bằng đèn khẩn cấp và đặt biển hoặc đèn cảnh báo về phía sau xe khoảng cách bảo đảm an toàn.</v>
      </c>
      <c r="J419" t="str">
        <f>SUBSTITUTE(IF(OR(LEFT(A423,3)="Câu",I419=""),"",IF(B423=0,"",B423)),CHAR(34),CHAR(92)&amp;CHAR(34))</f>
        <v>Xe cơ giới, xe máy chuyên dùng phải bật đèn chiếu xa; được dừng xe, đỗ xe khi cần thiết.</v>
      </c>
      <c r="K419" t="str">
        <f>SUBSTITUTE(SUBSTITUTE(SUBSTITUTE(SUBSTITUTE(IFERROR(VLOOKUP("Câu "&amp;D419&amp;".",dapan!$E:$J,6,0),""),"1","A"),"2","B"),"3","C"),"4","D")</f>
        <v/>
      </c>
      <c r="P419" t="str">
        <f t="shared" si="25"/>
        <v/>
      </c>
      <c r="Q419" t="str">
        <f t="shared" si="26"/>
        <v/>
      </c>
    </row>
    <row r="420" spans="1:17" hidden="1" x14ac:dyDescent="0.25">
      <c r="A420">
        <v>4</v>
      </c>
      <c r="B420" t="s">
        <v>89</v>
      </c>
      <c r="C420">
        <f>IFERROR(COUNTIFS($A$1:A420,"Câu "&amp;"*")-MID(A420,5,FIND(".",A420,1)-5),0)</f>
        <v>0</v>
      </c>
      <c r="D420" t="str">
        <f t="shared" si="27"/>
        <v/>
      </c>
      <c r="E420" t="str">
        <f>SUBSTITUTE(IF(LEFT(A420,3)="Câu",MID(A420,FIND(".",A420,1)+2,LEN(A420)),""),CHAR(34),CHAR(92)&amp;CHAR(34))</f>
        <v/>
      </c>
      <c r="G420" t="str">
        <f>SUBSTITUTE(B421,CHAR(34),CHAR(92)&amp;CHAR(34))</f>
        <v/>
      </c>
      <c r="H420" t="str">
        <f>SUBSTITUTE(B422,CHAR(34),CHAR(92)&amp;CHAR(34))</f>
        <v xml:space="preserve"> Xe cơ giới, xe máy chuyên dùng phải bật đèn chiếu gần; xe thô sơ phải bật đèn hoặc có vật phát sáng báo hiệu; không dừng xe, đỗ xe trong hầm đường bộ; trường hợp gặp sự cố kỹ thuật hoặc bất khả kháng khác buộc phải dừng xe, đỗ xe, người lái xe, người điều khiển xe máy chuyên dùng phải đưa xe vào vị trí dừng xe, đỗ xe khẩn cấp, nếu không di chuyển được, phải có báo hiệu bằng đèn khẩn cấp và đặt biển hoặc đèn cảnh báo về phía sau xe khoảng cách bảo đảm an toàn.</v>
      </c>
      <c r="I420" t="str">
        <f>SUBSTITUTE(IF(LEFT(A423,3)="Câu","",B423),CHAR(34),CHAR(92)&amp;CHAR(34))</f>
        <v>Xe cơ giới, xe máy chuyên dùng phải bật đèn chiếu xa; được dừng xe, đỗ xe khi cần thiết.</v>
      </c>
      <c r="J420" t="str">
        <f>SUBSTITUTE(IF(OR(LEFT(A424,3)="Câu",I420=""),"",IF(B424=0,"",B424)),CHAR(34),CHAR(92)&amp;CHAR(34))</f>
        <v>Phải cho xe chạy trên một làn đường và chỉ chuyển làn ở nơi được phép; được quay đầu xe, lùi xe khi cần thiết.</v>
      </c>
      <c r="K420" t="str">
        <f>SUBSTITUTE(SUBSTITUTE(SUBSTITUTE(SUBSTITUTE(IFERROR(VLOOKUP("Câu "&amp;D420&amp;".",dapan!$E:$J,6,0),""),"1","A"),"2","B"),"3","C"),"4","D")</f>
        <v/>
      </c>
      <c r="P420" t="str">
        <f t="shared" si="25"/>
        <v/>
      </c>
      <c r="Q420" t="str">
        <f t="shared" si="26"/>
        <v/>
      </c>
    </row>
    <row r="421" spans="1:17" x14ac:dyDescent="0.25">
      <c r="A421" t="s">
        <v>381</v>
      </c>
      <c r="C421">
        <f>IFERROR(COUNTIFS($A$1:A421,"Câu "&amp;"*")-MID(A421,5,FIND(".",A421,1)-5),0)</f>
        <v>0</v>
      </c>
      <c r="D421">
        <f t="shared" si="27"/>
        <v>103</v>
      </c>
      <c r="E421" t="str">
        <f>SUBSTITUTE(IF(LEFT(A421,3)="Câu",MID(A421,FIND(".",A421,1)+2,LEN(A421)),""),CHAR(34),CHAR(92)&amp;CHAR(34))</f>
        <v>Người điều khiển phương tiện tham gia giao thông trong hầm đường bộ ngoài việc phải tuân thủ các quy tắc giao thông còn phải thực hiện những quy định nào dưới đây?</v>
      </c>
      <c r="G421" t="str">
        <f>SUBSTITUTE(B422,CHAR(34),CHAR(92)&amp;CHAR(34))</f>
        <v xml:space="preserve"> Xe cơ giới, xe máy chuyên dùng phải bật đèn chiếu gần; xe thô sơ phải bật đèn hoặc có vật phát sáng báo hiệu; không dừng xe, đỗ xe trong hầm đường bộ; trường hợp gặp sự cố kỹ thuật hoặc bất khả kháng khác buộc phải dừng xe, đỗ xe, người lái xe, người điều khiển xe máy chuyên dùng phải đưa xe vào vị trí dừng xe, đỗ xe khẩn cấp, nếu không di chuyển được, phải có báo hiệu bằng đèn khẩn cấp và đặt biển hoặc đèn cảnh báo về phía sau xe khoảng cách bảo đảm an toàn.</v>
      </c>
      <c r="H421" t="str">
        <f>SUBSTITUTE(B423,CHAR(34),CHAR(92)&amp;CHAR(34))</f>
        <v>Xe cơ giới, xe máy chuyên dùng phải bật đèn chiếu xa; được dừng xe, đỗ xe khi cần thiết.</v>
      </c>
      <c r="I421" t="str">
        <f>SUBSTITUTE(IF(LEFT(A424,3)="Câu","",B424),CHAR(34),CHAR(92)&amp;CHAR(34))</f>
        <v>Phải cho xe chạy trên một làn đường và chỉ chuyển làn ở nơi được phép; được quay đầu xe, lùi xe khi cần thiết.</v>
      </c>
      <c r="J421" t="str">
        <f>SUBSTITUTE(IF(OR(LEFT(A425,3)="Câu",I421=""),"",IF(B425=0,"",B425)),CHAR(34),CHAR(92)&amp;CHAR(34))</f>
        <v/>
      </c>
      <c r="K421" t="str">
        <f ca="1">SUBSTITUTE(SUBSTITUTE(SUBSTITUTE(SUBSTITUTE(IFERROR(VLOOKUP("Câu "&amp;D421&amp;".",dapan!$E:$J,6,0),""),"1","A"),"2","B"),"3","C"),"4","D")</f>
        <v>A</v>
      </c>
      <c r="P421">
        <f t="shared" si="25"/>
        <v>103</v>
      </c>
      <c r="Q421" t="str">
        <f t="shared" ca="1" si="26"/>
        <v>{"num":103,"id":103,"q":"Người điều khiển phương tiện tham gia giao thông trong hầm đường bộ ngoài việc phải tuân thủ các quy tắc giao thông còn phải thực hiện những quy định nào dưới đây?","opts":{"A":" Xe cơ giới, xe máy chuyên dùng phải bật đèn chiếu gần; xe thô sơ phải bật đèn hoặc có vật phát sáng báo hiệu; không dừng xe, đỗ xe trong hầm đường bộ; trường hợp gặp sự cố kỹ thuật hoặc bất khả kháng khác buộc phải dừng xe, đỗ xe, người lái xe, người điều khiển xe máy chuyên dùng phải đưa xe vào vị trí dừng xe, đỗ xe khẩn cấp, nếu không di chuyển được, phải có báo hiệu bằng đèn khẩn cấp và đặt biển hoặc đèn cảnh báo về phía sau xe khoảng cách bảo đảm an toàn.","B":"Xe cơ giới, xe máy chuyên dùng phải bật đèn chiếu xa; được dừng xe, đỗ xe khi cần thiết.","C":"Phải cho xe chạy trên một làn đường và chỉ chuyển làn ở nơi được phép; được quay đầu xe, lùi xe khi cần thiết."},"answer":"A"},</v>
      </c>
    </row>
    <row r="422" spans="1:17" hidden="1" x14ac:dyDescent="0.25">
      <c r="A422">
        <v>1</v>
      </c>
      <c r="B422" t="s">
        <v>382</v>
      </c>
      <c r="C422">
        <f>IFERROR(COUNTIFS($A$1:A422,"Câu "&amp;"*")-MID(A422,5,FIND(".",A422,1)-5),0)</f>
        <v>0</v>
      </c>
      <c r="D422" t="str">
        <f t="shared" si="27"/>
        <v/>
      </c>
      <c r="E422" t="str">
        <f>SUBSTITUTE(IF(LEFT(A422,3)="Câu",MID(A422,FIND(".",A422,1)+2,LEN(A422)),""),CHAR(34),CHAR(92)&amp;CHAR(34))</f>
        <v/>
      </c>
      <c r="G422" t="str">
        <f>SUBSTITUTE(B423,CHAR(34),CHAR(92)&amp;CHAR(34))</f>
        <v>Xe cơ giới, xe máy chuyên dùng phải bật đèn chiếu xa; được dừng xe, đỗ xe khi cần thiết.</v>
      </c>
      <c r="H422" t="str">
        <f>SUBSTITUTE(B424,CHAR(34),CHAR(92)&amp;CHAR(34))</f>
        <v>Phải cho xe chạy trên một làn đường và chỉ chuyển làn ở nơi được phép; được quay đầu xe, lùi xe khi cần thiết.</v>
      </c>
      <c r="I422" t="str">
        <f>SUBSTITUTE(IF(LEFT(A425,3)="Câu","",B425),CHAR(34),CHAR(92)&amp;CHAR(34))</f>
        <v/>
      </c>
      <c r="J422" t="str">
        <f>SUBSTITUTE(IF(OR(LEFT(A426,3)="Câu",I422=""),"",IF(B426=0,"",B426)),CHAR(34),CHAR(92)&amp;CHAR(34))</f>
        <v/>
      </c>
      <c r="K422" t="str">
        <f>SUBSTITUTE(SUBSTITUTE(SUBSTITUTE(SUBSTITUTE(IFERROR(VLOOKUP("Câu "&amp;D422&amp;".",dapan!$E:$J,6,0),""),"1","A"),"2","B"),"3","C"),"4","D")</f>
        <v/>
      </c>
      <c r="P422" t="str">
        <f t="shared" si="25"/>
        <v/>
      </c>
      <c r="Q422" t="str">
        <f t="shared" si="26"/>
        <v/>
      </c>
    </row>
    <row r="423" spans="1:17" hidden="1" x14ac:dyDescent="0.25">
      <c r="A423">
        <v>2</v>
      </c>
      <c r="B423" t="s">
        <v>383</v>
      </c>
      <c r="C423">
        <f>IFERROR(COUNTIFS($A$1:A423,"Câu "&amp;"*")-MID(A423,5,FIND(".",A423,1)-5),0)</f>
        <v>0</v>
      </c>
      <c r="D423" t="str">
        <f t="shared" si="27"/>
        <v/>
      </c>
      <c r="E423" t="str">
        <f>SUBSTITUTE(IF(LEFT(A423,3)="Câu",MID(A423,FIND(".",A423,1)+2,LEN(A423)),""),CHAR(34),CHAR(92)&amp;CHAR(34))</f>
        <v/>
      </c>
      <c r="G423" t="str">
        <f>SUBSTITUTE(B424,CHAR(34),CHAR(92)&amp;CHAR(34))</f>
        <v>Phải cho xe chạy trên một làn đường và chỉ chuyển làn ở nơi được phép; được quay đầu xe, lùi xe khi cần thiết.</v>
      </c>
      <c r="H423" t="str">
        <f>SUBSTITUTE(B425,CHAR(34),CHAR(92)&amp;CHAR(34))</f>
        <v/>
      </c>
      <c r="I423" t="str">
        <f>SUBSTITUTE(IF(LEFT(A426,3)="Câu","",B426),CHAR(34),CHAR(92)&amp;CHAR(34))</f>
        <v>Nối bằng dây cáp có độ dài 6 mét.</v>
      </c>
      <c r="J423" t="str">
        <f>SUBSTITUTE(IF(OR(LEFT(A427,3)="Câu",I423=""),"",IF(B427=0,"",B427)),CHAR(34),CHAR(92)&amp;CHAR(34))</f>
        <v>Nối bằng dây cáp có độ dài 8 mét.</v>
      </c>
      <c r="K423" t="str">
        <f>SUBSTITUTE(SUBSTITUTE(SUBSTITUTE(SUBSTITUTE(IFERROR(VLOOKUP("Câu "&amp;D423&amp;".",dapan!$E:$J,6,0),""),"1","A"),"2","B"),"3","C"),"4","D")</f>
        <v/>
      </c>
      <c r="P423" t="str">
        <f t="shared" si="25"/>
        <v/>
      </c>
      <c r="Q423" t="str">
        <f t="shared" si="26"/>
        <v/>
      </c>
    </row>
    <row r="424" spans="1:17" hidden="1" x14ac:dyDescent="0.25">
      <c r="A424">
        <v>3</v>
      </c>
      <c r="B424" t="s">
        <v>384</v>
      </c>
      <c r="C424">
        <f>IFERROR(COUNTIFS($A$1:A424,"Câu "&amp;"*")-MID(A424,5,FIND(".",A424,1)-5),0)</f>
        <v>0</v>
      </c>
      <c r="D424" t="str">
        <f t="shared" si="27"/>
        <v/>
      </c>
      <c r="E424" t="str">
        <f>SUBSTITUTE(IF(LEFT(A424,3)="Câu",MID(A424,FIND(".",A424,1)+2,LEN(A424)),""),CHAR(34),CHAR(92)&amp;CHAR(34))</f>
        <v/>
      </c>
      <c r="G424" t="str">
        <f>SUBSTITUTE(B425,CHAR(34),CHAR(92)&amp;CHAR(34))</f>
        <v/>
      </c>
      <c r="H424" t="str">
        <f>SUBSTITUTE(B426,CHAR(34),CHAR(92)&amp;CHAR(34))</f>
        <v>Nối bằng dây cáp có độ dài 6 mét.</v>
      </c>
      <c r="I424" t="str">
        <f>SUBSTITUTE(IF(LEFT(A427,3)="Câu","",B427),CHAR(34),CHAR(92)&amp;CHAR(34))</f>
        <v>Nối bằng dây cáp có độ dài 8 mét.</v>
      </c>
      <c r="J424" t="str">
        <f>SUBSTITUTE(IF(OR(LEFT(A428,3)="Câu",I424=""),"",IF(B428=0,"",B428)),CHAR(34),CHAR(92)&amp;CHAR(34))</f>
        <v xml:space="preserve"> Nối bằng thanh nối cứng.</v>
      </c>
      <c r="K424" t="str">
        <f>SUBSTITUTE(SUBSTITUTE(SUBSTITUTE(SUBSTITUTE(IFERROR(VLOOKUP("Câu "&amp;D424&amp;".",dapan!$E:$J,6,0),""),"1","A"),"2","B"),"3","C"),"4","D")</f>
        <v/>
      </c>
      <c r="P424" t="str">
        <f t="shared" si="25"/>
        <v/>
      </c>
      <c r="Q424" t="str">
        <f t="shared" si="26"/>
        <v/>
      </c>
    </row>
    <row r="425" spans="1:17" x14ac:dyDescent="0.25">
      <c r="A425" t="s">
        <v>385</v>
      </c>
      <c r="C425">
        <f>IFERROR(COUNTIFS($A$1:A425,"Câu "&amp;"*")-MID(A425,5,FIND(".",A425,1)-5),0)</f>
        <v>0</v>
      </c>
      <c r="D425">
        <f t="shared" si="27"/>
        <v>104</v>
      </c>
      <c r="E425" t="str">
        <f>SUBSTITUTE(IF(LEFT(A425,3)="Câu",MID(A425,FIND(".",A425,1)+2,LEN(A425)),""),CHAR(34),CHAR(92)&amp;CHAR(34))</f>
        <v>Việc nối giữa xe kéo với xe được kéo trong trường hợp hệ thống hãm của xe được kéo không còn hiệu lực thì xe kéo nhau phải nối bằng cách nào?</v>
      </c>
      <c r="G425" t="str">
        <f>SUBSTITUTE(B426,CHAR(34),CHAR(92)&amp;CHAR(34))</f>
        <v>Nối bằng dây cáp có độ dài 6 mét.</v>
      </c>
      <c r="H425" t="str">
        <f>SUBSTITUTE(B427,CHAR(34),CHAR(92)&amp;CHAR(34))</f>
        <v>Nối bằng dây cáp có độ dài 8 mét.</v>
      </c>
      <c r="I425" t="str">
        <f>SUBSTITUTE(IF(LEFT(A428,3)="Câu","",B428),CHAR(34),CHAR(92)&amp;CHAR(34))</f>
        <v xml:space="preserve"> Nối bằng thanh nối cứng.</v>
      </c>
      <c r="J425" t="str">
        <f>SUBSTITUTE(IF(OR(LEFT(A429,3)="Câu",I425=""),"",IF(B429=0,"",B429)),CHAR(34),CHAR(92)&amp;CHAR(34))</f>
        <v/>
      </c>
      <c r="K425" t="str">
        <f ca="1">SUBSTITUTE(SUBSTITUTE(SUBSTITUTE(SUBSTITUTE(IFERROR(VLOOKUP("Câu "&amp;D425&amp;".",dapan!$E:$J,6,0),""),"1","A"),"2","B"),"3","C"),"4","D")</f>
        <v>C</v>
      </c>
      <c r="P425">
        <f t="shared" si="25"/>
        <v>104</v>
      </c>
      <c r="Q425" t="str">
        <f t="shared" ca="1" si="26"/>
        <v>{"num":104,"id":104,"q":"Việc nối giữa xe kéo với xe được kéo trong trường hợp hệ thống hãm của xe được kéo không còn hiệu lực thì xe kéo nhau phải nối bằng cách nào?","opts":{"A":"Nối bằng dây cáp có độ dài 6 mét.","B":"Nối bằng dây cáp có độ dài 8 mét.","C":" Nối bằng thanh nối cứng."},"answer":"C"},</v>
      </c>
    </row>
    <row r="426" spans="1:17" hidden="1" x14ac:dyDescent="0.25">
      <c r="A426">
        <v>1</v>
      </c>
      <c r="B426" t="s">
        <v>386</v>
      </c>
      <c r="C426">
        <f>IFERROR(COUNTIFS($A$1:A426,"Câu "&amp;"*")-MID(A426,5,FIND(".",A426,1)-5),0)</f>
        <v>0</v>
      </c>
      <c r="D426" t="str">
        <f t="shared" si="27"/>
        <v/>
      </c>
      <c r="E426" t="str">
        <f>SUBSTITUTE(IF(LEFT(A426,3)="Câu",MID(A426,FIND(".",A426,1)+2,LEN(A426)),""),CHAR(34),CHAR(92)&amp;CHAR(34))</f>
        <v/>
      </c>
      <c r="G426" t="str">
        <f>SUBSTITUTE(B427,CHAR(34),CHAR(92)&amp;CHAR(34))</f>
        <v>Nối bằng dây cáp có độ dài 8 mét.</v>
      </c>
      <c r="H426" t="str">
        <f>SUBSTITUTE(B428,CHAR(34),CHAR(92)&amp;CHAR(34))</f>
        <v xml:space="preserve"> Nối bằng thanh nối cứng.</v>
      </c>
      <c r="I426" t="str">
        <f>SUBSTITUTE(IF(LEFT(A429,3)="Câu","",B429),CHAR(34),CHAR(92)&amp;CHAR(34))</f>
        <v/>
      </c>
      <c r="J426" t="str">
        <f>SUBSTITUTE(IF(OR(LEFT(A430,3)="Câu",I426=""),"",IF(B430=0,"",B430)),CHAR(34),CHAR(92)&amp;CHAR(34))</f>
        <v/>
      </c>
      <c r="K426" t="str">
        <f>SUBSTITUTE(SUBSTITUTE(SUBSTITUTE(SUBSTITUTE(IFERROR(VLOOKUP("Câu "&amp;D426&amp;".",dapan!$E:$J,6,0),""),"1","A"),"2","B"),"3","C"),"4","D")</f>
        <v/>
      </c>
      <c r="P426" t="str">
        <f t="shared" si="25"/>
        <v/>
      </c>
      <c r="Q426" t="str">
        <f t="shared" si="26"/>
        <v/>
      </c>
    </row>
    <row r="427" spans="1:17" hidden="1" x14ac:dyDescent="0.25">
      <c r="A427">
        <v>2</v>
      </c>
      <c r="B427" t="s">
        <v>387</v>
      </c>
      <c r="C427">
        <f>IFERROR(COUNTIFS($A$1:A427,"Câu "&amp;"*")-MID(A427,5,FIND(".",A427,1)-5),0)</f>
        <v>0</v>
      </c>
      <c r="D427" t="str">
        <f t="shared" si="27"/>
        <v/>
      </c>
      <c r="E427" t="str">
        <f>SUBSTITUTE(IF(LEFT(A427,3)="Câu",MID(A427,FIND(".",A427,1)+2,LEN(A427)),""),CHAR(34),CHAR(92)&amp;CHAR(34))</f>
        <v/>
      </c>
      <c r="G427" t="str">
        <f>SUBSTITUTE(B428,CHAR(34),CHAR(92)&amp;CHAR(34))</f>
        <v xml:space="preserve"> Nối bằng thanh nối cứng.</v>
      </c>
      <c r="H427" t="str">
        <f>SUBSTITUTE(B429,CHAR(34),CHAR(92)&amp;CHAR(34))</f>
        <v/>
      </c>
      <c r="I427" t="str">
        <f>SUBSTITUTE(IF(LEFT(A430,3)="Câu","",B430),CHAR(34),CHAR(92)&amp;CHAR(34))</f>
        <v xml:space="preserve"> Chỉ được kéo rơ moóc, sơ mi rơ moóc phù hợp với thiết kế của xe; việc kết nối xe kéo với rơ moóc, xe ô tô đầu kéo với sơ mi rơ moóc phải bảo đảm chắc chắn, an toàn.</v>
      </c>
      <c r="J427" t="str">
        <f>SUBSTITUTE(IF(OR(LEFT(A431,3)="Câu",I427=""),"",IF(B431=0,"",B431)),CHAR(34),CHAR(92)&amp;CHAR(34))</f>
        <v>Phải có tổng trọng lượng tương đương tổng trọng lượng của rơ moóc hoặc phải có hệ thống hãm có hiệu lực cho rơ moóc.</v>
      </c>
      <c r="K427" t="str">
        <f>SUBSTITUTE(SUBSTITUTE(SUBSTITUTE(SUBSTITUTE(IFERROR(VLOOKUP("Câu "&amp;D427&amp;".",dapan!$E:$J,6,0),""),"1","A"),"2","B"),"3","C"),"4","D")</f>
        <v/>
      </c>
      <c r="P427" t="str">
        <f t="shared" si="25"/>
        <v/>
      </c>
      <c r="Q427" t="str">
        <f t="shared" si="26"/>
        <v/>
      </c>
    </row>
    <row r="428" spans="1:17" hidden="1" x14ac:dyDescent="0.25">
      <c r="A428">
        <v>3</v>
      </c>
      <c r="B428" t="s">
        <v>388</v>
      </c>
      <c r="C428">
        <f>IFERROR(COUNTIFS($A$1:A428,"Câu "&amp;"*")-MID(A428,5,FIND(".",A428,1)-5),0)</f>
        <v>0</v>
      </c>
      <c r="D428" t="str">
        <f t="shared" si="27"/>
        <v/>
      </c>
      <c r="E428" t="str">
        <f>SUBSTITUTE(IF(LEFT(A428,3)="Câu",MID(A428,FIND(".",A428,1)+2,LEN(A428)),""),CHAR(34),CHAR(92)&amp;CHAR(34))</f>
        <v/>
      </c>
      <c r="G428" t="str">
        <f>SUBSTITUTE(B429,CHAR(34),CHAR(92)&amp;CHAR(34))</f>
        <v/>
      </c>
      <c r="H428" t="str">
        <f>SUBSTITUTE(B430,CHAR(34),CHAR(92)&amp;CHAR(34))</f>
        <v xml:space="preserve"> Chỉ được kéo rơ moóc, sơ mi rơ moóc phù hợp với thiết kế của xe; việc kết nối xe kéo với rơ moóc, xe ô tô đầu kéo với sơ mi rơ moóc phải bảo đảm chắc chắn, an toàn.</v>
      </c>
      <c r="I428" t="str">
        <f>SUBSTITUTE(IF(LEFT(A431,3)="Câu","",B431),CHAR(34),CHAR(92)&amp;CHAR(34))</f>
        <v>Phải có tổng trọng lượng tương đương tổng trọng lượng của rơ moóc hoặc phải có hệ thống hãm có hiệu lực cho rơ moóc.</v>
      </c>
      <c r="J428" t="str">
        <f>SUBSTITUTE(IF(OR(LEFT(A432,3)="Câu",I428=""),"",IF(B432=0,"",B432)),CHAR(34),CHAR(92)&amp;CHAR(34))</f>
        <v>Phải được lắp phanh phụ theo quy định để đảm bảo an toàn.</v>
      </c>
      <c r="K428" t="str">
        <f>SUBSTITUTE(SUBSTITUTE(SUBSTITUTE(SUBSTITUTE(IFERROR(VLOOKUP("Câu "&amp;D428&amp;".",dapan!$E:$J,6,0),""),"1","A"),"2","B"),"3","C"),"4","D")</f>
        <v/>
      </c>
      <c r="P428" t="str">
        <f t="shared" si="25"/>
        <v/>
      </c>
      <c r="Q428" t="str">
        <f t="shared" si="26"/>
        <v/>
      </c>
    </row>
    <row r="429" spans="1:17" x14ac:dyDescent="0.25">
      <c r="A429" t="s">
        <v>389</v>
      </c>
      <c r="C429">
        <f>IFERROR(COUNTIFS($A$1:A429,"Câu "&amp;"*")-MID(A429,5,FIND(".",A429,1)-5),0)</f>
        <v>0</v>
      </c>
      <c r="D429">
        <f t="shared" si="27"/>
        <v>105</v>
      </c>
      <c r="E429" t="str">
        <f>SUBSTITUTE(IF(LEFT(A429,3)="Câu",MID(A429,FIND(".",A429,1)+2,LEN(A429)),""),CHAR(34),CHAR(92)&amp;CHAR(34))</f>
        <v>Xe kéo rơ moóc, xe ô tô đầu kéo khi tham gia giao thông đường bộ phải tuân thủ quy tắc giao thông nào ghi ở dưới đây?</v>
      </c>
      <c r="G429" t="str">
        <f>SUBSTITUTE(B430,CHAR(34),CHAR(92)&amp;CHAR(34))</f>
        <v xml:space="preserve"> Chỉ được kéo rơ moóc, sơ mi rơ moóc phù hợp với thiết kế của xe; việc kết nối xe kéo với rơ moóc, xe ô tô đầu kéo với sơ mi rơ moóc phải bảo đảm chắc chắn, an toàn.</v>
      </c>
      <c r="H429" t="str">
        <f>SUBSTITUTE(B431,CHAR(34),CHAR(92)&amp;CHAR(34))</f>
        <v>Phải có tổng trọng lượng tương đương tổng trọng lượng của rơ moóc hoặc phải có hệ thống hãm có hiệu lực cho rơ moóc.</v>
      </c>
      <c r="I429" t="str">
        <f>SUBSTITUTE(IF(LEFT(A432,3)="Câu","",B432),CHAR(34),CHAR(92)&amp;CHAR(34))</f>
        <v>Phải được lắp phanh phụ theo quy định để đảm bảo an toàn.</v>
      </c>
      <c r="J429" t="str">
        <f>SUBSTITUTE(IF(OR(LEFT(A433,3)="Câu",I429=""),"",IF(B433=0,"",B433)),CHAR(34),CHAR(92)&amp;CHAR(34))</f>
        <v/>
      </c>
      <c r="K429" t="str">
        <f ca="1">SUBSTITUTE(SUBSTITUTE(SUBSTITUTE(SUBSTITUTE(IFERROR(VLOOKUP("Câu "&amp;D429&amp;".",dapan!$E:$J,6,0),""),"1","A"),"2","B"),"3","C"),"4","D")</f>
        <v>A</v>
      </c>
      <c r="P429">
        <f t="shared" si="25"/>
        <v>105</v>
      </c>
      <c r="Q429" t="str">
        <f t="shared" ca="1" si="26"/>
        <v>{"num":105,"id":105,"q":"Xe kéo rơ moóc, xe ô tô đầu kéo khi tham gia giao thông đường bộ phải tuân thủ quy tắc giao thông nào ghi ở dưới đây?","opts":{"A":" Chỉ được kéo rơ moóc, sơ mi rơ moóc phù hợp với thiết kế của xe; việc kết nối xe kéo với rơ moóc, xe ô tô đầu kéo với sơ mi rơ moóc phải bảo đảm chắc chắn, an toàn.","B":"Phải có tổng trọng lượng tương đương tổng trọng lượng của rơ moóc hoặc phải có hệ thống hãm có hiệu lực cho rơ moóc.","C":"Phải được lắp phanh phụ theo quy định để đảm bảo an toàn."},"answer":"A"},</v>
      </c>
    </row>
    <row r="430" spans="1:17" hidden="1" x14ac:dyDescent="0.25">
      <c r="A430">
        <v>1</v>
      </c>
      <c r="B430" t="s">
        <v>390</v>
      </c>
      <c r="C430">
        <f>IFERROR(COUNTIFS($A$1:A430,"Câu "&amp;"*")-MID(A430,5,FIND(".",A430,1)-5),0)</f>
        <v>0</v>
      </c>
      <c r="D430" t="str">
        <f t="shared" si="27"/>
        <v/>
      </c>
      <c r="E430" t="str">
        <f>SUBSTITUTE(IF(LEFT(A430,3)="Câu",MID(A430,FIND(".",A430,1)+2,LEN(A430)),""),CHAR(34),CHAR(92)&amp;CHAR(34))</f>
        <v/>
      </c>
      <c r="G430" t="str">
        <f>SUBSTITUTE(B431,CHAR(34),CHAR(92)&amp;CHAR(34))</f>
        <v>Phải có tổng trọng lượng tương đương tổng trọng lượng của rơ moóc hoặc phải có hệ thống hãm có hiệu lực cho rơ moóc.</v>
      </c>
      <c r="H430" t="str">
        <f>SUBSTITUTE(B432,CHAR(34),CHAR(92)&amp;CHAR(34))</f>
        <v>Phải được lắp phanh phụ theo quy định để đảm bảo an toàn.</v>
      </c>
      <c r="I430" t="str">
        <f>SUBSTITUTE(IF(LEFT(A433,3)="Câu","",B433),CHAR(34),CHAR(92)&amp;CHAR(34))</f>
        <v/>
      </c>
      <c r="J430" t="str">
        <f>SUBSTITUTE(IF(OR(LEFT(A434,3)="Câu",I430=""),"",IF(B434=0,"",B434)),CHAR(34),CHAR(92)&amp;CHAR(34))</f>
        <v/>
      </c>
      <c r="K430" t="str">
        <f>SUBSTITUTE(SUBSTITUTE(SUBSTITUTE(SUBSTITUTE(IFERROR(VLOOKUP("Câu "&amp;D430&amp;".",dapan!$E:$J,6,0),""),"1","A"),"2","B"),"3","C"),"4","D")</f>
        <v/>
      </c>
      <c r="P430" t="str">
        <f t="shared" si="25"/>
        <v/>
      </c>
      <c r="Q430" t="str">
        <f t="shared" si="26"/>
        <v/>
      </c>
    </row>
    <row r="431" spans="1:17" hidden="1" x14ac:dyDescent="0.25">
      <c r="A431">
        <v>2</v>
      </c>
      <c r="B431" t="s">
        <v>391</v>
      </c>
      <c r="C431">
        <f>IFERROR(COUNTIFS($A$1:A431,"Câu "&amp;"*")-MID(A431,5,FIND(".",A431,1)-5),0)</f>
        <v>0</v>
      </c>
      <c r="D431" t="str">
        <f t="shared" si="27"/>
        <v/>
      </c>
      <c r="E431" t="str">
        <f>SUBSTITUTE(IF(LEFT(A431,3)="Câu",MID(A431,FIND(".",A431,1)+2,LEN(A431)),""),CHAR(34),CHAR(92)&amp;CHAR(34))</f>
        <v/>
      </c>
      <c r="G431" t="str">
        <f>SUBSTITUTE(B432,CHAR(34),CHAR(92)&amp;CHAR(34))</f>
        <v>Phải được lắp phanh phụ theo quy định để đảm bảo an toàn.</v>
      </c>
      <c r="H431" t="str">
        <f>SUBSTITUTE(B433,CHAR(34),CHAR(92)&amp;CHAR(34))</f>
        <v/>
      </c>
      <c r="I431" t="str">
        <f>SUBSTITUTE(IF(LEFT(A434,3)="Câu","",B434),CHAR(34),CHAR(92)&amp;CHAR(34))</f>
        <v>Một xe ô tô được kéo theo nhiều xe ô tô hoặc xe máy chuyên dùng khác khi xe được kéo không tự chạy được (trừ trường hợp xe vận chuyển hàng siêu trường, siêu trọng).</v>
      </c>
      <c r="J431" t="str">
        <f>SUBSTITUTE(IF(OR(LEFT(A435,3)="Câu",I431=""),"",IF(B435=0,"",B435)),CHAR(34),CHAR(92)&amp;CHAR(34))</f>
        <v xml:space="preserve"> 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v>
      </c>
      <c r="K431" t="str">
        <f>SUBSTITUTE(SUBSTITUTE(SUBSTITUTE(SUBSTITUTE(IFERROR(VLOOKUP("Câu "&amp;D431&amp;".",dapan!$E:$J,6,0),""),"1","A"),"2","B"),"3","C"),"4","D")</f>
        <v/>
      </c>
      <c r="P431" t="str">
        <f t="shared" si="25"/>
        <v/>
      </c>
      <c r="Q431" t="str">
        <f t="shared" si="26"/>
        <v/>
      </c>
    </row>
    <row r="432" spans="1:17" hidden="1" x14ac:dyDescent="0.25">
      <c r="A432">
        <v>3</v>
      </c>
      <c r="B432" t="s">
        <v>392</v>
      </c>
      <c r="C432">
        <f>IFERROR(COUNTIFS($A$1:A432,"Câu "&amp;"*")-MID(A432,5,FIND(".",A432,1)-5),0)</f>
        <v>0</v>
      </c>
      <c r="D432" t="str">
        <f t="shared" si="27"/>
        <v/>
      </c>
      <c r="E432" t="str">
        <f>SUBSTITUTE(IF(LEFT(A432,3)="Câu",MID(A432,FIND(".",A432,1)+2,LEN(A432)),""),CHAR(34),CHAR(92)&amp;CHAR(34))</f>
        <v/>
      </c>
      <c r="G432" t="str">
        <f>SUBSTITUTE(B433,CHAR(34),CHAR(92)&amp;CHAR(34))</f>
        <v/>
      </c>
      <c r="H432" t="str">
        <f>SUBSTITUTE(B434,CHAR(34),CHAR(92)&amp;CHAR(34))</f>
        <v>Một xe ô tô được kéo theo nhiều xe ô tô hoặc xe máy chuyên dùng khác khi xe được kéo không tự chạy được (trừ trường hợp xe vận chuyển hàng siêu trường, siêu trọng).</v>
      </c>
      <c r="I432" t="str">
        <f>SUBSTITUTE(IF(LEFT(A435,3)="Câu","",B435),CHAR(34),CHAR(92)&amp;CHAR(34))</f>
        <v xml:space="preserve"> 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v>
      </c>
      <c r="J432" t="str">
        <f>SUBSTITUTE(IF(OR(LEFT(A436,3)="Câu",I432=""),"",IF(B436=0,"",B436)),CHAR(34),CHAR(92)&amp;CHAR(34))</f>
        <v>Cả hai ý trên.</v>
      </c>
      <c r="K432" t="str">
        <f>SUBSTITUTE(SUBSTITUTE(SUBSTITUTE(SUBSTITUTE(IFERROR(VLOOKUP("Câu "&amp;D432&amp;".",dapan!$E:$J,6,0),""),"1","A"),"2","B"),"3","C"),"4","D")</f>
        <v/>
      </c>
      <c r="P432" t="str">
        <f t="shared" si="25"/>
        <v/>
      </c>
      <c r="Q432" t="str">
        <f t="shared" si="26"/>
        <v/>
      </c>
    </row>
    <row r="433" spans="1:17" x14ac:dyDescent="0.25">
      <c r="A433" t="s">
        <v>393</v>
      </c>
      <c r="C433">
        <f>IFERROR(COUNTIFS($A$1:A433,"Câu "&amp;"*")-MID(A433,5,FIND(".",A433,1)-5),0)</f>
        <v>0</v>
      </c>
      <c r="D433">
        <f t="shared" si="27"/>
        <v>106</v>
      </c>
      <c r="E433" t="str">
        <f>SUBSTITUTE(IF(LEFT(A433,3)="Câu",MID(A433,FIND(".",A433,1)+2,LEN(A433)),""),CHAR(34),CHAR(92)&amp;CHAR(34))</f>
        <v>Luật Trật tự, an toàn giao thông đường bộ quy định về xe kéo xe, xe kéo rơ moóc và xe ô tô đầu kéo kéo sơ mi rơ moóc như thế nào dưới đây?</v>
      </c>
      <c r="G433" t="str">
        <f>SUBSTITUTE(B434,CHAR(34),CHAR(92)&amp;CHAR(34))</f>
        <v>Một xe ô tô được kéo theo nhiều xe ô tô hoặc xe máy chuyên dùng khác khi xe được kéo không tự chạy được (trừ trường hợp xe vận chuyển hàng siêu trường, siêu trọng).</v>
      </c>
      <c r="H433" t="str">
        <f>SUBSTITUTE(B435,CHAR(34),CHAR(92)&amp;CHAR(34))</f>
        <v xml:space="preserve"> 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v>
      </c>
      <c r="I433" t="str">
        <f>SUBSTITUTE(IF(LEFT(A436,3)="Câu","",B436),CHAR(34),CHAR(92)&amp;CHAR(34))</f>
        <v>Cả hai ý trên.</v>
      </c>
      <c r="J433" t="str">
        <f>SUBSTITUTE(IF(OR(LEFT(A437,3)="Câu",I433=""),"",IF(B437=0,"",B437)),CHAR(34),CHAR(92)&amp;CHAR(34))</f>
        <v/>
      </c>
      <c r="K433" t="str">
        <f ca="1">SUBSTITUTE(SUBSTITUTE(SUBSTITUTE(SUBSTITUTE(IFERROR(VLOOKUP("Câu "&amp;D433&amp;".",dapan!$E:$J,6,0),""),"1","A"),"2","B"),"3","C"),"4","D")</f>
        <v>B</v>
      </c>
      <c r="P433">
        <f t="shared" si="25"/>
        <v>106</v>
      </c>
      <c r="Q433" t="str">
        <f t="shared" ca="1" si="26"/>
        <v>{"num":106,"id":106,"q":"Luật Trật tự, an toàn giao thông đường bộ quy định về xe kéo xe, xe kéo rơ moóc và xe ô tô đầu kéo kéo sơ mi rơ moóc như thế nào dưới đây?","opts":{"A":"Một xe ô tô được kéo theo nhiều xe ô tô hoặc xe máy chuyên dùng khác khi xe được kéo không tự chạy được (trừ trường hợp xe vận chuyển hàng siêu trường, siêu trọng).","B":" 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vàng.","C":"Cả hai ý trên."},"answer":"B"},</v>
      </c>
    </row>
    <row r="434" spans="1:17" hidden="1" x14ac:dyDescent="0.25">
      <c r="A434">
        <v>1</v>
      </c>
      <c r="B434" t="s">
        <v>394</v>
      </c>
      <c r="C434">
        <f>IFERROR(COUNTIFS($A$1:A434,"Câu "&amp;"*")-MID(A434,5,FIND(".",A434,1)-5),0)</f>
        <v>0</v>
      </c>
      <c r="D434" t="str">
        <f t="shared" si="27"/>
        <v/>
      </c>
      <c r="E434" t="str">
        <f>SUBSTITUTE(IF(LEFT(A434,3)="Câu",MID(A434,FIND(".",A434,1)+2,LEN(A434)),""),CHAR(34),CHAR(92)&amp;CHAR(34))</f>
        <v/>
      </c>
      <c r="G434" t="str">
        <f>SUBSTITUTE(B435,CHAR(34),CHAR(92)&amp;CHAR(34))</f>
        <v xml:space="preserve"> Xe được kéo phải có người điều khiển và hệ thống lái của xe đó phải còn hiệu lực; việc nối xe kéo với xe được kéo phải bảo đảm chắc chắn, an toàn; trường hợp hệ thống hãm của xe được kéo không còn hiệu lực thì xe kéo nhau phải nối bằng thanh nối cứng. Phía trước của xe kéo và phía sau của xe được kéo phải có biển báo hiệu, có đèn cảnh báo nhấp nháy màu vàng.</v>
      </c>
      <c r="H434" t="str">
        <f>SUBSTITUTE(B436,CHAR(34),CHAR(92)&amp;CHAR(34))</f>
        <v>Cả hai ý trên.</v>
      </c>
      <c r="I434" t="str">
        <f>SUBSTITUTE(IF(LEFT(A437,3)="Câu","",B437),CHAR(34),CHAR(92)&amp;CHAR(34))</f>
        <v/>
      </c>
      <c r="J434" t="str">
        <f>SUBSTITUTE(IF(OR(LEFT(A438,3)="Câu",I434=""),"",IF(B438=0,"",B438)),CHAR(34),CHAR(92)&amp;CHAR(34))</f>
        <v/>
      </c>
      <c r="K434" t="str">
        <f>SUBSTITUTE(SUBSTITUTE(SUBSTITUTE(SUBSTITUTE(IFERROR(VLOOKUP("Câu "&amp;D434&amp;".",dapan!$E:$J,6,0),""),"1","A"),"2","B"),"3","C"),"4","D")</f>
        <v/>
      </c>
      <c r="P434" t="str">
        <f t="shared" si="25"/>
        <v/>
      </c>
      <c r="Q434" t="str">
        <f t="shared" si="26"/>
        <v/>
      </c>
    </row>
    <row r="435" spans="1:17" hidden="1" x14ac:dyDescent="0.25">
      <c r="A435">
        <v>2</v>
      </c>
      <c r="B435" t="s">
        <v>395</v>
      </c>
      <c r="C435">
        <f>IFERROR(COUNTIFS($A$1:A435,"Câu "&amp;"*")-MID(A435,5,FIND(".",A435,1)-5),0)</f>
        <v>0</v>
      </c>
      <c r="D435" t="str">
        <f t="shared" si="27"/>
        <v/>
      </c>
      <c r="E435" t="str">
        <f>SUBSTITUTE(IF(LEFT(A435,3)="Câu",MID(A435,FIND(".",A435,1)+2,LEN(A435)),""),CHAR(34),CHAR(92)&amp;CHAR(34))</f>
        <v/>
      </c>
      <c r="G435" t="str">
        <f>SUBSTITUTE(B436,CHAR(34),CHAR(92)&amp;CHAR(34))</f>
        <v>Cả hai ý trên.</v>
      </c>
      <c r="H435" t="str">
        <f>SUBSTITUTE(B437,CHAR(34),CHAR(92)&amp;CHAR(34))</f>
        <v/>
      </c>
      <c r="I435" t="str">
        <f>SUBSTITUTE(IF(LEFT(A438,3)="Câu","",B438),CHAR(34),CHAR(92)&amp;CHAR(34))</f>
        <v>Có báo hiệu cảnh báo nguy hiểm hoặc có chướng ngại vật trên đường; chuyển hướng xe chạy hoặc tầm nhìn bị hạn chế.</v>
      </c>
      <c r="J435" t="str">
        <f>SUBSTITUTE(IF(OR(LEFT(A439,3)="Câu",I435=""),"",IF(B439=0,"",B439)),CHAR(34),CHAR(92)&amp;CHAR(34))</f>
        <v>Nơi cầu, cống hẹp, đập tràn, đường ngầm, hầm chui, hầm đường bộ; có vật nuôi đi trên đường hoặc chăn thả ở ven đường.</v>
      </c>
      <c r="K435" t="str">
        <f>SUBSTITUTE(SUBSTITUTE(SUBSTITUTE(SUBSTITUTE(IFERROR(VLOOKUP("Câu "&amp;D435&amp;".",dapan!$E:$J,6,0),""),"1","A"),"2","B"),"3","C"),"4","D")</f>
        <v/>
      </c>
      <c r="P435" t="str">
        <f t="shared" si="25"/>
        <v/>
      </c>
      <c r="Q435" t="str">
        <f t="shared" si="26"/>
        <v/>
      </c>
    </row>
    <row r="436" spans="1:17" hidden="1" x14ac:dyDescent="0.25">
      <c r="A436">
        <v>3</v>
      </c>
      <c r="B436" t="s">
        <v>18</v>
      </c>
      <c r="C436">
        <f>IFERROR(COUNTIFS($A$1:A436,"Câu "&amp;"*")-MID(A436,5,FIND(".",A436,1)-5),0)</f>
        <v>0</v>
      </c>
      <c r="D436" t="str">
        <f t="shared" si="27"/>
        <v/>
      </c>
      <c r="E436" t="str">
        <f>SUBSTITUTE(IF(LEFT(A436,3)="Câu",MID(A436,FIND(".",A436,1)+2,LEN(A436)),""),CHAR(34),CHAR(92)&amp;CHAR(34))</f>
        <v/>
      </c>
      <c r="G436" t="str">
        <f>SUBSTITUTE(B437,CHAR(34),CHAR(92)&amp;CHAR(34))</f>
        <v/>
      </c>
      <c r="H436" t="str">
        <f>SUBSTITUTE(B438,CHAR(34),CHAR(92)&amp;CHAR(34))</f>
        <v>Có báo hiệu cảnh báo nguy hiểm hoặc có chướng ngại vật trên đường; chuyển hướng xe chạy hoặc tầm nhìn bị hạn chế.</v>
      </c>
      <c r="I436" t="str">
        <f>SUBSTITUTE(IF(LEFT(A439,3)="Câu","",B439),CHAR(34),CHAR(92)&amp;CHAR(34))</f>
        <v>Nơi cầu, cống hẹp, đập tràn, đường ngầm, hầm chui, hầm đường bộ; có vật nuôi đi trên đường hoặc chăn thả ở ven đường.</v>
      </c>
      <c r="J436" t="str">
        <f>SUBSTITUTE(IF(OR(LEFT(A440,3)="Câu",I436=""),"",IF(B440=0,"",B440)),CHAR(34),CHAR(92)&amp;CHAR(34))</f>
        <v>Điểm dừng xe, đỗ xe trên đường bộ có khách đang lên, xuống xe.</v>
      </c>
      <c r="K436" t="str">
        <f>SUBSTITUTE(SUBSTITUTE(SUBSTITUTE(SUBSTITUTE(IFERROR(VLOOKUP("Câu "&amp;D436&amp;".",dapan!$E:$J,6,0),""),"1","A"),"2","B"),"3","C"),"4","D")</f>
        <v/>
      </c>
      <c r="P436" t="str">
        <f t="shared" si="25"/>
        <v/>
      </c>
      <c r="Q436" t="str">
        <f t="shared" si="26"/>
        <v/>
      </c>
    </row>
    <row r="437" spans="1:17" x14ac:dyDescent="0.25">
      <c r="A437" t="s">
        <v>396</v>
      </c>
      <c r="C437">
        <f>IFERROR(COUNTIFS($A$1:A437,"Câu "&amp;"*")-MID(A437,5,FIND(".",A437,1)-5),0)</f>
        <v>0</v>
      </c>
      <c r="D437">
        <f t="shared" si="27"/>
        <v>107</v>
      </c>
      <c r="E437" t="str">
        <f>SUBSTITUTE(IF(LEFT(A437,3)="Câu",MID(A437,FIND(".",A437,1)+2,LEN(A437)),""),CHAR(34),CHAR(92)&amp;CHAR(34))</f>
        <v>Người điều khiển phương tiện tham gia giao thông đường bộ phải quan sát, giảm tốc độ hoặc dừng lại để bảo đảm an toàn trong các trường hợp nào dưới đây?</v>
      </c>
      <c r="G437" t="str">
        <f>SUBSTITUTE(B438,CHAR(34),CHAR(92)&amp;CHAR(34))</f>
        <v>Có báo hiệu cảnh báo nguy hiểm hoặc có chướng ngại vật trên đường; chuyển hướng xe chạy hoặc tầm nhìn bị hạn chế.</v>
      </c>
      <c r="H437" t="str">
        <f>SUBSTITUTE(B439,CHAR(34),CHAR(92)&amp;CHAR(34))</f>
        <v>Nơi cầu, cống hẹp, đập tràn, đường ngầm, hầm chui, hầm đường bộ; có vật nuôi đi trên đường hoặc chăn thả ở ven đường.</v>
      </c>
      <c r="I437" t="str">
        <f>SUBSTITUTE(IF(LEFT(A440,3)="Câu","",B440),CHAR(34),CHAR(92)&amp;CHAR(34))</f>
        <v>Điểm dừng xe, đỗ xe trên đường bộ có khách đang lên, xuống xe.</v>
      </c>
      <c r="J437" t="str">
        <f>SUBSTITUTE(IF(OR(LEFT(A441,3)="Câu",I437=""),"",IF(B441=0,"",B441)),CHAR(34),CHAR(92)&amp;CHAR(34))</f>
        <v xml:space="preserve"> Cả ba ý trên.</v>
      </c>
      <c r="K437" t="str">
        <f ca="1">SUBSTITUTE(SUBSTITUTE(SUBSTITUTE(SUBSTITUTE(IFERROR(VLOOKUP("Câu "&amp;D437&amp;".",dapan!$E:$J,6,0),""),"1","A"),"2","B"),"3","C"),"4","D")</f>
        <v>D</v>
      </c>
      <c r="P437">
        <f t="shared" si="25"/>
        <v>107</v>
      </c>
      <c r="Q437" t="str">
        <f t="shared" ca="1" si="26"/>
        <v>{"num":107,"id":107,"q":"Người điều khiển phương tiện tham gia giao thông đường bộ phải quan sát, giảm tốc độ hoặc dừng lại để bảo đảm an toàn trong các trường hợp nào dưới đây?","opts":{"A":"Có báo hiệu cảnh báo nguy hiểm hoặc có chướng ngại vật trên đường; chuyển hướng xe chạy hoặc tầm nhìn bị hạn chế.","B":"Nơi cầu, cống hẹp, đập tràn, đường ngầm, hầm chui, hầm đường bộ; có vật nuôi đi trên đường hoặc chăn thả ở ven đường.","C":"Điểm dừng xe, đỗ xe trên đường bộ có khách đang lên, xuống xe.","D":" Cả ba ý trên."},"answer":"D"},</v>
      </c>
    </row>
    <row r="438" spans="1:17" hidden="1" x14ac:dyDescent="0.25">
      <c r="A438">
        <v>1</v>
      </c>
      <c r="B438" t="s">
        <v>397</v>
      </c>
      <c r="C438">
        <f>IFERROR(COUNTIFS($A$1:A438,"Câu "&amp;"*")-MID(A438,5,FIND(".",A438,1)-5),0)</f>
        <v>0</v>
      </c>
      <c r="D438" t="str">
        <f t="shared" si="27"/>
        <v/>
      </c>
      <c r="E438" t="str">
        <f>SUBSTITUTE(IF(LEFT(A438,3)="Câu",MID(A438,FIND(".",A438,1)+2,LEN(A438)),""),CHAR(34),CHAR(92)&amp;CHAR(34))</f>
        <v/>
      </c>
      <c r="G438" t="str">
        <f>SUBSTITUTE(B439,CHAR(34),CHAR(92)&amp;CHAR(34))</f>
        <v>Nơi cầu, cống hẹp, đập tràn, đường ngầm, hầm chui, hầm đường bộ; có vật nuôi đi trên đường hoặc chăn thả ở ven đường.</v>
      </c>
      <c r="H438" t="str">
        <f>SUBSTITUTE(B440,CHAR(34),CHAR(92)&amp;CHAR(34))</f>
        <v>Điểm dừng xe, đỗ xe trên đường bộ có khách đang lên, xuống xe.</v>
      </c>
      <c r="I438" t="str">
        <f>SUBSTITUTE(IF(LEFT(A441,3)="Câu","",B441),CHAR(34),CHAR(92)&amp;CHAR(34))</f>
        <v xml:space="preserve"> Cả ba ý trên.</v>
      </c>
      <c r="J438" t="str">
        <f>SUBSTITUTE(IF(OR(LEFT(A442,3)="Câu",I438=""),"",IF(B442=0,"",B442)),CHAR(34),CHAR(92)&amp;CHAR(34))</f>
        <v/>
      </c>
      <c r="K438" t="str">
        <f>SUBSTITUTE(SUBSTITUTE(SUBSTITUTE(SUBSTITUTE(IFERROR(VLOOKUP("Câu "&amp;D438&amp;".",dapan!$E:$J,6,0),""),"1","A"),"2","B"),"3","C"),"4","D")</f>
        <v/>
      </c>
      <c r="P438" t="str">
        <f t="shared" si="25"/>
        <v/>
      </c>
      <c r="Q438" t="str">
        <f t="shared" si="26"/>
        <v/>
      </c>
    </row>
    <row r="439" spans="1:17" hidden="1" x14ac:dyDescent="0.25">
      <c r="A439">
        <v>2</v>
      </c>
      <c r="B439" t="s">
        <v>398</v>
      </c>
      <c r="C439">
        <f>IFERROR(COUNTIFS($A$1:A439,"Câu "&amp;"*")-MID(A439,5,FIND(".",A439,1)-5),0)</f>
        <v>0</v>
      </c>
      <c r="D439" t="str">
        <f t="shared" si="27"/>
        <v/>
      </c>
      <c r="E439" t="str">
        <f>SUBSTITUTE(IF(LEFT(A439,3)="Câu",MID(A439,FIND(".",A439,1)+2,LEN(A439)),""),CHAR(34),CHAR(92)&amp;CHAR(34))</f>
        <v/>
      </c>
      <c r="G439" t="str">
        <f>SUBSTITUTE(B440,CHAR(34),CHAR(92)&amp;CHAR(34))</f>
        <v>Điểm dừng xe, đỗ xe trên đường bộ có khách đang lên, xuống xe.</v>
      </c>
      <c r="H439" t="str">
        <f>SUBSTITUTE(B441,CHAR(34),CHAR(92)&amp;CHAR(34))</f>
        <v xml:space="preserve"> Cả ba ý trên.</v>
      </c>
      <c r="I439" t="str">
        <f>SUBSTITUTE(IF(LEFT(A442,3)="Câu","",B442),CHAR(34),CHAR(92)&amp;CHAR(34))</f>
        <v/>
      </c>
      <c r="J439" t="str">
        <f>SUBSTITUTE(IF(OR(LEFT(A443,3)="Câu",I439=""),"",IF(B443=0,"",B443)),CHAR(34),CHAR(92)&amp;CHAR(34))</f>
        <v/>
      </c>
      <c r="K439" t="str">
        <f>SUBSTITUTE(SUBSTITUTE(SUBSTITUTE(SUBSTITUTE(IFERROR(VLOOKUP("Câu "&amp;D439&amp;".",dapan!$E:$J,6,0),""),"1","A"),"2","B"),"3","C"),"4","D")</f>
        <v/>
      </c>
      <c r="P439" t="str">
        <f t="shared" si="25"/>
        <v/>
      </c>
      <c r="Q439" t="str">
        <f t="shared" si="26"/>
        <v/>
      </c>
    </row>
    <row r="440" spans="1:17" hidden="1" x14ac:dyDescent="0.25">
      <c r="A440">
        <v>3</v>
      </c>
      <c r="B440" t="s">
        <v>399</v>
      </c>
      <c r="C440">
        <f>IFERROR(COUNTIFS($A$1:A440,"Câu "&amp;"*")-MID(A440,5,FIND(".",A440,1)-5),0)</f>
        <v>0</v>
      </c>
      <c r="D440" t="str">
        <f t="shared" si="27"/>
        <v/>
      </c>
      <c r="E440" t="str">
        <f>SUBSTITUTE(IF(LEFT(A440,3)="Câu",MID(A440,FIND(".",A440,1)+2,LEN(A440)),""),CHAR(34),CHAR(92)&amp;CHAR(34))</f>
        <v/>
      </c>
      <c r="G440" t="str">
        <f>SUBSTITUTE(B441,CHAR(34),CHAR(92)&amp;CHAR(34))</f>
        <v xml:space="preserve"> Cả ba ý trên.</v>
      </c>
      <c r="H440" t="str">
        <f>SUBSTITUTE(B442,CHAR(34),CHAR(92)&amp;CHAR(34))</f>
        <v/>
      </c>
      <c r="I440" t="str">
        <f>SUBSTITUTE(IF(LEFT(A443,3)="Câu","",B443),CHAR(34),CHAR(92)&amp;CHAR(34))</f>
        <v xml:space="preserve"> Có chướng ngại vật phía trước, xe chạy phía trước có tín hiệu vượt xe khác.</v>
      </c>
      <c r="J440" t="str">
        <f>SUBSTITUTE(IF(OR(LEFT(A444,3)="Câu",I440=""),"",IF(B444=0,"",B444)),CHAR(34),CHAR(92)&amp;CHAR(34))</f>
        <v>Xe chạy phía trước đã có tín hiệu rẽ phải và tránh về bên phải.</v>
      </c>
      <c r="K440" t="str">
        <f>SUBSTITUTE(SUBSTITUTE(SUBSTITUTE(SUBSTITUTE(IFERROR(VLOOKUP("Câu "&amp;D440&amp;".",dapan!$E:$J,6,0),""),"1","A"),"2","B"),"3","C"),"4","D")</f>
        <v/>
      </c>
      <c r="P440" t="str">
        <f t="shared" si="25"/>
        <v/>
      </c>
      <c r="Q440" t="str">
        <f t="shared" si="26"/>
        <v/>
      </c>
    </row>
    <row r="441" spans="1:17" hidden="1" x14ac:dyDescent="0.25">
      <c r="A441">
        <v>4</v>
      </c>
      <c r="B441" t="s">
        <v>89</v>
      </c>
      <c r="C441">
        <f>IFERROR(COUNTIFS($A$1:A441,"Câu "&amp;"*")-MID(A441,5,FIND(".",A441,1)-5),0)</f>
        <v>0</v>
      </c>
      <c r="D441" t="str">
        <f t="shared" si="27"/>
        <v/>
      </c>
      <c r="E441" t="str">
        <f>SUBSTITUTE(IF(LEFT(A441,3)="Câu",MID(A441,FIND(".",A441,1)+2,LEN(A441)),""),CHAR(34),CHAR(92)&amp;CHAR(34))</f>
        <v/>
      </c>
      <c r="G441" t="str">
        <f>SUBSTITUTE(B442,CHAR(34),CHAR(92)&amp;CHAR(34))</f>
        <v/>
      </c>
      <c r="H441" t="str">
        <f>SUBSTITUTE(B443,CHAR(34),CHAR(92)&amp;CHAR(34))</f>
        <v xml:space="preserve"> Có chướng ngại vật phía trước, xe chạy phía trước có tín hiệu vượt xe khác.</v>
      </c>
      <c r="I441" t="str">
        <f>SUBSTITUTE(IF(LEFT(A444,3)="Câu","",B444),CHAR(34),CHAR(92)&amp;CHAR(34))</f>
        <v>Xe chạy phía trước đã có tín hiệu rẽ phải và tránh về bên phải.</v>
      </c>
      <c r="J441" t="str">
        <f>SUBSTITUTE(IF(OR(LEFT(A445,3)="Câu",I441=""),"",IF(B445=0,"",B445)),CHAR(34),CHAR(92)&amp;CHAR(34))</f>
        <v>Cả hai ý trên.</v>
      </c>
      <c r="K441" t="str">
        <f>SUBSTITUTE(SUBSTITUTE(SUBSTITUTE(SUBSTITUTE(IFERROR(VLOOKUP("Câu "&amp;D441&amp;".",dapan!$E:$J,6,0),""),"1","A"),"2","B"),"3","C"),"4","D")</f>
        <v/>
      </c>
      <c r="P441" t="str">
        <f t="shared" si="25"/>
        <v/>
      </c>
      <c r="Q441" t="str">
        <f t="shared" si="26"/>
        <v/>
      </c>
    </row>
    <row r="442" spans="1:17" x14ac:dyDescent="0.25">
      <c r="A442" t="s">
        <v>400</v>
      </c>
      <c r="C442">
        <f>IFERROR(COUNTIFS($A$1:A442,"Câu "&amp;"*")-MID(A442,5,FIND(".",A442,1)-5),0)</f>
        <v>0</v>
      </c>
      <c r="D442">
        <f t="shared" si="27"/>
        <v>108</v>
      </c>
      <c r="E442" t="str">
        <f>SUBSTITUTE(IF(LEFT(A442,3)="Câu",MID(A442,FIND(".",A442,1)+2,LEN(A442)),""),CHAR(34),CHAR(92)&amp;CHAR(34))</f>
        <v>Trên đường mà mỗi chiều đường xe chạy chỉ có một làn đường dành cho xe cơ giới, người lái xe không được vượt xe khác trong trường hợp nào dưới đây?</v>
      </c>
      <c r="G442" t="str">
        <f>SUBSTITUTE(B443,CHAR(34),CHAR(92)&amp;CHAR(34))</f>
        <v xml:space="preserve"> Có chướng ngại vật phía trước, xe chạy phía trước có tín hiệu vượt xe khác.</v>
      </c>
      <c r="H442" t="str">
        <f>SUBSTITUTE(B444,CHAR(34),CHAR(92)&amp;CHAR(34))</f>
        <v>Xe chạy phía trước đã có tín hiệu rẽ phải và tránh về bên phải.</v>
      </c>
      <c r="I442" t="str">
        <f>SUBSTITUTE(IF(LEFT(A445,3)="Câu","",B445),CHAR(34),CHAR(92)&amp;CHAR(34))</f>
        <v>Cả hai ý trên.</v>
      </c>
      <c r="J442" t="str">
        <f>SUBSTITUTE(IF(OR(LEFT(A446,3)="Câu",I442=""),"",IF(B446=0,"",B446)),CHAR(34),CHAR(92)&amp;CHAR(34))</f>
        <v/>
      </c>
      <c r="K442" t="str">
        <f ca="1">SUBSTITUTE(SUBSTITUTE(SUBSTITUTE(SUBSTITUTE(IFERROR(VLOOKUP("Câu "&amp;D442&amp;".",dapan!$E:$J,6,0),""),"1","A"),"2","B"),"3","C"),"4","D")</f>
        <v>A</v>
      </c>
      <c r="P442">
        <f t="shared" si="25"/>
        <v>108</v>
      </c>
      <c r="Q442" t="str">
        <f t="shared" ca="1" si="26"/>
        <v>{"num":108,"id":108,"q":"Trên đường mà mỗi chiều đường xe chạy chỉ có một làn đường dành cho xe cơ giới, người lái xe không được vượt xe khác trong trường hợp nào dưới đây?","opts":{"A":" Có chướng ngại vật phía trước, xe chạy phía trước có tín hiệu vượt xe khác.","B":"Xe chạy phía trước đã có tín hiệu rẽ phải và tránh về bên phải.","C":"Cả hai ý trên."},"answer":"A"},</v>
      </c>
    </row>
    <row r="443" spans="1:17" hidden="1" x14ac:dyDescent="0.25">
      <c r="A443">
        <v>1</v>
      </c>
      <c r="B443" t="s">
        <v>401</v>
      </c>
      <c r="C443">
        <f>IFERROR(COUNTIFS($A$1:A443,"Câu "&amp;"*")-MID(A443,5,FIND(".",A443,1)-5),0)</f>
        <v>0</v>
      </c>
      <c r="D443" t="str">
        <f t="shared" si="27"/>
        <v/>
      </c>
      <c r="E443" t="str">
        <f>SUBSTITUTE(IF(LEFT(A443,3)="Câu",MID(A443,FIND(".",A443,1)+2,LEN(A443)),""),CHAR(34),CHAR(92)&amp;CHAR(34))</f>
        <v/>
      </c>
      <c r="G443" t="str">
        <f>SUBSTITUTE(B444,CHAR(34),CHAR(92)&amp;CHAR(34))</f>
        <v>Xe chạy phía trước đã có tín hiệu rẽ phải và tránh về bên phải.</v>
      </c>
      <c r="H443" t="str">
        <f>SUBSTITUTE(B445,CHAR(34),CHAR(92)&amp;CHAR(34))</f>
        <v>Cả hai ý trên.</v>
      </c>
      <c r="I443" t="str">
        <f>SUBSTITUTE(IF(LEFT(A446,3)="Câu","",B446),CHAR(34),CHAR(92)&amp;CHAR(34))</f>
        <v/>
      </c>
      <c r="J443" t="str">
        <f>SUBSTITUTE(IF(OR(LEFT(A447,3)="Câu",I443=""),"",IF(B447=0,"",B447)),CHAR(34),CHAR(92)&amp;CHAR(34))</f>
        <v/>
      </c>
      <c r="K443" t="str">
        <f>SUBSTITUTE(SUBSTITUTE(SUBSTITUTE(SUBSTITUTE(IFERROR(VLOOKUP("Câu "&amp;D443&amp;".",dapan!$E:$J,6,0),""),"1","A"),"2","B"),"3","C"),"4","D")</f>
        <v/>
      </c>
      <c r="P443" t="str">
        <f t="shared" si="25"/>
        <v/>
      </c>
      <c r="Q443" t="str">
        <f t="shared" si="26"/>
        <v/>
      </c>
    </row>
    <row r="444" spans="1:17" hidden="1" x14ac:dyDescent="0.25">
      <c r="A444">
        <v>2</v>
      </c>
      <c r="B444" t="s">
        <v>402</v>
      </c>
      <c r="C444">
        <f>IFERROR(COUNTIFS($A$1:A444,"Câu "&amp;"*")-MID(A444,5,FIND(".",A444,1)-5),0)</f>
        <v>0</v>
      </c>
      <c r="D444" t="str">
        <f t="shared" si="27"/>
        <v/>
      </c>
      <c r="E444" t="str">
        <f>SUBSTITUTE(IF(LEFT(A444,3)="Câu",MID(A444,FIND(".",A444,1)+2,LEN(A444)),""),CHAR(34),CHAR(92)&amp;CHAR(34))</f>
        <v/>
      </c>
      <c r="G444" t="str">
        <f>SUBSTITUTE(B445,CHAR(34),CHAR(92)&amp;CHAR(34))</f>
        <v>Cả hai ý trên.</v>
      </c>
      <c r="H444" t="str">
        <f>SUBSTITUTE(B446,CHAR(34),CHAR(92)&amp;CHAR(34))</f>
        <v/>
      </c>
      <c r="I444" t="str">
        <f>SUBSTITUTE(IF(LEFT(A447,3)="Câu","",B447),CHAR(34),CHAR(92)&amp;CHAR(34))</f>
        <v xml:space="preserve"> Xe phía trước có tín hiệu rẽ trái hoặc đang rẽ trái hoặc khi xe chuyên dùng đang làm việc trên đường mà không thể vượt bên trái.</v>
      </c>
      <c r="J444" t="str">
        <f>SUBSTITUTE(IF(OR(LEFT(A448,3)="Câu",I444=""),"",IF(B448=0,"",B448)),CHAR(34),CHAR(92)&amp;CHAR(34))</f>
        <v>Xe phía trước đang đi sát lề đường bên trái.</v>
      </c>
      <c r="K444" t="str">
        <f>SUBSTITUTE(SUBSTITUTE(SUBSTITUTE(SUBSTITUTE(IFERROR(VLOOKUP("Câu "&amp;D444&amp;".",dapan!$E:$J,6,0),""),"1","A"),"2","B"),"3","C"),"4","D")</f>
        <v/>
      </c>
      <c r="P444" t="str">
        <f t="shared" si="25"/>
        <v/>
      </c>
      <c r="Q444" t="str">
        <f t="shared" si="26"/>
        <v/>
      </c>
    </row>
    <row r="445" spans="1:17" hidden="1" x14ac:dyDescent="0.25">
      <c r="A445">
        <v>3</v>
      </c>
      <c r="B445" t="s">
        <v>18</v>
      </c>
      <c r="C445">
        <f>IFERROR(COUNTIFS($A$1:A445,"Câu "&amp;"*")-MID(A445,5,FIND(".",A445,1)-5),0)</f>
        <v>0</v>
      </c>
      <c r="D445" t="str">
        <f t="shared" si="27"/>
        <v/>
      </c>
      <c r="E445" t="str">
        <f>SUBSTITUTE(IF(LEFT(A445,3)="Câu",MID(A445,FIND(".",A445,1)+2,LEN(A445)),""),CHAR(34),CHAR(92)&amp;CHAR(34))</f>
        <v/>
      </c>
      <c r="G445" t="str">
        <f>SUBSTITUTE(B446,CHAR(34),CHAR(92)&amp;CHAR(34))</f>
        <v/>
      </c>
      <c r="H445" t="str">
        <f>SUBSTITUTE(B447,CHAR(34),CHAR(92)&amp;CHAR(34))</f>
        <v xml:space="preserve"> Xe phía trước có tín hiệu rẽ trái hoặc đang rẽ trái hoặc khi xe chuyên dùng đang làm việc trên đường mà không thể vượt bên trái.</v>
      </c>
      <c r="I445" t="str">
        <f>SUBSTITUTE(IF(LEFT(A448,3)="Câu","",B448),CHAR(34),CHAR(92)&amp;CHAR(34))</f>
        <v>Xe phía trước đang đi sát lề đường bên trái.</v>
      </c>
      <c r="J445" t="str">
        <f>SUBSTITUTE(IF(OR(LEFT(A449,3)="Câu",I445=""),"",IF(B449=0,"",B449)),CHAR(34),CHAR(92)&amp;CHAR(34))</f>
        <v>Cả hai ý trên.</v>
      </c>
      <c r="K445" t="str">
        <f>SUBSTITUTE(SUBSTITUTE(SUBSTITUTE(SUBSTITUTE(IFERROR(VLOOKUP("Câu "&amp;D445&amp;".",dapan!$E:$J,6,0),""),"1","A"),"2","B"),"3","C"),"4","D")</f>
        <v/>
      </c>
      <c r="P445" t="str">
        <f t="shared" si="25"/>
        <v/>
      </c>
      <c r="Q445" t="str">
        <f t="shared" si="26"/>
        <v/>
      </c>
    </row>
    <row r="446" spans="1:17" x14ac:dyDescent="0.25">
      <c r="A446" t="s">
        <v>403</v>
      </c>
      <c r="C446">
        <f>IFERROR(COUNTIFS($A$1:A446,"Câu "&amp;"*")-MID(A446,5,FIND(".",A446,1)-5),0)</f>
        <v>0</v>
      </c>
      <c r="D446">
        <f t="shared" si="27"/>
        <v>109</v>
      </c>
      <c r="E446" t="str">
        <f>SUBSTITUTE(IF(LEFT(A446,3)="Câu",MID(A446,FIND(".",A446,1)+2,LEN(A446)),""),CHAR(34),CHAR(92)&amp;CHAR(34))</f>
        <v>Người lái xe được phép vượt xe khác về bên phải trong trường hợp nào dưới đây?</v>
      </c>
      <c r="G446" t="str">
        <f>SUBSTITUTE(B447,CHAR(34),CHAR(92)&amp;CHAR(34))</f>
        <v xml:space="preserve"> Xe phía trước có tín hiệu rẽ trái hoặc đang rẽ trái hoặc khi xe chuyên dùng đang làm việc trên đường mà không thể vượt bên trái.</v>
      </c>
      <c r="H446" t="str">
        <f>SUBSTITUTE(B448,CHAR(34),CHAR(92)&amp;CHAR(34))</f>
        <v>Xe phía trước đang đi sát lề đường bên trái.</v>
      </c>
      <c r="I446" t="str">
        <f>SUBSTITUTE(IF(LEFT(A449,3)="Câu","",B449),CHAR(34),CHAR(92)&amp;CHAR(34))</f>
        <v>Cả hai ý trên.</v>
      </c>
      <c r="J446" t="str">
        <f>SUBSTITUTE(IF(OR(LEFT(A450,3)="Câu",I446=""),"",IF(B450=0,"",B450)),CHAR(34),CHAR(92)&amp;CHAR(34))</f>
        <v/>
      </c>
      <c r="K446" t="str">
        <f ca="1">SUBSTITUTE(SUBSTITUTE(SUBSTITUTE(SUBSTITUTE(IFERROR(VLOOKUP("Câu "&amp;D446&amp;".",dapan!$E:$J,6,0),""),"1","A"),"2","B"),"3","C"),"4","D")</f>
        <v>A</v>
      </c>
      <c r="P446">
        <f t="shared" si="25"/>
        <v>109</v>
      </c>
      <c r="Q446" t="str">
        <f t="shared" ca="1" si="26"/>
        <v>{"num":109,"id":109,"q":"Người lái xe được phép vượt xe khác về bên phải trong trường hợp nào dưới đây?","opts":{"A":" Xe phía trước có tín hiệu rẽ trái hoặc đang rẽ trái hoặc khi xe chuyên dùng đang làm việc trên đường mà không thể vượt bên trái.","B":"Xe phía trước đang đi sát lề đường bên trái.","C":"Cả hai ý trên."},"answer":"A"},</v>
      </c>
    </row>
    <row r="447" spans="1:17" hidden="1" x14ac:dyDescent="0.25">
      <c r="A447">
        <v>1</v>
      </c>
      <c r="B447" t="s">
        <v>404</v>
      </c>
      <c r="C447">
        <f>IFERROR(COUNTIFS($A$1:A447,"Câu "&amp;"*")-MID(A447,5,FIND(".",A447,1)-5),0)</f>
        <v>0</v>
      </c>
      <c r="D447" t="str">
        <f t="shared" si="27"/>
        <v/>
      </c>
      <c r="E447" t="str">
        <f>SUBSTITUTE(IF(LEFT(A447,3)="Câu",MID(A447,FIND(".",A447,1)+2,LEN(A447)),""),CHAR(34),CHAR(92)&amp;CHAR(34))</f>
        <v/>
      </c>
      <c r="G447" t="str">
        <f>SUBSTITUTE(B448,CHAR(34),CHAR(92)&amp;CHAR(34))</f>
        <v>Xe phía trước đang đi sát lề đường bên trái.</v>
      </c>
      <c r="H447" t="str">
        <f>SUBSTITUTE(B449,CHAR(34),CHAR(92)&amp;CHAR(34))</f>
        <v>Cả hai ý trên.</v>
      </c>
      <c r="I447" t="str">
        <f>SUBSTITUTE(IF(LEFT(A450,3)="Câu","",B450),CHAR(34),CHAR(92)&amp;CHAR(34))</f>
        <v/>
      </c>
      <c r="J447" t="str">
        <f>SUBSTITUTE(IF(OR(LEFT(A451,3)="Câu",I447=""),"",IF(B451=0,"",B451)),CHAR(34),CHAR(92)&amp;CHAR(34))</f>
        <v/>
      </c>
      <c r="K447" t="str">
        <f>SUBSTITUTE(SUBSTITUTE(SUBSTITUTE(SUBSTITUTE(IFERROR(VLOOKUP("Câu "&amp;D447&amp;".",dapan!$E:$J,6,0),""),"1","A"),"2","B"),"3","C"),"4","D")</f>
        <v/>
      </c>
      <c r="P447" t="str">
        <f t="shared" si="25"/>
        <v/>
      </c>
      <c r="Q447" t="str">
        <f t="shared" si="26"/>
        <v/>
      </c>
    </row>
    <row r="448" spans="1:17" hidden="1" x14ac:dyDescent="0.25">
      <c r="A448">
        <v>2</v>
      </c>
      <c r="B448" t="s">
        <v>405</v>
      </c>
      <c r="C448">
        <f>IFERROR(COUNTIFS($A$1:A448,"Câu "&amp;"*")-MID(A448,5,FIND(".",A448,1)-5),0)</f>
        <v>0</v>
      </c>
      <c r="D448" t="str">
        <f t="shared" si="27"/>
        <v/>
      </c>
      <c r="E448" t="str">
        <f>SUBSTITUTE(IF(LEFT(A448,3)="Câu",MID(A448,FIND(".",A448,1)+2,LEN(A448)),""),CHAR(34),CHAR(92)&amp;CHAR(34))</f>
        <v/>
      </c>
      <c r="G448" t="str">
        <f>SUBSTITUTE(B449,CHAR(34),CHAR(92)&amp;CHAR(34))</f>
        <v>Cả hai ý trên.</v>
      </c>
      <c r="H448" t="str">
        <f>SUBSTITUTE(B450,CHAR(34),CHAR(92)&amp;CHAR(34))</f>
        <v/>
      </c>
      <c r="I448" t="str">
        <f>SUBSTITUTE(IF(LEFT(A451,3)="Câu","",B451),CHAR(34),CHAR(92)&amp;CHAR(34))</f>
        <v xml:space="preserve">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v>
      </c>
      <c r="J448" t="str">
        <f>SUBSTITUTE(IF(OR(LEFT(A452,3)="Câu",I448=""),"",IF(B452=0,"",B452)),CHAR(34),CHAR(92)&amp;CHAR(34))</f>
        <v>Lái xe vào lề đường bên trái và giảm tốc độ để xe phía sau vượt qua, không được gây trở ngại đối với xe xin vượt.</v>
      </c>
      <c r="K448" t="str">
        <f>SUBSTITUTE(SUBSTITUTE(SUBSTITUTE(SUBSTITUTE(IFERROR(VLOOKUP("Câu "&amp;D448&amp;".",dapan!$E:$J,6,0),""),"1","A"),"2","B"),"3","C"),"4","D")</f>
        <v/>
      </c>
      <c r="P448" t="str">
        <f t="shared" si="25"/>
        <v/>
      </c>
      <c r="Q448" t="str">
        <f t="shared" si="26"/>
        <v/>
      </c>
    </row>
    <row r="449" spans="1:17" hidden="1" x14ac:dyDescent="0.25">
      <c r="A449">
        <v>3</v>
      </c>
      <c r="B449" t="s">
        <v>18</v>
      </c>
      <c r="C449">
        <f>IFERROR(COUNTIFS($A$1:A449,"Câu "&amp;"*")-MID(A449,5,FIND(".",A449,1)-5),0)</f>
        <v>0</v>
      </c>
      <c r="D449" t="str">
        <f t="shared" si="27"/>
        <v/>
      </c>
      <c r="E449" t="str">
        <f>SUBSTITUTE(IF(LEFT(A449,3)="Câu",MID(A449,FIND(".",A449,1)+2,LEN(A449)),""),CHAR(34),CHAR(92)&amp;CHAR(34))</f>
        <v/>
      </c>
      <c r="G449" t="str">
        <f>SUBSTITUTE(B450,CHAR(34),CHAR(92)&amp;CHAR(34))</f>
        <v/>
      </c>
      <c r="H449" t="str">
        <f>SUBSTITUTE(B451,CHAR(34),CHAR(92)&amp;CHAR(34))</f>
        <v xml:space="preserve">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v>
      </c>
      <c r="I449" t="str">
        <f>SUBSTITUTE(IF(LEFT(A452,3)="Câu","",B452),CHAR(34),CHAR(92)&amp;CHAR(34))</f>
        <v>Lái xe vào lề đường bên trái và giảm tốc độ để xe phía sau vượt qua, không được gây trở ngại đối với xe xin vượt.</v>
      </c>
      <c r="J449" t="str">
        <f>SUBSTITUTE(IF(OR(LEFT(A453,3)="Câu",I449=""),"",IF(B453=0,"",B453)),CHAR(34),CHAR(92)&amp;CHAR(34))</f>
        <v>Tăng tốc độ, đi sát về bên phải của phần đường xe chạy cho đến khi xe sau đã vượt qua.</v>
      </c>
      <c r="K449" t="str">
        <f>SUBSTITUTE(SUBSTITUTE(SUBSTITUTE(SUBSTITUTE(IFERROR(VLOOKUP("Câu "&amp;D449&amp;".",dapan!$E:$J,6,0),""),"1","A"),"2","B"),"3","C"),"4","D")</f>
        <v/>
      </c>
      <c r="P449" t="str">
        <f t="shared" si="25"/>
        <v/>
      </c>
      <c r="Q449" t="str">
        <f t="shared" si="26"/>
        <v/>
      </c>
    </row>
    <row r="450" spans="1:17" x14ac:dyDescent="0.25">
      <c r="A450" t="s">
        <v>406</v>
      </c>
      <c r="C450">
        <f>IFERROR(COUNTIFS($A$1:A450,"Câu "&amp;"*")-MID(A450,5,FIND(".",A450,1)-5),0)</f>
        <v>0</v>
      </c>
      <c r="D450">
        <f t="shared" si="27"/>
        <v>110</v>
      </c>
      <c r="E450" t="str">
        <f>SUBSTITUTE(IF(LEFT(A450,3)="Câu",MID(A450,FIND(".",A450,1)+2,LEN(A450)),""),CHAR(34),CHAR(92)&amp;CHAR(34))</f>
        <v>Khi có xe xin vượt, người lái xe mô tô xử lý như thế nào nếu đủ điều kiện an toàn cho xe phía sau vượt?</v>
      </c>
      <c r="G450" t="str">
        <f>SUBSTITUTE(B451,CHAR(34),CHAR(92)&amp;CHAR(34))</f>
        <v xml:space="preserve">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v>
      </c>
      <c r="H450" t="str">
        <f>SUBSTITUTE(B452,CHAR(34),CHAR(92)&amp;CHAR(34))</f>
        <v>Lái xe vào lề đường bên trái và giảm tốc độ để xe phía sau vượt qua, không được gây trở ngại đối với xe xin vượt.</v>
      </c>
      <c r="I450" t="str">
        <f>SUBSTITUTE(IF(LEFT(A453,3)="Câu","",B453),CHAR(34),CHAR(92)&amp;CHAR(34))</f>
        <v>Tăng tốc độ, đi sát về bên phải của phần đường xe chạy cho đến khi xe sau đã vượt qua.</v>
      </c>
      <c r="J450" t="str">
        <f>SUBSTITUTE(IF(OR(LEFT(A454,3)="Câu",I450=""),"",IF(B454=0,"",B454)),CHAR(34),CHAR(92)&amp;CHAR(34))</f>
        <v/>
      </c>
      <c r="K450" t="str">
        <f ca="1">SUBSTITUTE(SUBSTITUTE(SUBSTITUTE(SUBSTITUTE(IFERROR(VLOOKUP("Câu "&amp;D450&amp;".",dapan!$E:$J,6,0),""),"1","A"),"2","B"),"3","C"),"4","D")</f>
        <v>A</v>
      </c>
      <c r="P450">
        <f t="shared" si="25"/>
        <v>110</v>
      </c>
      <c r="Q450" t="str">
        <f t="shared" ca="1" si="26"/>
        <v>{"num":110,"id":110,"q":"Khi có xe xin vượt, người lái xe mô tô xử lý như thế nào nếu đủ điều kiện an toàn cho xe phía sau vượt?","opts":{"A":" Giảm tốc độ, có tín hiệu rẽ phải để báo hiệu cho người điều khiển phương tiện tham gia giao thông đường bộ phía sau biết được vượt và đi sát về bên phải của phần đường xe chạy cho đến khi xe sau đã vượt qua, không được cản trở đối với xe xin vượt.","B":"Lái xe vào lề đường bên trái và giảm tốc độ để xe phía sau vượt qua, không được gây trở ngại đối với xe xin vượt.","C":"Tăng tốc độ, đi sát về bên phải của phần đường xe chạy cho đến khi xe sau đã vượt qua."},"answer":"A"},</v>
      </c>
    </row>
    <row r="451" spans="1:17" hidden="1" x14ac:dyDescent="0.25">
      <c r="A451">
        <v>1</v>
      </c>
      <c r="B451" t="s">
        <v>294</v>
      </c>
      <c r="C451">
        <f>IFERROR(COUNTIFS($A$1:A451,"Câu "&amp;"*")-MID(A451,5,FIND(".",A451,1)-5),0)</f>
        <v>0</v>
      </c>
      <c r="D451" t="str">
        <f t="shared" si="27"/>
        <v/>
      </c>
      <c r="E451" t="str">
        <f>SUBSTITUTE(IF(LEFT(A451,3)="Câu",MID(A451,FIND(".",A451,1)+2,LEN(A451)),""),CHAR(34),CHAR(92)&amp;CHAR(34))</f>
        <v/>
      </c>
      <c r="G451" t="str">
        <f>SUBSTITUTE(B452,CHAR(34),CHAR(92)&amp;CHAR(34))</f>
        <v>Lái xe vào lề đường bên trái và giảm tốc độ để xe phía sau vượt qua, không được gây trở ngại đối với xe xin vượt.</v>
      </c>
      <c r="H451" t="str">
        <f>SUBSTITUTE(B453,CHAR(34),CHAR(92)&amp;CHAR(34))</f>
        <v>Tăng tốc độ, đi sát về bên phải của phần đường xe chạy cho đến khi xe sau đã vượt qua.</v>
      </c>
      <c r="I451" t="str">
        <f>SUBSTITUTE(IF(LEFT(A454,3)="Câu","",B454),CHAR(34),CHAR(92)&amp;CHAR(34))</f>
        <v/>
      </c>
      <c r="J451" t="str">
        <f>SUBSTITUTE(IF(OR(LEFT(A455,3)="Câu",I451=""),"",IF(B455=0,"",B455)),CHAR(34),CHAR(92)&amp;CHAR(34))</f>
        <v/>
      </c>
      <c r="K451" t="str">
        <f>SUBSTITUTE(SUBSTITUTE(SUBSTITUTE(SUBSTITUTE(IFERROR(VLOOKUP("Câu "&amp;D451&amp;".",dapan!$E:$J,6,0),""),"1","A"),"2","B"),"3","C"),"4","D")</f>
        <v/>
      </c>
      <c r="P451" t="str">
        <f t="shared" ref="P451:P514" si="28">D451</f>
        <v/>
      </c>
      <c r="Q451" t="str">
        <f t="shared" ref="Q451:Q514" si="29">IF(D451="","",CHAR(123)&amp;CHAR(34)&amp;"num"&amp;CHAR(34)&amp;":"&amp;P451&amp;","&amp;CHAR(34)&amp;"id"&amp;CHAR(34)&amp;":"&amp;D451&amp;","
&amp;CHAR(34)&amp;"q"&amp;CHAR(34)&amp;":"&amp;CHAR(34)&amp;E451&amp;CHAR(34)&amp;","
&amp;IF(F451="","",CHAR(34)&amp;"img"&amp;CHAR(34)&amp;":"&amp;CHAR(34)&amp;F451&amp;CHAR(34)&amp;",")
&amp;CHAR(34)&amp;"opts"&amp;CHAR(34)&amp;":"&amp;CHAR(123)&amp;CHAR(34)&amp;"A"&amp;CHAR(34)&amp;":"&amp;CHAR(34)&amp;G451&amp;CHAR(34)&amp;","&amp;CHAR(34)&amp;"B"&amp;CHAR(34)&amp;":"&amp;CHAR(34)&amp;H451&amp;CHAR(34)
&amp;IF(I451="","",","&amp;CHAR(34)&amp;"C"&amp;CHAR(34)&amp;":"&amp;CHAR(34)&amp;I451&amp;CHAR(34))&amp;IF(J451="","",","&amp;CHAR(34)&amp;"D"&amp;CHAR(34)&amp;":"&amp;CHAR(34)&amp;J451&amp;CHAR(34))&amp;CHAR(125)&amp;","
&amp;CHAR(34)&amp;"answer"&amp;CHAR(34)&amp;":"&amp;CHAR(34)&amp;K451&amp;CHAR(34)
&amp;IF(L451="","",","&amp;CHAR(34)&amp;"danger"&amp;CHAR(34)&amp;":"&amp;CHAR(34)&amp;"true"&amp;CHAR(34))
&amp;IF(M451="","",","&amp;CHAR(34)&amp;"explain"&amp;CHAR(34)&amp;":"&amp;CHAR(34)&amp;M451&amp;CHAR(34))
&amp;IF(N451="","",","&amp;CHAR(34)&amp;"explainImg"&amp;CHAR(34)&amp;":"&amp;CHAR(34)&amp;N451&amp;CHAR(34))
&amp;IF(O451="","",","&amp;CHAR(34)&amp;"shuffle"&amp;CHAR(34)&amp;":"&amp;CHAR(34)&amp;"false"&amp;CHAR(34))&amp;CHAR(125)&amp;",")</f>
        <v/>
      </c>
    </row>
    <row r="452" spans="1:17" hidden="1" x14ac:dyDescent="0.25">
      <c r="A452">
        <v>2</v>
      </c>
      <c r="B452" t="s">
        <v>407</v>
      </c>
      <c r="C452">
        <f>IFERROR(COUNTIFS($A$1:A452,"Câu "&amp;"*")-MID(A452,5,FIND(".",A452,1)-5),0)</f>
        <v>0</v>
      </c>
      <c r="D452" t="str">
        <f t="shared" si="27"/>
        <v/>
      </c>
      <c r="E452" t="str">
        <f>SUBSTITUTE(IF(LEFT(A452,3)="Câu",MID(A452,FIND(".",A452,1)+2,LEN(A452)),""),CHAR(34),CHAR(92)&amp;CHAR(34))</f>
        <v/>
      </c>
      <c r="G452" t="str">
        <f>SUBSTITUTE(B453,CHAR(34),CHAR(92)&amp;CHAR(34))</f>
        <v>Tăng tốc độ, đi sát về bên phải của phần đường xe chạy cho đến khi xe sau đã vượt qua.</v>
      </c>
      <c r="H452" t="str">
        <f>SUBSTITUTE(B454,CHAR(34),CHAR(92)&amp;CHAR(34))</f>
        <v/>
      </c>
      <c r="I452" t="str">
        <f>SUBSTITUTE(IF(LEFT(A455,3)="Câu","",B455),CHAR(34),CHAR(92)&amp;CHAR(34))</f>
        <v xml:space="preserve">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v>
      </c>
      <c r="J452" t="str">
        <f>SUBSTITUTE(IF(OR(LEFT(A456,3)="Câu",I452=""),"",IF(B456=0,"",B456)),CHAR(34),CHAR(92)&amp;CHAR(34))</f>
        <v>Xe máy chuyên dùng có tốc độ thiết kế lớn hơn tốc độ tối thiểu quy định đối với đường cao tốc.</v>
      </c>
      <c r="K452" t="str">
        <f>SUBSTITUTE(SUBSTITUTE(SUBSTITUTE(SUBSTITUTE(IFERROR(VLOOKUP("Câu "&amp;D452&amp;".",dapan!$E:$J,6,0),""),"1","A"),"2","B"),"3","C"),"4","D")</f>
        <v/>
      </c>
      <c r="P452" t="str">
        <f t="shared" si="28"/>
        <v/>
      </c>
      <c r="Q452" t="str">
        <f t="shared" si="29"/>
        <v/>
      </c>
    </row>
    <row r="453" spans="1:17" hidden="1" x14ac:dyDescent="0.25">
      <c r="A453">
        <v>3</v>
      </c>
      <c r="B453" t="s">
        <v>408</v>
      </c>
      <c r="C453">
        <f>IFERROR(COUNTIFS($A$1:A453,"Câu "&amp;"*")-MID(A453,5,FIND(".",A453,1)-5),0)</f>
        <v>0</v>
      </c>
      <c r="D453" t="str">
        <f t="shared" si="27"/>
        <v/>
      </c>
      <c r="E453" t="str">
        <f>SUBSTITUTE(IF(LEFT(A453,3)="Câu",MID(A453,FIND(".",A453,1)+2,LEN(A453)),""),CHAR(34),CHAR(92)&amp;CHAR(34))</f>
        <v/>
      </c>
      <c r="G453" t="str">
        <f>SUBSTITUTE(B454,CHAR(34),CHAR(92)&amp;CHAR(34))</f>
        <v/>
      </c>
      <c r="H453" t="str">
        <f>SUBSTITUTE(B455,CHAR(34),CHAR(92)&amp;CHAR(34))</f>
        <v xml:space="preserve">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v>
      </c>
      <c r="I453" t="str">
        <f>SUBSTITUTE(IF(LEFT(A456,3)="Câu","",B456),CHAR(34),CHAR(92)&amp;CHAR(34))</f>
        <v>Xe máy chuyên dùng có tốc độ thiết kế lớn hơn tốc độ tối thiểu quy định đối với đường cao tốc.</v>
      </c>
      <c r="J453" t="str">
        <f>SUBSTITUTE(IF(OR(LEFT(A457,3)="Câu",I453=""),"",IF(B457=0,"",B457)),CHAR(34),CHAR(92)&amp;CHAR(34))</f>
        <v>Xe ô tô và xe máy chuyên dùng có tốc độ thiết kế lớn hơn 80 km/h.</v>
      </c>
      <c r="K453" t="str">
        <f>SUBSTITUTE(SUBSTITUTE(SUBSTITUTE(SUBSTITUTE(IFERROR(VLOOKUP("Câu "&amp;D453&amp;".",dapan!$E:$J,6,0),""),"1","A"),"2","B"),"3","C"),"4","D")</f>
        <v/>
      </c>
      <c r="P453" t="str">
        <f t="shared" si="28"/>
        <v/>
      </c>
      <c r="Q453" t="str">
        <f t="shared" si="29"/>
        <v/>
      </c>
    </row>
    <row r="454" spans="1:17" x14ac:dyDescent="0.25">
      <c r="A454" t="s">
        <v>409</v>
      </c>
      <c r="C454">
        <f>IFERROR(COUNTIFS($A$1:A454,"Câu "&amp;"*")-MID(A454,5,FIND(".",A454,1)-5),0)</f>
        <v>0</v>
      </c>
      <c r="D454">
        <f t="shared" si="27"/>
        <v>111</v>
      </c>
      <c r="E454" t="str">
        <f>SUBSTITUTE(IF(LEFT(A454,3)="Câu",MID(A454,FIND(".",A454,1)+2,LEN(A454)),""),CHAR(34),CHAR(92)&amp;CHAR(34))</f>
        <v>Những trường hợp nào dưới đây không được đi trên đường cao tốc, trừ người, phương tiện giao thông đường bộ và thiết bị phục vụ việc quản lý, bảo trì đường cao tốc?</v>
      </c>
      <c r="G454" t="str">
        <f>SUBSTITUTE(B455,CHAR(34),CHAR(92)&amp;CHAR(34))</f>
        <v xml:space="preserve">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v>
      </c>
      <c r="H454" t="str">
        <f>SUBSTITUTE(B456,CHAR(34),CHAR(92)&amp;CHAR(34))</f>
        <v>Xe máy chuyên dùng có tốc độ thiết kế lớn hơn tốc độ tối thiểu quy định đối với đường cao tốc.</v>
      </c>
      <c r="I454" t="str">
        <f>SUBSTITUTE(IF(LEFT(A457,3)="Câu","",B457),CHAR(34),CHAR(92)&amp;CHAR(34))</f>
        <v>Xe ô tô và xe máy chuyên dùng có tốc độ thiết kế lớn hơn 80 km/h.</v>
      </c>
      <c r="J454" t="str">
        <f>SUBSTITUTE(IF(OR(LEFT(A458,3)="Câu",I454=""),"",IF(B458=0,"",B458)),CHAR(34),CHAR(92)&amp;CHAR(34))</f>
        <v/>
      </c>
      <c r="K454" t="str">
        <f ca="1">SUBSTITUTE(SUBSTITUTE(SUBSTITUTE(SUBSTITUTE(IFERROR(VLOOKUP("Câu "&amp;D454&amp;".",dapan!$E:$J,6,0),""),"1","A"),"2","B"),"3","C"),"4","D")</f>
        <v>A</v>
      </c>
      <c r="P454">
        <f t="shared" si="28"/>
        <v>111</v>
      </c>
      <c r="Q454" t="str">
        <f t="shared" ca="1" si="29"/>
        <v>{"num":111,"id":111,"q":"Những trường hợp nào dưới đây không được đi trên đường cao tốc, trừ người, phương tiện giao thông đường bộ và thiết bị phục vụ việc quản lý, bảo trì đường cao tốc?","opts":{"A":" Xe máy chuyên dùng có tốc độ thiết kế nhỏ hơn tốc độ tối thiểu quy định đối với đường cao tốc, xe chở người bốn bánh có gắn động cơ, xe chở hàng bốn bánh có gắn động cơ, xe mô tô, xe gắn máy, các loại xe tương tự xe mô tô, xe gắn máy, xe thô sơ, người đi bộ.","B":"Xe máy chuyên dùng có tốc độ thiết kế lớn hơn tốc độ tối thiểu quy định đối với đường cao tốc.","C":"Xe ô tô và xe máy chuyên dùng có tốc độ thiết kế lớn hơn 80 km/h."},"answer":"A"},</v>
      </c>
    </row>
    <row r="455" spans="1:17" hidden="1" x14ac:dyDescent="0.25">
      <c r="A455">
        <v>1</v>
      </c>
      <c r="B455" t="s">
        <v>410</v>
      </c>
      <c r="C455">
        <f>IFERROR(COUNTIFS($A$1:A455,"Câu "&amp;"*")-MID(A455,5,FIND(".",A455,1)-5),0)</f>
        <v>0</v>
      </c>
      <c r="D455" t="str">
        <f t="shared" si="27"/>
        <v/>
      </c>
      <c r="E455" t="str">
        <f>SUBSTITUTE(IF(LEFT(A455,3)="Câu",MID(A455,FIND(".",A455,1)+2,LEN(A455)),""),CHAR(34),CHAR(92)&amp;CHAR(34))</f>
        <v/>
      </c>
      <c r="G455" t="str">
        <f>SUBSTITUTE(B456,CHAR(34),CHAR(92)&amp;CHAR(34))</f>
        <v>Xe máy chuyên dùng có tốc độ thiết kế lớn hơn tốc độ tối thiểu quy định đối với đường cao tốc.</v>
      </c>
      <c r="H455" t="str">
        <f>SUBSTITUTE(B457,CHAR(34),CHAR(92)&amp;CHAR(34))</f>
        <v>Xe ô tô và xe máy chuyên dùng có tốc độ thiết kế lớn hơn 80 km/h.</v>
      </c>
      <c r="I455" t="str">
        <f>SUBSTITUTE(IF(LEFT(A458,3)="Câu","",B458),CHAR(34),CHAR(92)&amp;CHAR(34))</f>
        <v/>
      </c>
      <c r="J455" t="str">
        <f>SUBSTITUTE(IF(OR(LEFT(A459,3)="Câu",I455=""),"",IF(B459=0,"",B459)),CHAR(34),CHAR(92)&amp;CHAR(34))</f>
        <v/>
      </c>
      <c r="K455" t="str">
        <f>SUBSTITUTE(SUBSTITUTE(SUBSTITUTE(SUBSTITUTE(IFERROR(VLOOKUP("Câu "&amp;D455&amp;".",dapan!$E:$J,6,0),""),"1","A"),"2","B"),"3","C"),"4","D")</f>
        <v/>
      </c>
      <c r="P455" t="str">
        <f t="shared" si="28"/>
        <v/>
      </c>
      <c r="Q455" t="str">
        <f t="shared" si="29"/>
        <v/>
      </c>
    </row>
    <row r="456" spans="1:17" hidden="1" x14ac:dyDescent="0.25">
      <c r="A456">
        <v>2</v>
      </c>
      <c r="B456" t="s">
        <v>411</v>
      </c>
      <c r="C456">
        <f>IFERROR(COUNTIFS($A$1:A456,"Câu "&amp;"*")-MID(A456,5,FIND(".",A456,1)-5),0)</f>
        <v>0</v>
      </c>
      <c r="D456" t="str">
        <f t="shared" si="27"/>
        <v/>
      </c>
      <c r="E456" t="str">
        <f>SUBSTITUTE(IF(LEFT(A456,3)="Câu",MID(A456,FIND(".",A456,1)+2,LEN(A456)),""),CHAR(34),CHAR(92)&amp;CHAR(34))</f>
        <v/>
      </c>
      <c r="G456" t="str">
        <f>SUBSTITUTE(B457,CHAR(34),CHAR(92)&amp;CHAR(34))</f>
        <v>Xe ô tô và xe máy chuyên dùng có tốc độ thiết kế lớn hơn 80 km/h.</v>
      </c>
      <c r="H456" t="str">
        <f>SUBSTITUTE(B458,CHAR(34),CHAR(92)&amp;CHAR(34))</f>
        <v/>
      </c>
      <c r="I456" t="str">
        <f>SUBSTITUTE(IF(LEFT(A459,3)="Câu","",B459),CHAR(34),CHAR(92)&amp;CHAR(34))</f>
        <v>Được đi ngược chiều bất cứ làn đường nào của đường cao tốc có thể đi được.</v>
      </c>
      <c r="J456" t="str">
        <f>SUBSTITUTE(IF(OR(LEFT(A460,3)="Câu",I456=""),"",IF(B460=0,"",B460)),CHAR(34),CHAR(92)&amp;CHAR(34))</f>
        <v xml:space="preserve"> Chỉ được đi ngược chiều trên làn dừng xe khẩn cấp.</v>
      </c>
      <c r="K456" t="str">
        <f>SUBSTITUTE(SUBSTITUTE(SUBSTITUTE(SUBSTITUTE(IFERROR(VLOOKUP("Câu "&amp;D456&amp;".",dapan!$E:$J,6,0),""),"1","A"),"2","B"),"3","C"),"4","D")</f>
        <v/>
      </c>
      <c r="P456" t="str">
        <f t="shared" si="28"/>
        <v/>
      </c>
      <c r="Q456" t="str">
        <f t="shared" si="29"/>
        <v/>
      </c>
    </row>
    <row r="457" spans="1:17" hidden="1" x14ac:dyDescent="0.25">
      <c r="A457">
        <v>3</v>
      </c>
      <c r="B457" t="s">
        <v>412</v>
      </c>
      <c r="C457">
        <f>IFERROR(COUNTIFS($A$1:A457,"Câu "&amp;"*")-MID(A457,5,FIND(".",A457,1)-5),0)</f>
        <v>0</v>
      </c>
      <c r="D457" t="str">
        <f t="shared" si="27"/>
        <v/>
      </c>
      <c r="E457" t="str">
        <f>SUBSTITUTE(IF(LEFT(A457,3)="Câu",MID(A457,FIND(".",A457,1)+2,LEN(A457)),""),CHAR(34),CHAR(92)&amp;CHAR(34))</f>
        <v/>
      </c>
      <c r="G457" t="str">
        <f>SUBSTITUTE(B458,CHAR(34),CHAR(92)&amp;CHAR(34))</f>
        <v/>
      </c>
      <c r="H457" t="str">
        <f>SUBSTITUTE(B459,CHAR(34),CHAR(92)&amp;CHAR(34))</f>
        <v>Được đi ngược chiều bất cứ làn đường nào của đường cao tốc có thể đi được.</v>
      </c>
      <c r="I457" t="str">
        <f>SUBSTITUTE(IF(LEFT(A460,3)="Câu","",B460),CHAR(34),CHAR(92)&amp;CHAR(34))</f>
        <v xml:space="preserve"> Chỉ được đi ngược chiều trên làn dừng xe khẩn cấp.</v>
      </c>
      <c r="J457" t="str">
        <f>SUBSTITUTE(IF(OR(LEFT(A461,3)="Câu",I457=""),"",IF(B461=0,"",B461)),CHAR(34),CHAR(92)&amp;CHAR(34))</f>
        <v>Chỉ được đi ngược chiều trên làn đường sát dải phân cách của đường cao tốc.</v>
      </c>
      <c r="K457" t="str">
        <f>SUBSTITUTE(SUBSTITUTE(SUBSTITUTE(SUBSTITUTE(IFERROR(VLOOKUP("Câu "&amp;D457&amp;".",dapan!$E:$J,6,0),""),"1","A"),"2","B"),"3","C"),"4","D")</f>
        <v/>
      </c>
      <c r="P457" t="str">
        <f t="shared" si="28"/>
        <v/>
      </c>
      <c r="Q457" t="str">
        <f t="shared" si="29"/>
        <v/>
      </c>
    </row>
    <row r="458" spans="1:17" x14ac:dyDescent="0.25">
      <c r="A458" t="s">
        <v>413</v>
      </c>
      <c r="C458">
        <f>IFERROR(COUNTIFS($A$1:A458,"Câu "&amp;"*")-MID(A458,5,FIND(".",A458,1)-5),0)</f>
        <v>0</v>
      </c>
      <c r="D458">
        <f t="shared" si="27"/>
        <v>112</v>
      </c>
      <c r="E458" t="str">
        <f>SUBSTITUTE(IF(LEFT(A458,3)="Câu",MID(A458,FIND(".",A458,1)+2,LEN(A458)),""),CHAR(34),CHAR(92)&amp;CHAR(34))</f>
        <v>Khi tham gia giao thông trên đường cao tốc, xe ưu tiên đi làm nhiệm vụ khẩn cấp được đi ngược chiều trong trường hợp nào dưới đây?</v>
      </c>
      <c r="G458" t="str">
        <f>SUBSTITUTE(B459,CHAR(34),CHAR(92)&amp;CHAR(34))</f>
        <v>Được đi ngược chiều bất cứ làn đường nào của đường cao tốc có thể đi được.</v>
      </c>
      <c r="H458" t="str">
        <f>SUBSTITUTE(B460,CHAR(34),CHAR(92)&amp;CHAR(34))</f>
        <v xml:space="preserve"> Chỉ được đi ngược chiều trên làn dừng xe khẩn cấp.</v>
      </c>
      <c r="I458" t="str">
        <f>SUBSTITUTE(IF(LEFT(A461,3)="Câu","",B461),CHAR(34),CHAR(92)&amp;CHAR(34))</f>
        <v>Chỉ được đi ngược chiều trên làn đường sát dải phân cách của đường cao tốc.</v>
      </c>
      <c r="J458" t="str">
        <f>SUBSTITUTE(IF(OR(LEFT(A462,3)="Câu",I458=""),"",IF(B462=0,"",B462)),CHAR(34),CHAR(92)&amp;CHAR(34))</f>
        <v/>
      </c>
      <c r="K458" t="str">
        <f ca="1">SUBSTITUTE(SUBSTITUTE(SUBSTITUTE(SUBSTITUTE(IFERROR(VLOOKUP("Câu "&amp;D458&amp;".",dapan!$E:$J,6,0),""),"1","A"),"2","B"),"3","C"),"4","D")</f>
        <v>B</v>
      </c>
      <c r="P458">
        <f t="shared" si="28"/>
        <v>112</v>
      </c>
      <c r="Q458" t="str">
        <f t="shared" ca="1" si="29"/>
        <v>{"num":112,"id":112,"q":"Khi tham gia giao thông trên đường cao tốc, xe ưu tiên đi làm nhiệm vụ khẩn cấp được đi ngược chiều trong trường hợp nào dưới đây?","opts":{"A":"Được đi ngược chiều bất cứ làn đường nào của đường cao tốc có thể đi được.","B":" Chỉ được đi ngược chiều trên làn dừng xe khẩn cấp.","C":"Chỉ được đi ngược chiều trên làn đường sát dải phân cách của đường cao tốc."},"answer":"B"},</v>
      </c>
    </row>
    <row r="459" spans="1:17" hidden="1" x14ac:dyDescent="0.25">
      <c r="A459">
        <v>1</v>
      </c>
      <c r="B459" t="s">
        <v>414</v>
      </c>
      <c r="C459">
        <f>IFERROR(COUNTIFS($A$1:A459,"Câu "&amp;"*")-MID(A459,5,FIND(".",A459,1)-5),0)</f>
        <v>0</v>
      </c>
      <c r="D459" t="str">
        <f t="shared" si="27"/>
        <v/>
      </c>
      <c r="E459" t="str">
        <f>SUBSTITUTE(IF(LEFT(A459,3)="Câu",MID(A459,FIND(".",A459,1)+2,LEN(A459)),""),CHAR(34),CHAR(92)&amp;CHAR(34))</f>
        <v/>
      </c>
      <c r="G459" t="str">
        <f>SUBSTITUTE(B460,CHAR(34),CHAR(92)&amp;CHAR(34))</f>
        <v xml:space="preserve"> Chỉ được đi ngược chiều trên làn dừng xe khẩn cấp.</v>
      </c>
      <c r="H459" t="str">
        <f>SUBSTITUTE(B461,CHAR(34),CHAR(92)&amp;CHAR(34))</f>
        <v>Chỉ được đi ngược chiều trên làn đường sát dải phân cách của đường cao tốc.</v>
      </c>
      <c r="I459" t="str">
        <f>SUBSTITUTE(IF(LEFT(A462,3)="Câu","",B462),CHAR(34),CHAR(92)&amp;CHAR(34))</f>
        <v/>
      </c>
      <c r="J459" t="str">
        <f>SUBSTITUTE(IF(OR(LEFT(A463,3)="Câu",I459=""),"",IF(B463=0,"",B463)),CHAR(34),CHAR(92)&amp;CHAR(34))</f>
        <v/>
      </c>
      <c r="K459" t="str">
        <f>SUBSTITUTE(SUBSTITUTE(SUBSTITUTE(SUBSTITUTE(IFERROR(VLOOKUP("Câu "&amp;D459&amp;".",dapan!$E:$J,6,0),""),"1","A"),"2","B"),"3","C"),"4","D")</f>
        <v/>
      </c>
      <c r="P459" t="str">
        <f t="shared" si="28"/>
        <v/>
      </c>
      <c r="Q459" t="str">
        <f t="shared" si="29"/>
        <v/>
      </c>
    </row>
    <row r="460" spans="1:17" hidden="1" x14ac:dyDescent="0.25">
      <c r="A460">
        <v>2</v>
      </c>
      <c r="B460" t="s">
        <v>415</v>
      </c>
      <c r="C460">
        <f>IFERROR(COUNTIFS($A$1:A460,"Câu "&amp;"*")-MID(A460,5,FIND(".",A460,1)-5),0)</f>
        <v>0</v>
      </c>
      <c r="D460" t="str">
        <f t="shared" si="27"/>
        <v/>
      </c>
      <c r="E460" t="str">
        <f>SUBSTITUTE(IF(LEFT(A460,3)="Câu",MID(A460,FIND(".",A460,1)+2,LEN(A460)),""),CHAR(34),CHAR(92)&amp;CHAR(34))</f>
        <v/>
      </c>
      <c r="G460" t="str">
        <f>SUBSTITUTE(B461,CHAR(34),CHAR(92)&amp;CHAR(34))</f>
        <v>Chỉ được đi ngược chiều trên làn đường sát dải phân cách của đường cao tốc.</v>
      </c>
      <c r="H460" t="str">
        <f>SUBSTITUTE(B462,CHAR(34),CHAR(92)&amp;CHAR(34))</f>
        <v/>
      </c>
      <c r="I460" t="str">
        <f>SUBSTITUTE(IF(LEFT(A463,3)="Câu","",B463),CHAR(34),CHAR(92)&amp;CHAR(34))</f>
        <v>Dừng, đỗ xe trên phần đường xe chạy, trừ trường hợp xe không thể di chuyển được vào làn đường khẩn cấp.</v>
      </c>
      <c r="J460" t="str">
        <f>SUBSTITUTE(IF(OR(LEFT(A464,3)="Câu",I460=""),"",IF(B464=0,"",B464)),CHAR(34),CHAR(92)&amp;CHAR(34))</f>
        <v>Lùi xe, quay đầu xe.</v>
      </c>
      <c r="K460" t="str">
        <f>SUBSTITUTE(SUBSTITUTE(SUBSTITUTE(SUBSTITUTE(IFERROR(VLOOKUP("Câu "&amp;D460&amp;".",dapan!$E:$J,6,0),""),"1","A"),"2","B"),"3","C"),"4","D")</f>
        <v/>
      </c>
      <c r="P460" t="str">
        <f t="shared" si="28"/>
        <v/>
      </c>
      <c r="Q460" t="str">
        <f t="shared" si="29"/>
        <v/>
      </c>
    </row>
    <row r="461" spans="1:17" hidden="1" x14ac:dyDescent="0.25">
      <c r="A461">
        <v>3</v>
      </c>
      <c r="B461" t="s">
        <v>416</v>
      </c>
      <c r="C461">
        <f>IFERROR(COUNTIFS($A$1:A461,"Câu "&amp;"*")-MID(A461,5,FIND(".",A461,1)-5),0)</f>
        <v>0</v>
      </c>
      <c r="D461" t="str">
        <f t="shared" si="27"/>
        <v/>
      </c>
      <c r="E461" t="str">
        <f>SUBSTITUTE(IF(LEFT(A461,3)="Câu",MID(A461,FIND(".",A461,1)+2,LEN(A461)),""),CHAR(34),CHAR(92)&amp;CHAR(34))</f>
        <v/>
      </c>
      <c r="G461" t="str">
        <f>SUBSTITUTE(B462,CHAR(34),CHAR(92)&amp;CHAR(34))</f>
        <v/>
      </c>
      <c r="H461" t="str">
        <f>SUBSTITUTE(B463,CHAR(34),CHAR(92)&amp;CHAR(34))</f>
        <v>Dừng, đỗ xe trên phần đường xe chạy, trừ trường hợp xe không thể di chuyển được vào làn đường khẩn cấp.</v>
      </c>
      <c r="I461" t="str">
        <f>SUBSTITUTE(IF(LEFT(A464,3)="Câu","",B464),CHAR(34),CHAR(92)&amp;CHAR(34))</f>
        <v>Lùi xe, quay đầu xe.</v>
      </c>
      <c r="J461" t="str">
        <f>SUBSTITUTE(IF(OR(LEFT(A465,3)="Câu",I461=""),"",IF(B465=0,"",B465)),CHAR(34),CHAR(92)&amp;CHAR(34))</f>
        <v xml:space="preserve"> Cả hai ý trên.</v>
      </c>
      <c r="K461" t="str">
        <f>SUBSTITUTE(SUBSTITUTE(SUBSTITUTE(SUBSTITUTE(IFERROR(VLOOKUP("Câu "&amp;D461&amp;".",dapan!$E:$J,6,0),""),"1","A"),"2","B"),"3","C"),"4","D")</f>
        <v/>
      </c>
      <c r="P461" t="str">
        <f t="shared" si="28"/>
        <v/>
      </c>
      <c r="Q461" t="str">
        <f t="shared" si="29"/>
        <v/>
      </c>
    </row>
    <row r="462" spans="1:17" x14ac:dyDescent="0.25">
      <c r="A462" t="s">
        <v>417</v>
      </c>
      <c r="C462">
        <f>IFERROR(COUNTIFS($A$1:A462,"Câu "&amp;"*")-MID(A462,5,FIND(".",A462,1)-5),0)</f>
        <v>0</v>
      </c>
      <c r="D462">
        <f t="shared" si="27"/>
        <v>113</v>
      </c>
      <c r="E462" t="str">
        <f>SUBSTITUTE(IF(LEFT(A462,3)="Câu",MID(A462,FIND(".",A462,1)+2,LEN(A462)),""),CHAR(34),CHAR(92)&amp;CHAR(34))</f>
        <v>Khi tham gia giao thông trên đường cao tốc, người lái xe không được thực hiện hành vi nào sau đây?</v>
      </c>
      <c r="G462" t="str">
        <f>SUBSTITUTE(B463,CHAR(34),CHAR(92)&amp;CHAR(34))</f>
        <v>Dừng, đỗ xe trên phần đường xe chạy, trừ trường hợp xe không thể di chuyển được vào làn đường khẩn cấp.</v>
      </c>
      <c r="H462" t="str">
        <f>SUBSTITUTE(B464,CHAR(34),CHAR(92)&amp;CHAR(34))</f>
        <v>Lùi xe, quay đầu xe.</v>
      </c>
      <c r="I462" t="str">
        <f>SUBSTITUTE(IF(LEFT(A465,3)="Câu","",B465),CHAR(34),CHAR(92)&amp;CHAR(34))</f>
        <v xml:space="preserve"> Cả hai ý trên.</v>
      </c>
      <c r="J462" t="str">
        <f>SUBSTITUTE(IF(OR(LEFT(A466,3)="Câu",I462=""),"",IF(B466=0,"",B466)),CHAR(34),CHAR(92)&amp;CHAR(34))</f>
        <v/>
      </c>
      <c r="K462" t="str">
        <f ca="1">SUBSTITUTE(SUBSTITUTE(SUBSTITUTE(SUBSTITUTE(IFERROR(VLOOKUP("Câu "&amp;D462&amp;".",dapan!$E:$J,6,0),""),"1","A"),"2","B"),"3","C"),"4","D")</f>
        <v>C</v>
      </c>
      <c r="P462">
        <f t="shared" si="28"/>
        <v>113</v>
      </c>
      <c r="Q462" t="str">
        <f t="shared" ca="1" si="29"/>
        <v>{"num":113,"id":113,"q":"Khi tham gia giao thông trên đường cao tốc, người lái xe không được thực hiện hành vi nào sau đây?","opts":{"A":"Dừng, đỗ xe trên phần đường xe chạy, trừ trường hợp xe không thể di chuyển được vào làn đường khẩn cấp.","B":"Lùi xe, quay đầu xe.","C":" Cả hai ý trên."},"answer":"C"},</v>
      </c>
    </row>
    <row r="463" spans="1:17" hidden="1" x14ac:dyDescent="0.25">
      <c r="A463">
        <v>1</v>
      </c>
      <c r="B463" t="s">
        <v>418</v>
      </c>
      <c r="C463">
        <f>IFERROR(COUNTIFS($A$1:A463,"Câu "&amp;"*")-MID(A463,5,FIND(".",A463,1)-5),0)</f>
        <v>0</v>
      </c>
      <c r="D463" t="str">
        <f t="shared" si="27"/>
        <v/>
      </c>
      <c r="E463" t="str">
        <f>SUBSTITUTE(IF(LEFT(A463,3)="Câu",MID(A463,FIND(".",A463,1)+2,LEN(A463)),""),CHAR(34),CHAR(92)&amp;CHAR(34))</f>
        <v/>
      </c>
      <c r="G463" t="str">
        <f>SUBSTITUTE(B464,CHAR(34),CHAR(92)&amp;CHAR(34))</f>
        <v>Lùi xe, quay đầu xe.</v>
      </c>
      <c r="H463" t="str">
        <f>SUBSTITUTE(B465,CHAR(34),CHAR(92)&amp;CHAR(34))</f>
        <v xml:space="preserve"> Cả hai ý trên.</v>
      </c>
      <c r="I463" t="str">
        <f>SUBSTITUTE(IF(LEFT(A466,3)="Câu","",B466),CHAR(34),CHAR(92)&amp;CHAR(34))</f>
        <v/>
      </c>
      <c r="J463" t="str">
        <f>SUBSTITUTE(IF(OR(LEFT(A467,3)="Câu",I463=""),"",IF(B467=0,"",B467)),CHAR(34),CHAR(92)&amp;CHAR(34))</f>
        <v/>
      </c>
      <c r="K463" t="str">
        <f>SUBSTITUTE(SUBSTITUTE(SUBSTITUTE(SUBSTITUTE(IFERROR(VLOOKUP("Câu "&amp;D463&amp;".",dapan!$E:$J,6,0),""),"1","A"),"2","B"),"3","C"),"4","D")</f>
        <v/>
      </c>
      <c r="P463" t="str">
        <f t="shared" si="28"/>
        <v/>
      </c>
      <c r="Q463" t="str">
        <f t="shared" si="29"/>
        <v/>
      </c>
    </row>
    <row r="464" spans="1:17" hidden="1" x14ac:dyDescent="0.25">
      <c r="A464">
        <v>2</v>
      </c>
      <c r="B464" t="s">
        <v>419</v>
      </c>
      <c r="C464">
        <f>IFERROR(COUNTIFS($A$1:A464,"Câu "&amp;"*")-MID(A464,5,FIND(".",A464,1)-5),0)</f>
        <v>0</v>
      </c>
      <c r="D464" t="str">
        <f t="shared" si="27"/>
        <v/>
      </c>
      <c r="E464" t="str">
        <f>SUBSTITUTE(IF(LEFT(A464,3)="Câu",MID(A464,FIND(".",A464,1)+2,LEN(A464)),""),CHAR(34),CHAR(92)&amp;CHAR(34))</f>
        <v/>
      </c>
      <c r="G464" t="str">
        <f>SUBSTITUTE(B465,CHAR(34),CHAR(92)&amp;CHAR(34))</f>
        <v xml:space="preserve"> Cả hai ý trên.</v>
      </c>
      <c r="H464" t="str">
        <f>SUBSTITUTE(B466,CHAR(34),CHAR(92)&amp;CHAR(34))</f>
        <v/>
      </c>
      <c r="I464" t="str">
        <f>SUBSTITUTE(IF(LEFT(A467,3)="Câu","",B467),CHAR(34),CHAR(92)&amp;CHAR(34))</f>
        <v>Bật đèn tín hiệu khẩn cấp, dừng xe ngay lập tức và đặt biển báo hiệu nguy hiểm để cảnh báo cho các xe khác.</v>
      </c>
      <c r="J464" t="str">
        <f>SUBSTITUTE(IF(OR(LEFT(A468,3)="Câu",I464=""),"",IF(B468=0,"",B468)),CHAR(34),CHAR(92)&amp;CHAR(34))</f>
        <v>Bật tín hiệu khẩn cấp, lập tức đưa xe vào làn đường xe chạy bên phải trong cùng, đặt biển báo hiệu nguy hiểm để cảnh báo cho các xe khác.</v>
      </c>
      <c r="K464" t="str">
        <f>SUBSTITUTE(SUBSTITUTE(SUBSTITUTE(SUBSTITUTE(IFERROR(VLOOKUP("Câu "&amp;D464&amp;".",dapan!$E:$J,6,0),""),"1","A"),"2","B"),"3","C"),"4","D")</f>
        <v/>
      </c>
      <c r="P464" t="str">
        <f t="shared" si="28"/>
        <v/>
      </c>
      <c r="Q464" t="str">
        <f t="shared" si="29"/>
        <v/>
      </c>
    </row>
    <row r="465" spans="1:17" hidden="1" x14ac:dyDescent="0.25">
      <c r="A465">
        <v>3</v>
      </c>
      <c r="B465" t="s">
        <v>32</v>
      </c>
      <c r="C465">
        <f>IFERROR(COUNTIFS($A$1:A465,"Câu "&amp;"*")-MID(A465,5,FIND(".",A465,1)-5),0)</f>
        <v>0</v>
      </c>
      <c r="D465" t="str">
        <f t="shared" si="27"/>
        <v/>
      </c>
      <c r="E465" t="str">
        <f>SUBSTITUTE(IF(LEFT(A465,3)="Câu",MID(A465,FIND(".",A465,1)+2,LEN(A465)),""),CHAR(34),CHAR(92)&amp;CHAR(34))</f>
        <v/>
      </c>
      <c r="G465" t="str">
        <f>SUBSTITUTE(B466,CHAR(34),CHAR(92)&amp;CHAR(34))</f>
        <v/>
      </c>
      <c r="H465" t="str">
        <f>SUBSTITUTE(B467,CHAR(34),CHAR(92)&amp;CHAR(34))</f>
        <v>Bật đèn tín hiệu khẩn cấp, dừng xe ngay lập tức và đặt biển báo hiệu nguy hiểm để cảnh báo cho các xe khác.</v>
      </c>
      <c r="I465" t="str">
        <f>SUBSTITUTE(IF(LEFT(A468,3)="Câu","",B468),CHAR(34),CHAR(92)&amp;CHAR(34))</f>
        <v>Bật tín hiệu khẩn cấp, lập tức đưa xe vào làn đường xe chạy bên phải trong cùng, đặt biển báo hiệu nguy hiểm để cảnh báo cho các xe khác.</v>
      </c>
      <c r="J465" t="str">
        <f>SUBSTITUTE(IF(OR(LEFT(A469,3)="Câu",I465=""),"",IF(B469=0,"",B469)),CHAR(34),CHAR(92)&amp;CHAR(34))</f>
        <v xml:space="preserve">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v>
      </c>
      <c r="K465" t="str">
        <f>SUBSTITUTE(SUBSTITUTE(SUBSTITUTE(SUBSTITUTE(IFERROR(VLOOKUP("Câu "&amp;D465&amp;".",dapan!$E:$J,6,0),""),"1","A"),"2","B"),"3","C"),"4","D")</f>
        <v/>
      </c>
      <c r="P465" t="str">
        <f t="shared" si="28"/>
        <v/>
      </c>
      <c r="Q465" t="str">
        <f t="shared" si="29"/>
        <v/>
      </c>
    </row>
    <row r="466" spans="1:17" x14ac:dyDescent="0.25">
      <c r="A466" t="s">
        <v>420</v>
      </c>
      <c r="C466">
        <f>IFERROR(COUNTIFS($A$1:A466,"Câu "&amp;"*")-MID(A466,5,FIND(".",A466,1)-5),0)</f>
        <v>0</v>
      </c>
      <c r="D466">
        <f t="shared" si="27"/>
        <v>114</v>
      </c>
      <c r="E466" t="str">
        <f>SUBSTITUTE(IF(LEFT(A466,3)="Câu",MID(A466,FIND(".",A466,1)+2,LEN(A466)),""),CHAR(34),CHAR(92)&amp;CHAR(34))</f>
        <v>Khi xe gặp sự cố kỹ thuật trên đường cao tốc, bạn phải xử lý như thế nào để bảo đảm an toàn giao thông?</v>
      </c>
      <c r="G466" t="str">
        <f>SUBSTITUTE(B467,CHAR(34),CHAR(92)&amp;CHAR(34))</f>
        <v>Bật đèn tín hiệu khẩn cấp, dừng xe ngay lập tức và đặt biển báo hiệu nguy hiểm để cảnh báo cho các xe khác.</v>
      </c>
      <c r="H466" t="str">
        <f>SUBSTITUTE(B468,CHAR(34),CHAR(92)&amp;CHAR(34))</f>
        <v>Bật tín hiệu khẩn cấp, lập tức đưa xe vào làn đường xe chạy bên phải trong cùng, đặt biển báo hiệu nguy hiểm để cảnh báo cho các xe khác.</v>
      </c>
      <c r="I466" t="str">
        <f>SUBSTITUTE(IF(LEFT(A469,3)="Câu","",B469),CHAR(34),CHAR(92)&amp;CHAR(34))</f>
        <v xml:space="preserve">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v>
      </c>
      <c r="J466" t="str">
        <f>SUBSTITUTE(IF(OR(LEFT(A470,3)="Câu",I466=""),"",IF(B470=0,"",B470)),CHAR(34),CHAR(92)&amp;CHAR(34))</f>
        <v/>
      </c>
      <c r="K466" t="str">
        <f ca="1">SUBSTITUTE(SUBSTITUTE(SUBSTITUTE(SUBSTITUTE(IFERROR(VLOOKUP("Câu "&amp;D466&amp;".",dapan!$E:$J,6,0),""),"1","A"),"2","B"),"3","C"),"4","D")</f>
        <v>C</v>
      </c>
      <c r="P466">
        <f t="shared" si="28"/>
        <v>114</v>
      </c>
      <c r="Q466" t="str">
        <f t="shared" ca="1" si="29"/>
        <v>{"num":114,"id":114,"q":"Khi xe gặp sự cố kỹ thuật trên đường cao tốc, bạn phải xử lý như thế nào để bảo đảm an toàn giao thông?","opts":{"A":"Bật đèn tín hiệu khẩn cấp, dừng xe ngay lập tức và đặt biển báo hiệu nguy hiểm để cảnh báo cho các xe khác.","B":"Bật tín hiệu khẩn cấp, lập tức đưa xe vào làn đường xe chạy bên phải trong cùng, đặt biển báo hiệu nguy hiểm để cảnh báo cho các xe khác.","C":"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tốc."},"answer":"C"},</v>
      </c>
    </row>
    <row r="467" spans="1:17" hidden="1" x14ac:dyDescent="0.25">
      <c r="A467">
        <v>1</v>
      </c>
      <c r="B467" t="s">
        <v>421</v>
      </c>
      <c r="C467">
        <f>IFERROR(COUNTIFS($A$1:A467,"Câu "&amp;"*")-MID(A467,5,FIND(".",A467,1)-5),0)</f>
        <v>0</v>
      </c>
      <c r="D467" t="str">
        <f t="shared" si="27"/>
        <v/>
      </c>
      <c r="E467" t="str">
        <f>SUBSTITUTE(IF(LEFT(A467,3)="Câu",MID(A467,FIND(".",A467,1)+2,LEN(A467)),""),CHAR(34),CHAR(92)&amp;CHAR(34))</f>
        <v/>
      </c>
      <c r="G467" t="str">
        <f>SUBSTITUTE(B468,CHAR(34),CHAR(92)&amp;CHAR(34))</f>
        <v>Bật tín hiệu khẩn cấp, lập tức đưa xe vào làn đường xe chạy bên phải trong cùng, đặt biển báo hiệu nguy hiểm để cảnh báo cho các xe khác.</v>
      </c>
      <c r="H467" t="str">
        <f>SUBSTITUTE(B469,CHAR(34),CHAR(92)&amp;CHAR(34))</f>
        <v xml:space="preserve">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v>
      </c>
      <c r="I467" t="str">
        <f>SUBSTITUTE(IF(LEFT(A470,3)="Câu","",B470),CHAR(34),CHAR(92)&amp;CHAR(34))</f>
        <v/>
      </c>
      <c r="J467" t="str">
        <f>SUBSTITUTE(IF(OR(LEFT(A471,3)="Câu",I467=""),"",IF(B471=0,"",B471)),CHAR(34),CHAR(92)&amp;CHAR(34))</f>
        <v/>
      </c>
      <c r="K467" t="str">
        <f>SUBSTITUTE(SUBSTITUTE(SUBSTITUTE(SUBSTITUTE(IFERROR(VLOOKUP("Câu "&amp;D467&amp;".",dapan!$E:$J,6,0),""),"1","A"),"2","B"),"3","C"),"4","D")</f>
        <v/>
      </c>
      <c r="P467" t="str">
        <f t="shared" si="28"/>
        <v/>
      </c>
      <c r="Q467" t="str">
        <f t="shared" si="29"/>
        <v/>
      </c>
    </row>
    <row r="468" spans="1:17" hidden="1" x14ac:dyDescent="0.25">
      <c r="A468">
        <v>2</v>
      </c>
      <c r="B468" t="s">
        <v>422</v>
      </c>
      <c r="C468">
        <f>IFERROR(COUNTIFS($A$1:A468,"Câu "&amp;"*")-MID(A468,5,FIND(".",A468,1)-5),0)</f>
        <v>0</v>
      </c>
      <c r="D468" t="str">
        <f t="shared" si="27"/>
        <v/>
      </c>
      <c r="E468" t="str">
        <f>SUBSTITUTE(IF(LEFT(A468,3)="Câu",MID(A468,FIND(".",A468,1)+2,LEN(A468)),""),CHAR(34),CHAR(92)&amp;CHAR(34))</f>
        <v/>
      </c>
      <c r="G468" t="str">
        <f>SUBSTITUTE(B469,CHAR(34),CHAR(92)&amp;CHAR(34))</f>
        <v xml:space="preserve"> Dừng xe, đỗ xe ở làn dừng khẩn cấp cùng chiều xe chạy và phải có báo hiệu bằng đèn khẩn cấp; trường hợp xe không thể di chuyển được vào làn dừng khẩn cấp, phải có báo hiệu bằng đèn khẩn cấp và đặt biển hoặc đèn cảnh báo về phía sau xe khoảng cách tối thiểu 150 mét, nhanh chóng báo cho cơ quan Cảnh sát giao thông thực hiện nhiệm vụ bảo đảm trật tự, an toàn giao thông trên tuyến hoặc cơ quan quản lý đường cao tốc.</v>
      </c>
      <c r="H468" t="str">
        <f>SUBSTITUTE(B470,CHAR(34),CHAR(92)&amp;CHAR(34))</f>
        <v/>
      </c>
      <c r="I468" t="str">
        <f>SUBSTITUTE(IF(LEFT(A471,3)="Câu","",B471),CHAR(34),CHAR(92)&amp;CHAR(34))</f>
        <v>Quay đầu xe, chạy trên lề đường có lối ra và rẽ khỏi đường cao tốc.</v>
      </c>
      <c r="J468" t="str">
        <f>SUBSTITUTE(IF(OR(LEFT(A472,3)="Câu",I468=""),"",IF(B472=0,"",B472)),CHAR(34),CHAR(92)&amp;CHAR(34))</f>
        <v>Lùi xe trên lề đường có lối ra và rẽ khỏi đường cao tốc.</v>
      </c>
      <c r="K468" t="str">
        <f>SUBSTITUTE(SUBSTITUTE(SUBSTITUTE(SUBSTITUTE(IFERROR(VLOOKUP("Câu "&amp;D468&amp;".",dapan!$E:$J,6,0),""),"1","A"),"2","B"),"3","C"),"4","D")</f>
        <v/>
      </c>
      <c r="P468" t="str">
        <f t="shared" si="28"/>
        <v/>
      </c>
      <c r="Q468" t="str">
        <f t="shared" si="29"/>
        <v/>
      </c>
    </row>
    <row r="469" spans="1:17" hidden="1" x14ac:dyDescent="0.25">
      <c r="A469">
        <v>3</v>
      </c>
      <c r="B469" t="s">
        <v>423</v>
      </c>
      <c r="C469">
        <f>IFERROR(COUNTIFS($A$1:A469,"Câu "&amp;"*")-MID(A469,5,FIND(".",A469,1)-5),0)</f>
        <v>0</v>
      </c>
      <c r="D469" t="str">
        <f t="shared" si="27"/>
        <v/>
      </c>
      <c r="E469" t="str">
        <f>SUBSTITUTE(IF(LEFT(A469,3)="Câu",MID(A469,FIND(".",A469,1)+2,LEN(A469)),""),CHAR(34),CHAR(92)&amp;CHAR(34))</f>
        <v/>
      </c>
      <c r="G469" t="str">
        <f>SUBSTITUTE(B470,CHAR(34),CHAR(92)&amp;CHAR(34))</f>
        <v/>
      </c>
      <c r="H469" t="str">
        <f>SUBSTITUTE(B471,CHAR(34),CHAR(92)&amp;CHAR(34))</f>
        <v>Quay đầu xe, chạy trên lề đường có lối ra và rẽ khỏi đường cao tốc.</v>
      </c>
      <c r="I469" t="str">
        <f>SUBSTITUTE(IF(LEFT(A472,3)="Câu","",B472),CHAR(34),CHAR(92)&amp;CHAR(34))</f>
        <v>Lùi xe trên lề đường có lối ra và rẽ khỏi đường cao tốc.</v>
      </c>
      <c r="J469" t="str">
        <f>SUBSTITUTE(IF(OR(LEFT(A473,3)="Câu",I469=""),"",IF(B473=0,"",B473)),CHAR(34),CHAR(92)&amp;CHAR(34))</f>
        <v xml:space="preserve"> Tiếp tục lái xe và rẽ ở lối ra tiếp theo.</v>
      </c>
      <c r="K469" t="str">
        <f>SUBSTITUTE(SUBSTITUTE(SUBSTITUTE(SUBSTITUTE(IFERROR(VLOOKUP("Câu "&amp;D469&amp;".",dapan!$E:$J,6,0),""),"1","A"),"2","B"),"3","C"),"4","D")</f>
        <v/>
      </c>
      <c r="P469" t="str">
        <f t="shared" si="28"/>
        <v/>
      </c>
      <c r="Q469" t="str">
        <f t="shared" si="29"/>
        <v/>
      </c>
    </row>
    <row r="470" spans="1:17" x14ac:dyDescent="0.25">
      <c r="A470" t="s">
        <v>424</v>
      </c>
      <c r="C470">
        <f>IFERROR(COUNTIFS($A$1:A470,"Câu "&amp;"*")-MID(A470,5,FIND(".",A470,1)-5),0)</f>
        <v>0</v>
      </c>
      <c r="D470">
        <f t="shared" si="27"/>
        <v>115</v>
      </c>
      <c r="E470" t="str">
        <f>SUBSTITUTE(IF(LEFT(A470,3)="Câu",MID(A470,FIND(".",A470,1)+2,LEN(A470)),""),CHAR(34),CHAR(92)&amp;CHAR(34))</f>
        <v>Trên đường cao tốc, người lái xe xử lý như thế nào khi đã vượt quá lối ra của đường định rẽ?</v>
      </c>
      <c r="G470" t="str">
        <f>SUBSTITUTE(B471,CHAR(34),CHAR(92)&amp;CHAR(34))</f>
        <v>Quay đầu xe, chạy trên lề đường có lối ra và rẽ khỏi đường cao tốc.</v>
      </c>
      <c r="H470" t="str">
        <f>SUBSTITUTE(B472,CHAR(34),CHAR(92)&amp;CHAR(34))</f>
        <v>Lùi xe trên lề đường có lối ra và rẽ khỏi đường cao tốc.</v>
      </c>
      <c r="I470" t="str">
        <f>SUBSTITUTE(IF(LEFT(A473,3)="Câu","",B473),CHAR(34),CHAR(92)&amp;CHAR(34))</f>
        <v xml:space="preserve"> Tiếp tục lái xe và rẽ ở lối ra tiếp theo.</v>
      </c>
      <c r="J470" t="str">
        <f>SUBSTITUTE(IF(OR(LEFT(A474,3)="Câu",I470=""),"",IF(B474=0,"",B474)),CHAR(34),CHAR(92)&amp;CHAR(34))</f>
        <v/>
      </c>
      <c r="K470" t="str">
        <f ca="1">SUBSTITUTE(SUBSTITUTE(SUBSTITUTE(SUBSTITUTE(IFERROR(VLOOKUP("Câu "&amp;D470&amp;".",dapan!$E:$J,6,0),""),"1","A"),"2","B"),"3","C"),"4","D")</f>
        <v>C</v>
      </c>
      <c r="P470">
        <f t="shared" si="28"/>
        <v>115</v>
      </c>
      <c r="Q470" t="str">
        <f t="shared" ca="1" si="29"/>
        <v>{"num":115,"id":115,"q":"Trên đường cao tốc, người lái xe xử lý như thế nào khi đã vượt quá lối ra của đường định rẽ?","opts":{"A":"Quay đầu xe, chạy trên lề đường có lối ra và rẽ khỏi đường cao tốc.","B":"Lùi xe trên lề đường có lối ra và rẽ khỏi đường cao tốc.","C":" Tiếp tục lái xe và rẽ ở lối ra tiếp theo."},"answer":"C"},</v>
      </c>
    </row>
    <row r="471" spans="1:17" hidden="1" x14ac:dyDescent="0.25">
      <c r="A471">
        <v>1</v>
      </c>
      <c r="B471" t="s">
        <v>425</v>
      </c>
      <c r="C471">
        <f>IFERROR(COUNTIFS($A$1:A471,"Câu "&amp;"*")-MID(A471,5,FIND(".",A471,1)-5),0)</f>
        <v>0</v>
      </c>
      <c r="D471" t="str">
        <f t="shared" si="27"/>
        <v/>
      </c>
      <c r="E471" t="str">
        <f>SUBSTITUTE(IF(LEFT(A471,3)="Câu",MID(A471,FIND(".",A471,1)+2,LEN(A471)),""),CHAR(34),CHAR(92)&amp;CHAR(34))</f>
        <v/>
      </c>
      <c r="G471" t="str">
        <f>SUBSTITUTE(B472,CHAR(34),CHAR(92)&amp;CHAR(34))</f>
        <v>Lùi xe trên lề đường có lối ra và rẽ khỏi đường cao tốc.</v>
      </c>
      <c r="H471" t="str">
        <f>SUBSTITUTE(B473,CHAR(34),CHAR(92)&amp;CHAR(34))</f>
        <v xml:space="preserve"> Tiếp tục lái xe và rẽ ở lối ra tiếp theo.</v>
      </c>
      <c r="I471" t="str">
        <f>SUBSTITUTE(IF(LEFT(A474,3)="Câu","",B474),CHAR(34),CHAR(92)&amp;CHAR(34))</f>
        <v/>
      </c>
      <c r="J471" t="str">
        <f>SUBSTITUTE(IF(OR(LEFT(A475,3)="Câu",I471=""),"",IF(B475=0,"",B475)),CHAR(34),CHAR(92)&amp;CHAR(34))</f>
        <v/>
      </c>
      <c r="K471" t="str">
        <f>SUBSTITUTE(SUBSTITUTE(SUBSTITUTE(SUBSTITUTE(IFERROR(VLOOKUP("Câu "&amp;D471&amp;".",dapan!$E:$J,6,0),""),"1","A"),"2","B"),"3","C"),"4","D")</f>
        <v/>
      </c>
      <c r="P471" t="str">
        <f t="shared" si="28"/>
        <v/>
      </c>
      <c r="Q471" t="str">
        <f t="shared" si="29"/>
        <v/>
      </c>
    </row>
    <row r="472" spans="1:17" hidden="1" x14ac:dyDescent="0.25">
      <c r="A472">
        <v>2</v>
      </c>
      <c r="B472" t="s">
        <v>426</v>
      </c>
      <c r="C472">
        <f>IFERROR(COUNTIFS($A$1:A472,"Câu "&amp;"*")-MID(A472,5,FIND(".",A472,1)-5),0)</f>
        <v>0</v>
      </c>
      <c r="D472" t="str">
        <f t="shared" si="27"/>
        <v/>
      </c>
      <c r="E472" t="str">
        <f>SUBSTITUTE(IF(LEFT(A472,3)="Câu",MID(A472,FIND(".",A472,1)+2,LEN(A472)),""),CHAR(34),CHAR(92)&amp;CHAR(34))</f>
        <v/>
      </c>
      <c r="G472" t="str">
        <f>SUBSTITUTE(B473,CHAR(34),CHAR(92)&amp;CHAR(34))</f>
        <v xml:space="preserve"> Tiếp tục lái xe và rẽ ở lối ra tiếp theo.</v>
      </c>
      <c r="H472" t="str">
        <f>SUBSTITUTE(B474,CHAR(34),CHAR(92)&amp;CHAR(34))</f>
        <v/>
      </c>
      <c r="I472" t="str">
        <f>SUBSTITUTE(IF(LEFT(A475,3)="Câu","",B475),CHAR(34),CHAR(92)&amp;CHAR(34))</f>
        <v>Có.</v>
      </c>
      <c r="J472" t="str">
        <f>SUBSTITUTE(IF(OR(LEFT(A476,3)="Câu",I472=""),"",IF(B476=0,"",B476)),CHAR(34),CHAR(92)&amp;CHAR(34))</f>
        <v xml:space="preserve"> Không.</v>
      </c>
      <c r="K472" t="str">
        <f>SUBSTITUTE(SUBSTITUTE(SUBSTITUTE(SUBSTITUTE(IFERROR(VLOOKUP("Câu "&amp;D472&amp;".",dapan!$E:$J,6,0),""),"1","A"),"2","B"),"3","C"),"4","D")</f>
        <v/>
      </c>
      <c r="P472" t="str">
        <f t="shared" si="28"/>
        <v/>
      </c>
      <c r="Q472" t="str">
        <f t="shared" si="29"/>
        <v/>
      </c>
    </row>
    <row r="473" spans="1:17" hidden="1" x14ac:dyDescent="0.25">
      <c r="A473">
        <v>3</v>
      </c>
      <c r="B473" t="s">
        <v>427</v>
      </c>
      <c r="C473">
        <f>IFERROR(COUNTIFS($A$1:A473,"Câu "&amp;"*")-MID(A473,5,FIND(".",A473,1)-5),0)</f>
        <v>0</v>
      </c>
      <c r="D473" t="str">
        <f t="shared" ref="D473:D536" si="30">IF(LEFT(A473,3)="Câu",VALUE(MID(A473,5,FIND(".",A473,1)-5)),"")</f>
        <v/>
      </c>
      <c r="E473" t="str">
        <f>SUBSTITUTE(IF(LEFT(A473,3)="Câu",MID(A473,FIND(".",A473,1)+2,LEN(A473)),""),CHAR(34),CHAR(92)&amp;CHAR(34))</f>
        <v/>
      </c>
      <c r="G473" t="str">
        <f>SUBSTITUTE(B474,CHAR(34),CHAR(92)&amp;CHAR(34))</f>
        <v/>
      </c>
      <c r="H473" t="str">
        <f>SUBSTITUTE(B475,CHAR(34),CHAR(92)&amp;CHAR(34))</f>
        <v>Có.</v>
      </c>
      <c r="I473" t="str">
        <f>SUBSTITUTE(IF(LEFT(A476,3)="Câu","",B476),CHAR(34),CHAR(92)&amp;CHAR(34))</f>
        <v xml:space="preserve"> Không.</v>
      </c>
      <c r="J473" t="str">
        <f>SUBSTITUTE(IF(OR(LEFT(A477,3)="Câu",I473=""),"",IF(B477=0,"",B477)),CHAR(34),CHAR(92)&amp;CHAR(34))</f>
        <v/>
      </c>
      <c r="K473" t="str">
        <f>SUBSTITUTE(SUBSTITUTE(SUBSTITUTE(SUBSTITUTE(IFERROR(VLOOKUP("Câu "&amp;D473&amp;".",dapan!$E:$J,6,0),""),"1","A"),"2","B"),"3","C"),"4","D")</f>
        <v/>
      </c>
      <c r="P473" t="str">
        <f t="shared" si="28"/>
        <v/>
      </c>
      <c r="Q473" t="str">
        <f t="shared" si="29"/>
        <v/>
      </c>
    </row>
    <row r="474" spans="1:17" x14ac:dyDescent="0.25">
      <c r="A474" t="s">
        <v>428</v>
      </c>
      <c r="C474">
        <f>IFERROR(COUNTIFS($A$1:A474,"Câu "&amp;"*")-MID(A474,5,FIND(".",A474,1)-5),0)</f>
        <v>0</v>
      </c>
      <c r="D474">
        <f t="shared" si="30"/>
        <v>116</v>
      </c>
      <c r="E474" t="str">
        <f>SUBSTITUTE(IF(LEFT(A474,3)="Câu",MID(A474,FIND(".",A474,1)+2,LEN(A474)),""),CHAR(34),CHAR(92)&amp;CHAR(34))</f>
        <v>Khi xảy ra ùn tắc trên đường cao tốc có làn dừng xe khẩn cấp, người lái xe có được cho xe chạy ở làn dừng xe khẩn cấp để nhanh chóng thoát khỏi khu vực ùn tắc không (trừ xe ưu tiên)?</v>
      </c>
      <c r="G474" t="str">
        <f>SUBSTITUTE(B475,CHAR(34),CHAR(92)&amp;CHAR(34))</f>
        <v>Có.</v>
      </c>
      <c r="H474" t="str">
        <f>SUBSTITUTE(B476,CHAR(34),CHAR(92)&amp;CHAR(34))</f>
        <v xml:space="preserve"> Không.</v>
      </c>
      <c r="I474" t="str">
        <f>SUBSTITUTE(IF(LEFT(A477,3)="Câu","",B477),CHAR(34),CHAR(92)&amp;CHAR(34))</f>
        <v/>
      </c>
      <c r="J474" t="str">
        <f>SUBSTITUTE(IF(OR(LEFT(A478,3)="Câu",I474=""),"",IF(B478=0,"",B478)),CHAR(34),CHAR(92)&amp;CHAR(34))</f>
        <v/>
      </c>
      <c r="K474" t="str">
        <f ca="1">SUBSTITUTE(SUBSTITUTE(SUBSTITUTE(SUBSTITUTE(IFERROR(VLOOKUP("Câu "&amp;D474&amp;".",dapan!$E:$J,6,0),""),"1","A"),"2","B"),"3","C"),"4","D")</f>
        <v>B</v>
      </c>
      <c r="P474">
        <f t="shared" si="28"/>
        <v>116</v>
      </c>
      <c r="Q474" t="str">
        <f t="shared" ca="1" si="29"/>
        <v>{"num":116,"id":116,"q":"Khi xảy ra ùn tắc trên đường cao tốc có làn dừng xe khẩn cấp, người lái xe có được cho xe chạy ở làn dừng xe khẩn cấp để nhanh chóng thoát khỏi khu vực ùn tắc không (trừ xe ưu tiên)?","opts":{"A":"Có.","B":" Không."},"answer":"B"},</v>
      </c>
    </row>
    <row r="475" spans="1:17" hidden="1" x14ac:dyDescent="0.25">
      <c r="A475">
        <v>1</v>
      </c>
      <c r="B475" t="s">
        <v>429</v>
      </c>
      <c r="C475">
        <f>IFERROR(COUNTIFS($A$1:A475,"Câu "&amp;"*")-MID(A475,5,FIND(".",A475,1)-5),0)</f>
        <v>0</v>
      </c>
      <c r="D475" t="str">
        <f t="shared" si="30"/>
        <v/>
      </c>
      <c r="E475" t="str">
        <f>SUBSTITUTE(IF(LEFT(A475,3)="Câu",MID(A475,FIND(".",A475,1)+2,LEN(A475)),""),CHAR(34),CHAR(92)&amp;CHAR(34))</f>
        <v/>
      </c>
      <c r="G475" t="str">
        <f>SUBSTITUTE(B476,CHAR(34),CHAR(92)&amp;CHAR(34))</f>
        <v xml:space="preserve"> Không.</v>
      </c>
      <c r="H475" t="str">
        <f>SUBSTITUTE(B477,CHAR(34),CHAR(92)&amp;CHAR(34))</f>
        <v/>
      </c>
      <c r="I475" t="str">
        <f>SUBSTITUTE(IF(LEFT(A478,3)="Câu","",B478),CHAR(34),CHAR(92)&amp;CHAR(34))</f>
        <v>Có tín hiệu xin vào và phải nhường đường cho xe đang chạy trên đường.</v>
      </c>
      <c r="J475" t="str">
        <f>SUBSTITUTE(IF(OR(LEFT(A479,3)="Câu",I475=""),"",IF(B479=0,"",B479)),CHAR(34),CHAR(92)&amp;CHAR(34))</f>
        <v>Quan sát xe phía sau bảo đảm khoảng cách an toàn mới cho xe nhập vào làn đường sát bên phải.</v>
      </c>
      <c r="K475" t="str">
        <f>SUBSTITUTE(SUBSTITUTE(SUBSTITUTE(SUBSTITUTE(IFERROR(VLOOKUP("Câu "&amp;D475&amp;".",dapan!$E:$J,6,0),""),"1","A"),"2","B"),"3","C"),"4","D")</f>
        <v/>
      </c>
      <c r="P475" t="str">
        <f t="shared" si="28"/>
        <v/>
      </c>
      <c r="Q475" t="str">
        <f t="shared" si="29"/>
        <v/>
      </c>
    </row>
    <row r="476" spans="1:17" hidden="1" x14ac:dyDescent="0.25">
      <c r="A476">
        <v>2</v>
      </c>
      <c r="B476" t="s">
        <v>430</v>
      </c>
      <c r="C476">
        <f>IFERROR(COUNTIFS($A$1:A476,"Câu "&amp;"*")-MID(A476,5,FIND(".",A476,1)-5),0)</f>
        <v>0</v>
      </c>
      <c r="D476" t="str">
        <f t="shared" si="30"/>
        <v/>
      </c>
      <c r="E476" t="str">
        <f>SUBSTITUTE(IF(LEFT(A476,3)="Câu",MID(A476,FIND(".",A476,1)+2,LEN(A476)),""),CHAR(34),CHAR(92)&amp;CHAR(34))</f>
        <v/>
      </c>
      <c r="G476" t="str">
        <f>SUBSTITUTE(B477,CHAR(34),CHAR(92)&amp;CHAR(34))</f>
        <v/>
      </c>
      <c r="H476" t="str">
        <f>SUBSTITUTE(B478,CHAR(34),CHAR(92)&amp;CHAR(34))</f>
        <v>Có tín hiệu xin vào và phải nhường đường cho xe đang chạy trên đường.</v>
      </c>
      <c r="I476" t="str">
        <f>SUBSTITUTE(IF(LEFT(A479,3)="Câu","",B479),CHAR(34),CHAR(92)&amp;CHAR(34))</f>
        <v>Quan sát xe phía sau bảo đảm khoảng cách an toàn mới cho xe nhập vào làn đường sát bên phải.</v>
      </c>
      <c r="J476" t="str">
        <f>SUBSTITUTE(IF(OR(LEFT(A480,3)="Câu",I476=""),"",IF(B480=0,"",B480)),CHAR(34),CHAR(92)&amp;CHAR(34))</f>
        <v>Nếu có làn đường tăng tốc thì phải cho xe chạy trên làn đường đó trước khi nhập vào làn đường của đường cao tốc.</v>
      </c>
      <c r="K476" t="str">
        <f>SUBSTITUTE(SUBSTITUTE(SUBSTITUTE(SUBSTITUTE(IFERROR(VLOOKUP("Câu "&amp;D476&amp;".",dapan!$E:$J,6,0),""),"1","A"),"2","B"),"3","C"),"4","D")</f>
        <v/>
      </c>
      <c r="P476" t="str">
        <f t="shared" si="28"/>
        <v/>
      </c>
      <c r="Q476" t="str">
        <f t="shared" si="29"/>
        <v/>
      </c>
    </row>
    <row r="477" spans="1:17" x14ac:dyDescent="0.25">
      <c r="A477" t="s">
        <v>431</v>
      </c>
      <c r="C477">
        <f>IFERROR(COUNTIFS($A$1:A477,"Câu "&amp;"*")-MID(A477,5,FIND(".",A477,1)-5),0)</f>
        <v>0</v>
      </c>
      <c r="D477">
        <f t="shared" si="30"/>
        <v>117</v>
      </c>
      <c r="E477" t="str">
        <f>SUBSTITUTE(IF(LEFT(A477,3)="Câu",MID(A477,FIND(".",A477,1)+2,LEN(A477)),""),CHAR(34),CHAR(92)&amp;CHAR(34))</f>
        <v>Khi chuẩn bị nhập vào làn đường của đường cao tốc, người lái xe, người điều khiển xe máy chuyên dùng phải thực hiện như thế nào là đúng quy tắc giao thông?</v>
      </c>
      <c r="G477" t="str">
        <f>SUBSTITUTE(B478,CHAR(34),CHAR(92)&amp;CHAR(34))</f>
        <v>Có tín hiệu xin vào và phải nhường đường cho xe đang chạy trên đường.</v>
      </c>
      <c r="H477" t="str">
        <f>SUBSTITUTE(B479,CHAR(34),CHAR(92)&amp;CHAR(34))</f>
        <v>Quan sát xe phía sau bảo đảm khoảng cách an toàn mới cho xe nhập vào làn đường sát bên phải.</v>
      </c>
      <c r="I477" t="str">
        <f>SUBSTITUTE(IF(LEFT(A480,3)="Câu","",B480),CHAR(34),CHAR(92)&amp;CHAR(34))</f>
        <v>Nếu có làn đường tăng tốc thì phải cho xe chạy trên làn đường đó trước khi nhập vào làn đường của đường cao tốc.</v>
      </c>
      <c r="J477" t="str">
        <f>SUBSTITUTE(IF(OR(LEFT(A481,3)="Câu",I477=""),"",IF(B481=0,"",B481)),CHAR(34),CHAR(92)&amp;CHAR(34))</f>
        <v xml:space="preserve"> Cả ba ý trên.</v>
      </c>
      <c r="K477" t="str">
        <f ca="1">SUBSTITUTE(SUBSTITUTE(SUBSTITUTE(SUBSTITUTE(IFERROR(VLOOKUP("Câu "&amp;D477&amp;".",dapan!$E:$J,6,0),""),"1","A"),"2","B"),"3","C"),"4","D")</f>
        <v>D</v>
      </c>
      <c r="P477">
        <f t="shared" si="28"/>
        <v>117</v>
      </c>
      <c r="Q477" t="str">
        <f t="shared" ca="1" si="29"/>
        <v>{"num":117,"id":117,"q":"Khi chuẩn bị nhập vào làn đường của đường cao tốc, người lái xe, người điều khiển xe máy chuyên dùng phải thực hiện như thế nào là đúng quy tắc giao thông?","opts":{"A":"Có tín hiệu xin vào và phải nhường đường cho xe đang chạy trên đường.","B":"Quan sát xe phía sau bảo đảm khoảng cách an toàn mới cho xe nhập vào làn đường sát bên phải.","C":"Nếu có làn đường tăng tốc thì phải cho xe chạy trên làn đường đó trước khi nhập vào làn đường của đường cao tốc.","D":" Cả ba ý trên."},"answer":"D"},</v>
      </c>
    </row>
    <row r="478" spans="1:17" hidden="1" x14ac:dyDescent="0.25">
      <c r="A478">
        <v>1</v>
      </c>
      <c r="B478" t="s">
        <v>432</v>
      </c>
      <c r="C478">
        <f>IFERROR(COUNTIFS($A$1:A478,"Câu "&amp;"*")-MID(A478,5,FIND(".",A478,1)-5),0)</f>
        <v>0</v>
      </c>
      <c r="D478" t="str">
        <f t="shared" si="30"/>
        <v/>
      </c>
      <c r="E478" t="str">
        <f>SUBSTITUTE(IF(LEFT(A478,3)="Câu",MID(A478,FIND(".",A478,1)+2,LEN(A478)),""),CHAR(34),CHAR(92)&amp;CHAR(34))</f>
        <v/>
      </c>
      <c r="G478" t="str">
        <f>SUBSTITUTE(B479,CHAR(34),CHAR(92)&amp;CHAR(34))</f>
        <v>Quan sát xe phía sau bảo đảm khoảng cách an toàn mới cho xe nhập vào làn đường sát bên phải.</v>
      </c>
      <c r="H478" t="str">
        <f>SUBSTITUTE(B480,CHAR(34),CHAR(92)&amp;CHAR(34))</f>
        <v>Nếu có làn đường tăng tốc thì phải cho xe chạy trên làn đường đó trước khi nhập vào làn đường của đường cao tốc.</v>
      </c>
      <c r="I478" t="str">
        <f>SUBSTITUTE(IF(LEFT(A481,3)="Câu","",B481),CHAR(34),CHAR(92)&amp;CHAR(34))</f>
        <v xml:space="preserve"> Cả ba ý trên.</v>
      </c>
      <c r="J478" t="str">
        <f>SUBSTITUTE(IF(OR(LEFT(A482,3)="Câu",I478=""),"",IF(B482=0,"",B482)),CHAR(34),CHAR(92)&amp;CHAR(34))</f>
        <v/>
      </c>
      <c r="K478" t="str">
        <f>SUBSTITUTE(SUBSTITUTE(SUBSTITUTE(SUBSTITUTE(IFERROR(VLOOKUP("Câu "&amp;D478&amp;".",dapan!$E:$J,6,0),""),"1","A"),"2","B"),"3","C"),"4","D")</f>
        <v/>
      </c>
      <c r="P478" t="str">
        <f t="shared" si="28"/>
        <v/>
      </c>
      <c r="Q478" t="str">
        <f t="shared" si="29"/>
        <v/>
      </c>
    </row>
    <row r="479" spans="1:17" hidden="1" x14ac:dyDescent="0.25">
      <c r="A479">
        <v>2</v>
      </c>
      <c r="B479" t="s">
        <v>433</v>
      </c>
      <c r="C479">
        <f>IFERROR(COUNTIFS($A$1:A479,"Câu "&amp;"*")-MID(A479,5,FIND(".",A479,1)-5),0)</f>
        <v>0</v>
      </c>
      <c r="D479" t="str">
        <f t="shared" si="30"/>
        <v/>
      </c>
      <c r="E479" t="str">
        <f>SUBSTITUTE(IF(LEFT(A479,3)="Câu",MID(A479,FIND(".",A479,1)+2,LEN(A479)),""),CHAR(34),CHAR(92)&amp;CHAR(34))</f>
        <v/>
      </c>
      <c r="G479" t="str">
        <f>SUBSTITUTE(B480,CHAR(34),CHAR(92)&amp;CHAR(34))</f>
        <v>Nếu có làn đường tăng tốc thì phải cho xe chạy trên làn đường đó trước khi nhập vào làn đường của đường cao tốc.</v>
      </c>
      <c r="H479" t="str">
        <f>SUBSTITUTE(B481,CHAR(34),CHAR(92)&amp;CHAR(34))</f>
        <v xml:space="preserve"> Cả ba ý trên.</v>
      </c>
      <c r="I479" t="str">
        <f>SUBSTITUTE(IF(LEFT(A482,3)="Câu","",B482),CHAR(34),CHAR(92)&amp;CHAR(34))</f>
        <v/>
      </c>
      <c r="J479" t="str">
        <f>SUBSTITUTE(IF(OR(LEFT(A483,3)="Câu",I479=""),"",IF(B483=0,"",B483)),CHAR(34),CHAR(92)&amp;CHAR(34))</f>
        <v/>
      </c>
      <c r="K479" t="str">
        <f>SUBSTITUTE(SUBSTITUTE(SUBSTITUTE(SUBSTITUTE(IFERROR(VLOOKUP("Câu "&amp;D479&amp;".",dapan!$E:$J,6,0),""),"1","A"),"2","B"),"3","C"),"4","D")</f>
        <v/>
      </c>
      <c r="P479" t="str">
        <f t="shared" si="28"/>
        <v/>
      </c>
      <c r="Q479" t="str">
        <f t="shared" si="29"/>
        <v/>
      </c>
    </row>
    <row r="480" spans="1:17" hidden="1" x14ac:dyDescent="0.25">
      <c r="A480">
        <v>3</v>
      </c>
      <c r="B480" t="s">
        <v>434</v>
      </c>
      <c r="C480">
        <f>IFERROR(COUNTIFS($A$1:A480,"Câu "&amp;"*")-MID(A480,5,FIND(".",A480,1)-5),0)</f>
        <v>0</v>
      </c>
      <c r="D480" t="str">
        <f t="shared" si="30"/>
        <v/>
      </c>
      <c r="E480" t="str">
        <f>SUBSTITUTE(IF(LEFT(A480,3)="Câu",MID(A480,FIND(".",A480,1)+2,LEN(A480)),""),CHAR(34),CHAR(92)&amp;CHAR(34))</f>
        <v/>
      </c>
      <c r="G480" t="str">
        <f>SUBSTITUTE(B481,CHAR(34),CHAR(92)&amp;CHAR(34))</f>
        <v xml:space="preserve"> Cả ba ý trên.</v>
      </c>
      <c r="H480" t="str">
        <f>SUBSTITUTE(B482,CHAR(34),CHAR(92)&amp;CHAR(34))</f>
        <v/>
      </c>
      <c r="I480" t="str">
        <f>SUBSTITUTE(IF(LEFT(A483,3)="Câu","",B483),CHAR(34),CHAR(92)&amp;CHAR(34))</f>
        <v xml:space="preserve"> 18 tuổi.</v>
      </c>
      <c r="J480" t="str">
        <f>SUBSTITUTE(IF(OR(LEFT(A484,3)="Câu",I480=""),"",IF(B484=0,"",B484)),CHAR(34),CHAR(92)&amp;CHAR(34))</f>
        <v>17 tuổi.</v>
      </c>
      <c r="K480" t="str">
        <f>SUBSTITUTE(SUBSTITUTE(SUBSTITUTE(SUBSTITUTE(IFERROR(VLOOKUP("Câu "&amp;D480&amp;".",dapan!$E:$J,6,0),""),"1","A"),"2","B"),"3","C"),"4","D")</f>
        <v/>
      </c>
      <c r="P480" t="str">
        <f t="shared" si="28"/>
        <v/>
      </c>
      <c r="Q480" t="str">
        <f t="shared" si="29"/>
        <v/>
      </c>
    </row>
    <row r="481" spans="1:17" hidden="1" x14ac:dyDescent="0.25">
      <c r="A481">
        <v>4</v>
      </c>
      <c r="B481" t="s">
        <v>89</v>
      </c>
      <c r="C481">
        <f>IFERROR(COUNTIFS($A$1:A481,"Câu "&amp;"*")-MID(A481,5,FIND(".",A481,1)-5),0)</f>
        <v>0</v>
      </c>
      <c r="D481" t="str">
        <f t="shared" si="30"/>
        <v/>
      </c>
      <c r="E481" t="str">
        <f>SUBSTITUTE(IF(LEFT(A481,3)="Câu",MID(A481,FIND(".",A481,1)+2,LEN(A481)),""),CHAR(34),CHAR(92)&amp;CHAR(34))</f>
        <v/>
      </c>
      <c r="G481" t="str">
        <f>SUBSTITUTE(B482,CHAR(34),CHAR(92)&amp;CHAR(34))</f>
        <v/>
      </c>
      <c r="H481" t="str">
        <f>SUBSTITUTE(B483,CHAR(34),CHAR(92)&amp;CHAR(34))</f>
        <v xml:space="preserve"> 18 tuổi.</v>
      </c>
      <c r="I481" t="str">
        <f>SUBSTITUTE(IF(LEFT(A484,3)="Câu","",B484),CHAR(34),CHAR(92)&amp;CHAR(34))</f>
        <v>17 tuổi.</v>
      </c>
      <c r="J481" t="str">
        <f>SUBSTITUTE(IF(OR(LEFT(A485,3)="Câu",I481=""),"",IF(B485=0,"",B485)),CHAR(34),CHAR(92)&amp;CHAR(34))</f>
        <v>16 tuổi.</v>
      </c>
      <c r="K481" t="str">
        <f>SUBSTITUTE(SUBSTITUTE(SUBSTITUTE(SUBSTITUTE(IFERROR(VLOOKUP("Câu "&amp;D481&amp;".",dapan!$E:$J,6,0),""),"1","A"),"2","B"),"3","C"),"4","D")</f>
        <v/>
      </c>
      <c r="P481" t="str">
        <f t="shared" si="28"/>
        <v/>
      </c>
      <c r="Q481" t="str">
        <f t="shared" si="29"/>
        <v/>
      </c>
    </row>
    <row r="482" spans="1:17" x14ac:dyDescent="0.25">
      <c r="A482" t="s">
        <v>435</v>
      </c>
      <c r="C482">
        <f>IFERROR(COUNTIFS($A$1:A482,"Câu "&amp;"*")-MID(A482,5,FIND(".",A482,1)-5),0)</f>
        <v>0</v>
      </c>
      <c r="D482">
        <f t="shared" si="30"/>
        <v>118</v>
      </c>
      <c r="E482" t="str">
        <f>SUBSTITUTE(IF(LEFT(A482,3)="Câu",MID(A482,FIND(".",A482,1)+2,LEN(A482)),""),CHAR(34),CHAR(92)&amp;CHAR(34))</f>
        <v>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v>
      </c>
      <c r="G482" t="str">
        <f>SUBSTITUTE(B483,CHAR(34),CHAR(92)&amp;CHAR(34))</f>
        <v xml:space="preserve"> 18 tuổi.</v>
      </c>
      <c r="H482" t="str">
        <f>SUBSTITUTE(B484,CHAR(34),CHAR(92)&amp;CHAR(34))</f>
        <v>17 tuổi.</v>
      </c>
      <c r="I482" t="str">
        <f>SUBSTITUTE(IF(LEFT(A485,3)="Câu","",B485),CHAR(34),CHAR(92)&amp;CHAR(34))</f>
        <v>16 tuổi.</v>
      </c>
      <c r="J482" t="str">
        <f>SUBSTITUTE(IF(OR(LEFT(A486,3)="Câu",I482=""),"",IF(B486=0,"",B486)),CHAR(34),CHAR(92)&amp;CHAR(34))</f>
        <v/>
      </c>
      <c r="K482" t="str">
        <f ca="1">SUBSTITUTE(SUBSTITUTE(SUBSTITUTE(SUBSTITUTE(IFERROR(VLOOKUP("Câu "&amp;D482&amp;".",dapan!$E:$J,6,0),""),"1","A"),"2","B"),"3","C"),"4","D")</f>
        <v>A</v>
      </c>
      <c r="P482">
        <f t="shared" si="28"/>
        <v>118</v>
      </c>
      <c r="Q482" t="str">
        <f t="shared" ca="1" si="29"/>
        <v>{"num":118,"id":118,"q":"Theo quy định về độ tuổi, người đủ bao nhiêu tuổi trở lên thì được cấp giấy phép lái xe ô tô tải và ô tô chuyên dùng có khối lượng toàn bộ theo thiết kế trên 3.500 kg đến 7.500 kg; các loại xe ô tô tải quy định cho giấy phép lái xe hạng C1 kéo rơ moóc có khối lượng toàn bộ theo thiết kế đến 750 kg?","opts":{"A":" 18 tuổi.","B":"17 tuổi.","C":"16 tuổi."},"answer":"A"},</v>
      </c>
    </row>
    <row r="483" spans="1:17" hidden="1" x14ac:dyDescent="0.25">
      <c r="A483">
        <v>1</v>
      </c>
      <c r="B483" t="s">
        <v>436</v>
      </c>
      <c r="C483">
        <f>IFERROR(COUNTIFS($A$1:A483,"Câu "&amp;"*")-MID(A483,5,FIND(".",A483,1)-5),0)</f>
        <v>0</v>
      </c>
      <c r="D483" t="str">
        <f t="shared" si="30"/>
        <v/>
      </c>
      <c r="E483" t="str">
        <f>SUBSTITUTE(IF(LEFT(A483,3)="Câu",MID(A483,FIND(".",A483,1)+2,LEN(A483)),""),CHAR(34),CHAR(92)&amp;CHAR(34))</f>
        <v/>
      </c>
      <c r="G483" t="str">
        <f>SUBSTITUTE(B484,CHAR(34),CHAR(92)&amp;CHAR(34))</f>
        <v>17 tuổi.</v>
      </c>
      <c r="H483" t="str">
        <f>SUBSTITUTE(B485,CHAR(34),CHAR(92)&amp;CHAR(34))</f>
        <v>16 tuổi.</v>
      </c>
      <c r="I483" t="str">
        <f>SUBSTITUTE(IF(LEFT(A486,3)="Câu","",B486),CHAR(34),CHAR(92)&amp;CHAR(34))</f>
        <v/>
      </c>
      <c r="J483" t="str">
        <f>SUBSTITUTE(IF(OR(LEFT(A487,3)="Câu",I483=""),"",IF(B487=0,"",B487)),CHAR(34),CHAR(92)&amp;CHAR(34))</f>
        <v/>
      </c>
      <c r="K483" t="str">
        <f>SUBSTITUTE(SUBSTITUTE(SUBSTITUTE(SUBSTITUTE(IFERROR(VLOOKUP("Câu "&amp;D483&amp;".",dapan!$E:$J,6,0),""),"1","A"),"2","B"),"3","C"),"4","D")</f>
        <v/>
      </c>
      <c r="P483" t="str">
        <f t="shared" si="28"/>
        <v/>
      </c>
      <c r="Q483" t="str">
        <f t="shared" si="29"/>
        <v/>
      </c>
    </row>
    <row r="484" spans="1:17" hidden="1" x14ac:dyDescent="0.25">
      <c r="A484">
        <v>2</v>
      </c>
      <c r="B484" t="s">
        <v>437</v>
      </c>
      <c r="C484">
        <f>IFERROR(COUNTIFS($A$1:A484,"Câu "&amp;"*")-MID(A484,5,FIND(".",A484,1)-5),0)</f>
        <v>0</v>
      </c>
      <c r="D484" t="str">
        <f t="shared" si="30"/>
        <v/>
      </c>
      <c r="E484" t="str">
        <f>SUBSTITUTE(IF(LEFT(A484,3)="Câu",MID(A484,FIND(".",A484,1)+2,LEN(A484)),""),CHAR(34),CHAR(92)&amp;CHAR(34))</f>
        <v/>
      </c>
      <c r="G484" t="str">
        <f>SUBSTITUTE(B485,CHAR(34),CHAR(92)&amp;CHAR(34))</f>
        <v>16 tuổi.</v>
      </c>
      <c r="H484" t="str">
        <f>SUBSTITUTE(B486,CHAR(34),CHAR(92)&amp;CHAR(34))</f>
        <v/>
      </c>
      <c r="I484" t="str">
        <f>SUBSTITUTE(IF(LEFT(A487,3)="Câu","",B487),CHAR(34),CHAR(92)&amp;CHAR(34))</f>
        <v>16 tuổi.</v>
      </c>
      <c r="J484" t="str">
        <f>SUBSTITUTE(IF(OR(LEFT(A488,3)="Câu",I484=""),"",IF(B488=0,"",B488)),CHAR(34),CHAR(92)&amp;CHAR(34))</f>
        <v>17 tuổi</v>
      </c>
      <c r="K484" t="str">
        <f>SUBSTITUTE(SUBSTITUTE(SUBSTITUTE(SUBSTITUTE(IFERROR(VLOOKUP("Câu "&amp;D484&amp;".",dapan!$E:$J,6,0),""),"1","A"),"2","B"),"3","C"),"4","D")</f>
        <v/>
      </c>
      <c r="P484" t="str">
        <f t="shared" si="28"/>
        <v/>
      </c>
      <c r="Q484" t="str">
        <f t="shared" si="29"/>
        <v/>
      </c>
    </row>
    <row r="485" spans="1:17" hidden="1" x14ac:dyDescent="0.25">
      <c r="A485">
        <v>3</v>
      </c>
      <c r="B485" t="s">
        <v>438</v>
      </c>
      <c r="C485">
        <f>IFERROR(COUNTIFS($A$1:A485,"Câu "&amp;"*")-MID(A485,5,FIND(".",A485,1)-5),0)</f>
        <v>0</v>
      </c>
      <c r="D485" t="str">
        <f t="shared" si="30"/>
        <v/>
      </c>
      <c r="E485" t="str">
        <f>SUBSTITUTE(IF(LEFT(A485,3)="Câu",MID(A485,FIND(".",A485,1)+2,LEN(A485)),""),CHAR(34),CHAR(92)&amp;CHAR(34))</f>
        <v/>
      </c>
      <c r="G485" t="str">
        <f>SUBSTITUTE(B486,CHAR(34),CHAR(92)&amp;CHAR(34))</f>
        <v/>
      </c>
      <c r="H485" t="str">
        <f>SUBSTITUTE(B487,CHAR(34),CHAR(92)&amp;CHAR(34))</f>
        <v>16 tuổi.</v>
      </c>
      <c r="I485" t="str">
        <f>SUBSTITUTE(IF(LEFT(A488,3)="Câu","",B488),CHAR(34),CHAR(92)&amp;CHAR(34))</f>
        <v>17 tuổi</v>
      </c>
      <c r="J485" t="str">
        <f>SUBSTITUTE(IF(OR(LEFT(A489,3)="Câu",I485=""),"",IF(B489=0,"",B489)),CHAR(34),CHAR(92)&amp;CHAR(34))</f>
        <v xml:space="preserve"> 18 tuổi.</v>
      </c>
      <c r="K485" t="str">
        <f>SUBSTITUTE(SUBSTITUTE(SUBSTITUTE(SUBSTITUTE(IFERROR(VLOOKUP("Câu "&amp;D485&amp;".",dapan!$E:$J,6,0),""),"1","A"),"2","B"),"3","C"),"4","D")</f>
        <v/>
      </c>
      <c r="P485" t="str">
        <f t="shared" si="28"/>
        <v/>
      </c>
      <c r="Q485" t="str">
        <f t="shared" si="29"/>
        <v/>
      </c>
    </row>
    <row r="486" spans="1:17" x14ac:dyDescent="0.25">
      <c r="A486" t="s">
        <v>439</v>
      </c>
      <c r="C486">
        <f>IFERROR(COUNTIFS($A$1:A486,"Câu "&amp;"*")-MID(A486,5,FIND(".",A486,1)-5),0)</f>
        <v>0</v>
      </c>
      <c r="D486">
        <f t="shared" si="30"/>
        <v>119</v>
      </c>
      <c r="E486" t="str">
        <f>SUBSTITUTE(IF(LEFT(A486,3)="Câu",MID(A486,FIND(".",A486,1)+2,LEN(A486)),""),CHAR(34),CHAR(92)&amp;CHAR(34))</f>
        <v>Theo quy định về độ tuổi, người đủ bao nhiêu tuổi trở lên thì được cấp giấy phép lái xe mô tô hai bánh có dung tích xi lanh đến 125 cm3 và xe ô tô chở người đến 8 chỗ (không kể chỗ của người lái xe); xe ô tô tải và ô tô chuyên dùng có khối lượng toàn bộ theo thiết kế đến 3.500 kg?</v>
      </c>
      <c r="G486" t="str">
        <f>SUBSTITUTE(B487,CHAR(34),CHAR(92)&amp;CHAR(34))</f>
        <v>16 tuổi.</v>
      </c>
      <c r="H486" t="str">
        <f>SUBSTITUTE(B488,CHAR(34),CHAR(92)&amp;CHAR(34))</f>
        <v>17 tuổi</v>
      </c>
      <c r="I486" t="str">
        <f>SUBSTITUTE(IF(LEFT(A489,3)="Câu","",B489),CHAR(34),CHAR(92)&amp;CHAR(34))</f>
        <v xml:space="preserve"> 18 tuổi.</v>
      </c>
      <c r="J486" t="str">
        <f>SUBSTITUTE(IF(OR(LEFT(A490,3)="Câu",I486=""),"",IF(B490=0,"",B490)),CHAR(34),CHAR(92)&amp;CHAR(34))</f>
        <v/>
      </c>
      <c r="K486" t="str">
        <f ca="1">SUBSTITUTE(SUBSTITUTE(SUBSTITUTE(SUBSTITUTE(IFERROR(VLOOKUP("Câu "&amp;D486&amp;".",dapan!$E:$J,6,0),""),"1","A"),"2","B"),"3","C"),"4","D")</f>
        <v>C</v>
      </c>
      <c r="P486">
        <f t="shared" si="28"/>
        <v>119</v>
      </c>
      <c r="Q486" t="str">
        <f t="shared" ca="1" si="29"/>
        <v>{"num":119,"id":119,"q":"Theo quy định về độ tuổi, người đủ bao nhiêu tuổi trở lên thì được cấp giấy phép lái xe mô tô hai bánh có dung tích xi lanh đến 125 cm3 và xe ô tô chở người đến 8 chỗ (không kể chỗ của người lái xe); xe ô tô tải và ô tô chuyên dùng có khối lượng toàn bộ theo thiết kế đến 3.500 kg?","opts":{"A":"16 tuổi.","B":"17 tuổi","C":" 18 tuổi."},"answer":"C"},</v>
      </c>
    </row>
    <row r="487" spans="1:17" hidden="1" x14ac:dyDescent="0.25">
      <c r="A487">
        <v>1</v>
      </c>
      <c r="B487" t="s">
        <v>438</v>
      </c>
      <c r="C487">
        <f>IFERROR(COUNTIFS($A$1:A487,"Câu "&amp;"*")-MID(A487,5,FIND(".",A487,1)-5),0)</f>
        <v>0</v>
      </c>
      <c r="D487" t="str">
        <f t="shared" si="30"/>
        <v/>
      </c>
      <c r="E487" t="str">
        <f>SUBSTITUTE(IF(LEFT(A487,3)="Câu",MID(A487,FIND(".",A487,1)+2,LEN(A487)),""),CHAR(34),CHAR(92)&amp;CHAR(34))</f>
        <v/>
      </c>
      <c r="G487" t="str">
        <f>SUBSTITUTE(B488,CHAR(34),CHAR(92)&amp;CHAR(34))</f>
        <v>17 tuổi</v>
      </c>
      <c r="H487" t="str">
        <f>SUBSTITUTE(B489,CHAR(34),CHAR(92)&amp;CHAR(34))</f>
        <v xml:space="preserve"> 18 tuổi.</v>
      </c>
      <c r="I487" t="str">
        <f>SUBSTITUTE(IF(LEFT(A490,3)="Câu","",B490),CHAR(34),CHAR(92)&amp;CHAR(34))</f>
        <v/>
      </c>
      <c r="J487" t="str">
        <f>SUBSTITUTE(IF(OR(LEFT(A491,3)="Câu",I487=""),"",IF(B491=0,"",B491)),CHAR(34),CHAR(92)&amp;CHAR(34))</f>
        <v/>
      </c>
      <c r="K487" t="str">
        <f>SUBSTITUTE(SUBSTITUTE(SUBSTITUTE(SUBSTITUTE(IFERROR(VLOOKUP("Câu "&amp;D487&amp;".",dapan!$E:$J,6,0),""),"1","A"),"2","B"),"3","C"),"4","D")</f>
        <v/>
      </c>
      <c r="P487" t="str">
        <f t="shared" si="28"/>
        <v/>
      </c>
      <c r="Q487" t="str">
        <f t="shared" si="29"/>
        <v/>
      </c>
    </row>
    <row r="488" spans="1:17" hidden="1" x14ac:dyDescent="0.25">
      <c r="A488">
        <v>2</v>
      </c>
      <c r="B488" t="s">
        <v>440</v>
      </c>
      <c r="C488">
        <f>IFERROR(COUNTIFS($A$1:A488,"Câu "&amp;"*")-MID(A488,5,FIND(".",A488,1)-5),0)</f>
        <v>0</v>
      </c>
      <c r="D488" t="str">
        <f t="shared" si="30"/>
        <v/>
      </c>
      <c r="E488" t="str">
        <f>SUBSTITUTE(IF(LEFT(A488,3)="Câu",MID(A488,FIND(".",A488,1)+2,LEN(A488)),""),CHAR(34),CHAR(92)&amp;CHAR(34))</f>
        <v/>
      </c>
      <c r="G488" t="str">
        <f>SUBSTITUTE(B489,CHAR(34),CHAR(92)&amp;CHAR(34))</f>
        <v xml:space="preserve"> 18 tuổi.</v>
      </c>
      <c r="H488" t="str">
        <f>SUBSTITUTE(B490,CHAR(34),CHAR(92)&amp;CHAR(34))</f>
        <v/>
      </c>
      <c r="I488" t="str">
        <f>SUBSTITUTE(IF(LEFT(A491,3)="Câu","",B491),CHAR(34),CHAR(92)&amp;CHAR(34))</f>
        <v>23 tuổi.</v>
      </c>
      <c r="J488" t="str">
        <f>SUBSTITUTE(IF(OR(LEFT(A492,3)="Câu",I488=""),"",IF(B492=0,"",B492)),CHAR(34),CHAR(92)&amp;CHAR(34))</f>
        <v>24 tuổi.</v>
      </c>
      <c r="K488" t="str">
        <f>SUBSTITUTE(SUBSTITUTE(SUBSTITUTE(SUBSTITUTE(IFERROR(VLOOKUP("Câu "&amp;D488&amp;".",dapan!$E:$J,6,0),""),"1","A"),"2","B"),"3","C"),"4","D")</f>
        <v/>
      </c>
      <c r="P488" t="str">
        <f t="shared" si="28"/>
        <v/>
      </c>
      <c r="Q488" t="str">
        <f t="shared" si="29"/>
        <v/>
      </c>
    </row>
    <row r="489" spans="1:17" hidden="1" x14ac:dyDescent="0.25">
      <c r="A489">
        <v>3</v>
      </c>
      <c r="B489" t="s">
        <v>436</v>
      </c>
      <c r="C489">
        <f>IFERROR(COUNTIFS($A$1:A489,"Câu "&amp;"*")-MID(A489,5,FIND(".",A489,1)-5),0)</f>
        <v>0</v>
      </c>
      <c r="D489" t="str">
        <f t="shared" si="30"/>
        <v/>
      </c>
      <c r="E489" t="str">
        <f>SUBSTITUTE(IF(LEFT(A489,3)="Câu",MID(A489,FIND(".",A489,1)+2,LEN(A489)),""),CHAR(34),CHAR(92)&amp;CHAR(34))</f>
        <v/>
      </c>
      <c r="G489" t="str">
        <f>SUBSTITUTE(B490,CHAR(34),CHAR(92)&amp;CHAR(34))</f>
        <v/>
      </c>
      <c r="H489" t="str">
        <f>SUBSTITUTE(B491,CHAR(34),CHAR(92)&amp;CHAR(34))</f>
        <v>23 tuổi.</v>
      </c>
      <c r="I489" t="str">
        <f>SUBSTITUTE(IF(LEFT(A492,3)="Câu","",B492),CHAR(34),CHAR(92)&amp;CHAR(34))</f>
        <v>24 tuổi.</v>
      </c>
      <c r="J489" t="str">
        <f>SUBSTITUTE(IF(OR(LEFT(A493,3)="Câu",I489=""),"",IF(B493=0,"",B493)),CHAR(34),CHAR(92)&amp;CHAR(34))</f>
        <v xml:space="preserve"> 27 tuổi.</v>
      </c>
      <c r="K489" t="str">
        <f>SUBSTITUTE(SUBSTITUTE(SUBSTITUTE(SUBSTITUTE(IFERROR(VLOOKUP("Câu "&amp;D489&amp;".",dapan!$E:$J,6,0),""),"1","A"),"2","B"),"3","C"),"4","D")</f>
        <v/>
      </c>
      <c r="P489" t="str">
        <f t="shared" si="28"/>
        <v/>
      </c>
      <c r="Q489" t="str">
        <f t="shared" si="29"/>
        <v/>
      </c>
    </row>
    <row r="490" spans="1:17" x14ac:dyDescent="0.25">
      <c r="A490" t="s">
        <v>441</v>
      </c>
      <c r="C490">
        <f>IFERROR(COUNTIFS($A$1:A490,"Câu "&amp;"*")-MID(A490,5,FIND(".",A490,1)-5),0)</f>
        <v>0</v>
      </c>
      <c r="D490">
        <f t="shared" si="30"/>
        <v>120</v>
      </c>
      <c r="E490" t="str">
        <f>SUBSTITUTE(IF(LEFT(A490,3)="Câu",MID(A490,FIND(".",A490,1)+2,LEN(A490)),""),CHAR(34),CHAR(92)&amp;CHAR(34))</f>
        <v>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v>
      </c>
      <c r="G490" t="str">
        <f>SUBSTITUTE(B491,CHAR(34),CHAR(92)&amp;CHAR(34))</f>
        <v>23 tuổi.</v>
      </c>
      <c r="H490" t="str">
        <f>SUBSTITUTE(B492,CHAR(34),CHAR(92)&amp;CHAR(34))</f>
        <v>24 tuổi.</v>
      </c>
      <c r="I490" t="str">
        <f>SUBSTITUTE(IF(LEFT(A493,3)="Câu","",B493),CHAR(34),CHAR(92)&amp;CHAR(34))</f>
        <v xml:space="preserve"> 27 tuổi.</v>
      </c>
      <c r="J490" t="str">
        <f>SUBSTITUTE(IF(OR(LEFT(A494,3)="Câu",I490=""),"",IF(B494=0,"",B494)),CHAR(34),CHAR(92)&amp;CHAR(34))</f>
        <v>30 tuổi.</v>
      </c>
      <c r="K490" t="str">
        <f ca="1">SUBSTITUTE(SUBSTITUTE(SUBSTITUTE(SUBSTITUTE(IFERROR(VLOOKUP("Câu "&amp;D490&amp;".",dapan!$E:$J,6,0),""),"1","A"),"2","B"),"3","C"),"4","D")</f>
        <v>C</v>
      </c>
      <c r="P490">
        <f t="shared" si="28"/>
        <v>120</v>
      </c>
      <c r="Q490" t="str">
        <f t="shared" ca="1" si="29"/>
        <v>{"num":120,"id":120,"q":"Theo quy định về độ tuổi, người lái 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 phải đủ bao nhiêu tuổi trở lên?","opts":{"A":"23 tuổi.","B":"24 tuổi.","C":" 27 tuổi.","D":"30 tuổi."},"answer":"C"},</v>
      </c>
    </row>
    <row r="491" spans="1:17" hidden="1" x14ac:dyDescent="0.25">
      <c r="A491">
        <v>1</v>
      </c>
      <c r="B491" t="s">
        <v>442</v>
      </c>
      <c r="C491">
        <f>IFERROR(COUNTIFS($A$1:A491,"Câu "&amp;"*")-MID(A491,5,FIND(".",A491,1)-5),0)</f>
        <v>0</v>
      </c>
      <c r="D491" t="str">
        <f t="shared" si="30"/>
        <v/>
      </c>
      <c r="E491" t="str">
        <f>SUBSTITUTE(IF(LEFT(A491,3)="Câu",MID(A491,FIND(".",A491,1)+2,LEN(A491)),""),CHAR(34),CHAR(92)&amp;CHAR(34))</f>
        <v/>
      </c>
      <c r="G491" t="str">
        <f>SUBSTITUTE(B492,CHAR(34),CHAR(92)&amp;CHAR(34))</f>
        <v>24 tuổi.</v>
      </c>
      <c r="H491" t="str">
        <f>SUBSTITUTE(B493,CHAR(34),CHAR(92)&amp;CHAR(34))</f>
        <v xml:space="preserve"> 27 tuổi.</v>
      </c>
      <c r="I491" t="str">
        <f>SUBSTITUTE(IF(LEFT(A494,3)="Câu","",B494),CHAR(34),CHAR(92)&amp;CHAR(34))</f>
        <v>30 tuổi.</v>
      </c>
      <c r="J491" t="str">
        <f>SUBSTITUTE(IF(OR(LEFT(A495,3)="Câu",I491=""),"",IF(B495=0,"",B495)),CHAR(34),CHAR(92)&amp;CHAR(34))</f>
        <v/>
      </c>
      <c r="K491" t="str">
        <f>SUBSTITUTE(SUBSTITUTE(SUBSTITUTE(SUBSTITUTE(IFERROR(VLOOKUP("Câu "&amp;D491&amp;".",dapan!$E:$J,6,0),""),"1","A"),"2","B"),"3","C"),"4","D")</f>
        <v/>
      </c>
      <c r="P491" t="str">
        <f t="shared" si="28"/>
        <v/>
      </c>
      <c r="Q491" t="str">
        <f t="shared" si="29"/>
        <v/>
      </c>
    </row>
    <row r="492" spans="1:17" hidden="1" x14ac:dyDescent="0.25">
      <c r="A492">
        <v>2</v>
      </c>
      <c r="B492" t="s">
        <v>443</v>
      </c>
      <c r="C492">
        <f>IFERROR(COUNTIFS($A$1:A492,"Câu "&amp;"*")-MID(A492,5,FIND(".",A492,1)-5),0)</f>
        <v>0</v>
      </c>
      <c r="D492" t="str">
        <f t="shared" si="30"/>
        <v/>
      </c>
      <c r="E492" t="str">
        <f>SUBSTITUTE(IF(LEFT(A492,3)="Câu",MID(A492,FIND(".",A492,1)+2,LEN(A492)),""),CHAR(34),CHAR(92)&amp;CHAR(34))</f>
        <v/>
      </c>
      <c r="G492" t="str">
        <f>SUBSTITUTE(B493,CHAR(34),CHAR(92)&amp;CHAR(34))</f>
        <v xml:space="preserve"> 27 tuổi.</v>
      </c>
      <c r="H492" t="str">
        <f>SUBSTITUTE(B494,CHAR(34),CHAR(92)&amp;CHAR(34))</f>
        <v>30 tuổi.</v>
      </c>
      <c r="I492" t="str">
        <f>SUBSTITUTE(IF(LEFT(A495,3)="Câu","",B495),CHAR(34),CHAR(92)&amp;CHAR(34))</f>
        <v/>
      </c>
      <c r="J492" t="str">
        <f>SUBSTITUTE(IF(OR(LEFT(A496,3)="Câu",I492=""),"",IF(B496=0,"",B496)),CHAR(34),CHAR(92)&amp;CHAR(34))</f>
        <v/>
      </c>
      <c r="K492" t="str">
        <f>SUBSTITUTE(SUBSTITUTE(SUBSTITUTE(SUBSTITUTE(IFERROR(VLOOKUP("Câu "&amp;D492&amp;".",dapan!$E:$J,6,0),""),"1","A"),"2","B"),"3","C"),"4","D")</f>
        <v/>
      </c>
      <c r="P492" t="str">
        <f t="shared" si="28"/>
        <v/>
      </c>
      <c r="Q492" t="str">
        <f t="shared" si="29"/>
        <v/>
      </c>
    </row>
    <row r="493" spans="1:17" hidden="1" x14ac:dyDescent="0.25">
      <c r="A493">
        <v>3</v>
      </c>
      <c r="B493" t="s">
        <v>444</v>
      </c>
      <c r="C493">
        <f>IFERROR(COUNTIFS($A$1:A493,"Câu "&amp;"*")-MID(A493,5,FIND(".",A493,1)-5),0)</f>
        <v>0</v>
      </c>
      <c r="D493" t="str">
        <f t="shared" si="30"/>
        <v/>
      </c>
      <c r="E493" t="str">
        <f>SUBSTITUTE(IF(LEFT(A493,3)="Câu",MID(A493,FIND(".",A493,1)+2,LEN(A493)),""),CHAR(34),CHAR(92)&amp;CHAR(34))</f>
        <v/>
      </c>
      <c r="G493" t="str">
        <f>SUBSTITUTE(B494,CHAR(34),CHAR(92)&amp;CHAR(34))</f>
        <v>30 tuổi.</v>
      </c>
      <c r="H493" t="str">
        <f>SUBSTITUTE(B495,CHAR(34),CHAR(92)&amp;CHAR(34))</f>
        <v/>
      </c>
      <c r="I493" t="str">
        <f>SUBSTITUTE(IF(LEFT(A496,3)="Câu","",B496),CHAR(34),CHAR(92)&amp;CHAR(34))</f>
        <v>Đủ 55 tuổi đối với nam và đủ 50 tuổi đối với nữ.</v>
      </c>
      <c r="J493" t="str">
        <f>SUBSTITUTE(IF(OR(LEFT(A497,3)="Câu",I493=""),"",IF(B497=0,"",B497)),CHAR(34),CHAR(92)&amp;CHAR(34))</f>
        <v>Đủ 55 tuổi đối với nam và nữ.</v>
      </c>
      <c r="K493" t="str">
        <f>SUBSTITUTE(SUBSTITUTE(SUBSTITUTE(SUBSTITUTE(IFERROR(VLOOKUP("Câu "&amp;D493&amp;".",dapan!$E:$J,6,0),""),"1","A"),"2","B"),"3","C"),"4","D")</f>
        <v/>
      </c>
      <c r="P493" t="str">
        <f t="shared" si="28"/>
        <v/>
      </c>
      <c r="Q493" t="str">
        <f t="shared" si="29"/>
        <v/>
      </c>
    </row>
    <row r="494" spans="1:17" hidden="1" x14ac:dyDescent="0.25">
      <c r="A494">
        <v>4</v>
      </c>
      <c r="B494" t="s">
        <v>445</v>
      </c>
      <c r="C494">
        <f>IFERROR(COUNTIFS($A$1:A494,"Câu "&amp;"*")-MID(A494,5,FIND(".",A494,1)-5),0)</f>
        <v>0</v>
      </c>
      <c r="D494" t="str">
        <f t="shared" si="30"/>
        <v/>
      </c>
      <c r="E494" t="str">
        <f>SUBSTITUTE(IF(LEFT(A494,3)="Câu",MID(A494,FIND(".",A494,1)+2,LEN(A494)),""),CHAR(34),CHAR(92)&amp;CHAR(34))</f>
        <v/>
      </c>
      <c r="G494" t="str">
        <f>SUBSTITUTE(B495,CHAR(34),CHAR(92)&amp;CHAR(34))</f>
        <v/>
      </c>
      <c r="H494" t="str">
        <f>SUBSTITUTE(B496,CHAR(34),CHAR(92)&amp;CHAR(34))</f>
        <v>Đủ 55 tuổi đối với nam và đủ 50 tuổi đối với nữ.</v>
      </c>
      <c r="I494" t="str">
        <f>SUBSTITUTE(IF(LEFT(A497,3)="Câu","",B497),CHAR(34),CHAR(92)&amp;CHAR(34))</f>
        <v>Đủ 55 tuổi đối với nam và nữ.</v>
      </c>
      <c r="J494" t="str">
        <f>SUBSTITUTE(IF(OR(LEFT(A498,3)="Câu",I494=""),"",IF(B498=0,"",B498)),CHAR(34),CHAR(92)&amp;CHAR(34))</f>
        <v xml:space="preserve"> Đủ 57 tuổi đối với nam và đủ 55 tuổi đối với nữ.</v>
      </c>
      <c r="K494" t="str">
        <f>SUBSTITUTE(SUBSTITUTE(SUBSTITUTE(SUBSTITUTE(IFERROR(VLOOKUP("Câu "&amp;D494&amp;".",dapan!$E:$J,6,0),""),"1","A"),"2","B"),"3","C"),"4","D")</f>
        <v/>
      </c>
      <c r="P494" t="str">
        <f t="shared" si="28"/>
        <v/>
      </c>
      <c r="Q494" t="str">
        <f t="shared" si="29"/>
        <v/>
      </c>
    </row>
    <row r="495" spans="1:17" x14ac:dyDescent="0.25">
      <c r="A495" t="s">
        <v>446</v>
      </c>
      <c r="C495">
        <f>IFERROR(COUNTIFS($A$1:A495,"Câu "&amp;"*")-MID(A495,5,FIND(".",A495,1)-5),0)</f>
        <v>0</v>
      </c>
      <c r="D495">
        <f t="shared" si="30"/>
        <v>121</v>
      </c>
      <c r="E495" t="str">
        <f>SUBSTITUTE(IF(LEFT(A495,3)="Câu",MID(A495,FIND(".",A495,1)+2,LEN(A495)),""),CHAR(34),CHAR(92)&amp;CHAR(34))</f>
        <v>Tuổi tối đa của người lái xe ô tô chở người (kể cả xe buýt) trên 29 chỗ (không kể chỗ của người lái xe), xe ô tô chở người giường nằm là bao nhiêu tuổi?</v>
      </c>
      <c r="G495" t="str">
        <f>SUBSTITUTE(B496,CHAR(34),CHAR(92)&amp;CHAR(34))</f>
        <v>Đủ 55 tuổi đối với nam và đủ 50 tuổi đối với nữ.</v>
      </c>
      <c r="H495" t="str">
        <f>SUBSTITUTE(B497,CHAR(34),CHAR(92)&amp;CHAR(34))</f>
        <v>Đủ 55 tuổi đối với nam và nữ.</v>
      </c>
      <c r="I495" t="str">
        <f>SUBSTITUTE(IF(LEFT(A498,3)="Câu","",B498),CHAR(34),CHAR(92)&amp;CHAR(34))</f>
        <v xml:space="preserve"> Đủ 57 tuổi đối với nam và đủ 55 tuổi đối với nữ.</v>
      </c>
      <c r="J495" t="str">
        <f>SUBSTITUTE(IF(OR(LEFT(A499,3)="Câu",I495=""),"",IF(B499=0,"",B499)),CHAR(34),CHAR(92)&amp;CHAR(34))</f>
        <v/>
      </c>
      <c r="K495" t="str">
        <f ca="1">SUBSTITUTE(SUBSTITUTE(SUBSTITUTE(SUBSTITUTE(IFERROR(VLOOKUP("Câu "&amp;D495&amp;".",dapan!$E:$J,6,0),""),"1","A"),"2","B"),"3","C"),"4","D")</f>
        <v>C</v>
      </c>
      <c r="P495">
        <f t="shared" si="28"/>
        <v>121</v>
      </c>
      <c r="Q495" t="str">
        <f t="shared" ca="1" si="29"/>
        <v>{"num":121,"id":121,"q":"Tuổi tối đa của người lái xe ô tô chở người (kể cả xe buýt) trên 29 chỗ (không kể chỗ của người lái xe), xe ô tô chở người giường nằm là bao nhiêu tuổi?","opts":{"A":"Đủ 55 tuổi đối với nam và đủ 50 tuổi đối với nữ.","B":"Đủ 55 tuổi đối với nam và nữ.","C":" Đủ 57 tuổi đối với nam và đủ 55 tuổi đối với nữ."},"answer":"C"},</v>
      </c>
    </row>
    <row r="496" spans="1:17" hidden="1" x14ac:dyDescent="0.25">
      <c r="A496">
        <v>1</v>
      </c>
      <c r="B496" t="s">
        <v>447</v>
      </c>
      <c r="C496">
        <f>IFERROR(COUNTIFS($A$1:A496,"Câu "&amp;"*")-MID(A496,5,FIND(".",A496,1)-5),0)</f>
        <v>0</v>
      </c>
      <c r="D496" t="str">
        <f t="shared" si="30"/>
        <v/>
      </c>
      <c r="E496" t="str">
        <f>SUBSTITUTE(IF(LEFT(A496,3)="Câu",MID(A496,FIND(".",A496,1)+2,LEN(A496)),""),CHAR(34),CHAR(92)&amp;CHAR(34))</f>
        <v/>
      </c>
      <c r="G496" t="str">
        <f>SUBSTITUTE(B497,CHAR(34),CHAR(92)&amp;CHAR(34))</f>
        <v>Đủ 55 tuổi đối với nam và nữ.</v>
      </c>
      <c r="H496" t="str">
        <f>SUBSTITUTE(B498,CHAR(34),CHAR(92)&amp;CHAR(34))</f>
        <v xml:space="preserve"> Đủ 57 tuổi đối với nam và đủ 55 tuổi đối với nữ.</v>
      </c>
      <c r="I496" t="str">
        <f>SUBSTITUTE(IF(LEFT(A499,3)="Câu","",B499),CHAR(34),CHAR(92)&amp;CHAR(34))</f>
        <v/>
      </c>
      <c r="J496" t="str">
        <f>SUBSTITUTE(IF(OR(LEFT(A500,3)="Câu",I496=""),"",IF(B500=0,"",B500)),CHAR(34),CHAR(92)&amp;CHAR(34))</f>
        <v/>
      </c>
      <c r="K496" t="str">
        <f>SUBSTITUTE(SUBSTITUTE(SUBSTITUTE(SUBSTITUTE(IFERROR(VLOOKUP("Câu "&amp;D496&amp;".",dapan!$E:$J,6,0),""),"1","A"),"2","B"),"3","C"),"4","D")</f>
        <v/>
      </c>
      <c r="P496" t="str">
        <f t="shared" si="28"/>
        <v/>
      </c>
      <c r="Q496" t="str">
        <f t="shared" si="29"/>
        <v/>
      </c>
    </row>
    <row r="497" spans="1:17" hidden="1" x14ac:dyDescent="0.25">
      <c r="A497">
        <v>2</v>
      </c>
      <c r="B497" t="s">
        <v>448</v>
      </c>
      <c r="C497">
        <f>IFERROR(COUNTIFS($A$1:A497,"Câu "&amp;"*")-MID(A497,5,FIND(".",A497,1)-5),0)</f>
        <v>0</v>
      </c>
      <c r="D497" t="str">
        <f t="shared" si="30"/>
        <v/>
      </c>
      <c r="E497" t="str">
        <f>SUBSTITUTE(IF(LEFT(A497,3)="Câu",MID(A497,FIND(".",A497,1)+2,LEN(A497)),""),CHAR(34),CHAR(92)&amp;CHAR(34))</f>
        <v/>
      </c>
      <c r="G497" t="str">
        <f>SUBSTITUTE(B498,CHAR(34),CHAR(92)&amp;CHAR(34))</f>
        <v xml:space="preserve"> Đủ 57 tuổi đối với nam và đủ 55 tuổi đối với nữ.</v>
      </c>
      <c r="H497" t="str">
        <f>SUBSTITUTE(B499,CHAR(34),CHAR(92)&amp;CHAR(34))</f>
        <v/>
      </c>
      <c r="I497" t="str">
        <f>SUBSTITUTE(IF(LEFT(A500,3)="Câu","",B500),CHAR(34),CHAR(92)&amp;CHAR(34))</f>
        <v>23 tuổi.</v>
      </c>
      <c r="J497" t="str">
        <f>SUBSTITUTE(IF(OR(LEFT(A501,3)="Câu",I497=""),"",IF(B501=0,"",B501)),CHAR(34),CHAR(92)&amp;CHAR(34))</f>
        <v xml:space="preserve"> 24 tuổi.</v>
      </c>
      <c r="K497" t="str">
        <f>SUBSTITUTE(SUBSTITUTE(SUBSTITUTE(SUBSTITUTE(IFERROR(VLOOKUP("Câu "&amp;D497&amp;".",dapan!$E:$J,6,0),""),"1","A"),"2","B"),"3","C"),"4","D")</f>
        <v/>
      </c>
      <c r="P497" t="str">
        <f t="shared" si="28"/>
        <v/>
      </c>
      <c r="Q497" t="str">
        <f t="shared" si="29"/>
        <v/>
      </c>
    </row>
    <row r="498" spans="1:17" hidden="1" x14ac:dyDescent="0.25">
      <c r="A498">
        <v>3</v>
      </c>
      <c r="B498" t="s">
        <v>449</v>
      </c>
      <c r="C498">
        <f>IFERROR(COUNTIFS($A$1:A498,"Câu "&amp;"*")-MID(A498,5,FIND(".",A498,1)-5),0)</f>
        <v>0</v>
      </c>
      <c r="D498" t="str">
        <f t="shared" si="30"/>
        <v/>
      </c>
      <c r="E498" t="str">
        <f>SUBSTITUTE(IF(LEFT(A498,3)="Câu",MID(A498,FIND(".",A498,1)+2,LEN(A498)),""),CHAR(34),CHAR(92)&amp;CHAR(34))</f>
        <v/>
      </c>
      <c r="G498" t="str">
        <f>SUBSTITUTE(B499,CHAR(34),CHAR(92)&amp;CHAR(34))</f>
        <v/>
      </c>
      <c r="H498" t="str">
        <f>SUBSTITUTE(B500,CHAR(34),CHAR(92)&amp;CHAR(34))</f>
        <v>23 tuổi.</v>
      </c>
      <c r="I498" t="str">
        <f>SUBSTITUTE(IF(LEFT(A501,3)="Câu","",B501),CHAR(34),CHAR(92)&amp;CHAR(34))</f>
        <v xml:space="preserve"> 24 tuổi.</v>
      </c>
      <c r="J498" t="str">
        <f>SUBSTITUTE(IF(OR(LEFT(A502,3)="Câu",I498=""),"",IF(B502=0,"",B502)),CHAR(34),CHAR(92)&amp;CHAR(34))</f>
        <v>22 tuổi.</v>
      </c>
      <c r="K498" t="str">
        <f>SUBSTITUTE(SUBSTITUTE(SUBSTITUTE(SUBSTITUTE(IFERROR(VLOOKUP("Câu "&amp;D498&amp;".",dapan!$E:$J,6,0),""),"1","A"),"2","B"),"3","C"),"4","D")</f>
        <v/>
      </c>
      <c r="P498" t="str">
        <f t="shared" si="28"/>
        <v/>
      </c>
      <c r="Q498" t="str">
        <f t="shared" si="29"/>
        <v/>
      </c>
    </row>
    <row r="499" spans="1:17" x14ac:dyDescent="0.25">
      <c r="A499" t="s">
        <v>450</v>
      </c>
      <c r="C499">
        <f>IFERROR(COUNTIFS($A$1:A499,"Câu "&amp;"*")-MID(A499,5,FIND(".",A499,1)-5),0)</f>
        <v>0</v>
      </c>
      <c r="D499">
        <f t="shared" si="30"/>
        <v>122</v>
      </c>
      <c r="E499" t="str">
        <f>SUBSTITUTE(IF(LEFT(A499,3)="Câu",MID(A499,FIND(".",A499,1)+2,LEN(A499)),""),CHAR(34),CHAR(92)&amp;CHAR(34))</f>
        <v>Theo quy định về độ tuổi, người lái 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 phải đủ bao nhiêu tuổi trở lên?</v>
      </c>
      <c r="G499" t="str">
        <f>SUBSTITUTE(B500,CHAR(34),CHAR(92)&amp;CHAR(34))</f>
        <v>23 tuổi.</v>
      </c>
      <c r="H499" t="str">
        <f>SUBSTITUTE(B501,CHAR(34),CHAR(92)&amp;CHAR(34))</f>
        <v xml:space="preserve"> 24 tuổi.</v>
      </c>
      <c r="I499" t="str">
        <f>SUBSTITUTE(IF(LEFT(A502,3)="Câu","",B502),CHAR(34),CHAR(92)&amp;CHAR(34))</f>
        <v>22 tuổi.</v>
      </c>
      <c r="J499" t="str">
        <f>SUBSTITUTE(IF(OR(LEFT(A503,3)="Câu",I499=""),"",IF(B503=0,"",B503)),CHAR(34),CHAR(92)&amp;CHAR(34))</f>
        <v/>
      </c>
      <c r="K499" t="str">
        <f ca="1">SUBSTITUTE(SUBSTITUTE(SUBSTITUTE(SUBSTITUTE(IFERROR(VLOOKUP("Câu "&amp;D499&amp;".",dapan!$E:$J,6,0),""),"1","A"),"2","B"),"3","C"),"4","D")</f>
        <v>B</v>
      </c>
      <c r="P499">
        <f t="shared" si="28"/>
        <v>122</v>
      </c>
      <c r="Q499" t="str">
        <f t="shared" ca="1" si="29"/>
        <v>{"num":122,"id":122,"q":"Theo quy định về độ tuổi, người lái 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 phải đủ bao nhiêu tuổi trở lên?","opts":{"A":"23 tuổi.","B":" 24 tuổi.","C":"22 tuổi."},"answer":"B"},</v>
      </c>
    </row>
    <row r="500" spans="1:17" hidden="1" x14ac:dyDescent="0.25">
      <c r="A500">
        <v>1</v>
      </c>
      <c r="B500" t="s">
        <v>442</v>
      </c>
      <c r="C500">
        <f>IFERROR(COUNTIFS($A$1:A500,"Câu "&amp;"*")-MID(A500,5,FIND(".",A500,1)-5),0)</f>
        <v>0</v>
      </c>
      <c r="D500" t="str">
        <f t="shared" si="30"/>
        <v/>
      </c>
      <c r="E500" t="str">
        <f>SUBSTITUTE(IF(LEFT(A500,3)="Câu",MID(A500,FIND(".",A500,1)+2,LEN(A500)),""),CHAR(34),CHAR(92)&amp;CHAR(34))</f>
        <v/>
      </c>
      <c r="G500" t="str">
        <f>SUBSTITUTE(B501,CHAR(34),CHAR(92)&amp;CHAR(34))</f>
        <v xml:space="preserve"> 24 tuổi.</v>
      </c>
      <c r="H500" t="str">
        <f>SUBSTITUTE(B502,CHAR(34),CHAR(92)&amp;CHAR(34))</f>
        <v>22 tuổi.</v>
      </c>
      <c r="I500" t="str">
        <f>SUBSTITUTE(IF(LEFT(A503,3)="Câu","",B503),CHAR(34),CHAR(92)&amp;CHAR(34))</f>
        <v/>
      </c>
      <c r="J500" t="str">
        <f>SUBSTITUTE(IF(OR(LEFT(A504,3)="Câu",I500=""),"",IF(B504=0,"",B504)),CHAR(34),CHAR(92)&amp;CHAR(34))</f>
        <v/>
      </c>
      <c r="K500" t="str">
        <f>SUBSTITUTE(SUBSTITUTE(SUBSTITUTE(SUBSTITUTE(IFERROR(VLOOKUP("Câu "&amp;D500&amp;".",dapan!$E:$J,6,0),""),"1","A"),"2","B"),"3","C"),"4","D")</f>
        <v/>
      </c>
      <c r="P500" t="str">
        <f t="shared" si="28"/>
        <v/>
      </c>
      <c r="Q500" t="str">
        <f t="shared" si="29"/>
        <v/>
      </c>
    </row>
    <row r="501" spans="1:17" hidden="1" x14ac:dyDescent="0.25">
      <c r="A501">
        <v>2</v>
      </c>
      <c r="B501" t="s">
        <v>451</v>
      </c>
      <c r="C501">
        <f>IFERROR(COUNTIFS($A$1:A501,"Câu "&amp;"*")-MID(A501,5,FIND(".",A501,1)-5),0)</f>
        <v>0</v>
      </c>
      <c r="D501" t="str">
        <f t="shared" si="30"/>
        <v/>
      </c>
      <c r="E501" t="str">
        <f>SUBSTITUTE(IF(LEFT(A501,3)="Câu",MID(A501,FIND(".",A501,1)+2,LEN(A501)),""),CHAR(34),CHAR(92)&amp;CHAR(34))</f>
        <v/>
      </c>
      <c r="G501" t="str">
        <f>SUBSTITUTE(B502,CHAR(34),CHAR(92)&amp;CHAR(34))</f>
        <v>22 tuổi.</v>
      </c>
      <c r="H501" t="str">
        <f>SUBSTITUTE(B503,CHAR(34),CHAR(92)&amp;CHAR(34))</f>
        <v/>
      </c>
      <c r="I501" t="str">
        <f>SUBSTITUTE(IF(LEFT(A504,3)="Câu","",B504),CHAR(34),CHAR(92)&amp;CHAR(34))</f>
        <v>Xe mô tô hai bánh có dung tích xi-lanh đến 125 cm3.</v>
      </c>
      <c r="J501" t="str">
        <f>SUBSTITUTE(IF(OR(LEFT(A505,3)="Câu",I501=""),"",IF(B505=0,"",B505)),CHAR(34),CHAR(92)&amp;CHAR(34))</f>
        <v xml:space="preserve"> Xe gắn máy.</v>
      </c>
      <c r="K501" t="str">
        <f>SUBSTITUTE(SUBSTITUTE(SUBSTITUTE(SUBSTITUTE(IFERROR(VLOOKUP("Câu "&amp;D501&amp;".",dapan!$E:$J,6,0),""),"1","A"),"2","B"),"3","C"),"4","D")</f>
        <v/>
      </c>
      <c r="P501" t="str">
        <f t="shared" si="28"/>
        <v/>
      </c>
      <c r="Q501" t="str">
        <f t="shared" si="29"/>
        <v/>
      </c>
    </row>
    <row r="502" spans="1:17" hidden="1" x14ac:dyDescent="0.25">
      <c r="A502">
        <v>3</v>
      </c>
      <c r="B502" t="s">
        <v>452</v>
      </c>
      <c r="C502">
        <f>IFERROR(COUNTIFS($A$1:A502,"Câu "&amp;"*")-MID(A502,5,FIND(".",A502,1)-5),0)</f>
        <v>0</v>
      </c>
      <c r="D502" t="str">
        <f t="shared" si="30"/>
        <v/>
      </c>
      <c r="E502" t="str">
        <f>SUBSTITUTE(IF(LEFT(A502,3)="Câu",MID(A502,FIND(".",A502,1)+2,LEN(A502)),""),CHAR(34),CHAR(92)&amp;CHAR(34))</f>
        <v/>
      </c>
      <c r="G502" t="str">
        <f>SUBSTITUTE(B503,CHAR(34),CHAR(92)&amp;CHAR(34))</f>
        <v/>
      </c>
      <c r="H502" t="str">
        <f>SUBSTITUTE(B504,CHAR(34),CHAR(92)&amp;CHAR(34))</f>
        <v>Xe mô tô hai bánh có dung tích xi-lanh đến 125 cm3.</v>
      </c>
      <c r="I502" t="str">
        <f>SUBSTITUTE(IF(LEFT(A505,3)="Câu","",B505),CHAR(34),CHAR(92)&amp;CHAR(34))</f>
        <v xml:space="preserve"> Xe gắn máy.</v>
      </c>
      <c r="J502" t="str">
        <f>SUBSTITUTE(IF(OR(LEFT(A506,3)="Câu",I502=""),"",IF(B506=0,"",B506)),CHAR(34),CHAR(92)&amp;CHAR(34))</f>
        <v>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v>
      </c>
      <c r="K502" t="str">
        <f>SUBSTITUTE(SUBSTITUTE(SUBSTITUTE(SUBSTITUTE(IFERROR(VLOOKUP("Câu "&amp;D502&amp;".",dapan!$E:$J,6,0),""),"1","A"),"2","B"),"3","C"),"4","D")</f>
        <v/>
      </c>
      <c r="P502" t="str">
        <f t="shared" si="28"/>
        <v/>
      </c>
      <c r="Q502" t="str">
        <f t="shared" si="29"/>
        <v/>
      </c>
    </row>
    <row r="503" spans="1:17" x14ac:dyDescent="0.25">
      <c r="A503" t="s">
        <v>453</v>
      </c>
      <c r="C503">
        <f>IFERROR(COUNTIFS($A$1:A503,"Câu "&amp;"*")-MID(A503,5,FIND(".",A503,1)-5),0)</f>
        <v>0</v>
      </c>
      <c r="D503">
        <f t="shared" si="30"/>
        <v>123</v>
      </c>
      <c r="E503" t="str">
        <f>SUBSTITUTE(IF(LEFT(A503,3)="Câu",MID(A503,FIND(".",A503,1)+2,LEN(A503)),""),CHAR(34),CHAR(92)&amp;CHAR(34))</f>
        <v>Người đủ 16 tuổi đến dưới 18 tuổi chỉ được điều khiển các loại xe nào dưới đây?</v>
      </c>
      <c r="G503" t="str">
        <f>SUBSTITUTE(B504,CHAR(34),CHAR(92)&amp;CHAR(34))</f>
        <v>Xe mô tô hai bánh có dung tích xi-lanh đến 125 cm3.</v>
      </c>
      <c r="H503" t="str">
        <f>SUBSTITUTE(B505,CHAR(34),CHAR(92)&amp;CHAR(34))</f>
        <v xml:space="preserve"> Xe gắn máy.</v>
      </c>
      <c r="I503" t="str">
        <f>SUBSTITUTE(IF(LEFT(A506,3)="Câu","",B506),CHAR(34),CHAR(92)&amp;CHAR(34))</f>
        <v>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v>
      </c>
      <c r="J503" t="str">
        <f>SUBSTITUTE(IF(OR(LEFT(A507,3)="Câu",I503=""),"",IF(B507=0,"",B507)),CHAR(34),CHAR(92)&amp;CHAR(34))</f>
        <v>Cả ba ý trên.</v>
      </c>
      <c r="K503" t="str">
        <f ca="1">SUBSTITUTE(SUBSTITUTE(SUBSTITUTE(SUBSTITUTE(IFERROR(VLOOKUP("Câu "&amp;D503&amp;".",dapan!$E:$J,6,0),""),"1","A"),"2","B"),"3","C"),"4","D")</f>
        <v>B</v>
      </c>
      <c r="P503">
        <f t="shared" si="28"/>
        <v>123</v>
      </c>
      <c r="Q503" t="str">
        <f t="shared" ca="1" si="29"/>
        <v>{"num":123,"id":123,"q":"Người đủ 16 tuổi đến dưới 18 tuổi chỉ được điều khiển các loại xe nào dưới đây?","opts":{"A":"Xe mô tô hai bánh có dung tích xi-lanh đến 125 cm3.","B":" Xe gắn máy.","C":"Xe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kg.","D":"Cả ba ý trên."},"answer":"B"},</v>
      </c>
    </row>
    <row r="504" spans="1:17" hidden="1" x14ac:dyDescent="0.25">
      <c r="A504">
        <v>1</v>
      </c>
      <c r="B504" t="s">
        <v>454</v>
      </c>
      <c r="C504">
        <f>IFERROR(COUNTIFS($A$1:A504,"Câu "&amp;"*")-MID(A504,5,FIND(".",A504,1)-5),0)</f>
        <v>0</v>
      </c>
      <c r="D504" t="str">
        <f t="shared" si="30"/>
        <v/>
      </c>
      <c r="E504" t="str">
        <f>SUBSTITUTE(IF(LEFT(A504,3)="Câu",MID(A504,FIND(".",A504,1)+2,LEN(A504)),""),CHAR(34),CHAR(92)&amp;CHAR(34))</f>
        <v/>
      </c>
      <c r="G504" t="str">
        <f>SUBSTITUTE(B505,CHAR(34),CHAR(92)&amp;CHAR(34))</f>
        <v xml:space="preserve"> Xe gắn máy.</v>
      </c>
      <c r="H504" t="str">
        <f>SUBSTITUTE(B506,CHAR(34),CHAR(92)&amp;CHAR(34))</f>
        <v>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v>
      </c>
      <c r="I504" t="str">
        <f>SUBSTITUTE(IF(LEFT(A507,3)="Câu","",B507),CHAR(34),CHAR(92)&amp;CHAR(34))</f>
        <v>Cả ba ý trên.</v>
      </c>
      <c r="J504" t="str">
        <f>SUBSTITUTE(IF(OR(LEFT(A508,3)="Câu",I504=""),"",IF(B508=0,"",B508)),CHAR(34),CHAR(92)&amp;CHAR(34))</f>
        <v/>
      </c>
      <c r="K504" t="str">
        <f>SUBSTITUTE(SUBSTITUTE(SUBSTITUTE(SUBSTITUTE(IFERROR(VLOOKUP("Câu "&amp;D504&amp;".",dapan!$E:$J,6,0),""),"1","A"),"2","B"),"3","C"),"4","D")</f>
        <v/>
      </c>
      <c r="P504" t="str">
        <f t="shared" si="28"/>
        <v/>
      </c>
      <c r="Q504" t="str">
        <f t="shared" si="29"/>
        <v/>
      </c>
    </row>
    <row r="505" spans="1:17" hidden="1" x14ac:dyDescent="0.25">
      <c r="A505">
        <v>2</v>
      </c>
      <c r="B505" t="s">
        <v>455</v>
      </c>
      <c r="C505">
        <f>IFERROR(COUNTIFS($A$1:A505,"Câu "&amp;"*")-MID(A505,5,FIND(".",A505,1)-5),0)</f>
        <v>0</v>
      </c>
      <c r="D505" t="str">
        <f t="shared" si="30"/>
        <v/>
      </c>
      <c r="E505" t="str">
        <f>SUBSTITUTE(IF(LEFT(A505,3)="Câu",MID(A505,FIND(".",A505,1)+2,LEN(A505)),""),CHAR(34),CHAR(92)&amp;CHAR(34))</f>
        <v/>
      </c>
      <c r="G505" t="str">
        <f>SUBSTITUTE(B506,CHAR(34),CHAR(92)&amp;CHAR(34))</f>
        <v>Xe ô tô chở người đến 08 chỗ (không kể chỗ của người lái xe); xe ô tô tải và ô tô chuyên dùng có khối lượng toàn bộ theo thiết kế đến 3.500 kg; các loại xe ô tô quy định cho giấy phép lái xe hạng B kéo rơ moóc có khối lượng toàn bộ theo thiết kế đến 750 kg.</v>
      </c>
      <c r="H505" t="str">
        <f>SUBSTITUTE(B507,CHAR(34),CHAR(92)&amp;CHAR(34))</f>
        <v>Cả ba ý trên.</v>
      </c>
      <c r="I505" t="str">
        <f>SUBSTITUTE(IF(LEFT(A508,3)="Câu","",B508),CHAR(34),CHAR(92)&amp;CHAR(34))</f>
        <v/>
      </c>
      <c r="J505" t="str">
        <f>SUBSTITUTE(IF(OR(LEFT(A509,3)="Câu",I505=""),"",IF(B509=0,"",B509)),CHAR(34),CHAR(92)&amp;CHAR(34))</f>
        <v/>
      </c>
      <c r="K505" t="str">
        <f>SUBSTITUTE(SUBSTITUTE(SUBSTITUTE(SUBSTITUTE(IFERROR(VLOOKUP("Câu "&amp;D505&amp;".",dapan!$E:$J,6,0),""),"1","A"),"2","B"),"3","C"),"4","D")</f>
        <v/>
      </c>
      <c r="P505" t="str">
        <f t="shared" si="28"/>
        <v/>
      </c>
      <c r="Q505" t="str">
        <f t="shared" si="29"/>
        <v/>
      </c>
    </row>
    <row r="506" spans="1:17" hidden="1" x14ac:dyDescent="0.25">
      <c r="A506">
        <v>3</v>
      </c>
      <c r="B506" t="s">
        <v>456</v>
      </c>
      <c r="C506">
        <f>IFERROR(COUNTIFS($A$1:A506,"Câu "&amp;"*")-MID(A506,5,FIND(".",A506,1)-5),0)</f>
        <v>0</v>
      </c>
      <c r="D506" t="str">
        <f t="shared" si="30"/>
        <v/>
      </c>
      <c r="E506" t="str">
        <f>SUBSTITUTE(IF(LEFT(A506,3)="Câu",MID(A506,FIND(".",A506,1)+2,LEN(A506)),""),CHAR(34),CHAR(92)&amp;CHAR(34))</f>
        <v/>
      </c>
      <c r="G506" t="str">
        <f>SUBSTITUTE(B507,CHAR(34),CHAR(92)&amp;CHAR(34))</f>
        <v>Cả ba ý trên.</v>
      </c>
      <c r="H506" t="str">
        <f>SUBSTITUTE(B508,CHAR(34),CHAR(92)&amp;CHAR(34))</f>
        <v/>
      </c>
      <c r="I506" t="str">
        <f>SUBSTITUTE(IF(LEFT(A509,3)="Câu","",B509),CHAR(34),CHAR(92)&amp;CHAR(34))</f>
        <v>Xe mô tô hai bánh có dung tích xi-lanh 125 cm3 hoặc có công suất động cơ điện đến 11 kW.</v>
      </c>
      <c r="J506" t="str">
        <f>SUBSTITUTE(IF(OR(LEFT(A510,3)="Câu",I506=""),"",IF(B510=0,"",B510)),CHAR(34),CHAR(92)&amp;CHAR(34))</f>
        <v xml:space="preserve"> Xe mô tô ba bánh.</v>
      </c>
      <c r="K506" t="str">
        <f>SUBSTITUTE(SUBSTITUTE(SUBSTITUTE(SUBSTITUTE(IFERROR(VLOOKUP("Câu "&amp;D506&amp;".",dapan!$E:$J,6,0),""),"1","A"),"2","B"),"3","C"),"4","D")</f>
        <v/>
      </c>
      <c r="P506" t="str">
        <f t="shared" si="28"/>
        <v/>
      </c>
      <c r="Q506" t="str">
        <f t="shared" si="29"/>
        <v/>
      </c>
    </row>
    <row r="507" spans="1:17" hidden="1" x14ac:dyDescent="0.25">
      <c r="A507">
        <v>4</v>
      </c>
      <c r="B507" t="s">
        <v>15</v>
      </c>
      <c r="C507">
        <f>IFERROR(COUNTIFS($A$1:A507,"Câu "&amp;"*")-MID(A507,5,FIND(".",A507,1)-5),0)</f>
        <v>0</v>
      </c>
      <c r="D507" t="str">
        <f t="shared" si="30"/>
        <v/>
      </c>
      <c r="E507" t="str">
        <f>SUBSTITUTE(IF(LEFT(A507,3)="Câu",MID(A507,FIND(".",A507,1)+2,LEN(A507)),""),CHAR(34),CHAR(92)&amp;CHAR(34))</f>
        <v/>
      </c>
      <c r="G507" t="str">
        <f>SUBSTITUTE(B508,CHAR(34),CHAR(92)&amp;CHAR(34))</f>
        <v/>
      </c>
      <c r="H507" t="str">
        <f>SUBSTITUTE(B509,CHAR(34),CHAR(92)&amp;CHAR(34))</f>
        <v>Xe mô tô hai bánh có dung tích xi-lanh 125 cm3 hoặc có công suất động cơ điện đến 11 kW.</v>
      </c>
      <c r="I507" t="str">
        <f>SUBSTITUTE(IF(LEFT(A510,3)="Câu","",B510),CHAR(34),CHAR(92)&amp;CHAR(34))</f>
        <v xml:space="preserve"> Xe mô tô ba bánh.</v>
      </c>
      <c r="J507" t="str">
        <f>SUBSTITUTE(IF(OR(LEFT(A511,3)="Câu",I507=""),"",IF(B511=0,"",B511)),CHAR(34),CHAR(92)&amp;CHAR(34))</f>
        <v>Cả hai ý trên.</v>
      </c>
      <c r="K507" t="str">
        <f>SUBSTITUTE(SUBSTITUTE(SUBSTITUTE(SUBSTITUTE(IFERROR(VLOOKUP("Câu "&amp;D507&amp;".",dapan!$E:$J,6,0),""),"1","A"),"2","B"),"3","C"),"4","D")</f>
        <v/>
      </c>
      <c r="P507" t="str">
        <f t="shared" si="28"/>
        <v/>
      </c>
      <c r="Q507" t="str">
        <f t="shared" si="29"/>
        <v/>
      </c>
    </row>
    <row r="508" spans="1:17" x14ac:dyDescent="0.25">
      <c r="A508" t="s">
        <v>457</v>
      </c>
      <c r="C508">
        <f>IFERROR(COUNTIFS($A$1:A508,"Câu "&amp;"*")-MID(A508,5,FIND(".",A508,1)-5),0)</f>
        <v>0</v>
      </c>
      <c r="D508">
        <f t="shared" si="30"/>
        <v>124</v>
      </c>
      <c r="E508" t="str">
        <f>SUBSTITUTE(IF(LEFT(A508,3)="Câu",MID(A508,FIND(".",A508,1)+2,LEN(A508)),""),CHAR(34),CHAR(92)&amp;CHAR(34))</f>
        <v>Người có Giấy phép lái xe mô tô hạng A1 không được phép điều khiển loại xe nào dưới đây?</v>
      </c>
      <c r="G508" t="str">
        <f>SUBSTITUTE(B509,CHAR(34),CHAR(92)&amp;CHAR(34))</f>
        <v>Xe mô tô hai bánh có dung tích xi-lanh 125 cm3 hoặc có công suất động cơ điện đến 11 kW.</v>
      </c>
      <c r="H508" t="str">
        <f>SUBSTITUTE(B510,CHAR(34),CHAR(92)&amp;CHAR(34))</f>
        <v xml:space="preserve"> Xe mô tô ba bánh.</v>
      </c>
      <c r="I508" t="str">
        <f>SUBSTITUTE(IF(LEFT(A511,3)="Câu","",B511),CHAR(34),CHAR(92)&amp;CHAR(34))</f>
        <v>Cả hai ý trên.</v>
      </c>
      <c r="J508" t="str">
        <f>SUBSTITUTE(IF(OR(LEFT(A512,3)="Câu",I508=""),"",IF(B512=0,"",B512)),CHAR(34),CHAR(92)&amp;CHAR(34))</f>
        <v/>
      </c>
      <c r="K508" t="str">
        <f ca="1">SUBSTITUTE(SUBSTITUTE(SUBSTITUTE(SUBSTITUTE(IFERROR(VLOOKUP("Câu "&amp;D508&amp;".",dapan!$E:$J,6,0),""),"1","A"),"2","B"),"3","C"),"4","D")</f>
        <v>B</v>
      </c>
      <c r="P508">
        <f t="shared" si="28"/>
        <v>124</v>
      </c>
      <c r="Q508" t="str">
        <f t="shared" ca="1" si="29"/>
        <v>{"num":124,"id":124,"q":"Người có Giấy phép lái xe mô tô hạng A1 không được phép điều khiển loại xe nào dưới đây?","opts":{"A":"Xe mô tô hai bánh có dung tích xi-lanh 125 cm3 hoặc có công suất động cơ điện đến 11 kW.","B":" Xe mô tô ba bánh.","C":"Cả hai ý trên."},"answer":"B"},</v>
      </c>
    </row>
    <row r="509" spans="1:17" hidden="1" x14ac:dyDescent="0.25">
      <c r="A509">
        <v>1</v>
      </c>
      <c r="B509" t="s">
        <v>458</v>
      </c>
      <c r="C509">
        <f>IFERROR(COUNTIFS($A$1:A509,"Câu "&amp;"*")-MID(A509,5,FIND(".",A509,1)-5),0)</f>
        <v>0</v>
      </c>
      <c r="D509" t="str">
        <f t="shared" si="30"/>
        <v/>
      </c>
      <c r="E509" t="str">
        <f>SUBSTITUTE(IF(LEFT(A509,3)="Câu",MID(A509,FIND(".",A509,1)+2,LEN(A509)),""),CHAR(34),CHAR(92)&amp;CHAR(34))</f>
        <v/>
      </c>
      <c r="G509" t="str">
        <f>SUBSTITUTE(B510,CHAR(34),CHAR(92)&amp;CHAR(34))</f>
        <v xml:space="preserve"> Xe mô tô ba bánh.</v>
      </c>
      <c r="H509" t="str">
        <f>SUBSTITUTE(B511,CHAR(34),CHAR(92)&amp;CHAR(34))</f>
        <v>Cả hai ý trên.</v>
      </c>
      <c r="I509" t="str">
        <f>SUBSTITUTE(IF(LEFT(A512,3)="Câu","",B512),CHAR(34),CHAR(92)&amp;CHAR(34))</f>
        <v/>
      </c>
      <c r="J509" t="str">
        <f>SUBSTITUTE(IF(OR(LEFT(A513,3)="Câu",I509=""),"",IF(B513=0,"",B513)),CHAR(34),CHAR(92)&amp;CHAR(34))</f>
        <v/>
      </c>
      <c r="K509" t="str">
        <f>SUBSTITUTE(SUBSTITUTE(SUBSTITUTE(SUBSTITUTE(IFERROR(VLOOKUP("Câu "&amp;D509&amp;".",dapan!$E:$J,6,0),""),"1","A"),"2","B"),"3","C"),"4","D")</f>
        <v/>
      </c>
      <c r="P509" t="str">
        <f t="shared" si="28"/>
        <v/>
      </c>
      <c r="Q509" t="str">
        <f t="shared" si="29"/>
        <v/>
      </c>
    </row>
    <row r="510" spans="1:17" hidden="1" x14ac:dyDescent="0.25">
      <c r="A510">
        <v>2</v>
      </c>
      <c r="B510" t="s">
        <v>459</v>
      </c>
      <c r="C510">
        <f>IFERROR(COUNTIFS($A$1:A510,"Câu "&amp;"*")-MID(A510,5,FIND(".",A510,1)-5),0)</f>
        <v>0</v>
      </c>
      <c r="D510" t="str">
        <f t="shared" si="30"/>
        <v/>
      </c>
      <c r="E510" t="str">
        <f>SUBSTITUTE(IF(LEFT(A510,3)="Câu",MID(A510,FIND(".",A510,1)+2,LEN(A510)),""),CHAR(34),CHAR(92)&amp;CHAR(34))</f>
        <v/>
      </c>
      <c r="G510" t="str">
        <f>SUBSTITUTE(B511,CHAR(34),CHAR(92)&amp;CHAR(34))</f>
        <v>Cả hai ý trên.</v>
      </c>
      <c r="H510" t="str">
        <f>SUBSTITUTE(B512,CHAR(34),CHAR(92)&amp;CHAR(34))</f>
        <v/>
      </c>
      <c r="I510" t="str">
        <f>SUBSTITUTE(IF(LEFT(A513,3)="Câu","",B513),CHAR(34),CHAR(92)&amp;CHAR(34))</f>
        <v>Xe mô tô hai bánh có dung tích xi-lanh đến 125 cm3 hoặc có công suất động cơ điện đến 11 kW.</v>
      </c>
      <c r="J510" t="str">
        <f>SUBSTITUTE(IF(OR(LEFT(A514,3)="Câu",I510=""),"",IF(B514=0,"",B514)),CHAR(34),CHAR(92)&amp;CHAR(34))</f>
        <v>Xe mô tô ba bánh.</v>
      </c>
      <c r="K510" t="str">
        <f>SUBSTITUTE(SUBSTITUTE(SUBSTITUTE(SUBSTITUTE(IFERROR(VLOOKUP("Câu "&amp;D510&amp;".",dapan!$E:$J,6,0),""),"1","A"),"2","B"),"3","C"),"4","D")</f>
        <v/>
      </c>
      <c r="P510" t="str">
        <f t="shared" si="28"/>
        <v/>
      </c>
      <c r="Q510" t="str">
        <f t="shared" si="29"/>
        <v/>
      </c>
    </row>
    <row r="511" spans="1:17" hidden="1" x14ac:dyDescent="0.25">
      <c r="A511">
        <v>3</v>
      </c>
      <c r="B511" t="s">
        <v>18</v>
      </c>
      <c r="C511">
        <f>IFERROR(COUNTIFS($A$1:A511,"Câu "&amp;"*")-MID(A511,5,FIND(".",A511,1)-5),0)</f>
        <v>0</v>
      </c>
      <c r="D511" t="str">
        <f t="shared" si="30"/>
        <v/>
      </c>
      <c r="E511" t="str">
        <f>SUBSTITUTE(IF(LEFT(A511,3)="Câu",MID(A511,FIND(".",A511,1)+2,LEN(A511)),""),CHAR(34),CHAR(92)&amp;CHAR(34))</f>
        <v/>
      </c>
      <c r="G511" t="str">
        <f>SUBSTITUTE(B512,CHAR(34),CHAR(92)&amp;CHAR(34))</f>
        <v/>
      </c>
      <c r="H511" t="str">
        <f>SUBSTITUTE(B513,CHAR(34),CHAR(92)&amp;CHAR(34))</f>
        <v>Xe mô tô hai bánh có dung tích xi-lanh đến 125 cm3 hoặc có công suất động cơ điện đến 11 kW.</v>
      </c>
      <c r="I511" t="str">
        <f>SUBSTITUTE(IF(LEFT(A514,3)="Câu","",B514),CHAR(34),CHAR(92)&amp;CHAR(34))</f>
        <v>Xe mô tô ba bánh.</v>
      </c>
      <c r="J511" t="str">
        <f>SUBSTITUTE(IF(OR(LEFT(A515,3)="Câu",I511=""),"",IF(B515=0,"",B515)),CHAR(34),CHAR(92)&amp;CHAR(34))</f>
        <v>Cả hai ý trên.</v>
      </c>
      <c r="K511" t="str">
        <f>SUBSTITUTE(SUBSTITUTE(SUBSTITUTE(SUBSTITUTE(IFERROR(VLOOKUP("Câu "&amp;D511&amp;".",dapan!$E:$J,6,0),""),"1","A"),"2","B"),"3","C"),"4","D")</f>
        <v/>
      </c>
      <c r="P511" t="str">
        <f t="shared" si="28"/>
        <v/>
      </c>
      <c r="Q511" t="str">
        <f t="shared" si="29"/>
        <v/>
      </c>
    </row>
    <row r="512" spans="1:17" x14ac:dyDescent="0.25">
      <c r="A512" t="s">
        <v>460</v>
      </c>
      <c r="C512">
        <f>IFERROR(COUNTIFS($A$1:A512,"Câu "&amp;"*")-MID(A512,5,FIND(".",A512,1)-5),0)</f>
        <v>0</v>
      </c>
      <c r="D512">
        <f t="shared" si="30"/>
        <v>125</v>
      </c>
      <c r="E512" t="str">
        <f>SUBSTITUTE(IF(LEFT(A512,3)="Câu",MID(A512,FIND(".",A512,1)+2,LEN(A512)),""),CHAR(34),CHAR(92)&amp;CHAR(34))</f>
        <v>Người có Giấy phép lái xe mô tô hạng A1 được cấp sau ngày 01/01/2025 được phép điều khiển loại xe nào dưới đây?</v>
      </c>
      <c r="G512" t="str">
        <f>SUBSTITUTE(B513,CHAR(34),CHAR(92)&amp;CHAR(34))</f>
        <v>Xe mô tô hai bánh có dung tích xi-lanh đến 125 cm3 hoặc có công suất động cơ điện đến 11 kW.</v>
      </c>
      <c r="H512" t="str">
        <f>SUBSTITUTE(B514,CHAR(34),CHAR(92)&amp;CHAR(34))</f>
        <v>Xe mô tô ba bánh.</v>
      </c>
      <c r="I512" t="str">
        <f>SUBSTITUTE(IF(LEFT(A515,3)="Câu","",B515),CHAR(34),CHAR(92)&amp;CHAR(34))</f>
        <v>Cả hai ý trên.</v>
      </c>
      <c r="J512" t="str">
        <f>SUBSTITUTE(IF(OR(LEFT(A516,3)="Câu",I512=""),"",IF(B516=0,"",B516)),CHAR(34),CHAR(92)&amp;CHAR(34))</f>
        <v/>
      </c>
      <c r="K512" t="str">
        <f ca="1">SUBSTITUTE(SUBSTITUTE(SUBSTITUTE(SUBSTITUTE(IFERROR(VLOOKUP("Câu "&amp;D512&amp;".",dapan!$E:$J,6,0),""),"1","A"),"2","B"),"3","C"),"4","D")</f>
        <v>X</v>
      </c>
      <c r="P512">
        <f t="shared" si="28"/>
        <v>125</v>
      </c>
      <c r="Q512" t="str">
        <f t="shared" ca="1" si="29"/>
        <v>{"num":125,"id":125,"q":"Người có Giấy phép lái xe mô tô hạng A1 được cấp sau ngày 01/01/2025 được phép điều khiển loại xe nào dưới đây?","opts":{"A":"Xe mô tô hai bánh có dung tích xi-lanh đến 125 cm3 hoặc có công suất động cơ điện đến 11 kW.","B":"Xe mô tô ba bánh.","C":"Cả hai ý trên."},"answer":"X"},</v>
      </c>
    </row>
    <row r="513" spans="1:17" hidden="1" x14ac:dyDescent="0.25">
      <c r="A513">
        <v>1</v>
      </c>
      <c r="B513" t="s">
        <v>461</v>
      </c>
      <c r="C513">
        <f>IFERROR(COUNTIFS($A$1:A513,"Câu "&amp;"*")-MID(A513,5,FIND(".",A513,1)-5),0)</f>
        <v>0</v>
      </c>
      <c r="D513" t="str">
        <f t="shared" si="30"/>
        <v/>
      </c>
      <c r="E513" t="str">
        <f>SUBSTITUTE(IF(LEFT(A513,3)="Câu",MID(A513,FIND(".",A513,1)+2,LEN(A513)),""),CHAR(34),CHAR(92)&amp;CHAR(34))</f>
        <v/>
      </c>
      <c r="G513" t="str">
        <f>SUBSTITUTE(B514,CHAR(34),CHAR(92)&amp;CHAR(34))</f>
        <v>Xe mô tô ba bánh.</v>
      </c>
      <c r="H513" t="str">
        <f>SUBSTITUTE(B515,CHAR(34),CHAR(92)&amp;CHAR(34))</f>
        <v>Cả hai ý trên.</v>
      </c>
      <c r="I513" t="str">
        <f>SUBSTITUTE(IF(LEFT(A516,3)="Câu","",B516),CHAR(34),CHAR(92)&amp;CHAR(34))</f>
        <v/>
      </c>
      <c r="J513" t="str">
        <f>SUBSTITUTE(IF(OR(LEFT(A517,3)="Câu",I513=""),"",IF(B517=0,"",B517)),CHAR(34),CHAR(92)&amp;CHAR(34))</f>
        <v/>
      </c>
      <c r="K513" t="str">
        <f>SUBSTITUTE(SUBSTITUTE(SUBSTITUTE(SUBSTITUTE(IFERROR(VLOOKUP("Câu "&amp;D513&amp;".",dapan!$E:$J,6,0),""),"1","A"),"2","B"),"3","C"),"4","D")</f>
        <v/>
      </c>
      <c r="P513" t="str">
        <f t="shared" si="28"/>
        <v/>
      </c>
      <c r="Q513" t="str">
        <f t="shared" si="29"/>
        <v/>
      </c>
    </row>
    <row r="514" spans="1:17" hidden="1" x14ac:dyDescent="0.25">
      <c r="A514">
        <v>2</v>
      </c>
      <c r="B514" t="s">
        <v>462</v>
      </c>
      <c r="C514">
        <f>IFERROR(COUNTIFS($A$1:A514,"Câu "&amp;"*")-MID(A514,5,FIND(".",A514,1)-5),0)</f>
        <v>0</v>
      </c>
      <c r="D514" t="str">
        <f t="shared" si="30"/>
        <v/>
      </c>
      <c r="E514" t="str">
        <f>SUBSTITUTE(IF(LEFT(A514,3)="Câu",MID(A514,FIND(".",A514,1)+2,LEN(A514)),""),CHAR(34),CHAR(92)&amp;CHAR(34))</f>
        <v/>
      </c>
      <c r="G514" t="str">
        <f>SUBSTITUTE(B515,CHAR(34),CHAR(92)&amp;CHAR(34))</f>
        <v>Cả hai ý trên.</v>
      </c>
      <c r="H514" t="str">
        <f>SUBSTITUTE(B516,CHAR(34),CHAR(92)&amp;CHAR(34))</f>
        <v/>
      </c>
      <c r="I514" t="str">
        <f>SUBSTITUTE(IF(LEFT(A517,3)="Câu","",B517),CHAR(34),CHAR(92)&amp;CHAR(34))</f>
        <v>Xe mô tô hai bánh có dung tích xi-lanh đến 125 cm3 hoặc có công suất động cơ điện đến 11 kW.</v>
      </c>
      <c r="J514" t="str">
        <f>SUBSTITUTE(IF(OR(LEFT(A518,3)="Câu",I514=""),"",IF(B518=0,"",B518)),CHAR(34),CHAR(92)&amp;CHAR(34))</f>
        <v>Xe mô tô hai bánh có dung tích xi-lanh trên 125 cm3 hoặc có công suất động cơ điện trên 11 kW.</v>
      </c>
      <c r="K514" t="str">
        <f>SUBSTITUTE(SUBSTITUTE(SUBSTITUTE(SUBSTITUTE(IFERROR(VLOOKUP("Câu "&amp;D514&amp;".",dapan!$E:$J,6,0),""),"1","A"),"2","B"),"3","C"),"4","D")</f>
        <v/>
      </c>
      <c r="P514" t="str">
        <f t="shared" si="28"/>
        <v/>
      </c>
      <c r="Q514" t="str">
        <f t="shared" si="29"/>
        <v/>
      </c>
    </row>
    <row r="515" spans="1:17" hidden="1" x14ac:dyDescent="0.25">
      <c r="A515">
        <v>3</v>
      </c>
      <c r="B515" t="s">
        <v>18</v>
      </c>
      <c r="C515">
        <f>IFERROR(COUNTIFS($A$1:A515,"Câu "&amp;"*")-MID(A515,5,FIND(".",A515,1)-5),0)</f>
        <v>0</v>
      </c>
      <c r="D515" t="str">
        <f t="shared" si="30"/>
        <v/>
      </c>
      <c r="E515" t="str">
        <f>SUBSTITUTE(IF(LEFT(A515,3)="Câu",MID(A515,FIND(".",A515,1)+2,LEN(A515)),""),CHAR(34),CHAR(92)&amp;CHAR(34))</f>
        <v/>
      </c>
      <c r="G515" t="str">
        <f>SUBSTITUTE(B516,CHAR(34),CHAR(92)&amp;CHAR(34))</f>
        <v/>
      </c>
      <c r="H515" t="str">
        <f>SUBSTITUTE(B517,CHAR(34),CHAR(92)&amp;CHAR(34))</f>
        <v>Xe mô tô hai bánh có dung tích xi-lanh đến 125 cm3 hoặc có công suất động cơ điện đến 11 kW.</v>
      </c>
      <c r="I515" t="str">
        <f>SUBSTITUTE(IF(LEFT(A518,3)="Câu","",B518),CHAR(34),CHAR(92)&amp;CHAR(34))</f>
        <v>Xe mô tô hai bánh có dung tích xi-lanh trên 125 cm3 hoặc có công suất động cơ điện trên 11 kW.</v>
      </c>
      <c r="J515" t="str">
        <f>SUBSTITUTE(IF(OR(LEFT(A519,3)="Câu",I515=""),"",IF(B519=0,"",B519)),CHAR(34),CHAR(92)&amp;CHAR(34))</f>
        <v xml:space="preserve"> Cả hai ý trên.</v>
      </c>
      <c r="K515" t="str">
        <f>SUBSTITUTE(SUBSTITUTE(SUBSTITUTE(SUBSTITUTE(IFERROR(VLOOKUP("Câu "&amp;D515&amp;".",dapan!$E:$J,6,0),""),"1","A"),"2","B"),"3","C"),"4","D")</f>
        <v/>
      </c>
      <c r="P515" t="str">
        <f t="shared" ref="P515:P578" si="31">D515</f>
        <v/>
      </c>
      <c r="Q515" t="str">
        <f t="shared" ref="Q515:Q578" si="32">IF(D515="","",CHAR(123)&amp;CHAR(34)&amp;"num"&amp;CHAR(34)&amp;":"&amp;P515&amp;","&amp;CHAR(34)&amp;"id"&amp;CHAR(34)&amp;":"&amp;D515&amp;","
&amp;CHAR(34)&amp;"q"&amp;CHAR(34)&amp;":"&amp;CHAR(34)&amp;E515&amp;CHAR(34)&amp;","
&amp;IF(F515="","",CHAR(34)&amp;"img"&amp;CHAR(34)&amp;":"&amp;CHAR(34)&amp;F515&amp;CHAR(34)&amp;",")
&amp;CHAR(34)&amp;"opts"&amp;CHAR(34)&amp;":"&amp;CHAR(123)&amp;CHAR(34)&amp;"A"&amp;CHAR(34)&amp;":"&amp;CHAR(34)&amp;G515&amp;CHAR(34)&amp;","&amp;CHAR(34)&amp;"B"&amp;CHAR(34)&amp;":"&amp;CHAR(34)&amp;H515&amp;CHAR(34)
&amp;IF(I515="","",","&amp;CHAR(34)&amp;"C"&amp;CHAR(34)&amp;":"&amp;CHAR(34)&amp;I515&amp;CHAR(34))&amp;IF(J515="","",","&amp;CHAR(34)&amp;"D"&amp;CHAR(34)&amp;":"&amp;CHAR(34)&amp;J515&amp;CHAR(34))&amp;CHAR(125)&amp;","
&amp;CHAR(34)&amp;"answer"&amp;CHAR(34)&amp;":"&amp;CHAR(34)&amp;K515&amp;CHAR(34)
&amp;IF(L515="","",","&amp;CHAR(34)&amp;"danger"&amp;CHAR(34)&amp;":"&amp;CHAR(34)&amp;"true"&amp;CHAR(34))
&amp;IF(M515="","",","&amp;CHAR(34)&amp;"explain"&amp;CHAR(34)&amp;":"&amp;CHAR(34)&amp;M515&amp;CHAR(34))
&amp;IF(N515="","",","&amp;CHAR(34)&amp;"explainImg"&amp;CHAR(34)&amp;":"&amp;CHAR(34)&amp;N515&amp;CHAR(34))
&amp;IF(O515="","",","&amp;CHAR(34)&amp;"shuffle"&amp;CHAR(34)&amp;":"&amp;CHAR(34)&amp;"false"&amp;CHAR(34))&amp;CHAR(125)&amp;",")</f>
        <v/>
      </c>
    </row>
    <row r="516" spans="1:17" x14ac:dyDescent="0.25">
      <c r="A516" t="s">
        <v>463</v>
      </c>
      <c r="C516">
        <f>IFERROR(COUNTIFS($A$1:A516,"Câu "&amp;"*")-MID(A516,5,FIND(".",A516,1)-5),0)</f>
        <v>0</v>
      </c>
      <c r="D516">
        <f t="shared" si="30"/>
        <v>126</v>
      </c>
      <c r="E516" t="str">
        <f>SUBSTITUTE(IF(LEFT(A516,3)="Câu",MID(A516,FIND(".",A516,1)+2,LEN(A516)),""),CHAR(34),CHAR(92)&amp;CHAR(34))</f>
        <v>Người có Giấy phép lái xe mô tô hạng A được phép điều khiển loại xe nào dưới đây?</v>
      </c>
      <c r="G516" t="str">
        <f>SUBSTITUTE(B517,CHAR(34),CHAR(92)&amp;CHAR(34))</f>
        <v>Xe mô tô hai bánh có dung tích xi-lanh đến 125 cm3 hoặc có công suất động cơ điện đến 11 kW.</v>
      </c>
      <c r="H516" t="str">
        <f>SUBSTITUTE(B518,CHAR(34),CHAR(92)&amp;CHAR(34))</f>
        <v>Xe mô tô hai bánh có dung tích xi-lanh trên 125 cm3 hoặc có công suất động cơ điện trên 11 kW.</v>
      </c>
      <c r="I516" t="str">
        <f>SUBSTITUTE(IF(LEFT(A519,3)="Câu","",B519),CHAR(34),CHAR(92)&amp;CHAR(34))</f>
        <v xml:space="preserve"> Cả hai ý trên.</v>
      </c>
      <c r="J516" t="str">
        <f>SUBSTITUTE(IF(OR(LEFT(A520,3)="Câu",I516=""),"",IF(B520=0,"",B520)),CHAR(34),CHAR(92)&amp;CHAR(34))</f>
        <v/>
      </c>
      <c r="K516" t="str">
        <f ca="1">SUBSTITUTE(SUBSTITUTE(SUBSTITUTE(SUBSTITUTE(IFERROR(VLOOKUP("Câu "&amp;D516&amp;".",dapan!$E:$J,6,0),""),"1","A"),"2","B"),"3","C"),"4","D")</f>
        <v>C</v>
      </c>
      <c r="P516">
        <f t="shared" si="31"/>
        <v>126</v>
      </c>
      <c r="Q516" t="str">
        <f t="shared" ca="1" si="32"/>
        <v>{"num":126,"id":126,"q":"Người có Giấy phép lái xe mô tô hạng A được phép điều khiển loại xe nào dưới đây?","opts":{"A":"Xe mô tô hai bánh có dung tích xi-lanh đến 125 cm3 hoặc có công suất động cơ điện đến 11 kW.","B":"Xe mô tô hai bánh có dung tích xi-lanh trên 125 cm3 hoặc có công suất động cơ điện trên 11 kW.","C":" Cả hai ý trên."},"answer":"C"},</v>
      </c>
    </row>
    <row r="517" spans="1:17" hidden="1" x14ac:dyDescent="0.25">
      <c r="A517">
        <v>1</v>
      </c>
      <c r="B517" t="s">
        <v>461</v>
      </c>
      <c r="C517">
        <f>IFERROR(COUNTIFS($A$1:A517,"Câu "&amp;"*")-MID(A517,5,FIND(".",A517,1)-5),0)</f>
        <v>0</v>
      </c>
      <c r="D517" t="str">
        <f t="shared" si="30"/>
        <v/>
      </c>
      <c r="E517" t="str">
        <f>SUBSTITUTE(IF(LEFT(A517,3)="Câu",MID(A517,FIND(".",A517,1)+2,LEN(A517)),""),CHAR(34),CHAR(92)&amp;CHAR(34))</f>
        <v/>
      </c>
      <c r="G517" t="str">
        <f>SUBSTITUTE(B518,CHAR(34),CHAR(92)&amp;CHAR(34))</f>
        <v>Xe mô tô hai bánh có dung tích xi-lanh trên 125 cm3 hoặc có công suất động cơ điện trên 11 kW.</v>
      </c>
      <c r="H517" t="str">
        <f>SUBSTITUTE(B519,CHAR(34),CHAR(92)&amp;CHAR(34))</f>
        <v xml:space="preserve"> Cả hai ý trên.</v>
      </c>
      <c r="I517" t="str">
        <f>SUBSTITUTE(IF(LEFT(A520,3)="Câu","",B520),CHAR(34),CHAR(92)&amp;CHAR(34))</f>
        <v/>
      </c>
      <c r="J517" t="str">
        <f>SUBSTITUTE(IF(OR(LEFT(A521,3)="Câu",I517=""),"",IF(B521=0,"",B521)),CHAR(34),CHAR(92)&amp;CHAR(34))</f>
        <v/>
      </c>
      <c r="K517" t="str">
        <f>SUBSTITUTE(SUBSTITUTE(SUBSTITUTE(SUBSTITUTE(IFERROR(VLOOKUP("Câu "&amp;D517&amp;".",dapan!$E:$J,6,0),""),"1","A"),"2","B"),"3","C"),"4","D")</f>
        <v/>
      </c>
      <c r="P517" t="str">
        <f t="shared" si="31"/>
        <v/>
      </c>
      <c r="Q517" t="str">
        <f t="shared" si="32"/>
        <v/>
      </c>
    </row>
    <row r="518" spans="1:17" hidden="1" x14ac:dyDescent="0.25">
      <c r="A518">
        <v>2</v>
      </c>
      <c r="B518" t="s">
        <v>464</v>
      </c>
      <c r="C518">
        <f>IFERROR(COUNTIFS($A$1:A518,"Câu "&amp;"*")-MID(A518,5,FIND(".",A518,1)-5),0)</f>
        <v>0</v>
      </c>
      <c r="D518" t="str">
        <f t="shared" si="30"/>
        <v/>
      </c>
      <c r="E518" t="str">
        <f>SUBSTITUTE(IF(LEFT(A518,3)="Câu",MID(A518,FIND(".",A518,1)+2,LEN(A518)),""),CHAR(34),CHAR(92)&amp;CHAR(34))</f>
        <v/>
      </c>
      <c r="G518" t="str">
        <f>SUBSTITUTE(B519,CHAR(34),CHAR(92)&amp;CHAR(34))</f>
        <v xml:space="preserve"> Cả hai ý trên.</v>
      </c>
      <c r="H518" t="str">
        <f>SUBSTITUTE(B520,CHAR(34),CHAR(92)&amp;CHAR(34))</f>
        <v/>
      </c>
      <c r="I518" t="str">
        <f>SUBSTITUTE(IF(LEFT(A521,3)="Câu","",B521),CHAR(34),CHAR(92)&amp;CHAR(34))</f>
        <v>Xe ô tô chở người đến 08 chỗ (không kể chỗ của người lái xe).</v>
      </c>
      <c r="J518" t="str">
        <f>SUBSTITUTE(IF(OR(LEFT(A522,3)="Câu",I518=""),"",IF(B522=0,"",B522)),CHAR(34),CHAR(92)&amp;CHAR(34))</f>
        <v>Xe ô tô tải và ô tô chuyên dùng có khối lượng toàn bộ theo thiết kế đến 3.500 kg.</v>
      </c>
      <c r="K518" t="str">
        <f>SUBSTITUTE(SUBSTITUTE(SUBSTITUTE(SUBSTITUTE(IFERROR(VLOOKUP("Câu "&amp;D518&amp;".",dapan!$E:$J,6,0),""),"1","A"),"2","B"),"3","C"),"4","D")</f>
        <v/>
      </c>
      <c r="P518" t="str">
        <f t="shared" si="31"/>
        <v/>
      </c>
      <c r="Q518" t="str">
        <f t="shared" si="32"/>
        <v/>
      </c>
    </row>
    <row r="519" spans="1:17" hidden="1" x14ac:dyDescent="0.25">
      <c r="A519">
        <v>3</v>
      </c>
      <c r="B519" t="s">
        <v>32</v>
      </c>
      <c r="C519">
        <f>IFERROR(COUNTIFS($A$1:A519,"Câu "&amp;"*")-MID(A519,5,FIND(".",A519,1)-5),0)</f>
        <v>0</v>
      </c>
      <c r="D519" t="str">
        <f t="shared" si="30"/>
        <v/>
      </c>
      <c r="E519" t="str">
        <f>SUBSTITUTE(IF(LEFT(A519,3)="Câu",MID(A519,FIND(".",A519,1)+2,LEN(A519)),""),CHAR(34),CHAR(92)&amp;CHAR(34))</f>
        <v/>
      </c>
      <c r="G519" t="str">
        <f>SUBSTITUTE(B520,CHAR(34),CHAR(92)&amp;CHAR(34))</f>
        <v/>
      </c>
      <c r="H519" t="str">
        <f>SUBSTITUTE(B521,CHAR(34),CHAR(92)&amp;CHAR(34))</f>
        <v>Xe ô tô chở người đến 08 chỗ (không kể chỗ của người lái xe).</v>
      </c>
      <c r="I519" t="str">
        <f>SUBSTITUTE(IF(LEFT(A522,3)="Câu","",B522),CHAR(34),CHAR(92)&amp;CHAR(34))</f>
        <v>Xe ô tô tải và ô tô chuyên dùng có khối lượng toàn bộ theo thiết kế đến 3.500 kg.</v>
      </c>
      <c r="J519" t="str">
        <f>SUBSTITUTE(IF(OR(LEFT(A523,3)="Câu",I519=""),"",IF(B523=0,"",B523)),CHAR(34),CHAR(92)&amp;CHAR(34))</f>
        <v xml:space="preserve"> Cả hai ý trên.</v>
      </c>
      <c r="K519" t="str">
        <f>SUBSTITUTE(SUBSTITUTE(SUBSTITUTE(SUBSTITUTE(IFERROR(VLOOKUP("Câu "&amp;D519&amp;".",dapan!$E:$J,6,0),""),"1","A"),"2","B"),"3","C"),"4","D")</f>
        <v/>
      </c>
      <c r="P519" t="str">
        <f t="shared" si="31"/>
        <v/>
      </c>
      <c r="Q519" t="str">
        <f t="shared" si="32"/>
        <v/>
      </c>
    </row>
    <row r="520" spans="1:17" x14ac:dyDescent="0.25">
      <c r="A520" t="s">
        <v>465</v>
      </c>
      <c r="C520">
        <f>IFERROR(COUNTIFS($A$1:A520,"Câu "&amp;"*")-MID(A520,5,FIND(".",A520,1)-5),0)</f>
        <v>0</v>
      </c>
      <c r="D520">
        <f t="shared" si="30"/>
        <v>127</v>
      </c>
      <c r="E520" t="str">
        <f>SUBSTITUTE(IF(LEFT(A520,3)="Câu",MID(A520,FIND(".",A520,1)+2,LEN(A520)),""),CHAR(34),CHAR(92)&amp;CHAR(34))</f>
        <v>Người có Giấy phép lái xe ô tô hạng B được phép điều khiển loại xe nào dưới đây?</v>
      </c>
      <c r="G520" t="str">
        <f>SUBSTITUTE(B521,CHAR(34),CHAR(92)&amp;CHAR(34))</f>
        <v>Xe ô tô chở người đến 08 chỗ (không kể chỗ của người lái xe).</v>
      </c>
      <c r="H520" t="str">
        <f>SUBSTITUTE(B522,CHAR(34),CHAR(92)&amp;CHAR(34))</f>
        <v>Xe ô tô tải và ô tô chuyên dùng có khối lượng toàn bộ theo thiết kế đến 3.500 kg.</v>
      </c>
      <c r="I520" t="str">
        <f>SUBSTITUTE(IF(LEFT(A523,3)="Câu","",B523),CHAR(34),CHAR(92)&amp;CHAR(34))</f>
        <v xml:space="preserve"> Cả hai ý trên.</v>
      </c>
      <c r="J520" t="str">
        <f>SUBSTITUTE(IF(OR(LEFT(A524,3)="Câu",I520=""),"",IF(B524=0,"",B524)),CHAR(34),CHAR(92)&amp;CHAR(34))</f>
        <v/>
      </c>
      <c r="K520" t="str">
        <f ca="1">SUBSTITUTE(SUBSTITUTE(SUBSTITUTE(SUBSTITUTE(IFERROR(VLOOKUP("Câu "&amp;D520&amp;".",dapan!$E:$J,6,0),""),"1","A"),"2","B"),"3","C"),"4","D")</f>
        <v>C</v>
      </c>
      <c r="P520">
        <f t="shared" si="31"/>
        <v>127</v>
      </c>
      <c r="Q520" t="str">
        <f t="shared" ca="1" si="32"/>
        <v>{"num":127,"id":127,"q":"Người có Giấy phép lái xe ô tô hạng B được phép điều khiển loại xe nào dưới đây?","opts":{"A":"Xe ô tô chở người đến 08 chỗ (không kể chỗ của người lái xe).","B":"Xe ô tô tải và ô tô chuyên dùng có khối lượng toàn bộ theo thiết kế đến 3.500 kg.","C":" Cả hai ý trên."},"answer":"C"},</v>
      </c>
    </row>
    <row r="521" spans="1:17" hidden="1" x14ac:dyDescent="0.25">
      <c r="A521">
        <v>1</v>
      </c>
      <c r="B521" t="s">
        <v>466</v>
      </c>
      <c r="C521">
        <f>IFERROR(COUNTIFS($A$1:A521,"Câu "&amp;"*")-MID(A521,5,FIND(".",A521,1)-5),0)</f>
        <v>0</v>
      </c>
      <c r="D521" t="str">
        <f t="shared" si="30"/>
        <v/>
      </c>
      <c r="E521" t="str">
        <f>SUBSTITUTE(IF(LEFT(A521,3)="Câu",MID(A521,FIND(".",A521,1)+2,LEN(A521)),""),CHAR(34),CHAR(92)&amp;CHAR(34))</f>
        <v/>
      </c>
      <c r="G521" t="str">
        <f>SUBSTITUTE(B522,CHAR(34),CHAR(92)&amp;CHAR(34))</f>
        <v>Xe ô tô tải và ô tô chuyên dùng có khối lượng toàn bộ theo thiết kế đến 3.500 kg.</v>
      </c>
      <c r="H521" t="str">
        <f>SUBSTITUTE(B523,CHAR(34),CHAR(92)&amp;CHAR(34))</f>
        <v xml:space="preserve"> Cả hai ý trên.</v>
      </c>
      <c r="I521" t="str">
        <f>SUBSTITUTE(IF(LEFT(A524,3)="Câu","",B524),CHAR(34),CHAR(92)&amp;CHAR(34))</f>
        <v/>
      </c>
      <c r="J521" t="str">
        <f>SUBSTITUTE(IF(OR(LEFT(A525,3)="Câu",I521=""),"",IF(B525=0,"",B525)),CHAR(34),CHAR(92)&amp;CHAR(34))</f>
        <v/>
      </c>
      <c r="K521" t="str">
        <f>SUBSTITUTE(SUBSTITUTE(SUBSTITUTE(SUBSTITUTE(IFERROR(VLOOKUP("Câu "&amp;D521&amp;".",dapan!$E:$J,6,0),""),"1","A"),"2","B"),"3","C"),"4","D")</f>
        <v/>
      </c>
      <c r="P521" t="str">
        <f t="shared" si="31"/>
        <v/>
      </c>
      <c r="Q521" t="str">
        <f t="shared" si="32"/>
        <v/>
      </c>
    </row>
    <row r="522" spans="1:17" hidden="1" x14ac:dyDescent="0.25">
      <c r="A522">
        <v>2</v>
      </c>
      <c r="B522" t="s">
        <v>467</v>
      </c>
      <c r="C522">
        <f>IFERROR(COUNTIFS($A$1:A522,"Câu "&amp;"*")-MID(A522,5,FIND(".",A522,1)-5),0)</f>
        <v>0</v>
      </c>
      <c r="D522" t="str">
        <f t="shared" si="30"/>
        <v/>
      </c>
      <c r="E522" t="str">
        <f>SUBSTITUTE(IF(LEFT(A522,3)="Câu",MID(A522,FIND(".",A522,1)+2,LEN(A522)),""),CHAR(34),CHAR(92)&amp;CHAR(34))</f>
        <v/>
      </c>
      <c r="G522" t="str">
        <f>SUBSTITUTE(B523,CHAR(34),CHAR(92)&amp;CHAR(34))</f>
        <v xml:space="preserve"> Cả hai ý trên.</v>
      </c>
      <c r="H522" t="str">
        <f>SUBSTITUTE(B524,CHAR(34),CHAR(92)&amp;CHAR(34))</f>
        <v/>
      </c>
      <c r="I522" t="str">
        <f>SUBSTITUTE(IF(LEFT(A525,3)="Câu","",B525),CHAR(34),CHAR(92)&amp;CHAR(34))</f>
        <v>Xe ô tô tải và ô tô chuyên dùng có khối lượng toàn bộ theo thiết kế trên 7.500 kg; các loại xe ô tô tải quy định cho giấy phép lái xe hạng C1 kéo rơ moóc có khối lượng toàn bộ theo thiết kế đến 750 kg.</v>
      </c>
      <c r="J522" t="str">
        <f>SUBSTITUTE(IF(OR(LEFT(A526,3)="Câu",I522=""),"",IF(B526=0,"",B526)),CHAR(34),CHAR(92)&amp;CHAR(34))</f>
        <v xml:space="preserve"> Xe ô tô tải và ô tô chuyên dùng có khối lượng toàn bộ theo thiết kế trên 3.500 kg đến 7.500 kg; các loại xe ô tô tải quy định cho giấy phép lái xe hạng C1 kéo rơ moóc có khối lượng toàn bộ theo thiết kế đến 750 kg.</v>
      </c>
      <c r="K522" t="str">
        <f>SUBSTITUTE(SUBSTITUTE(SUBSTITUTE(SUBSTITUTE(IFERROR(VLOOKUP("Câu "&amp;D522&amp;".",dapan!$E:$J,6,0),""),"1","A"),"2","B"),"3","C"),"4","D")</f>
        <v/>
      </c>
      <c r="P522" t="str">
        <f t="shared" si="31"/>
        <v/>
      </c>
      <c r="Q522" t="str">
        <f t="shared" si="32"/>
        <v/>
      </c>
    </row>
    <row r="523" spans="1:17" hidden="1" x14ac:dyDescent="0.25">
      <c r="A523">
        <v>3</v>
      </c>
      <c r="B523" t="s">
        <v>32</v>
      </c>
      <c r="C523">
        <f>IFERROR(COUNTIFS($A$1:A523,"Câu "&amp;"*")-MID(A523,5,FIND(".",A523,1)-5),0)</f>
        <v>0</v>
      </c>
      <c r="D523" t="str">
        <f t="shared" si="30"/>
        <v/>
      </c>
      <c r="E523" t="str">
        <f>SUBSTITUTE(IF(LEFT(A523,3)="Câu",MID(A523,FIND(".",A523,1)+2,LEN(A523)),""),CHAR(34),CHAR(92)&amp;CHAR(34))</f>
        <v/>
      </c>
      <c r="G523" t="str">
        <f>SUBSTITUTE(B524,CHAR(34),CHAR(92)&amp;CHAR(34))</f>
        <v/>
      </c>
      <c r="H523" t="str">
        <f>SUBSTITUTE(B525,CHAR(34),CHAR(92)&amp;CHAR(34))</f>
        <v>Xe ô tô tải và ô tô chuyên dùng có khối lượng toàn bộ theo thiết kế trên 7.500 kg; các loại xe ô tô tải quy định cho giấy phép lái xe hạng C1 kéo rơ moóc có khối lượng toàn bộ theo thiết kế đến 750 kg.</v>
      </c>
      <c r="I523" t="str">
        <f>SUBSTITUTE(IF(LEFT(A526,3)="Câu","",B526),CHAR(34),CHAR(92)&amp;CHAR(34))</f>
        <v xml:space="preserve"> Xe ô tô tải và ô tô chuyên dùng có khối lượng toàn bộ theo thiết kế trên 3.500 kg đến 7.500 kg; các loại xe ô tô tải quy định cho giấy phép lái xe hạng C1 kéo rơ moóc có khối lượng toàn bộ theo thiết kế đến 750 kg.</v>
      </c>
      <c r="J523" t="str">
        <f>SUBSTITUTE(IF(OR(LEFT(A527,3)="Câu",I523=""),"",IF(B527=0,"",B527)),CHAR(34),CHAR(92)&amp;CHAR(34))</f>
        <v>Cả hai ý trên.</v>
      </c>
      <c r="K523" t="str">
        <f>SUBSTITUTE(SUBSTITUTE(SUBSTITUTE(SUBSTITUTE(IFERROR(VLOOKUP("Câu "&amp;D523&amp;".",dapan!$E:$J,6,0),""),"1","A"),"2","B"),"3","C"),"4","D")</f>
        <v/>
      </c>
      <c r="P523" t="str">
        <f t="shared" si="31"/>
        <v/>
      </c>
      <c r="Q523" t="str">
        <f t="shared" si="32"/>
        <v/>
      </c>
    </row>
    <row r="524" spans="1:17" x14ac:dyDescent="0.25">
      <c r="A524" t="s">
        <v>468</v>
      </c>
      <c r="C524">
        <f>IFERROR(COUNTIFS($A$1:A524,"Câu "&amp;"*")-MID(A524,5,FIND(".",A524,1)-5),0)</f>
        <v>0</v>
      </c>
      <c r="D524">
        <f t="shared" si="30"/>
        <v>128</v>
      </c>
      <c r="E524" t="str">
        <f>SUBSTITUTE(IF(LEFT(A524,3)="Câu",MID(A524,FIND(".",A524,1)+2,LEN(A524)),""),CHAR(34),CHAR(92)&amp;CHAR(34))</f>
        <v>Người có Giấy phép lái xe hạng C1 được điều khiển loại xe nào dưới đây?</v>
      </c>
      <c r="G524" t="str">
        <f>SUBSTITUTE(B525,CHAR(34),CHAR(92)&amp;CHAR(34))</f>
        <v>Xe ô tô tải và ô tô chuyên dùng có khối lượng toàn bộ theo thiết kế trên 7.500 kg; các loại xe ô tô tải quy định cho giấy phép lái xe hạng C1 kéo rơ moóc có khối lượng toàn bộ theo thiết kế đến 750 kg.</v>
      </c>
      <c r="H524" t="str">
        <f>SUBSTITUTE(B526,CHAR(34),CHAR(92)&amp;CHAR(34))</f>
        <v xml:space="preserve"> Xe ô tô tải và ô tô chuyên dùng có khối lượng toàn bộ theo thiết kế trên 3.500 kg đến 7.500 kg; các loại xe ô tô tải quy định cho giấy phép lái xe hạng C1 kéo rơ moóc có khối lượng toàn bộ theo thiết kế đến 750 kg.</v>
      </c>
      <c r="I524" t="str">
        <f>SUBSTITUTE(IF(LEFT(A527,3)="Câu","",B527),CHAR(34),CHAR(92)&amp;CHAR(34))</f>
        <v>Cả hai ý trên.</v>
      </c>
      <c r="J524" t="str">
        <f>SUBSTITUTE(IF(OR(LEFT(A528,3)="Câu",I524=""),"",IF(B528=0,"",B528)),CHAR(34),CHAR(92)&amp;CHAR(34))</f>
        <v/>
      </c>
      <c r="K524" t="str">
        <f ca="1">SUBSTITUTE(SUBSTITUTE(SUBSTITUTE(SUBSTITUTE(IFERROR(VLOOKUP("Câu "&amp;D524&amp;".",dapan!$E:$J,6,0),""),"1","A"),"2","B"),"3","C"),"4","D")</f>
        <v>B</v>
      </c>
      <c r="P524">
        <f t="shared" si="31"/>
        <v>128</v>
      </c>
      <c r="Q524" t="str">
        <f t="shared" ca="1" si="32"/>
        <v>{"num":128,"id":128,"q":"Người có Giấy phép lái xe hạng C1 được điều khiển loại xe nào dưới đây?","opts":{"A":"Xe ô tô tải và ô tô chuyên dùng có khối lượng toàn bộ theo thiết kế trên 7.500 kg; các loại xe ô tô tải quy định cho giấy phép lái xe hạng C1 kéo rơ moóc có khối lượng toàn bộ theo thiết kế đến 750 kg.","B":" Xe ô tô tải và ô tô chuyên dùng có khối lượng toàn bộ theo thiết kế trên 3.500 kg đến 7.500 kg; các loại xe ô tô tải quy định cho giấy phép lái xe hạng C1 kéo rơ moóc có khối lượng toàn bộ theo thiết kế đến 750 kg.","C":"Cả hai ý trên."},"answer":"B"},</v>
      </c>
    </row>
    <row r="525" spans="1:17" hidden="1" x14ac:dyDescent="0.25">
      <c r="A525">
        <v>1</v>
      </c>
      <c r="B525" t="s">
        <v>469</v>
      </c>
      <c r="C525">
        <f>IFERROR(COUNTIFS($A$1:A525,"Câu "&amp;"*")-MID(A525,5,FIND(".",A525,1)-5),0)</f>
        <v>0</v>
      </c>
      <c r="D525" t="str">
        <f t="shared" si="30"/>
        <v/>
      </c>
      <c r="E525" t="str">
        <f>SUBSTITUTE(IF(LEFT(A525,3)="Câu",MID(A525,FIND(".",A525,1)+2,LEN(A525)),""),CHAR(34),CHAR(92)&amp;CHAR(34))</f>
        <v/>
      </c>
      <c r="G525" t="str">
        <f>SUBSTITUTE(B526,CHAR(34),CHAR(92)&amp;CHAR(34))</f>
        <v xml:space="preserve"> Xe ô tô tải và ô tô chuyên dùng có khối lượng toàn bộ theo thiết kế trên 3.500 kg đến 7.500 kg; các loại xe ô tô tải quy định cho giấy phép lái xe hạng C1 kéo rơ moóc có khối lượng toàn bộ theo thiết kế đến 750 kg.</v>
      </c>
      <c r="H525" t="str">
        <f>SUBSTITUTE(B527,CHAR(34),CHAR(92)&amp;CHAR(34))</f>
        <v>Cả hai ý trên.</v>
      </c>
      <c r="I525" t="str">
        <f>SUBSTITUTE(IF(LEFT(A528,3)="Câu","",B528),CHAR(34),CHAR(92)&amp;CHAR(34))</f>
        <v/>
      </c>
      <c r="J525" t="str">
        <f>SUBSTITUTE(IF(OR(LEFT(A529,3)="Câu",I525=""),"",IF(B529=0,"",B529)),CHAR(34),CHAR(92)&amp;CHAR(34))</f>
        <v/>
      </c>
      <c r="K525" t="str">
        <f>SUBSTITUTE(SUBSTITUTE(SUBSTITUTE(SUBSTITUTE(IFERROR(VLOOKUP("Câu "&amp;D525&amp;".",dapan!$E:$J,6,0),""),"1","A"),"2","B"),"3","C"),"4","D")</f>
        <v/>
      </c>
      <c r="P525" t="str">
        <f t="shared" si="31"/>
        <v/>
      </c>
      <c r="Q525" t="str">
        <f t="shared" si="32"/>
        <v/>
      </c>
    </row>
    <row r="526" spans="1:17" hidden="1" x14ac:dyDescent="0.25">
      <c r="A526">
        <v>2</v>
      </c>
      <c r="B526" t="s">
        <v>470</v>
      </c>
      <c r="C526">
        <f>IFERROR(COUNTIFS($A$1:A526,"Câu "&amp;"*")-MID(A526,5,FIND(".",A526,1)-5),0)</f>
        <v>0</v>
      </c>
      <c r="D526" t="str">
        <f t="shared" si="30"/>
        <v/>
      </c>
      <c r="E526" t="str">
        <f>SUBSTITUTE(IF(LEFT(A526,3)="Câu",MID(A526,FIND(".",A526,1)+2,LEN(A526)),""),CHAR(34),CHAR(92)&amp;CHAR(34))</f>
        <v/>
      </c>
      <c r="G526" t="str">
        <f>SUBSTITUTE(B527,CHAR(34),CHAR(92)&amp;CHAR(34))</f>
        <v>Cả hai ý trên.</v>
      </c>
      <c r="H526" t="str">
        <f>SUBSTITUTE(B528,CHAR(34),CHAR(92)&amp;CHAR(34))</f>
        <v/>
      </c>
      <c r="I526" t="str">
        <f>SUBSTITUTE(IF(LEFT(A529,3)="Câu","",B529),CHAR(34),CHAR(92)&amp;CHAR(34))</f>
        <v>Xe ô tô tải và ô tô chuyên dùng có khối lượng toàn bộ theo thiết kế trên 3.500 kg đến 7.500 kg; các loại xe ô tô tải quy định cho giấy phép lái xe hạng C1 kéo rơ moóc có khối lượng toàn bộ theo thiết kế đến 750 kg.</v>
      </c>
      <c r="J526" t="str">
        <f>SUBSTITUTE(IF(OR(LEFT(A530,3)="Câu",I526=""),"",IF(B530=0,"",B530)),CHAR(34),CHAR(92)&amp;CHAR(34))</f>
        <v>Xe ô tô tải và ô tô chuyên dùng có khối lượng toàn bộ theo thiết kế trên 7.500 kg; các loại xe ô tô tải quy định cho giấy phép lái xe hạng C kéo rơ moóc có khối lượng toàn bộ theo thiết kế đến 750 kg.</v>
      </c>
      <c r="K526" t="str">
        <f>SUBSTITUTE(SUBSTITUTE(SUBSTITUTE(SUBSTITUTE(IFERROR(VLOOKUP("Câu "&amp;D526&amp;".",dapan!$E:$J,6,0),""),"1","A"),"2","B"),"3","C"),"4","D")</f>
        <v/>
      </c>
      <c r="P526" t="str">
        <f t="shared" si="31"/>
        <v/>
      </c>
      <c r="Q526" t="str">
        <f t="shared" si="32"/>
        <v/>
      </c>
    </row>
    <row r="527" spans="1:17" hidden="1" x14ac:dyDescent="0.25">
      <c r="A527">
        <v>3</v>
      </c>
      <c r="B527" t="s">
        <v>18</v>
      </c>
      <c r="C527">
        <f>IFERROR(COUNTIFS($A$1:A527,"Câu "&amp;"*")-MID(A527,5,FIND(".",A527,1)-5),0)</f>
        <v>0</v>
      </c>
      <c r="D527" t="str">
        <f t="shared" si="30"/>
        <v/>
      </c>
      <c r="E527" t="str">
        <f>SUBSTITUTE(IF(LEFT(A527,3)="Câu",MID(A527,FIND(".",A527,1)+2,LEN(A527)),""),CHAR(34),CHAR(92)&amp;CHAR(34))</f>
        <v/>
      </c>
      <c r="G527" t="str">
        <f>SUBSTITUTE(B528,CHAR(34),CHAR(92)&amp;CHAR(34))</f>
        <v/>
      </c>
      <c r="H527" t="str">
        <f>SUBSTITUTE(B529,CHAR(34),CHAR(92)&amp;CHAR(34))</f>
        <v>Xe ô tô tải và ô tô chuyên dùng có khối lượng toàn bộ theo thiết kế trên 3.500 kg đến 7.500 kg; các loại xe ô tô tải quy định cho giấy phép lái xe hạng C1 kéo rơ moóc có khối lượng toàn bộ theo thiết kế đến 750 kg.</v>
      </c>
      <c r="I527" t="str">
        <f>SUBSTITUTE(IF(LEFT(A530,3)="Câu","",B530),CHAR(34),CHAR(92)&amp;CHAR(34))</f>
        <v>Xe ô tô tải và ô tô chuyên dùng có khối lượng toàn bộ theo thiết kế trên 7.500 kg; các loại xe ô tô tải quy định cho giấy phép lái xe hạng C kéo rơ moóc có khối lượng toàn bộ theo thiết kế đến 750 kg.</v>
      </c>
      <c r="J527" t="str">
        <f>SUBSTITUTE(IF(OR(LEFT(A531,3)="Câu",I527=""),"",IF(B531=0,"",B531)),CHAR(34),CHAR(92)&amp;CHAR(34))</f>
        <v xml:space="preserve"> Cả hai ý trên.</v>
      </c>
      <c r="K527" t="str">
        <f>SUBSTITUTE(SUBSTITUTE(SUBSTITUTE(SUBSTITUTE(IFERROR(VLOOKUP("Câu "&amp;D527&amp;".",dapan!$E:$J,6,0),""),"1","A"),"2","B"),"3","C"),"4","D")</f>
        <v/>
      </c>
      <c r="P527" t="str">
        <f t="shared" si="31"/>
        <v/>
      </c>
      <c r="Q527" t="str">
        <f t="shared" si="32"/>
        <v/>
      </c>
    </row>
    <row r="528" spans="1:17" x14ac:dyDescent="0.25">
      <c r="A528" t="s">
        <v>471</v>
      </c>
      <c r="C528">
        <f>IFERROR(COUNTIFS($A$1:A528,"Câu "&amp;"*")-MID(A528,5,FIND(".",A528,1)-5),0)</f>
        <v>0</v>
      </c>
      <c r="D528">
        <f t="shared" si="30"/>
        <v>129</v>
      </c>
      <c r="E528" t="str">
        <f>SUBSTITUTE(IF(LEFT(A528,3)="Câu",MID(A528,FIND(".",A528,1)+2,LEN(A528)),""),CHAR(34),CHAR(92)&amp;CHAR(34))</f>
        <v>Người có Giấy phép lái xe hạng C được điều khiển loại xe nào dưới đây?</v>
      </c>
      <c r="G528" t="str">
        <f>SUBSTITUTE(B529,CHAR(34),CHAR(92)&amp;CHAR(34))</f>
        <v>Xe ô tô tải và ô tô chuyên dùng có khối lượng toàn bộ theo thiết kế trên 3.500 kg đến 7.500 kg; các loại xe ô tô tải quy định cho giấy phép lái xe hạng C1 kéo rơ moóc có khối lượng toàn bộ theo thiết kế đến 750 kg.</v>
      </c>
      <c r="H528" t="str">
        <f>SUBSTITUTE(B530,CHAR(34),CHAR(92)&amp;CHAR(34))</f>
        <v>Xe ô tô tải và ô tô chuyên dùng có khối lượng toàn bộ theo thiết kế trên 7.500 kg; các loại xe ô tô tải quy định cho giấy phép lái xe hạng C kéo rơ moóc có khối lượng toàn bộ theo thiết kế đến 750 kg.</v>
      </c>
      <c r="I528" t="str">
        <f>SUBSTITUTE(IF(LEFT(A531,3)="Câu","",B531),CHAR(34),CHAR(92)&amp;CHAR(34))</f>
        <v xml:space="preserve"> Cả hai ý trên.</v>
      </c>
      <c r="J528" t="str">
        <f>SUBSTITUTE(IF(OR(LEFT(A532,3)="Câu",I528=""),"",IF(B532=0,"",B532)),CHAR(34),CHAR(92)&amp;CHAR(34))</f>
        <v/>
      </c>
      <c r="K528" t="str">
        <f ca="1">SUBSTITUTE(SUBSTITUTE(SUBSTITUTE(SUBSTITUTE(IFERROR(VLOOKUP("Câu "&amp;D528&amp;".",dapan!$E:$J,6,0),""),"1","A"),"2","B"),"3","C"),"4","D")</f>
        <v>C</v>
      </c>
      <c r="P528">
        <f t="shared" si="31"/>
        <v>129</v>
      </c>
      <c r="Q528" t="str">
        <f t="shared" ca="1" si="32"/>
        <v>{"num":129,"id":129,"q":"Người có Giấy phép lái xe hạng C được điều khiển loại xe nào dưới đây?","opts":{"A":"Xe ô tô tải và ô tô chuyên dùng có khối lượng toàn bộ theo thiết kế trên 3.500 kg đến 7.500 kg; các loại xe ô tô tải quy định cho giấy phép lái xe hạng C1 kéo rơ moóc có khối lượng toàn bộ theo thiết kế đến 750 kg.","B":"Xe ô tô tải và ô tô chuyên dùng có khối lượng toàn bộ theo thiết kế trên 7.500 kg; các loại xe ô tô tải quy định cho giấy phép lái xe hạng C kéo rơ moóc có khối lượng toàn bộ theo thiết kế đến 750 kg.","C":" Cả hai ý trên."},"answer":"C"},</v>
      </c>
    </row>
    <row r="529" spans="1:17" hidden="1" x14ac:dyDescent="0.25">
      <c r="A529">
        <v>1</v>
      </c>
      <c r="B529" t="s">
        <v>472</v>
      </c>
      <c r="C529">
        <f>IFERROR(COUNTIFS($A$1:A529,"Câu "&amp;"*")-MID(A529,5,FIND(".",A529,1)-5),0)</f>
        <v>0</v>
      </c>
      <c r="D529" t="str">
        <f t="shared" si="30"/>
        <v/>
      </c>
      <c r="E529" t="str">
        <f>SUBSTITUTE(IF(LEFT(A529,3)="Câu",MID(A529,FIND(".",A529,1)+2,LEN(A529)),""),CHAR(34),CHAR(92)&amp;CHAR(34))</f>
        <v/>
      </c>
      <c r="G529" t="str">
        <f>SUBSTITUTE(B530,CHAR(34),CHAR(92)&amp;CHAR(34))</f>
        <v>Xe ô tô tải và ô tô chuyên dùng có khối lượng toàn bộ theo thiết kế trên 7.500 kg; các loại xe ô tô tải quy định cho giấy phép lái xe hạng C kéo rơ moóc có khối lượng toàn bộ theo thiết kế đến 750 kg.</v>
      </c>
      <c r="H529" t="str">
        <f>SUBSTITUTE(B531,CHAR(34),CHAR(92)&amp;CHAR(34))</f>
        <v xml:space="preserve"> Cả hai ý trên.</v>
      </c>
      <c r="I529" t="str">
        <f>SUBSTITUTE(IF(LEFT(A532,3)="Câu","",B532),CHAR(34),CHAR(92)&amp;CHAR(34))</f>
        <v/>
      </c>
      <c r="J529" t="str">
        <f>SUBSTITUTE(IF(OR(LEFT(A533,3)="Câu",I529=""),"",IF(B533=0,"",B533)),CHAR(34),CHAR(92)&amp;CHAR(34))</f>
        <v/>
      </c>
      <c r="K529" t="str">
        <f>SUBSTITUTE(SUBSTITUTE(SUBSTITUTE(SUBSTITUTE(IFERROR(VLOOKUP("Câu "&amp;D529&amp;".",dapan!$E:$J,6,0),""),"1","A"),"2","B"),"3","C"),"4","D")</f>
        <v/>
      </c>
      <c r="P529" t="str">
        <f t="shared" si="31"/>
        <v/>
      </c>
      <c r="Q529" t="str">
        <f t="shared" si="32"/>
        <v/>
      </c>
    </row>
    <row r="530" spans="1:17" hidden="1" x14ac:dyDescent="0.25">
      <c r="A530">
        <v>2</v>
      </c>
      <c r="B530" t="s">
        <v>473</v>
      </c>
      <c r="C530">
        <f>IFERROR(COUNTIFS($A$1:A530,"Câu "&amp;"*")-MID(A530,5,FIND(".",A530,1)-5),0)</f>
        <v>0</v>
      </c>
      <c r="D530" t="str">
        <f t="shared" si="30"/>
        <v/>
      </c>
      <c r="E530" t="str">
        <f>SUBSTITUTE(IF(LEFT(A530,3)="Câu",MID(A530,FIND(".",A530,1)+2,LEN(A530)),""),CHAR(34),CHAR(92)&amp;CHAR(34))</f>
        <v/>
      </c>
      <c r="G530" t="str">
        <f>SUBSTITUTE(B531,CHAR(34),CHAR(92)&amp;CHAR(34))</f>
        <v xml:space="preserve"> Cả hai ý trên.</v>
      </c>
      <c r="H530" t="str">
        <f>SUBSTITUTE(B532,CHAR(34),CHAR(92)&amp;CHAR(34))</f>
        <v/>
      </c>
      <c r="I530" t="str">
        <f>SUBSTITUTE(IF(LEFT(A533,3)="Câu","",B533),CHAR(34),CHAR(92)&amp;CHAR(34))</f>
        <v>Xe ô tô chở người (kể cả xe buýt) trên 16 chỗ (không kể chỗ của người lái xe) đến 29 chỗ (không kể chỗ của người lái xe); các loại xe ô tô chở người quy định cho giấy phép lái xe hạng D1 kéo rơ moóc có khối lượng toàn bộ theo thiết kế đến 750 kg.</v>
      </c>
      <c r="J530" t="str">
        <f>SUBSTITUTE(IF(OR(LEFT(A534,3)="Câu",I530=""),"",IF(B534=0,"",B534)),CHAR(34),CHAR(92)&amp;CHAR(34))</f>
        <v xml:space="preserve">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v>
      </c>
      <c r="K530" t="str">
        <f>SUBSTITUTE(SUBSTITUTE(SUBSTITUTE(SUBSTITUTE(IFERROR(VLOOKUP("Câu "&amp;D530&amp;".",dapan!$E:$J,6,0),""),"1","A"),"2","B"),"3","C"),"4","D")</f>
        <v/>
      </c>
      <c r="P530" t="str">
        <f t="shared" si="31"/>
        <v/>
      </c>
      <c r="Q530" t="str">
        <f t="shared" si="32"/>
        <v/>
      </c>
    </row>
    <row r="531" spans="1:17" hidden="1" x14ac:dyDescent="0.25">
      <c r="A531">
        <v>3</v>
      </c>
      <c r="B531" t="s">
        <v>32</v>
      </c>
      <c r="C531">
        <f>IFERROR(COUNTIFS($A$1:A531,"Câu "&amp;"*")-MID(A531,5,FIND(".",A531,1)-5),0)</f>
        <v>0</v>
      </c>
      <c r="D531" t="str">
        <f t="shared" si="30"/>
        <v/>
      </c>
      <c r="E531" t="str">
        <f>SUBSTITUTE(IF(LEFT(A531,3)="Câu",MID(A531,FIND(".",A531,1)+2,LEN(A531)),""),CHAR(34),CHAR(92)&amp;CHAR(34))</f>
        <v/>
      </c>
      <c r="G531" t="str">
        <f>SUBSTITUTE(B532,CHAR(34),CHAR(92)&amp;CHAR(34))</f>
        <v/>
      </c>
      <c r="H531" t="str">
        <f>SUBSTITUTE(B533,CHAR(34),CHAR(92)&amp;CHAR(34))</f>
        <v>Xe ô tô chở người (kể cả xe buýt) trên 16 chỗ (không kể chỗ của người lái xe) đến 29 chỗ (không kể chỗ của người lái xe); các loại xe ô tô chở người quy định cho giấy phép lái xe hạng D1 kéo rơ moóc có khối lượng toàn bộ theo thiết kế đến 750 kg.</v>
      </c>
      <c r="I531" t="str">
        <f>SUBSTITUTE(IF(LEFT(A534,3)="Câu","",B534),CHAR(34),CHAR(92)&amp;CHAR(34))</f>
        <v xml:space="preserve">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v>
      </c>
      <c r="J531" t="str">
        <f>SUBSTITUTE(IF(OR(LEFT(A535,3)="Câu",I531=""),"",IF(B535=0,"",B535)),CHAR(34),CHAR(92)&amp;CHAR(34))</f>
        <v>Cả hai ý trên.</v>
      </c>
      <c r="K531" t="str">
        <f>SUBSTITUTE(SUBSTITUTE(SUBSTITUTE(SUBSTITUTE(IFERROR(VLOOKUP("Câu "&amp;D531&amp;".",dapan!$E:$J,6,0),""),"1","A"),"2","B"),"3","C"),"4","D")</f>
        <v/>
      </c>
      <c r="P531" t="str">
        <f t="shared" si="31"/>
        <v/>
      </c>
      <c r="Q531" t="str">
        <f t="shared" si="32"/>
        <v/>
      </c>
    </row>
    <row r="532" spans="1:17" x14ac:dyDescent="0.25">
      <c r="A532" t="s">
        <v>474</v>
      </c>
      <c r="C532">
        <f>IFERROR(COUNTIFS($A$1:A532,"Câu "&amp;"*")-MID(A532,5,FIND(".",A532,1)-5),0)</f>
        <v>0</v>
      </c>
      <c r="D532">
        <f t="shared" si="30"/>
        <v>130</v>
      </c>
      <c r="E532" t="str">
        <f>SUBSTITUTE(IF(LEFT(A532,3)="Câu",MID(A532,FIND(".",A532,1)+2,LEN(A532)),""),CHAR(34),CHAR(92)&amp;CHAR(34))</f>
        <v>Người có Giấy phép lái xe hạng D1 được điều khiển loại xe nào dưới đây?</v>
      </c>
      <c r="G532" t="str">
        <f>SUBSTITUTE(B533,CHAR(34),CHAR(92)&amp;CHAR(34))</f>
        <v>Xe ô tô chở người (kể cả xe buýt) trên 16 chỗ (không kể chỗ của người lái xe) đến 29 chỗ (không kể chỗ của người lái xe); các loại xe ô tô chở người quy định cho giấy phép lái xe hạng D1 kéo rơ moóc có khối lượng toàn bộ theo thiết kế đến 750 kg.</v>
      </c>
      <c r="H532" t="str">
        <f>SUBSTITUTE(B534,CHAR(34),CHAR(92)&amp;CHAR(34))</f>
        <v xml:space="preserve">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v>
      </c>
      <c r="I532" t="str">
        <f>SUBSTITUTE(IF(LEFT(A535,3)="Câu","",B535),CHAR(34),CHAR(92)&amp;CHAR(34))</f>
        <v>Cả hai ý trên.</v>
      </c>
      <c r="J532" t="str">
        <f>SUBSTITUTE(IF(OR(LEFT(A536,3)="Câu",I532=""),"",IF(B536=0,"",B536)),CHAR(34),CHAR(92)&amp;CHAR(34))</f>
        <v/>
      </c>
      <c r="K532" t="str">
        <f ca="1">SUBSTITUTE(SUBSTITUTE(SUBSTITUTE(SUBSTITUTE(IFERROR(VLOOKUP("Câu "&amp;D532&amp;".",dapan!$E:$J,6,0),""),"1","A"),"2","B"),"3","C"),"4","D")</f>
        <v>B</v>
      </c>
      <c r="P532">
        <f t="shared" si="31"/>
        <v>130</v>
      </c>
      <c r="Q532" t="str">
        <f t="shared" ca="1" si="32"/>
        <v>{"num":130,"id":130,"q":"Người có Giấy phép lái xe hạng D1 được điều khiển loại xe nào dưới đây?","opts":{"A":"Xe ô tô chở người (kể cả xe buýt) trên 16 chỗ (không kể chỗ của người lái xe) đến 29 chỗ (không kể chỗ của người lái xe); các loại xe ô tô chở người quy định cho giấy phép lái xe hạng D1 kéo rơ moóc có khối lượng toàn bộ theo thiết kế đến 750 kg.","B":"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kg.","C":"Cả hai ý trên."},"answer":"B"},</v>
      </c>
    </row>
    <row r="533" spans="1:17" hidden="1" x14ac:dyDescent="0.25">
      <c r="A533">
        <v>1</v>
      </c>
      <c r="B533" t="s">
        <v>475</v>
      </c>
      <c r="C533">
        <f>IFERROR(COUNTIFS($A$1:A533,"Câu "&amp;"*")-MID(A533,5,FIND(".",A533,1)-5),0)</f>
        <v>0</v>
      </c>
      <c r="D533" t="str">
        <f t="shared" si="30"/>
        <v/>
      </c>
      <c r="E533" t="str">
        <f>SUBSTITUTE(IF(LEFT(A533,3)="Câu",MID(A533,FIND(".",A533,1)+2,LEN(A533)),""),CHAR(34),CHAR(92)&amp;CHAR(34))</f>
        <v/>
      </c>
      <c r="G533" t="str">
        <f>SUBSTITUTE(B534,CHAR(34),CHAR(92)&amp;CHAR(34))</f>
        <v xml:space="preserve"> 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v>
      </c>
      <c r="H533" t="str">
        <f>SUBSTITUTE(B535,CHAR(34),CHAR(92)&amp;CHAR(34))</f>
        <v>Cả hai ý trên.</v>
      </c>
      <c r="I533" t="str">
        <f>SUBSTITUTE(IF(LEFT(A536,3)="Câu","",B536),CHAR(34),CHAR(92)&amp;CHAR(34))</f>
        <v/>
      </c>
      <c r="J533" t="str">
        <f>SUBSTITUTE(IF(OR(LEFT(A537,3)="Câu",I533=""),"",IF(B537=0,"",B537)),CHAR(34),CHAR(92)&amp;CHAR(34))</f>
        <v/>
      </c>
      <c r="K533" t="str">
        <f>SUBSTITUTE(SUBSTITUTE(SUBSTITUTE(SUBSTITUTE(IFERROR(VLOOKUP("Câu "&amp;D533&amp;".",dapan!$E:$J,6,0),""),"1","A"),"2","B"),"3","C"),"4","D")</f>
        <v/>
      </c>
      <c r="P533" t="str">
        <f t="shared" si="31"/>
        <v/>
      </c>
      <c r="Q533" t="str">
        <f t="shared" si="32"/>
        <v/>
      </c>
    </row>
    <row r="534" spans="1:17" hidden="1" x14ac:dyDescent="0.25">
      <c r="A534">
        <v>2</v>
      </c>
      <c r="B534" t="s">
        <v>476</v>
      </c>
      <c r="C534">
        <f>IFERROR(COUNTIFS($A$1:A534,"Câu "&amp;"*")-MID(A534,5,FIND(".",A534,1)-5),0)</f>
        <v>0</v>
      </c>
      <c r="D534" t="str">
        <f t="shared" si="30"/>
        <v/>
      </c>
      <c r="E534" t="str">
        <f>SUBSTITUTE(IF(LEFT(A534,3)="Câu",MID(A534,FIND(".",A534,1)+2,LEN(A534)),""),CHAR(34),CHAR(92)&amp;CHAR(34))</f>
        <v/>
      </c>
      <c r="G534" t="str">
        <f>SUBSTITUTE(B535,CHAR(34),CHAR(92)&amp;CHAR(34))</f>
        <v>Cả hai ý trên.</v>
      </c>
      <c r="H534" t="str">
        <f>SUBSTITUTE(B536,CHAR(34),CHAR(92)&amp;CHAR(34))</f>
        <v/>
      </c>
      <c r="I534" t="str">
        <f>SUBSTITUTE(IF(LEFT(A537,3)="Câu","",B537),CHAR(34),CHAR(92)&amp;CHAR(34))</f>
        <v>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v>
      </c>
      <c r="J534" t="str">
        <f>SUBSTITUTE(IF(OR(LEFT(A538,3)="Câu",I534=""),"",IF(B538=0,"",B538)),CHAR(34),CHAR(92)&amp;CHAR(34))</f>
        <v>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v>
      </c>
      <c r="K534" t="str">
        <f>SUBSTITUTE(SUBSTITUTE(SUBSTITUTE(SUBSTITUTE(IFERROR(VLOOKUP("Câu "&amp;D534&amp;".",dapan!$E:$J,6,0),""),"1","A"),"2","B"),"3","C"),"4","D")</f>
        <v/>
      </c>
      <c r="P534" t="str">
        <f t="shared" si="31"/>
        <v/>
      </c>
      <c r="Q534" t="str">
        <f t="shared" si="32"/>
        <v/>
      </c>
    </row>
    <row r="535" spans="1:17" hidden="1" x14ac:dyDescent="0.25">
      <c r="A535">
        <v>3</v>
      </c>
      <c r="B535" t="s">
        <v>18</v>
      </c>
      <c r="C535">
        <f>IFERROR(COUNTIFS($A$1:A535,"Câu "&amp;"*")-MID(A535,5,FIND(".",A535,1)-5),0)</f>
        <v>0</v>
      </c>
      <c r="D535" t="str">
        <f t="shared" si="30"/>
        <v/>
      </c>
      <c r="E535" t="str">
        <f>SUBSTITUTE(IF(LEFT(A535,3)="Câu",MID(A535,FIND(".",A535,1)+2,LEN(A535)),""),CHAR(34),CHAR(92)&amp;CHAR(34))</f>
        <v/>
      </c>
      <c r="G535" t="str">
        <f>SUBSTITUTE(B536,CHAR(34),CHAR(92)&amp;CHAR(34))</f>
        <v/>
      </c>
      <c r="H535" t="str">
        <f>SUBSTITUTE(B537,CHAR(34),CHAR(92)&amp;CHAR(34))</f>
        <v>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v>
      </c>
      <c r="I535" t="str">
        <f>SUBSTITUTE(IF(LEFT(A538,3)="Câu","",B538),CHAR(34),CHAR(92)&amp;CHAR(34))</f>
        <v>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v>
      </c>
      <c r="J535" t="str">
        <f>SUBSTITUTE(IF(OR(LEFT(A539,3)="Câu",I535=""),"",IF(B539=0,"",B539)),CHAR(34),CHAR(92)&amp;CHAR(34))</f>
        <v xml:space="preserve"> Cả hai ý trên.</v>
      </c>
      <c r="K535" t="str">
        <f>SUBSTITUTE(SUBSTITUTE(SUBSTITUTE(SUBSTITUTE(IFERROR(VLOOKUP("Câu "&amp;D535&amp;".",dapan!$E:$J,6,0),""),"1","A"),"2","B"),"3","C"),"4","D")</f>
        <v/>
      </c>
      <c r="P535" t="str">
        <f t="shared" si="31"/>
        <v/>
      </c>
      <c r="Q535" t="str">
        <f t="shared" si="32"/>
        <v/>
      </c>
    </row>
    <row r="536" spans="1:17" x14ac:dyDescent="0.25">
      <c r="A536" t="s">
        <v>477</v>
      </c>
      <c r="C536">
        <f>IFERROR(COUNTIFS($A$1:A536,"Câu "&amp;"*")-MID(A536,5,FIND(".",A536,1)-5),0)</f>
        <v>0</v>
      </c>
      <c r="D536">
        <f t="shared" si="30"/>
        <v>131</v>
      </c>
      <c r="E536" t="str">
        <f>SUBSTITUTE(IF(LEFT(A536,3)="Câu",MID(A536,FIND(".",A536,1)+2,LEN(A536)),""),CHAR(34),CHAR(92)&amp;CHAR(34))</f>
        <v>Người có Giấy phép lái xe hạng D2 được điều khiển loại xe nào dưới đây?</v>
      </c>
      <c r="G536" t="str">
        <f>SUBSTITUTE(B537,CHAR(34),CHAR(92)&amp;CHAR(34))</f>
        <v>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v>
      </c>
      <c r="H536" t="str">
        <f>SUBSTITUTE(B538,CHAR(34),CHAR(92)&amp;CHAR(34))</f>
        <v>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v>
      </c>
      <c r="I536" t="str">
        <f>SUBSTITUTE(IF(LEFT(A539,3)="Câu","",B539),CHAR(34),CHAR(92)&amp;CHAR(34))</f>
        <v xml:space="preserve"> Cả hai ý trên.</v>
      </c>
      <c r="J536" t="str">
        <f>SUBSTITUTE(IF(OR(LEFT(A540,3)="Câu",I536=""),"",IF(B540=0,"",B540)),CHAR(34),CHAR(92)&amp;CHAR(34))</f>
        <v/>
      </c>
      <c r="K536" t="str">
        <f ca="1">SUBSTITUTE(SUBSTITUTE(SUBSTITUTE(SUBSTITUTE(IFERROR(VLOOKUP("Câu "&amp;D536&amp;".",dapan!$E:$J,6,0),""),"1","A"),"2","B"),"3","C"),"4","D")</f>
        <v>C</v>
      </c>
      <c r="P536">
        <f t="shared" si="31"/>
        <v>131</v>
      </c>
      <c r="Q536" t="str">
        <f t="shared" ca="1" si="32"/>
        <v>{"num":131,"id":131,"q":"Người có Giấy phép lái xe hạng D2 được điều khiển loại xe nào dưới đây?","opts":{"A":"Xe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kg.","B":"Xe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kg.","C":" Cả hai ý trên."},"answer":"C"},</v>
      </c>
    </row>
    <row r="537" spans="1:17" hidden="1" x14ac:dyDescent="0.25">
      <c r="A537">
        <v>1</v>
      </c>
      <c r="B537" t="s">
        <v>478</v>
      </c>
      <c r="C537">
        <f>IFERROR(COUNTIFS($A$1:A537,"Câu "&amp;"*")-MID(A537,5,FIND(".",A537,1)-5),0)</f>
        <v>0</v>
      </c>
      <c r="D537" t="str">
        <f t="shared" ref="D537:D600" si="33">IF(LEFT(A537,3)="Câu",VALUE(MID(A537,5,FIND(".",A537,1)-5)),"")</f>
        <v/>
      </c>
      <c r="E537" t="str">
        <f>SUBSTITUTE(IF(LEFT(A537,3)="Câu",MID(A537,FIND(".",A537,1)+2,LEN(A537)),""),CHAR(34),CHAR(92)&amp;CHAR(34))</f>
        <v/>
      </c>
      <c r="G537" t="str">
        <f>SUBSTITUTE(B538,CHAR(34),CHAR(92)&amp;CHAR(34))</f>
        <v>Xe ô tô chở người trên 08 chỗ (không kể chỗ của người lái xe) đến 16 chỗ (không kể chỗ của người lái xe); các loại xe ô tô chở người quy định cho giấy phép lái xe hạng D1 kéo rơ moóc có khối lượng toàn bộ theo thiết kế đến 750 kg.</v>
      </c>
      <c r="H537" t="str">
        <f>SUBSTITUTE(B539,CHAR(34),CHAR(92)&amp;CHAR(34))</f>
        <v xml:space="preserve"> Cả hai ý trên.</v>
      </c>
      <c r="I537" t="str">
        <f>SUBSTITUTE(IF(LEFT(A540,3)="Câu","",B540),CHAR(34),CHAR(92)&amp;CHAR(34))</f>
        <v/>
      </c>
      <c r="J537" t="str">
        <f>SUBSTITUTE(IF(OR(LEFT(A541,3)="Câu",I537=""),"",IF(B541=0,"",B541)),CHAR(34),CHAR(92)&amp;CHAR(34))</f>
        <v/>
      </c>
      <c r="K537" t="str">
        <f>SUBSTITUTE(SUBSTITUTE(SUBSTITUTE(SUBSTITUTE(IFERROR(VLOOKUP("Câu "&amp;D537&amp;".",dapan!$E:$J,6,0),""),"1","A"),"2","B"),"3","C"),"4","D")</f>
        <v/>
      </c>
      <c r="P537" t="str">
        <f t="shared" si="31"/>
        <v/>
      </c>
      <c r="Q537" t="str">
        <f t="shared" si="32"/>
        <v/>
      </c>
    </row>
    <row r="538" spans="1:17" hidden="1" x14ac:dyDescent="0.25">
      <c r="A538">
        <v>2</v>
      </c>
      <c r="B538" t="s">
        <v>479</v>
      </c>
      <c r="C538">
        <f>IFERROR(COUNTIFS($A$1:A538,"Câu "&amp;"*")-MID(A538,5,FIND(".",A538,1)-5),0)</f>
        <v>0</v>
      </c>
      <c r="D538" t="str">
        <f t="shared" si="33"/>
        <v/>
      </c>
      <c r="E538" t="str">
        <f>SUBSTITUTE(IF(LEFT(A538,3)="Câu",MID(A538,FIND(".",A538,1)+2,LEN(A538)),""),CHAR(34),CHAR(92)&amp;CHAR(34))</f>
        <v/>
      </c>
      <c r="G538" t="str">
        <f>SUBSTITUTE(B539,CHAR(34),CHAR(92)&amp;CHAR(34))</f>
        <v xml:space="preserve"> Cả hai ý trên.</v>
      </c>
      <c r="H538" t="str">
        <f>SUBSTITUTE(B540,CHAR(34),CHAR(92)&amp;CHAR(34))</f>
        <v/>
      </c>
      <c r="I538" t="str">
        <f>SUBSTITUTE(IF(LEFT(A541,3)="Câu","",B541),CHAR(34),CHAR(92)&amp;CHAR(34))</f>
        <v>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v>
      </c>
      <c r="J538" t="str">
        <f>SUBSTITUTE(IF(OR(LEFT(A542,3)="Câu",I538=""),"",IF(B542=0,"",B542)),CHAR(34),CHAR(92)&amp;CHAR(34))</f>
        <v>Xe ô tô chở người (kể cả xe buýt) trên 16 chỗ (không kể chỗ của người lái xe) đến 29 chỗ (không kể chỗ của người lái xe).</v>
      </c>
      <c r="K538" t="str">
        <f>SUBSTITUTE(SUBSTITUTE(SUBSTITUTE(SUBSTITUTE(IFERROR(VLOOKUP("Câu "&amp;D538&amp;".",dapan!$E:$J,6,0),""),"1","A"),"2","B"),"3","C"),"4","D")</f>
        <v/>
      </c>
      <c r="P538" t="str">
        <f t="shared" si="31"/>
        <v/>
      </c>
      <c r="Q538" t="str">
        <f t="shared" si="32"/>
        <v/>
      </c>
    </row>
    <row r="539" spans="1:17" hidden="1" x14ac:dyDescent="0.25">
      <c r="A539">
        <v>3</v>
      </c>
      <c r="B539" t="s">
        <v>32</v>
      </c>
      <c r="C539">
        <f>IFERROR(COUNTIFS($A$1:A539,"Câu "&amp;"*")-MID(A539,5,FIND(".",A539,1)-5),0)</f>
        <v>0</v>
      </c>
      <c r="D539" t="str">
        <f t="shared" si="33"/>
        <v/>
      </c>
      <c r="E539" t="str">
        <f>SUBSTITUTE(IF(LEFT(A539,3)="Câu",MID(A539,FIND(".",A539,1)+2,LEN(A539)),""),CHAR(34),CHAR(92)&amp;CHAR(34))</f>
        <v/>
      </c>
      <c r="G539" t="str">
        <f>SUBSTITUTE(B540,CHAR(34),CHAR(92)&amp;CHAR(34))</f>
        <v/>
      </c>
      <c r="H539" t="str">
        <f>SUBSTITUTE(B541,CHAR(34),CHAR(92)&amp;CHAR(34))</f>
        <v>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v>
      </c>
      <c r="I539" t="str">
        <f>SUBSTITUTE(IF(LEFT(A542,3)="Câu","",B542),CHAR(34),CHAR(92)&amp;CHAR(34))</f>
        <v>Xe ô tô chở người (kể cả xe buýt) trên 16 chỗ (không kể chỗ của người lái xe) đến 29 chỗ (không kể chỗ của người lái xe).</v>
      </c>
      <c r="J539" t="str">
        <f>SUBSTITUTE(IF(OR(LEFT(A543,3)="Câu",I539=""),"",IF(B543=0,"",B543)),CHAR(34),CHAR(92)&amp;CHAR(34))</f>
        <v>Các loại xe ô tô quy định cho giấy phép lái xe hạng C kéo rơ moóc có khối lượng toàn bộ theo thiết kế trên 750 kg; xe ô tô đầu kéo kéo sơ mi rơ moóc.</v>
      </c>
      <c r="K539" t="str">
        <f>SUBSTITUTE(SUBSTITUTE(SUBSTITUTE(SUBSTITUTE(IFERROR(VLOOKUP("Câu "&amp;D539&amp;".",dapan!$E:$J,6,0),""),"1","A"),"2","B"),"3","C"),"4","D")</f>
        <v/>
      </c>
      <c r="P539" t="str">
        <f t="shared" si="31"/>
        <v/>
      </c>
      <c r="Q539" t="str">
        <f t="shared" si="32"/>
        <v/>
      </c>
    </row>
    <row r="540" spans="1:17" x14ac:dyDescent="0.25">
      <c r="A540" t="s">
        <v>480</v>
      </c>
      <c r="C540">
        <f>IFERROR(COUNTIFS($A$1:A540,"Câu "&amp;"*")-MID(A540,5,FIND(".",A540,1)-5),0)</f>
        <v>0</v>
      </c>
      <c r="D540">
        <f t="shared" si="33"/>
        <v>132</v>
      </c>
      <c r="E540" t="str">
        <f>SUBSTITUTE(IF(LEFT(A540,3)="Câu",MID(A540,FIND(".",A540,1)+2,LEN(A540)),""),CHAR(34),CHAR(92)&amp;CHAR(34))</f>
        <v>Người có Giấy phép lái xe hạng D được điều khiển loại xe nào dưới đây?</v>
      </c>
      <c r="G540" t="str">
        <f>SUBSTITUTE(B541,CHAR(34),CHAR(92)&amp;CHAR(34))</f>
        <v>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v>
      </c>
      <c r="H540" t="str">
        <f>SUBSTITUTE(B542,CHAR(34),CHAR(92)&amp;CHAR(34))</f>
        <v>Xe ô tô chở người (kể cả xe buýt) trên 16 chỗ (không kể chỗ của người lái xe) đến 29 chỗ (không kể chỗ của người lái xe).</v>
      </c>
      <c r="I540" t="str">
        <f>SUBSTITUTE(IF(LEFT(A543,3)="Câu","",B543),CHAR(34),CHAR(92)&amp;CHAR(34))</f>
        <v>Các loại xe ô tô quy định cho giấy phép lái xe hạng C kéo rơ moóc có khối lượng toàn bộ theo thiết kế trên 750 kg; xe ô tô đầu kéo kéo sơ mi rơ moóc.</v>
      </c>
      <c r="J540" t="str">
        <f>SUBSTITUTE(IF(OR(LEFT(A544,3)="Câu",I540=""),"",IF(B544=0,"",B544)),CHAR(34),CHAR(92)&amp;CHAR(34))</f>
        <v xml:space="preserve"> Ý 1 và ý 2.</v>
      </c>
      <c r="K540" t="str">
        <f ca="1">SUBSTITUTE(SUBSTITUTE(SUBSTITUTE(SUBSTITUTE(IFERROR(VLOOKUP("Câu "&amp;D540&amp;".",dapan!$E:$J,6,0),""),"1","A"),"2","B"),"3","C"),"4","D")</f>
        <v>D</v>
      </c>
      <c r="P540">
        <f t="shared" si="31"/>
        <v>132</v>
      </c>
      <c r="Q540" t="str">
        <f t="shared" ca="1" si="32"/>
        <v>{"num":132,"id":132,"q":"Người có Giấy phép lái xe hạng D được điều khiển loại xe nào dưới đây?","opts":{"A":"Xe ô tô chở người (kể cả xe buýt) trên 29 chỗ (không kể chỗ của người lái xe); xe ô tô chở người giường nằm; các loại xe ô tô chở người quy định cho giấy phép lái xe hạng D kéo rơ moóc có khối lượng toàn bộ theo thiết kế đến 750 kg.","B":"Xe ô tô chở người (kể cả xe buýt) trên 16 chỗ (không kể chỗ của người lái xe) đến 29 chỗ (không kể chỗ của người lái xe).","C":"Các loại xe ô tô quy định cho giấy phép lái xe hạng C kéo rơ moóc có khối lượng toàn bộ theo thiết kế trên 750 kg; xe ô tô đầu kéo kéo sơ mi rơ moóc.","D":" Ý 1 và ý 2."},"answer":"D"},</v>
      </c>
    </row>
    <row r="541" spans="1:17" hidden="1" x14ac:dyDescent="0.25">
      <c r="A541">
        <v>1</v>
      </c>
      <c r="B541" t="s">
        <v>481</v>
      </c>
      <c r="C541">
        <f>IFERROR(COUNTIFS($A$1:A541,"Câu "&amp;"*")-MID(A541,5,FIND(".",A541,1)-5),0)</f>
        <v>0</v>
      </c>
      <c r="D541" t="str">
        <f t="shared" si="33"/>
        <v/>
      </c>
      <c r="E541" t="str">
        <f>SUBSTITUTE(IF(LEFT(A541,3)="Câu",MID(A541,FIND(".",A541,1)+2,LEN(A541)),""),CHAR(34),CHAR(92)&amp;CHAR(34))</f>
        <v/>
      </c>
      <c r="G541" t="str">
        <f>SUBSTITUTE(B542,CHAR(34),CHAR(92)&amp;CHAR(34))</f>
        <v>Xe ô tô chở người (kể cả xe buýt) trên 16 chỗ (không kể chỗ của người lái xe) đến 29 chỗ (không kể chỗ của người lái xe).</v>
      </c>
      <c r="H541" t="str">
        <f>SUBSTITUTE(B543,CHAR(34),CHAR(92)&amp;CHAR(34))</f>
        <v>Các loại xe ô tô quy định cho giấy phép lái xe hạng C kéo rơ moóc có khối lượng toàn bộ theo thiết kế trên 750 kg; xe ô tô đầu kéo kéo sơ mi rơ moóc.</v>
      </c>
      <c r="I541" t="str">
        <f>SUBSTITUTE(IF(LEFT(A544,3)="Câu","",B544),CHAR(34),CHAR(92)&amp;CHAR(34))</f>
        <v xml:space="preserve"> Ý 1 và ý 2.</v>
      </c>
      <c r="J541" t="str">
        <f>SUBSTITUTE(IF(OR(LEFT(A545,3)="Câu",I541=""),"",IF(B545=0,"",B545)),CHAR(34),CHAR(92)&amp;CHAR(34))</f>
        <v/>
      </c>
      <c r="K541" t="str">
        <f>SUBSTITUTE(SUBSTITUTE(SUBSTITUTE(SUBSTITUTE(IFERROR(VLOOKUP("Câu "&amp;D541&amp;".",dapan!$E:$J,6,0),""),"1","A"),"2","B"),"3","C"),"4","D")</f>
        <v/>
      </c>
      <c r="P541" t="str">
        <f t="shared" si="31"/>
        <v/>
      </c>
      <c r="Q541" t="str">
        <f t="shared" si="32"/>
        <v/>
      </c>
    </row>
    <row r="542" spans="1:17" hidden="1" x14ac:dyDescent="0.25">
      <c r="A542">
        <v>2</v>
      </c>
      <c r="B542" t="s">
        <v>482</v>
      </c>
      <c r="C542">
        <f>IFERROR(COUNTIFS($A$1:A542,"Câu "&amp;"*")-MID(A542,5,FIND(".",A542,1)-5),0)</f>
        <v>0</v>
      </c>
      <c r="D542" t="str">
        <f t="shared" si="33"/>
        <v/>
      </c>
      <c r="E542" t="str">
        <f>SUBSTITUTE(IF(LEFT(A542,3)="Câu",MID(A542,FIND(".",A542,1)+2,LEN(A542)),""),CHAR(34),CHAR(92)&amp;CHAR(34))</f>
        <v/>
      </c>
      <c r="G542" t="str">
        <f>SUBSTITUTE(B543,CHAR(34),CHAR(92)&amp;CHAR(34))</f>
        <v>Các loại xe ô tô quy định cho giấy phép lái xe hạng C kéo rơ moóc có khối lượng toàn bộ theo thiết kế trên 750 kg; xe ô tô đầu kéo kéo sơ mi rơ moóc.</v>
      </c>
      <c r="H542" t="str">
        <f>SUBSTITUTE(B544,CHAR(34),CHAR(92)&amp;CHAR(34))</f>
        <v xml:space="preserve"> Ý 1 và ý 2.</v>
      </c>
      <c r="I542" t="str">
        <f>SUBSTITUTE(IF(LEFT(A545,3)="Câu","",B545),CHAR(34),CHAR(92)&amp;CHAR(34))</f>
        <v/>
      </c>
      <c r="J542" t="str">
        <f>SUBSTITUTE(IF(OR(LEFT(A546,3)="Câu",I542=""),"",IF(B546=0,"",B546)),CHAR(34),CHAR(92)&amp;CHAR(34))</f>
        <v/>
      </c>
      <c r="K542" t="str">
        <f>SUBSTITUTE(SUBSTITUTE(SUBSTITUTE(SUBSTITUTE(IFERROR(VLOOKUP("Câu "&amp;D542&amp;".",dapan!$E:$J,6,0),""),"1","A"),"2","B"),"3","C"),"4","D")</f>
        <v/>
      </c>
      <c r="P542" t="str">
        <f t="shared" si="31"/>
        <v/>
      </c>
      <c r="Q542" t="str">
        <f t="shared" si="32"/>
        <v/>
      </c>
    </row>
    <row r="543" spans="1:17" hidden="1" x14ac:dyDescent="0.25">
      <c r="A543">
        <v>3</v>
      </c>
      <c r="B543" t="s">
        <v>483</v>
      </c>
      <c r="C543">
        <f>IFERROR(COUNTIFS($A$1:A543,"Câu "&amp;"*")-MID(A543,5,FIND(".",A543,1)-5),0)</f>
        <v>0</v>
      </c>
      <c r="D543" t="str">
        <f t="shared" si="33"/>
        <v/>
      </c>
      <c r="E543" t="str">
        <f>SUBSTITUTE(IF(LEFT(A543,3)="Câu",MID(A543,FIND(".",A543,1)+2,LEN(A543)),""),CHAR(34),CHAR(92)&amp;CHAR(34))</f>
        <v/>
      </c>
      <c r="G543" t="str">
        <f>SUBSTITUTE(B544,CHAR(34),CHAR(92)&amp;CHAR(34))</f>
        <v xml:space="preserve"> Ý 1 và ý 2.</v>
      </c>
      <c r="H543" t="str">
        <f>SUBSTITUTE(B545,CHAR(34),CHAR(92)&amp;CHAR(34))</f>
        <v/>
      </c>
      <c r="I543" t="str">
        <f>SUBSTITUTE(IF(LEFT(A546,3)="Câu","",B546),CHAR(34),CHAR(92)&amp;CHAR(34))</f>
        <v>Xe ô tô chở người (kể cả xe buýt) trên 29 chỗ (không kể chỗ của người lái xe); xe ô tô chở người giường nằm.</v>
      </c>
      <c r="J543" t="str">
        <f>SUBSTITUTE(IF(OR(LEFT(A547,3)="Câu",I543=""),"",IF(B547=0,"",B547)),CHAR(34),CHAR(92)&amp;CHAR(34))</f>
        <v xml:space="preserve"> Các loại xe ô tô quy định cho giấy phép lái xe hạng B kéo rơ moóc có khối lượng toàn bộ theo thiết kế trên 750 kg.</v>
      </c>
      <c r="K543" t="str">
        <f>SUBSTITUTE(SUBSTITUTE(SUBSTITUTE(SUBSTITUTE(IFERROR(VLOOKUP("Câu "&amp;D543&amp;".",dapan!$E:$J,6,0),""),"1","A"),"2","B"),"3","C"),"4","D")</f>
        <v/>
      </c>
      <c r="P543" t="str">
        <f t="shared" si="31"/>
        <v/>
      </c>
      <c r="Q543" t="str">
        <f t="shared" si="32"/>
        <v/>
      </c>
    </row>
    <row r="544" spans="1:17" hidden="1" x14ac:dyDescent="0.25">
      <c r="A544">
        <v>4</v>
      </c>
      <c r="B544" t="s">
        <v>239</v>
      </c>
      <c r="C544">
        <f>IFERROR(COUNTIFS($A$1:A544,"Câu "&amp;"*")-MID(A544,5,FIND(".",A544,1)-5),0)</f>
        <v>0</v>
      </c>
      <c r="D544" t="str">
        <f t="shared" si="33"/>
        <v/>
      </c>
      <c r="E544" t="str">
        <f>SUBSTITUTE(IF(LEFT(A544,3)="Câu",MID(A544,FIND(".",A544,1)+2,LEN(A544)),""),CHAR(34),CHAR(92)&amp;CHAR(34))</f>
        <v/>
      </c>
      <c r="G544" t="str">
        <f>SUBSTITUTE(B545,CHAR(34),CHAR(92)&amp;CHAR(34))</f>
        <v/>
      </c>
      <c r="H544" t="str">
        <f>SUBSTITUTE(B546,CHAR(34),CHAR(92)&amp;CHAR(34))</f>
        <v>Xe ô tô chở người (kể cả xe buýt) trên 29 chỗ (không kể chỗ của người lái xe); xe ô tô chở người giường nằm.</v>
      </c>
      <c r="I544" t="str">
        <f>SUBSTITUTE(IF(LEFT(A547,3)="Câu","",B547),CHAR(34),CHAR(92)&amp;CHAR(34))</f>
        <v xml:space="preserve"> Các loại xe ô tô quy định cho giấy phép lái xe hạng B kéo rơ moóc có khối lượng toàn bộ theo thiết kế trên 750 kg.</v>
      </c>
      <c r="J544" t="str">
        <f>SUBSTITUTE(IF(OR(LEFT(A548,3)="Câu",I544=""),"",IF(B548=0,"",B548)),CHAR(34),CHAR(92)&amp;CHAR(34))</f>
        <v>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v>
      </c>
      <c r="K544" t="str">
        <f>SUBSTITUTE(SUBSTITUTE(SUBSTITUTE(SUBSTITUTE(IFERROR(VLOOKUP("Câu "&amp;D544&amp;".",dapan!$E:$J,6,0),""),"1","A"),"2","B"),"3","C"),"4","D")</f>
        <v/>
      </c>
      <c r="P544" t="str">
        <f t="shared" si="31"/>
        <v/>
      </c>
      <c r="Q544" t="str">
        <f t="shared" si="32"/>
        <v/>
      </c>
    </row>
    <row r="545" spans="1:17" x14ac:dyDescent="0.25">
      <c r="A545" t="s">
        <v>484</v>
      </c>
      <c r="C545">
        <f>IFERROR(COUNTIFS($A$1:A545,"Câu "&amp;"*")-MID(A545,5,FIND(".",A545,1)-5),0)</f>
        <v>0</v>
      </c>
      <c r="D545">
        <f t="shared" si="33"/>
        <v>133</v>
      </c>
      <c r="E545" t="str">
        <f>SUBSTITUTE(IF(LEFT(A545,3)="Câu",MID(A545,FIND(".",A545,1)+2,LEN(A545)),""),CHAR(34),CHAR(92)&amp;CHAR(34))</f>
        <v>Người có Giấy phép lái xe hạng BE được điều khiển loại xe nào dưới đây?</v>
      </c>
      <c r="G545" t="str">
        <f>SUBSTITUTE(B546,CHAR(34),CHAR(92)&amp;CHAR(34))</f>
        <v>Xe ô tô chở người (kể cả xe buýt) trên 29 chỗ (không kể chỗ của người lái xe); xe ô tô chở người giường nằm.</v>
      </c>
      <c r="H545" t="str">
        <f>SUBSTITUTE(B547,CHAR(34),CHAR(92)&amp;CHAR(34))</f>
        <v xml:space="preserve"> Các loại xe ô tô quy định cho giấy phép lái xe hạng B kéo rơ moóc có khối lượng toàn bộ theo thiết kế trên 750 kg.</v>
      </c>
      <c r="I545" t="str">
        <f>SUBSTITUTE(IF(LEFT(A548,3)="Câu","",B548),CHAR(34),CHAR(92)&amp;CHAR(34))</f>
        <v>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v>
      </c>
      <c r="J545" t="str">
        <f>SUBSTITUTE(IF(OR(LEFT(A549,3)="Câu",I545=""),"",IF(B549=0,"",B549)),CHAR(34),CHAR(92)&amp;CHAR(34))</f>
        <v/>
      </c>
      <c r="K545" t="str">
        <f ca="1">SUBSTITUTE(SUBSTITUTE(SUBSTITUTE(SUBSTITUTE(IFERROR(VLOOKUP("Câu "&amp;D545&amp;".",dapan!$E:$J,6,0),""),"1","A"),"2","B"),"3","C"),"4","D")</f>
        <v>B</v>
      </c>
      <c r="P545">
        <f t="shared" si="31"/>
        <v>133</v>
      </c>
      <c r="Q545" t="str">
        <f t="shared" ca="1" si="32"/>
        <v>{"num":133,"id":133,"q":"Người có Giấy phép lái xe hạng BE được điều khiển loại xe nào dưới đây?","opts":{"A":"Xe ô tô chở người (kể cả xe buýt) trên 29 chỗ (không kể chỗ của người lái xe); xe ô tô chở người giường nằm.","B":" Các loại xe ô tô quy định cho giấy phép lái xe hạng B kéo rơ moóc có khối lượng toàn bộ theo thiết kế trên 750 kg.","C":"Xe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kg."},"answer":"B"},</v>
      </c>
    </row>
    <row r="546" spans="1:17" hidden="1" x14ac:dyDescent="0.25">
      <c r="A546">
        <v>1</v>
      </c>
      <c r="B546" t="s">
        <v>485</v>
      </c>
      <c r="C546">
        <f>IFERROR(COUNTIFS($A$1:A546,"Câu "&amp;"*")-MID(A546,5,FIND(".",A546,1)-5),0)</f>
        <v>0</v>
      </c>
      <c r="D546" t="str">
        <f t="shared" si="33"/>
        <v/>
      </c>
      <c r="E546" t="str">
        <f>SUBSTITUTE(IF(LEFT(A546,3)="Câu",MID(A546,FIND(".",A546,1)+2,LEN(A546)),""),CHAR(34),CHAR(92)&amp;CHAR(34))</f>
        <v/>
      </c>
      <c r="G546" t="str">
        <f>SUBSTITUTE(B547,CHAR(34),CHAR(92)&amp;CHAR(34))</f>
        <v xml:space="preserve"> Các loại xe ô tô quy định cho giấy phép lái xe hạng B kéo rơ moóc có khối lượng toàn bộ theo thiết kế trên 750 kg.</v>
      </c>
      <c r="H546" t="str">
        <f>SUBSTITUTE(B548,CHAR(34),CHAR(92)&amp;CHAR(34))</f>
        <v>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v>
      </c>
      <c r="I546" t="str">
        <f>SUBSTITUTE(IF(LEFT(A549,3)="Câu","",B549),CHAR(34),CHAR(92)&amp;CHAR(34))</f>
        <v/>
      </c>
      <c r="J546" t="str">
        <f>SUBSTITUTE(IF(OR(LEFT(A550,3)="Câu",I546=""),"",IF(B550=0,"",B550)),CHAR(34),CHAR(92)&amp;CHAR(34))</f>
        <v/>
      </c>
      <c r="K546" t="str">
        <f>SUBSTITUTE(SUBSTITUTE(SUBSTITUTE(SUBSTITUTE(IFERROR(VLOOKUP("Câu "&amp;D546&amp;".",dapan!$E:$J,6,0),""),"1","A"),"2","B"),"3","C"),"4","D")</f>
        <v/>
      </c>
      <c r="P546" t="str">
        <f t="shared" si="31"/>
        <v/>
      </c>
      <c r="Q546" t="str">
        <f t="shared" si="32"/>
        <v/>
      </c>
    </row>
    <row r="547" spans="1:17" hidden="1" x14ac:dyDescent="0.25">
      <c r="A547">
        <v>2</v>
      </c>
      <c r="B547" t="s">
        <v>486</v>
      </c>
      <c r="C547">
        <f>IFERROR(COUNTIFS($A$1:A547,"Câu "&amp;"*")-MID(A547,5,FIND(".",A547,1)-5),0)</f>
        <v>0</v>
      </c>
      <c r="D547" t="str">
        <f t="shared" si="33"/>
        <v/>
      </c>
      <c r="E547" t="str">
        <f>SUBSTITUTE(IF(LEFT(A547,3)="Câu",MID(A547,FIND(".",A547,1)+2,LEN(A547)),""),CHAR(34),CHAR(92)&amp;CHAR(34))</f>
        <v/>
      </c>
      <c r="G547" t="str">
        <f>SUBSTITUTE(B548,CHAR(34),CHAR(92)&amp;CHAR(34))</f>
        <v>Xe ô tô chở người (kể cả xe buýt) trên 16 chỗ (không kể chỗ của người lái xe) đến 29 chỗ (không kể chỗ của người lái xe); các loại xe ô tô chở người quy định cho giấy phép lái xe hạng D2 kéo rơ moóc có khối lượng toàn bộ theo thiết kế đến 750 kg.</v>
      </c>
      <c r="H547" t="str">
        <f>SUBSTITUTE(B549,CHAR(34),CHAR(92)&amp;CHAR(34))</f>
        <v/>
      </c>
      <c r="I547" t="str">
        <f>SUBSTITUTE(IF(LEFT(A550,3)="Câu","",B550),CHAR(34),CHAR(92)&amp;CHAR(34))</f>
        <v xml:space="preserve"> Các loại xe ô tô quy định cho giấy phép lái xe hạng C kéo rơ moóc có khối lượng toàn bộ theo thiết kế trên 750 kg; xe ô tô đầu kéo kéo sơ mi rơ moóc.</v>
      </c>
      <c r="J547" t="str">
        <f>SUBSTITUTE(IF(OR(LEFT(A551,3)="Câu",I547=""),"",IF(B551=0,"",B551)),CHAR(34),CHAR(92)&amp;CHAR(34))</f>
        <v>Các loại xe ô tô quy định cho giấy phép lái xe hạng D1 kéo rơ moóc có khối lượng toàn bộ theo thiết kế trên 750 kg.</v>
      </c>
      <c r="K547" t="str">
        <f>SUBSTITUTE(SUBSTITUTE(SUBSTITUTE(SUBSTITUTE(IFERROR(VLOOKUP("Câu "&amp;D547&amp;".",dapan!$E:$J,6,0),""),"1","A"),"2","B"),"3","C"),"4","D")</f>
        <v/>
      </c>
      <c r="P547" t="str">
        <f t="shared" si="31"/>
        <v/>
      </c>
      <c r="Q547" t="str">
        <f t="shared" si="32"/>
        <v/>
      </c>
    </row>
    <row r="548" spans="1:17" hidden="1" x14ac:dyDescent="0.25">
      <c r="A548">
        <v>3</v>
      </c>
      <c r="B548" t="s">
        <v>478</v>
      </c>
      <c r="C548">
        <f>IFERROR(COUNTIFS($A$1:A548,"Câu "&amp;"*")-MID(A548,5,FIND(".",A548,1)-5),0)</f>
        <v>0</v>
      </c>
      <c r="D548" t="str">
        <f t="shared" si="33"/>
        <v/>
      </c>
      <c r="E548" t="str">
        <f>SUBSTITUTE(IF(LEFT(A548,3)="Câu",MID(A548,FIND(".",A548,1)+2,LEN(A548)),""),CHAR(34),CHAR(92)&amp;CHAR(34))</f>
        <v/>
      </c>
      <c r="G548" t="str">
        <f>SUBSTITUTE(B549,CHAR(34),CHAR(92)&amp;CHAR(34))</f>
        <v/>
      </c>
      <c r="H548" t="str">
        <f>SUBSTITUTE(B550,CHAR(34),CHAR(92)&amp;CHAR(34))</f>
        <v xml:space="preserve"> Các loại xe ô tô quy định cho giấy phép lái xe hạng C kéo rơ moóc có khối lượng toàn bộ theo thiết kế trên 750 kg; xe ô tô đầu kéo kéo sơ mi rơ moóc.</v>
      </c>
      <c r="I548" t="str">
        <f>SUBSTITUTE(IF(LEFT(A551,3)="Câu","",B551),CHAR(34),CHAR(92)&amp;CHAR(34))</f>
        <v>Các loại xe ô tô quy định cho giấy phép lái xe hạng D1 kéo rơ moóc có khối lượng toàn bộ theo thiết kế trên 750 kg.</v>
      </c>
      <c r="J548" t="str">
        <f>SUBSTITUTE(IF(OR(LEFT(A552,3)="Câu",I548=""),"",IF(B552=0,"",B552)),CHAR(34),CHAR(92)&amp;CHAR(34))</f>
        <v>Cả hai ý trên.</v>
      </c>
      <c r="K548" t="str">
        <f>SUBSTITUTE(SUBSTITUTE(SUBSTITUTE(SUBSTITUTE(IFERROR(VLOOKUP("Câu "&amp;D548&amp;".",dapan!$E:$J,6,0),""),"1","A"),"2","B"),"3","C"),"4","D")</f>
        <v/>
      </c>
      <c r="P548" t="str">
        <f t="shared" si="31"/>
        <v/>
      </c>
      <c r="Q548" t="str">
        <f t="shared" si="32"/>
        <v/>
      </c>
    </row>
    <row r="549" spans="1:17" x14ac:dyDescent="0.25">
      <c r="A549" t="s">
        <v>487</v>
      </c>
      <c r="C549">
        <f>IFERROR(COUNTIFS($A$1:A549,"Câu "&amp;"*")-MID(A549,5,FIND(".",A549,1)-5),0)</f>
        <v>0</v>
      </c>
      <c r="D549">
        <f t="shared" si="33"/>
        <v>134</v>
      </c>
      <c r="E549" t="str">
        <f>SUBSTITUTE(IF(LEFT(A549,3)="Câu",MID(A549,FIND(".",A549,1)+2,LEN(A549)),""),CHAR(34),CHAR(92)&amp;CHAR(34))</f>
        <v>Người có Giấy phép lái xe hạng CE được điều khiển loại xe nào dưới đây?</v>
      </c>
      <c r="G549" t="str">
        <f>SUBSTITUTE(B550,CHAR(34),CHAR(92)&amp;CHAR(34))</f>
        <v xml:space="preserve"> Các loại xe ô tô quy định cho giấy phép lái xe hạng C kéo rơ moóc có khối lượng toàn bộ theo thiết kế trên 750 kg; xe ô tô đầu kéo kéo sơ mi rơ moóc.</v>
      </c>
      <c r="H549" t="str">
        <f>SUBSTITUTE(B551,CHAR(34),CHAR(92)&amp;CHAR(34))</f>
        <v>Các loại xe ô tô quy định cho giấy phép lái xe hạng D1 kéo rơ moóc có khối lượng toàn bộ theo thiết kế trên 750 kg.</v>
      </c>
      <c r="I549" t="str">
        <f>SUBSTITUTE(IF(LEFT(A552,3)="Câu","",B552),CHAR(34),CHAR(92)&amp;CHAR(34))</f>
        <v>Cả hai ý trên.</v>
      </c>
      <c r="J549" t="str">
        <f>SUBSTITUTE(IF(OR(LEFT(A553,3)="Câu",I549=""),"",IF(B553=0,"",B553)),CHAR(34),CHAR(92)&amp;CHAR(34))</f>
        <v/>
      </c>
      <c r="K549" t="str">
        <f ca="1">SUBSTITUTE(SUBSTITUTE(SUBSTITUTE(SUBSTITUTE(IFERROR(VLOOKUP("Câu "&amp;D549&amp;".",dapan!$E:$J,6,0),""),"1","A"),"2","B"),"3","C"),"4","D")</f>
        <v>A</v>
      </c>
      <c r="P549">
        <f t="shared" si="31"/>
        <v>134</v>
      </c>
      <c r="Q549" t="str">
        <f t="shared" ca="1" si="32"/>
        <v>{"num":134,"id":134,"q":"Người có Giấy phép lái xe hạng CE được điều khiển loại xe nào dưới đây?","opts":{"A":" Các loại xe ô tô quy định cho giấy phép lái xe hạng C kéo rơ moóc có khối lượng toàn bộ theo thiết kế trên 750 kg; xe ô tô đầu kéo kéo sơ mi rơ moóc.","B":"Các loại xe ô tô quy định cho giấy phép lái xe hạng D1 kéo rơ moóc có khối lượng toàn bộ theo thiết kế trên 750 kg.","C":"Cả hai ý trên."},"answer":"A"},</v>
      </c>
    </row>
    <row r="550" spans="1:17" hidden="1" x14ac:dyDescent="0.25">
      <c r="A550">
        <v>1</v>
      </c>
      <c r="B550" t="s">
        <v>488</v>
      </c>
      <c r="C550">
        <f>IFERROR(COUNTIFS($A$1:A550,"Câu "&amp;"*")-MID(A550,5,FIND(".",A550,1)-5),0)</f>
        <v>0</v>
      </c>
      <c r="D550" t="str">
        <f t="shared" si="33"/>
        <v/>
      </c>
      <c r="E550" t="str">
        <f>SUBSTITUTE(IF(LEFT(A550,3)="Câu",MID(A550,FIND(".",A550,1)+2,LEN(A550)),""),CHAR(34),CHAR(92)&amp;CHAR(34))</f>
        <v/>
      </c>
      <c r="G550" t="str">
        <f>SUBSTITUTE(B551,CHAR(34),CHAR(92)&amp;CHAR(34))</f>
        <v>Các loại xe ô tô quy định cho giấy phép lái xe hạng D1 kéo rơ moóc có khối lượng toàn bộ theo thiết kế trên 750 kg.</v>
      </c>
      <c r="H550" t="str">
        <f>SUBSTITUTE(B552,CHAR(34),CHAR(92)&amp;CHAR(34))</f>
        <v>Cả hai ý trên.</v>
      </c>
      <c r="I550" t="str">
        <f>SUBSTITUTE(IF(LEFT(A553,3)="Câu","",B553),CHAR(34),CHAR(92)&amp;CHAR(34))</f>
        <v/>
      </c>
      <c r="J550" t="str">
        <f>SUBSTITUTE(IF(OR(LEFT(A554,3)="Câu",I550=""),"",IF(B554=0,"",B554)),CHAR(34),CHAR(92)&amp;CHAR(34))</f>
        <v/>
      </c>
      <c r="K550" t="str">
        <f>SUBSTITUTE(SUBSTITUTE(SUBSTITUTE(SUBSTITUTE(IFERROR(VLOOKUP("Câu "&amp;D550&amp;".",dapan!$E:$J,6,0),""),"1","A"),"2","B"),"3","C"),"4","D")</f>
        <v/>
      </c>
      <c r="P550" t="str">
        <f t="shared" si="31"/>
        <v/>
      </c>
      <c r="Q550" t="str">
        <f t="shared" si="32"/>
        <v/>
      </c>
    </row>
    <row r="551" spans="1:17" hidden="1" x14ac:dyDescent="0.25">
      <c r="A551">
        <v>2</v>
      </c>
      <c r="B551" t="s">
        <v>489</v>
      </c>
      <c r="C551">
        <f>IFERROR(COUNTIFS($A$1:A551,"Câu "&amp;"*")-MID(A551,5,FIND(".",A551,1)-5),0)</f>
        <v>0</v>
      </c>
      <c r="D551" t="str">
        <f t="shared" si="33"/>
        <v/>
      </c>
      <c r="E551" t="str">
        <f>SUBSTITUTE(IF(LEFT(A551,3)="Câu",MID(A551,FIND(".",A551,1)+2,LEN(A551)),""),CHAR(34),CHAR(92)&amp;CHAR(34))</f>
        <v/>
      </c>
      <c r="G551" t="str">
        <f>SUBSTITUTE(B552,CHAR(34),CHAR(92)&amp;CHAR(34))</f>
        <v>Cả hai ý trên.</v>
      </c>
      <c r="H551" t="str">
        <f>SUBSTITUTE(B553,CHAR(34),CHAR(92)&amp;CHAR(34))</f>
        <v/>
      </c>
      <c r="I551" t="str">
        <f>SUBSTITUTE(IF(LEFT(A554,3)="Câu","",B554),CHAR(34),CHAR(92)&amp;CHAR(34))</f>
        <v xml:space="preserve"> Các loại xe ô tô quy định cho giấy phép lái xe hạng D kéo rơ moóc có khối lượng toàn bộ theo thiết kế trên 750 kg; xe ô tô chở khách nối toa.</v>
      </c>
      <c r="J551" t="str">
        <f>SUBSTITUTE(IF(OR(LEFT(A555,3)="Câu",I551=""),"",IF(B555=0,"",B555)),CHAR(34),CHAR(92)&amp;CHAR(34))</f>
        <v>Các loại xe ô tô quy định cho giấy phép lái xe hạng C kéo rơ moóc có khối lượng toàn bộ theo thiết kế trên 750 kg; xe ô tô đầu kéo kéo sơ mi rơ moóc.</v>
      </c>
      <c r="K551" t="str">
        <f>SUBSTITUTE(SUBSTITUTE(SUBSTITUTE(SUBSTITUTE(IFERROR(VLOOKUP("Câu "&amp;D551&amp;".",dapan!$E:$J,6,0),""),"1","A"),"2","B"),"3","C"),"4","D")</f>
        <v/>
      </c>
      <c r="P551" t="str">
        <f t="shared" si="31"/>
        <v/>
      </c>
      <c r="Q551" t="str">
        <f t="shared" si="32"/>
        <v/>
      </c>
    </row>
    <row r="552" spans="1:17" hidden="1" x14ac:dyDescent="0.25">
      <c r="A552">
        <v>3</v>
      </c>
      <c r="B552" t="s">
        <v>18</v>
      </c>
      <c r="C552">
        <f>IFERROR(COUNTIFS($A$1:A552,"Câu "&amp;"*")-MID(A552,5,FIND(".",A552,1)-5),0)</f>
        <v>0</v>
      </c>
      <c r="D552" t="str">
        <f t="shared" si="33"/>
        <v/>
      </c>
      <c r="E552" t="str">
        <f>SUBSTITUTE(IF(LEFT(A552,3)="Câu",MID(A552,FIND(".",A552,1)+2,LEN(A552)),""),CHAR(34),CHAR(92)&amp;CHAR(34))</f>
        <v/>
      </c>
      <c r="G552" t="str">
        <f>SUBSTITUTE(B553,CHAR(34),CHAR(92)&amp;CHAR(34))</f>
        <v/>
      </c>
      <c r="H552" t="str">
        <f>SUBSTITUTE(B554,CHAR(34),CHAR(92)&amp;CHAR(34))</f>
        <v xml:space="preserve"> Các loại xe ô tô quy định cho giấy phép lái xe hạng D kéo rơ moóc có khối lượng toàn bộ theo thiết kế trên 750 kg; xe ô tô chở khách nối toa.</v>
      </c>
      <c r="I552" t="str">
        <f>SUBSTITUTE(IF(LEFT(A555,3)="Câu","",B555),CHAR(34),CHAR(92)&amp;CHAR(34))</f>
        <v>Các loại xe ô tô quy định cho giấy phép lái xe hạng C kéo rơ moóc có khối lượng toàn bộ theo thiết kế trên 750 kg; xe ô tô đầu kéo kéo sơ mi rơ moóc.</v>
      </c>
      <c r="J552" t="str">
        <f>SUBSTITUTE(IF(OR(LEFT(A556,3)="Câu",I552=""),"",IF(B556=0,"",B556)),CHAR(34),CHAR(92)&amp;CHAR(34))</f>
        <v>Cả hai ý trên.</v>
      </c>
      <c r="K552" t="str">
        <f>SUBSTITUTE(SUBSTITUTE(SUBSTITUTE(SUBSTITUTE(IFERROR(VLOOKUP("Câu "&amp;D552&amp;".",dapan!$E:$J,6,0),""),"1","A"),"2","B"),"3","C"),"4","D")</f>
        <v/>
      </c>
      <c r="P552" t="str">
        <f t="shared" si="31"/>
        <v/>
      </c>
      <c r="Q552" t="str">
        <f t="shared" si="32"/>
        <v/>
      </c>
    </row>
    <row r="553" spans="1:17" x14ac:dyDescent="0.25">
      <c r="A553" t="s">
        <v>490</v>
      </c>
      <c r="C553">
        <f>IFERROR(COUNTIFS($A$1:A553,"Câu "&amp;"*")-MID(A553,5,FIND(".",A553,1)-5),0)</f>
        <v>0</v>
      </c>
      <c r="D553">
        <f t="shared" si="33"/>
        <v>135</v>
      </c>
      <c r="E553" t="str">
        <f>SUBSTITUTE(IF(LEFT(A553,3)="Câu",MID(A553,FIND(".",A553,1)+2,LEN(A553)),""),CHAR(34),CHAR(92)&amp;CHAR(34))</f>
        <v>Người có Giấy phép lái xe hạng DE được điều khiển loại xe nào dưới đây?</v>
      </c>
      <c r="G553" t="str">
        <f>SUBSTITUTE(B554,CHAR(34),CHAR(92)&amp;CHAR(34))</f>
        <v xml:space="preserve"> Các loại xe ô tô quy định cho giấy phép lái xe hạng D kéo rơ moóc có khối lượng toàn bộ theo thiết kế trên 750 kg; xe ô tô chở khách nối toa.</v>
      </c>
      <c r="H553" t="str">
        <f>SUBSTITUTE(B555,CHAR(34),CHAR(92)&amp;CHAR(34))</f>
        <v>Các loại xe ô tô quy định cho giấy phép lái xe hạng C kéo rơ moóc có khối lượng toàn bộ theo thiết kế trên 750 kg; xe ô tô đầu kéo kéo sơ mi rơ moóc.</v>
      </c>
      <c r="I553" t="str">
        <f>SUBSTITUTE(IF(LEFT(A556,3)="Câu","",B556),CHAR(34),CHAR(92)&amp;CHAR(34))</f>
        <v>Cả hai ý trên.</v>
      </c>
      <c r="J553" t="str">
        <f>SUBSTITUTE(IF(OR(LEFT(A557,3)="Câu",I553=""),"",IF(B557=0,"",B557)),CHAR(34),CHAR(92)&amp;CHAR(34))</f>
        <v/>
      </c>
      <c r="K553" t="str">
        <f ca="1">SUBSTITUTE(SUBSTITUTE(SUBSTITUTE(SUBSTITUTE(IFERROR(VLOOKUP("Câu "&amp;D553&amp;".",dapan!$E:$J,6,0),""),"1","A"),"2","B"),"3","C"),"4","D")</f>
        <v>A</v>
      </c>
      <c r="P553">
        <f t="shared" si="31"/>
        <v>135</v>
      </c>
      <c r="Q553" t="str">
        <f t="shared" ca="1" si="32"/>
        <v>{"num":135,"id":135,"q":"Người có Giấy phép lái xe hạng DE được điều khiển loại xe nào dưới đây?","opts":{"A":" Các loại xe ô tô quy định cho giấy phép lái xe hạng D kéo rơ moóc có khối lượng toàn bộ theo thiết kế trên 750 kg; xe ô tô chở khách nối toa.","B":"Các loại xe ô tô quy định cho giấy phép lái xe hạng C kéo rơ moóc có khối lượng toàn bộ theo thiết kế trên 750 kg; xe ô tô đầu kéo kéo sơ mi rơ moóc.","C":"Cả hai ý trên."},"answer":"A"},</v>
      </c>
    </row>
    <row r="554" spans="1:17" hidden="1" x14ac:dyDescent="0.25">
      <c r="A554">
        <v>1</v>
      </c>
      <c r="B554" t="s">
        <v>491</v>
      </c>
      <c r="C554">
        <f>IFERROR(COUNTIFS($A$1:A554,"Câu "&amp;"*")-MID(A554,5,FIND(".",A554,1)-5),0)</f>
        <v>0</v>
      </c>
      <c r="D554" t="str">
        <f t="shared" si="33"/>
        <v/>
      </c>
      <c r="E554" t="str">
        <f>SUBSTITUTE(IF(LEFT(A554,3)="Câu",MID(A554,FIND(".",A554,1)+2,LEN(A554)),""),CHAR(34),CHAR(92)&amp;CHAR(34))</f>
        <v/>
      </c>
      <c r="G554" t="str">
        <f>SUBSTITUTE(B555,CHAR(34),CHAR(92)&amp;CHAR(34))</f>
        <v>Các loại xe ô tô quy định cho giấy phép lái xe hạng C kéo rơ moóc có khối lượng toàn bộ theo thiết kế trên 750 kg; xe ô tô đầu kéo kéo sơ mi rơ moóc.</v>
      </c>
      <c r="H554" t="str">
        <f>SUBSTITUTE(B556,CHAR(34),CHAR(92)&amp;CHAR(34))</f>
        <v>Cả hai ý trên.</v>
      </c>
      <c r="I554" t="str">
        <f>SUBSTITUTE(IF(LEFT(A557,3)="Câu","",B557),CHAR(34),CHAR(92)&amp;CHAR(34))</f>
        <v/>
      </c>
      <c r="J554" t="str">
        <f>SUBSTITUTE(IF(OR(LEFT(A558,3)="Câu",I554=""),"",IF(B558=0,"",B558)),CHAR(34),CHAR(92)&amp;CHAR(34))</f>
        <v/>
      </c>
      <c r="K554" t="str">
        <f>SUBSTITUTE(SUBSTITUTE(SUBSTITUTE(SUBSTITUTE(IFERROR(VLOOKUP("Câu "&amp;D554&amp;".",dapan!$E:$J,6,0),""),"1","A"),"2","B"),"3","C"),"4","D")</f>
        <v/>
      </c>
      <c r="P554" t="str">
        <f t="shared" si="31"/>
        <v/>
      </c>
      <c r="Q554" t="str">
        <f t="shared" si="32"/>
        <v/>
      </c>
    </row>
    <row r="555" spans="1:17" hidden="1" x14ac:dyDescent="0.25">
      <c r="A555">
        <v>2</v>
      </c>
      <c r="B555" t="s">
        <v>483</v>
      </c>
      <c r="C555">
        <f>IFERROR(COUNTIFS($A$1:A555,"Câu "&amp;"*")-MID(A555,5,FIND(".",A555,1)-5),0)</f>
        <v>0</v>
      </c>
      <c r="D555" t="str">
        <f t="shared" si="33"/>
        <v/>
      </c>
      <c r="E555" t="str">
        <f>SUBSTITUTE(IF(LEFT(A555,3)="Câu",MID(A555,FIND(".",A555,1)+2,LEN(A555)),""),CHAR(34),CHAR(92)&amp;CHAR(34))</f>
        <v/>
      </c>
      <c r="G555" t="str">
        <f>SUBSTITUTE(B556,CHAR(34),CHAR(92)&amp;CHAR(34))</f>
        <v>Cả hai ý trên.</v>
      </c>
      <c r="H555" t="str">
        <f>SUBSTITUTE(B557,CHAR(34),CHAR(92)&amp;CHAR(34))</f>
        <v/>
      </c>
      <c r="I555" t="str">
        <f>SUBSTITUTE(IF(LEFT(A558,3)="Câu","",B558),CHAR(34),CHAR(92)&amp;CHAR(34))</f>
        <v xml:space="preserve"> Phải thực hành trên xe tập lái, trên tuyến đường tập lái và có giáo viên dạy lái bảo trợ tay lái.</v>
      </c>
      <c r="J555" t="str">
        <f>SUBSTITUTE(IF(OR(LEFT(A559,3)="Câu",I555=""),"",IF(B559=0,"",B559)),CHAR(34),CHAR(92)&amp;CHAR(34))</f>
        <v>Phải mang theo giấy phép xe tập lái.</v>
      </c>
      <c r="K555" t="str">
        <f>SUBSTITUTE(SUBSTITUTE(SUBSTITUTE(SUBSTITUTE(IFERROR(VLOOKUP("Câu "&amp;D555&amp;".",dapan!$E:$J,6,0),""),"1","A"),"2","B"),"3","C"),"4","D")</f>
        <v/>
      </c>
      <c r="P555" t="str">
        <f t="shared" si="31"/>
        <v/>
      </c>
      <c r="Q555" t="str">
        <f t="shared" si="32"/>
        <v/>
      </c>
    </row>
    <row r="556" spans="1:17" hidden="1" x14ac:dyDescent="0.25">
      <c r="A556">
        <v>3</v>
      </c>
      <c r="B556" t="s">
        <v>18</v>
      </c>
      <c r="C556">
        <f>IFERROR(COUNTIFS($A$1:A556,"Câu "&amp;"*")-MID(A556,5,FIND(".",A556,1)-5),0)</f>
        <v>0</v>
      </c>
      <c r="D556" t="str">
        <f t="shared" si="33"/>
        <v/>
      </c>
      <c r="E556" t="str">
        <f>SUBSTITUTE(IF(LEFT(A556,3)="Câu",MID(A556,FIND(".",A556,1)+2,LEN(A556)),""),CHAR(34),CHAR(92)&amp;CHAR(34))</f>
        <v/>
      </c>
      <c r="G556" t="str">
        <f>SUBSTITUTE(B557,CHAR(34),CHAR(92)&amp;CHAR(34))</f>
        <v/>
      </c>
      <c r="H556" t="str">
        <f>SUBSTITUTE(B558,CHAR(34),CHAR(92)&amp;CHAR(34))</f>
        <v xml:space="preserve"> Phải thực hành trên xe tập lái, trên tuyến đường tập lái và có giáo viên dạy lái bảo trợ tay lái.</v>
      </c>
      <c r="I556" t="str">
        <f>SUBSTITUTE(IF(LEFT(A559,3)="Câu","",B559),CHAR(34),CHAR(92)&amp;CHAR(34))</f>
        <v>Phải mang theo giấy phép xe tập lái.</v>
      </c>
      <c r="J556" t="str">
        <f>SUBSTITUTE(IF(OR(LEFT(A560,3)="Câu",I556=""),"",IF(B560=0,"",B560)),CHAR(34),CHAR(92)&amp;CHAR(34))</f>
        <v>Cả hai ý trên.</v>
      </c>
      <c r="K556" t="str">
        <f>SUBSTITUTE(SUBSTITUTE(SUBSTITUTE(SUBSTITUTE(IFERROR(VLOOKUP("Câu "&amp;D556&amp;".",dapan!$E:$J,6,0),""),"1","A"),"2","B"),"3","C"),"4","D")</f>
        <v/>
      </c>
      <c r="P556" t="str">
        <f t="shared" si="31"/>
        <v/>
      </c>
      <c r="Q556" t="str">
        <f t="shared" si="32"/>
        <v/>
      </c>
    </row>
    <row r="557" spans="1:17" x14ac:dyDescent="0.25">
      <c r="A557" t="s">
        <v>492</v>
      </c>
      <c r="C557">
        <f>IFERROR(COUNTIFS($A$1:A557,"Câu "&amp;"*")-MID(A557,5,FIND(".",A557,1)-5),0)</f>
        <v>0</v>
      </c>
      <c r="D557">
        <f t="shared" si="33"/>
        <v>136</v>
      </c>
      <c r="E557" t="str">
        <f>SUBSTITUTE(IF(LEFT(A557,3)="Câu",MID(A557,FIND(".",A557,1)+2,LEN(A557)),""),CHAR(34),CHAR(92)&amp;CHAR(34))</f>
        <v>Người tập lái xe ô tô khi tham gia giao thông đường bộ phải bảo đảm các điều kiện nào dưới đây?</v>
      </c>
      <c r="G557" t="str">
        <f>SUBSTITUTE(B558,CHAR(34),CHAR(92)&amp;CHAR(34))</f>
        <v xml:space="preserve"> Phải thực hành trên xe tập lái, trên tuyến đường tập lái và có giáo viên dạy lái bảo trợ tay lái.</v>
      </c>
      <c r="H557" t="str">
        <f>SUBSTITUTE(B559,CHAR(34),CHAR(92)&amp;CHAR(34))</f>
        <v>Phải mang theo giấy phép xe tập lái.</v>
      </c>
      <c r="I557" t="str">
        <f>SUBSTITUTE(IF(LEFT(A560,3)="Câu","",B560),CHAR(34),CHAR(92)&amp;CHAR(34))</f>
        <v>Cả hai ý trên.</v>
      </c>
      <c r="J557" t="str">
        <f>SUBSTITUTE(IF(OR(LEFT(A561,3)="Câu",I557=""),"",IF(B561=0,"",B561)),CHAR(34),CHAR(92)&amp;CHAR(34))</f>
        <v/>
      </c>
      <c r="K557" t="str">
        <f ca="1">SUBSTITUTE(SUBSTITUTE(SUBSTITUTE(SUBSTITUTE(IFERROR(VLOOKUP("Câu "&amp;D557&amp;".",dapan!$E:$J,6,0),""),"1","A"),"2","B"),"3","C"),"4","D")</f>
        <v>A</v>
      </c>
      <c r="P557">
        <f t="shared" si="31"/>
        <v>136</v>
      </c>
      <c r="Q557" t="str">
        <f t="shared" ca="1" si="32"/>
        <v>{"num":136,"id":136,"q":"Người tập lái xe ô tô khi tham gia giao thông đường bộ phải bảo đảm các điều kiện nào dưới đây?","opts":{"A":" Phải thực hành trên xe tập lái, trên tuyến đường tập lái và có giáo viên dạy lái bảo trợ tay lái.","B":"Phải mang theo giấy phép xe tập lái.","C":"Cả hai ý trên."},"answer":"A"},</v>
      </c>
    </row>
    <row r="558" spans="1:17" hidden="1" x14ac:dyDescent="0.25">
      <c r="A558">
        <v>1</v>
      </c>
      <c r="B558" t="s">
        <v>493</v>
      </c>
      <c r="C558">
        <f>IFERROR(COUNTIFS($A$1:A558,"Câu "&amp;"*")-MID(A558,5,FIND(".",A558,1)-5),0)</f>
        <v>0</v>
      </c>
      <c r="D558" t="str">
        <f t="shared" si="33"/>
        <v/>
      </c>
      <c r="E558" t="str">
        <f>SUBSTITUTE(IF(LEFT(A558,3)="Câu",MID(A558,FIND(".",A558,1)+2,LEN(A558)),""),CHAR(34),CHAR(92)&amp;CHAR(34))</f>
        <v/>
      </c>
      <c r="G558" t="str">
        <f>SUBSTITUTE(B559,CHAR(34),CHAR(92)&amp;CHAR(34))</f>
        <v>Phải mang theo giấy phép xe tập lái.</v>
      </c>
      <c r="H558" t="str">
        <f>SUBSTITUTE(B560,CHAR(34),CHAR(92)&amp;CHAR(34))</f>
        <v>Cả hai ý trên.</v>
      </c>
      <c r="I558" t="str">
        <f>SUBSTITUTE(IF(LEFT(A561,3)="Câu","",B561),CHAR(34),CHAR(92)&amp;CHAR(34))</f>
        <v/>
      </c>
      <c r="J558" t="str">
        <f>SUBSTITUTE(IF(OR(LEFT(A562,3)="Câu",I558=""),"",IF(B562=0,"",B562)),CHAR(34),CHAR(92)&amp;CHAR(34))</f>
        <v/>
      </c>
      <c r="K558" t="str">
        <f>SUBSTITUTE(SUBSTITUTE(SUBSTITUTE(SUBSTITUTE(IFERROR(VLOOKUP("Câu "&amp;D558&amp;".",dapan!$E:$J,6,0),""),"1","A"),"2","B"),"3","C"),"4","D")</f>
        <v/>
      </c>
      <c r="P558" t="str">
        <f t="shared" si="31"/>
        <v/>
      </c>
      <c r="Q558" t="str">
        <f t="shared" si="32"/>
        <v/>
      </c>
    </row>
    <row r="559" spans="1:17" hidden="1" x14ac:dyDescent="0.25">
      <c r="A559">
        <v>2</v>
      </c>
      <c r="B559" t="s">
        <v>494</v>
      </c>
      <c r="C559">
        <f>IFERROR(COUNTIFS($A$1:A559,"Câu "&amp;"*")-MID(A559,5,FIND(".",A559,1)-5),0)</f>
        <v>0</v>
      </c>
      <c r="D559" t="str">
        <f t="shared" si="33"/>
        <v/>
      </c>
      <c r="E559" t="str">
        <f>SUBSTITUTE(IF(LEFT(A559,3)="Câu",MID(A559,FIND(".",A559,1)+2,LEN(A559)),""),CHAR(34),CHAR(92)&amp;CHAR(34))</f>
        <v/>
      </c>
      <c r="G559" t="str">
        <f>SUBSTITUTE(B560,CHAR(34),CHAR(92)&amp;CHAR(34))</f>
        <v>Cả hai ý trên.</v>
      </c>
      <c r="H559" t="str">
        <f>SUBSTITUTE(B561,CHAR(34),CHAR(92)&amp;CHAR(34))</f>
        <v/>
      </c>
      <c r="I559" t="str">
        <f>SUBSTITUTE(IF(LEFT(A562,3)="Câu","",B562),CHAR(34),CHAR(92)&amp;CHAR(34))</f>
        <v xml:space="preserve"> Phải đủ tuổi, sức khỏe theo quy định của pháp luật; có giấy phép lái xe đang còn điểm, còn hiệu lực phù hợp với loại xe đang điều khiển do cơ quan có thẩm quyền cấp (trừ người lái xe gắn máy).</v>
      </c>
      <c r="J559" t="str">
        <f>SUBSTITUTE(IF(OR(LEFT(A563,3)="Câu",I559=""),"",IF(B563=0,"",B563)),CHAR(34),CHAR(92)&amp;CHAR(34))</f>
        <v>Phải là người đứng tên trong đăng ký xe.</v>
      </c>
      <c r="K559" t="str">
        <f>SUBSTITUTE(SUBSTITUTE(SUBSTITUTE(SUBSTITUTE(IFERROR(VLOOKUP("Câu "&amp;D559&amp;".",dapan!$E:$J,6,0),""),"1","A"),"2","B"),"3","C"),"4","D")</f>
        <v/>
      </c>
      <c r="P559" t="str">
        <f t="shared" si="31"/>
        <v/>
      </c>
      <c r="Q559" t="str">
        <f t="shared" si="32"/>
        <v/>
      </c>
    </row>
    <row r="560" spans="1:17" hidden="1" x14ac:dyDescent="0.25">
      <c r="A560">
        <v>3</v>
      </c>
      <c r="B560" t="s">
        <v>18</v>
      </c>
      <c r="C560">
        <f>IFERROR(COUNTIFS($A$1:A560,"Câu "&amp;"*")-MID(A560,5,FIND(".",A560,1)-5),0)</f>
        <v>0</v>
      </c>
      <c r="D560" t="str">
        <f t="shared" si="33"/>
        <v/>
      </c>
      <c r="E560" t="str">
        <f>SUBSTITUTE(IF(LEFT(A560,3)="Câu",MID(A560,FIND(".",A560,1)+2,LEN(A560)),""),CHAR(34),CHAR(92)&amp;CHAR(34))</f>
        <v/>
      </c>
      <c r="G560" t="str">
        <f>SUBSTITUTE(B561,CHAR(34),CHAR(92)&amp;CHAR(34))</f>
        <v/>
      </c>
      <c r="H560" t="str">
        <f>SUBSTITUTE(B562,CHAR(34),CHAR(92)&amp;CHAR(34))</f>
        <v xml:space="preserve"> Phải đủ tuổi, sức khỏe theo quy định của pháp luật; có giấy phép lái xe đang còn điểm, còn hiệu lực phù hợp với loại xe đang điều khiển do cơ quan có thẩm quyền cấp (trừ người lái xe gắn máy).</v>
      </c>
      <c r="I560" t="str">
        <f>SUBSTITUTE(IF(LEFT(A563,3)="Câu","",B563),CHAR(34),CHAR(92)&amp;CHAR(34))</f>
        <v>Phải là người đứng tên trong đăng ký xe.</v>
      </c>
      <c r="J560" t="str">
        <f>SUBSTITUTE(IF(OR(LEFT(A564,3)="Câu",I560=""),"",IF(B564=0,"",B564)),CHAR(34),CHAR(92)&amp;CHAR(34))</f>
        <v>Cả hai ý trên.</v>
      </c>
      <c r="K560" t="str">
        <f>SUBSTITUTE(SUBSTITUTE(SUBSTITUTE(SUBSTITUTE(IFERROR(VLOOKUP("Câu "&amp;D560&amp;".",dapan!$E:$J,6,0),""),"1","A"),"2","B"),"3","C"),"4","D")</f>
        <v/>
      </c>
      <c r="P560" t="str">
        <f t="shared" si="31"/>
        <v/>
      </c>
      <c r="Q560" t="str">
        <f t="shared" si="32"/>
        <v/>
      </c>
    </row>
    <row r="561" spans="1:17" x14ac:dyDescent="0.25">
      <c r="A561" t="s">
        <v>495</v>
      </c>
      <c r="C561">
        <f>IFERROR(COUNTIFS($A$1:A561,"Câu "&amp;"*")-MID(A561,5,FIND(".",A561,1)-5),0)</f>
        <v>0</v>
      </c>
      <c r="D561">
        <f t="shared" si="33"/>
        <v>137</v>
      </c>
      <c r="E561" t="str">
        <f>SUBSTITUTE(IF(LEFT(A561,3)="Câu",MID(A561,FIND(".",A561,1)+2,LEN(A561)),""),CHAR(34),CHAR(92)&amp;CHAR(34))</f>
        <v>Người lái xe khi tham gia giao thông đường bộ phải đảm bảo các điều kiện nào dưới đây?</v>
      </c>
      <c r="G561" t="str">
        <f>SUBSTITUTE(B562,CHAR(34),CHAR(92)&amp;CHAR(34))</f>
        <v xml:space="preserve"> Phải đủ tuổi, sức khỏe theo quy định của pháp luật; có giấy phép lái xe đang còn điểm, còn hiệu lực phù hợp với loại xe đang điều khiển do cơ quan có thẩm quyền cấp (trừ người lái xe gắn máy).</v>
      </c>
      <c r="H561" t="str">
        <f>SUBSTITUTE(B563,CHAR(34),CHAR(92)&amp;CHAR(34))</f>
        <v>Phải là người đứng tên trong đăng ký xe.</v>
      </c>
      <c r="I561" t="str">
        <f>SUBSTITUTE(IF(LEFT(A564,3)="Câu","",B564),CHAR(34),CHAR(92)&amp;CHAR(34))</f>
        <v>Cả hai ý trên.</v>
      </c>
      <c r="J561" t="str">
        <f>SUBSTITUTE(IF(OR(LEFT(A565,3)="Câu",I561=""),"",IF(B565=0,"",B565)),CHAR(34),CHAR(92)&amp;CHAR(34))</f>
        <v/>
      </c>
      <c r="K561" t="str">
        <f ca="1">SUBSTITUTE(SUBSTITUTE(SUBSTITUTE(SUBSTITUTE(IFERROR(VLOOKUP("Câu "&amp;D561&amp;".",dapan!$E:$J,6,0),""),"1","A"),"2","B"),"3","C"),"4","D")</f>
        <v>A</v>
      </c>
      <c r="P561">
        <f t="shared" si="31"/>
        <v>137</v>
      </c>
      <c r="Q561" t="str">
        <f t="shared" ca="1" si="32"/>
        <v>{"num":137,"id":137,"q":"Người lái xe khi tham gia giao thông đường bộ phải đảm bảo các điều kiện nào dưới đây?","opts":{"A":" Phải đủ tuổi, sức khỏe theo quy định của pháp luật; có giấy phép lái xe đang còn điểm, còn hiệu lực phù hợp với loại xe đang điều khiển do cơ quan có thẩm quyền cấp (trừ người lái xe gắn máy).","B":"Phải là người đứng tên trong đăng ký xe.","C":"Cả hai ý trên."},"answer":"A"},</v>
      </c>
    </row>
    <row r="562" spans="1:17" hidden="1" x14ac:dyDescent="0.25">
      <c r="A562">
        <v>1</v>
      </c>
      <c r="B562" t="s">
        <v>496</v>
      </c>
      <c r="C562">
        <f>IFERROR(COUNTIFS($A$1:A562,"Câu "&amp;"*")-MID(A562,5,FIND(".",A562,1)-5),0)</f>
        <v>0</v>
      </c>
      <c r="D562" t="str">
        <f t="shared" si="33"/>
        <v/>
      </c>
      <c r="E562" t="str">
        <f>SUBSTITUTE(IF(LEFT(A562,3)="Câu",MID(A562,FIND(".",A562,1)+2,LEN(A562)),""),CHAR(34),CHAR(92)&amp;CHAR(34))</f>
        <v/>
      </c>
      <c r="G562" t="str">
        <f>SUBSTITUTE(B563,CHAR(34),CHAR(92)&amp;CHAR(34))</f>
        <v>Phải là người đứng tên trong đăng ký xe.</v>
      </c>
      <c r="H562" t="str">
        <f>SUBSTITUTE(B564,CHAR(34),CHAR(92)&amp;CHAR(34))</f>
        <v>Cả hai ý trên.</v>
      </c>
      <c r="I562" t="str">
        <f>SUBSTITUTE(IF(LEFT(A565,3)="Câu","",B565),CHAR(34),CHAR(92)&amp;CHAR(34))</f>
        <v/>
      </c>
      <c r="J562" t="str">
        <f>SUBSTITUTE(IF(OR(LEFT(A566,3)="Câu",I562=""),"",IF(B566=0,"",B566)),CHAR(34),CHAR(92)&amp;CHAR(34))</f>
        <v/>
      </c>
      <c r="K562" t="str">
        <f>SUBSTITUTE(SUBSTITUTE(SUBSTITUTE(SUBSTITUTE(IFERROR(VLOOKUP("Câu "&amp;D562&amp;".",dapan!$E:$J,6,0),""),"1","A"),"2","B"),"3","C"),"4","D")</f>
        <v/>
      </c>
      <c r="P562" t="str">
        <f t="shared" si="31"/>
        <v/>
      </c>
      <c r="Q562" t="str">
        <f t="shared" si="32"/>
        <v/>
      </c>
    </row>
    <row r="563" spans="1:17" hidden="1" x14ac:dyDescent="0.25">
      <c r="A563">
        <v>2</v>
      </c>
      <c r="B563" t="s">
        <v>497</v>
      </c>
      <c r="C563">
        <f>IFERROR(COUNTIFS($A$1:A563,"Câu "&amp;"*")-MID(A563,5,FIND(".",A563,1)-5),0)</f>
        <v>0</v>
      </c>
      <c r="D563" t="str">
        <f t="shared" si="33"/>
        <v/>
      </c>
      <c r="E563" t="str">
        <f>SUBSTITUTE(IF(LEFT(A563,3)="Câu",MID(A563,FIND(".",A563,1)+2,LEN(A563)),""),CHAR(34),CHAR(92)&amp;CHAR(34))</f>
        <v/>
      </c>
      <c r="G563" t="str">
        <f>SUBSTITUTE(B564,CHAR(34),CHAR(92)&amp;CHAR(34))</f>
        <v>Cả hai ý trên.</v>
      </c>
      <c r="H563" t="str">
        <f>SUBSTITUTE(B565,CHAR(34),CHAR(92)&amp;CHAR(34))</f>
        <v/>
      </c>
      <c r="I563" t="str">
        <f>SUBSTITUTE(IF(LEFT(A566,3)="Câu","",B566),CHAR(34),CHAR(92)&amp;CHAR(34))</f>
        <v>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v>
      </c>
      <c r="J563" t="str">
        <f>SUBSTITUTE(IF(OR(LEFT(A567,3)="Câu",I563=""),"",IF(B567=0,"",B567)),CHAR(34),CHAR(92)&amp;CHAR(34))</f>
        <v>Giấy phép lái xe phù hợp với loại xe đang điều khiển; chứng nhận kiểm định an toàn kỹ thuật và bảo vệ môi trường đối với xe cơ giới theo quy định của pháp luật; chứng nhận bảo hiểm bắt buộc trách nhiệm dân sự của chủ xe cơ giới.</v>
      </c>
      <c r="K563" t="str">
        <f>SUBSTITUTE(SUBSTITUTE(SUBSTITUTE(SUBSTITUTE(IFERROR(VLOOKUP("Câu "&amp;D563&amp;".",dapan!$E:$J,6,0),""),"1","A"),"2","B"),"3","C"),"4","D")</f>
        <v/>
      </c>
      <c r="P563" t="str">
        <f t="shared" si="31"/>
        <v/>
      </c>
      <c r="Q563" t="str">
        <f t="shared" si="32"/>
        <v/>
      </c>
    </row>
    <row r="564" spans="1:17" hidden="1" x14ac:dyDescent="0.25">
      <c r="A564">
        <v>3</v>
      </c>
      <c r="B564" t="s">
        <v>18</v>
      </c>
      <c r="C564">
        <f>IFERROR(COUNTIFS($A$1:A564,"Câu "&amp;"*")-MID(A564,5,FIND(".",A564,1)-5),0)</f>
        <v>0</v>
      </c>
      <c r="D564" t="str">
        <f t="shared" si="33"/>
        <v/>
      </c>
      <c r="E564" t="str">
        <f>SUBSTITUTE(IF(LEFT(A564,3)="Câu",MID(A564,FIND(".",A564,1)+2,LEN(A564)),""),CHAR(34),CHAR(92)&amp;CHAR(34))</f>
        <v/>
      </c>
      <c r="G564" t="str">
        <f>SUBSTITUTE(B565,CHAR(34),CHAR(92)&amp;CHAR(34))</f>
        <v/>
      </c>
      <c r="H564" t="str">
        <f>SUBSTITUTE(B566,CHAR(34),CHAR(92)&amp;CHAR(34))</f>
        <v>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v>
      </c>
      <c r="I564" t="str">
        <f>SUBSTITUTE(IF(LEFT(A567,3)="Câu","",B567),CHAR(34),CHAR(92)&amp;CHAR(34))</f>
        <v>Giấy phép lái xe phù hợp với loại xe đang điều khiển; chứng nhận kiểm định an toàn kỹ thuật và bảo vệ môi trường đối với xe cơ giới theo quy định của pháp luật; chứng nhận bảo hiểm bắt buộc trách nhiệm dân sự của chủ xe cơ giới.</v>
      </c>
      <c r="J564" t="str">
        <f>SUBSTITUTE(IF(OR(LEFT(A568,3)="Câu",I564=""),"",IF(B568=0,"",B568)),CHAR(34),CHAR(92)&amp;CHAR(34))</f>
        <v>Trường hợp các giấy tờ nêu trên đã được tích hợp vào tài khoản định danh điện tử thì việc xuất trình, kiểm tra có thể thực hiện thông qua tài khoản định danh điện tử.</v>
      </c>
      <c r="K564" t="str">
        <f>SUBSTITUTE(SUBSTITUTE(SUBSTITUTE(SUBSTITUTE(IFERROR(VLOOKUP("Câu "&amp;D564&amp;".",dapan!$E:$J,6,0),""),"1","A"),"2","B"),"3","C"),"4","D")</f>
        <v/>
      </c>
      <c r="P564" t="str">
        <f t="shared" si="31"/>
        <v/>
      </c>
      <c r="Q564" t="str">
        <f t="shared" si="32"/>
        <v/>
      </c>
    </row>
    <row r="565" spans="1:17" x14ac:dyDescent="0.25">
      <c r="A565" t="s">
        <v>498</v>
      </c>
      <c r="C565">
        <f>IFERROR(COUNTIFS($A$1:A565,"Câu "&amp;"*")-MID(A565,5,FIND(".",A565,1)-5),0)</f>
        <v>0</v>
      </c>
      <c r="D565">
        <f t="shared" si="33"/>
        <v>138</v>
      </c>
      <c r="E565" t="str">
        <f>SUBSTITUTE(IF(LEFT(A565,3)="Câu",MID(A565,FIND(".",A565,1)+2,LEN(A565)),""),CHAR(34),CHAR(92)&amp;CHAR(34))</f>
        <v>Khi tham gia giao thông đường bộ, người lái xe phải mang theo các giấy tờ gì?</v>
      </c>
      <c r="G565" t="str">
        <f>SUBSTITUTE(B566,CHAR(34),CHAR(92)&amp;CHAR(34))</f>
        <v>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v>
      </c>
      <c r="H565" t="str">
        <f>SUBSTITUTE(B567,CHAR(34),CHAR(92)&amp;CHAR(34))</f>
        <v>Giấy phép lái xe phù hợp với loại xe đang điều khiển; chứng nhận kiểm định an toàn kỹ thuật và bảo vệ môi trường đối với xe cơ giới theo quy định của pháp luật; chứng nhận bảo hiểm bắt buộc trách nhiệm dân sự của chủ xe cơ giới.</v>
      </c>
      <c r="I565" t="str">
        <f>SUBSTITUTE(IF(LEFT(A568,3)="Câu","",B568),CHAR(34),CHAR(92)&amp;CHAR(34))</f>
        <v>Trường hợp các giấy tờ nêu trên đã được tích hợp vào tài khoản định danh điện tử thì việc xuất trình, kiểm tra có thể thực hiện thông qua tài khoản định danh điện tử.</v>
      </c>
      <c r="J565" t="str">
        <f>SUBSTITUTE(IF(OR(LEFT(A569,3)="Câu",I565=""),"",IF(B569=0,"",B569)),CHAR(34),CHAR(92)&amp;CHAR(34))</f>
        <v xml:space="preserve"> Cả ba ý trên.</v>
      </c>
      <c r="K565" t="str">
        <f ca="1">SUBSTITUTE(SUBSTITUTE(SUBSTITUTE(SUBSTITUTE(IFERROR(VLOOKUP("Câu "&amp;D565&amp;".",dapan!$E:$J,6,0),""),"1","A"),"2","B"),"3","C"),"4","D")</f>
        <v>D</v>
      </c>
      <c r="P565">
        <f t="shared" si="31"/>
        <v>138</v>
      </c>
      <c r="Q565" t="str">
        <f t="shared" ca="1" si="32"/>
        <v>{"num":138,"id":138,"q":"Khi tham gia giao thông đường bộ, người lái xe phải mang theo các giấy tờ gì?","opts":{"A":"Chứng nhận đăng ký xe hoặc bản sao Chứng nhận đăng ký xe có chứng thực kèm bản gốc giấy tờ xác nhận của tổ chức tín dụng, chi nhánh ngân hàng nước ngoài còn hiệu lực trong trường hợp xe đang được thế chấp tại tổ chức tín dụng, chi nhánh ngân hàng nước ngoài.","B":"Giấy phép lái xe phù hợp với loại xe đang điều khiển; chứng nhận kiểm định an toàn kỹ thuật và bảo vệ môi trường đối với xe cơ giới theo quy định của pháp luật; chứng nhận bảo hiểm bắt buộc trách nhiệm dân sự của chủ xe cơ giới.","C":"Trường hợp các giấy tờ nêu trên đã được tích hợp vào tài khoản định danh điện tử thì việc xuất trình, kiểm tra có thể thực hiện thông qua tài khoản định danh điện tử.","D":" Cả ba ý trên."},"answer":"D"},</v>
      </c>
    </row>
    <row r="566" spans="1:17" hidden="1" x14ac:dyDescent="0.25">
      <c r="A566">
        <v>1</v>
      </c>
      <c r="B566" t="s">
        <v>499</v>
      </c>
      <c r="C566">
        <f>IFERROR(COUNTIFS($A$1:A566,"Câu "&amp;"*")-MID(A566,5,FIND(".",A566,1)-5),0)</f>
        <v>0</v>
      </c>
      <c r="D566" t="str">
        <f t="shared" si="33"/>
        <v/>
      </c>
      <c r="E566" t="str">
        <f>SUBSTITUTE(IF(LEFT(A566,3)="Câu",MID(A566,FIND(".",A566,1)+2,LEN(A566)),""),CHAR(34),CHAR(92)&amp;CHAR(34))</f>
        <v/>
      </c>
      <c r="G566" t="str">
        <f>SUBSTITUTE(B567,CHAR(34),CHAR(92)&amp;CHAR(34))</f>
        <v>Giấy phép lái xe phù hợp với loại xe đang điều khiển; chứng nhận kiểm định an toàn kỹ thuật và bảo vệ môi trường đối với xe cơ giới theo quy định của pháp luật; chứng nhận bảo hiểm bắt buộc trách nhiệm dân sự của chủ xe cơ giới.</v>
      </c>
      <c r="H566" t="str">
        <f>SUBSTITUTE(B568,CHAR(34),CHAR(92)&amp;CHAR(34))</f>
        <v>Trường hợp các giấy tờ nêu trên đã được tích hợp vào tài khoản định danh điện tử thì việc xuất trình, kiểm tra có thể thực hiện thông qua tài khoản định danh điện tử.</v>
      </c>
      <c r="I566" t="str">
        <f>SUBSTITUTE(IF(LEFT(A569,3)="Câu","",B569),CHAR(34),CHAR(92)&amp;CHAR(34))</f>
        <v xml:space="preserve"> Cả ba ý trên.</v>
      </c>
      <c r="J566" t="str">
        <f>SUBSTITUTE(IF(OR(LEFT(A570,3)="Câu",I566=""),"",IF(B570=0,"",B570)),CHAR(34),CHAR(92)&amp;CHAR(34))</f>
        <v/>
      </c>
      <c r="K566" t="str">
        <f>SUBSTITUTE(SUBSTITUTE(SUBSTITUTE(SUBSTITUTE(IFERROR(VLOOKUP("Câu "&amp;D566&amp;".",dapan!$E:$J,6,0),""),"1","A"),"2","B"),"3","C"),"4","D")</f>
        <v/>
      </c>
      <c r="P566" t="str">
        <f t="shared" si="31"/>
        <v/>
      </c>
      <c r="Q566" t="str">
        <f t="shared" si="32"/>
        <v/>
      </c>
    </row>
    <row r="567" spans="1:17" hidden="1" x14ac:dyDescent="0.25">
      <c r="A567">
        <v>2</v>
      </c>
      <c r="B567" t="s">
        <v>500</v>
      </c>
      <c r="C567">
        <f>IFERROR(COUNTIFS($A$1:A567,"Câu "&amp;"*")-MID(A567,5,FIND(".",A567,1)-5),0)</f>
        <v>0</v>
      </c>
      <c r="D567" t="str">
        <f t="shared" si="33"/>
        <v/>
      </c>
      <c r="E567" t="str">
        <f>SUBSTITUTE(IF(LEFT(A567,3)="Câu",MID(A567,FIND(".",A567,1)+2,LEN(A567)),""),CHAR(34),CHAR(92)&amp;CHAR(34))</f>
        <v/>
      </c>
      <c r="G567" t="str">
        <f>SUBSTITUTE(B568,CHAR(34),CHAR(92)&amp;CHAR(34))</f>
        <v>Trường hợp các giấy tờ nêu trên đã được tích hợp vào tài khoản định danh điện tử thì việc xuất trình, kiểm tra có thể thực hiện thông qua tài khoản định danh điện tử.</v>
      </c>
      <c r="H567" t="str">
        <f>SUBSTITUTE(B569,CHAR(34),CHAR(92)&amp;CHAR(34))</f>
        <v xml:space="preserve"> Cả ba ý trên.</v>
      </c>
      <c r="I567" t="str">
        <f>SUBSTITUTE(IF(LEFT(A570,3)="Câu","",B570),CHAR(34),CHAR(92)&amp;CHAR(34))</f>
        <v/>
      </c>
      <c r="J567" t="str">
        <f>SUBSTITUTE(IF(OR(LEFT(A571,3)="Câu",I567=""),"",IF(B571=0,"",B571)),CHAR(34),CHAR(92)&amp;CHAR(34))</f>
        <v/>
      </c>
      <c r="K567" t="str">
        <f>SUBSTITUTE(SUBSTITUTE(SUBSTITUTE(SUBSTITUTE(IFERROR(VLOOKUP("Câu "&amp;D567&amp;".",dapan!$E:$J,6,0),""),"1","A"),"2","B"),"3","C"),"4","D")</f>
        <v/>
      </c>
      <c r="P567" t="str">
        <f t="shared" si="31"/>
        <v/>
      </c>
      <c r="Q567" t="str">
        <f t="shared" si="32"/>
        <v/>
      </c>
    </row>
    <row r="568" spans="1:17" hidden="1" x14ac:dyDescent="0.25">
      <c r="A568">
        <v>3</v>
      </c>
      <c r="B568" t="s">
        <v>501</v>
      </c>
      <c r="C568">
        <f>IFERROR(COUNTIFS($A$1:A568,"Câu "&amp;"*")-MID(A568,5,FIND(".",A568,1)-5),0)</f>
        <v>0</v>
      </c>
      <c r="D568" t="str">
        <f t="shared" si="33"/>
        <v/>
      </c>
      <c r="E568" t="str">
        <f>SUBSTITUTE(IF(LEFT(A568,3)="Câu",MID(A568,FIND(".",A568,1)+2,LEN(A568)),""),CHAR(34),CHAR(92)&amp;CHAR(34))</f>
        <v/>
      </c>
      <c r="G568" t="str">
        <f>SUBSTITUTE(B569,CHAR(34),CHAR(92)&amp;CHAR(34))</f>
        <v xml:space="preserve"> Cả ba ý trên.</v>
      </c>
      <c r="H568" t="str">
        <f>SUBSTITUTE(B570,CHAR(34),CHAR(92)&amp;CHAR(34))</f>
        <v/>
      </c>
      <c r="I568" t="str">
        <f>SUBSTITUTE(IF(LEFT(A571,3)="Câu","",B571),CHAR(34),CHAR(92)&amp;CHAR(34))</f>
        <v>Người được cấp giấy phép lái xe không đủ điều kiện sức khỏe theo kết luận của cơ sở khám bệnh, chữa bệnh đối với từng hạng giấy phép lái xe.</v>
      </c>
      <c r="J568" t="str">
        <f>SUBSTITUTE(IF(OR(LEFT(A572,3)="Câu",I568=""),"",IF(B572=0,"",B572)),CHAR(34),CHAR(92)&amp;CHAR(34))</f>
        <v>Giấy phép lái xe được cấp sai quy định.</v>
      </c>
      <c r="K568" t="str">
        <f>SUBSTITUTE(SUBSTITUTE(SUBSTITUTE(SUBSTITUTE(IFERROR(VLOOKUP("Câu "&amp;D568&amp;".",dapan!$E:$J,6,0),""),"1","A"),"2","B"),"3","C"),"4","D")</f>
        <v/>
      </c>
      <c r="P568" t="str">
        <f t="shared" si="31"/>
        <v/>
      </c>
      <c r="Q568" t="str">
        <f t="shared" si="32"/>
        <v/>
      </c>
    </row>
    <row r="569" spans="1:17" hidden="1" x14ac:dyDescent="0.25">
      <c r="A569">
        <v>4</v>
      </c>
      <c r="B569" t="s">
        <v>89</v>
      </c>
      <c r="C569">
        <f>IFERROR(COUNTIFS($A$1:A569,"Câu "&amp;"*")-MID(A569,5,FIND(".",A569,1)-5),0)</f>
        <v>0</v>
      </c>
      <c r="D569" t="str">
        <f t="shared" si="33"/>
        <v/>
      </c>
      <c r="E569" t="str">
        <f>SUBSTITUTE(IF(LEFT(A569,3)="Câu",MID(A569,FIND(".",A569,1)+2,LEN(A569)),""),CHAR(34),CHAR(92)&amp;CHAR(34))</f>
        <v/>
      </c>
      <c r="G569" t="str">
        <f>SUBSTITUTE(B570,CHAR(34),CHAR(92)&amp;CHAR(34))</f>
        <v/>
      </c>
      <c r="H569" t="str">
        <f>SUBSTITUTE(B571,CHAR(34),CHAR(92)&amp;CHAR(34))</f>
        <v>Người được cấp giấy phép lái xe không đủ điều kiện sức khỏe theo kết luận của cơ sở khám bệnh, chữa bệnh đối với từng hạng giấy phép lái xe.</v>
      </c>
      <c r="I569" t="str">
        <f>SUBSTITUTE(IF(LEFT(A572,3)="Câu","",B572),CHAR(34),CHAR(92)&amp;CHAR(34))</f>
        <v>Giấy phép lái xe được cấp sai quy định.</v>
      </c>
      <c r="J569" t="str">
        <f>SUBSTITUTE(IF(OR(LEFT(A573,3)="Câu",I569=""),"",IF(B573=0,"",B573)),CHAR(34),CHAR(92)&amp;CHAR(34))</f>
        <v>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v>
      </c>
      <c r="K569" t="str">
        <f>SUBSTITUTE(SUBSTITUTE(SUBSTITUTE(SUBSTITUTE(IFERROR(VLOOKUP("Câu "&amp;D569&amp;".",dapan!$E:$J,6,0),""),"1","A"),"2","B"),"3","C"),"4","D")</f>
        <v/>
      </c>
      <c r="P569" t="str">
        <f t="shared" si="31"/>
        <v/>
      </c>
      <c r="Q569" t="str">
        <f t="shared" si="32"/>
        <v/>
      </c>
    </row>
    <row r="570" spans="1:17" x14ac:dyDescent="0.25">
      <c r="A570" t="s">
        <v>502</v>
      </c>
      <c r="C570">
        <f>IFERROR(COUNTIFS($A$1:A570,"Câu "&amp;"*")-MID(A570,5,FIND(".",A570,1)-5),0)</f>
        <v>0</v>
      </c>
      <c r="D570">
        <f t="shared" si="33"/>
        <v>139</v>
      </c>
      <c r="E570" t="str">
        <f>SUBSTITUTE(IF(LEFT(A570,3)="Câu",MID(A570,FIND(".",A570,1)+2,LEN(A570)),""),CHAR(34),CHAR(92)&amp;CHAR(34))</f>
        <v>Giấy phép lái xe bị thu hồi trong các trường hợp nào sau đây?</v>
      </c>
      <c r="G570" t="str">
        <f>SUBSTITUTE(B571,CHAR(34),CHAR(92)&amp;CHAR(34))</f>
        <v>Người được cấp giấy phép lái xe không đủ điều kiện sức khỏe theo kết luận của cơ sở khám bệnh, chữa bệnh đối với từng hạng giấy phép lái xe.</v>
      </c>
      <c r="H570" t="str">
        <f>SUBSTITUTE(B572,CHAR(34),CHAR(92)&amp;CHAR(34))</f>
        <v>Giấy phép lái xe được cấp sai quy định.</v>
      </c>
      <c r="I570" t="str">
        <f>SUBSTITUTE(IF(LEFT(A573,3)="Câu","",B573),CHAR(34),CHAR(92)&amp;CHAR(34))</f>
        <v>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v>
      </c>
      <c r="J570" t="str">
        <f>SUBSTITUTE(IF(OR(LEFT(A574,3)="Câu",I570=""),"",IF(B574=0,"",B574)),CHAR(34),CHAR(92)&amp;CHAR(34))</f>
        <v xml:space="preserve"> Cả ba ý trên.</v>
      </c>
      <c r="K570" t="str">
        <f ca="1">SUBSTITUTE(SUBSTITUTE(SUBSTITUTE(SUBSTITUTE(IFERROR(VLOOKUP("Câu "&amp;D570&amp;".",dapan!$E:$J,6,0),""),"1","A"),"2","B"),"3","C"),"4","D")</f>
        <v>D</v>
      </c>
      <c r="P570">
        <f t="shared" si="31"/>
        <v>139</v>
      </c>
      <c r="Q570" t="str">
        <f t="shared" ca="1" si="32"/>
        <v>{"num":139,"id":139,"q":"Giấy phép lái xe bị thu hồi trong các trường hợp nào sau đây?","opts":{"A":"Người được cấp giấy phép lái xe không đủ điều kiện sức khỏe theo kết luận của cơ sở khám bệnh, chữa bệnh đối với từng hạng giấy phép lái xe.","B":"Giấy phép lái xe được cấp sai quy định.","C":"Giấy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đáng.","D":" Cả ba ý trên."},"answer":"D"},</v>
      </c>
    </row>
    <row r="571" spans="1:17" hidden="1" x14ac:dyDescent="0.25">
      <c r="A571">
        <v>1</v>
      </c>
      <c r="B571" t="s">
        <v>503</v>
      </c>
      <c r="C571">
        <f>IFERROR(COUNTIFS($A$1:A571,"Câu "&amp;"*")-MID(A571,5,FIND(".",A571,1)-5),0)</f>
        <v>0</v>
      </c>
      <c r="D571" t="str">
        <f t="shared" si="33"/>
        <v/>
      </c>
      <c r="E571" t="str">
        <f>SUBSTITUTE(IF(LEFT(A571,3)="Câu",MID(A571,FIND(".",A571,1)+2,LEN(A571)),""),CHAR(34),CHAR(92)&amp;CHAR(34))</f>
        <v/>
      </c>
      <c r="G571" t="str">
        <f>SUBSTITUTE(B572,CHAR(34),CHAR(92)&amp;CHAR(34))</f>
        <v>Giấy phép lái xe được cấp sai quy định.</v>
      </c>
      <c r="H571" t="str">
        <f>SUBSTITUTE(B573,CHAR(34),CHAR(92)&amp;CHAR(34))</f>
        <v>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v>
      </c>
      <c r="I571" t="str">
        <f>SUBSTITUTE(IF(LEFT(A574,3)="Câu","",B574),CHAR(34),CHAR(92)&amp;CHAR(34))</f>
        <v xml:space="preserve"> Cả ba ý trên.</v>
      </c>
      <c r="J571" t="str">
        <f>SUBSTITUTE(IF(OR(LEFT(A575,3)="Câu",I571=""),"",IF(B575=0,"",B575)),CHAR(34),CHAR(92)&amp;CHAR(34))</f>
        <v/>
      </c>
      <c r="K571" t="str">
        <f>SUBSTITUTE(SUBSTITUTE(SUBSTITUTE(SUBSTITUTE(IFERROR(VLOOKUP("Câu "&amp;D571&amp;".",dapan!$E:$J,6,0),""),"1","A"),"2","B"),"3","C"),"4","D")</f>
        <v/>
      </c>
      <c r="P571" t="str">
        <f t="shared" si="31"/>
        <v/>
      </c>
      <c r="Q571" t="str">
        <f t="shared" si="32"/>
        <v/>
      </c>
    </row>
    <row r="572" spans="1:17" hidden="1" x14ac:dyDescent="0.25">
      <c r="A572">
        <v>2</v>
      </c>
      <c r="B572" t="s">
        <v>504</v>
      </c>
      <c r="C572">
        <f>IFERROR(COUNTIFS($A$1:A572,"Câu "&amp;"*")-MID(A572,5,FIND(".",A572,1)-5),0)</f>
        <v>0</v>
      </c>
      <c r="D572" t="str">
        <f t="shared" si="33"/>
        <v/>
      </c>
      <c r="E572" t="str">
        <f>SUBSTITUTE(IF(LEFT(A572,3)="Câu",MID(A572,FIND(".",A572,1)+2,LEN(A572)),""),CHAR(34),CHAR(92)&amp;CHAR(34))</f>
        <v/>
      </c>
      <c r="G572" t="str">
        <f>SUBSTITUTE(B573,CHAR(34),CHAR(92)&amp;CHAR(34))</f>
        <v>Giấy phép lái xe đã quá thời hạn tạm giữ hoặc hết thời hiệu thi hành quyết định xử phạt vi phạm hành chính theo quy định của pháp luật về xử lý vi phạm hành chính nếu người vi phạm không đến nhận mà không có lý do chính đáng.</v>
      </c>
      <c r="H572" t="str">
        <f>SUBSTITUTE(B574,CHAR(34),CHAR(92)&amp;CHAR(34))</f>
        <v xml:space="preserve"> Cả ba ý trên.</v>
      </c>
      <c r="I572" t="str">
        <f>SUBSTITUTE(IF(LEFT(A575,3)="Câu","",B575),CHAR(34),CHAR(92)&amp;CHAR(34))</f>
        <v/>
      </c>
      <c r="J572" t="str">
        <f>SUBSTITUTE(IF(OR(LEFT(A576,3)="Câu",I572=""),"",IF(B576=0,"",B576)),CHAR(34),CHAR(92)&amp;CHAR(34))</f>
        <v/>
      </c>
      <c r="K572" t="str">
        <f>SUBSTITUTE(SUBSTITUTE(SUBSTITUTE(SUBSTITUTE(IFERROR(VLOOKUP("Câu "&amp;D572&amp;".",dapan!$E:$J,6,0),""),"1","A"),"2","B"),"3","C"),"4","D")</f>
        <v/>
      </c>
      <c r="P572" t="str">
        <f t="shared" si="31"/>
        <v/>
      </c>
      <c r="Q572" t="str">
        <f t="shared" si="32"/>
        <v/>
      </c>
    </row>
    <row r="573" spans="1:17" hidden="1" x14ac:dyDescent="0.25">
      <c r="A573">
        <v>3</v>
      </c>
      <c r="B573" t="s">
        <v>505</v>
      </c>
      <c r="C573">
        <f>IFERROR(COUNTIFS($A$1:A573,"Câu "&amp;"*")-MID(A573,5,FIND(".",A573,1)-5),0)</f>
        <v>0</v>
      </c>
      <c r="D573" t="str">
        <f t="shared" si="33"/>
        <v/>
      </c>
      <c r="E573" t="str">
        <f>SUBSTITUTE(IF(LEFT(A573,3)="Câu",MID(A573,FIND(".",A573,1)+2,LEN(A573)),""),CHAR(34),CHAR(92)&amp;CHAR(34))</f>
        <v/>
      </c>
      <c r="G573" t="str">
        <f>SUBSTITUTE(B574,CHAR(34),CHAR(92)&amp;CHAR(34))</f>
        <v xml:space="preserve"> Cả ba ý trên.</v>
      </c>
      <c r="H573" t="str">
        <f>SUBSTITUTE(B575,CHAR(34),CHAR(92)&amp;CHAR(34))</f>
        <v/>
      </c>
      <c r="I573" t="str">
        <f>SUBSTITUTE(IF(LEFT(A576,3)="Câu","",B576),CHAR(34),CHAR(92)&amp;CHAR(34))</f>
        <v>Không được phục hồi.</v>
      </c>
      <c r="J573" t="str">
        <f>SUBSTITUTE(IF(OR(LEFT(A577,3)="Câu",I573=""),"",IF(B577=0,"",B577)),CHAR(34),CHAR(92)&amp;CHAR(34))</f>
        <v xml:space="preserve"> Được phục hồi đủ 12 điểm, nếu không bị trừ điểm trong thời hạn 12 tháng từ ngày bị trừ điểm gần nhất.</v>
      </c>
      <c r="K573" t="str">
        <f>SUBSTITUTE(SUBSTITUTE(SUBSTITUTE(SUBSTITUTE(IFERROR(VLOOKUP("Câu "&amp;D573&amp;".",dapan!$E:$J,6,0),""),"1","A"),"2","B"),"3","C"),"4","D")</f>
        <v/>
      </c>
      <c r="P573" t="str">
        <f t="shared" si="31"/>
        <v/>
      </c>
      <c r="Q573" t="str">
        <f t="shared" si="32"/>
        <v/>
      </c>
    </row>
    <row r="574" spans="1:17" hidden="1" x14ac:dyDescent="0.25">
      <c r="A574">
        <v>4</v>
      </c>
      <c r="B574" t="s">
        <v>89</v>
      </c>
      <c r="C574">
        <f>IFERROR(COUNTIFS($A$1:A574,"Câu "&amp;"*")-MID(A574,5,FIND(".",A574,1)-5),0)</f>
        <v>0</v>
      </c>
      <c r="D574" t="str">
        <f t="shared" si="33"/>
        <v/>
      </c>
      <c r="E574" t="str">
        <f>SUBSTITUTE(IF(LEFT(A574,3)="Câu",MID(A574,FIND(".",A574,1)+2,LEN(A574)),""),CHAR(34),CHAR(92)&amp;CHAR(34))</f>
        <v/>
      </c>
      <c r="G574" t="str">
        <f>SUBSTITUTE(B575,CHAR(34),CHAR(92)&amp;CHAR(34))</f>
        <v/>
      </c>
      <c r="H574" t="str">
        <f>SUBSTITUTE(B576,CHAR(34),CHAR(92)&amp;CHAR(34))</f>
        <v>Không được phục hồi.</v>
      </c>
      <c r="I574" t="str">
        <f>SUBSTITUTE(IF(LEFT(A577,3)="Câu","",B577),CHAR(34),CHAR(92)&amp;CHAR(34))</f>
        <v xml:space="preserve"> Được phục hồi đủ 12 điểm, nếu không bị trừ điểm trong thời hạn 12 tháng từ ngày bị trừ điểm gần nhất.</v>
      </c>
      <c r="J574" t="str">
        <f>SUBSTITUTE(IF(OR(LEFT(A578,3)="Câu",I574=""),"",IF(B578=0,"",B578)),CHAR(34),CHAR(92)&amp;CHAR(34))</f>
        <v/>
      </c>
      <c r="K574" t="str">
        <f>SUBSTITUTE(SUBSTITUTE(SUBSTITUTE(SUBSTITUTE(IFERROR(VLOOKUP("Câu "&amp;D574&amp;".",dapan!$E:$J,6,0),""),"1","A"),"2","B"),"3","C"),"4","D")</f>
        <v/>
      </c>
      <c r="P574" t="str">
        <f t="shared" si="31"/>
        <v/>
      </c>
      <c r="Q574" t="str">
        <f t="shared" si="32"/>
        <v/>
      </c>
    </row>
    <row r="575" spans="1:17" x14ac:dyDescent="0.25">
      <c r="A575" t="s">
        <v>506</v>
      </c>
      <c r="C575">
        <f>IFERROR(COUNTIFS($A$1:A575,"Câu "&amp;"*")-MID(A575,5,FIND(".",A575,1)-5),0)</f>
        <v>0</v>
      </c>
      <c r="D575">
        <f t="shared" si="33"/>
        <v>140</v>
      </c>
      <c r="E575" t="str">
        <f>SUBSTITUTE(IF(LEFT(A575,3)="Câu",MID(A575,FIND(".",A575,1)+2,LEN(A575)),""),CHAR(34),CHAR(92)&amp;CHAR(34))</f>
        <v>Người có giấy phép lái xe chưa bị trừ hết 12 điểm, được phục hồi điểm giấy phép lái xe trong trường hợp nào sau đây?</v>
      </c>
      <c r="G575" t="str">
        <f>SUBSTITUTE(B576,CHAR(34),CHAR(92)&amp;CHAR(34))</f>
        <v>Không được phục hồi.</v>
      </c>
      <c r="H575" t="str">
        <f>SUBSTITUTE(B577,CHAR(34),CHAR(92)&amp;CHAR(34))</f>
        <v xml:space="preserve"> Được phục hồi đủ 12 điểm, nếu không bị trừ điểm trong thời hạn 12 tháng từ ngày bị trừ điểm gần nhất.</v>
      </c>
      <c r="I575" t="str">
        <f>SUBSTITUTE(IF(LEFT(A578,3)="Câu","",B578),CHAR(34),CHAR(92)&amp;CHAR(34))</f>
        <v/>
      </c>
      <c r="J575" t="str">
        <f>SUBSTITUTE(IF(OR(LEFT(A579,3)="Câu",I575=""),"",IF(B579=0,"",B579)),CHAR(34),CHAR(92)&amp;CHAR(34))</f>
        <v/>
      </c>
      <c r="K575" t="str">
        <f ca="1">SUBSTITUTE(SUBSTITUTE(SUBSTITUTE(SUBSTITUTE(IFERROR(VLOOKUP("Câu "&amp;D575&amp;".",dapan!$E:$J,6,0),""),"1","A"),"2","B"),"3","C"),"4","D")</f>
        <v>B</v>
      </c>
      <c r="P575">
        <f t="shared" si="31"/>
        <v>140</v>
      </c>
      <c r="Q575" t="str">
        <f t="shared" ca="1" si="32"/>
        <v>{"num":140,"id":140,"q":"Người có giấy phép lái xe chưa bị trừ hết 12 điểm, được phục hồi điểm giấy phép lái xe trong trường hợp nào sau đây?","opts":{"A":"Không được phục hồi.","B":" Được phục hồi đủ 12 điểm, nếu không bị trừ điểm trong thời hạn 12 tháng từ ngày bị trừ điểm gần nhất."},"answer":"B"},</v>
      </c>
    </row>
    <row r="576" spans="1:17" hidden="1" x14ac:dyDescent="0.25">
      <c r="A576">
        <v>1</v>
      </c>
      <c r="B576" t="s">
        <v>507</v>
      </c>
      <c r="C576">
        <f>IFERROR(COUNTIFS($A$1:A576,"Câu "&amp;"*")-MID(A576,5,FIND(".",A576,1)-5),0)</f>
        <v>0</v>
      </c>
      <c r="D576" t="str">
        <f t="shared" si="33"/>
        <v/>
      </c>
      <c r="E576" t="str">
        <f>SUBSTITUTE(IF(LEFT(A576,3)="Câu",MID(A576,FIND(".",A576,1)+2,LEN(A576)),""),CHAR(34),CHAR(92)&amp;CHAR(34))</f>
        <v/>
      </c>
      <c r="G576" t="str">
        <f>SUBSTITUTE(B577,CHAR(34),CHAR(92)&amp;CHAR(34))</f>
        <v xml:space="preserve"> Được phục hồi đủ 12 điểm, nếu không bị trừ điểm trong thời hạn 12 tháng từ ngày bị trừ điểm gần nhất.</v>
      </c>
      <c r="H576" t="str">
        <f>SUBSTITUTE(B578,CHAR(34),CHAR(92)&amp;CHAR(34))</f>
        <v/>
      </c>
      <c r="I576" t="str">
        <f>SUBSTITUTE(IF(LEFT(A579,3)="Câu","",B579),CHAR(34),CHAR(92)&amp;CHAR(34))</f>
        <v>Không vi phạm pháp luật trật tự, an toàn giao thông đường bộ trong thời gian 12 tháng kể từ ngày bị trừ hết điểm.</v>
      </c>
      <c r="J576" t="str">
        <f>SUBSTITUTE(IF(OR(LEFT(A580,3)="Câu",I576=""),"",IF(B580=0,"",B580)),CHAR(34),CHAR(92)&amp;CHAR(34))</f>
        <v xml:space="preserve"> Sau thời hạn ít nhất là 06 tháng kể từ ngày bị trừ hết điểm, người có phép lái xe được tham gia kiểm tra nội dung kiến thức pháp luật về trật tự, an toàn giao thông đường bộ theo quy định, có kết quả đạt yêu cầu thì được phục hồi đủ 12 điểm.</v>
      </c>
      <c r="K576" t="str">
        <f>SUBSTITUTE(SUBSTITUTE(SUBSTITUTE(SUBSTITUTE(IFERROR(VLOOKUP("Câu "&amp;D576&amp;".",dapan!$E:$J,6,0),""),"1","A"),"2","B"),"3","C"),"4","D")</f>
        <v/>
      </c>
      <c r="P576" t="str">
        <f t="shared" si="31"/>
        <v/>
      </c>
      <c r="Q576" t="str">
        <f t="shared" si="32"/>
        <v/>
      </c>
    </row>
    <row r="577" spans="1:17" hidden="1" x14ac:dyDescent="0.25">
      <c r="A577">
        <v>2</v>
      </c>
      <c r="B577" t="s">
        <v>508</v>
      </c>
      <c r="C577">
        <f>IFERROR(COUNTIFS($A$1:A577,"Câu "&amp;"*")-MID(A577,5,FIND(".",A577,1)-5),0)</f>
        <v>0</v>
      </c>
      <c r="D577" t="str">
        <f t="shared" si="33"/>
        <v/>
      </c>
      <c r="E577" t="str">
        <f>SUBSTITUTE(IF(LEFT(A577,3)="Câu",MID(A577,FIND(".",A577,1)+2,LEN(A577)),""),CHAR(34),CHAR(92)&amp;CHAR(34))</f>
        <v/>
      </c>
      <c r="G577" t="str">
        <f>SUBSTITUTE(B578,CHAR(34),CHAR(92)&amp;CHAR(34))</f>
        <v/>
      </c>
      <c r="H577" t="str">
        <f>SUBSTITUTE(B579,CHAR(34),CHAR(92)&amp;CHAR(34))</f>
        <v>Không vi phạm pháp luật trật tự, an toàn giao thông đường bộ trong thời gian 12 tháng kể từ ngày bị trừ hết điểm.</v>
      </c>
      <c r="I577" t="str">
        <f>SUBSTITUTE(IF(LEFT(A580,3)="Câu","",B580),CHAR(34),CHAR(92)&amp;CHAR(34))</f>
        <v xml:space="preserve"> Sau thời hạn ít nhất là 06 tháng kể từ ngày bị trừ hết điểm, người có phép lái xe được tham gia kiểm tra nội dung kiến thức pháp luật về trật tự, an toàn giao thông đường bộ theo quy định, có kết quả đạt yêu cầu thì được phục hồi đủ 12 điểm.</v>
      </c>
      <c r="J577" t="str">
        <f>SUBSTITUTE(IF(OR(LEFT(A581,3)="Câu",I577=""),"",IF(B581=0,"",B581)),CHAR(34),CHAR(92)&amp;CHAR(34))</f>
        <v>Cả hai ý trên.</v>
      </c>
      <c r="K577" t="str">
        <f>SUBSTITUTE(SUBSTITUTE(SUBSTITUTE(SUBSTITUTE(IFERROR(VLOOKUP("Câu "&amp;D577&amp;".",dapan!$E:$J,6,0),""),"1","A"),"2","B"),"3","C"),"4","D")</f>
        <v/>
      </c>
      <c r="P577" t="str">
        <f t="shared" si="31"/>
        <v/>
      </c>
      <c r="Q577" t="str">
        <f t="shared" si="32"/>
        <v/>
      </c>
    </row>
    <row r="578" spans="1:17" x14ac:dyDescent="0.25">
      <c r="A578" t="s">
        <v>509</v>
      </c>
      <c r="C578">
        <f>IFERROR(COUNTIFS($A$1:A578,"Câu "&amp;"*")-MID(A578,5,FIND(".",A578,1)-5),0)</f>
        <v>0</v>
      </c>
      <c r="D578">
        <f t="shared" si="33"/>
        <v>141</v>
      </c>
      <c r="E578" t="str">
        <f>SUBSTITUTE(IF(LEFT(A578,3)="Câu",MID(A578,FIND(".",A578,1)+2,LEN(A578)),""),CHAR(34),CHAR(92)&amp;CHAR(34))</f>
        <v>Người có giấy phép lái xe đã bị trừ hết điểm phải làm gì để phục hồi điểm giấy phép lái xe?</v>
      </c>
      <c r="G578" t="str">
        <f>SUBSTITUTE(B579,CHAR(34),CHAR(92)&amp;CHAR(34))</f>
        <v>Không vi phạm pháp luật trật tự, an toàn giao thông đường bộ trong thời gian 12 tháng kể từ ngày bị trừ hết điểm.</v>
      </c>
      <c r="H578" t="str">
        <f>SUBSTITUTE(B580,CHAR(34),CHAR(92)&amp;CHAR(34))</f>
        <v xml:space="preserve"> Sau thời hạn ít nhất là 06 tháng kể từ ngày bị trừ hết điểm, người có phép lái xe được tham gia kiểm tra nội dung kiến thức pháp luật về trật tự, an toàn giao thông đường bộ theo quy định, có kết quả đạt yêu cầu thì được phục hồi đủ 12 điểm.</v>
      </c>
      <c r="I578" t="str">
        <f>SUBSTITUTE(IF(LEFT(A581,3)="Câu","",B581),CHAR(34),CHAR(92)&amp;CHAR(34))</f>
        <v>Cả hai ý trên.</v>
      </c>
      <c r="J578" t="str">
        <f>SUBSTITUTE(IF(OR(LEFT(A582,3)="Câu",I578=""),"",IF(B582=0,"",B582)),CHAR(34),CHAR(92)&amp;CHAR(34))</f>
        <v/>
      </c>
      <c r="K578" t="str">
        <f ca="1">SUBSTITUTE(SUBSTITUTE(SUBSTITUTE(SUBSTITUTE(IFERROR(VLOOKUP("Câu "&amp;D578&amp;".",dapan!$E:$J,6,0),""),"1","A"),"2","B"),"3","C"),"4","D")</f>
        <v>B</v>
      </c>
      <c r="P578">
        <f t="shared" si="31"/>
        <v>141</v>
      </c>
      <c r="Q578" t="str">
        <f t="shared" ca="1" si="32"/>
        <v>{"num":141,"id":141,"q":"Người có giấy phép lái xe đã bị trừ hết điểm phải làm gì để phục hồi điểm giấy phép lái xe?","opts":{"A":"Không vi phạm pháp luật trật tự, an toàn giao thông đường bộ trong thời gian 12 tháng kể từ ngày bị trừ hết điểm.","B":" Sau thời hạn ít nhất là 06 tháng kể từ ngày bị trừ hết điểm, người có phép lái xe được tham gia kiểm tra nội dung kiến thức pháp luật về trật tự, an toàn giao thông đường bộ theo quy định, có kết quả đạt yêu cầu thì được phục hồi đủ 12 điểm.","C":"Cả hai ý trên."},"answer":"B"},</v>
      </c>
    </row>
    <row r="579" spans="1:17" hidden="1" x14ac:dyDescent="0.25">
      <c r="A579">
        <v>1</v>
      </c>
      <c r="B579" t="s">
        <v>510</v>
      </c>
      <c r="C579">
        <f>IFERROR(COUNTIFS($A$1:A579,"Câu "&amp;"*")-MID(A579,5,FIND(".",A579,1)-5),0)</f>
        <v>0</v>
      </c>
      <c r="D579" t="str">
        <f t="shared" si="33"/>
        <v/>
      </c>
      <c r="E579" t="str">
        <f>SUBSTITUTE(IF(LEFT(A579,3)="Câu",MID(A579,FIND(".",A579,1)+2,LEN(A579)),""),CHAR(34),CHAR(92)&amp;CHAR(34))</f>
        <v/>
      </c>
      <c r="G579" t="str">
        <f>SUBSTITUTE(B580,CHAR(34),CHAR(92)&amp;CHAR(34))</f>
        <v xml:space="preserve"> Sau thời hạn ít nhất là 06 tháng kể từ ngày bị trừ hết điểm, người có phép lái xe được tham gia kiểm tra nội dung kiến thức pháp luật về trật tự, an toàn giao thông đường bộ theo quy định, có kết quả đạt yêu cầu thì được phục hồi đủ 12 điểm.</v>
      </c>
      <c r="H579" t="str">
        <f>SUBSTITUTE(B581,CHAR(34),CHAR(92)&amp;CHAR(34))</f>
        <v>Cả hai ý trên.</v>
      </c>
      <c r="I579" t="str">
        <f>SUBSTITUTE(IF(LEFT(A582,3)="Câu","",B582),CHAR(34),CHAR(92)&amp;CHAR(34))</f>
        <v/>
      </c>
      <c r="J579" t="str">
        <f>SUBSTITUTE(IF(OR(LEFT(A583,3)="Câu",I579=""),"",IF(B583=0,"",B583)),CHAR(34),CHAR(92)&amp;CHAR(34))</f>
        <v/>
      </c>
      <c r="K579" t="str">
        <f>SUBSTITUTE(SUBSTITUTE(SUBSTITUTE(SUBSTITUTE(IFERROR(VLOOKUP("Câu "&amp;D579&amp;".",dapan!$E:$J,6,0),""),"1","A"),"2","B"),"3","C"),"4","D")</f>
        <v/>
      </c>
      <c r="P579" t="str">
        <f t="shared" ref="P579:P642" si="34">D579</f>
        <v/>
      </c>
      <c r="Q579" t="str">
        <f t="shared" ref="Q579:Q642" si="35">IF(D579="","",CHAR(123)&amp;CHAR(34)&amp;"num"&amp;CHAR(34)&amp;":"&amp;P579&amp;","&amp;CHAR(34)&amp;"id"&amp;CHAR(34)&amp;":"&amp;D579&amp;","
&amp;CHAR(34)&amp;"q"&amp;CHAR(34)&amp;":"&amp;CHAR(34)&amp;E579&amp;CHAR(34)&amp;","
&amp;IF(F579="","",CHAR(34)&amp;"img"&amp;CHAR(34)&amp;":"&amp;CHAR(34)&amp;F579&amp;CHAR(34)&amp;",")
&amp;CHAR(34)&amp;"opts"&amp;CHAR(34)&amp;":"&amp;CHAR(123)&amp;CHAR(34)&amp;"A"&amp;CHAR(34)&amp;":"&amp;CHAR(34)&amp;G579&amp;CHAR(34)&amp;","&amp;CHAR(34)&amp;"B"&amp;CHAR(34)&amp;":"&amp;CHAR(34)&amp;H579&amp;CHAR(34)
&amp;IF(I579="","",","&amp;CHAR(34)&amp;"C"&amp;CHAR(34)&amp;":"&amp;CHAR(34)&amp;I579&amp;CHAR(34))&amp;IF(J579="","",","&amp;CHAR(34)&amp;"D"&amp;CHAR(34)&amp;":"&amp;CHAR(34)&amp;J579&amp;CHAR(34))&amp;CHAR(125)&amp;","
&amp;CHAR(34)&amp;"answer"&amp;CHAR(34)&amp;":"&amp;CHAR(34)&amp;K579&amp;CHAR(34)
&amp;IF(L579="","",","&amp;CHAR(34)&amp;"danger"&amp;CHAR(34)&amp;":"&amp;CHAR(34)&amp;"true"&amp;CHAR(34))
&amp;IF(M579="","",","&amp;CHAR(34)&amp;"explain"&amp;CHAR(34)&amp;":"&amp;CHAR(34)&amp;M579&amp;CHAR(34))
&amp;IF(N579="","",","&amp;CHAR(34)&amp;"explainImg"&amp;CHAR(34)&amp;":"&amp;CHAR(34)&amp;N579&amp;CHAR(34))
&amp;IF(O579="","",","&amp;CHAR(34)&amp;"shuffle"&amp;CHAR(34)&amp;":"&amp;CHAR(34)&amp;"false"&amp;CHAR(34))&amp;CHAR(125)&amp;",")</f>
        <v/>
      </c>
    </row>
    <row r="580" spans="1:17" hidden="1" x14ac:dyDescent="0.25">
      <c r="A580">
        <v>2</v>
      </c>
      <c r="B580" t="s">
        <v>511</v>
      </c>
      <c r="C580">
        <f>IFERROR(COUNTIFS($A$1:A580,"Câu "&amp;"*")-MID(A580,5,FIND(".",A580,1)-5),0)</f>
        <v>0</v>
      </c>
      <c r="D580" t="str">
        <f t="shared" si="33"/>
        <v/>
      </c>
      <c r="E580" t="str">
        <f>SUBSTITUTE(IF(LEFT(A580,3)="Câu",MID(A580,FIND(".",A580,1)+2,LEN(A580)),""),CHAR(34),CHAR(92)&amp;CHAR(34))</f>
        <v/>
      </c>
      <c r="G580" t="str">
        <f>SUBSTITUTE(B581,CHAR(34),CHAR(92)&amp;CHAR(34))</f>
        <v>Cả hai ý trên.</v>
      </c>
      <c r="H580" t="str">
        <f>SUBSTITUTE(B582,CHAR(34),CHAR(92)&amp;CHAR(34))</f>
        <v/>
      </c>
      <c r="I580" t="str">
        <f>SUBSTITUTE(IF(LEFT(A583,3)="Câu","",B583),CHAR(34),CHAR(92)&amp;CHAR(34))</f>
        <v xml:space="preserve"> Tiếp tục chịu trách nhiệm của chủ xe.</v>
      </c>
      <c r="J580" t="str">
        <f>SUBSTITUTE(IF(OR(LEFT(A584,3)="Câu",I580=""),"",IF(B584=0,"",B584)),CHAR(34),CHAR(92)&amp;CHAR(34))</f>
        <v>Không chịu trách nhiệm sau khi đã chuyển nhượng, trao đổi, tặng, cho.</v>
      </c>
      <c r="K580" t="str">
        <f>SUBSTITUTE(SUBSTITUTE(SUBSTITUTE(SUBSTITUTE(IFERROR(VLOOKUP("Câu "&amp;D580&amp;".",dapan!$E:$J,6,0),""),"1","A"),"2","B"),"3","C"),"4","D")</f>
        <v/>
      </c>
      <c r="P580" t="str">
        <f t="shared" si="34"/>
        <v/>
      </c>
      <c r="Q580" t="str">
        <f t="shared" si="35"/>
        <v/>
      </c>
    </row>
    <row r="581" spans="1:17" hidden="1" x14ac:dyDescent="0.25">
      <c r="A581">
        <v>3</v>
      </c>
      <c r="B581" t="s">
        <v>18</v>
      </c>
      <c r="C581">
        <f>IFERROR(COUNTIFS($A$1:A581,"Câu "&amp;"*")-MID(A581,5,FIND(".",A581,1)-5),0)</f>
        <v>0</v>
      </c>
      <c r="D581" t="str">
        <f t="shared" si="33"/>
        <v/>
      </c>
      <c r="E581" t="str">
        <f>SUBSTITUTE(IF(LEFT(A581,3)="Câu",MID(A581,FIND(".",A581,1)+2,LEN(A581)),""),CHAR(34),CHAR(92)&amp;CHAR(34))</f>
        <v/>
      </c>
      <c r="G581" t="str">
        <f>SUBSTITUTE(B582,CHAR(34),CHAR(92)&amp;CHAR(34))</f>
        <v/>
      </c>
      <c r="H581" t="str">
        <f>SUBSTITUTE(B583,CHAR(34),CHAR(92)&amp;CHAR(34))</f>
        <v xml:space="preserve"> Tiếp tục chịu trách nhiệm của chủ xe.</v>
      </c>
      <c r="I581" t="str">
        <f>SUBSTITUTE(IF(LEFT(A584,3)="Câu","",B584),CHAR(34),CHAR(92)&amp;CHAR(34))</f>
        <v>Không chịu trách nhiệm sau khi đã chuyển nhượng, trao đổi, tặng, cho.</v>
      </c>
      <c r="J581" t="str">
        <f>SUBSTITUTE(IF(OR(LEFT(A585,3)="Câu",I581=""),"",IF(B585=0,"",B585)),CHAR(34),CHAR(92)&amp;CHAR(34))</f>
        <v/>
      </c>
      <c r="K581" t="str">
        <f>SUBSTITUTE(SUBSTITUTE(SUBSTITUTE(SUBSTITUTE(IFERROR(VLOOKUP("Câu "&amp;D581&amp;".",dapan!$E:$J,6,0),""),"1","A"),"2","B"),"3","C"),"4","D")</f>
        <v/>
      </c>
      <c r="P581" t="str">
        <f t="shared" si="34"/>
        <v/>
      </c>
      <c r="Q581" t="str">
        <f t="shared" si="35"/>
        <v/>
      </c>
    </row>
    <row r="582" spans="1:17" x14ac:dyDescent="0.25">
      <c r="A582" t="s">
        <v>512</v>
      </c>
      <c r="C582">
        <f>IFERROR(COUNTIFS($A$1:A582,"Câu "&amp;"*")-MID(A582,5,FIND(".",A582,1)-5),0)</f>
        <v>0</v>
      </c>
      <c r="D582">
        <f t="shared" si="33"/>
        <v>142</v>
      </c>
      <c r="E582" t="str">
        <f>SUBSTITUTE(IF(LEFT(A582,3)="Câu",MID(A582,FIND(".",A582,1)+2,LEN(A582)),""),CHAR(34),CHAR(92)&amp;CHAR(34))</f>
        <v>Trách nhiệm của tổ chức, cá nhân đứng tên trong giấy chứng nhận đăng ký xe khi chưa thực hiện thu hồi chứng nhận đăng ký xe, biển số xe được quy định như thế nào?</v>
      </c>
      <c r="G582" t="str">
        <f>SUBSTITUTE(B583,CHAR(34),CHAR(92)&amp;CHAR(34))</f>
        <v xml:space="preserve"> Tiếp tục chịu trách nhiệm của chủ xe.</v>
      </c>
      <c r="H582" t="str">
        <f>SUBSTITUTE(B584,CHAR(34),CHAR(92)&amp;CHAR(34))</f>
        <v>Không chịu trách nhiệm sau khi đã chuyển nhượng, trao đổi, tặng, cho.</v>
      </c>
      <c r="I582" t="str">
        <f>SUBSTITUTE(IF(LEFT(A585,3)="Câu","",B585),CHAR(34),CHAR(92)&amp;CHAR(34))</f>
        <v/>
      </c>
      <c r="J582" t="str">
        <f>SUBSTITUTE(IF(OR(LEFT(A586,3)="Câu",I582=""),"",IF(B586=0,"",B586)),CHAR(34),CHAR(92)&amp;CHAR(34))</f>
        <v/>
      </c>
      <c r="K582" t="str">
        <f ca="1">SUBSTITUTE(SUBSTITUTE(SUBSTITUTE(SUBSTITUTE(IFERROR(VLOOKUP("Câu "&amp;D582&amp;".",dapan!$E:$J,6,0),""),"1","A"),"2","B"),"3","C"),"4","D")</f>
        <v>A</v>
      </c>
      <c r="P582">
        <f t="shared" si="34"/>
        <v>142</v>
      </c>
      <c r="Q582" t="str">
        <f t="shared" ca="1" si="35"/>
        <v>{"num":142,"id":142,"q":"Trách nhiệm của tổ chức, cá nhân đứng tên trong giấy chứng nhận đăng ký xe khi chưa thực hiện thu hồi chứng nhận đăng ký xe, biển số xe được quy định như thế nào?","opts":{"A":" Tiếp tục chịu trách nhiệm của chủ xe.","B":"Không chịu trách nhiệm sau khi đã chuyển nhượng, trao đổi, tặng, cho."},"answer":"A"},</v>
      </c>
    </row>
    <row r="583" spans="1:17" hidden="1" x14ac:dyDescent="0.25">
      <c r="A583">
        <v>1</v>
      </c>
      <c r="B583" t="s">
        <v>513</v>
      </c>
      <c r="C583">
        <f>IFERROR(COUNTIFS($A$1:A583,"Câu "&amp;"*")-MID(A583,5,FIND(".",A583,1)-5),0)</f>
        <v>0</v>
      </c>
      <c r="D583" t="str">
        <f t="shared" si="33"/>
        <v/>
      </c>
      <c r="E583" t="str">
        <f>SUBSTITUTE(IF(LEFT(A583,3)="Câu",MID(A583,FIND(".",A583,1)+2,LEN(A583)),""),CHAR(34),CHAR(92)&amp;CHAR(34))</f>
        <v/>
      </c>
      <c r="G583" t="str">
        <f>SUBSTITUTE(B584,CHAR(34),CHAR(92)&amp;CHAR(34))</f>
        <v>Không chịu trách nhiệm sau khi đã chuyển nhượng, trao đổi, tặng, cho.</v>
      </c>
      <c r="H583" t="str">
        <f>SUBSTITUTE(B585,CHAR(34),CHAR(92)&amp;CHAR(34))</f>
        <v/>
      </c>
      <c r="I583" t="str">
        <f>SUBSTITUTE(IF(LEFT(A586,3)="Câu","",B586),CHAR(34),CHAR(92)&amp;CHAR(34))</f>
        <v>Xe ô tô kinh doanh vận tải.</v>
      </c>
      <c r="J583" t="str">
        <f>SUBSTITUTE(IF(OR(LEFT(A587,3)="Câu",I583=""),"",IF(B587=0,"",B587)),CHAR(34),CHAR(92)&amp;CHAR(34))</f>
        <v>Xe ô tô chở người từ 08 chỗ trở lên (không kể chỗ của người lái xe) kinh doanh vận tải, xe ô tô đầu kéo, xe cứu thương.</v>
      </c>
      <c r="K583" t="str">
        <f>SUBSTITUTE(SUBSTITUTE(SUBSTITUTE(SUBSTITUTE(IFERROR(VLOOKUP("Câu "&amp;D583&amp;".",dapan!$E:$J,6,0),""),"1","A"),"2","B"),"3","C"),"4","D")</f>
        <v/>
      </c>
      <c r="P583" t="str">
        <f t="shared" si="34"/>
        <v/>
      </c>
      <c r="Q583" t="str">
        <f t="shared" si="35"/>
        <v/>
      </c>
    </row>
    <row r="584" spans="1:17" hidden="1" x14ac:dyDescent="0.25">
      <c r="A584">
        <v>2</v>
      </c>
      <c r="B584" t="s">
        <v>514</v>
      </c>
      <c r="C584">
        <f>IFERROR(COUNTIFS($A$1:A584,"Câu "&amp;"*")-MID(A584,5,FIND(".",A584,1)-5),0)</f>
        <v>0</v>
      </c>
      <c r="D584" t="str">
        <f t="shared" si="33"/>
        <v/>
      </c>
      <c r="E584" t="str">
        <f>SUBSTITUTE(IF(LEFT(A584,3)="Câu",MID(A584,FIND(".",A584,1)+2,LEN(A584)),""),CHAR(34),CHAR(92)&amp;CHAR(34))</f>
        <v/>
      </c>
      <c r="G584" t="str">
        <f>SUBSTITUTE(B585,CHAR(34),CHAR(92)&amp;CHAR(34))</f>
        <v/>
      </c>
      <c r="H584" t="str">
        <f>SUBSTITUTE(B586,CHAR(34),CHAR(92)&amp;CHAR(34))</f>
        <v>Xe ô tô kinh doanh vận tải.</v>
      </c>
      <c r="I584" t="str">
        <f>SUBSTITUTE(IF(LEFT(A587,3)="Câu","",B587),CHAR(34),CHAR(92)&amp;CHAR(34))</f>
        <v>Xe ô tô chở người từ 08 chỗ trở lên (không kể chỗ của người lái xe) kinh doanh vận tải, xe ô tô đầu kéo, xe cứu thương.</v>
      </c>
      <c r="J584" t="str">
        <f>SUBSTITUTE(IF(OR(LEFT(A588,3)="Câu",I584=""),"",IF(B588=0,"",B588)),CHAR(34),CHAR(92)&amp;CHAR(34))</f>
        <v xml:space="preserve"> Cả hai ý trên.</v>
      </c>
      <c r="K584" t="str">
        <f>SUBSTITUTE(SUBSTITUTE(SUBSTITUTE(SUBSTITUTE(IFERROR(VLOOKUP("Câu "&amp;D584&amp;".",dapan!$E:$J,6,0),""),"1","A"),"2","B"),"3","C"),"4","D")</f>
        <v/>
      </c>
      <c r="P584" t="str">
        <f t="shared" si="34"/>
        <v/>
      </c>
      <c r="Q584" t="str">
        <f t="shared" si="35"/>
        <v/>
      </c>
    </row>
    <row r="585" spans="1:17" x14ac:dyDescent="0.25">
      <c r="A585" t="s">
        <v>515</v>
      </c>
      <c r="C585">
        <f>IFERROR(COUNTIFS($A$1:A585,"Câu "&amp;"*")-MID(A585,5,FIND(".",A585,1)-5),0)</f>
        <v>0</v>
      </c>
      <c r="D585">
        <f t="shared" si="33"/>
        <v>143</v>
      </c>
      <c r="E585" t="str">
        <f>SUBSTITUTE(IF(LEFT(A585,3)="Câu",MID(A585,FIND(".",A585,1)+2,LEN(A585)),""),CHAR(34),CHAR(92)&amp;CHAR(34))</f>
        <v>Để bảo đảm điều kiện tham gia giao thông đường bộ, loại phương tiện nào phải lắp thiết bị giám sát hành trình?</v>
      </c>
      <c r="G585" t="str">
        <f>SUBSTITUTE(B586,CHAR(34),CHAR(92)&amp;CHAR(34))</f>
        <v>Xe ô tô kinh doanh vận tải.</v>
      </c>
      <c r="H585" t="str">
        <f>SUBSTITUTE(B587,CHAR(34),CHAR(92)&amp;CHAR(34))</f>
        <v>Xe ô tô chở người từ 08 chỗ trở lên (không kể chỗ của người lái xe) kinh doanh vận tải, xe ô tô đầu kéo, xe cứu thương.</v>
      </c>
      <c r="I585" t="str">
        <f>SUBSTITUTE(IF(LEFT(A588,3)="Câu","",B588),CHAR(34),CHAR(92)&amp;CHAR(34))</f>
        <v xml:space="preserve"> Cả hai ý trên.</v>
      </c>
      <c r="J585" t="str">
        <f>SUBSTITUTE(IF(OR(LEFT(A589,3)="Câu",I585=""),"",IF(B589=0,"",B589)),CHAR(34),CHAR(92)&amp;CHAR(34))</f>
        <v/>
      </c>
      <c r="K585" t="str">
        <f ca="1">SUBSTITUTE(SUBSTITUTE(SUBSTITUTE(SUBSTITUTE(IFERROR(VLOOKUP("Câu "&amp;D585&amp;".",dapan!$E:$J,6,0),""),"1","A"),"2","B"),"3","C"),"4","D")</f>
        <v>C</v>
      </c>
      <c r="P585">
        <f t="shared" si="34"/>
        <v>143</v>
      </c>
      <c r="Q585" t="str">
        <f t="shared" ca="1" si="35"/>
        <v>{"num":143,"id":143,"q":"Để bảo đảm điều kiện tham gia giao thông đường bộ, loại phương tiện nào phải lắp thiết bị giám sát hành trình?","opts":{"A":"Xe ô tô kinh doanh vận tải.","B":"Xe ô tô chở người từ 08 chỗ trở lên (không kể chỗ của người lái xe) kinh doanh vận tải, xe ô tô đầu kéo, xe cứu thương.","C":" Cả hai ý trên."},"answer":"C"},</v>
      </c>
    </row>
    <row r="586" spans="1:17" hidden="1" x14ac:dyDescent="0.25">
      <c r="A586">
        <v>1</v>
      </c>
      <c r="B586" t="s">
        <v>516</v>
      </c>
      <c r="C586">
        <f>IFERROR(COUNTIFS($A$1:A586,"Câu "&amp;"*")-MID(A586,5,FIND(".",A586,1)-5),0)</f>
        <v>0</v>
      </c>
      <c r="D586" t="str">
        <f t="shared" si="33"/>
        <v/>
      </c>
      <c r="E586" t="str">
        <f>SUBSTITUTE(IF(LEFT(A586,3)="Câu",MID(A586,FIND(".",A586,1)+2,LEN(A586)),""),CHAR(34),CHAR(92)&amp;CHAR(34))</f>
        <v/>
      </c>
      <c r="G586" t="str">
        <f>SUBSTITUTE(B587,CHAR(34),CHAR(92)&amp;CHAR(34))</f>
        <v>Xe ô tô chở người từ 08 chỗ trở lên (không kể chỗ của người lái xe) kinh doanh vận tải, xe ô tô đầu kéo, xe cứu thương.</v>
      </c>
      <c r="H586" t="str">
        <f>SUBSTITUTE(B588,CHAR(34),CHAR(92)&amp;CHAR(34))</f>
        <v xml:space="preserve"> Cả hai ý trên.</v>
      </c>
      <c r="I586" t="str">
        <f>SUBSTITUTE(IF(LEFT(A589,3)="Câu","",B589),CHAR(34),CHAR(92)&amp;CHAR(34))</f>
        <v/>
      </c>
      <c r="J586" t="str">
        <f>SUBSTITUTE(IF(OR(LEFT(A590,3)="Câu",I586=""),"",IF(B590=0,"",B590)),CHAR(34),CHAR(92)&amp;CHAR(34))</f>
        <v/>
      </c>
      <c r="K586" t="str">
        <f>SUBSTITUTE(SUBSTITUTE(SUBSTITUTE(SUBSTITUTE(IFERROR(VLOOKUP("Câu "&amp;D586&amp;".",dapan!$E:$J,6,0),""),"1","A"),"2","B"),"3","C"),"4","D")</f>
        <v/>
      </c>
      <c r="P586" t="str">
        <f t="shared" si="34"/>
        <v/>
      </c>
      <c r="Q586" t="str">
        <f t="shared" si="35"/>
        <v/>
      </c>
    </row>
    <row r="587" spans="1:17" hidden="1" x14ac:dyDescent="0.25">
      <c r="A587">
        <v>2</v>
      </c>
      <c r="B587" t="s">
        <v>517</v>
      </c>
      <c r="C587">
        <f>IFERROR(COUNTIFS($A$1:A587,"Câu "&amp;"*")-MID(A587,5,FIND(".",A587,1)-5),0)</f>
        <v>0</v>
      </c>
      <c r="D587" t="str">
        <f t="shared" si="33"/>
        <v/>
      </c>
      <c r="E587" t="str">
        <f>SUBSTITUTE(IF(LEFT(A587,3)="Câu",MID(A587,FIND(".",A587,1)+2,LEN(A587)),""),CHAR(34),CHAR(92)&amp;CHAR(34))</f>
        <v/>
      </c>
      <c r="G587" t="str">
        <f>SUBSTITUTE(B588,CHAR(34),CHAR(92)&amp;CHAR(34))</f>
        <v xml:space="preserve"> Cả hai ý trên.</v>
      </c>
      <c r="H587" t="str">
        <f>SUBSTITUTE(B589,CHAR(34),CHAR(92)&amp;CHAR(34))</f>
        <v/>
      </c>
      <c r="I587" t="str">
        <f>SUBSTITUTE(IF(LEFT(A590,3)="Câu","",B590),CHAR(34),CHAR(92)&amp;CHAR(34))</f>
        <v>50 km/h.</v>
      </c>
      <c r="J587" t="str">
        <f>SUBSTITUTE(IF(OR(LEFT(A591,3)="Câu",I587=""),"",IF(B591=0,"",B591)),CHAR(34),CHAR(92)&amp;CHAR(34))</f>
        <v xml:space="preserve"> 40 km/h.</v>
      </c>
      <c r="K587" t="str">
        <f>SUBSTITUTE(SUBSTITUTE(SUBSTITUTE(SUBSTITUTE(IFERROR(VLOOKUP("Câu "&amp;D587&amp;".",dapan!$E:$J,6,0),""),"1","A"),"2","B"),"3","C"),"4","D")</f>
        <v/>
      </c>
      <c r="P587" t="str">
        <f t="shared" si="34"/>
        <v/>
      </c>
      <c r="Q587" t="str">
        <f t="shared" si="35"/>
        <v/>
      </c>
    </row>
    <row r="588" spans="1:17" hidden="1" x14ac:dyDescent="0.25">
      <c r="A588">
        <v>3</v>
      </c>
      <c r="B588" t="s">
        <v>32</v>
      </c>
      <c r="C588">
        <f>IFERROR(COUNTIFS($A$1:A588,"Câu "&amp;"*")-MID(A588,5,FIND(".",A588,1)-5),0)</f>
        <v>0</v>
      </c>
      <c r="D588" t="str">
        <f t="shared" si="33"/>
        <v/>
      </c>
      <c r="E588" t="str">
        <f>SUBSTITUTE(IF(LEFT(A588,3)="Câu",MID(A588,FIND(".",A588,1)+2,LEN(A588)),""),CHAR(34),CHAR(92)&amp;CHAR(34))</f>
        <v/>
      </c>
      <c r="G588" t="str">
        <f>SUBSTITUTE(B589,CHAR(34),CHAR(92)&amp;CHAR(34))</f>
        <v/>
      </c>
      <c r="H588" t="str">
        <f>SUBSTITUTE(B590,CHAR(34),CHAR(92)&amp;CHAR(34))</f>
        <v>50 km/h.</v>
      </c>
      <c r="I588" t="str">
        <f>SUBSTITUTE(IF(LEFT(A591,3)="Câu","",B591),CHAR(34),CHAR(92)&amp;CHAR(34))</f>
        <v xml:space="preserve"> 40 km/h.</v>
      </c>
      <c r="J588" t="str">
        <f>SUBSTITUTE(IF(OR(LEFT(A592,3)="Câu",I588=""),"",IF(B592=0,"",B592)),CHAR(34),CHAR(92)&amp;CHAR(34))</f>
        <v>60 km/h.</v>
      </c>
      <c r="K588" t="str">
        <f>SUBSTITUTE(SUBSTITUTE(SUBSTITUTE(SUBSTITUTE(IFERROR(VLOOKUP("Câu "&amp;D588&amp;".",dapan!$E:$J,6,0),""),"1","A"),"2","B"),"3","C"),"4","D")</f>
        <v/>
      </c>
      <c r="P588" t="str">
        <f t="shared" si="34"/>
        <v/>
      </c>
      <c r="Q588" t="str">
        <f t="shared" si="35"/>
        <v/>
      </c>
    </row>
    <row r="589" spans="1:17" x14ac:dyDescent="0.25">
      <c r="A589" t="s">
        <v>518</v>
      </c>
      <c r="C589">
        <f>IFERROR(COUNTIFS($A$1:A589,"Câu "&amp;"*")-MID(A589,5,FIND(".",A589,1)-5),0)</f>
        <v>0</v>
      </c>
      <c r="D589">
        <f t="shared" si="33"/>
        <v>144</v>
      </c>
      <c r="E589" t="str">
        <f>SUBSTITUTE(IF(LEFT(A589,3)="Câu",MID(A589,FIND(".",A589,1)+2,LEN(A589)),""),CHAR(34),CHAR(92)&amp;CHAR(34))</f>
        <v>Tốc độ khai thác tối đa cho phép đối với xe máy chuyên dùng, xe gắn máy và các loại xe tương tự tham gia giao thông trên đường bộ (trừ đường cao tốc) là bao nhiêu km/h?</v>
      </c>
      <c r="G589" t="str">
        <f>SUBSTITUTE(B590,CHAR(34),CHAR(92)&amp;CHAR(34))</f>
        <v>50 km/h.</v>
      </c>
      <c r="H589" t="str">
        <f>SUBSTITUTE(B591,CHAR(34),CHAR(92)&amp;CHAR(34))</f>
        <v xml:space="preserve"> 40 km/h.</v>
      </c>
      <c r="I589" t="str">
        <f>SUBSTITUTE(IF(LEFT(A592,3)="Câu","",B592),CHAR(34),CHAR(92)&amp;CHAR(34))</f>
        <v>60 km/h.</v>
      </c>
      <c r="J589" t="str">
        <f>SUBSTITUTE(IF(OR(LEFT(A593,3)="Câu",I589=""),"",IF(B593=0,"",B593)),CHAR(34),CHAR(92)&amp;CHAR(34))</f>
        <v/>
      </c>
      <c r="K589" t="str">
        <f ca="1">SUBSTITUTE(SUBSTITUTE(SUBSTITUTE(SUBSTITUTE(IFERROR(VLOOKUP("Câu "&amp;D589&amp;".",dapan!$E:$J,6,0),""),"1","A"),"2","B"),"3","C"),"4","D")</f>
        <v>B</v>
      </c>
      <c r="P589">
        <f t="shared" si="34"/>
        <v>144</v>
      </c>
      <c r="Q589" t="str">
        <f t="shared" ca="1" si="35"/>
        <v>{"num":144,"id":144,"q":"Tốc độ khai thác tối đa cho phép đối với xe máy chuyên dùng, xe gắn máy và các loại xe tương tự tham gia giao thông trên đường bộ (trừ đường cao tốc) là bao nhiêu km/h?","opts":{"A":"50 km/h.","B":" 40 km/h.","C":"60 km/h."},"answer":"B"},</v>
      </c>
    </row>
    <row r="590" spans="1:17" hidden="1" x14ac:dyDescent="0.25">
      <c r="A590">
        <v>1</v>
      </c>
      <c r="B590" t="s">
        <v>519</v>
      </c>
      <c r="C590">
        <f>IFERROR(COUNTIFS($A$1:A590,"Câu "&amp;"*")-MID(A590,5,FIND(".",A590,1)-5),0)</f>
        <v>0</v>
      </c>
      <c r="D590" t="str">
        <f t="shared" si="33"/>
        <v/>
      </c>
      <c r="E590" t="str">
        <f>SUBSTITUTE(IF(LEFT(A590,3)="Câu",MID(A590,FIND(".",A590,1)+2,LEN(A590)),""),CHAR(34),CHAR(92)&amp;CHAR(34))</f>
        <v/>
      </c>
      <c r="G590" t="str">
        <f>SUBSTITUTE(B591,CHAR(34),CHAR(92)&amp;CHAR(34))</f>
        <v xml:space="preserve"> 40 km/h.</v>
      </c>
      <c r="H590" t="str">
        <f>SUBSTITUTE(B592,CHAR(34),CHAR(92)&amp;CHAR(34))</f>
        <v>60 km/h.</v>
      </c>
      <c r="I590" t="str">
        <f>SUBSTITUTE(IF(LEFT(A593,3)="Câu","",B593),CHAR(34),CHAR(92)&amp;CHAR(34))</f>
        <v/>
      </c>
      <c r="J590" t="str">
        <f>SUBSTITUTE(IF(OR(LEFT(A594,3)="Câu",I590=""),"",IF(B594=0,"",B594)),CHAR(34),CHAR(92)&amp;CHAR(34))</f>
        <v/>
      </c>
      <c r="K590" t="str">
        <f>SUBSTITUTE(SUBSTITUTE(SUBSTITUTE(SUBSTITUTE(IFERROR(VLOOKUP("Câu "&amp;D590&amp;".",dapan!$E:$J,6,0),""),"1","A"),"2","B"),"3","C"),"4","D")</f>
        <v/>
      </c>
      <c r="P590" t="str">
        <f t="shared" si="34"/>
        <v/>
      </c>
      <c r="Q590" t="str">
        <f t="shared" si="35"/>
        <v/>
      </c>
    </row>
    <row r="591" spans="1:17" hidden="1" x14ac:dyDescent="0.25">
      <c r="A591">
        <v>2</v>
      </c>
      <c r="B591" t="s">
        <v>520</v>
      </c>
      <c r="C591">
        <f>IFERROR(COUNTIFS($A$1:A591,"Câu "&amp;"*")-MID(A591,5,FIND(".",A591,1)-5),0)</f>
        <v>0</v>
      </c>
      <c r="D591" t="str">
        <f t="shared" si="33"/>
        <v/>
      </c>
      <c r="E591" t="str">
        <f>SUBSTITUTE(IF(LEFT(A591,3)="Câu",MID(A591,FIND(".",A591,1)+2,LEN(A591)),""),CHAR(34),CHAR(92)&amp;CHAR(34))</f>
        <v/>
      </c>
      <c r="G591" t="str">
        <f>SUBSTITUTE(B592,CHAR(34),CHAR(92)&amp;CHAR(34))</f>
        <v>60 km/h.</v>
      </c>
      <c r="H591" t="str">
        <f>SUBSTITUTE(B593,CHAR(34),CHAR(92)&amp;CHAR(34))</f>
        <v/>
      </c>
      <c r="I591" t="str">
        <f>SUBSTITUTE(IF(LEFT(A594,3)="Câu","",B594),CHAR(34),CHAR(92)&amp;CHAR(34))</f>
        <v xml:space="preserve"> 60 km/h.</v>
      </c>
      <c r="J591" t="str">
        <f>SUBSTITUTE(IF(OR(LEFT(A595,3)="Câu",I591=""),"",IF(B595=0,"",B595)),CHAR(34),CHAR(92)&amp;CHAR(34))</f>
        <v>50 km/h.</v>
      </c>
      <c r="K591" t="str">
        <f>SUBSTITUTE(SUBSTITUTE(SUBSTITUTE(SUBSTITUTE(IFERROR(VLOOKUP("Câu "&amp;D591&amp;".",dapan!$E:$J,6,0),""),"1","A"),"2","B"),"3","C"),"4","D")</f>
        <v/>
      </c>
      <c r="P591" t="str">
        <f t="shared" si="34"/>
        <v/>
      </c>
      <c r="Q591" t="str">
        <f t="shared" si="35"/>
        <v/>
      </c>
    </row>
    <row r="592" spans="1:17" hidden="1" x14ac:dyDescent="0.25">
      <c r="A592">
        <v>3</v>
      </c>
      <c r="B592" t="s">
        <v>521</v>
      </c>
      <c r="C592">
        <f>IFERROR(COUNTIFS($A$1:A592,"Câu "&amp;"*")-MID(A592,5,FIND(".",A592,1)-5),0)</f>
        <v>0</v>
      </c>
      <c r="D592" t="str">
        <f t="shared" si="33"/>
        <v/>
      </c>
      <c r="E592" t="str">
        <f>SUBSTITUTE(IF(LEFT(A592,3)="Câu",MID(A592,FIND(".",A592,1)+2,LEN(A592)),""),CHAR(34),CHAR(92)&amp;CHAR(34))</f>
        <v/>
      </c>
      <c r="G592" t="str">
        <f>SUBSTITUTE(B593,CHAR(34),CHAR(92)&amp;CHAR(34))</f>
        <v/>
      </c>
      <c r="H592" t="str">
        <f>SUBSTITUTE(B594,CHAR(34),CHAR(92)&amp;CHAR(34))</f>
        <v xml:space="preserve"> 60 km/h.</v>
      </c>
      <c r="I592" t="str">
        <f>SUBSTITUTE(IF(LEFT(A595,3)="Câu","",B595),CHAR(34),CHAR(92)&amp;CHAR(34))</f>
        <v>50 km/h.</v>
      </c>
      <c r="J592" t="str">
        <f>SUBSTITUTE(IF(OR(LEFT(A596,3)="Câu",I592=""),"",IF(B596=0,"",B596)),CHAR(34),CHAR(92)&amp;CHAR(34))</f>
        <v>40 km/h.</v>
      </c>
      <c r="K592" t="str">
        <f>SUBSTITUTE(SUBSTITUTE(SUBSTITUTE(SUBSTITUTE(IFERROR(VLOOKUP("Câu "&amp;D592&amp;".",dapan!$E:$J,6,0),""),"1","A"),"2","B"),"3","C"),"4","D")</f>
        <v/>
      </c>
      <c r="P592" t="str">
        <f t="shared" si="34"/>
        <v/>
      </c>
      <c r="Q592" t="str">
        <f t="shared" si="35"/>
        <v/>
      </c>
    </row>
    <row r="593" spans="1:17" x14ac:dyDescent="0.25">
      <c r="A593" t="s">
        <v>522</v>
      </c>
      <c r="C593">
        <f>IFERROR(COUNTIFS($A$1:A593,"Câu "&amp;"*")-MID(A593,5,FIND(".",A593,1)-5),0)</f>
        <v>0</v>
      </c>
      <c r="D593">
        <f t="shared" si="33"/>
        <v>145</v>
      </c>
      <c r="E593" t="str">
        <f>SUBSTITUTE(IF(LEFT(A593,3)="Câu",MID(A593,FIND(".",A593,1)+2,LEN(A593)),""),CHAR(34),CHAR(92)&amp;CHAR(34))</f>
        <v>Trên đường bộ, trong khu vực đông dân cư, đường đôi hoặc đường một chiều có từ hai làn xe cơ giới trở lên, xe mô tô hai bánh, ô tô chở người đến 28 chỗ không kể chỗ của người lái xe tham gia giao thông với tốc độ khai thác tối đa cho phép là bao nhiêu?</v>
      </c>
      <c r="G593" t="str">
        <f>SUBSTITUTE(B594,CHAR(34),CHAR(92)&amp;CHAR(34))</f>
        <v xml:space="preserve"> 60 km/h.</v>
      </c>
      <c r="H593" t="str">
        <f>SUBSTITUTE(B595,CHAR(34),CHAR(92)&amp;CHAR(34))</f>
        <v>50 km/h.</v>
      </c>
      <c r="I593" t="str">
        <f>SUBSTITUTE(IF(LEFT(A596,3)="Câu","",B596),CHAR(34),CHAR(92)&amp;CHAR(34))</f>
        <v>40 km/h.</v>
      </c>
      <c r="J593" t="str">
        <f>SUBSTITUTE(IF(OR(LEFT(A597,3)="Câu",I593=""),"",IF(B597=0,"",B597)),CHAR(34),CHAR(92)&amp;CHAR(34))</f>
        <v/>
      </c>
      <c r="K593" t="str">
        <f ca="1">SUBSTITUTE(SUBSTITUTE(SUBSTITUTE(SUBSTITUTE(IFERROR(VLOOKUP("Câu "&amp;D593&amp;".",dapan!$E:$J,6,0),""),"1","A"),"2","B"),"3","C"),"4","D")</f>
        <v>A</v>
      </c>
      <c r="P593">
        <f t="shared" si="34"/>
        <v>145</v>
      </c>
      <c r="Q593" t="str">
        <f t="shared" ca="1" si="35"/>
        <v>{"num":145,"id":145,"q":"Trên đường bộ, trong khu vực đông dân cư, đường đôi hoặc đường một chiều có từ hai làn xe cơ giới trở lên, xe mô tô hai bánh, ô tô chở người đến 28 chỗ không kể chỗ của người lái xe tham gia giao thông với tốc độ khai thác tối đa cho phép là bao nhiêu?","opts":{"A":" 60 km/h.","B":"50 km/h.","C":"40 km/h."},"answer":"A"},</v>
      </c>
    </row>
    <row r="594" spans="1:17" hidden="1" x14ac:dyDescent="0.25">
      <c r="A594">
        <v>1</v>
      </c>
      <c r="B594" t="s">
        <v>523</v>
      </c>
      <c r="C594">
        <f>IFERROR(COUNTIFS($A$1:A594,"Câu "&amp;"*")-MID(A594,5,FIND(".",A594,1)-5),0)</f>
        <v>0</v>
      </c>
      <c r="D594" t="str">
        <f t="shared" si="33"/>
        <v/>
      </c>
      <c r="E594" t="str">
        <f>SUBSTITUTE(IF(LEFT(A594,3)="Câu",MID(A594,FIND(".",A594,1)+2,LEN(A594)),""),CHAR(34),CHAR(92)&amp;CHAR(34))</f>
        <v/>
      </c>
      <c r="G594" t="str">
        <f>SUBSTITUTE(B595,CHAR(34),CHAR(92)&amp;CHAR(34))</f>
        <v>50 km/h.</v>
      </c>
      <c r="H594" t="str">
        <f>SUBSTITUTE(B596,CHAR(34),CHAR(92)&amp;CHAR(34))</f>
        <v>40 km/h.</v>
      </c>
      <c r="I594" t="str">
        <f>SUBSTITUTE(IF(LEFT(A597,3)="Câu","",B597),CHAR(34),CHAR(92)&amp;CHAR(34))</f>
        <v/>
      </c>
      <c r="J594" t="str">
        <f>SUBSTITUTE(IF(OR(LEFT(A598,3)="Câu",I594=""),"",IF(B598=0,"",B598)),CHAR(34),CHAR(92)&amp;CHAR(34))</f>
        <v/>
      </c>
      <c r="K594" t="str">
        <f>SUBSTITUTE(SUBSTITUTE(SUBSTITUTE(SUBSTITUTE(IFERROR(VLOOKUP("Câu "&amp;D594&amp;".",dapan!$E:$J,6,0),""),"1","A"),"2","B"),"3","C"),"4","D")</f>
        <v/>
      </c>
      <c r="P594" t="str">
        <f t="shared" si="34"/>
        <v/>
      </c>
      <c r="Q594" t="str">
        <f t="shared" si="35"/>
        <v/>
      </c>
    </row>
    <row r="595" spans="1:17" hidden="1" x14ac:dyDescent="0.25">
      <c r="A595">
        <v>2</v>
      </c>
      <c r="B595" t="s">
        <v>519</v>
      </c>
      <c r="C595">
        <f>IFERROR(COUNTIFS($A$1:A595,"Câu "&amp;"*")-MID(A595,5,FIND(".",A595,1)-5),0)</f>
        <v>0</v>
      </c>
      <c r="D595" t="str">
        <f t="shared" si="33"/>
        <v/>
      </c>
      <c r="E595" t="str">
        <f>SUBSTITUTE(IF(LEFT(A595,3)="Câu",MID(A595,FIND(".",A595,1)+2,LEN(A595)),""),CHAR(34),CHAR(92)&amp;CHAR(34))</f>
        <v/>
      </c>
      <c r="G595" t="str">
        <f>SUBSTITUTE(B596,CHAR(34),CHAR(92)&amp;CHAR(34))</f>
        <v>40 km/h.</v>
      </c>
      <c r="H595" t="str">
        <f>SUBSTITUTE(B597,CHAR(34),CHAR(92)&amp;CHAR(34))</f>
        <v/>
      </c>
      <c r="I595" t="str">
        <f>SUBSTITUTE(IF(LEFT(A598,3)="Câu","",B598),CHAR(34),CHAR(92)&amp;CHAR(34))</f>
        <v>60 km/h.</v>
      </c>
      <c r="J595" t="str">
        <f>SUBSTITUTE(IF(OR(LEFT(A599,3)="Câu",I595=""),"",IF(B599=0,"",B599)),CHAR(34),CHAR(92)&amp;CHAR(34))</f>
        <v xml:space="preserve"> 50 km/h.</v>
      </c>
      <c r="K595" t="str">
        <f>SUBSTITUTE(SUBSTITUTE(SUBSTITUTE(SUBSTITUTE(IFERROR(VLOOKUP("Câu "&amp;D595&amp;".",dapan!$E:$J,6,0),""),"1","A"),"2","B"),"3","C"),"4","D")</f>
        <v/>
      </c>
      <c r="P595" t="str">
        <f t="shared" si="34"/>
        <v/>
      </c>
      <c r="Q595" t="str">
        <f t="shared" si="35"/>
        <v/>
      </c>
    </row>
    <row r="596" spans="1:17" hidden="1" x14ac:dyDescent="0.25">
      <c r="A596">
        <v>3</v>
      </c>
      <c r="B596" t="s">
        <v>524</v>
      </c>
      <c r="C596">
        <f>IFERROR(COUNTIFS($A$1:A596,"Câu "&amp;"*")-MID(A596,5,FIND(".",A596,1)-5),0)</f>
        <v>0</v>
      </c>
      <c r="D596" t="str">
        <f t="shared" si="33"/>
        <v/>
      </c>
      <c r="E596" t="str">
        <f>SUBSTITUTE(IF(LEFT(A596,3)="Câu",MID(A596,FIND(".",A596,1)+2,LEN(A596)),""),CHAR(34),CHAR(92)&amp;CHAR(34))</f>
        <v/>
      </c>
      <c r="G596" t="str">
        <f>SUBSTITUTE(B597,CHAR(34),CHAR(92)&amp;CHAR(34))</f>
        <v/>
      </c>
      <c r="H596" t="str">
        <f>SUBSTITUTE(B598,CHAR(34),CHAR(92)&amp;CHAR(34))</f>
        <v>60 km/h.</v>
      </c>
      <c r="I596" t="str">
        <f>SUBSTITUTE(IF(LEFT(A599,3)="Câu","",B599),CHAR(34),CHAR(92)&amp;CHAR(34))</f>
        <v xml:space="preserve"> 50 km/h.</v>
      </c>
      <c r="J596" t="str">
        <f>SUBSTITUTE(IF(OR(LEFT(A600,3)="Câu",I596=""),"",IF(B600=0,"",B600)),CHAR(34),CHAR(92)&amp;CHAR(34))</f>
        <v>40 km/h.</v>
      </c>
      <c r="K596" t="str">
        <f>SUBSTITUTE(SUBSTITUTE(SUBSTITUTE(SUBSTITUTE(IFERROR(VLOOKUP("Câu "&amp;D596&amp;".",dapan!$E:$J,6,0),""),"1","A"),"2","B"),"3","C"),"4","D")</f>
        <v/>
      </c>
      <c r="P596" t="str">
        <f t="shared" si="34"/>
        <v/>
      </c>
      <c r="Q596" t="str">
        <f t="shared" si="35"/>
        <v/>
      </c>
    </row>
    <row r="597" spans="1:17" x14ac:dyDescent="0.25">
      <c r="A597" t="s">
        <v>1750</v>
      </c>
      <c r="C597">
        <f>IFERROR(COUNTIFS($A$1:A597,"Câu "&amp;"*")-MID(A597,5,FIND(".",A597,1)-5),0)</f>
        <v>0</v>
      </c>
      <c r="D597">
        <f t="shared" si="33"/>
        <v>146</v>
      </c>
      <c r="E597" t="str">
        <f>SUBSTITUTE(IF(LEFT(A597,3)="Câu",MID(A597,FIND(".",A597,1)+2,LEN(A597)),""),CHAR(34),CHAR(92)&amp;CHAR(34))</f>
        <v>Trên đường bộ (trừ đường cao tốc) trong khu vực đông dân cư, đường hai chiều hoặc đường một chiều có một làn xe cơ giới, xe mô tô hai bánh, ô tô chở người đến 28 chỗ không kể chỗ của người lái xe tham gia giao thông với tốc độ khai thác tối đa cho phép là bao nhiêu?</v>
      </c>
      <c r="G597" t="str">
        <f>SUBSTITUTE(B598,CHAR(34),CHAR(92)&amp;CHAR(34))</f>
        <v>60 km/h.</v>
      </c>
      <c r="H597" t="str">
        <f>SUBSTITUTE(B599,CHAR(34),CHAR(92)&amp;CHAR(34))</f>
        <v xml:space="preserve"> 50 km/h.</v>
      </c>
      <c r="I597" t="str">
        <f>SUBSTITUTE(IF(LEFT(A600,3)="Câu","",B600),CHAR(34),CHAR(92)&amp;CHAR(34))</f>
        <v>40 km/h.</v>
      </c>
      <c r="J597" t="str">
        <f>SUBSTITUTE(IF(OR(LEFT(A601,3)="Câu",I597=""),"",IF(B601=0,"",B601)),CHAR(34),CHAR(92)&amp;CHAR(34))</f>
        <v/>
      </c>
      <c r="K597" t="str">
        <f ca="1">SUBSTITUTE(SUBSTITUTE(SUBSTITUTE(SUBSTITUTE(IFERROR(VLOOKUP("Câu "&amp;D597&amp;".",dapan!$E:$J,6,0),""),"1","A"),"2","B"),"3","C"),"4","D")</f>
        <v>B</v>
      </c>
      <c r="P597">
        <f t="shared" si="34"/>
        <v>146</v>
      </c>
      <c r="Q597" t="str">
        <f t="shared" ca="1" si="35"/>
        <v>{"num":146,"id":146,"q":"Trên đường bộ (trừ đường cao tốc) trong khu vực đông dân cư, đường hai chiều hoặc đường một chiều có một làn xe cơ giới, xe mô tô hai bánh, ô tô chở người đến 28 chỗ không kể chỗ của người lái xe tham gia giao thông với tốc độ khai thác tối đa cho phép là bao nhiêu?","opts":{"A":"60 km/h.","B":" 50 km/h.","C":"40 km/h."},"answer":"B"},</v>
      </c>
    </row>
    <row r="598" spans="1:17" hidden="1" x14ac:dyDescent="0.25">
      <c r="A598">
        <v>1</v>
      </c>
      <c r="B598" t="s">
        <v>521</v>
      </c>
      <c r="C598">
        <f>IFERROR(COUNTIFS($A$1:A598,"Câu "&amp;"*")-MID(A598,5,FIND(".",A598,1)-5),0)</f>
        <v>0</v>
      </c>
      <c r="D598" t="str">
        <f t="shared" si="33"/>
        <v/>
      </c>
      <c r="E598" t="str">
        <f>SUBSTITUTE(IF(LEFT(A598,3)="Câu",MID(A598,FIND(".",A598,1)+2,LEN(A598)),""),CHAR(34),CHAR(92)&amp;CHAR(34))</f>
        <v/>
      </c>
      <c r="G598" t="str">
        <f>SUBSTITUTE(B599,CHAR(34),CHAR(92)&amp;CHAR(34))</f>
        <v xml:space="preserve"> 50 km/h.</v>
      </c>
      <c r="H598" t="str">
        <f>SUBSTITUTE(B600,CHAR(34),CHAR(92)&amp;CHAR(34))</f>
        <v>40 km/h.</v>
      </c>
      <c r="I598" t="str">
        <f>SUBSTITUTE(IF(LEFT(A601,3)="Câu","",B601),CHAR(34),CHAR(92)&amp;CHAR(34))</f>
        <v/>
      </c>
      <c r="J598" t="str">
        <f>SUBSTITUTE(IF(OR(LEFT(A602,3)="Câu",I598=""),"",IF(B602=0,"",B602)),CHAR(34),CHAR(92)&amp;CHAR(34))</f>
        <v/>
      </c>
      <c r="K598" t="str">
        <f>SUBSTITUTE(SUBSTITUTE(SUBSTITUTE(SUBSTITUTE(IFERROR(VLOOKUP("Câu "&amp;D598&amp;".",dapan!$E:$J,6,0),""),"1","A"),"2","B"),"3","C"),"4","D")</f>
        <v/>
      </c>
      <c r="P598" t="str">
        <f t="shared" si="34"/>
        <v/>
      </c>
      <c r="Q598" t="str">
        <f t="shared" si="35"/>
        <v/>
      </c>
    </row>
    <row r="599" spans="1:17" hidden="1" x14ac:dyDescent="0.25">
      <c r="A599">
        <v>2</v>
      </c>
      <c r="B599" t="s">
        <v>527</v>
      </c>
      <c r="C599">
        <f>IFERROR(COUNTIFS($A$1:A599,"Câu "&amp;"*")-MID(A599,5,FIND(".",A599,1)-5),0)</f>
        <v>0</v>
      </c>
      <c r="D599" t="str">
        <f t="shared" si="33"/>
        <v/>
      </c>
      <c r="E599" t="str">
        <f>SUBSTITUTE(IF(LEFT(A599,3)="Câu",MID(A599,FIND(".",A599,1)+2,LEN(A599)),""),CHAR(34),CHAR(92)&amp;CHAR(34))</f>
        <v/>
      </c>
      <c r="G599" t="str">
        <f>SUBSTITUTE(B600,CHAR(34),CHAR(92)&amp;CHAR(34))</f>
        <v>40 km/h.</v>
      </c>
      <c r="H599" t="str">
        <f>SUBSTITUTE(B601,CHAR(34),CHAR(92)&amp;CHAR(34))</f>
        <v/>
      </c>
      <c r="I599" t="str">
        <f>SUBSTITUTE(IF(LEFT(A602,3)="Câu","",B602),CHAR(34),CHAR(92)&amp;CHAR(34))</f>
        <v xml:space="preserve"> Ô tô tải, ô tô chở người trên 28 chỗ không kể chỗ của người lái xe.</v>
      </c>
      <c r="J599" t="str">
        <f>SUBSTITUTE(IF(OR(LEFT(A603,3)="Câu",I599=""),"",IF(B603=0,"",B603)),CHAR(34),CHAR(92)&amp;CHAR(34))</f>
        <v>Xe gắn máy, xe máy chuyên dùng.</v>
      </c>
      <c r="K599" t="str">
        <f>SUBSTITUTE(SUBSTITUTE(SUBSTITUTE(SUBSTITUTE(IFERROR(VLOOKUP("Câu "&amp;D599&amp;".",dapan!$E:$J,6,0),""),"1","A"),"2","B"),"3","C"),"4","D")</f>
        <v/>
      </c>
      <c r="P599" t="str">
        <f t="shared" si="34"/>
        <v/>
      </c>
      <c r="Q599" t="str">
        <f t="shared" si="35"/>
        <v/>
      </c>
    </row>
    <row r="600" spans="1:17" hidden="1" x14ac:dyDescent="0.25">
      <c r="A600">
        <v>3</v>
      </c>
      <c r="B600" t="s">
        <v>524</v>
      </c>
      <c r="C600">
        <f>IFERROR(COUNTIFS($A$1:A600,"Câu "&amp;"*")-MID(A600,5,FIND(".",A600,1)-5),0)</f>
        <v>0</v>
      </c>
      <c r="D600" t="str">
        <f t="shared" si="33"/>
        <v/>
      </c>
      <c r="E600" t="str">
        <f>SUBSTITUTE(IF(LEFT(A600,3)="Câu",MID(A600,FIND(".",A600,1)+2,LEN(A600)),""),CHAR(34),CHAR(92)&amp;CHAR(34))</f>
        <v/>
      </c>
      <c r="G600" t="str">
        <f>SUBSTITUTE(B601,CHAR(34),CHAR(92)&amp;CHAR(34))</f>
        <v/>
      </c>
      <c r="H600" t="str">
        <f>SUBSTITUTE(B602,CHAR(34),CHAR(92)&amp;CHAR(34))</f>
        <v xml:space="preserve"> Ô tô tải, ô tô chở người trên 28 chỗ không kể chỗ của người lái xe.</v>
      </c>
      <c r="I600" t="str">
        <f>SUBSTITUTE(IF(LEFT(A603,3)="Câu","",B603),CHAR(34),CHAR(92)&amp;CHAR(34))</f>
        <v>Xe gắn máy, xe máy chuyên dùng.</v>
      </c>
      <c r="J600" t="str">
        <f>SUBSTITUTE(IF(OR(LEFT(A604,3)="Câu",I600=""),"",IF(B604=0,"",B604)),CHAR(34),CHAR(92)&amp;CHAR(34))</f>
        <v>Cả hai ý trên.</v>
      </c>
      <c r="K600" t="str">
        <f>SUBSTITUTE(SUBSTITUTE(SUBSTITUTE(SUBSTITUTE(IFERROR(VLOOKUP("Câu "&amp;D600&amp;".",dapan!$E:$J,6,0),""),"1","A"),"2","B"),"3","C"),"4","D")</f>
        <v/>
      </c>
      <c r="P600" t="str">
        <f t="shared" si="34"/>
        <v/>
      </c>
      <c r="Q600" t="str">
        <f t="shared" si="35"/>
        <v/>
      </c>
    </row>
    <row r="601" spans="1:17" x14ac:dyDescent="0.25">
      <c r="A601" t="s">
        <v>528</v>
      </c>
      <c r="C601">
        <f>IFERROR(COUNTIFS($A$1:A601,"Câu "&amp;"*")-MID(A601,5,FIND(".",A601,1)-5),0)</f>
        <v>0</v>
      </c>
      <c r="D601">
        <f t="shared" ref="D601:D664" si="36">IF(LEFT(A601,3)="Câu",VALUE(MID(A601,5,FIND(".",A601,1)-5)),"")</f>
        <v>147</v>
      </c>
      <c r="E601" t="str">
        <f>SUBSTITUTE(IF(LEFT(A601,3)="Câu",MID(A601,FIND(".",A601,1)+2,LEN(A601)),""),CHAR(34),CHAR(92)&amp;CHAR(34))</f>
        <v>Trên đường bộ (trừ đường cao tốc) trong khu vực đông dân cư, đường hai chiều hoặc đường một chiều có một làn xe cơ giới, loại xe nào dưới đây được tham gia giao thông với tốc độ khai thác tối đa cho phép là 50 km/h?</v>
      </c>
      <c r="G601" t="str">
        <f>SUBSTITUTE(B602,CHAR(34),CHAR(92)&amp;CHAR(34))</f>
        <v xml:space="preserve"> Ô tô tải, ô tô chở người trên 28 chỗ không kể chỗ của người lái xe.</v>
      </c>
      <c r="H601" t="str">
        <f>SUBSTITUTE(B603,CHAR(34),CHAR(92)&amp;CHAR(34))</f>
        <v>Xe gắn máy, xe máy chuyên dùng.</v>
      </c>
      <c r="I601" t="str">
        <f>SUBSTITUTE(IF(LEFT(A604,3)="Câu","",B604),CHAR(34),CHAR(92)&amp;CHAR(34))</f>
        <v>Cả hai ý trên.</v>
      </c>
      <c r="J601" t="str">
        <f>SUBSTITUTE(IF(OR(LEFT(A605,3)="Câu",I601=""),"",IF(B605=0,"",B605)),CHAR(34),CHAR(92)&amp;CHAR(34))</f>
        <v/>
      </c>
      <c r="K601" t="str">
        <f ca="1">SUBSTITUTE(SUBSTITUTE(SUBSTITUTE(SUBSTITUTE(IFERROR(VLOOKUP("Câu "&amp;D601&amp;".",dapan!$E:$J,6,0),""),"1","A"),"2","B"),"3","C"),"4","D")</f>
        <v>A</v>
      </c>
      <c r="P601">
        <f t="shared" si="34"/>
        <v>147</v>
      </c>
      <c r="Q601" t="str">
        <f t="shared" ca="1" si="35"/>
        <v>{"num":147,"id":147,"q":"Trên đường bộ (trừ đường cao tốc) trong khu vực đông dân cư, đường hai chiều hoặc đường một chiều có một làn xe cơ giới, loại xe nào dưới đây được tham gia giao thông với tốc độ khai thác tối đa cho phép là 50 km/h?","opts":{"A":" Ô tô tải, ô tô chở người trên 28 chỗ không kể chỗ của người lái xe.","B":"Xe gắn máy, xe máy chuyên dùng.","C":"Cả hai ý trên."},"answer":"A"},</v>
      </c>
    </row>
    <row r="602" spans="1:17" hidden="1" x14ac:dyDescent="0.25">
      <c r="A602">
        <v>1</v>
      </c>
      <c r="B602" t="s">
        <v>529</v>
      </c>
      <c r="C602">
        <f>IFERROR(COUNTIFS($A$1:A602,"Câu "&amp;"*")-MID(A602,5,FIND(".",A602,1)-5),0)</f>
        <v>0</v>
      </c>
      <c r="D602" t="str">
        <f t="shared" si="36"/>
        <v/>
      </c>
      <c r="E602" t="str">
        <f>SUBSTITUTE(IF(LEFT(A602,3)="Câu",MID(A602,FIND(".",A602,1)+2,LEN(A602)),""),CHAR(34),CHAR(92)&amp;CHAR(34))</f>
        <v/>
      </c>
      <c r="G602" t="str">
        <f>SUBSTITUTE(B603,CHAR(34),CHAR(92)&amp;CHAR(34))</f>
        <v>Xe gắn máy, xe máy chuyên dùng.</v>
      </c>
      <c r="H602" t="str">
        <f>SUBSTITUTE(B604,CHAR(34),CHAR(92)&amp;CHAR(34))</f>
        <v>Cả hai ý trên.</v>
      </c>
      <c r="I602" t="str">
        <f>SUBSTITUTE(IF(LEFT(A605,3)="Câu","",B605),CHAR(34),CHAR(92)&amp;CHAR(34))</f>
        <v/>
      </c>
      <c r="J602" t="str">
        <f>SUBSTITUTE(IF(OR(LEFT(A606,3)="Câu",I602=""),"",IF(B606=0,"",B606)),CHAR(34),CHAR(92)&amp;CHAR(34))</f>
        <v/>
      </c>
      <c r="K602" t="str">
        <f>SUBSTITUTE(SUBSTITUTE(SUBSTITUTE(SUBSTITUTE(IFERROR(VLOOKUP("Câu "&amp;D602&amp;".",dapan!$E:$J,6,0),""),"1","A"),"2","B"),"3","C"),"4","D")</f>
        <v/>
      </c>
      <c r="P602" t="str">
        <f t="shared" si="34"/>
        <v/>
      </c>
      <c r="Q602" t="str">
        <f t="shared" si="35"/>
        <v/>
      </c>
    </row>
    <row r="603" spans="1:17" hidden="1" x14ac:dyDescent="0.25">
      <c r="A603">
        <v>2</v>
      </c>
      <c r="B603" t="s">
        <v>530</v>
      </c>
      <c r="C603">
        <f>IFERROR(COUNTIFS($A$1:A603,"Câu "&amp;"*")-MID(A603,5,FIND(".",A603,1)-5),0)</f>
        <v>0</v>
      </c>
      <c r="D603" t="str">
        <f t="shared" si="36"/>
        <v/>
      </c>
      <c r="E603" t="str">
        <f>SUBSTITUTE(IF(LEFT(A603,3)="Câu",MID(A603,FIND(".",A603,1)+2,LEN(A603)),""),CHAR(34),CHAR(92)&amp;CHAR(34))</f>
        <v/>
      </c>
      <c r="G603" t="str">
        <f>SUBSTITUTE(B604,CHAR(34),CHAR(92)&amp;CHAR(34))</f>
        <v>Cả hai ý trên.</v>
      </c>
      <c r="H603" t="str">
        <f>SUBSTITUTE(B605,CHAR(34),CHAR(92)&amp;CHAR(34))</f>
        <v/>
      </c>
      <c r="I603" t="str">
        <f>SUBSTITUTE(IF(LEFT(A606,3)="Câu","",B606),CHAR(34),CHAR(92)&amp;CHAR(34))</f>
        <v xml:space="preserve"> Ô tô tải, ô tô chở người trên 28 chỗ không kể chỗ của người lái xe.</v>
      </c>
      <c r="J603" t="str">
        <f>SUBSTITUTE(IF(OR(LEFT(A607,3)="Câu",I603=""),"",IF(B607=0,"",B607)),CHAR(34),CHAR(92)&amp;CHAR(34))</f>
        <v>Xe gắn máy, xe máy chuyên dùng.</v>
      </c>
      <c r="K603" t="str">
        <f>SUBSTITUTE(SUBSTITUTE(SUBSTITUTE(SUBSTITUTE(IFERROR(VLOOKUP("Câu "&amp;D603&amp;".",dapan!$E:$J,6,0),""),"1","A"),"2","B"),"3","C"),"4","D")</f>
        <v/>
      </c>
      <c r="P603" t="str">
        <f t="shared" si="34"/>
        <v/>
      </c>
      <c r="Q603" t="str">
        <f t="shared" si="35"/>
        <v/>
      </c>
    </row>
    <row r="604" spans="1:17" hidden="1" x14ac:dyDescent="0.25">
      <c r="A604">
        <v>3</v>
      </c>
      <c r="B604" t="s">
        <v>18</v>
      </c>
      <c r="C604">
        <f>IFERROR(COUNTIFS($A$1:A604,"Câu "&amp;"*")-MID(A604,5,FIND(".",A604,1)-5),0)</f>
        <v>0</v>
      </c>
      <c r="D604" t="str">
        <f t="shared" si="36"/>
        <v/>
      </c>
      <c r="E604" t="str">
        <f>SUBSTITUTE(IF(LEFT(A604,3)="Câu",MID(A604,FIND(".",A604,1)+2,LEN(A604)),""),CHAR(34),CHAR(92)&amp;CHAR(34))</f>
        <v/>
      </c>
      <c r="G604" t="str">
        <f>SUBSTITUTE(B605,CHAR(34),CHAR(92)&amp;CHAR(34))</f>
        <v/>
      </c>
      <c r="H604" t="str">
        <f>SUBSTITUTE(B606,CHAR(34),CHAR(92)&amp;CHAR(34))</f>
        <v xml:space="preserve"> Ô tô tải, ô tô chở người trên 28 chỗ không kể chỗ của người lái xe.</v>
      </c>
      <c r="I604" t="str">
        <f>SUBSTITUTE(IF(LEFT(A607,3)="Câu","",B607),CHAR(34),CHAR(92)&amp;CHAR(34))</f>
        <v>Xe gắn máy, xe máy chuyên dùng.</v>
      </c>
      <c r="J604" t="str">
        <f>SUBSTITUTE(IF(OR(LEFT(A608,3)="Câu",I604=""),"",IF(B608=0,"",B608)),CHAR(34),CHAR(92)&amp;CHAR(34))</f>
        <v>Cả hai ý trên.</v>
      </c>
      <c r="K604" t="str">
        <f>SUBSTITUTE(SUBSTITUTE(SUBSTITUTE(SUBSTITUTE(IFERROR(VLOOKUP("Câu "&amp;D604&amp;".",dapan!$E:$J,6,0),""),"1","A"),"2","B"),"3","C"),"4","D")</f>
        <v/>
      </c>
      <c r="P604" t="str">
        <f t="shared" si="34"/>
        <v/>
      </c>
      <c r="Q604" t="str">
        <f t="shared" si="35"/>
        <v/>
      </c>
    </row>
    <row r="605" spans="1:17" x14ac:dyDescent="0.25">
      <c r="A605" t="s">
        <v>531</v>
      </c>
      <c r="C605">
        <f>IFERROR(COUNTIFS($A$1:A605,"Câu "&amp;"*")-MID(A605,5,FIND(".",A605,1)-5),0)</f>
        <v>0</v>
      </c>
      <c r="D605">
        <f t="shared" si="36"/>
        <v>148</v>
      </c>
      <c r="E605" t="str">
        <f>SUBSTITUTE(IF(LEFT(A605,3)="Câu",MID(A605,FIND(".",A605,1)+2,LEN(A605)),""),CHAR(34),CHAR(92)&amp;CHAR(34))</f>
        <v>Trên đường bộ (trừ đường cao tốc) trong khu vực đông dân cư, đường đôi hoặc đường một chiều có từ hai làn cơ giới trở lên, loại xe nào dưới đây được tham gia giao thông với tốc độ khai thác tối đa là 60 km/h?</v>
      </c>
      <c r="G605" t="str">
        <f>SUBSTITUTE(B606,CHAR(34),CHAR(92)&amp;CHAR(34))</f>
        <v xml:space="preserve"> Ô tô tải, ô tô chở người trên 28 chỗ không kể chỗ của người lái xe.</v>
      </c>
      <c r="H605" t="str">
        <f>SUBSTITUTE(B607,CHAR(34),CHAR(92)&amp;CHAR(34))</f>
        <v>Xe gắn máy, xe máy chuyên dùng.</v>
      </c>
      <c r="I605" t="str">
        <f>SUBSTITUTE(IF(LEFT(A608,3)="Câu","",B608),CHAR(34),CHAR(92)&amp;CHAR(34))</f>
        <v>Cả hai ý trên.</v>
      </c>
      <c r="J605" t="str">
        <f>SUBSTITUTE(IF(OR(LEFT(A609,3)="Câu",I605=""),"",IF(B609=0,"",B609)),CHAR(34),CHAR(92)&amp;CHAR(34))</f>
        <v/>
      </c>
      <c r="K605" t="str">
        <f ca="1">SUBSTITUTE(SUBSTITUTE(SUBSTITUTE(SUBSTITUTE(IFERROR(VLOOKUP("Câu "&amp;D605&amp;".",dapan!$E:$J,6,0),""),"1","A"),"2","B"),"3","C"),"4","D")</f>
        <v>A</v>
      </c>
      <c r="P605">
        <f t="shared" si="34"/>
        <v>148</v>
      </c>
      <c r="Q605" t="str">
        <f t="shared" ca="1" si="35"/>
        <v>{"num":148,"id":148,"q":"Trên đường bộ (trừ đường cao tốc) trong khu vực đông dân cư, đường đôi hoặc đường một chiều có từ hai làn cơ giới trở lên, loại xe nào dưới đây được tham gia giao thông với tốc độ khai thác tối đa là 60 km/h?","opts":{"A":" Ô tô tải, ô tô chở người trên 28 chỗ không kể chỗ của người lái xe.","B":"Xe gắn máy, xe máy chuyên dùng.","C":"Cả hai ý trên."},"answer":"A"},</v>
      </c>
    </row>
    <row r="606" spans="1:17" hidden="1" x14ac:dyDescent="0.25">
      <c r="A606">
        <v>1</v>
      </c>
      <c r="B606" t="s">
        <v>529</v>
      </c>
      <c r="C606">
        <f>IFERROR(COUNTIFS($A$1:A606,"Câu "&amp;"*")-MID(A606,5,FIND(".",A606,1)-5),0)</f>
        <v>0</v>
      </c>
      <c r="D606" t="str">
        <f t="shared" si="36"/>
        <v/>
      </c>
      <c r="E606" t="str">
        <f>SUBSTITUTE(IF(LEFT(A606,3)="Câu",MID(A606,FIND(".",A606,1)+2,LEN(A606)),""),CHAR(34),CHAR(92)&amp;CHAR(34))</f>
        <v/>
      </c>
      <c r="G606" t="str">
        <f>SUBSTITUTE(B607,CHAR(34),CHAR(92)&amp;CHAR(34))</f>
        <v>Xe gắn máy, xe máy chuyên dùng.</v>
      </c>
      <c r="H606" t="str">
        <f>SUBSTITUTE(B608,CHAR(34),CHAR(92)&amp;CHAR(34))</f>
        <v>Cả hai ý trên.</v>
      </c>
      <c r="I606" t="str">
        <f>SUBSTITUTE(IF(LEFT(A609,3)="Câu","",B609),CHAR(34),CHAR(92)&amp;CHAR(34))</f>
        <v/>
      </c>
      <c r="J606" t="str">
        <f>SUBSTITUTE(IF(OR(LEFT(A610,3)="Câu",I606=""),"",IF(B610=0,"",B610)),CHAR(34),CHAR(92)&amp;CHAR(34))</f>
        <v/>
      </c>
      <c r="K606" t="str">
        <f>SUBSTITUTE(SUBSTITUTE(SUBSTITUTE(SUBSTITUTE(IFERROR(VLOOKUP("Câu "&amp;D606&amp;".",dapan!$E:$J,6,0),""),"1","A"),"2","B"),"3","C"),"4","D")</f>
        <v/>
      </c>
      <c r="P606" t="str">
        <f t="shared" si="34"/>
        <v/>
      </c>
      <c r="Q606" t="str">
        <f t="shared" si="35"/>
        <v/>
      </c>
    </row>
    <row r="607" spans="1:17" hidden="1" x14ac:dyDescent="0.25">
      <c r="A607">
        <v>2</v>
      </c>
      <c r="B607" t="s">
        <v>530</v>
      </c>
      <c r="C607">
        <f>IFERROR(COUNTIFS($A$1:A607,"Câu "&amp;"*")-MID(A607,5,FIND(".",A607,1)-5),0)</f>
        <v>0</v>
      </c>
      <c r="D607" t="str">
        <f t="shared" si="36"/>
        <v/>
      </c>
      <c r="E607" t="str">
        <f>SUBSTITUTE(IF(LEFT(A607,3)="Câu",MID(A607,FIND(".",A607,1)+2,LEN(A607)),""),CHAR(34),CHAR(92)&amp;CHAR(34))</f>
        <v/>
      </c>
      <c r="G607" t="str">
        <f>SUBSTITUTE(B608,CHAR(34),CHAR(92)&amp;CHAR(34))</f>
        <v>Cả hai ý trên.</v>
      </c>
      <c r="H607" t="str">
        <f>SUBSTITUTE(B609,CHAR(34),CHAR(92)&amp;CHAR(34))</f>
        <v/>
      </c>
      <c r="I607" t="str">
        <f>SUBSTITUTE(IF(LEFT(A610,3)="Câu","",B610),CHAR(34),CHAR(92)&amp;CHAR(34))</f>
        <v xml:space="preserve"> Xe ô tô chở người đến 28 chỗ không kể chỗ của người lái xe (trừ xe buýt); ô tô tải có trọng tải không lớn hơn 3,5 tấn.</v>
      </c>
      <c r="J607" t="str">
        <f>SUBSTITUTE(IF(OR(LEFT(A611,3)="Câu",I607=""),"",IF(B611=0,"",B611)),CHAR(34),CHAR(92)&amp;CHAR(34))</f>
        <v>Xe ô tô chở người trên 28 chỗ không kể chỗ người lái xe (trừ xe buýt); ô tô tải có trọng tải trên 3,5 tấn (trừ ô tô xi téc).</v>
      </c>
      <c r="K607" t="str">
        <f>SUBSTITUTE(SUBSTITUTE(SUBSTITUTE(SUBSTITUTE(IFERROR(VLOOKUP("Câu "&amp;D607&amp;".",dapan!$E:$J,6,0),""),"1","A"),"2","B"),"3","C"),"4","D")</f>
        <v/>
      </c>
      <c r="P607" t="str">
        <f t="shared" si="34"/>
        <v/>
      </c>
      <c r="Q607" t="str">
        <f t="shared" si="35"/>
        <v/>
      </c>
    </row>
    <row r="608" spans="1:17" hidden="1" x14ac:dyDescent="0.25">
      <c r="A608">
        <v>3</v>
      </c>
      <c r="B608" t="s">
        <v>18</v>
      </c>
      <c r="C608">
        <f>IFERROR(COUNTIFS($A$1:A608,"Câu "&amp;"*")-MID(A608,5,FIND(".",A608,1)-5),0)</f>
        <v>0</v>
      </c>
      <c r="D608" t="str">
        <f t="shared" si="36"/>
        <v/>
      </c>
      <c r="E608" t="str">
        <f>SUBSTITUTE(IF(LEFT(A608,3)="Câu",MID(A608,FIND(".",A608,1)+2,LEN(A608)),""),CHAR(34),CHAR(92)&amp;CHAR(34))</f>
        <v/>
      </c>
      <c r="G608" t="str">
        <f>SUBSTITUTE(B609,CHAR(34),CHAR(92)&amp;CHAR(34))</f>
        <v/>
      </c>
      <c r="H608" t="str">
        <f>SUBSTITUTE(B610,CHAR(34),CHAR(92)&amp;CHAR(34))</f>
        <v xml:space="preserve"> Xe ô tô chở người đến 28 chỗ không kể chỗ của người lái xe (trừ xe buýt); ô tô tải có trọng tải không lớn hơn 3,5 tấn.</v>
      </c>
      <c r="I608" t="str">
        <f>SUBSTITUTE(IF(LEFT(A611,3)="Câu","",B611),CHAR(34),CHAR(92)&amp;CHAR(34))</f>
        <v>Xe ô tô chở người trên 28 chỗ không kể chỗ người lái xe (trừ xe buýt); ô tô tải có trọng tải trên 3,5 tấn (trừ ô tô xi téc).</v>
      </c>
      <c r="J608" t="str">
        <f>SUBSTITUTE(IF(OR(LEFT(A612,3)="Câu",I608=""),"",IF(B612=0,"",B612)),CHAR(34),CHAR(92)&amp;CHAR(34))</f>
        <v>Xe buýt; ô tô đầu kéo kéo sơ mi rơ moóc (trừ ô tô đầu kéo kéo sơ mi rơ moóc xi téc); xe mô tô; ô tô chuyên dùng (trừ ô tô trộn vữa, ô tô trộn bê tông lưu động).</v>
      </c>
      <c r="K608" t="str">
        <f>SUBSTITUTE(SUBSTITUTE(SUBSTITUTE(SUBSTITUTE(IFERROR(VLOOKUP("Câu "&amp;D608&amp;".",dapan!$E:$J,6,0),""),"1","A"),"2","B"),"3","C"),"4","D")</f>
        <v/>
      </c>
      <c r="P608" t="str">
        <f t="shared" si="34"/>
        <v/>
      </c>
      <c r="Q608" t="str">
        <f t="shared" si="35"/>
        <v/>
      </c>
    </row>
    <row r="609" spans="1:17" x14ac:dyDescent="0.25">
      <c r="A609" t="s">
        <v>532</v>
      </c>
      <c r="C609">
        <f>IFERROR(COUNTIFS($A$1:A609,"Câu "&amp;"*")-MID(A609,5,FIND(".",A609,1)-5),0)</f>
        <v>0</v>
      </c>
      <c r="D609">
        <f t="shared" si="36"/>
        <v>149</v>
      </c>
      <c r="E609" t="str">
        <f>SUBSTITUTE(IF(LEFT(A609,3)="Câu",MID(A609,FIND(".",A609,1)+2,LEN(A609)),""),CHAR(34),CHAR(92)&amp;CHAR(34))</f>
        <v>Trên đường bộ (trừ đường cao tốc) ngoài khu vực đông dân cư, đường đôi hoặc đường một chiều có từ hai làn xe cơ giới trở lên, loại xe nào dưới đây được tham gia giao thông với tốc độ khai thác tối đa cho phép là 90 km/h?</v>
      </c>
      <c r="G609" t="str">
        <f>SUBSTITUTE(B610,CHAR(34),CHAR(92)&amp;CHAR(34))</f>
        <v xml:space="preserve"> Xe ô tô chở người đến 28 chỗ không kể chỗ của người lái xe (trừ xe buýt); ô tô tải có trọng tải không lớn hơn 3,5 tấn.</v>
      </c>
      <c r="H609" t="str">
        <f>SUBSTITUTE(B611,CHAR(34),CHAR(92)&amp;CHAR(34))</f>
        <v>Xe ô tô chở người trên 28 chỗ không kể chỗ người lái xe (trừ xe buýt); ô tô tải có trọng tải trên 3,5 tấn (trừ ô tô xi téc).</v>
      </c>
      <c r="I609" t="str">
        <f>SUBSTITUTE(IF(LEFT(A612,3)="Câu","",B612),CHAR(34),CHAR(92)&amp;CHAR(34))</f>
        <v>Xe buýt; ô tô đầu kéo kéo sơ mi rơ moóc (trừ ô tô đầu kéo kéo sơ mi rơ moóc xi téc); xe mô tô; ô tô chuyên dùng (trừ ô tô trộn vữa, ô tô trộn bê tông lưu động).</v>
      </c>
      <c r="J609" t="str">
        <f>SUBSTITUTE(IF(OR(LEFT(A613,3)="Câu",I609=""),"",IF(B613=0,"",B613)),CHAR(34),CHAR(92)&amp;CHAR(34))</f>
        <v/>
      </c>
      <c r="K609" t="str">
        <f ca="1">SUBSTITUTE(SUBSTITUTE(SUBSTITUTE(SUBSTITUTE(IFERROR(VLOOKUP("Câu "&amp;D609&amp;".",dapan!$E:$J,6,0),""),"1","A"),"2","B"),"3","C"),"4","D")</f>
        <v>A</v>
      </c>
      <c r="P609">
        <f t="shared" si="34"/>
        <v>149</v>
      </c>
      <c r="Q609" t="str">
        <f t="shared" ca="1" si="35"/>
        <v>{"num":149,"id":149,"q":"Trên đường bộ (trừ đường cao tốc) ngoài khu vực đông dân cư, đường đôi hoặc đường một chiều có từ hai làn xe cơ giới trở lên, loại xe nào dưới đây được tham gia giao thông với tốc độ khai thác tối đa cho phép là 90 km/h?","opts":{"A":" Xe ô tô chở người đến 28 chỗ không kể chỗ của người lái xe (trừ xe buýt); ô tô tải có trọng tải không lớn hơn 3,5 tấn.","B":"Xe ô tô chở người trên 28 chỗ không kể chỗ người lái xe (trừ xe buýt); ô tô tải có trọng tải trên 3,5 tấn (trừ ô tô xi téc).","C":"Xe buýt; ô tô đầu kéo kéo sơ mi rơ moóc (trừ ô tô đầu kéo kéo sơ mi rơ moóc xi téc); xe mô tô; ô tô chuyên dùng (trừ ô tô trộn vữa, ô tô trộn bê tông lưu động)."},"answer":"A"},</v>
      </c>
    </row>
    <row r="610" spans="1:17" hidden="1" x14ac:dyDescent="0.25">
      <c r="A610">
        <v>1</v>
      </c>
      <c r="B610" t="s">
        <v>533</v>
      </c>
      <c r="C610">
        <f>IFERROR(COUNTIFS($A$1:A610,"Câu "&amp;"*")-MID(A610,5,FIND(".",A610,1)-5),0)</f>
        <v>0</v>
      </c>
      <c r="D610" t="str">
        <f t="shared" si="36"/>
        <v/>
      </c>
      <c r="E610" t="str">
        <f>SUBSTITUTE(IF(LEFT(A610,3)="Câu",MID(A610,FIND(".",A610,1)+2,LEN(A610)),""),CHAR(34),CHAR(92)&amp;CHAR(34))</f>
        <v/>
      </c>
      <c r="G610" t="str">
        <f>SUBSTITUTE(B611,CHAR(34),CHAR(92)&amp;CHAR(34))</f>
        <v>Xe ô tô chở người trên 28 chỗ không kể chỗ người lái xe (trừ xe buýt); ô tô tải có trọng tải trên 3,5 tấn (trừ ô tô xi téc).</v>
      </c>
      <c r="H610" t="str">
        <f>SUBSTITUTE(B612,CHAR(34),CHAR(92)&amp;CHAR(34))</f>
        <v>Xe buýt; ô tô đầu kéo kéo sơ mi rơ moóc (trừ ô tô đầu kéo kéo sơ mi rơ moóc xi téc); xe mô tô; ô tô chuyên dùng (trừ ô tô trộn vữa, ô tô trộn bê tông lưu động).</v>
      </c>
      <c r="I610" t="str">
        <f>SUBSTITUTE(IF(LEFT(A613,3)="Câu","",B613),CHAR(34),CHAR(92)&amp;CHAR(34))</f>
        <v/>
      </c>
      <c r="J610" t="str">
        <f>SUBSTITUTE(IF(OR(LEFT(A614,3)="Câu",I610=""),"",IF(B614=0,"",B614)),CHAR(34),CHAR(92)&amp;CHAR(34))</f>
        <v/>
      </c>
      <c r="K610" t="str">
        <f>SUBSTITUTE(SUBSTITUTE(SUBSTITUTE(SUBSTITUTE(IFERROR(VLOOKUP("Câu "&amp;D610&amp;".",dapan!$E:$J,6,0),""),"1","A"),"2","B"),"3","C"),"4","D")</f>
        <v/>
      </c>
      <c r="P610" t="str">
        <f t="shared" si="34"/>
        <v/>
      </c>
      <c r="Q610" t="str">
        <f t="shared" si="35"/>
        <v/>
      </c>
    </row>
    <row r="611" spans="1:17" hidden="1" x14ac:dyDescent="0.25">
      <c r="A611">
        <v>2</v>
      </c>
      <c r="B611" t="s">
        <v>534</v>
      </c>
      <c r="C611">
        <f>IFERROR(COUNTIFS($A$1:A611,"Câu "&amp;"*")-MID(A611,5,FIND(".",A611,1)-5),0)</f>
        <v>0</v>
      </c>
      <c r="D611" t="str">
        <f t="shared" si="36"/>
        <v/>
      </c>
      <c r="E611" t="str">
        <f>SUBSTITUTE(IF(LEFT(A611,3)="Câu",MID(A611,FIND(".",A611,1)+2,LEN(A611)),""),CHAR(34),CHAR(92)&amp;CHAR(34))</f>
        <v/>
      </c>
      <c r="G611" t="str">
        <f>SUBSTITUTE(B612,CHAR(34),CHAR(92)&amp;CHAR(34))</f>
        <v>Xe buýt; ô tô đầu kéo kéo sơ mi rơ moóc (trừ ô tô đầu kéo kéo sơ mi rơ moóc xi téc); xe mô tô; ô tô chuyên dùng (trừ ô tô trộn vữa, ô tô trộn bê tông lưu động).</v>
      </c>
      <c r="H611" t="str">
        <f>SUBSTITUTE(B613,CHAR(34),CHAR(92)&amp;CHAR(34))</f>
        <v/>
      </c>
      <c r="I611" t="str">
        <f>SUBSTITUTE(IF(LEFT(A614,3)="Câu","",B614),CHAR(34),CHAR(92)&amp;CHAR(34))</f>
        <v>Xe ô tô chở người đến 28 chỗ không kể chỗ của người lái xe (trừ xe buýt); ô tô tải có trọng tải không lớn hơn 3,5 tấn.</v>
      </c>
      <c r="J611" t="str">
        <f>SUBSTITUTE(IF(OR(LEFT(A615,3)="Câu",I611=""),"",IF(B615=0,"",B615)),CHAR(34),CHAR(92)&amp;CHAR(34))</f>
        <v xml:space="preserve"> Xe ô tô chở người trên 28 chỗ không kể chỗ người lái xe (trừ xe buýt); ô tô tải có trọng tải trên 3,5 tấn (trừ ô tô xi téc).</v>
      </c>
      <c r="K611" t="str">
        <f>SUBSTITUTE(SUBSTITUTE(SUBSTITUTE(SUBSTITUTE(IFERROR(VLOOKUP("Câu "&amp;D611&amp;".",dapan!$E:$J,6,0),""),"1","A"),"2","B"),"3","C"),"4","D")</f>
        <v/>
      </c>
      <c r="P611" t="str">
        <f t="shared" si="34"/>
        <v/>
      </c>
      <c r="Q611" t="str">
        <f t="shared" si="35"/>
        <v/>
      </c>
    </row>
    <row r="612" spans="1:17" hidden="1" x14ac:dyDescent="0.25">
      <c r="A612">
        <v>3</v>
      </c>
      <c r="B612" t="s">
        <v>535</v>
      </c>
      <c r="C612">
        <f>IFERROR(COUNTIFS($A$1:A612,"Câu "&amp;"*")-MID(A612,5,FIND(".",A612,1)-5),0)</f>
        <v>0</v>
      </c>
      <c r="D612" t="str">
        <f t="shared" si="36"/>
        <v/>
      </c>
      <c r="E612" t="str">
        <f>SUBSTITUTE(IF(LEFT(A612,3)="Câu",MID(A612,FIND(".",A612,1)+2,LEN(A612)),""),CHAR(34),CHAR(92)&amp;CHAR(34))</f>
        <v/>
      </c>
      <c r="G612" t="str">
        <f>SUBSTITUTE(B613,CHAR(34),CHAR(92)&amp;CHAR(34))</f>
        <v/>
      </c>
      <c r="H612" t="str">
        <f>SUBSTITUTE(B614,CHAR(34),CHAR(92)&amp;CHAR(34))</f>
        <v>Xe ô tô chở người đến 28 chỗ không kể chỗ của người lái xe (trừ xe buýt); ô tô tải có trọng tải không lớn hơn 3,5 tấn.</v>
      </c>
      <c r="I612" t="str">
        <f>SUBSTITUTE(IF(LEFT(A615,3)="Câu","",B615),CHAR(34),CHAR(92)&amp;CHAR(34))</f>
        <v xml:space="preserve"> Xe ô tô chở người trên 28 chỗ không kể chỗ người lái xe (trừ xe buýt); ô tô tải có trọng tải trên 3,5 tấn (trừ ô tô xi téc).</v>
      </c>
      <c r="J612" t="str">
        <f>SUBSTITUTE(IF(OR(LEFT(A616,3)="Câu",I612=""),"",IF(B616=0,"",B616)),CHAR(34),CHAR(92)&amp;CHAR(34))</f>
        <v>Xe buýt; ô tô đầu kéo kéo sơ mi rơ moóc (trừ ô tô đầu kéo kéo sơ mi rơ moóc xi téc); xe mô tô; ô tô chuyên dùng (trừ ô tô trộn vữa, ô tô trộn bê tông lưu động).</v>
      </c>
      <c r="K612" t="str">
        <f>SUBSTITUTE(SUBSTITUTE(SUBSTITUTE(SUBSTITUTE(IFERROR(VLOOKUP("Câu "&amp;D612&amp;".",dapan!$E:$J,6,0),""),"1","A"),"2","B"),"3","C"),"4","D")</f>
        <v/>
      </c>
      <c r="P612" t="str">
        <f t="shared" si="34"/>
        <v/>
      </c>
      <c r="Q612" t="str">
        <f t="shared" si="35"/>
        <v/>
      </c>
    </row>
    <row r="613" spans="1:17" x14ac:dyDescent="0.25">
      <c r="A613" t="s">
        <v>536</v>
      </c>
      <c r="C613">
        <f>IFERROR(COUNTIFS($A$1:A613,"Câu "&amp;"*")-MID(A613,5,FIND(".",A613,1)-5),0)</f>
        <v>0</v>
      </c>
      <c r="D613">
        <f t="shared" si="36"/>
        <v>150</v>
      </c>
      <c r="E613" t="str">
        <f>SUBSTITUTE(IF(LEFT(A613,3)="Câu",MID(A613,FIND(".",A613,1)+2,LEN(A613)),""),CHAR(34),CHAR(92)&amp;CHAR(34))</f>
        <v>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80 km/h?</v>
      </c>
      <c r="G613" t="str">
        <f>SUBSTITUTE(B614,CHAR(34),CHAR(92)&amp;CHAR(34))</f>
        <v>Xe ô tô chở người đến 28 chỗ không kể chỗ của người lái xe (trừ xe buýt); ô tô tải có trọng tải không lớn hơn 3,5 tấn.</v>
      </c>
      <c r="H613" t="str">
        <f>SUBSTITUTE(B615,CHAR(34),CHAR(92)&amp;CHAR(34))</f>
        <v xml:space="preserve"> Xe ô tô chở người trên 28 chỗ không kể chỗ người lái xe (trừ xe buýt); ô tô tải có trọng tải trên 3,5 tấn (trừ ô tô xi téc).</v>
      </c>
      <c r="I613" t="str">
        <f>SUBSTITUTE(IF(LEFT(A616,3)="Câu","",B616),CHAR(34),CHAR(92)&amp;CHAR(34))</f>
        <v>Xe buýt; ô tô đầu kéo kéo sơ mi rơ moóc (trừ ô tô đầu kéo kéo sơ mi rơ moóc xi téc); xe mô tô; ô tô chuyên dùng (trừ ô tô trộn vữa, ô tô trộn bê tông lưu động).</v>
      </c>
      <c r="J613" t="str">
        <f>SUBSTITUTE(IF(OR(LEFT(A617,3)="Câu",I613=""),"",IF(B617=0,"",B617)),CHAR(34),CHAR(92)&amp;CHAR(34))</f>
        <v>Ô tô kéo rơ moóc; ô tô kéo xe khác; ô tô trộn vữa, ô tô trộn bê tông lưu động, ô tô xi téc, ô tô đầu kéo kéo sơ mi rơ moóc xi téc, ô tô kéo theo rơ moóc xi téc).</v>
      </c>
      <c r="K613" t="str">
        <f ca="1">SUBSTITUTE(SUBSTITUTE(SUBSTITUTE(SUBSTITUTE(IFERROR(VLOOKUP("Câu "&amp;D613&amp;".",dapan!$E:$J,6,0),""),"1","A"),"2","B"),"3","C"),"4","D")</f>
        <v>B</v>
      </c>
      <c r="P613">
        <f t="shared" si="34"/>
        <v>150</v>
      </c>
      <c r="Q613" t="str">
        <f t="shared" ca="1" si="35"/>
        <v>{"num":150,"id":150,"q":"Trên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80 km/h?","opts":{"A":"Xe ô tô chở người đến 28 chỗ không kể chỗ của người lái xe (trừ xe buýt); ô tô tải có trọng tải không lớn hơn 3,5 tấn.","B":" Xe ô tô chở người trên 28 chỗ không kể chỗ người lái xe (trừ xe buýt); ô tô tải có trọng tải trên 3,5 tấn (trừ ô tô xi téc).","C":"Xe buýt; ô tô đầu kéo kéo sơ mi rơ moóc (trừ ô tô đầu kéo kéo sơ mi rơ moóc xi téc); xe mô tô; ô tô chuyên dùng (trừ ô tô trộn vữa, ô tô trộn bê tông lưu động).","D":"Ô tô kéo rơ moóc; ô tô kéo xe khác; ô tô trộn vữa, ô tô trộn bê tông lưu động, ô tô xi téc, ô tô đầu kéo kéo sơ mi rơ moóc xi téc, ô tô kéo theo rơ moóc xi téc)."},"answer":"B"},</v>
      </c>
    </row>
    <row r="614" spans="1:17" hidden="1" x14ac:dyDescent="0.25">
      <c r="A614">
        <v>1</v>
      </c>
      <c r="B614" t="s">
        <v>537</v>
      </c>
      <c r="C614">
        <f>IFERROR(COUNTIFS($A$1:A614,"Câu "&amp;"*")-MID(A614,5,FIND(".",A614,1)-5),0)</f>
        <v>0</v>
      </c>
      <c r="D614" t="str">
        <f t="shared" si="36"/>
        <v/>
      </c>
      <c r="E614" t="str">
        <f>SUBSTITUTE(IF(LEFT(A614,3)="Câu",MID(A614,FIND(".",A614,1)+2,LEN(A614)),""),CHAR(34),CHAR(92)&amp;CHAR(34))</f>
        <v/>
      </c>
      <c r="G614" t="str">
        <f>SUBSTITUTE(B615,CHAR(34),CHAR(92)&amp;CHAR(34))</f>
        <v xml:space="preserve"> Xe ô tô chở người trên 28 chỗ không kể chỗ người lái xe (trừ xe buýt); ô tô tải có trọng tải trên 3,5 tấn (trừ ô tô xi téc).</v>
      </c>
      <c r="H614" t="str">
        <f>SUBSTITUTE(B616,CHAR(34),CHAR(92)&amp;CHAR(34))</f>
        <v>Xe buýt; ô tô đầu kéo kéo sơ mi rơ moóc (trừ ô tô đầu kéo kéo sơ mi rơ moóc xi téc); xe mô tô; ô tô chuyên dùng (trừ ô tô trộn vữa, ô tô trộn bê tông lưu động).</v>
      </c>
      <c r="I614" t="str">
        <f>SUBSTITUTE(IF(LEFT(A617,3)="Câu","",B617),CHAR(34),CHAR(92)&amp;CHAR(34))</f>
        <v>Ô tô kéo rơ moóc; ô tô kéo xe khác; ô tô trộn vữa, ô tô trộn bê tông lưu động, ô tô xi téc, ô tô đầu kéo kéo sơ mi rơ moóc xi téc, ô tô kéo theo rơ moóc xi téc).</v>
      </c>
      <c r="J614" t="str">
        <f>SUBSTITUTE(IF(OR(LEFT(A618,3)="Câu",I614=""),"",IF(B618=0,"",B618)),CHAR(34),CHAR(92)&amp;CHAR(34))</f>
        <v/>
      </c>
      <c r="K614" t="str">
        <f>SUBSTITUTE(SUBSTITUTE(SUBSTITUTE(SUBSTITUTE(IFERROR(VLOOKUP("Câu "&amp;D614&amp;".",dapan!$E:$J,6,0),""),"1","A"),"2","B"),"3","C"),"4","D")</f>
        <v/>
      </c>
      <c r="P614" t="str">
        <f t="shared" si="34"/>
        <v/>
      </c>
      <c r="Q614" t="str">
        <f t="shared" si="35"/>
        <v/>
      </c>
    </row>
    <row r="615" spans="1:17" hidden="1" x14ac:dyDescent="0.25">
      <c r="A615">
        <v>2</v>
      </c>
      <c r="B615" t="s">
        <v>538</v>
      </c>
      <c r="C615">
        <f>IFERROR(COUNTIFS($A$1:A615,"Câu "&amp;"*")-MID(A615,5,FIND(".",A615,1)-5),0)</f>
        <v>0</v>
      </c>
      <c r="D615" t="str">
        <f t="shared" si="36"/>
        <v/>
      </c>
      <c r="E615" t="str">
        <f>SUBSTITUTE(IF(LEFT(A615,3)="Câu",MID(A615,FIND(".",A615,1)+2,LEN(A615)),""),CHAR(34),CHAR(92)&amp;CHAR(34))</f>
        <v/>
      </c>
      <c r="G615" t="str">
        <f>SUBSTITUTE(B616,CHAR(34),CHAR(92)&amp;CHAR(34))</f>
        <v>Xe buýt; ô tô đầu kéo kéo sơ mi rơ moóc (trừ ô tô đầu kéo kéo sơ mi rơ moóc xi téc); xe mô tô; ô tô chuyên dùng (trừ ô tô trộn vữa, ô tô trộn bê tông lưu động).</v>
      </c>
      <c r="H615" t="str">
        <f>SUBSTITUTE(B617,CHAR(34),CHAR(92)&amp;CHAR(34))</f>
        <v>Ô tô kéo rơ moóc; ô tô kéo xe khác; ô tô trộn vữa, ô tô trộn bê tông lưu động, ô tô xi téc, ô tô đầu kéo kéo sơ mi rơ moóc xi téc, ô tô kéo theo rơ moóc xi téc).</v>
      </c>
      <c r="I615" t="str">
        <f>SUBSTITUTE(IF(LEFT(A618,3)="Câu","",B618),CHAR(34),CHAR(92)&amp;CHAR(34))</f>
        <v/>
      </c>
      <c r="J615" t="str">
        <f>SUBSTITUTE(IF(OR(LEFT(A619,3)="Câu",I615=""),"",IF(B619=0,"",B619)),CHAR(34),CHAR(92)&amp;CHAR(34))</f>
        <v/>
      </c>
      <c r="K615" t="str">
        <f>SUBSTITUTE(SUBSTITUTE(SUBSTITUTE(SUBSTITUTE(IFERROR(VLOOKUP("Câu "&amp;D615&amp;".",dapan!$E:$J,6,0),""),"1","A"),"2","B"),"3","C"),"4","D")</f>
        <v/>
      </c>
      <c r="P615" t="str">
        <f t="shared" si="34"/>
        <v/>
      </c>
      <c r="Q615" t="str">
        <f t="shared" si="35"/>
        <v/>
      </c>
    </row>
    <row r="616" spans="1:17" hidden="1" x14ac:dyDescent="0.25">
      <c r="A616">
        <v>3</v>
      </c>
      <c r="B616" t="s">
        <v>535</v>
      </c>
      <c r="C616">
        <f>IFERROR(COUNTIFS($A$1:A616,"Câu "&amp;"*")-MID(A616,5,FIND(".",A616,1)-5),0)</f>
        <v>0</v>
      </c>
      <c r="D616" t="str">
        <f t="shared" si="36"/>
        <v/>
      </c>
      <c r="E616" t="str">
        <f>SUBSTITUTE(IF(LEFT(A616,3)="Câu",MID(A616,FIND(".",A616,1)+2,LEN(A616)),""),CHAR(34),CHAR(92)&amp;CHAR(34))</f>
        <v/>
      </c>
      <c r="G616" t="str">
        <f>SUBSTITUTE(B617,CHAR(34),CHAR(92)&amp;CHAR(34))</f>
        <v>Ô tô kéo rơ moóc; ô tô kéo xe khác; ô tô trộn vữa, ô tô trộn bê tông lưu động, ô tô xi téc, ô tô đầu kéo kéo sơ mi rơ moóc xi téc, ô tô kéo theo rơ moóc xi téc).</v>
      </c>
      <c r="H616" t="str">
        <f>SUBSTITUTE(B618,CHAR(34),CHAR(92)&amp;CHAR(34))</f>
        <v/>
      </c>
      <c r="I616" t="str">
        <f>SUBSTITUTE(IF(LEFT(A619,3)="Câu","",B619),CHAR(34),CHAR(92)&amp;CHAR(34))</f>
        <v>Xe ô tô chở người đến 28 chỗ không kể chỗ của người lái xe (trừ xe buýt); ô tô tải có trọng tải không lớn hơn 3,5 tấn.</v>
      </c>
      <c r="J616" t="str">
        <f>SUBSTITUTE(IF(OR(LEFT(A620,3)="Câu",I616=""),"",IF(B620=0,"",B620)),CHAR(34),CHAR(92)&amp;CHAR(34))</f>
        <v>Xe ô tô chở người trên 28 chỗ không kể chỗ người lái xe (trừ xe buýt); ô tô tải có trọng tải trên 3,5 tấn (trừ ô tô xi téc).</v>
      </c>
      <c r="K616" t="str">
        <f>SUBSTITUTE(SUBSTITUTE(SUBSTITUTE(SUBSTITUTE(IFERROR(VLOOKUP("Câu "&amp;D616&amp;".",dapan!$E:$J,6,0),""),"1","A"),"2","B"),"3","C"),"4","D")</f>
        <v/>
      </c>
      <c r="P616" t="str">
        <f t="shared" si="34"/>
        <v/>
      </c>
      <c r="Q616" t="str">
        <f t="shared" si="35"/>
        <v/>
      </c>
    </row>
    <row r="617" spans="1:17" hidden="1" x14ac:dyDescent="0.25">
      <c r="A617">
        <v>4</v>
      </c>
      <c r="B617" t="s">
        <v>539</v>
      </c>
      <c r="C617">
        <f>IFERROR(COUNTIFS($A$1:A617,"Câu "&amp;"*")-MID(A617,5,FIND(".",A617,1)-5),0)</f>
        <v>0</v>
      </c>
      <c r="D617" t="str">
        <f t="shared" si="36"/>
        <v/>
      </c>
      <c r="E617" t="str">
        <f>SUBSTITUTE(IF(LEFT(A617,3)="Câu",MID(A617,FIND(".",A617,1)+2,LEN(A617)),""),CHAR(34),CHAR(92)&amp;CHAR(34))</f>
        <v/>
      </c>
      <c r="G617" t="str">
        <f>SUBSTITUTE(B618,CHAR(34),CHAR(92)&amp;CHAR(34))</f>
        <v/>
      </c>
      <c r="H617" t="str">
        <f>SUBSTITUTE(B619,CHAR(34),CHAR(92)&amp;CHAR(34))</f>
        <v>Xe ô tô chở người đến 28 chỗ không kể chỗ của người lái xe (trừ xe buýt); ô tô tải có trọng tải không lớn hơn 3,5 tấn.</v>
      </c>
      <c r="I617" t="str">
        <f>SUBSTITUTE(IF(LEFT(A620,3)="Câu","",B620),CHAR(34),CHAR(92)&amp;CHAR(34))</f>
        <v>Xe ô tô chở người trên 28 chỗ không kể chỗ người lái xe (trừ xe buýt); ô tô tải có trọng tải trên 3,5 tấn (trừ ô tô xi téc).</v>
      </c>
      <c r="J617" t="str">
        <f>SUBSTITUTE(IF(OR(LEFT(A621,3)="Câu",I617=""),"",IF(B621=0,"",B621)),CHAR(34),CHAR(92)&amp;CHAR(34))</f>
        <v xml:space="preserve"> Xe buýt; ô tô đầu kéo kéo sơ mi rơ moóc (trừ ô tô đầu kéo kéo sơ mi rơ moóc xi téc); xe mô tô; ô tô chuyên dùng (trừ ô tô trộn vữa, ô tô trộn bê tông lưu động).</v>
      </c>
      <c r="K617" t="str">
        <f>SUBSTITUTE(SUBSTITUTE(SUBSTITUTE(SUBSTITUTE(IFERROR(VLOOKUP("Câu "&amp;D617&amp;".",dapan!$E:$J,6,0),""),"1","A"),"2","B"),"3","C"),"4","D")</f>
        <v/>
      </c>
      <c r="P617" t="str">
        <f t="shared" si="34"/>
        <v/>
      </c>
      <c r="Q617" t="str">
        <f t="shared" si="35"/>
        <v/>
      </c>
    </row>
    <row r="618" spans="1:17" x14ac:dyDescent="0.25">
      <c r="A618" t="s">
        <v>540</v>
      </c>
      <c r="C618">
        <f>IFERROR(COUNTIFS($A$1:A618,"Câu "&amp;"*")-MID(A618,5,FIND(".",A618,1)-5),0)</f>
        <v>0</v>
      </c>
      <c r="D618">
        <f t="shared" si="36"/>
        <v>151</v>
      </c>
      <c r="E618" t="str">
        <f>SUBSTITUTE(IF(LEFT(A618,3)="Câu",MID(A618,FIND(".",A618,1)+2,LEN(A618)),""),CHAR(34),CHAR(92)&amp;CHAR(34))</f>
        <v>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70 km/h?</v>
      </c>
      <c r="G618" t="str">
        <f>SUBSTITUTE(B619,CHAR(34),CHAR(92)&amp;CHAR(34))</f>
        <v>Xe ô tô chở người đến 28 chỗ không kể chỗ của người lái xe (trừ xe buýt); ô tô tải có trọng tải không lớn hơn 3,5 tấn.</v>
      </c>
      <c r="H618" t="str">
        <f>SUBSTITUTE(B620,CHAR(34),CHAR(92)&amp;CHAR(34))</f>
        <v>Xe ô tô chở người trên 28 chỗ không kể chỗ người lái xe (trừ xe buýt); ô tô tải có trọng tải trên 3,5 tấn (trừ ô tô xi téc).</v>
      </c>
      <c r="I618" t="str">
        <f>SUBSTITUTE(IF(LEFT(A621,3)="Câu","",B621),CHAR(34),CHAR(92)&amp;CHAR(34))</f>
        <v xml:space="preserve"> Xe buýt; ô tô đầu kéo kéo sơ mi rơ moóc (trừ ô tô đầu kéo kéo sơ mi rơ moóc xi téc); xe mô tô; ô tô chuyên dùng (trừ ô tô trộn vữa, ô tô trộn bê tông lưu động).</v>
      </c>
      <c r="J618" t="str">
        <f>SUBSTITUTE(IF(OR(LEFT(A622,3)="Câu",I618=""),"",IF(B622=0,"",B622)),CHAR(34),CHAR(92)&amp;CHAR(34))</f>
        <v>Ô tô kéo rơ moóc; ô tô kéo xe khác; ô tô trộn vữa, ô tô trộn bê tông lưu động, ô tô xi téc, ô tô đầu kéo kéo sơ mi rơ moóc xi téc, ô tô kéo theo rơ moóc xi téc.</v>
      </c>
      <c r="K618" t="str">
        <f ca="1">SUBSTITUTE(SUBSTITUTE(SUBSTITUTE(SUBSTITUTE(IFERROR(VLOOKUP("Câu "&amp;D618&amp;".",dapan!$E:$J,6,0),""),"1","A"),"2","B"),"3","C"),"4","D")</f>
        <v>C</v>
      </c>
      <c r="P618">
        <f t="shared" si="34"/>
        <v>151</v>
      </c>
      <c r="Q618" t="str">
        <f t="shared" ca="1" si="35"/>
        <v>{"num":151,"id":151,"q":"Trên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70 km/h?","opts":{"A":"Xe ô tô chở người đến 28 chỗ không kể chỗ của người lái xe (trừ xe buýt); ô tô tải có trọng tải không lớn hơn 3,5 tấn.","B":"Xe ô tô chở người trên 28 chỗ không kể chỗ người lái xe (trừ xe buýt); ô tô tải có trọng tải trên 3,5 tấn (trừ ô tô xi téc).","C":" Xe buýt; ô tô đầu kéo kéo sơ mi rơ moóc (trừ ô tô đầu kéo kéo sơ mi rơ moóc xi téc); xe mô tô; ô tô chuyên dùng (trừ ô tô trộn vữa, ô tô trộn bê tông lưu động).","D":"Ô tô kéo rơ moóc; ô tô kéo xe khác; ô tô trộn vữa, ô tô trộn bê tông lưu động, ô tô xi téc, ô tô đầu kéo kéo sơ mi rơ moóc xi téc, ô tô kéo theo rơ moóc xi téc."},"answer":"C"},</v>
      </c>
    </row>
    <row r="619" spans="1:17" hidden="1" x14ac:dyDescent="0.25">
      <c r="A619">
        <v>1</v>
      </c>
      <c r="B619" t="s">
        <v>537</v>
      </c>
      <c r="C619">
        <f>IFERROR(COUNTIFS($A$1:A619,"Câu "&amp;"*")-MID(A619,5,FIND(".",A619,1)-5),0)</f>
        <v>0</v>
      </c>
      <c r="D619" t="str">
        <f t="shared" si="36"/>
        <v/>
      </c>
      <c r="E619" t="str">
        <f>SUBSTITUTE(IF(LEFT(A619,3)="Câu",MID(A619,FIND(".",A619,1)+2,LEN(A619)),""),CHAR(34),CHAR(92)&amp;CHAR(34))</f>
        <v/>
      </c>
      <c r="G619" t="str">
        <f>SUBSTITUTE(B620,CHAR(34),CHAR(92)&amp;CHAR(34))</f>
        <v>Xe ô tô chở người trên 28 chỗ không kể chỗ người lái xe (trừ xe buýt); ô tô tải có trọng tải trên 3,5 tấn (trừ ô tô xi téc).</v>
      </c>
      <c r="H619" t="str">
        <f>SUBSTITUTE(B621,CHAR(34),CHAR(92)&amp;CHAR(34))</f>
        <v xml:space="preserve"> Xe buýt; ô tô đầu kéo kéo sơ mi rơ moóc (trừ ô tô đầu kéo kéo sơ mi rơ moóc xi téc); xe mô tô; ô tô chuyên dùng (trừ ô tô trộn vữa, ô tô trộn bê tông lưu động).</v>
      </c>
      <c r="I619" t="str">
        <f>SUBSTITUTE(IF(LEFT(A622,3)="Câu","",B622),CHAR(34),CHAR(92)&amp;CHAR(34))</f>
        <v>Ô tô kéo rơ moóc; ô tô kéo xe khác; ô tô trộn vữa, ô tô trộn bê tông lưu động, ô tô xi téc, ô tô đầu kéo kéo sơ mi rơ moóc xi téc, ô tô kéo theo rơ moóc xi téc.</v>
      </c>
      <c r="J619" t="str">
        <f>SUBSTITUTE(IF(OR(LEFT(A623,3)="Câu",I619=""),"",IF(B623=0,"",B623)),CHAR(34),CHAR(92)&amp;CHAR(34))</f>
        <v/>
      </c>
      <c r="K619" t="str">
        <f>SUBSTITUTE(SUBSTITUTE(SUBSTITUTE(SUBSTITUTE(IFERROR(VLOOKUP("Câu "&amp;D619&amp;".",dapan!$E:$J,6,0),""),"1","A"),"2","B"),"3","C"),"4","D")</f>
        <v/>
      </c>
      <c r="P619" t="str">
        <f t="shared" si="34"/>
        <v/>
      </c>
      <c r="Q619" t="str">
        <f t="shared" si="35"/>
        <v/>
      </c>
    </row>
    <row r="620" spans="1:17" hidden="1" x14ac:dyDescent="0.25">
      <c r="A620">
        <v>2</v>
      </c>
      <c r="B620" t="s">
        <v>534</v>
      </c>
      <c r="C620">
        <f>IFERROR(COUNTIFS($A$1:A620,"Câu "&amp;"*")-MID(A620,5,FIND(".",A620,1)-5),0)</f>
        <v>0</v>
      </c>
      <c r="D620" t="str">
        <f t="shared" si="36"/>
        <v/>
      </c>
      <c r="E620" t="str">
        <f>SUBSTITUTE(IF(LEFT(A620,3)="Câu",MID(A620,FIND(".",A620,1)+2,LEN(A620)),""),CHAR(34),CHAR(92)&amp;CHAR(34))</f>
        <v/>
      </c>
      <c r="G620" t="str">
        <f>SUBSTITUTE(B621,CHAR(34),CHAR(92)&amp;CHAR(34))</f>
        <v xml:space="preserve"> Xe buýt; ô tô đầu kéo kéo sơ mi rơ moóc (trừ ô tô đầu kéo kéo sơ mi rơ moóc xi téc); xe mô tô; ô tô chuyên dùng (trừ ô tô trộn vữa, ô tô trộn bê tông lưu động).</v>
      </c>
      <c r="H620" t="str">
        <f>SUBSTITUTE(B622,CHAR(34),CHAR(92)&amp;CHAR(34))</f>
        <v>Ô tô kéo rơ moóc; ô tô kéo xe khác; ô tô trộn vữa, ô tô trộn bê tông lưu động, ô tô xi téc, ô tô đầu kéo kéo sơ mi rơ moóc xi téc, ô tô kéo theo rơ moóc xi téc.</v>
      </c>
      <c r="I620" t="str">
        <f>SUBSTITUTE(IF(LEFT(A623,3)="Câu","",B623),CHAR(34),CHAR(92)&amp;CHAR(34))</f>
        <v/>
      </c>
      <c r="J620" t="str">
        <f>SUBSTITUTE(IF(OR(LEFT(A624,3)="Câu",I620=""),"",IF(B624=0,"",B624)),CHAR(34),CHAR(92)&amp;CHAR(34))</f>
        <v/>
      </c>
      <c r="K620" t="str">
        <f>SUBSTITUTE(SUBSTITUTE(SUBSTITUTE(SUBSTITUTE(IFERROR(VLOOKUP("Câu "&amp;D620&amp;".",dapan!$E:$J,6,0),""),"1","A"),"2","B"),"3","C"),"4","D")</f>
        <v/>
      </c>
      <c r="P620" t="str">
        <f t="shared" si="34"/>
        <v/>
      </c>
      <c r="Q620" t="str">
        <f t="shared" si="35"/>
        <v/>
      </c>
    </row>
    <row r="621" spans="1:17" hidden="1" x14ac:dyDescent="0.25">
      <c r="A621">
        <v>3</v>
      </c>
      <c r="B621" t="s">
        <v>541</v>
      </c>
      <c r="C621">
        <f>IFERROR(COUNTIFS($A$1:A621,"Câu "&amp;"*")-MID(A621,5,FIND(".",A621,1)-5),0)</f>
        <v>0</v>
      </c>
      <c r="D621" t="str">
        <f t="shared" si="36"/>
        <v/>
      </c>
      <c r="E621" t="str">
        <f>SUBSTITUTE(IF(LEFT(A621,3)="Câu",MID(A621,FIND(".",A621,1)+2,LEN(A621)),""),CHAR(34),CHAR(92)&amp;CHAR(34))</f>
        <v/>
      </c>
      <c r="G621" t="str">
        <f>SUBSTITUTE(B622,CHAR(34),CHAR(92)&amp;CHAR(34))</f>
        <v>Ô tô kéo rơ moóc; ô tô kéo xe khác; ô tô trộn vữa, ô tô trộn bê tông lưu động, ô tô xi téc, ô tô đầu kéo kéo sơ mi rơ moóc xi téc, ô tô kéo theo rơ moóc xi téc.</v>
      </c>
      <c r="H621" t="str">
        <f>SUBSTITUTE(B623,CHAR(34),CHAR(92)&amp;CHAR(34))</f>
        <v/>
      </c>
      <c r="I621" t="str">
        <f>SUBSTITUTE(IF(LEFT(A624,3)="Câu","",B624),CHAR(34),CHAR(92)&amp;CHAR(34))</f>
        <v>Xe ô tô chở người đến 28 chỗ không kể chỗ của người lái xe (trừ xe buýt); ô tô tải có trọng tải không lớn hơn 3,5 tấn.</v>
      </c>
      <c r="J621" t="str">
        <f>SUBSTITUTE(IF(OR(LEFT(A625,3)="Câu",I621=""),"",IF(B625=0,"",B625)),CHAR(34),CHAR(92)&amp;CHAR(34))</f>
        <v>Xe ô tô chở người trên 28 chỗ không kể chỗ người lái xe (trừ xe buýt); ô tô tải có trọng tải trên 3,5 tấn (trừ ô tô xi téc).</v>
      </c>
      <c r="K621" t="str">
        <f>SUBSTITUTE(SUBSTITUTE(SUBSTITUTE(SUBSTITUTE(IFERROR(VLOOKUP("Câu "&amp;D621&amp;".",dapan!$E:$J,6,0),""),"1","A"),"2","B"),"3","C"),"4","D")</f>
        <v/>
      </c>
      <c r="P621" t="str">
        <f t="shared" si="34"/>
        <v/>
      </c>
      <c r="Q621" t="str">
        <f t="shared" si="35"/>
        <v/>
      </c>
    </row>
    <row r="622" spans="1:17" hidden="1" x14ac:dyDescent="0.25">
      <c r="A622">
        <v>4</v>
      </c>
      <c r="B622" t="s">
        <v>542</v>
      </c>
      <c r="C622">
        <f>IFERROR(COUNTIFS($A$1:A622,"Câu "&amp;"*")-MID(A622,5,FIND(".",A622,1)-5),0)</f>
        <v>0</v>
      </c>
      <c r="D622" t="str">
        <f t="shared" si="36"/>
        <v/>
      </c>
      <c r="E622" t="str">
        <f>SUBSTITUTE(IF(LEFT(A622,3)="Câu",MID(A622,FIND(".",A622,1)+2,LEN(A622)),""),CHAR(34),CHAR(92)&amp;CHAR(34))</f>
        <v/>
      </c>
      <c r="G622" t="str">
        <f>SUBSTITUTE(B623,CHAR(34),CHAR(92)&amp;CHAR(34))</f>
        <v/>
      </c>
      <c r="H622" t="str">
        <f>SUBSTITUTE(B624,CHAR(34),CHAR(92)&amp;CHAR(34))</f>
        <v>Xe ô tô chở người đến 28 chỗ không kể chỗ của người lái xe (trừ xe buýt); ô tô tải có trọng tải không lớn hơn 3,5 tấn.</v>
      </c>
      <c r="I622" t="str">
        <f>SUBSTITUTE(IF(LEFT(A625,3)="Câu","",B625),CHAR(34),CHAR(92)&amp;CHAR(34))</f>
        <v>Xe ô tô chở người trên 28 chỗ không kể chỗ người lái xe (trừ xe buýt); ô tô tải có trọng tải trên 3,5 tấn (trừ ô tô xi téc).</v>
      </c>
      <c r="J622" t="str">
        <f>SUBSTITUTE(IF(OR(LEFT(A626,3)="Câu",I622=""),"",IF(B626=0,"",B626)),CHAR(34),CHAR(92)&amp;CHAR(34))</f>
        <v>Xe buýt; ô tô đầu kéo kéo sơ mi rơ moóc (trừ ô tô đầu kéo kéo sơ mi rơ moóc xi téc); xe mô tô; ô tô chuyên dùng (trừ ô tô trộn vữa, ô tô trộn bê tông lưu động).</v>
      </c>
      <c r="K622" t="str">
        <f>SUBSTITUTE(SUBSTITUTE(SUBSTITUTE(SUBSTITUTE(IFERROR(VLOOKUP("Câu "&amp;D622&amp;".",dapan!$E:$J,6,0),""),"1","A"),"2","B"),"3","C"),"4","D")</f>
        <v/>
      </c>
      <c r="P622" t="str">
        <f t="shared" si="34"/>
        <v/>
      </c>
      <c r="Q622" t="str">
        <f t="shared" si="35"/>
        <v/>
      </c>
    </row>
    <row r="623" spans="1:17" x14ac:dyDescent="0.25">
      <c r="A623" t="s">
        <v>543</v>
      </c>
      <c r="C623">
        <f>IFERROR(COUNTIFS($A$1:A623,"Câu "&amp;"*")-MID(A623,5,FIND(".",A623,1)-5),0)</f>
        <v>0</v>
      </c>
      <c r="D623">
        <f t="shared" si="36"/>
        <v>152</v>
      </c>
      <c r="E623" t="str">
        <f>SUBSTITUTE(IF(LEFT(A623,3)="Câu",MID(A623,FIND(".",A623,1)+2,LEN(A623)),""),CHAR(34),CHAR(92)&amp;CHAR(34))</f>
        <v>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60 km/h?</v>
      </c>
      <c r="G623" t="str">
        <f>SUBSTITUTE(B624,CHAR(34),CHAR(92)&amp;CHAR(34))</f>
        <v>Xe ô tô chở người đến 28 chỗ không kể chỗ của người lái xe (trừ xe buýt); ô tô tải có trọng tải không lớn hơn 3,5 tấn.</v>
      </c>
      <c r="H623" t="str">
        <f>SUBSTITUTE(B625,CHAR(34),CHAR(92)&amp;CHAR(34))</f>
        <v>Xe ô tô chở người trên 28 chỗ không kể chỗ người lái xe (trừ xe buýt); ô tô tải có trọng tải trên 3,5 tấn (trừ ô tô xi téc).</v>
      </c>
      <c r="I623" t="str">
        <f>SUBSTITUTE(IF(LEFT(A626,3)="Câu","",B626),CHAR(34),CHAR(92)&amp;CHAR(34))</f>
        <v>Xe buýt; ô tô đầu kéo kéo sơ mi rơ moóc (trừ ô tô đầu kéo kéo sơ mi rơ moóc xi téc); xe mô tô; ô tô chuyên dùng (trừ ô tô trộn vữa, ô tô trộn bê tông lưu động).</v>
      </c>
      <c r="J623" t="str">
        <f>SUBSTITUTE(IF(OR(LEFT(A627,3)="Câu",I623=""),"",IF(B627=0,"",B627)),CHAR(34),CHAR(92)&amp;CHAR(34))</f>
        <v xml:space="preserve"> Ô tô kéo rơ moóc; ô tô kéo xe khác; ô tô trộn vữa, ô tô trộn bê tông lưu động, ô tô xi téc, ô tô đầu kéo kéo sơ mi rơ moóc xi téc, ô tô kéo theo rơ moóc xi téc.</v>
      </c>
      <c r="K623" t="str">
        <f ca="1">SUBSTITUTE(SUBSTITUTE(SUBSTITUTE(SUBSTITUTE(IFERROR(VLOOKUP("Câu "&amp;D623&amp;".",dapan!$E:$J,6,0),""),"1","A"),"2","B"),"3","C"),"4","D")</f>
        <v>D</v>
      </c>
      <c r="P623">
        <f t="shared" si="34"/>
        <v>152</v>
      </c>
      <c r="Q623" t="str">
        <f t="shared" ca="1" si="35"/>
        <v>{"num":152,"id":152,"q":"Trên đường bộ ngoài khu vực đông dân cư, đường đôi hoặc đường một chiều có từ hai làn xe cơ giới trở lên (trừ đường cao tốc) loại xe nào dưới đây được tham gia giao thông với tốc độ khai thác tối đa cho phép là 60 km/h?","opts":{"A":"Xe ô tô chở người đến 28 chỗ không kể chỗ của người lái xe (trừ xe buýt); ô tô tải có trọng tải không lớn hơn 3,5 tấn.","B":"Xe ô tô chở người trên 28 chỗ không kể chỗ người lái xe (trừ xe buýt); ô tô tải có trọng tải trên 3,5 tấn (trừ ô tô xi téc).","C":"Xe buýt; ô tô đầu kéo kéo sơ mi rơ moóc (trừ ô tô đầu kéo kéo sơ mi rơ moóc xi téc); xe mô tô; ô tô chuyên dùng (trừ ô tô trộn vữa, ô tô trộn bê tông lưu động).","D":" Ô tô kéo rơ moóc; ô tô kéo xe khác; ô tô trộn vữa, ô tô trộn bê tông lưu động, ô tô xi téc, ô tô đầu kéo kéo sơ mi rơ moóc xi téc, ô tô kéo theo rơ moóc xi téc."},"answer":"D"},</v>
      </c>
    </row>
    <row r="624" spans="1:17" hidden="1" x14ac:dyDescent="0.25">
      <c r="A624">
        <v>1</v>
      </c>
      <c r="B624" t="s">
        <v>537</v>
      </c>
      <c r="C624">
        <f>IFERROR(COUNTIFS($A$1:A624,"Câu "&amp;"*")-MID(A624,5,FIND(".",A624,1)-5),0)</f>
        <v>0</v>
      </c>
      <c r="D624" t="str">
        <f t="shared" si="36"/>
        <v/>
      </c>
      <c r="E624" t="str">
        <f>SUBSTITUTE(IF(LEFT(A624,3)="Câu",MID(A624,FIND(".",A624,1)+2,LEN(A624)),""),CHAR(34),CHAR(92)&amp;CHAR(34))</f>
        <v/>
      </c>
      <c r="G624" t="str">
        <f>SUBSTITUTE(B625,CHAR(34),CHAR(92)&amp;CHAR(34))</f>
        <v>Xe ô tô chở người trên 28 chỗ không kể chỗ người lái xe (trừ xe buýt); ô tô tải có trọng tải trên 3,5 tấn (trừ ô tô xi téc).</v>
      </c>
      <c r="H624" t="str">
        <f>SUBSTITUTE(B626,CHAR(34),CHAR(92)&amp;CHAR(34))</f>
        <v>Xe buýt; ô tô đầu kéo kéo sơ mi rơ moóc (trừ ô tô đầu kéo kéo sơ mi rơ moóc xi téc); xe mô tô; ô tô chuyên dùng (trừ ô tô trộn vữa, ô tô trộn bê tông lưu động).</v>
      </c>
      <c r="I624" t="str">
        <f>SUBSTITUTE(IF(LEFT(A627,3)="Câu","",B627),CHAR(34),CHAR(92)&amp;CHAR(34))</f>
        <v xml:space="preserve"> Ô tô kéo rơ moóc; ô tô kéo xe khác; ô tô trộn vữa, ô tô trộn bê tông lưu động, ô tô xi téc, ô tô đầu kéo kéo sơ mi rơ moóc xi téc, ô tô kéo theo rơ moóc xi téc.</v>
      </c>
      <c r="J624" t="str">
        <f>SUBSTITUTE(IF(OR(LEFT(A628,3)="Câu",I624=""),"",IF(B628=0,"",B628)),CHAR(34),CHAR(92)&amp;CHAR(34))</f>
        <v/>
      </c>
      <c r="K624" t="str">
        <f>SUBSTITUTE(SUBSTITUTE(SUBSTITUTE(SUBSTITUTE(IFERROR(VLOOKUP("Câu "&amp;D624&amp;".",dapan!$E:$J,6,0),""),"1","A"),"2","B"),"3","C"),"4","D")</f>
        <v/>
      </c>
      <c r="P624" t="str">
        <f t="shared" si="34"/>
        <v/>
      </c>
      <c r="Q624" t="str">
        <f t="shared" si="35"/>
        <v/>
      </c>
    </row>
    <row r="625" spans="1:17" hidden="1" x14ac:dyDescent="0.25">
      <c r="A625">
        <v>2</v>
      </c>
      <c r="B625" t="s">
        <v>534</v>
      </c>
      <c r="C625">
        <f>IFERROR(COUNTIFS($A$1:A625,"Câu "&amp;"*")-MID(A625,5,FIND(".",A625,1)-5),0)</f>
        <v>0</v>
      </c>
      <c r="D625" t="str">
        <f t="shared" si="36"/>
        <v/>
      </c>
      <c r="E625" t="str">
        <f>SUBSTITUTE(IF(LEFT(A625,3)="Câu",MID(A625,FIND(".",A625,1)+2,LEN(A625)),""),CHAR(34),CHAR(92)&amp;CHAR(34))</f>
        <v/>
      </c>
      <c r="G625" t="str">
        <f>SUBSTITUTE(B626,CHAR(34),CHAR(92)&amp;CHAR(34))</f>
        <v>Xe buýt; ô tô đầu kéo kéo sơ mi rơ moóc (trừ ô tô đầu kéo kéo sơ mi rơ moóc xi téc); xe mô tô; ô tô chuyên dùng (trừ ô tô trộn vữa, ô tô trộn bê tông lưu động).</v>
      </c>
      <c r="H625" t="str">
        <f>SUBSTITUTE(B627,CHAR(34),CHAR(92)&amp;CHAR(34))</f>
        <v xml:space="preserve"> Ô tô kéo rơ moóc; ô tô kéo xe khác; ô tô trộn vữa, ô tô trộn bê tông lưu động, ô tô xi téc, ô tô đầu kéo kéo sơ mi rơ moóc xi téc, ô tô kéo theo rơ moóc xi téc.</v>
      </c>
      <c r="I625" t="str">
        <f>SUBSTITUTE(IF(LEFT(A628,3)="Câu","",B628),CHAR(34),CHAR(92)&amp;CHAR(34))</f>
        <v/>
      </c>
      <c r="J625" t="str">
        <f>SUBSTITUTE(IF(OR(LEFT(A629,3)="Câu",I625=""),"",IF(B629=0,"",B629)),CHAR(34),CHAR(92)&amp;CHAR(34))</f>
        <v/>
      </c>
      <c r="K625" t="str">
        <f>SUBSTITUTE(SUBSTITUTE(SUBSTITUTE(SUBSTITUTE(IFERROR(VLOOKUP("Câu "&amp;D625&amp;".",dapan!$E:$J,6,0),""),"1","A"),"2","B"),"3","C"),"4","D")</f>
        <v/>
      </c>
      <c r="P625" t="str">
        <f t="shared" si="34"/>
        <v/>
      </c>
      <c r="Q625" t="str">
        <f t="shared" si="35"/>
        <v/>
      </c>
    </row>
    <row r="626" spans="1:17" hidden="1" x14ac:dyDescent="0.25">
      <c r="A626">
        <v>3</v>
      </c>
      <c r="B626" t="s">
        <v>535</v>
      </c>
      <c r="C626">
        <f>IFERROR(COUNTIFS($A$1:A626,"Câu "&amp;"*")-MID(A626,5,FIND(".",A626,1)-5),0)</f>
        <v>0</v>
      </c>
      <c r="D626" t="str">
        <f t="shared" si="36"/>
        <v/>
      </c>
      <c r="E626" t="str">
        <f>SUBSTITUTE(IF(LEFT(A626,3)="Câu",MID(A626,FIND(".",A626,1)+2,LEN(A626)),""),CHAR(34),CHAR(92)&amp;CHAR(34))</f>
        <v/>
      </c>
      <c r="G626" t="str">
        <f>SUBSTITUTE(B627,CHAR(34),CHAR(92)&amp;CHAR(34))</f>
        <v xml:space="preserve"> Ô tô kéo rơ moóc; ô tô kéo xe khác; ô tô trộn vữa, ô tô trộn bê tông lưu động, ô tô xi téc, ô tô đầu kéo kéo sơ mi rơ moóc xi téc, ô tô kéo theo rơ moóc xi téc.</v>
      </c>
      <c r="H626" t="str">
        <f>SUBSTITUTE(B628,CHAR(34),CHAR(92)&amp;CHAR(34))</f>
        <v/>
      </c>
      <c r="I626" t="str">
        <f>SUBSTITUTE(IF(LEFT(A629,3)="Câu","",B629),CHAR(34),CHAR(92)&amp;CHAR(34))</f>
        <v xml:space="preserve"> Xe ô tô chở người đến 28 chỗ không kể chỗ của người lái xe (trừ xe buýt); ô tô tải có trọng tải không lớn hơn 3,5 tấn.</v>
      </c>
      <c r="J626" t="str">
        <f>SUBSTITUTE(IF(OR(LEFT(A630,3)="Câu",I626=""),"",IF(B630=0,"",B630)),CHAR(34),CHAR(92)&amp;CHAR(34))</f>
        <v>Xe ô tô chở người trên 28 chỗ không kể chỗ người lái xe (trừ xe buýt); ô tô tải có trọng tải trên 3,5 tấn (trừ ô tô xi téc).</v>
      </c>
      <c r="K626" t="str">
        <f>SUBSTITUTE(SUBSTITUTE(SUBSTITUTE(SUBSTITUTE(IFERROR(VLOOKUP("Câu "&amp;D626&amp;".",dapan!$E:$J,6,0),""),"1","A"),"2","B"),"3","C"),"4","D")</f>
        <v/>
      </c>
      <c r="P626" t="str">
        <f t="shared" si="34"/>
        <v/>
      </c>
      <c r="Q626" t="str">
        <f t="shared" si="35"/>
        <v/>
      </c>
    </row>
    <row r="627" spans="1:17" hidden="1" x14ac:dyDescent="0.25">
      <c r="A627">
        <v>4</v>
      </c>
      <c r="B627" t="s">
        <v>544</v>
      </c>
      <c r="C627">
        <f>IFERROR(COUNTIFS($A$1:A627,"Câu "&amp;"*")-MID(A627,5,FIND(".",A627,1)-5),0)</f>
        <v>0</v>
      </c>
      <c r="D627" t="str">
        <f t="shared" si="36"/>
        <v/>
      </c>
      <c r="E627" t="str">
        <f>SUBSTITUTE(IF(LEFT(A627,3)="Câu",MID(A627,FIND(".",A627,1)+2,LEN(A627)),""),CHAR(34),CHAR(92)&amp;CHAR(34))</f>
        <v/>
      </c>
      <c r="G627" t="str">
        <f>SUBSTITUTE(B628,CHAR(34),CHAR(92)&amp;CHAR(34))</f>
        <v/>
      </c>
      <c r="H627" t="str">
        <f>SUBSTITUTE(B629,CHAR(34),CHAR(92)&amp;CHAR(34))</f>
        <v xml:space="preserve"> Xe ô tô chở người đến 28 chỗ không kể chỗ của người lái xe (trừ xe buýt); ô tô tải có trọng tải không lớn hơn 3,5 tấn.</v>
      </c>
      <c r="I627" t="str">
        <f>SUBSTITUTE(IF(LEFT(A630,3)="Câu","",B630),CHAR(34),CHAR(92)&amp;CHAR(34))</f>
        <v>Xe ô tô chở người trên 28 chỗ không kể chỗ người lái xe (trừ xe buýt); ô tô tải có trọng tải trên 3,5 tấn (trừ ô tô xi téc).</v>
      </c>
      <c r="J627" t="str">
        <f>SUBSTITUTE(IF(OR(LEFT(A631,3)="Câu",I627=""),"",IF(B631=0,"",B631)),CHAR(34),CHAR(92)&amp;CHAR(34))</f>
        <v>Xe buýt; ô tô đầu kéo kéo sơ mi rơ moóc (trừ ô tô đầu kéo kéo sơ mi rơ moóc xi téc); xe mô tô; ô tô chuyên dùng (trừ ô tô trộn vữa, ô tô trộn bê tông lưu động).</v>
      </c>
      <c r="K627" t="str">
        <f>SUBSTITUTE(SUBSTITUTE(SUBSTITUTE(SUBSTITUTE(IFERROR(VLOOKUP("Câu "&amp;D627&amp;".",dapan!$E:$J,6,0),""),"1","A"),"2","B"),"3","C"),"4","D")</f>
        <v/>
      </c>
      <c r="P627" t="str">
        <f t="shared" si="34"/>
        <v/>
      </c>
      <c r="Q627" t="str">
        <f t="shared" si="35"/>
        <v/>
      </c>
    </row>
    <row r="628" spans="1:17" x14ac:dyDescent="0.25">
      <c r="A628" t="s">
        <v>545</v>
      </c>
      <c r="C628">
        <f>IFERROR(COUNTIFS($A$1:A628,"Câu "&amp;"*")-MID(A628,5,FIND(".",A628,1)-5),0)</f>
        <v>0</v>
      </c>
      <c r="D628">
        <f t="shared" si="36"/>
        <v>153</v>
      </c>
      <c r="E628" t="str">
        <f>SUBSTITUTE(IF(LEFT(A628,3)="Câu",MID(A628,FIND(".",A628,1)+2,LEN(A628)),""),CHAR(34),CHAR(92)&amp;CHAR(34))</f>
        <v>Trên đường bộ ngoài khu vực đông dân cư, đường hai chiều hoặc đường một chiều có một làn xe cơ giới (trừ đường cao tốc), loại xe nào dưới đây được tham gia giao thông với tốc độ khai thác tối đa cho phép là 80 km/h?</v>
      </c>
      <c r="G628" t="str">
        <f>SUBSTITUTE(B629,CHAR(34),CHAR(92)&amp;CHAR(34))</f>
        <v xml:space="preserve"> Xe ô tô chở người đến 28 chỗ không kể chỗ của người lái xe (trừ xe buýt); ô tô tải có trọng tải không lớn hơn 3,5 tấn.</v>
      </c>
      <c r="H628" t="str">
        <f>SUBSTITUTE(B630,CHAR(34),CHAR(92)&amp;CHAR(34))</f>
        <v>Xe ô tô chở người trên 28 chỗ không kể chỗ người lái xe (trừ xe buýt); ô tô tải có trọng tải trên 3,5 tấn (trừ ô tô xi téc).</v>
      </c>
      <c r="I628" t="str">
        <f>SUBSTITUTE(IF(LEFT(A631,3)="Câu","",B631),CHAR(34),CHAR(92)&amp;CHAR(34))</f>
        <v>Xe buýt; ô tô đầu kéo kéo sơ mi rơ moóc (trừ ô tô đầu kéo kéo sơ mi rơ moóc xi téc); xe mô tô; ô tô chuyên dùng (trừ ô tô trộn vữa, ô tô trộn bê tông lưu động).</v>
      </c>
      <c r="J628" t="str">
        <f>SUBSTITUTE(IF(OR(LEFT(A632,3)="Câu",I628=""),"",IF(B632=0,"",B632)),CHAR(34),CHAR(92)&amp;CHAR(34))</f>
        <v/>
      </c>
      <c r="K628" t="str">
        <f ca="1">SUBSTITUTE(SUBSTITUTE(SUBSTITUTE(SUBSTITUTE(IFERROR(VLOOKUP("Câu "&amp;D628&amp;".",dapan!$E:$J,6,0),""),"1","A"),"2","B"),"3","C"),"4","D")</f>
        <v>A</v>
      </c>
      <c r="P628">
        <f t="shared" si="34"/>
        <v>153</v>
      </c>
      <c r="Q628" t="str">
        <f t="shared" ca="1" si="35"/>
        <v>{"num":153,"id":153,"q":"Trên đường bộ ngoài khu vực đông dân cư, đường hai chiều hoặc đường một chiều có một làn xe cơ giới (trừ đường cao tốc), loại xe nào dưới đây được tham gia giao thông với tốc độ khai thác tối đa cho phép là 80 km/h?","opts":{"A":" Xe ô tô chở người đến 28 chỗ không kể chỗ của người lái xe (trừ xe buýt); ô tô tải có trọng tải không lớn hơn 3,5 tấn.","B":"Xe ô tô chở người trên 28 chỗ không kể chỗ người lái xe (trừ xe buýt); ô tô tải có trọng tải trên 3,5 tấn (trừ ô tô xi téc).","C":"Xe buýt; ô tô đầu kéo kéo sơ mi rơ moóc (trừ ô tô đầu kéo kéo sơ mi rơ moóc xi téc); xe mô tô; ô tô chuyên dùng (trừ ô tô trộn vữa, ô tô trộn bê tông lưu động)."},"answer":"A"},</v>
      </c>
    </row>
    <row r="629" spans="1:17" hidden="1" x14ac:dyDescent="0.25">
      <c r="A629">
        <v>1</v>
      </c>
      <c r="B629" t="s">
        <v>533</v>
      </c>
      <c r="C629">
        <f>IFERROR(COUNTIFS($A$1:A629,"Câu "&amp;"*")-MID(A629,5,FIND(".",A629,1)-5),0)</f>
        <v>0</v>
      </c>
      <c r="D629" t="str">
        <f t="shared" si="36"/>
        <v/>
      </c>
      <c r="E629" t="str">
        <f>SUBSTITUTE(IF(LEFT(A629,3)="Câu",MID(A629,FIND(".",A629,1)+2,LEN(A629)),""),CHAR(34),CHAR(92)&amp;CHAR(34))</f>
        <v/>
      </c>
      <c r="G629" t="str">
        <f>SUBSTITUTE(B630,CHAR(34),CHAR(92)&amp;CHAR(34))</f>
        <v>Xe ô tô chở người trên 28 chỗ không kể chỗ người lái xe (trừ xe buýt); ô tô tải có trọng tải trên 3,5 tấn (trừ ô tô xi téc).</v>
      </c>
      <c r="H629" t="str">
        <f>SUBSTITUTE(B631,CHAR(34),CHAR(92)&amp;CHAR(34))</f>
        <v>Xe buýt; ô tô đầu kéo kéo sơ mi rơ moóc (trừ ô tô đầu kéo kéo sơ mi rơ moóc xi téc); xe mô tô; ô tô chuyên dùng (trừ ô tô trộn vữa, ô tô trộn bê tông lưu động).</v>
      </c>
      <c r="I629" t="str">
        <f>SUBSTITUTE(IF(LEFT(A632,3)="Câu","",B632),CHAR(34),CHAR(92)&amp;CHAR(34))</f>
        <v/>
      </c>
      <c r="J629" t="str">
        <f>SUBSTITUTE(IF(OR(LEFT(A633,3)="Câu",I629=""),"",IF(B633=0,"",B633)),CHAR(34),CHAR(92)&amp;CHAR(34))</f>
        <v/>
      </c>
      <c r="K629" t="str">
        <f>SUBSTITUTE(SUBSTITUTE(SUBSTITUTE(SUBSTITUTE(IFERROR(VLOOKUP("Câu "&amp;D629&amp;".",dapan!$E:$J,6,0),""),"1","A"),"2","B"),"3","C"),"4","D")</f>
        <v/>
      </c>
      <c r="P629" t="str">
        <f t="shared" si="34"/>
        <v/>
      </c>
      <c r="Q629" t="str">
        <f t="shared" si="35"/>
        <v/>
      </c>
    </row>
    <row r="630" spans="1:17" hidden="1" x14ac:dyDescent="0.25">
      <c r="A630">
        <v>2</v>
      </c>
      <c r="B630" t="s">
        <v>534</v>
      </c>
      <c r="C630">
        <f>IFERROR(COUNTIFS($A$1:A630,"Câu "&amp;"*")-MID(A630,5,FIND(".",A630,1)-5),0)</f>
        <v>0</v>
      </c>
      <c r="D630" t="str">
        <f t="shared" si="36"/>
        <v/>
      </c>
      <c r="E630" t="str">
        <f>SUBSTITUTE(IF(LEFT(A630,3)="Câu",MID(A630,FIND(".",A630,1)+2,LEN(A630)),""),CHAR(34),CHAR(92)&amp;CHAR(34))</f>
        <v/>
      </c>
      <c r="G630" t="str">
        <f>SUBSTITUTE(B631,CHAR(34),CHAR(92)&amp;CHAR(34))</f>
        <v>Xe buýt; ô tô đầu kéo kéo sơ mi rơ moóc (trừ ô tô đầu kéo kéo sơ mi rơ moóc xi téc); xe mô tô; ô tô chuyên dùng (trừ ô tô trộn vữa, ô tô trộn bê tông lưu động).</v>
      </c>
      <c r="H630" t="str">
        <f>SUBSTITUTE(B632,CHAR(34),CHAR(92)&amp;CHAR(34))</f>
        <v/>
      </c>
      <c r="I630" t="str">
        <f>SUBSTITUTE(IF(LEFT(A633,3)="Câu","",B633),CHAR(34),CHAR(92)&amp;CHAR(34))</f>
        <v>Xe ô tô chở người đến 28 chỗ không kể chỗ của người lái xe (trừ xe buýt); ô tô tải có trọng tải không lớn hơn 3,5 tấn.</v>
      </c>
      <c r="J630" t="str">
        <f>SUBSTITUTE(IF(OR(LEFT(A634,3)="Câu",I630=""),"",IF(B634=0,"",B634)),CHAR(34),CHAR(92)&amp;CHAR(34))</f>
        <v xml:space="preserve"> Xe ô tô chở người trên 28 chỗ không kể chỗ người lái xe (trừ xe buýt); ô tô tải có trọng tải trên 3,5 tấn (trừ ô tô xi téc).</v>
      </c>
      <c r="K630" t="str">
        <f>SUBSTITUTE(SUBSTITUTE(SUBSTITUTE(SUBSTITUTE(IFERROR(VLOOKUP("Câu "&amp;D630&amp;".",dapan!$E:$J,6,0),""),"1","A"),"2","B"),"3","C"),"4","D")</f>
        <v/>
      </c>
      <c r="P630" t="str">
        <f t="shared" si="34"/>
        <v/>
      </c>
      <c r="Q630" t="str">
        <f t="shared" si="35"/>
        <v/>
      </c>
    </row>
    <row r="631" spans="1:17" hidden="1" x14ac:dyDescent="0.25">
      <c r="A631">
        <v>3</v>
      </c>
      <c r="B631" t="s">
        <v>535</v>
      </c>
      <c r="C631">
        <f>IFERROR(COUNTIFS($A$1:A631,"Câu "&amp;"*")-MID(A631,5,FIND(".",A631,1)-5),0)</f>
        <v>0</v>
      </c>
      <c r="D631" t="str">
        <f t="shared" si="36"/>
        <v/>
      </c>
      <c r="E631" t="str">
        <f>SUBSTITUTE(IF(LEFT(A631,3)="Câu",MID(A631,FIND(".",A631,1)+2,LEN(A631)),""),CHAR(34),CHAR(92)&amp;CHAR(34))</f>
        <v/>
      </c>
      <c r="G631" t="str">
        <f>SUBSTITUTE(B632,CHAR(34),CHAR(92)&amp;CHAR(34))</f>
        <v/>
      </c>
      <c r="H631" t="str">
        <f>SUBSTITUTE(B633,CHAR(34),CHAR(92)&amp;CHAR(34))</f>
        <v>Xe ô tô chở người đến 28 chỗ không kể chỗ của người lái xe (trừ xe buýt); ô tô tải có trọng tải không lớn hơn 3,5 tấn.</v>
      </c>
      <c r="I631" t="str">
        <f>SUBSTITUTE(IF(LEFT(A634,3)="Câu","",B634),CHAR(34),CHAR(92)&amp;CHAR(34))</f>
        <v xml:space="preserve"> Xe ô tô chở người trên 28 chỗ không kể chỗ người lái xe (trừ xe buýt); ô tô tải có trọng tải trên 3,5 tấn (trừ ô tô xi téc).</v>
      </c>
      <c r="J631" t="str">
        <f>SUBSTITUTE(IF(OR(LEFT(A635,3)="Câu",I631=""),"",IF(B635=0,"",B635)),CHAR(34),CHAR(92)&amp;CHAR(34))</f>
        <v>Xe buýt; ô tô đầu kéo kéo sơ mi rơ moóc (trừ ô tô đầu kéo kéo sơ mi rơ moóc xi téc); xe mô tô; ô tô chuyên dùng (trừ ô tô trộn vữa, ô tô trộn bê tông lưu động).</v>
      </c>
      <c r="K631" t="str">
        <f>SUBSTITUTE(SUBSTITUTE(SUBSTITUTE(SUBSTITUTE(IFERROR(VLOOKUP("Câu "&amp;D631&amp;".",dapan!$E:$J,6,0),""),"1","A"),"2","B"),"3","C"),"4","D")</f>
        <v/>
      </c>
      <c r="P631" t="str">
        <f t="shared" si="34"/>
        <v/>
      </c>
      <c r="Q631" t="str">
        <f t="shared" si="35"/>
        <v/>
      </c>
    </row>
    <row r="632" spans="1:17" x14ac:dyDescent="0.25">
      <c r="A632" t="s">
        <v>546</v>
      </c>
      <c r="C632">
        <f>IFERROR(COUNTIFS($A$1:A632,"Câu "&amp;"*")-MID(A632,5,FIND(".",A632,1)-5),0)</f>
        <v>0</v>
      </c>
      <c r="D632">
        <f t="shared" si="36"/>
        <v>154</v>
      </c>
      <c r="E632" t="str">
        <f>SUBSTITUTE(IF(LEFT(A632,3)="Câu",MID(A632,FIND(".",A632,1)+2,LEN(A632)),""),CHAR(34),CHAR(92)&amp;CHAR(34))</f>
        <v>Trên đường bộ ngoài khu vực đông dân cư, đường hai chiều hoặc đường một chiều có một làn xe cơ giới (trừ đường cao tốc), loại xe nào dưới đây được tham gia giao thông với tốc độ khai thác tối đa cho phép là 70 km/h?</v>
      </c>
      <c r="G632" t="str">
        <f>SUBSTITUTE(B633,CHAR(34),CHAR(92)&amp;CHAR(34))</f>
        <v>Xe ô tô chở người đến 28 chỗ không kể chỗ của người lái xe (trừ xe buýt); ô tô tải có trọng tải không lớn hơn 3,5 tấn.</v>
      </c>
      <c r="H632" t="str">
        <f>SUBSTITUTE(B634,CHAR(34),CHAR(92)&amp;CHAR(34))</f>
        <v xml:space="preserve"> Xe ô tô chở người trên 28 chỗ không kể chỗ người lái xe (trừ xe buýt); ô tô tải có trọng tải trên 3,5 tấn (trừ ô tô xi téc).</v>
      </c>
      <c r="I632" t="str">
        <f>SUBSTITUTE(IF(LEFT(A635,3)="Câu","",B635),CHAR(34),CHAR(92)&amp;CHAR(34))</f>
        <v>Xe buýt; ô tô đầu kéo kéo sơ mi rơ moóc (trừ ô tô đầu kéo kéo sơ mi rơ moóc xi téc); xe mô tô; ô tô chuyên dùng (trừ ô tô trộn vữa, ô tô trộn bê tông lưu động).</v>
      </c>
      <c r="J632" t="str">
        <f>SUBSTITUTE(IF(OR(LEFT(A636,3)="Câu",I632=""),"",IF(B636=0,"",B636)),CHAR(34),CHAR(92)&amp;CHAR(34))</f>
        <v>Ô tô kéo rơ moóc; ô tô kéo xe khác; ô tô trộn vữa, ô tô trộn bê tông lưu động, ô tô xi téc, ô tô đầu kéo kéo sơ mi rơ moóc xi téc, ô tô kéo theo rơ moóc xi téc.</v>
      </c>
      <c r="K632" t="str">
        <f ca="1">SUBSTITUTE(SUBSTITUTE(SUBSTITUTE(SUBSTITUTE(IFERROR(VLOOKUP("Câu "&amp;D632&amp;".",dapan!$E:$J,6,0),""),"1","A"),"2","B"),"3","C"),"4","D")</f>
        <v>B</v>
      </c>
      <c r="P632">
        <f t="shared" si="34"/>
        <v>154</v>
      </c>
      <c r="Q632" t="str">
        <f t="shared" ca="1" si="35"/>
        <v>{"num":154,"id":154,"q":"Trên đường bộ ngoài khu vực đông dân cư, đường hai chiều hoặc đường một chiều có một làn xe cơ giới (trừ đường cao tốc), loại xe nào dưới đây được tham gia giao thông với tốc độ khai thác tối đa cho phép là 70 km/h?","opts":{"A":"Xe ô tô chở người đến 28 chỗ không kể chỗ của người lái xe (trừ xe buýt); ô tô tải có trọng tải không lớn hơn 3,5 tấn.","B":" Xe ô tô chở người trên 28 chỗ không kể chỗ người lái xe (trừ xe buýt); ô tô tải có trọng tải trên 3,5 tấn (trừ ô tô xi téc).","C":"Xe buýt; ô tô đầu kéo kéo sơ mi rơ moóc (trừ ô tô đầu kéo kéo sơ mi rơ moóc xi téc); xe mô tô; ô tô chuyên dùng (trừ ô tô trộn vữa, ô tô trộn bê tông lưu động).","D":"Ô tô kéo rơ moóc; ô tô kéo xe khác; ô tô trộn vữa, ô tô trộn bê tông lưu động, ô tô xi téc, ô tô đầu kéo kéo sơ mi rơ moóc xi téc, ô tô kéo theo rơ moóc xi téc."},"answer":"B"},</v>
      </c>
    </row>
    <row r="633" spans="1:17" hidden="1" x14ac:dyDescent="0.25">
      <c r="A633">
        <v>1</v>
      </c>
      <c r="B633" t="s">
        <v>537</v>
      </c>
      <c r="C633">
        <f>IFERROR(COUNTIFS($A$1:A633,"Câu "&amp;"*")-MID(A633,5,FIND(".",A633,1)-5),0)</f>
        <v>0</v>
      </c>
      <c r="D633" t="str">
        <f t="shared" si="36"/>
        <v/>
      </c>
      <c r="E633" t="str">
        <f>SUBSTITUTE(IF(LEFT(A633,3)="Câu",MID(A633,FIND(".",A633,1)+2,LEN(A633)),""),CHAR(34),CHAR(92)&amp;CHAR(34))</f>
        <v/>
      </c>
      <c r="G633" t="str">
        <f>SUBSTITUTE(B634,CHAR(34),CHAR(92)&amp;CHAR(34))</f>
        <v xml:space="preserve"> Xe ô tô chở người trên 28 chỗ không kể chỗ người lái xe (trừ xe buýt); ô tô tải có trọng tải trên 3,5 tấn (trừ ô tô xi téc).</v>
      </c>
      <c r="H633" t="str">
        <f>SUBSTITUTE(B635,CHAR(34),CHAR(92)&amp;CHAR(34))</f>
        <v>Xe buýt; ô tô đầu kéo kéo sơ mi rơ moóc (trừ ô tô đầu kéo kéo sơ mi rơ moóc xi téc); xe mô tô; ô tô chuyên dùng (trừ ô tô trộn vữa, ô tô trộn bê tông lưu động).</v>
      </c>
      <c r="I633" t="str">
        <f>SUBSTITUTE(IF(LEFT(A636,3)="Câu","",B636),CHAR(34),CHAR(92)&amp;CHAR(34))</f>
        <v>Ô tô kéo rơ moóc; ô tô kéo xe khác; ô tô trộn vữa, ô tô trộn bê tông lưu động, ô tô xi téc, ô tô đầu kéo kéo sơ mi rơ moóc xi téc, ô tô kéo theo rơ moóc xi téc.</v>
      </c>
      <c r="J633" t="str">
        <f>SUBSTITUTE(IF(OR(LEFT(A637,3)="Câu",I633=""),"",IF(B637=0,"",B637)),CHAR(34),CHAR(92)&amp;CHAR(34))</f>
        <v/>
      </c>
      <c r="K633" t="str">
        <f>SUBSTITUTE(SUBSTITUTE(SUBSTITUTE(SUBSTITUTE(IFERROR(VLOOKUP("Câu "&amp;D633&amp;".",dapan!$E:$J,6,0),""),"1","A"),"2","B"),"3","C"),"4","D")</f>
        <v/>
      </c>
      <c r="P633" t="str">
        <f t="shared" si="34"/>
        <v/>
      </c>
      <c r="Q633" t="str">
        <f t="shared" si="35"/>
        <v/>
      </c>
    </row>
    <row r="634" spans="1:17" hidden="1" x14ac:dyDescent="0.25">
      <c r="A634">
        <v>2</v>
      </c>
      <c r="B634" t="s">
        <v>538</v>
      </c>
      <c r="C634">
        <f>IFERROR(COUNTIFS($A$1:A634,"Câu "&amp;"*")-MID(A634,5,FIND(".",A634,1)-5),0)</f>
        <v>0</v>
      </c>
      <c r="D634" t="str">
        <f t="shared" si="36"/>
        <v/>
      </c>
      <c r="E634" t="str">
        <f>SUBSTITUTE(IF(LEFT(A634,3)="Câu",MID(A634,FIND(".",A634,1)+2,LEN(A634)),""),CHAR(34),CHAR(92)&amp;CHAR(34))</f>
        <v/>
      </c>
      <c r="G634" t="str">
        <f>SUBSTITUTE(B635,CHAR(34),CHAR(92)&amp;CHAR(34))</f>
        <v>Xe buýt; ô tô đầu kéo kéo sơ mi rơ moóc (trừ ô tô đầu kéo kéo sơ mi rơ moóc xi téc); xe mô tô; ô tô chuyên dùng (trừ ô tô trộn vữa, ô tô trộn bê tông lưu động).</v>
      </c>
      <c r="H634" t="str">
        <f>SUBSTITUTE(B636,CHAR(34),CHAR(92)&amp;CHAR(34))</f>
        <v>Ô tô kéo rơ moóc; ô tô kéo xe khác; ô tô trộn vữa, ô tô trộn bê tông lưu động, ô tô xi téc, ô tô đầu kéo kéo sơ mi rơ moóc xi téc, ô tô kéo theo rơ moóc xi téc.</v>
      </c>
      <c r="I634" t="str">
        <f>SUBSTITUTE(IF(LEFT(A637,3)="Câu","",B637),CHAR(34),CHAR(92)&amp;CHAR(34))</f>
        <v/>
      </c>
      <c r="J634" t="str">
        <f>SUBSTITUTE(IF(OR(LEFT(A638,3)="Câu",I634=""),"",IF(B638=0,"",B638)),CHAR(34),CHAR(92)&amp;CHAR(34))</f>
        <v/>
      </c>
      <c r="K634" t="str">
        <f>SUBSTITUTE(SUBSTITUTE(SUBSTITUTE(SUBSTITUTE(IFERROR(VLOOKUP("Câu "&amp;D634&amp;".",dapan!$E:$J,6,0),""),"1","A"),"2","B"),"3","C"),"4","D")</f>
        <v/>
      </c>
      <c r="P634" t="str">
        <f t="shared" si="34"/>
        <v/>
      </c>
      <c r="Q634" t="str">
        <f t="shared" si="35"/>
        <v/>
      </c>
    </row>
    <row r="635" spans="1:17" hidden="1" x14ac:dyDescent="0.25">
      <c r="A635">
        <v>3</v>
      </c>
      <c r="B635" t="s">
        <v>535</v>
      </c>
      <c r="C635">
        <f>IFERROR(COUNTIFS($A$1:A635,"Câu "&amp;"*")-MID(A635,5,FIND(".",A635,1)-5),0)</f>
        <v>0</v>
      </c>
      <c r="D635" t="str">
        <f t="shared" si="36"/>
        <v/>
      </c>
      <c r="E635" t="str">
        <f>SUBSTITUTE(IF(LEFT(A635,3)="Câu",MID(A635,FIND(".",A635,1)+2,LEN(A635)),""),CHAR(34),CHAR(92)&amp;CHAR(34))</f>
        <v/>
      </c>
      <c r="G635" t="str">
        <f>SUBSTITUTE(B636,CHAR(34),CHAR(92)&amp;CHAR(34))</f>
        <v>Ô tô kéo rơ moóc; ô tô kéo xe khác; ô tô trộn vữa, ô tô trộn bê tông lưu động, ô tô xi téc, ô tô đầu kéo kéo sơ mi rơ moóc xi téc, ô tô kéo theo rơ moóc xi téc.</v>
      </c>
      <c r="H635" t="str">
        <f>SUBSTITUTE(B637,CHAR(34),CHAR(92)&amp;CHAR(34))</f>
        <v/>
      </c>
      <c r="I635" t="str">
        <f>SUBSTITUTE(IF(LEFT(A638,3)="Câu","",B638),CHAR(34),CHAR(92)&amp;CHAR(34))</f>
        <v>Xe ô tô chở người đến 28 chỗ không kể chỗ của người lái xe (trừ xe buýt); ô tô tải có trọng tải không lớn hơn 3,5 tấn.</v>
      </c>
      <c r="J635" t="str">
        <f>SUBSTITUTE(IF(OR(LEFT(A639,3)="Câu",I635=""),"",IF(B639=0,"",B639)),CHAR(34),CHAR(92)&amp;CHAR(34))</f>
        <v>Xe ô tô chở người trên 28 chỗ không kể chỗ người lái xe (trừ xe buýt); ô tô tải có trọng tải trên 3,5 tấn (trừ ô tô xi téc).</v>
      </c>
      <c r="K635" t="str">
        <f>SUBSTITUTE(SUBSTITUTE(SUBSTITUTE(SUBSTITUTE(IFERROR(VLOOKUP("Câu "&amp;D635&amp;".",dapan!$E:$J,6,0),""),"1","A"),"2","B"),"3","C"),"4","D")</f>
        <v/>
      </c>
      <c r="P635" t="str">
        <f t="shared" si="34"/>
        <v/>
      </c>
      <c r="Q635" t="str">
        <f t="shared" si="35"/>
        <v/>
      </c>
    </row>
    <row r="636" spans="1:17" hidden="1" x14ac:dyDescent="0.25">
      <c r="A636">
        <v>4</v>
      </c>
      <c r="B636" t="s">
        <v>542</v>
      </c>
      <c r="C636">
        <f>IFERROR(COUNTIFS($A$1:A636,"Câu "&amp;"*")-MID(A636,5,FIND(".",A636,1)-5),0)</f>
        <v>0</v>
      </c>
      <c r="D636" t="str">
        <f t="shared" si="36"/>
        <v/>
      </c>
      <c r="E636" t="str">
        <f>SUBSTITUTE(IF(LEFT(A636,3)="Câu",MID(A636,FIND(".",A636,1)+2,LEN(A636)),""),CHAR(34),CHAR(92)&amp;CHAR(34))</f>
        <v/>
      </c>
      <c r="G636" t="str">
        <f>SUBSTITUTE(B637,CHAR(34),CHAR(92)&amp;CHAR(34))</f>
        <v/>
      </c>
      <c r="H636" t="str">
        <f>SUBSTITUTE(B638,CHAR(34),CHAR(92)&amp;CHAR(34))</f>
        <v>Xe ô tô chở người đến 28 chỗ không kể chỗ của người lái xe (trừ xe buýt); ô tô tải có trọng tải không lớn hơn 3,5 tấn.</v>
      </c>
      <c r="I636" t="str">
        <f>SUBSTITUTE(IF(LEFT(A639,3)="Câu","",B639),CHAR(34),CHAR(92)&amp;CHAR(34))</f>
        <v>Xe ô tô chở người trên 28 chỗ không kể chỗ người lái xe (trừ xe buýt); ô tô tải có trọng tải trên 3,5 tấn (trừ ô tô xi téc).</v>
      </c>
      <c r="J636" t="str">
        <f>SUBSTITUTE(IF(OR(LEFT(A640,3)="Câu",I636=""),"",IF(B640=0,"",B640)),CHAR(34),CHAR(92)&amp;CHAR(34))</f>
        <v xml:space="preserve"> Xe buýt; ô tô đầu kéo kéo sơ mi rơ moóc (trừ ô tô đầu kéo kéo sơ mi rơ moóc xi téc); xe mô tô; ô tô chuyên dùng (trừ ô tô trộn vữa, ô tô trộn bê tông lưu động).</v>
      </c>
      <c r="K636" t="str">
        <f>SUBSTITUTE(SUBSTITUTE(SUBSTITUTE(SUBSTITUTE(IFERROR(VLOOKUP("Câu "&amp;D636&amp;".",dapan!$E:$J,6,0),""),"1","A"),"2","B"),"3","C"),"4","D")</f>
        <v/>
      </c>
      <c r="P636" t="str">
        <f t="shared" si="34"/>
        <v/>
      </c>
      <c r="Q636" t="str">
        <f t="shared" si="35"/>
        <v/>
      </c>
    </row>
    <row r="637" spans="1:17" x14ac:dyDescent="0.25">
      <c r="A637" t="s">
        <v>547</v>
      </c>
      <c r="C637">
        <f>IFERROR(COUNTIFS($A$1:A637,"Câu "&amp;"*")-MID(A637,5,FIND(".",A637,1)-5),0)</f>
        <v>0</v>
      </c>
      <c r="D637">
        <f t="shared" si="36"/>
        <v>155</v>
      </c>
      <c r="E637" t="str">
        <f>SUBSTITUTE(IF(LEFT(A637,3)="Câu",MID(A637,FIND(".",A637,1)+2,LEN(A637)),""),CHAR(34),CHAR(92)&amp;CHAR(34))</f>
        <v>Trên đường bộ ngoài khu vực đông dân cư, đường hai chiều hoặc đường một chiều có một làn xe cơ giới (trừ đường cao tốc), loại xe nào dưới đây được tham gia giao thông với tốc độ khai thác tối đa cho phép là 60 km/h?</v>
      </c>
      <c r="G637" t="str">
        <f>SUBSTITUTE(B638,CHAR(34),CHAR(92)&amp;CHAR(34))</f>
        <v>Xe ô tô chở người đến 28 chỗ không kể chỗ của người lái xe (trừ xe buýt); ô tô tải có trọng tải không lớn hơn 3,5 tấn.</v>
      </c>
      <c r="H637" t="str">
        <f>SUBSTITUTE(B639,CHAR(34),CHAR(92)&amp;CHAR(34))</f>
        <v>Xe ô tô chở người trên 28 chỗ không kể chỗ người lái xe (trừ xe buýt); ô tô tải có trọng tải trên 3,5 tấn (trừ ô tô xi téc).</v>
      </c>
      <c r="I637" t="str">
        <f>SUBSTITUTE(IF(LEFT(A640,3)="Câu","",B640),CHAR(34),CHAR(92)&amp;CHAR(34))</f>
        <v xml:space="preserve"> Xe buýt; ô tô đầu kéo kéo sơ mi rơ moóc (trừ ô tô đầu kéo kéo sơ mi rơ moóc xi téc); xe mô tô; ô tô chuyên dùng (trừ ô tô trộn vữa, ô tô trộn bê tông lưu động).</v>
      </c>
      <c r="J637" t="str">
        <f>SUBSTITUTE(IF(OR(LEFT(A641,3)="Câu",I637=""),"",IF(B641=0,"",B641)),CHAR(34),CHAR(92)&amp;CHAR(34))</f>
        <v>Ô tô kéo rơ moóc; ô tô kéo xe khác; ô tô trộn vữa, ô tô trộn bê tông lưu động, ô tô xi téc, ô tô đầu kéo kéo sơ mi rơ moóc xi téc, ô tô kéo theo rơ moóc xi téc.</v>
      </c>
      <c r="K637" t="str">
        <f ca="1">SUBSTITUTE(SUBSTITUTE(SUBSTITUTE(SUBSTITUTE(IFERROR(VLOOKUP("Câu "&amp;D637&amp;".",dapan!$E:$J,6,0),""),"1","A"),"2","B"),"3","C"),"4","D")</f>
        <v>C</v>
      </c>
      <c r="P637">
        <f t="shared" si="34"/>
        <v>155</v>
      </c>
      <c r="Q637" t="str">
        <f t="shared" ca="1" si="35"/>
        <v>{"num":155,"id":155,"q":"Trên đường bộ ngoài khu vực đông dân cư, đường hai chiều hoặc đường một chiều có một làn xe cơ giới (trừ đường cao tốc), loại xe nào dưới đây được tham gia giao thông với tốc độ khai thác tối đa cho phép là 60 km/h?","opts":{"A":"Xe ô tô chở người đến 28 chỗ không kể chỗ của người lái xe (trừ xe buýt); ô tô tải có trọng tải không lớn hơn 3,5 tấn.","B":"Xe ô tô chở người trên 28 chỗ không kể chỗ người lái xe (trừ xe buýt); ô tô tải có trọng tải trên 3,5 tấn (trừ ô tô xi téc).","C":" Xe buýt; ô tô đầu kéo kéo sơ mi rơ moóc (trừ ô tô đầu kéo kéo sơ mi rơ moóc xi téc); xe mô tô; ô tô chuyên dùng (trừ ô tô trộn vữa, ô tô trộn bê tông lưu động).","D":"Ô tô kéo rơ moóc; ô tô kéo xe khác; ô tô trộn vữa, ô tô trộn bê tông lưu động, ô tô xi téc, ô tô đầu kéo kéo sơ mi rơ moóc xi téc, ô tô kéo theo rơ moóc xi téc."},"answer":"C"},</v>
      </c>
    </row>
    <row r="638" spans="1:17" hidden="1" x14ac:dyDescent="0.25">
      <c r="A638">
        <v>1</v>
      </c>
      <c r="B638" t="s">
        <v>537</v>
      </c>
      <c r="C638">
        <f>IFERROR(COUNTIFS($A$1:A638,"Câu "&amp;"*")-MID(A638,5,FIND(".",A638,1)-5),0)</f>
        <v>0</v>
      </c>
      <c r="D638" t="str">
        <f t="shared" si="36"/>
        <v/>
      </c>
      <c r="E638" t="str">
        <f>SUBSTITUTE(IF(LEFT(A638,3)="Câu",MID(A638,FIND(".",A638,1)+2,LEN(A638)),""),CHAR(34),CHAR(92)&amp;CHAR(34))</f>
        <v/>
      </c>
      <c r="G638" t="str">
        <f>SUBSTITUTE(B639,CHAR(34),CHAR(92)&amp;CHAR(34))</f>
        <v>Xe ô tô chở người trên 28 chỗ không kể chỗ người lái xe (trừ xe buýt); ô tô tải có trọng tải trên 3,5 tấn (trừ ô tô xi téc).</v>
      </c>
      <c r="H638" t="str">
        <f>SUBSTITUTE(B640,CHAR(34),CHAR(92)&amp;CHAR(34))</f>
        <v xml:space="preserve"> Xe buýt; ô tô đầu kéo kéo sơ mi rơ moóc (trừ ô tô đầu kéo kéo sơ mi rơ moóc xi téc); xe mô tô; ô tô chuyên dùng (trừ ô tô trộn vữa, ô tô trộn bê tông lưu động).</v>
      </c>
      <c r="I638" t="str">
        <f>SUBSTITUTE(IF(LEFT(A641,3)="Câu","",B641),CHAR(34),CHAR(92)&amp;CHAR(34))</f>
        <v>Ô tô kéo rơ moóc; ô tô kéo xe khác; ô tô trộn vữa, ô tô trộn bê tông lưu động, ô tô xi téc, ô tô đầu kéo kéo sơ mi rơ moóc xi téc, ô tô kéo theo rơ moóc xi téc.</v>
      </c>
      <c r="J638" t="str">
        <f>SUBSTITUTE(IF(OR(LEFT(A642,3)="Câu",I638=""),"",IF(B642=0,"",B642)),CHAR(34),CHAR(92)&amp;CHAR(34))</f>
        <v/>
      </c>
      <c r="K638" t="str">
        <f>SUBSTITUTE(SUBSTITUTE(SUBSTITUTE(SUBSTITUTE(IFERROR(VLOOKUP("Câu "&amp;D638&amp;".",dapan!$E:$J,6,0),""),"1","A"),"2","B"),"3","C"),"4","D")</f>
        <v/>
      </c>
      <c r="P638" t="str">
        <f t="shared" si="34"/>
        <v/>
      </c>
      <c r="Q638" t="str">
        <f t="shared" si="35"/>
        <v/>
      </c>
    </row>
    <row r="639" spans="1:17" hidden="1" x14ac:dyDescent="0.25">
      <c r="A639">
        <v>2</v>
      </c>
      <c r="B639" t="s">
        <v>534</v>
      </c>
      <c r="C639">
        <f>IFERROR(COUNTIFS($A$1:A639,"Câu "&amp;"*")-MID(A639,5,FIND(".",A639,1)-5),0)</f>
        <v>0</v>
      </c>
      <c r="D639" t="str">
        <f t="shared" si="36"/>
        <v/>
      </c>
      <c r="E639" t="str">
        <f>SUBSTITUTE(IF(LEFT(A639,3)="Câu",MID(A639,FIND(".",A639,1)+2,LEN(A639)),""),CHAR(34),CHAR(92)&amp;CHAR(34))</f>
        <v/>
      </c>
      <c r="G639" t="str">
        <f>SUBSTITUTE(B640,CHAR(34),CHAR(92)&amp;CHAR(34))</f>
        <v xml:space="preserve"> Xe buýt; ô tô đầu kéo kéo sơ mi rơ moóc (trừ ô tô đầu kéo kéo sơ mi rơ moóc xi téc); xe mô tô; ô tô chuyên dùng (trừ ô tô trộn vữa, ô tô trộn bê tông lưu động).</v>
      </c>
      <c r="H639" t="str">
        <f>SUBSTITUTE(B641,CHAR(34),CHAR(92)&amp;CHAR(34))</f>
        <v>Ô tô kéo rơ moóc; ô tô kéo xe khác; ô tô trộn vữa, ô tô trộn bê tông lưu động, ô tô xi téc, ô tô đầu kéo kéo sơ mi rơ moóc xi téc, ô tô kéo theo rơ moóc xi téc.</v>
      </c>
      <c r="I639" t="str">
        <f>SUBSTITUTE(IF(LEFT(A642,3)="Câu","",B642),CHAR(34),CHAR(92)&amp;CHAR(34))</f>
        <v/>
      </c>
      <c r="J639" t="str">
        <f>SUBSTITUTE(IF(OR(LEFT(A643,3)="Câu",I639=""),"",IF(B643=0,"",B643)),CHAR(34),CHAR(92)&amp;CHAR(34))</f>
        <v/>
      </c>
      <c r="K639" t="str">
        <f>SUBSTITUTE(SUBSTITUTE(SUBSTITUTE(SUBSTITUTE(IFERROR(VLOOKUP("Câu "&amp;D639&amp;".",dapan!$E:$J,6,0),""),"1","A"),"2","B"),"3","C"),"4","D")</f>
        <v/>
      </c>
      <c r="P639" t="str">
        <f t="shared" si="34"/>
        <v/>
      </c>
      <c r="Q639" t="str">
        <f t="shared" si="35"/>
        <v/>
      </c>
    </row>
    <row r="640" spans="1:17" hidden="1" x14ac:dyDescent="0.25">
      <c r="A640">
        <v>3</v>
      </c>
      <c r="B640" t="s">
        <v>541</v>
      </c>
      <c r="C640">
        <f>IFERROR(COUNTIFS($A$1:A640,"Câu "&amp;"*")-MID(A640,5,FIND(".",A640,1)-5),0)</f>
        <v>0</v>
      </c>
      <c r="D640" t="str">
        <f t="shared" si="36"/>
        <v/>
      </c>
      <c r="E640" t="str">
        <f>SUBSTITUTE(IF(LEFT(A640,3)="Câu",MID(A640,FIND(".",A640,1)+2,LEN(A640)),""),CHAR(34),CHAR(92)&amp;CHAR(34))</f>
        <v/>
      </c>
      <c r="G640" t="str">
        <f>SUBSTITUTE(B641,CHAR(34),CHAR(92)&amp;CHAR(34))</f>
        <v>Ô tô kéo rơ moóc; ô tô kéo xe khác; ô tô trộn vữa, ô tô trộn bê tông lưu động, ô tô xi téc, ô tô đầu kéo kéo sơ mi rơ moóc xi téc, ô tô kéo theo rơ moóc xi téc.</v>
      </c>
      <c r="H640" t="str">
        <f>SUBSTITUTE(B642,CHAR(34),CHAR(92)&amp;CHAR(34))</f>
        <v/>
      </c>
      <c r="I640" t="str">
        <f>SUBSTITUTE(IF(LEFT(A643,3)="Câu","",B643),CHAR(34),CHAR(92)&amp;CHAR(34))</f>
        <v>Xe ô tô chở người đến 28 chỗ không kể chỗ của người lái xe (trừ xe buýt); ô tô tải có trọng tải không lớn hơn 3,5 tấn.</v>
      </c>
      <c r="J640" t="str">
        <f>SUBSTITUTE(IF(OR(LEFT(A644,3)="Câu",I640=""),"",IF(B644=0,"",B644)),CHAR(34),CHAR(92)&amp;CHAR(34))</f>
        <v>Xe ô tô chở người trên 28 chỗ không kể chỗ người lái xe (trừ xe buýt); ô tô tải có trọng tải trên 3,5 tấn (trừ ô tô xi téc).</v>
      </c>
      <c r="K640" t="str">
        <f>SUBSTITUTE(SUBSTITUTE(SUBSTITUTE(SUBSTITUTE(IFERROR(VLOOKUP("Câu "&amp;D640&amp;".",dapan!$E:$J,6,0),""),"1","A"),"2","B"),"3","C"),"4","D")</f>
        <v/>
      </c>
      <c r="P640" t="str">
        <f t="shared" si="34"/>
        <v/>
      </c>
      <c r="Q640" t="str">
        <f t="shared" si="35"/>
        <v/>
      </c>
    </row>
    <row r="641" spans="1:17" hidden="1" x14ac:dyDescent="0.25">
      <c r="A641">
        <v>4</v>
      </c>
      <c r="B641" t="s">
        <v>542</v>
      </c>
      <c r="C641">
        <f>IFERROR(COUNTIFS($A$1:A641,"Câu "&amp;"*")-MID(A641,5,FIND(".",A641,1)-5),0)</f>
        <v>0</v>
      </c>
      <c r="D641" t="str">
        <f t="shared" si="36"/>
        <v/>
      </c>
      <c r="E641" t="str">
        <f>SUBSTITUTE(IF(LEFT(A641,3)="Câu",MID(A641,FIND(".",A641,1)+2,LEN(A641)),""),CHAR(34),CHAR(92)&amp;CHAR(34))</f>
        <v/>
      </c>
      <c r="G641" t="str">
        <f>SUBSTITUTE(B642,CHAR(34),CHAR(92)&amp;CHAR(34))</f>
        <v/>
      </c>
      <c r="H641" t="str">
        <f>SUBSTITUTE(B643,CHAR(34),CHAR(92)&amp;CHAR(34))</f>
        <v>Xe ô tô chở người đến 28 chỗ không kể chỗ của người lái xe (trừ xe buýt); ô tô tải có trọng tải không lớn hơn 3,5 tấn.</v>
      </c>
      <c r="I641" t="str">
        <f>SUBSTITUTE(IF(LEFT(A644,3)="Câu","",B644),CHAR(34),CHAR(92)&amp;CHAR(34))</f>
        <v>Xe ô tô chở người trên 28 chỗ không kể chỗ người lái xe (trừ xe buýt); ô tô tải có trọng tải trên 3,5 tấn (trừ ô tô xi téc).</v>
      </c>
      <c r="J641" t="str">
        <f>SUBSTITUTE(IF(OR(LEFT(A645,3)="Câu",I641=""),"",IF(B645=0,"",B645)),CHAR(34),CHAR(92)&amp;CHAR(34))</f>
        <v>Xe buýt; ô tô đầu kéo kéo sơ mi rơ moóc (trừ ô tô đầu kéo kéo sơ mi rơ moóc xi téc); xe mô tô; ô tô chuyên dùng (trừ ô tô trộn vữa, ô tô trộn bê tông lưu động).</v>
      </c>
      <c r="K641" t="str">
        <f>SUBSTITUTE(SUBSTITUTE(SUBSTITUTE(SUBSTITUTE(IFERROR(VLOOKUP("Câu "&amp;D641&amp;".",dapan!$E:$J,6,0),""),"1","A"),"2","B"),"3","C"),"4","D")</f>
        <v/>
      </c>
      <c r="P641" t="str">
        <f t="shared" si="34"/>
        <v/>
      </c>
      <c r="Q641" t="str">
        <f t="shared" si="35"/>
        <v/>
      </c>
    </row>
    <row r="642" spans="1:17" x14ac:dyDescent="0.25">
      <c r="A642" t="s">
        <v>548</v>
      </c>
      <c r="C642">
        <f>IFERROR(COUNTIFS($A$1:A642,"Câu "&amp;"*")-MID(A642,5,FIND(".",A642,1)-5),0)</f>
        <v>0</v>
      </c>
      <c r="D642">
        <f t="shared" si="36"/>
        <v>156</v>
      </c>
      <c r="E642" t="str">
        <f>SUBSTITUTE(IF(LEFT(A642,3)="Câu",MID(A642,FIND(".",A642,1)+2,LEN(A642)),""),CHAR(34),CHAR(92)&amp;CHAR(34))</f>
        <v>Trên đường bộ ngoài khu vực đông dân cư, đường hai chiều hoặc đường một chiều có một làn xe cơ giới (trừ đường cao tốc), loại xe nào dưới đây được tham gia giao thông với tốc độ khai thác tối đa cho phép là 50 km/h?</v>
      </c>
      <c r="G642" t="str">
        <f>SUBSTITUTE(B643,CHAR(34),CHAR(92)&amp;CHAR(34))</f>
        <v>Xe ô tô chở người đến 28 chỗ không kể chỗ của người lái xe (trừ xe buýt); ô tô tải có trọng tải không lớn hơn 3,5 tấn.</v>
      </c>
      <c r="H642" t="str">
        <f>SUBSTITUTE(B644,CHAR(34),CHAR(92)&amp;CHAR(34))</f>
        <v>Xe ô tô chở người trên 28 chỗ không kể chỗ người lái xe (trừ xe buýt); ô tô tải có trọng tải trên 3,5 tấn (trừ ô tô xi téc).</v>
      </c>
      <c r="I642" t="str">
        <f>SUBSTITUTE(IF(LEFT(A645,3)="Câu","",B645),CHAR(34),CHAR(92)&amp;CHAR(34))</f>
        <v>Xe buýt; ô tô đầu kéo kéo sơ mi rơ moóc (trừ ô tô đầu kéo kéo sơ mi rơ moóc xi téc); xe mô tô; ô tô chuyên dùng (trừ ô tô trộn vữa, ô tô trộn bê tông lưu động).</v>
      </c>
      <c r="J642" t="str">
        <f>SUBSTITUTE(IF(OR(LEFT(A646,3)="Câu",I642=""),"",IF(B646=0,"",B646)),CHAR(34),CHAR(92)&amp;CHAR(34))</f>
        <v xml:space="preserve"> Ô tô kéo rơ moóc; ô tô kéo xe khác; ô tô trộn vữa, ô tô trộn bê tông lưu động, ô tô xi téc, ô tô đầu kéo kéo sơ mi rơ moóc xi téc, ô tô kéo theo rơ moóc xi téc.</v>
      </c>
      <c r="K642" t="str">
        <f ca="1">SUBSTITUTE(SUBSTITUTE(SUBSTITUTE(SUBSTITUTE(IFERROR(VLOOKUP("Câu "&amp;D642&amp;".",dapan!$E:$J,6,0),""),"1","A"),"2","B"),"3","C"),"4","D")</f>
        <v>D</v>
      </c>
      <c r="P642">
        <f t="shared" si="34"/>
        <v>156</v>
      </c>
      <c r="Q642" t="str">
        <f t="shared" ca="1" si="35"/>
        <v>{"num":156,"id":156,"q":"Trên đường bộ ngoài khu vực đông dân cư, đường hai chiều hoặc đường một chiều có một làn xe cơ giới (trừ đường cao tốc), loại xe nào dưới đây được tham gia giao thông với tốc độ khai thác tối đa cho phép là 50 km/h?","opts":{"A":"Xe ô tô chở người đến 28 chỗ không kể chỗ của người lái xe (trừ xe buýt); ô tô tải có trọng tải không lớn hơn 3,5 tấn.","B":"Xe ô tô chở người trên 28 chỗ không kể chỗ người lái xe (trừ xe buýt); ô tô tải có trọng tải trên 3,5 tấn (trừ ô tô xi téc).","C":"Xe buýt; ô tô đầu kéo kéo sơ mi rơ moóc (trừ ô tô đầu kéo kéo sơ mi rơ moóc xi téc); xe mô tô; ô tô chuyên dùng (trừ ô tô trộn vữa, ô tô trộn bê tông lưu động).","D":" Ô tô kéo rơ moóc; ô tô kéo xe khác; ô tô trộn vữa, ô tô trộn bê tông lưu động, ô tô xi téc, ô tô đầu kéo kéo sơ mi rơ moóc xi téc, ô tô kéo theo rơ moóc xi téc."},"answer":"D"},</v>
      </c>
    </row>
    <row r="643" spans="1:17" hidden="1" x14ac:dyDescent="0.25">
      <c r="A643">
        <v>1</v>
      </c>
      <c r="B643" t="s">
        <v>537</v>
      </c>
      <c r="C643">
        <f>IFERROR(COUNTIFS($A$1:A643,"Câu "&amp;"*")-MID(A643,5,FIND(".",A643,1)-5),0)</f>
        <v>0</v>
      </c>
      <c r="D643" t="str">
        <f t="shared" si="36"/>
        <v/>
      </c>
      <c r="E643" t="str">
        <f>SUBSTITUTE(IF(LEFT(A643,3)="Câu",MID(A643,FIND(".",A643,1)+2,LEN(A643)),""),CHAR(34),CHAR(92)&amp;CHAR(34))</f>
        <v/>
      </c>
      <c r="G643" t="str">
        <f>SUBSTITUTE(B644,CHAR(34),CHAR(92)&amp;CHAR(34))</f>
        <v>Xe ô tô chở người trên 28 chỗ không kể chỗ người lái xe (trừ xe buýt); ô tô tải có trọng tải trên 3,5 tấn (trừ ô tô xi téc).</v>
      </c>
      <c r="H643" t="str">
        <f>SUBSTITUTE(B645,CHAR(34),CHAR(92)&amp;CHAR(34))</f>
        <v>Xe buýt; ô tô đầu kéo kéo sơ mi rơ moóc (trừ ô tô đầu kéo kéo sơ mi rơ moóc xi téc); xe mô tô; ô tô chuyên dùng (trừ ô tô trộn vữa, ô tô trộn bê tông lưu động).</v>
      </c>
      <c r="I643" t="str">
        <f>SUBSTITUTE(IF(LEFT(A646,3)="Câu","",B646),CHAR(34),CHAR(92)&amp;CHAR(34))</f>
        <v xml:space="preserve"> Ô tô kéo rơ moóc; ô tô kéo xe khác; ô tô trộn vữa, ô tô trộn bê tông lưu động, ô tô xi téc, ô tô đầu kéo kéo sơ mi rơ moóc xi téc, ô tô kéo theo rơ moóc xi téc.</v>
      </c>
      <c r="J643" t="str">
        <f>SUBSTITUTE(IF(OR(LEFT(A647,3)="Câu",I643=""),"",IF(B647=0,"",B647)),CHAR(34),CHAR(92)&amp;CHAR(34))</f>
        <v/>
      </c>
      <c r="K643" t="str">
        <f>SUBSTITUTE(SUBSTITUTE(SUBSTITUTE(SUBSTITUTE(IFERROR(VLOOKUP("Câu "&amp;D643&amp;".",dapan!$E:$J,6,0),""),"1","A"),"2","B"),"3","C"),"4","D")</f>
        <v/>
      </c>
      <c r="P643" t="str">
        <f t="shared" ref="P643:P706" si="37">D643</f>
        <v/>
      </c>
      <c r="Q643" t="str">
        <f t="shared" ref="Q643:Q706" si="38">IF(D643="","",CHAR(123)&amp;CHAR(34)&amp;"num"&amp;CHAR(34)&amp;":"&amp;P643&amp;","&amp;CHAR(34)&amp;"id"&amp;CHAR(34)&amp;":"&amp;D643&amp;","
&amp;CHAR(34)&amp;"q"&amp;CHAR(34)&amp;":"&amp;CHAR(34)&amp;E643&amp;CHAR(34)&amp;","
&amp;IF(F643="","",CHAR(34)&amp;"img"&amp;CHAR(34)&amp;":"&amp;CHAR(34)&amp;F643&amp;CHAR(34)&amp;",")
&amp;CHAR(34)&amp;"opts"&amp;CHAR(34)&amp;":"&amp;CHAR(123)&amp;CHAR(34)&amp;"A"&amp;CHAR(34)&amp;":"&amp;CHAR(34)&amp;G643&amp;CHAR(34)&amp;","&amp;CHAR(34)&amp;"B"&amp;CHAR(34)&amp;":"&amp;CHAR(34)&amp;H643&amp;CHAR(34)
&amp;IF(I643="","",","&amp;CHAR(34)&amp;"C"&amp;CHAR(34)&amp;":"&amp;CHAR(34)&amp;I643&amp;CHAR(34))&amp;IF(J643="","",","&amp;CHAR(34)&amp;"D"&amp;CHAR(34)&amp;":"&amp;CHAR(34)&amp;J643&amp;CHAR(34))&amp;CHAR(125)&amp;","
&amp;CHAR(34)&amp;"answer"&amp;CHAR(34)&amp;":"&amp;CHAR(34)&amp;K643&amp;CHAR(34)
&amp;IF(L643="","",","&amp;CHAR(34)&amp;"danger"&amp;CHAR(34)&amp;":"&amp;CHAR(34)&amp;"true"&amp;CHAR(34))
&amp;IF(M643="","",","&amp;CHAR(34)&amp;"explain"&amp;CHAR(34)&amp;":"&amp;CHAR(34)&amp;M643&amp;CHAR(34))
&amp;IF(N643="","",","&amp;CHAR(34)&amp;"explainImg"&amp;CHAR(34)&amp;":"&amp;CHAR(34)&amp;N643&amp;CHAR(34))
&amp;IF(O643="","",","&amp;CHAR(34)&amp;"shuffle"&amp;CHAR(34)&amp;":"&amp;CHAR(34)&amp;"false"&amp;CHAR(34))&amp;CHAR(125)&amp;",")</f>
        <v/>
      </c>
    </row>
    <row r="644" spans="1:17" hidden="1" x14ac:dyDescent="0.25">
      <c r="A644">
        <v>2</v>
      </c>
      <c r="B644" t="s">
        <v>534</v>
      </c>
      <c r="C644">
        <f>IFERROR(COUNTIFS($A$1:A644,"Câu "&amp;"*")-MID(A644,5,FIND(".",A644,1)-5),0)</f>
        <v>0</v>
      </c>
      <c r="D644" t="str">
        <f t="shared" si="36"/>
        <v/>
      </c>
      <c r="E644" t="str">
        <f>SUBSTITUTE(IF(LEFT(A644,3)="Câu",MID(A644,FIND(".",A644,1)+2,LEN(A644)),""),CHAR(34),CHAR(92)&amp;CHAR(34))</f>
        <v/>
      </c>
      <c r="G644" t="str">
        <f>SUBSTITUTE(B645,CHAR(34),CHAR(92)&amp;CHAR(34))</f>
        <v>Xe buýt; ô tô đầu kéo kéo sơ mi rơ moóc (trừ ô tô đầu kéo kéo sơ mi rơ moóc xi téc); xe mô tô; ô tô chuyên dùng (trừ ô tô trộn vữa, ô tô trộn bê tông lưu động).</v>
      </c>
      <c r="H644" t="str">
        <f>SUBSTITUTE(B646,CHAR(34),CHAR(92)&amp;CHAR(34))</f>
        <v xml:space="preserve"> Ô tô kéo rơ moóc; ô tô kéo xe khác; ô tô trộn vữa, ô tô trộn bê tông lưu động, ô tô xi téc, ô tô đầu kéo kéo sơ mi rơ moóc xi téc, ô tô kéo theo rơ moóc xi téc.</v>
      </c>
      <c r="I644" t="str">
        <f>SUBSTITUTE(IF(LEFT(A647,3)="Câu","",B647),CHAR(34),CHAR(92)&amp;CHAR(34))</f>
        <v/>
      </c>
      <c r="J644" t="str">
        <f>SUBSTITUTE(IF(OR(LEFT(A648,3)="Câu",I644=""),"",IF(B648=0,"",B648)),CHAR(34),CHAR(92)&amp;CHAR(34))</f>
        <v/>
      </c>
      <c r="K644" t="str">
        <f>SUBSTITUTE(SUBSTITUTE(SUBSTITUTE(SUBSTITUTE(IFERROR(VLOOKUP("Câu "&amp;D644&amp;".",dapan!$E:$J,6,0),""),"1","A"),"2","B"),"3","C"),"4","D")</f>
        <v/>
      </c>
      <c r="P644" t="str">
        <f t="shared" si="37"/>
        <v/>
      </c>
      <c r="Q644" t="str">
        <f t="shared" si="38"/>
        <v/>
      </c>
    </row>
    <row r="645" spans="1:17" hidden="1" x14ac:dyDescent="0.25">
      <c r="A645">
        <v>3</v>
      </c>
      <c r="B645" t="s">
        <v>535</v>
      </c>
      <c r="C645">
        <f>IFERROR(COUNTIFS($A$1:A645,"Câu "&amp;"*")-MID(A645,5,FIND(".",A645,1)-5),0)</f>
        <v>0</v>
      </c>
      <c r="D645" t="str">
        <f t="shared" si="36"/>
        <v/>
      </c>
      <c r="E645" t="str">
        <f>SUBSTITUTE(IF(LEFT(A645,3)="Câu",MID(A645,FIND(".",A645,1)+2,LEN(A645)),""),CHAR(34),CHAR(92)&amp;CHAR(34))</f>
        <v/>
      </c>
      <c r="G645" t="str">
        <f>SUBSTITUTE(B646,CHAR(34),CHAR(92)&amp;CHAR(34))</f>
        <v xml:space="preserve"> Ô tô kéo rơ moóc; ô tô kéo xe khác; ô tô trộn vữa, ô tô trộn bê tông lưu động, ô tô xi téc, ô tô đầu kéo kéo sơ mi rơ moóc xi téc, ô tô kéo theo rơ moóc xi téc.</v>
      </c>
      <c r="H645" t="str">
        <f>SUBSTITUTE(B647,CHAR(34),CHAR(92)&amp;CHAR(34))</f>
        <v/>
      </c>
      <c r="I645" t="str">
        <f>SUBSTITUTE(IF(LEFT(A648,3)="Câu","",B648),CHAR(34),CHAR(92)&amp;CHAR(34))</f>
        <v>Xe máy chuyên dùng, xe gắn máy và các loại xe tương tự.</v>
      </c>
      <c r="J645" t="str">
        <f>SUBSTITUTE(IF(OR(LEFT(A649,3)="Câu",I645=""),"",IF(B649=0,"",B649)),CHAR(34),CHAR(92)&amp;CHAR(34))</f>
        <v>Xe chở người bốn bánh có gắn động cơ khi tham gia giao thông trong phạm vi và thời gian cho phép hoạt động.</v>
      </c>
      <c r="K645" t="str">
        <f>SUBSTITUTE(SUBSTITUTE(SUBSTITUTE(SUBSTITUTE(IFERROR(VLOOKUP("Câu "&amp;D645&amp;".",dapan!$E:$J,6,0),""),"1","A"),"2","B"),"3","C"),"4","D")</f>
        <v/>
      </c>
      <c r="P645" t="str">
        <f t="shared" si="37"/>
        <v/>
      </c>
      <c r="Q645" t="str">
        <f t="shared" si="38"/>
        <v/>
      </c>
    </row>
    <row r="646" spans="1:17" hidden="1" x14ac:dyDescent="0.25">
      <c r="A646">
        <v>4</v>
      </c>
      <c r="B646" t="s">
        <v>544</v>
      </c>
      <c r="C646">
        <f>IFERROR(COUNTIFS($A$1:A646,"Câu "&amp;"*")-MID(A646,5,FIND(".",A646,1)-5),0)</f>
        <v>0</v>
      </c>
      <c r="D646" t="str">
        <f t="shared" si="36"/>
        <v/>
      </c>
      <c r="E646" t="str">
        <f>SUBSTITUTE(IF(LEFT(A646,3)="Câu",MID(A646,FIND(".",A646,1)+2,LEN(A646)),""),CHAR(34),CHAR(92)&amp;CHAR(34))</f>
        <v/>
      </c>
      <c r="G646" t="str">
        <f>SUBSTITUTE(B647,CHAR(34),CHAR(92)&amp;CHAR(34))</f>
        <v/>
      </c>
      <c r="H646" t="str">
        <f>SUBSTITUTE(B648,CHAR(34),CHAR(92)&amp;CHAR(34))</f>
        <v>Xe máy chuyên dùng, xe gắn máy và các loại xe tương tự.</v>
      </c>
      <c r="I646" t="str">
        <f>SUBSTITUTE(IF(LEFT(A649,3)="Câu","",B649),CHAR(34),CHAR(92)&amp;CHAR(34))</f>
        <v>Xe chở người bốn bánh có gắn động cơ khi tham gia giao thông trong phạm vi và thời gian cho phép hoạt động.</v>
      </c>
      <c r="J646" t="str">
        <f>SUBSTITUTE(IF(OR(LEFT(A650,3)="Câu",I646=""),"",IF(B650=0,"",B650)),CHAR(34),CHAR(92)&amp;CHAR(34))</f>
        <v xml:space="preserve"> Xe chở hàng bốn bánh có gắn động cơ khi tham gia giao thông trong phạm vi và thời gian cho phép hoạt động.</v>
      </c>
      <c r="K646" t="str">
        <f>SUBSTITUTE(SUBSTITUTE(SUBSTITUTE(SUBSTITUTE(IFERROR(VLOOKUP("Câu "&amp;D646&amp;".",dapan!$E:$J,6,0),""),"1","A"),"2","B"),"3","C"),"4","D")</f>
        <v/>
      </c>
      <c r="P646" t="str">
        <f t="shared" si="37"/>
        <v/>
      </c>
      <c r="Q646" t="str">
        <f t="shared" si="38"/>
        <v/>
      </c>
    </row>
    <row r="647" spans="1:17" x14ac:dyDescent="0.25">
      <c r="A647" t="s">
        <v>549</v>
      </c>
      <c r="C647">
        <f>IFERROR(COUNTIFS($A$1:A647,"Câu "&amp;"*")-MID(A647,5,FIND(".",A647,1)-5),0)</f>
        <v>0</v>
      </c>
      <c r="D647">
        <f t="shared" si="36"/>
        <v>157</v>
      </c>
      <c r="E647" t="str">
        <f>SUBSTITUTE(IF(LEFT(A647,3)="Câu",MID(A647,FIND(".",A647,1)+2,LEN(A647)),""),CHAR(34),CHAR(92)&amp;CHAR(34))</f>
        <v>Khi tham gia giao thông trên đường bộ (trừ đường cao tốc), loại xe nào dưới đây được tham gia giao thông với tốc độ khai thác tối đa cho phép là 50 km/h?</v>
      </c>
      <c r="G647" t="str">
        <f>SUBSTITUTE(B648,CHAR(34),CHAR(92)&amp;CHAR(34))</f>
        <v>Xe máy chuyên dùng, xe gắn máy và các loại xe tương tự.</v>
      </c>
      <c r="H647" t="str">
        <f>SUBSTITUTE(B649,CHAR(34),CHAR(92)&amp;CHAR(34))</f>
        <v>Xe chở người bốn bánh có gắn động cơ khi tham gia giao thông trong phạm vi và thời gian cho phép hoạt động.</v>
      </c>
      <c r="I647" t="str">
        <f>SUBSTITUTE(IF(LEFT(A650,3)="Câu","",B650),CHAR(34),CHAR(92)&amp;CHAR(34))</f>
        <v xml:space="preserve"> Xe chở hàng bốn bánh có gắn động cơ khi tham gia giao thông trong phạm vi và thời gian cho phép hoạt động.</v>
      </c>
      <c r="J647" t="str">
        <f>SUBSTITUTE(IF(OR(LEFT(A651,3)="Câu",I647=""),"",IF(B651=0,"",B651)),CHAR(34),CHAR(92)&amp;CHAR(34))</f>
        <v/>
      </c>
      <c r="K647" t="str">
        <f ca="1">SUBSTITUTE(SUBSTITUTE(SUBSTITUTE(SUBSTITUTE(IFERROR(VLOOKUP("Câu "&amp;D647&amp;".",dapan!$E:$J,6,0),""),"1","A"),"2","B"),"3","C"),"4","D")</f>
        <v>C</v>
      </c>
      <c r="P647">
        <f t="shared" si="37"/>
        <v>157</v>
      </c>
      <c r="Q647" t="str">
        <f t="shared" ca="1" si="38"/>
        <v>{"num":157,"id":157,"q":"Khi tham gia giao thông trên đường bộ (trừ đường cao tốc), loại xe nào dưới đây được tham gia giao thông với tốc độ khai thác tối đa cho phép là 50 km/h?","opts":{"A":"Xe máy chuyên dùng, xe gắn máy và các loại xe tương tự.","B":"Xe chở người bốn bánh có gắn động cơ khi tham gia giao thông trong phạm vi và thời gian cho phép hoạt động.","C":" Xe chở hàng bốn bánh có gắn động cơ khi tham gia giao thông trong phạm vi và thời gian cho phép hoạt động."},"answer":"C"},</v>
      </c>
    </row>
    <row r="648" spans="1:17" hidden="1" x14ac:dyDescent="0.25">
      <c r="A648">
        <v>1</v>
      </c>
      <c r="B648" t="s">
        <v>550</v>
      </c>
      <c r="C648">
        <f>IFERROR(COUNTIFS($A$1:A648,"Câu "&amp;"*")-MID(A648,5,FIND(".",A648,1)-5),0)</f>
        <v>0</v>
      </c>
      <c r="D648" t="str">
        <f t="shared" si="36"/>
        <v/>
      </c>
      <c r="E648" t="str">
        <f>SUBSTITUTE(IF(LEFT(A648,3)="Câu",MID(A648,FIND(".",A648,1)+2,LEN(A648)),""),CHAR(34),CHAR(92)&amp;CHAR(34))</f>
        <v/>
      </c>
      <c r="G648" t="str">
        <f>SUBSTITUTE(B649,CHAR(34),CHAR(92)&amp;CHAR(34))</f>
        <v>Xe chở người bốn bánh có gắn động cơ khi tham gia giao thông trong phạm vi và thời gian cho phép hoạt động.</v>
      </c>
      <c r="H648" t="str">
        <f>SUBSTITUTE(B650,CHAR(34),CHAR(92)&amp;CHAR(34))</f>
        <v xml:space="preserve"> Xe chở hàng bốn bánh có gắn động cơ khi tham gia giao thông trong phạm vi và thời gian cho phép hoạt động.</v>
      </c>
      <c r="I648" t="str">
        <f>SUBSTITUTE(IF(LEFT(A651,3)="Câu","",B651),CHAR(34),CHAR(92)&amp;CHAR(34))</f>
        <v/>
      </c>
      <c r="J648" t="str">
        <f>SUBSTITUTE(IF(OR(LEFT(A652,3)="Câu",I648=""),"",IF(B652=0,"",B652)),CHAR(34),CHAR(92)&amp;CHAR(34))</f>
        <v/>
      </c>
      <c r="K648" t="str">
        <f>SUBSTITUTE(SUBSTITUTE(SUBSTITUTE(SUBSTITUTE(IFERROR(VLOOKUP("Câu "&amp;D648&amp;".",dapan!$E:$J,6,0),""),"1","A"),"2","B"),"3","C"),"4","D")</f>
        <v/>
      </c>
      <c r="P648" t="str">
        <f t="shared" si="37"/>
        <v/>
      </c>
      <c r="Q648" t="str">
        <f t="shared" si="38"/>
        <v/>
      </c>
    </row>
    <row r="649" spans="1:17" hidden="1" x14ac:dyDescent="0.25">
      <c r="A649">
        <v>2</v>
      </c>
      <c r="B649" t="s">
        <v>551</v>
      </c>
      <c r="C649">
        <f>IFERROR(COUNTIFS($A$1:A649,"Câu "&amp;"*")-MID(A649,5,FIND(".",A649,1)-5),0)</f>
        <v>0</v>
      </c>
      <c r="D649" t="str">
        <f t="shared" si="36"/>
        <v/>
      </c>
      <c r="E649" t="str">
        <f>SUBSTITUTE(IF(LEFT(A649,3)="Câu",MID(A649,FIND(".",A649,1)+2,LEN(A649)),""),CHAR(34),CHAR(92)&amp;CHAR(34))</f>
        <v/>
      </c>
      <c r="G649" t="str">
        <f>SUBSTITUTE(B650,CHAR(34),CHAR(92)&amp;CHAR(34))</f>
        <v xml:space="preserve"> Xe chở hàng bốn bánh có gắn động cơ khi tham gia giao thông trong phạm vi và thời gian cho phép hoạt động.</v>
      </c>
      <c r="H649" t="str">
        <f>SUBSTITUTE(B651,CHAR(34),CHAR(92)&amp;CHAR(34))</f>
        <v/>
      </c>
      <c r="I649" t="str">
        <f>SUBSTITUTE(IF(LEFT(A652,3)="Câu","",B652),CHAR(34),CHAR(92)&amp;CHAR(34))</f>
        <v>35 m.</v>
      </c>
      <c r="J649" t="str">
        <f>SUBSTITUTE(IF(OR(LEFT(A653,3)="Câu",I649=""),"",IF(B653=0,"",B653)),CHAR(34),CHAR(92)&amp;CHAR(34))</f>
        <v>55 m.</v>
      </c>
      <c r="K649" t="str">
        <f>SUBSTITUTE(SUBSTITUTE(SUBSTITUTE(SUBSTITUTE(IFERROR(VLOOKUP("Câu "&amp;D649&amp;".",dapan!$E:$J,6,0),""),"1","A"),"2","B"),"3","C"),"4","D")</f>
        <v/>
      </c>
      <c r="P649" t="str">
        <f t="shared" si="37"/>
        <v/>
      </c>
      <c r="Q649" t="str">
        <f t="shared" si="38"/>
        <v/>
      </c>
    </row>
    <row r="650" spans="1:17" hidden="1" x14ac:dyDescent="0.25">
      <c r="A650">
        <v>3</v>
      </c>
      <c r="B650" t="s">
        <v>552</v>
      </c>
      <c r="C650">
        <f>IFERROR(COUNTIFS($A$1:A650,"Câu "&amp;"*")-MID(A650,5,FIND(".",A650,1)-5),0)</f>
        <v>0</v>
      </c>
      <c r="D650" t="str">
        <f t="shared" si="36"/>
        <v/>
      </c>
      <c r="E650" t="str">
        <f>SUBSTITUTE(IF(LEFT(A650,3)="Câu",MID(A650,FIND(".",A650,1)+2,LEN(A650)),""),CHAR(34),CHAR(92)&amp;CHAR(34))</f>
        <v/>
      </c>
      <c r="G650" t="str">
        <f>SUBSTITUTE(B651,CHAR(34),CHAR(92)&amp;CHAR(34))</f>
        <v/>
      </c>
      <c r="H650" t="str">
        <f>SUBSTITUTE(B652,CHAR(34),CHAR(92)&amp;CHAR(34))</f>
        <v>35 m.</v>
      </c>
      <c r="I650" t="str">
        <f>SUBSTITUTE(IF(LEFT(A653,3)="Câu","",B653),CHAR(34),CHAR(92)&amp;CHAR(34))</f>
        <v>55 m.</v>
      </c>
      <c r="J650" t="str">
        <f>SUBSTITUTE(IF(OR(LEFT(A654,3)="Câu",I650=""),"",IF(B654=0,"",B654)),CHAR(34),CHAR(92)&amp;CHAR(34))</f>
        <v xml:space="preserve"> 70 m.</v>
      </c>
      <c r="K650" t="str">
        <f>SUBSTITUTE(SUBSTITUTE(SUBSTITUTE(SUBSTITUTE(IFERROR(VLOOKUP("Câu "&amp;D650&amp;".",dapan!$E:$J,6,0),""),"1","A"),"2","B"),"3","C"),"4","D")</f>
        <v/>
      </c>
      <c r="P650" t="str">
        <f t="shared" si="37"/>
        <v/>
      </c>
      <c r="Q650" t="str">
        <f t="shared" si="38"/>
        <v/>
      </c>
    </row>
    <row r="651" spans="1:17" x14ac:dyDescent="0.25">
      <c r="A651" t="s">
        <v>553</v>
      </c>
      <c r="C651">
        <f>IFERROR(COUNTIFS($A$1:A651,"Câu "&amp;"*")-MID(A651,5,FIND(".",A651,1)-5),0)</f>
        <v>0</v>
      </c>
      <c r="D651">
        <f t="shared" si="36"/>
        <v>158</v>
      </c>
      <c r="E651" t="str">
        <f>SUBSTITUTE(IF(LEFT(A651,3)="Câu",MID(A651,FIND(".",A651,1)+2,LEN(A651)),""),CHAR(34),CHAR(92)&amp;CHAR(34))</f>
        <v>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80 km/h đến 100 km/h, người lái xe phải giữ khoảng cách an toàn với xe đang chạy liền trước tối thiểu là bao nhiêu?</v>
      </c>
      <c r="G651" t="str">
        <f>SUBSTITUTE(B652,CHAR(34),CHAR(92)&amp;CHAR(34))</f>
        <v>35 m.</v>
      </c>
      <c r="H651" t="str">
        <f>SUBSTITUTE(B653,CHAR(34),CHAR(92)&amp;CHAR(34))</f>
        <v>55 m.</v>
      </c>
      <c r="I651" t="str">
        <f>SUBSTITUTE(IF(LEFT(A654,3)="Câu","",B654),CHAR(34),CHAR(92)&amp;CHAR(34))</f>
        <v xml:space="preserve"> 70 m.</v>
      </c>
      <c r="J651" t="str">
        <f>SUBSTITUTE(IF(OR(LEFT(A655,3)="Câu",I651=""),"",IF(B655=0,"",B655)),CHAR(34),CHAR(92)&amp;CHAR(34))</f>
        <v/>
      </c>
      <c r="K651" t="str">
        <f ca="1">SUBSTITUTE(SUBSTITUTE(SUBSTITUTE(SUBSTITUTE(IFERROR(VLOOKUP("Câu "&amp;D651&amp;".",dapan!$E:$J,6,0),""),"1","A"),"2","B"),"3","C"),"4","D")</f>
        <v>C</v>
      </c>
      <c r="P651">
        <f t="shared" si="37"/>
        <v>158</v>
      </c>
      <c r="Q651" t="str">
        <f t="shared" ca="1" si="38"/>
        <v>{"num":158,"id":158,"q":"Khi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80 km/h đến 100 km/h, người lái xe phải giữ khoảng cách an toàn với xe đang chạy liền trước tối thiểu là bao nhiêu?","opts":{"A":"35 m.","B":"55 m.","C":" 70 m."},"answer":"C"},</v>
      </c>
    </row>
    <row r="652" spans="1:17" hidden="1" x14ac:dyDescent="0.25">
      <c r="A652">
        <v>1</v>
      </c>
      <c r="B652" t="s">
        <v>554</v>
      </c>
      <c r="C652">
        <f>IFERROR(COUNTIFS($A$1:A652,"Câu "&amp;"*")-MID(A652,5,FIND(".",A652,1)-5),0)</f>
        <v>0</v>
      </c>
      <c r="D652" t="str">
        <f t="shared" si="36"/>
        <v/>
      </c>
      <c r="E652" t="str">
        <f>SUBSTITUTE(IF(LEFT(A652,3)="Câu",MID(A652,FIND(".",A652,1)+2,LEN(A652)),""),CHAR(34),CHAR(92)&amp;CHAR(34))</f>
        <v/>
      </c>
      <c r="G652" t="str">
        <f>SUBSTITUTE(B653,CHAR(34),CHAR(92)&amp;CHAR(34))</f>
        <v>55 m.</v>
      </c>
      <c r="H652" t="str">
        <f>SUBSTITUTE(B654,CHAR(34),CHAR(92)&amp;CHAR(34))</f>
        <v xml:space="preserve"> 70 m.</v>
      </c>
      <c r="I652" t="str">
        <f>SUBSTITUTE(IF(LEFT(A655,3)="Câu","",B655),CHAR(34),CHAR(92)&amp;CHAR(34))</f>
        <v/>
      </c>
      <c r="J652" t="str">
        <f>SUBSTITUTE(IF(OR(LEFT(A656,3)="Câu",I652=""),"",IF(B656=0,"",B656)),CHAR(34),CHAR(92)&amp;CHAR(34))</f>
        <v/>
      </c>
      <c r="K652" t="str">
        <f>SUBSTITUTE(SUBSTITUTE(SUBSTITUTE(SUBSTITUTE(IFERROR(VLOOKUP("Câu "&amp;D652&amp;".",dapan!$E:$J,6,0),""),"1","A"),"2","B"),"3","C"),"4","D")</f>
        <v/>
      </c>
      <c r="P652" t="str">
        <f t="shared" si="37"/>
        <v/>
      </c>
      <c r="Q652" t="str">
        <f t="shared" si="38"/>
        <v/>
      </c>
    </row>
    <row r="653" spans="1:17" hidden="1" x14ac:dyDescent="0.25">
      <c r="A653">
        <v>2</v>
      </c>
      <c r="B653" t="s">
        <v>555</v>
      </c>
      <c r="C653">
        <f>IFERROR(COUNTIFS($A$1:A653,"Câu "&amp;"*")-MID(A653,5,FIND(".",A653,1)-5),0)</f>
        <v>0</v>
      </c>
      <c r="D653" t="str">
        <f t="shared" si="36"/>
        <v/>
      </c>
      <c r="E653" t="str">
        <f>SUBSTITUTE(IF(LEFT(A653,3)="Câu",MID(A653,FIND(".",A653,1)+2,LEN(A653)),""),CHAR(34),CHAR(92)&amp;CHAR(34))</f>
        <v/>
      </c>
      <c r="G653" t="str">
        <f>SUBSTITUTE(B654,CHAR(34),CHAR(92)&amp;CHAR(34))</f>
        <v xml:space="preserve"> 70 m.</v>
      </c>
      <c r="H653" t="str">
        <f>SUBSTITUTE(B655,CHAR(34),CHAR(92)&amp;CHAR(34))</f>
        <v/>
      </c>
      <c r="I653" t="str">
        <f>SUBSTITUTE(IF(LEFT(A656,3)="Câu","",B656),CHAR(34),CHAR(92)&amp;CHAR(34))</f>
        <v>55 m.</v>
      </c>
      <c r="J653" t="str">
        <f>SUBSTITUTE(IF(OR(LEFT(A657,3)="Câu",I653=""),"",IF(B657=0,"",B657)),CHAR(34),CHAR(92)&amp;CHAR(34))</f>
        <v>70 m.</v>
      </c>
      <c r="K653" t="str">
        <f>SUBSTITUTE(SUBSTITUTE(SUBSTITUTE(SUBSTITUTE(IFERROR(VLOOKUP("Câu "&amp;D653&amp;".",dapan!$E:$J,6,0),""),"1","A"),"2","B"),"3","C"),"4","D")</f>
        <v/>
      </c>
      <c r="P653" t="str">
        <f t="shared" si="37"/>
        <v/>
      </c>
      <c r="Q653" t="str">
        <f t="shared" si="38"/>
        <v/>
      </c>
    </row>
    <row r="654" spans="1:17" hidden="1" x14ac:dyDescent="0.25">
      <c r="A654">
        <v>3</v>
      </c>
      <c r="B654" t="s">
        <v>556</v>
      </c>
      <c r="C654">
        <f>IFERROR(COUNTIFS($A$1:A654,"Câu "&amp;"*")-MID(A654,5,FIND(".",A654,1)-5),0)</f>
        <v>0</v>
      </c>
      <c r="D654" t="str">
        <f t="shared" si="36"/>
        <v/>
      </c>
      <c r="E654" t="str">
        <f>SUBSTITUTE(IF(LEFT(A654,3)="Câu",MID(A654,FIND(".",A654,1)+2,LEN(A654)),""),CHAR(34),CHAR(92)&amp;CHAR(34))</f>
        <v/>
      </c>
      <c r="G654" t="str">
        <f>SUBSTITUTE(B655,CHAR(34),CHAR(92)&amp;CHAR(34))</f>
        <v/>
      </c>
      <c r="H654" t="str">
        <f>SUBSTITUTE(B656,CHAR(34),CHAR(92)&amp;CHAR(34))</f>
        <v>55 m.</v>
      </c>
      <c r="I654" t="str">
        <f>SUBSTITUTE(IF(LEFT(A657,3)="Câu","",B657),CHAR(34),CHAR(92)&amp;CHAR(34))</f>
        <v>70 m.</v>
      </c>
      <c r="J654" t="str">
        <f>SUBSTITUTE(IF(OR(LEFT(A658,3)="Câu",I654=""),"",IF(B658=0,"",B658)),CHAR(34),CHAR(92)&amp;CHAR(34))</f>
        <v xml:space="preserve"> 100 m.</v>
      </c>
      <c r="K654" t="str">
        <f>SUBSTITUTE(SUBSTITUTE(SUBSTITUTE(SUBSTITUTE(IFERROR(VLOOKUP("Câu "&amp;D654&amp;".",dapan!$E:$J,6,0),""),"1","A"),"2","B"),"3","C"),"4","D")</f>
        <v/>
      </c>
      <c r="P654" t="str">
        <f t="shared" si="37"/>
        <v/>
      </c>
      <c r="Q654" t="str">
        <f t="shared" si="38"/>
        <v/>
      </c>
    </row>
    <row r="655" spans="1:17" x14ac:dyDescent="0.25">
      <c r="A655" t="s">
        <v>557</v>
      </c>
      <c r="C655">
        <f>IFERROR(COUNTIFS($A$1:A655,"Câu "&amp;"*")-MID(A655,5,FIND(".",A655,1)-5),0)</f>
        <v>0</v>
      </c>
      <c r="D655">
        <f t="shared" si="36"/>
        <v>159</v>
      </c>
      <c r="E655" t="str">
        <f>SUBSTITUTE(IF(LEFT(A655,3)="Câu",MID(A655,FIND(".",A655,1)+2,LEN(A655)),""),CHAR(34),CHAR(92)&amp;CHAR(34))</f>
        <v>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100 km/h đến 120 km/h, người lái xe phải giữ khoảng cách an toàn với xe đang chạy liền trước tối thiểu là bao nhiêu?</v>
      </c>
      <c r="G655" t="str">
        <f>SUBSTITUTE(B656,CHAR(34),CHAR(92)&amp;CHAR(34))</f>
        <v>55 m.</v>
      </c>
      <c r="H655" t="str">
        <f>SUBSTITUTE(B657,CHAR(34),CHAR(92)&amp;CHAR(34))</f>
        <v>70 m.</v>
      </c>
      <c r="I655" t="str">
        <f>SUBSTITUTE(IF(LEFT(A658,3)="Câu","",B658),CHAR(34),CHAR(92)&amp;CHAR(34))</f>
        <v xml:space="preserve"> 100 m.</v>
      </c>
      <c r="J655" t="str">
        <f>SUBSTITUTE(IF(OR(LEFT(A659,3)="Câu",I655=""),"",IF(B659=0,"",B659)),CHAR(34),CHAR(92)&amp;CHAR(34))</f>
        <v/>
      </c>
      <c r="K655" t="str">
        <f ca="1">SUBSTITUTE(SUBSTITUTE(SUBSTITUTE(SUBSTITUTE(IFERROR(VLOOKUP("Câu "&amp;D655&amp;".",dapan!$E:$J,6,0),""),"1","A"),"2","B"),"3","C"),"4","D")</f>
        <v>C</v>
      </c>
      <c r="P655">
        <f t="shared" si="37"/>
        <v>159</v>
      </c>
      <c r="Q655" t="str">
        <f t="shared" ca="1" si="38"/>
        <v>{"num":159,"id":159,"q":"Khi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100 km/h đến 120 km/h, người lái xe phải giữ khoảng cách an toàn với xe đang chạy liền trước tối thiểu là bao nhiêu?","opts":{"A":"55 m.","B":"70 m.","C":" 100 m."},"answer":"C"},</v>
      </c>
    </row>
    <row r="656" spans="1:17" hidden="1" x14ac:dyDescent="0.25">
      <c r="A656">
        <v>1</v>
      </c>
      <c r="B656" t="s">
        <v>555</v>
      </c>
      <c r="C656">
        <f>IFERROR(COUNTIFS($A$1:A656,"Câu "&amp;"*")-MID(A656,5,FIND(".",A656,1)-5),0)</f>
        <v>0</v>
      </c>
      <c r="D656" t="str">
        <f t="shared" si="36"/>
        <v/>
      </c>
      <c r="E656" t="str">
        <f>SUBSTITUTE(IF(LEFT(A656,3)="Câu",MID(A656,FIND(".",A656,1)+2,LEN(A656)),""),CHAR(34),CHAR(92)&amp;CHAR(34))</f>
        <v/>
      </c>
      <c r="G656" t="str">
        <f>SUBSTITUTE(B657,CHAR(34),CHAR(92)&amp;CHAR(34))</f>
        <v>70 m.</v>
      </c>
      <c r="H656" t="str">
        <f>SUBSTITUTE(B658,CHAR(34),CHAR(92)&amp;CHAR(34))</f>
        <v xml:space="preserve"> 100 m.</v>
      </c>
      <c r="I656" t="str">
        <f>SUBSTITUTE(IF(LEFT(A659,3)="Câu","",B659),CHAR(34),CHAR(92)&amp;CHAR(34))</f>
        <v/>
      </c>
      <c r="J656" t="str">
        <f>SUBSTITUTE(IF(OR(LEFT(A660,3)="Câu",I656=""),"",IF(B660=0,"",B660)),CHAR(34),CHAR(92)&amp;CHAR(34))</f>
        <v/>
      </c>
      <c r="K656" t="str">
        <f>SUBSTITUTE(SUBSTITUTE(SUBSTITUTE(SUBSTITUTE(IFERROR(VLOOKUP("Câu "&amp;D656&amp;".",dapan!$E:$J,6,0),""),"1","A"),"2","B"),"3","C"),"4","D")</f>
        <v/>
      </c>
      <c r="P656" t="str">
        <f t="shared" si="37"/>
        <v/>
      </c>
      <c r="Q656" t="str">
        <f t="shared" si="38"/>
        <v/>
      </c>
    </row>
    <row r="657" spans="1:17" hidden="1" x14ac:dyDescent="0.25">
      <c r="A657">
        <v>2</v>
      </c>
      <c r="B657" t="s">
        <v>558</v>
      </c>
      <c r="C657">
        <f>IFERROR(COUNTIFS($A$1:A657,"Câu "&amp;"*")-MID(A657,5,FIND(".",A657,1)-5),0)</f>
        <v>0</v>
      </c>
      <c r="D657" t="str">
        <f t="shared" si="36"/>
        <v/>
      </c>
      <c r="E657" t="str">
        <f>SUBSTITUTE(IF(LEFT(A657,3)="Câu",MID(A657,FIND(".",A657,1)+2,LEN(A657)),""),CHAR(34),CHAR(92)&amp;CHAR(34))</f>
        <v/>
      </c>
      <c r="G657" t="str">
        <f>SUBSTITUTE(B658,CHAR(34),CHAR(92)&amp;CHAR(34))</f>
        <v xml:space="preserve"> 100 m.</v>
      </c>
      <c r="H657" t="str">
        <f>SUBSTITUTE(B659,CHAR(34),CHAR(92)&amp;CHAR(34))</f>
        <v/>
      </c>
      <c r="I657" t="str">
        <f>SUBSTITUTE(IF(LEFT(A660,3)="Câu","",B660),CHAR(34),CHAR(92)&amp;CHAR(34))</f>
        <v xml:space="preserve"> 55 m.</v>
      </c>
      <c r="J657" t="str">
        <f>SUBSTITUTE(IF(OR(LEFT(A661,3)="Câu",I657=""),"",IF(B661=0,"",B661)),CHAR(34),CHAR(92)&amp;CHAR(34))</f>
        <v>70 m.</v>
      </c>
      <c r="K657" t="str">
        <f>SUBSTITUTE(SUBSTITUTE(SUBSTITUTE(SUBSTITUTE(IFERROR(VLOOKUP("Câu "&amp;D657&amp;".",dapan!$E:$J,6,0),""),"1","A"),"2","B"),"3","C"),"4","D")</f>
        <v/>
      </c>
      <c r="P657" t="str">
        <f t="shared" si="37"/>
        <v/>
      </c>
      <c r="Q657" t="str">
        <f t="shared" si="38"/>
        <v/>
      </c>
    </row>
    <row r="658" spans="1:17" hidden="1" x14ac:dyDescent="0.25">
      <c r="A658">
        <v>3</v>
      </c>
      <c r="B658" t="s">
        <v>559</v>
      </c>
      <c r="C658">
        <f>IFERROR(COUNTIFS($A$1:A658,"Câu "&amp;"*")-MID(A658,5,FIND(".",A658,1)-5),0)</f>
        <v>0</v>
      </c>
      <c r="D658" t="str">
        <f t="shared" si="36"/>
        <v/>
      </c>
      <c r="E658" t="str">
        <f>SUBSTITUTE(IF(LEFT(A658,3)="Câu",MID(A658,FIND(".",A658,1)+2,LEN(A658)),""),CHAR(34),CHAR(92)&amp;CHAR(34))</f>
        <v/>
      </c>
      <c r="G658" t="str">
        <f>SUBSTITUTE(B659,CHAR(34),CHAR(92)&amp;CHAR(34))</f>
        <v/>
      </c>
      <c r="H658" t="str">
        <f>SUBSTITUTE(B660,CHAR(34),CHAR(92)&amp;CHAR(34))</f>
        <v xml:space="preserve"> 55 m.</v>
      </c>
      <c r="I658" t="str">
        <f>SUBSTITUTE(IF(LEFT(A661,3)="Câu","",B661),CHAR(34),CHAR(92)&amp;CHAR(34))</f>
        <v>70 m.</v>
      </c>
      <c r="J658" t="str">
        <f>SUBSTITUTE(IF(OR(LEFT(A662,3)="Câu",I658=""),"",IF(B662=0,"",B662)),CHAR(34),CHAR(92)&amp;CHAR(34))</f>
        <v>100 m.</v>
      </c>
      <c r="K658" t="str">
        <f>SUBSTITUTE(SUBSTITUTE(SUBSTITUTE(SUBSTITUTE(IFERROR(VLOOKUP("Câu "&amp;D658&amp;".",dapan!$E:$J,6,0),""),"1","A"),"2","B"),"3","C"),"4","D")</f>
        <v/>
      </c>
      <c r="P658" t="str">
        <f t="shared" si="37"/>
        <v/>
      </c>
      <c r="Q658" t="str">
        <f t="shared" si="38"/>
        <v/>
      </c>
    </row>
    <row r="659" spans="1:17" x14ac:dyDescent="0.25">
      <c r="A659" t="s">
        <v>560</v>
      </c>
      <c r="C659">
        <f>IFERROR(COUNTIFS($A$1:A659,"Câu "&amp;"*")-MID(A659,5,FIND(".",A659,1)-5),0)</f>
        <v>0</v>
      </c>
      <c r="D659">
        <f t="shared" si="36"/>
        <v>160</v>
      </c>
      <c r="E659" t="str">
        <f>SUBSTITUTE(IF(LEFT(A659,3)="Câu",MID(A659,FIND(".",A659,1)+2,LEN(A659)),""),CHAR(34),CHAR(92)&amp;CHAR(34))</f>
        <v>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60 km/h đến 80 km/h, người lái xe phải giữ khoảng cách an toàn với xe đang chạy liền trước tối thiểu là bao nhiêu?</v>
      </c>
      <c r="G659" t="str">
        <f>SUBSTITUTE(B660,CHAR(34),CHAR(92)&amp;CHAR(34))</f>
        <v xml:space="preserve"> 55 m.</v>
      </c>
      <c r="H659" t="str">
        <f>SUBSTITUTE(B661,CHAR(34),CHAR(92)&amp;CHAR(34))</f>
        <v>70 m.</v>
      </c>
      <c r="I659" t="str">
        <f>SUBSTITUTE(IF(LEFT(A662,3)="Câu","",B662),CHAR(34),CHAR(92)&amp;CHAR(34))</f>
        <v>100 m.</v>
      </c>
      <c r="J659" t="str">
        <f>SUBSTITUTE(IF(OR(LEFT(A663,3)="Câu",I659=""),"",IF(B663=0,"",B663)),CHAR(34),CHAR(92)&amp;CHAR(34))</f>
        <v/>
      </c>
      <c r="K659" t="str">
        <f ca="1">SUBSTITUTE(SUBSTITUTE(SUBSTITUTE(SUBSTITUTE(IFERROR(VLOOKUP("Câu "&amp;D659&amp;".",dapan!$E:$J,6,0),""),"1","A"),"2","B"),"3","C"),"4","D")</f>
        <v>A</v>
      </c>
      <c r="P659">
        <f t="shared" si="37"/>
        <v>160</v>
      </c>
      <c r="Q659" t="str">
        <f t="shared" ca="1" si="38"/>
        <v>{"num":160,"id":160,"q":"Khi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từ trên 60 km/h đến 80 km/h, người lái xe phải giữ khoảng cách an toàn với xe đang chạy liền trước tối thiểu là bao nhiêu?","opts":{"A":" 55 m.","B":"70 m.","C":"100 m."},"answer":"A"},</v>
      </c>
    </row>
    <row r="660" spans="1:17" hidden="1" x14ac:dyDescent="0.25">
      <c r="A660">
        <v>1</v>
      </c>
      <c r="B660" t="s">
        <v>561</v>
      </c>
      <c r="C660">
        <f>IFERROR(COUNTIFS($A$1:A660,"Câu "&amp;"*")-MID(A660,5,FIND(".",A660,1)-5),0)</f>
        <v>0</v>
      </c>
      <c r="D660" t="str">
        <f t="shared" si="36"/>
        <v/>
      </c>
      <c r="E660" t="str">
        <f>SUBSTITUTE(IF(LEFT(A660,3)="Câu",MID(A660,FIND(".",A660,1)+2,LEN(A660)),""),CHAR(34),CHAR(92)&amp;CHAR(34))</f>
        <v/>
      </c>
      <c r="G660" t="str">
        <f>SUBSTITUTE(B661,CHAR(34),CHAR(92)&amp;CHAR(34))</f>
        <v>70 m.</v>
      </c>
      <c r="H660" t="str">
        <f>SUBSTITUTE(B662,CHAR(34),CHAR(92)&amp;CHAR(34))</f>
        <v>100 m.</v>
      </c>
      <c r="I660" t="str">
        <f>SUBSTITUTE(IF(LEFT(A663,3)="Câu","",B663),CHAR(34),CHAR(92)&amp;CHAR(34))</f>
        <v/>
      </c>
      <c r="J660" t="str">
        <f>SUBSTITUTE(IF(OR(LEFT(A664,3)="Câu",I660=""),"",IF(B664=0,"",B664)),CHAR(34),CHAR(92)&amp;CHAR(34))</f>
        <v/>
      </c>
      <c r="K660" t="str">
        <f>SUBSTITUTE(SUBSTITUTE(SUBSTITUTE(SUBSTITUTE(IFERROR(VLOOKUP("Câu "&amp;D660&amp;".",dapan!$E:$J,6,0),""),"1","A"),"2","B"),"3","C"),"4","D")</f>
        <v/>
      </c>
      <c r="P660" t="str">
        <f t="shared" si="37"/>
        <v/>
      </c>
      <c r="Q660" t="str">
        <f t="shared" si="38"/>
        <v/>
      </c>
    </row>
    <row r="661" spans="1:17" hidden="1" x14ac:dyDescent="0.25">
      <c r="A661">
        <v>2</v>
      </c>
      <c r="B661" t="s">
        <v>558</v>
      </c>
      <c r="C661">
        <f>IFERROR(COUNTIFS($A$1:A661,"Câu "&amp;"*")-MID(A661,5,FIND(".",A661,1)-5),0)</f>
        <v>0</v>
      </c>
      <c r="D661" t="str">
        <f t="shared" si="36"/>
        <v/>
      </c>
      <c r="E661" t="str">
        <f>SUBSTITUTE(IF(LEFT(A661,3)="Câu",MID(A661,FIND(".",A661,1)+2,LEN(A661)),""),CHAR(34),CHAR(92)&amp;CHAR(34))</f>
        <v/>
      </c>
      <c r="G661" t="str">
        <f>SUBSTITUTE(B662,CHAR(34),CHAR(92)&amp;CHAR(34))</f>
        <v>100 m.</v>
      </c>
      <c r="H661" t="str">
        <f>SUBSTITUTE(B663,CHAR(34),CHAR(92)&amp;CHAR(34))</f>
        <v/>
      </c>
      <c r="I661" t="str">
        <f>SUBSTITUTE(IF(LEFT(A664,3)="Câu","",B664),CHAR(34),CHAR(92)&amp;CHAR(34))</f>
        <v xml:space="preserve"> 35 m.</v>
      </c>
      <c r="J661" t="str">
        <f>SUBSTITUTE(IF(OR(LEFT(A665,3)="Câu",I661=""),"",IF(B665=0,"",B665)),CHAR(34),CHAR(92)&amp;CHAR(34))</f>
        <v>55 m.</v>
      </c>
      <c r="K661" t="str">
        <f>SUBSTITUTE(SUBSTITUTE(SUBSTITUTE(SUBSTITUTE(IFERROR(VLOOKUP("Câu "&amp;D661&amp;".",dapan!$E:$J,6,0),""),"1","A"),"2","B"),"3","C"),"4","D")</f>
        <v/>
      </c>
      <c r="P661" t="str">
        <f t="shared" si="37"/>
        <v/>
      </c>
      <c r="Q661" t="str">
        <f t="shared" si="38"/>
        <v/>
      </c>
    </row>
    <row r="662" spans="1:17" hidden="1" x14ac:dyDescent="0.25">
      <c r="A662">
        <v>3</v>
      </c>
      <c r="B662" t="s">
        <v>562</v>
      </c>
      <c r="C662">
        <f>IFERROR(COUNTIFS($A$1:A662,"Câu "&amp;"*")-MID(A662,5,FIND(".",A662,1)-5),0)</f>
        <v>0</v>
      </c>
      <c r="D662" t="str">
        <f t="shared" si="36"/>
        <v/>
      </c>
      <c r="E662" t="str">
        <f>SUBSTITUTE(IF(LEFT(A662,3)="Câu",MID(A662,FIND(".",A662,1)+2,LEN(A662)),""),CHAR(34),CHAR(92)&amp;CHAR(34))</f>
        <v/>
      </c>
      <c r="G662" t="str">
        <f>SUBSTITUTE(B663,CHAR(34),CHAR(92)&amp;CHAR(34))</f>
        <v/>
      </c>
      <c r="H662" t="str">
        <f>SUBSTITUTE(B664,CHAR(34),CHAR(92)&amp;CHAR(34))</f>
        <v xml:space="preserve"> 35 m.</v>
      </c>
      <c r="I662" t="str">
        <f>SUBSTITUTE(IF(LEFT(A665,3)="Câu","",B665),CHAR(34),CHAR(92)&amp;CHAR(34))</f>
        <v>55 m.</v>
      </c>
      <c r="J662" t="str">
        <f>SUBSTITUTE(IF(OR(LEFT(A666,3)="Câu",I662=""),"",IF(B666=0,"",B666)),CHAR(34),CHAR(92)&amp;CHAR(34))</f>
        <v>70 m.</v>
      </c>
      <c r="K662" t="str">
        <f>SUBSTITUTE(SUBSTITUTE(SUBSTITUTE(SUBSTITUTE(IFERROR(VLOOKUP("Câu "&amp;D662&amp;".",dapan!$E:$J,6,0),""),"1","A"),"2","B"),"3","C"),"4","D")</f>
        <v/>
      </c>
      <c r="P662" t="str">
        <f t="shared" si="37"/>
        <v/>
      </c>
      <c r="Q662" t="str">
        <f t="shared" si="38"/>
        <v/>
      </c>
    </row>
    <row r="663" spans="1:17" x14ac:dyDescent="0.25">
      <c r="A663" t="s">
        <v>563</v>
      </c>
      <c r="C663">
        <f>IFERROR(COUNTIFS($A$1:A663,"Câu "&amp;"*")-MID(A663,5,FIND(".",A663,1)-5),0)</f>
        <v>0</v>
      </c>
      <c r="D663">
        <f t="shared" si="36"/>
        <v>161</v>
      </c>
      <c r="E663" t="str">
        <f>SUBSTITUTE(IF(LEFT(A663,3)="Câu",MID(A663,FIND(".",A663,1)+2,LEN(A663)),""),CHAR(34),CHAR(92)&amp;CHAR(34))</f>
        <v>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60 km/h, người lái xe phải giữ khoảng cách an toàn với xe đang chạy liền trước tối thiểu là bao nhiêu?</v>
      </c>
      <c r="G663" t="str">
        <f>SUBSTITUTE(B664,CHAR(34),CHAR(92)&amp;CHAR(34))</f>
        <v xml:space="preserve"> 35 m.</v>
      </c>
      <c r="H663" t="str">
        <f>SUBSTITUTE(B665,CHAR(34),CHAR(92)&amp;CHAR(34))</f>
        <v>55 m.</v>
      </c>
      <c r="I663" t="str">
        <f>SUBSTITUTE(IF(LEFT(A666,3)="Câu","",B666),CHAR(34),CHAR(92)&amp;CHAR(34))</f>
        <v>70 m.</v>
      </c>
      <c r="J663" t="str">
        <f>SUBSTITUTE(IF(OR(LEFT(A667,3)="Câu",I663=""),"",IF(B667=0,"",B667)),CHAR(34),CHAR(92)&amp;CHAR(34))</f>
        <v/>
      </c>
      <c r="K663" t="str">
        <f ca="1">SUBSTITUTE(SUBSTITUTE(SUBSTITUTE(SUBSTITUTE(IFERROR(VLOOKUP("Câu "&amp;D663&amp;".",dapan!$E:$J,6,0),""),"1","A"),"2","B"),"3","C"),"4","D")</f>
        <v>A</v>
      </c>
      <c r="P663">
        <f t="shared" si="37"/>
        <v>161</v>
      </c>
      <c r="Q663" t="str">
        <f t="shared" ca="1" si="38"/>
        <v>{"num":161,"id":161,"q":"Khi tham gia giao thông trên đoạn đường không có biển báo \"cự ly tối thiểu giữa hai xe\", trong điều kiện mặt đường khô ráo, không có sương mù, mặt đường không trơn trượt, địa hình bằng phẳng, đường thẳng, tầm nhìn bảo đảm, xe cơ giới đang chạy với tốc độ 60 km/h, người lái xe phải giữ khoảng cách an toàn với xe đang chạy liền trước tối thiểu là bao nhiêu?","opts":{"A":" 35 m.","B":"55 m.","C":"70 m."},"answer":"A"},</v>
      </c>
    </row>
    <row r="664" spans="1:17" hidden="1" x14ac:dyDescent="0.25">
      <c r="A664">
        <v>1</v>
      </c>
      <c r="B664" t="s">
        <v>564</v>
      </c>
      <c r="C664">
        <f>IFERROR(COUNTIFS($A$1:A664,"Câu "&amp;"*")-MID(A664,5,FIND(".",A664,1)-5),0)</f>
        <v>0</v>
      </c>
      <c r="D664" t="str">
        <f t="shared" si="36"/>
        <v/>
      </c>
      <c r="E664" t="str">
        <f>SUBSTITUTE(IF(LEFT(A664,3)="Câu",MID(A664,FIND(".",A664,1)+2,LEN(A664)),""),CHAR(34),CHAR(92)&amp;CHAR(34))</f>
        <v/>
      </c>
      <c r="G664" t="str">
        <f>SUBSTITUTE(B665,CHAR(34),CHAR(92)&amp;CHAR(34))</f>
        <v>55 m.</v>
      </c>
      <c r="H664" t="str">
        <f>SUBSTITUTE(B666,CHAR(34),CHAR(92)&amp;CHAR(34))</f>
        <v>70 m.</v>
      </c>
      <c r="I664" t="str">
        <f>SUBSTITUTE(IF(LEFT(A667,3)="Câu","",B667),CHAR(34),CHAR(92)&amp;CHAR(34))</f>
        <v/>
      </c>
      <c r="J664" t="str">
        <f>SUBSTITUTE(IF(OR(LEFT(A668,3)="Câu",I664=""),"",IF(B668=0,"",B668)),CHAR(34),CHAR(92)&amp;CHAR(34))</f>
        <v/>
      </c>
      <c r="K664" t="str">
        <f>SUBSTITUTE(SUBSTITUTE(SUBSTITUTE(SUBSTITUTE(IFERROR(VLOOKUP("Câu "&amp;D664&amp;".",dapan!$E:$J,6,0),""),"1","A"),"2","B"),"3","C"),"4","D")</f>
        <v/>
      </c>
      <c r="P664" t="str">
        <f t="shared" si="37"/>
        <v/>
      </c>
      <c r="Q664" t="str">
        <f t="shared" si="38"/>
        <v/>
      </c>
    </row>
    <row r="665" spans="1:17" hidden="1" x14ac:dyDescent="0.25">
      <c r="A665">
        <v>2</v>
      </c>
      <c r="B665" t="s">
        <v>555</v>
      </c>
      <c r="C665">
        <f>IFERROR(COUNTIFS($A$1:A665,"Câu "&amp;"*")-MID(A665,5,FIND(".",A665,1)-5),0)</f>
        <v>0</v>
      </c>
      <c r="D665" t="str">
        <f t="shared" ref="D665:D728" si="39">IF(LEFT(A665,3)="Câu",VALUE(MID(A665,5,FIND(".",A665,1)-5)),"")</f>
        <v/>
      </c>
      <c r="E665" t="str">
        <f>SUBSTITUTE(IF(LEFT(A665,3)="Câu",MID(A665,FIND(".",A665,1)+2,LEN(A665)),""),CHAR(34),CHAR(92)&amp;CHAR(34))</f>
        <v/>
      </c>
      <c r="G665" t="str">
        <f>SUBSTITUTE(B666,CHAR(34),CHAR(92)&amp;CHAR(34))</f>
        <v>70 m.</v>
      </c>
      <c r="H665" t="str">
        <f>SUBSTITUTE(B667,CHAR(34),CHAR(92)&amp;CHAR(34))</f>
        <v/>
      </c>
      <c r="I665" t="str">
        <f>SUBSTITUTE(IF(LEFT(A668,3)="Câu","",B668),CHAR(34),CHAR(92)&amp;CHAR(34))</f>
        <v>Chủ động giữ khoảng cách an toàn phù hợp với xe chạy liền trước xe của mình.</v>
      </c>
      <c r="J665" t="str">
        <f>SUBSTITUTE(IF(OR(LEFT(A669,3)="Câu",I665=""),"",IF(B669=0,"",B669)),CHAR(34),CHAR(92)&amp;CHAR(34))</f>
        <v>Bảo đảm khoảng cách an toàn tùy thuộc vào mật độ phương tiện, tình hình giao thông thực tế.</v>
      </c>
      <c r="K665" t="str">
        <f>SUBSTITUTE(SUBSTITUTE(SUBSTITUTE(SUBSTITUTE(IFERROR(VLOOKUP("Câu "&amp;D665&amp;".",dapan!$E:$J,6,0),""),"1","A"),"2","B"),"3","C"),"4","D")</f>
        <v/>
      </c>
      <c r="P665" t="str">
        <f t="shared" si="37"/>
        <v/>
      </c>
      <c r="Q665" t="str">
        <f t="shared" si="38"/>
        <v/>
      </c>
    </row>
    <row r="666" spans="1:17" hidden="1" x14ac:dyDescent="0.25">
      <c r="A666">
        <v>3</v>
      </c>
      <c r="B666" t="s">
        <v>558</v>
      </c>
      <c r="C666">
        <f>IFERROR(COUNTIFS($A$1:A666,"Câu "&amp;"*")-MID(A666,5,FIND(".",A666,1)-5),0)</f>
        <v>0</v>
      </c>
      <c r="D666" t="str">
        <f t="shared" si="39"/>
        <v/>
      </c>
      <c r="E666" t="str">
        <f>SUBSTITUTE(IF(LEFT(A666,3)="Câu",MID(A666,FIND(".",A666,1)+2,LEN(A666)),""),CHAR(34),CHAR(92)&amp;CHAR(34))</f>
        <v/>
      </c>
      <c r="G666" t="str">
        <f>SUBSTITUTE(B667,CHAR(34),CHAR(92)&amp;CHAR(34))</f>
        <v/>
      </c>
      <c r="H666" t="str">
        <f>SUBSTITUTE(B668,CHAR(34),CHAR(92)&amp;CHAR(34))</f>
        <v>Chủ động giữ khoảng cách an toàn phù hợp với xe chạy liền trước xe của mình.</v>
      </c>
      <c r="I666" t="str">
        <f>SUBSTITUTE(IF(LEFT(A669,3)="Câu","",B669),CHAR(34),CHAR(92)&amp;CHAR(34))</f>
        <v>Bảo đảm khoảng cách an toàn tùy thuộc vào mật độ phương tiện, tình hình giao thông thực tế.</v>
      </c>
      <c r="J666" t="str">
        <f>SUBSTITUTE(IF(OR(LEFT(A670,3)="Câu",I666=""),"",IF(B670=0,"",B670)),CHAR(34),CHAR(92)&amp;CHAR(34))</f>
        <v xml:space="preserve"> Cả hai ý trên.</v>
      </c>
      <c r="K666" t="str">
        <f>SUBSTITUTE(SUBSTITUTE(SUBSTITUTE(SUBSTITUTE(IFERROR(VLOOKUP("Câu "&amp;D666&amp;".",dapan!$E:$J,6,0),""),"1","A"),"2","B"),"3","C"),"4","D")</f>
        <v/>
      </c>
      <c r="P666" t="str">
        <f t="shared" si="37"/>
        <v/>
      </c>
      <c r="Q666" t="str">
        <f t="shared" si="38"/>
        <v/>
      </c>
    </row>
    <row r="667" spans="1:17" x14ac:dyDescent="0.25">
      <c r="A667" t="s">
        <v>565</v>
      </c>
      <c r="C667">
        <f>IFERROR(COUNTIFS($A$1:A667,"Câu "&amp;"*")-MID(A667,5,FIND(".",A667,1)-5),0)</f>
        <v>0</v>
      </c>
      <c r="D667">
        <f t="shared" si="39"/>
        <v>162</v>
      </c>
      <c r="E667" t="str">
        <f>SUBSTITUTE(IF(LEFT(A667,3)="Câu",MID(A667,FIND(".",A667,1)+2,LEN(A667)),""),CHAR(34),CHAR(92)&amp;CHAR(34))</f>
        <v>Khi điều khiển xe chạy với tốc độ dưới 60 km/h, để bảo đảm khoảng cách an toàn giữa hai xe, người lái xe phải điều khiển xe như thế nào?</v>
      </c>
      <c r="G667" t="str">
        <f>SUBSTITUTE(B668,CHAR(34),CHAR(92)&amp;CHAR(34))</f>
        <v>Chủ động giữ khoảng cách an toàn phù hợp với xe chạy liền trước xe của mình.</v>
      </c>
      <c r="H667" t="str">
        <f>SUBSTITUTE(B669,CHAR(34),CHAR(92)&amp;CHAR(34))</f>
        <v>Bảo đảm khoảng cách an toàn tùy thuộc vào mật độ phương tiện, tình hình giao thông thực tế.</v>
      </c>
      <c r="I667" t="str">
        <f>SUBSTITUTE(IF(LEFT(A670,3)="Câu","",B670),CHAR(34),CHAR(92)&amp;CHAR(34))</f>
        <v xml:space="preserve"> Cả hai ý trên.</v>
      </c>
      <c r="J667" t="str">
        <f>SUBSTITUTE(IF(OR(LEFT(A671,3)="Câu",I667=""),"",IF(B671=0,"",B671)),CHAR(34),CHAR(92)&amp;CHAR(34))</f>
        <v/>
      </c>
      <c r="K667" t="str">
        <f ca="1">SUBSTITUTE(SUBSTITUTE(SUBSTITUTE(SUBSTITUTE(IFERROR(VLOOKUP("Câu "&amp;D667&amp;".",dapan!$E:$J,6,0),""),"1","A"),"2","B"),"3","C"),"4","D")</f>
        <v>C</v>
      </c>
      <c r="P667">
        <f t="shared" si="37"/>
        <v>162</v>
      </c>
      <c r="Q667" t="str">
        <f t="shared" ca="1" si="38"/>
        <v>{"num":162,"id":162,"q":"Khi điều khiển xe chạy với tốc độ dưới 60 km/h, để bảo đảm khoảng cách an toàn giữa hai xe, người lái xe phải điều khiển xe như thế nào?","opts":{"A":"Chủ động giữ khoảng cách an toàn phù hợp với xe chạy liền trước xe của mình.","B":"Bảo đảm khoảng cách an toàn tùy thuộc vào mật độ phương tiện, tình hình giao thông thực tế.","C":" Cả hai ý trên."},"answer":"C"},</v>
      </c>
    </row>
    <row r="668" spans="1:17" hidden="1" x14ac:dyDescent="0.25">
      <c r="A668">
        <v>1</v>
      </c>
      <c r="B668" t="s">
        <v>566</v>
      </c>
      <c r="C668">
        <f>IFERROR(COUNTIFS($A$1:A668,"Câu "&amp;"*")-MID(A668,5,FIND(".",A668,1)-5),0)</f>
        <v>0</v>
      </c>
      <c r="D668" t="str">
        <f t="shared" si="39"/>
        <v/>
      </c>
      <c r="E668" t="str">
        <f>SUBSTITUTE(IF(LEFT(A668,3)="Câu",MID(A668,FIND(".",A668,1)+2,LEN(A668)),""),CHAR(34),CHAR(92)&amp;CHAR(34))</f>
        <v/>
      </c>
      <c r="G668" t="str">
        <f>SUBSTITUTE(B669,CHAR(34),CHAR(92)&amp;CHAR(34))</f>
        <v>Bảo đảm khoảng cách an toàn tùy thuộc vào mật độ phương tiện, tình hình giao thông thực tế.</v>
      </c>
      <c r="H668" t="str">
        <f>SUBSTITUTE(B670,CHAR(34),CHAR(92)&amp;CHAR(34))</f>
        <v xml:space="preserve"> Cả hai ý trên.</v>
      </c>
      <c r="I668" t="str">
        <f>SUBSTITUTE(IF(LEFT(A671,3)="Câu","",B671),CHAR(34),CHAR(92)&amp;CHAR(34))</f>
        <v/>
      </c>
      <c r="J668" t="str">
        <f>SUBSTITUTE(IF(OR(LEFT(A672,3)="Câu",I668=""),"",IF(B672=0,"",B672)),CHAR(34),CHAR(92)&amp;CHAR(34))</f>
        <v/>
      </c>
      <c r="K668" t="str">
        <f>SUBSTITUTE(SUBSTITUTE(SUBSTITUTE(SUBSTITUTE(IFERROR(VLOOKUP("Câu "&amp;D668&amp;".",dapan!$E:$J,6,0),""),"1","A"),"2","B"),"3","C"),"4","D")</f>
        <v/>
      </c>
      <c r="P668" t="str">
        <f t="shared" si="37"/>
        <v/>
      </c>
      <c r="Q668" t="str">
        <f t="shared" si="38"/>
        <v/>
      </c>
    </row>
    <row r="669" spans="1:17" hidden="1" x14ac:dyDescent="0.25">
      <c r="A669">
        <v>2</v>
      </c>
      <c r="B669" t="s">
        <v>567</v>
      </c>
      <c r="C669">
        <f>IFERROR(COUNTIFS($A$1:A669,"Câu "&amp;"*")-MID(A669,5,FIND(".",A669,1)-5),0)</f>
        <v>0</v>
      </c>
      <c r="D669" t="str">
        <f t="shared" si="39"/>
        <v/>
      </c>
      <c r="E669" t="str">
        <f>SUBSTITUTE(IF(LEFT(A669,3)="Câu",MID(A669,FIND(".",A669,1)+2,LEN(A669)),""),CHAR(34),CHAR(92)&amp;CHAR(34))</f>
        <v/>
      </c>
      <c r="G669" t="str">
        <f>SUBSTITUTE(B670,CHAR(34),CHAR(92)&amp;CHAR(34))</f>
        <v xml:space="preserve"> Cả hai ý trên.</v>
      </c>
      <c r="H669" t="str">
        <f>SUBSTITUTE(B671,CHAR(34),CHAR(92)&amp;CHAR(34))</f>
        <v/>
      </c>
      <c r="I669" t="str">
        <f>SUBSTITUTE(IF(LEFT(A672,3)="Câu","",B672),CHAR(34),CHAR(92)&amp;CHAR(34))</f>
        <v xml:space="preserve"> Gặp biển báo nguy hiểm và cảnh báo trên đường.</v>
      </c>
      <c r="J669" t="str">
        <f>SUBSTITUTE(IF(OR(LEFT(A673,3)="Câu",I669=""),"",IF(B673=0,"",B673)),CHAR(34),CHAR(92)&amp;CHAR(34))</f>
        <v>Gặp biển chỉ dẫn trên đường.</v>
      </c>
      <c r="K669" t="str">
        <f>SUBSTITUTE(SUBSTITUTE(SUBSTITUTE(SUBSTITUTE(IFERROR(VLOOKUP("Câu "&amp;D669&amp;".",dapan!$E:$J,6,0),""),"1","A"),"2","B"),"3","C"),"4","D")</f>
        <v/>
      </c>
      <c r="P669" t="str">
        <f t="shared" si="37"/>
        <v/>
      </c>
      <c r="Q669" t="str">
        <f t="shared" si="38"/>
        <v/>
      </c>
    </row>
    <row r="670" spans="1:17" hidden="1" x14ac:dyDescent="0.25">
      <c r="A670">
        <v>3</v>
      </c>
      <c r="B670" t="s">
        <v>32</v>
      </c>
      <c r="C670">
        <f>IFERROR(COUNTIFS($A$1:A670,"Câu "&amp;"*")-MID(A670,5,FIND(".",A670,1)-5),0)</f>
        <v>0</v>
      </c>
      <c r="D670" t="str">
        <f t="shared" si="39"/>
        <v/>
      </c>
      <c r="E670" t="str">
        <f>SUBSTITUTE(IF(LEFT(A670,3)="Câu",MID(A670,FIND(".",A670,1)+2,LEN(A670)),""),CHAR(34),CHAR(92)&amp;CHAR(34))</f>
        <v/>
      </c>
      <c r="G670" t="str">
        <f>SUBSTITUTE(B671,CHAR(34),CHAR(92)&amp;CHAR(34))</f>
        <v/>
      </c>
      <c r="H670" t="str">
        <f>SUBSTITUTE(B672,CHAR(34),CHAR(92)&amp;CHAR(34))</f>
        <v xml:space="preserve"> Gặp biển báo nguy hiểm và cảnh báo trên đường.</v>
      </c>
      <c r="I670" t="str">
        <f>SUBSTITUTE(IF(LEFT(A673,3)="Câu","",B673),CHAR(34),CHAR(92)&amp;CHAR(34))</f>
        <v>Gặp biển chỉ dẫn trên đường.</v>
      </c>
      <c r="J670" t="str">
        <f>SUBSTITUTE(IF(OR(LEFT(A674,3)="Câu",I670=""),"",IF(B674=0,"",B674)),CHAR(34),CHAR(92)&amp;CHAR(34))</f>
        <v>Gặp biển báo hết mọi lệnh cấm.</v>
      </c>
      <c r="K670" t="str">
        <f>SUBSTITUTE(SUBSTITUTE(SUBSTITUTE(SUBSTITUTE(IFERROR(VLOOKUP("Câu "&amp;D670&amp;".",dapan!$E:$J,6,0),""),"1","A"),"2","B"),"3","C"),"4","D")</f>
        <v/>
      </c>
      <c r="P670" t="str">
        <f t="shared" si="37"/>
        <v/>
      </c>
      <c r="Q670" t="str">
        <f t="shared" si="38"/>
        <v/>
      </c>
    </row>
    <row r="671" spans="1:17" x14ac:dyDescent="0.25">
      <c r="A671" t="s">
        <v>568</v>
      </c>
      <c r="C671">
        <f>IFERROR(COUNTIFS($A$1:A671,"Câu "&amp;"*")-MID(A671,5,FIND(".",A671,1)-5),0)</f>
        <v>0</v>
      </c>
      <c r="D671">
        <f t="shared" si="39"/>
        <v>163</v>
      </c>
      <c r="E671" t="str">
        <f>SUBSTITUTE(IF(LEFT(A671,3)="Câu",MID(A671,FIND(".",A671,1)+2,LEN(A671)),""),CHAR(34),CHAR(92)&amp;CHAR(34))</f>
        <v>Người lái xe phải giảm tốc độ thấp hơn tốc độ tối đa cho phép đến mức cần thiết, chú ý quan sát và chuẩn bị sẵn sàng những tình huống có thể xảy ra để phòng ngừa tai nạn trong các trường hợp nào dưới đây?</v>
      </c>
      <c r="G671" t="str">
        <f>SUBSTITUTE(B672,CHAR(34),CHAR(92)&amp;CHAR(34))</f>
        <v xml:space="preserve"> Gặp biển báo nguy hiểm và cảnh báo trên đường.</v>
      </c>
      <c r="H671" t="str">
        <f>SUBSTITUTE(B673,CHAR(34),CHAR(92)&amp;CHAR(34))</f>
        <v>Gặp biển chỉ dẫn trên đường.</v>
      </c>
      <c r="I671" t="str">
        <f>SUBSTITUTE(IF(LEFT(A674,3)="Câu","",B674),CHAR(34),CHAR(92)&amp;CHAR(34))</f>
        <v>Gặp biển báo hết mọi lệnh cấm.</v>
      </c>
      <c r="J671" t="str">
        <f>SUBSTITUTE(IF(OR(LEFT(A675,3)="Câu",I671=""),"",IF(B675=0,"",B675)),CHAR(34),CHAR(92)&amp;CHAR(34))</f>
        <v>Gặp biển báo hết hạn chế tốc độ tối đa cho phép.</v>
      </c>
      <c r="K671" t="str">
        <f ca="1">SUBSTITUTE(SUBSTITUTE(SUBSTITUTE(SUBSTITUTE(IFERROR(VLOOKUP("Câu "&amp;D671&amp;".",dapan!$E:$J,6,0),""),"1","A"),"2","B"),"3","C"),"4","D")</f>
        <v>A</v>
      </c>
      <c r="P671">
        <f t="shared" si="37"/>
        <v>163</v>
      </c>
      <c r="Q671" t="str">
        <f t="shared" ca="1" si="38"/>
        <v>{"num":163,"id":163,"q":"Người lái xe phải giảm tốc độ thấp hơn tốc độ tối đa cho phép đến mức cần thiết, chú ý quan sát và chuẩn bị sẵn sàng những tình huống có thể xảy ra để phòng ngừa tai nạn trong các trường hợp nào dưới đây?","opts":{"A":" Gặp biển báo nguy hiểm và cảnh báo trên đường.","B":"Gặp biển chỉ dẫn trên đường.","C":"Gặp biển báo hết mọi lệnh cấm.","D":"Gặp biển báo hết hạn chế tốc độ tối đa cho phép."},"answer":"A"},</v>
      </c>
    </row>
    <row r="672" spans="1:17" hidden="1" x14ac:dyDescent="0.25">
      <c r="A672">
        <v>1</v>
      </c>
      <c r="B672" t="s">
        <v>569</v>
      </c>
      <c r="C672">
        <f>IFERROR(COUNTIFS($A$1:A672,"Câu "&amp;"*")-MID(A672,5,FIND(".",A672,1)-5),0)</f>
        <v>0</v>
      </c>
      <c r="D672" t="str">
        <f t="shared" si="39"/>
        <v/>
      </c>
      <c r="E672" t="str">
        <f>SUBSTITUTE(IF(LEFT(A672,3)="Câu",MID(A672,FIND(".",A672,1)+2,LEN(A672)),""),CHAR(34),CHAR(92)&amp;CHAR(34))</f>
        <v/>
      </c>
      <c r="G672" t="str">
        <f>SUBSTITUTE(B673,CHAR(34),CHAR(92)&amp;CHAR(34))</f>
        <v>Gặp biển chỉ dẫn trên đường.</v>
      </c>
      <c r="H672" t="str">
        <f>SUBSTITUTE(B674,CHAR(34),CHAR(92)&amp;CHAR(34))</f>
        <v>Gặp biển báo hết mọi lệnh cấm.</v>
      </c>
      <c r="I672" t="str">
        <f>SUBSTITUTE(IF(LEFT(A675,3)="Câu","",B675),CHAR(34),CHAR(92)&amp;CHAR(34))</f>
        <v>Gặp biển báo hết hạn chế tốc độ tối đa cho phép.</v>
      </c>
      <c r="J672" t="str">
        <f>SUBSTITUTE(IF(OR(LEFT(A676,3)="Câu",I672=""),"",IF(B676=0,"",B676)),CHAR(34),CHAR(92)&amp;CHAR(34))</f>
        <v/>
      </c>
      <c r="K672" t="str">
        <f>SUBSTITUTE(SUBSTITUTE(SUBSTITUTE(SUBSTITUTE(IFERROR(VLOOKUP("Câu "&amp;D672&amp;".",dapan!$E:$J,6,0),""),"1","A"),"2","B"),"3","C"),"4","D")</f>
        <v/>
      </c>
      <c r="P672" t="str">
        <f t="shared" si="37"/>
        <v/>
      </c>
      <c r="Q672" t="str">
        <f t="shared" si="38"/>
        <v/>
      </c>
    </row>
    <row r="673" spans="1:17" hidden="1" x14ac:dyDescent="0.25">
      <c r="A673">
        <v>2</v>
      </c>
      <c r="B673" t="s">
        <v>570</v>
      </c>
      <c r="C673">
        <f>IFERROR(COUNTIFS($A$1:A673,"Câu "&amp;"*")-MID(A673,5,FIND(".",A673,1)-5),0)</f>
        <v>0</v>
      </c>
      <c r="D673" t="str">
        <f t="shared" si="39"/>
        <v/>
      </c>
      <c r="E673" t="str">
        <f>SUBSTITUTE(IF(LEFT(A673,3)="Câu",MID(A673,FIND(".",A673,1)+2,LEN(A673)),""),CHAR(34),CHAR(92)&amp;CHAR(34))</f>
        <v/>
      </c>
      <c r="G673" t="str">
        <f>SUBSTITUTE(B674,CHAR(34),CHAR(92)&amp;CHAR(34))</f>
        <v>Gặp biển báo hết mọi lệnh cấm.</v>
      </c>
      <c r="H673" t="str">
        <f>SUBSTITUTE(B675,CHAR(34),CHAR(92)&amp;CHAR(34))</f>
        <v>Gặp biển báo hết hạn chế tốc độ tối đa cho phép.</v>
      </c>
      <c r="I673" t="str">
        <f>SUBSTITUTE(IF(LEFT(A676,3)="Câu","",B676),CHAR(34),CHAR(92)&amp;CHAR(34))</f>
        <v/>
      </c>
      <c r="J673" t="str">
        <f>SUBSTITUTE(IF(OR(LEFT(A677,3)="Câu",I673=""),"",IF(B677=0,"",B677)),CHAR(34),CHAR(92)&amp;CHAR(34))</f>
        <v/>
      </c>
      <c r="K673" t="str">
        <f>SUBSTITUTE(SUBSTITUTE(SUBSTITUTE(SUBSTITUTE(IFERROR(VLOOKUP("Câu "&amp;D673&amp;".",dapan!$E:$J,6,0),""),"1","A"),"2","B"),"3","C"),"4","D")</f>
        <v/>
      </c>
      <c r="P673" t="str">
        <f t="shared" si="37"/>
        <v/>
      </c>
      <c r="Q673" t="str">
        <f t="shared" si="38"/>
        <v/>
      </c>
    </row>
    <row r="674" spans="1:17" hidden="1" x14ac:dyDescent="0.25">
      <c r="A674">
        <v>3</v>
      </c>
      <c r="B674" t="s">
        <v>571</v>
      </c>
      <c r="C674">
        <f>IFERROR(COUNTIFS($A$1:A674,"Câu "&amp;"*")-MID(A674,5,FIND(".",A674,1)-5),0)</f>
        <v>0</v>
      </c>
      <c r="D674" t="str">
        <f t="shared" si="39"/>
        <v/>
      </c>
      <c r="E674" t="str">
        <f>SUBSTITUTE(IF(LEFT(A674,3)="Câu",MID(A674,FIND(".",A674,1)+2,LEN(A674)),""),CHAR(34),CHAR(92)&amp;CHAR(34))</f>
        <v/>
      </c>
      <c r="G674" t="str">
        <f>SUBSTITUTE(B675,CHAR(34),CHAR(92)&amp;CHAR(34))</f>
        <v>Gặp biển báo hết hạn chế tốc độ tối đa cho phép.</v>
      </c>
      <c r="H674" t="str">
        <f>SUBSTITUTE(B676,CHAR(34),CHAR(92)&amp;CHAR(34))</f>
        <v/>
      </c>
      <c r="I674" t="str">
        <f>SUBSTITUTE(IF(LEFT(A677,3)="Câu","",B677),CHAR(34),CHAR(92)&amp;CHAR(34))</f>
        <v xml:space="preserve"> Tổ chức phân luồng, điều tiết giao thông, bố trí nơi dừng xe, đỗ xe tại khu vực trường học và tại các điểm trên lộ trình đưa đón trẻ em mầm non, học sinh.</v>
      </c>
      <c r="J674" t="str">
        <f>SUBSTITUTE(IF(OR(LEFT(A678,3)="Câu",I674=""),"",IF(B678=0,"",B678)),CHAR(34),CHAR(92)&amp;CHAR(34))</f>
        <v>Được bố trí xe dẫn đường để bảo đảm an toàn giao thông.</v>
      </c>
      <c r="K674" t="str">
        <f>SUBSTITUTE(SUBSTITUTE(SUBSTITUTE(SUBSTITUTE(IFERROR(VLOOKUP("Câu "&amp;D674&amp;".",dapan!$E:$J,6,0),""),"1","A"),"2","B"),"3","C"),"4","D")</f>
        <v/>
      </c>
      <c r="P674" t="str">
        <f t="shared" si="37"/>
        <v/>
      </c>
      <c r="Q674" t="str">
        <f t="shared" si="38"/>
        <v/>
      </c>
    </row>
    <row r="675" spans="1:17" hidden="1" x14ac:dyDescent="0.25">
      <c r="A675">
        <v>4</v>
      </c>
      <c r="B675" t="s">
        <v>572</v>
      </c>
      <c r="C675">
        <f>IFERROR(COUNTIFS($A$1:A675,"Câu "&amp;"*")-MID(A675,5,FIND(".",A675,1)-5),0)</f>
        <v>0</v>
      </c>
      <c r="D675" t="str">
        <f t="shared" si="39"/>
        <v/>
      </c>
      <c r="E675" t="str">
        <f>SUBSTITUTE(IF(LEFT(A675,3)="Câu",MID(A675,FIND(".",A675,1)+2,LEN(A675)),""),CHAR(34),CHAR(92)&amp;CHAR(34))</f>
        <v/>
      </c>
      <c r="G675" t="str">
        <f>SUBSTITUTE(B676,CHAR(34),CHAR(92)&amp;CHAR(34))</f>
        <v/>
      </c>
      <c r="H675" t="str">
        <f>SUBSTITUTE(B677,CHAR(34),CHAR(92)&amp;CHAR(34))</f>
        <v xml:space="preserve"> Tổ chức phân luồng, điều tiết giao thông, bố trí nơi dừng xe, đỗ xe tại khu vực trường học và tại các điểm trên lộ trình đưa đón trẻ em mầm non, học sinh.</v>
      </c>
      <c r="I675" t="str">
        <f>SUBSTITUTE(IF(LEFT(A678,3)="Câu","",B678),CHAR(34),CHAR(92)&amp;CHAR(34))</f>
        <v>Được bố trí xe dẫn đường để bảo đảm an toàn giao thông.</v>
      </c>
      <c r="J675" t="str">
        <f>SUBSTITUTE(IF(OR(LEFT(A679,3)="Câu",I675=""),"",IF(B679=0,"",B679)),CHAR(34),CHAR(92)&amp;CHAR(34))</f>
        <v>Cả hai ý trên.</v>
      </c>
      <c r="K675" t="str">
        <f>SUBSTITUTE(SUBSTITUTE(SUBSTITUTE(SUBSTITUTE(IFERROR(VLOOKUP("Câu "&amp;D675&amp;".",dapan!$E:$J,6,0),""),"1","A"),"2","B"),"3","C"),"4","D")</f>
        <v/>
      </c>
      <c r="P675" t="str">
        <f t="shared" si="37"/>
        <v/>
      </c>
      <c r="Q675" t="str">
        <f t="shared" si="38"/>
        <v/>
      </c>
    </row>
    <row r="676" spans="1:17" x14ac:dyDescent="0.25">
      <c r="A676" t="s">
        <v>573</v>
      </c>
      <c r="C676">
        <f>IFERROR(COUNTIFS($A$1:A676,"Câu "&amp;"*")-MID(A676,5,FIND(".",A676,1)-5),0)</f>
        <v>0</v>
      </c>
      <c r="D676">
        <f t="shared" si="39"/>
        <v>164</v>
      </c>
      <c r="E676" t="str">
        <f>SUBSTITUTE(IF(LEFT(A676,3)="Câu",MID(A676,FIND(".",A676,1)+2,LEN(A676)),""),CHAR(34),CHAR(92)&amp;CHAR(34))</f>
        <v>Xe đưa đón trẻ em mầm non, học sinh được ưu tiên gì khi tham gia giao thông đường bộ?</v>
      </c>
      <c r="G676" t="str">
        <f>SUBSTITUTE(B677,CHAR(34),CHAR(92)&amp;CHAR(34))</f>
        <v xml:space="preserve"> Tổ chức phân luồng, điều tiết giao thông, bố trí nơi dừng xe, đỗ xe tại khu vực trường học và tại các điểm trên lộ trình đưa đón trẻ em mầm non, học sinh.</v>
      </c>
      <c r="H676" t="str">
        <f>SUBSTITUTE(B678,CHAR(34),CHAR(92)&amp;CHAR(34))</f>
        <v>Được bố trí xe dẫn đường để bảo đảm an toàn giao thông.</v>
      </c>
      <c r="I676" t="str">
        <f>SUBSTITUTE(IF(LEFT(A679,3)="Câu","",B679),CHAR(34),CHAR(92)&amp;CHAR(34))</f>
        <v>Cả hai ý trên.</v>
      </c>
      <c r="J676" t="str">
        <f>SUBSTITUTE(IF(OR(LEFT(A680,3)="Câu",I676=""),"",IF(B680=0,"",B680)),CHAR(34),CHAR(92)&amp;CHAR(34))</f>
        <v/>
      </c>
      <c r="K676" t="str">
        <f ca="1">SUBSTITUTE(SUBSTITUTE(SUBSTITUTE(SUBSTITUTE(IFERROR(VLOOKUP("Câu "&amp;D676&amp;".",dapan!$E:$J,6,0),""),"1","A"),"2","B"),"3","C"),"4","D")</f>
        <v>A</v>
      </c>
      <c r="P676">
        <f t="shared" si="37"/>
        <v>164</v>
      </c>
      <c r="Q676" t="str">
        <f t="shared" ca="1" si="38"/>
        <v>{"num":164,"id":164,"q":"Xe đưa đón trẻ em mầm non, học sinh được ưu tiên gì khi tham gia giao thông đường bộ?","opts":{"A":" Tổ chức phân luồng, điều tiết giao thông, bố trí nơi dừng xe, đỗ xe tại khu vực trường học và tại các điểm trên lộ trình đưa đón trẻ em mầm non, học sinh.","B":"Được bố trí xe dẫn đường để bảo đảm an toàn giao thông.","C":"Cả hai ý trên."},"answer":"A"},</v>
      </c>
    </row>
    <row r="677" spans="1:17" hidden="1" x14ac:dyDescent="0.25">
      <c r="A677">
        <v>1</v>
      </c>
      <c r="B677" t="s">
        <v>574</v>
      </c>
      <c r="C677">
        <f>IFERROR(COUNTIFS($A$1:A677,"Câu "&amp;"*")-MID(A677,5,FIND(".",A677,1)-5),0)</f>
        <v>0</v>
      </c>
      <c r="D677" t="str">
        <f t="shared" si="39"/>
        <v/>
      </c>
      <c r="E677" t="str">
        <f>SUBSTITUTE(IF(LEFT(A677,3)="Câu",MID(A677,FIND(".",A677,1)+2,LEN(A677)),""),CHAR(34),CHAR(92)&amp;CHAR(34))</f>
        <v/>
      </c>
      <c r="G677" t="str">
        <f>SUBSTITUTE(B678,CHAR(34),CHAR(92)&amp;CHAR(34))</f>
        <v>Được bố trí xe dẫn đường để bảo đảm an toàn giao thông.</v>
      </c>
      <c r="H677" t="str">
        <f>SUBSTITUTE(B679,CHAR(34),CHAR(92)&amp;CHAR(34))</f>
        <v>Cả hai ý trên.</v>
      </c>
      <c r="I677" t="str">
        <f>SUBSTITUTE(IF(LEFT(A680,3)="Câu","",B680),CHAR(34),CHAR(92)&amp;CHAR(34))</f>
        <v/>
      </c>
      <c r="J677" t="str">
        <f>SUBSTITUTE(IF(OR(LEFT(A681,3)="Câu",I677=""),"",IF(B681=0,"",B681)),CHAR(34),CHAR(92)&amp;CHAR(34))</f>
        <v/>
      </c>
      <c r="K677" t="str">
        <f>SUBSTITUTE(SUBSTITUTE(SUBSTITUTE(SUBSTITUTE(IFERROR(VLOOKUP("Câu "&amp;D677&amp;".",dapan!$E:$J,6,0),""),"1","A"),"2","B"),"3","C"),"4","D")</f>
        <v/>
      </c>
      <c r="P677" t="str">
        <f t="shared" si="37"/>
        <v/>
      </c>
      <c r="Q677" t="str">
        <f t="shared" si="38"/>
        <v/>
      </c>
    </row>
    <row r="678" spans="1:17" hidden="1" x14ac:dyDescent="0.25">
      <c r="A678">
        <v>2</v>
      </c>
      <c r="B678" t="s">
        <v>575</v>
      </c>
      <c r="C678">
        <f>IFERROR(COUNTIFS($A$1:A678,"Câu "&amp;"*")-MID(A678,5,FIND(".",A678,1)-5),0)</f>
        <v>0</v>
      </c>
      <c r="D678" t="str">
        <f t="shared" si="39"/>
        <v/>
      </c>
      <c r="E678" t="str">
        <f>SUBSTITUTE(IF(LEFT(A678,3)="Câu",MID(A678,FIND(".",A678,1)+2,LEN(A678)),""),CHAR(34),CHAR(92)&amp;CHAR(34))</f>
        <v/>
      </c>
      <c r="G678" t="str">
        <f>SUBSTITUTE(B679,CHAR(34),CHAR(92)&amp;CHAR(34))</f>
        <v>Cả hai ý trên.</v>
      </c>
      <c r="H678" t="str">
        <f>SUBSTITUTE(B680,CHAR(34),CHAR(92)&amp;CHAR(34))</f>
        <v/>
      </c>
      <c r="I678" t="str">
        <f>SUBSTITUTE(IF(LEFT(A681,3)="Câu","",B681),CHAR(34),CHAR(92)&amp;CHAR(34))</f>
        <v>Tại nơi có vạch kẻ đường hoặc báo hiệu khác dành cho người đi bộ hoặc tại nơi mà người đi bộ, xe lăn của người khuyết tật đang qua đường.</v>
      </c>
      <c r="J678" t="str">
        <f>SUBSTITUTE(IF(OR(LEFT(A682,3)="Câu",I678=""),"",IF(B682=0,"",B682)),CHAR(34),CHAR(92)&amp;CHAR(34))</f>
        <v>Nơi đường bộ giao nhau cùng mức với đường bộ, đường bộ giao nhau cùng mức với đường sắt; đường hẹp, đường vòng, đường quanh co, đường đèo, dốc.</v>
      </c>
      <c r="K678" t="str">
        <f>SUBSTITUTE(SUBSTITUTE(SUBSTITUTE(SUBSTITUTE(IFERROR(VLOOKUP("Câu "&amp;D678&amp;".",dapan!$E:$J,6,0),""),"1","A"),"2","B"),"3","C"),"4","D")</f>
        <v/>
      </c>
      <c r="P678" t="str">
        <f t="shared" si="37"/>
        <v/>
      </c>
      <c r="Q678" t="str">
        <f t="shared" si="38"/>
        <v/>
      </c>
    </row>
    <row r="679" spans="1:17" hidden="1" x14ac:dyDescent="0.25">
      <c r="A679">
        <v>3</v>
      </c>
      <c r="B679" t="s">
        <v>18</v>
      </c>
      <c r="C679">
        <f>IFERROR(COUNTIFS($A$1:A679,"Câu "&amp;"*")-MID(A679,5,FIND(".",A679,1)-5),0)</f>
        <v>0</v>
      </c>
      <c r="D679" t="str">
        <f t="shared" si="39"/>
        <v/>
      </c>
      <c r="E679" t="str">
        <f>SUBSTITUTE(IF(LEFT(A679,3)="Câu",MID(A679,FIND(".",A679,1)+2,LEN(A679)),""),CHAR(34),CHAR(92)&amp;CHAR(34))</f>
        <v/>
      </c>
      <c r="G679" t="str">
        <f>SUBSTITUTE(B680,CHAR(34),CHAR(92)&amp;CHAR(34))</f>
        <v/>
      </c>
      <c r="H679" t="str">
        <f>SUBSTITUTE(B681,CHAR(34),CHAR(92)&amp;CHAR(34))</f>
        <v>Tại nơi có vạch kẻ đường hoặc báo hiệu khác dành cho người đi bộ hoặc tại nơi mà người đi bộ, xe lăn của người khuyết tật đang qua đường.</v>
      </c>
      <c r="I679" t="str">
        <f>SUBSTITUTE(IF(LEFT(A682,3)="Câu","",B682),CHAR(34),CHAR(92)&amp;CHAR(34))</f>
        <v>Nơi đường bộ giao nhau cùng mức với đường bộ, đường bộ giao nhau cùng mức với đường sắt; đường hẹp, đường vòng, đường quanh co, đường đèo, dốc.</v>
      </c>
      <c r="J679" t="str">
        <f>SUBSTITUTE(IF(OR(LEFT(A683,3)="Câu",I679=""),"",IF(B683=0,"",B683)),CHAR(34),CHAR(92)&amp;CHAR(34))</f>
        <v>Khu vực có trường học, bệnh viện, bến xe, công trình công cộng tập trung đông người, khu vực đông dân cư, chợ, khu vực đang thi công trên đường bộ, hiện trường vụ tai nạn giao thông đường bộ.</v>
      </c>
      <c r="K679" t="str">
        <f>SUBSTITUTE(SUBSTITUTE(SUBSTITUTE(SUBSTITUTE(IFERROR(VLOOKUP("Câu "&amp;D679&amp;".",dapan!$E:$J,6,0),""),"1","A"),"2","B"),"3","C"),"4","D")</f>
        <v/>
      </c>
      <c r="P679" t="str">
        <f t="shared" si="37"/>
        <v/>
      </c>
      <c r="Q679" t="str">
        <f t="shared" si="38"/>
        <v/>
      </c>
    </row>
    <row r="680" spans="1:17" x14ac:dyDescent="0.25">
      <c r="A680" t="s">
        <v>576</v>
      </c>
      <c r="C680">
        <f>IFERROR(COUNTIFS($A$1:A680,"Câu "&amp;"*")-MID(A680,5,FIND(".",A680,1)-5),0)</f>
        <v>0</v>
      </c>
      <c r="D680">
        <f t="shared" si="39"/>
        <v>165</v>
      </c>
      <c r="E680" t="str">
        <f>SUBSTITUTE(IF(LEFT(A680,3)="Câu",MID(A680,FIND(".",A680,1)+2,LEN(A680)),""),CHAR(34),CHAR(92)&amp;CHAR(34))</f>
        <v>Người điều khiển phương tiện tham gia giao thông đường bộ phải quan sát, giảm tốc độ hoặc dừng lại để bảo đảm an toàn trong các trường hợp nào dưới đây?</v>
      </c>
      <c r="G680" t="str">
        <f>SUBSTITUTE(B681,CHAR(34),CHAR(92)&amp;CHAR(34))</f>
        <v>Tại nơi có vạch kẻ đường hoặc báo hiệu khác dành cho người đi bộ hoặc tại nơi mà người đi bộ, xe lăn của người khuyết tật đang qua đường.</v>
      </c>
      <c r="H680" t="str">
        <f>SUBSTITUTE(B682,CHAR(34),CHAR(92)&amp;CHAR(34))</f>
        <v>Nơi đường bộ giao nhau cùng mức với đường bộ, đường bộ giao nhau cùng mức với đường sắt; đường hẹp, đường vòng, đường quanh co, đường đèo, dốc.</v>
      </c>
      <c r="I680" t="str">
        <f>SUBSTITUTE(IF(LEFT(A683,3)="Câu","",B683),CHAR(34),CHAR(92)&amp;CHAR(34))</f>
        <v>Khu vực có trường học, bệnh viện, bến xe, công trình công cộng tập trung đông người, khu vực đông dân cư, chợ, khu vực đang thi công trên đường bộ, hiện trường vụ tai nạn giao thông đường bộ.</v>
      </c>
      <c r="J680" t="str">
        <f>SUBSTITUTE(IF(OR(LEFT(A684,3)="Câu",I680=""),"",IF(B684=0,"",B684)),CHAR(34),CHAR(92)&amp;CHAR(34))</f>
        <v xml:space="preserve"> Cả ba ý trên.</v>
      </c>
      <c r="K680" t="str">
        <f ca="1">SUBSTITUTE(SUBSTITUTE(SUBSTITUTE(SUBSTITUTE(IFERROR(VLOOKUP("Câu "&amp;D680&amp;".",dapan!$E:$J,6,0),""),"1","A"),"2","B"),"3","C"),"4","D")</f>
        <v>D</v>
      </c>
      <c r="P680">
        <f t="shared" si="37"/>
        <v>165</v>
      </c>
      <c r="Q680" t="str">
        <f t="shared" ca="1" si="38"/>
        <v>{"num":165,"id":165,"q":"Người điều khiển phương tiện tham gia giao thông đường bộ phải quan sát, giảm tốc độ hoặc dừng lại để bảo đảm an toàn trong các trường hợp nào dưới đây?","opts":{"A":"Tại nơi có vạch kẻ đường hoặc báo hiệu khác dành cho người đi bộ hoặc tại nơi mà người đi bộ, xe lăn của người khuyết tật đang qua đường.","B":"Nơi đường bộ giao nhau cùng mức với đường bộ, đường bộ giao nhau cùng mức với đường sắt; đường hẹp, đường vòng, đường quanh co, đường đèo, dốc.","C":"Khu vực có trường học, bệnh viện, bến xe, công trình công cộng tập trung đông người, khu vực đông dân cư, chợ, khu vực đang thi công trên đường bộ, hiện trường vụ tai nạn giao thông đường bộ.","D":" Cả ba ý trên."},"answer":"D"},</v>
      </c>
    </row>
    <row r="681" spans="1:17" hidden="1" x14ac:dyDescent="0.25">
      <c r="A681">
        <v>1</v>
      </c>
      <c r="B681" t="s">
        <v>577</v>
      </c>
      <c r="C681">
        <f>IFERROR(COUNTIFS($A$1:A681,"Câu "&amp;"*")-MID(A681,5,FIND(".",A681,1)-5),0)</f>
        <v>0</v>
      </c>
      <c r="D681" t="str">
        <f t="shared" si="39"/>
        <v/>
      </c>
      <c r="E681" t="str">
        <f>SUBSTITUTE(IF(LEFT(A681,3)="Câu",MID(A681,FIND(".",A681,1)+2,LEN(A681)),""),CHAR(34),CHAR(92)&amp;CHAR(34))</f>
        <v/>
      </c>
      <c r="G681" t="str">
        <f>SUBSTITUTE(B682,CHAR(34),CHAR(92)&amp;CHAR(34))</f>
        <v>Nơi đường bộ giao nhau cùng mức với đường bộ, đường bộ giao nhau cùng mức với đường sắt; đường hẹp, đường vòng, đường quanh co, đường đèo, dốc.</v>
      </c>
      <c r="H681" t="str">
        <f>SUBSTITUTE(B683,CHAR(34),CHAR(92)&amp;CHAR(34))</f>
        <v>Khu vực có trường học, bệnh viện, bến xe, công trình công cộng tập trung đông người, khu vực đông dân cư, chợ, khu vực đang thi công trên đường bộ, hiện trường vụ tai nạn giao thông đường bộ.</v>
      </c>
      <c r="I681" t="str">
        <f>SUBSTITUTE(IF(LEFT(A684,3)="Câu","",B684),CHAR(34),CHAR(92)&amp;CHAR(34))</f>
        <v xml:space="preserve"> Cả ba ý trên.</v>
      </c>
      <c r="J681" t="str">
        <f>SUBSTITUTE(IF(OR(LEFT(A685,3)="Câu",I681=""),"",IF(B685=0,"",B685)),CHAR(34),CHAR(92)&amp;CHAR(34))</f>
        <v/>
      </c>
      <c r="K681" t="str">
        <f>SUBSTITUTE(SUBSTITUTE(SUBSTITUTE(SUBSTITUTE(IFERROR(VLOOKUP("Câu "&amp;D681&amp;".",dapan!$E:$J,6,0),""),"1","A"),"2","B"),"3","C"),"4","D")</f>
        <v/>
      </c>
      <c r="P681" t="str">
        <f t="shared" si="37"/>
        <v/>
      </c>
      <c r="Q681" t="str">
        <f t="shared" si="38"/>
        <v/>
      </c>
    </row>
    <row r="682" spans="1:17" hidden="1" x14ac:dyDescent="0.25">
      <c r="A682">
        <v>2</v>
      </c>
      <c r="B682" t="s">
        <v>578</v>
      </c>
      <c r="C682">
        <f>IFERROR(COUNTIFS($A$1:A682,"Câu "&amp;"*")-MID(A682,5,FIND(".",A682,1)-5),0)</f>
        <v>0</v>
      </c>
      <c r="D682" t="str">
        <f t="shared" si="39"/>
        <v/>
      </c>
      <c r="E682" t="str">
        <f>SUBSTITUTE(IF(LEFT(A682,3)="Câu",MID(A682,FIND(".",A682,1)+2,LEN(A682)),""),CHAR(34),CHAR(92)&amp;CHAR(34))</f>
        <v/>
      </c>
      <c r="G682" t="str">
        <f>SUBSTITUTE(B683,CHAR(34),CHAR(92)&amp;CHAR(34))</f>
        <v>Khu vực có trường học, bệnh viện, bến xe, công trình công cộng tập trung đông người, khu vực đông dân cư, chợ, khu vực đang thi công trên đường bộ, hiện trường vụ tai nạn giao thông đường bộ.</v>
      </c>
      <c r="H682" t="str">
        <f>SUBSTITUTE(B684,CHAR(34),CHAR(92)&amp;CHAR(34))</f>
        <v xml:space="preserve"> Cả ba ý trên.</v>
      </c>
      <c r="I682" t="str">
        <f>SUBSTITUTE(IF(LEFT(A685,3)="Câu","",B685),CHAR(34),CHAR(92)&amp;CHAR(34))</f>
        <v/>
      </c>
      <c r="J682" t="str">
        <f>SUBSTITUTE(IF(OR(LEFT(A686,3)="Câu",I682=""),"",IF(B686=0,"",B686)),CHAR(34),CHAR(92)&amp;CHAR(34))</f>
        <v/>
      </c>
      <c r="K682" t="str">
        <f>SUBSTITUTE(SUBSTITUTE(SUBSTITUTE(SUBSTITUTE(IFERROR(VLOOKUP("Câu "&amp;D682&amp;".",dapan!$E:$J,6,0),""),"1","A"),"2","B"),"3","C"),"4","D")</f>
        <v/>
      </c>
      <c r="P682" t="str">
        <f t="shared" si="37"/>
        <v/>
      </c>
      <c r="Q682" t="str">
        <f t="shared" si="38"/>
        <v/>
      </c>
    </row>
    <row r="683" spans="1:17" hidden="1" x14ac:dyDescent="0.25">
      <c r="A683">
        <v>3</v>
      </c>
      <c r="B683" t="s">
        <v>579</v>
      </c>
      <c r="C683">
        <f>IFERROR(COUNTIFS($A$1:A683,"Câu "&amp;"*")-MID(A683,5,FIND(".",A683,1)-5),0)</f>
        <v>0</v>
      </c>
      <c r="D683" t="str">
        <f t="shared" si="39"/>
        <v/>
      </c>
      <c r="E683" t="str">
        <f>SUBSTITUTE(IF(LEFT(A683,3)="Câu",MID(A683,FIND(".",A683,1)+2,LEN(A683)),""),CHAR(34),CHAR(92)&amp;CHAR(34))</f>
        <v/>
      </c>
      <c r="G683" t="str">
        <f>SUBSTITUTE(B684,CHAR(34),CHAR(92)&amp;CHAR(34))</f>
        <v xml:space="preserve"> Cả ba ý trên.</v>
      </c>
      <c r="H683" t="str">
        <f>SUBSTITUTE(B685,CHAR(34),CHAR(92)&amp;CHAR(34))</f>
        <v/>
      </c>
      <c r="I683" t="str">
        <f>SUBSTITUTE(IF(LEFT(A686,3)="Câu","",B686),CHAR(34),CHAR(92)&amp;CHAR(34))</f>
        <v>Được phép lái xe không hạn chế tốc độ và khoảng cách an toàn tối thiểu với xe phía trước cùng làn đường hoặc phần đường.</v>
      </c>
      <c r="J683" t="str">
        <f>SUBSTITUTE(IF(OR(LEFT(A687,3)="Câu",I683=""),"",IF(B687=0,"",B687)),CHAR(34),CHAR(92)&amp;CHAR(34))</f>
        <v>Được phép lái xe không hạn chế tốc độ và khoảng cách an toàn tối thiểu với xe phía trước cùng làn đường hoặc phần đường khi tham gia giao thông trên đường nhánh.</v>
      </c>
      <c r="K683" t="str">
        <f>SUBSTITUTE(SUBSTITUTE(SUBSTITUTE(SUBSTITUTE(IFERROR(VLOOKUP("Câu "&amp;D683&amp;".",dapan!$E:$J,6,0),""),"1","A"),"2","B"),"3","C"),"4","D")</f>
        <v/>
      </c>
      <c r="P683" t="str">
        <f t="shared" si="37"/>
        <v/>
      </c>
      <c r="Q683" t="str">
        <f t="shared" si="38"/>
        <v/>
      </c>
    </row>
    <row r="684" spans="1:17" hidden="1" x14ac:dyDescent="0.25">
      <c r="A684">
        <v>4</v>
      </c>
      <c r="B684" t="s">
        <v>89</v>
      </c>
      <c r="C684">
        <f>IFERROR(COUNTIFS($A$1:A684,"Câu "&amp;"*")-MID(A684,5,FIND(".",A684,1)-5),0)</f>
        <v>0</v>
      </c>
      <c r="D684" t="str">
        <f t="shared" si="39"/>
        <v/>
      </c>
      <c r="E684" t="str">
        <f>SUBSTITUTE(IF(LEFT(A684,3)="Câu",MID(A684,FIND(".",A684,1)+2,LEN(A684)),""),CHAR(34),CHAR(92)&amp;CHAR(34))</f>
        <v/>
      </c>
      <c r="G684" t="str">
        <f>SUBSTITUTE(B685,CHAR(34),CHAR(92)&amp;CHAR(34))</f>
        <v/>
      </c>
      <c r="H684" t="str">
        <f>SUBSTITUTE(B686,CHAR(34),CHAR(92)&amp;CHAR(34))</f>
        <v>Được phép lái xe không hạn chế tốc độ và khoảng cách an toàn tối thiểu với xe phía trước cùng làn đường hoặc phần đường.</v>
      </c>
      <c r="I684" t="str">
        <f>SUBSTITUTE(IF(LEFT(A687,3)="Câu","",B687),CHAR(34),CHAR(92)&amp;CHAR(34))</f>
        <v>Được phép lái xe không hạn chế tốc độ và khoảng cách an toàn tối thiểu với xe phía trước cùng làn đường hoặc phần đường khi tham gia giao thông trên đường nhánh.</v>
      </c>
      <c r="J684" t="str">
        <f>SUBSTITUTE(IF(OR(LEFT(A688,3)="Câu",I684=""),"",IF(B688=0,"",B688)),CHAR(34),CHAR(92)&amp;CHAR(34))</f>
        <v xml:space="preserve"> Chấp hành quy định về tốc độ, khoảng cách an toàn tối thiểu với xe phía trước cùng làn đường hoặc phần đường.</v>
      </c>
      <c r="K684" t="str">
        <f>SUBSTITUTE(SUBSTITUTE(SUBSTITUTE(SUBSTITUTE(IFERROR(VLOOKUP("Câu "&amp;D684&amp;".",dapan!$E:$J,6,0),""),"1","A"),"2","B"),"3","C"),"4","D")</f>
        <v/>
      </c>
      <c r="P684" t="str">
        <f t="shared" si="37"/>
        <v/>
      </c>
      <c r="Q684" t="str">
        <f t="shared" si="38"/>
        <v/>
      </c>
    </row>
    <row r="685" spans="1:17" x14ac:dyDescent="0.25">
      <c r="A685" t="s">
        <v>580</v>
      </c>
      <c r="C685">
        <f>IFERROR(COUNTIFS($A$1:A685,"Câu "&amp;"*")-MID(A685,5,FIND(".",A685,1)-5),0)</f>
        <v>0</v>
      </c>
      <c r="D685">
        <f t="shared" si="39"/>
        <v>166</v>
      </c>
      <c r="E685" t="str">
        <f>SUBSTITUTE(IF(LEFT(A685,3)="Câu",MID(A685,FIND(".",A685,1)+2,LEN(A685)),""),CHAR(34),CHAR(92)&amp;CHAR(34))</f>
        <v>Tại những đoạn đường không bố trí biển báo hạn chế tốc độ, không bố trí biển báo khoảng cách an toàn tối thiểu giữa hai xe, người lái xe phải thực hiện quy định nào dưới đây để bảo đảm an toàn?</v>
      </c>
      <c r="G685" t="str">
        <f>SUBSTITUTE(B686,CHAR(34),CHAR(92)&amp;CHAR(34))</f>
        <v>Được phép lái xe không hạn chế tốc độ và khoảng cách an toàn tối thiểu với xe phía trước cùng làn đường hoặc phần đường.</v>
      </c>
      <c r="H685" t="str">
        <f>SUBSTITUTE(B687,CHAR(34),CHAR(92)&amp;CHAR(34))</f>
        <v>Được phép lái xe không hạn chế tốc độ và khoảng cách an toàn tối thiểu với xe phía trước cùng làn đường hoặc phần đường khi tham gia giao thông trên đường nhánh.</v>
      </c>
      <c r="I685" t="str">
        <f>SUBSTITUTE(IF(LEFT(A688,3)="Câu","",B688),CHAR(34),CHAR(92)&amp;CHAR(34))</f>
        <v xml:space="preserve"> Chấp hành quy định về tốc độ, khoảng cách an toàn tối thiểu với xe phía trước cùng làn đường hoặc phần đường.</v>
      </c>
      <c r="J685" t="str">
        <f>SUBSTITUTE(IF(OR(LEFT(A689,3)="Câu",I685=""),"",IF(B689=0,"",B689)),CHAR(34),CHAR(92)&amp;CHAR(34))</f>
        <v/>
      </c>
      <c r="K685" t="str">
        <f ca="1">SUBSTITUTE(SUBSTITUTE(SUBSTITUTE(SUBSTITUTE(IFERROR(VLOOKUP("Câu "&amp;D685&amp;".",dapan!$E:$J,6,0),""),"1","A"),"2","B"),"3","C"),"4","D")</f>
        <v>C</v>
      </c>
      <c r="P685">
        <f t="shared" si="37"/>
        <v>166</v>
      </c>
      <c r="Q685" t="str">
        <f t="shared" ca="1" si="38"/>
        <v>{"num":166,"id":166,"q":"Tại những đoạn đường không bố trí biển báo hạn chế tốc độ, không bố trí biển báo khoảng cách an toàn tối thiểu giữa hai xe, người lái xe phải thực hiện quy định nào dưới đây để bảo đảm an toàn?","opts":{"A":"Được phép lái xe không hạn chế tốc độ và khoảng cách an toàn tối thiểu với xe phía trước cùng làn đường hoặc phần đường.","B":"Được phép lái xe không hạn chế tốc độ và khoảng cách an toàn tối thiểu với xe phía trước cùng làn đường hoặc phần đường khi tham gia giao thông trên đường nhánh.","C":" Chấp hành quy định về tốc độ, khoảng cách an toàn tối thiểu với xe phía trước cùng làn đường hoặc phần đường."},"answer":"C"},</v>
      </c>
    </row>
    <row r="686" spans="1:17" hidden="1" x14ac:dyDescent="0.25">
      <c r="A686">
        <v>1</v>
      </c>
      <c r="B686" t="s">
        <v>581</v>
      </c>
      <c r="C686">
        <f>IFERROR(COUNTIFS($A$1:A686,"Câu "&amp;"*")-MID(A686,5,FIND(".",A686,1)-5),0)</f>
        <v>0</v>
      </c>
      <c r="D686" t="str">
        <f t="shared" si="39"/>
        <v/>
      </c>
      <c r="E686" t="str">
        <f>SUBSTITUTE(IF(LEFT(A686,3)="Câu",MID(A686,FIND(".",A686,1)+2,LEN(A686)),""),CHAR(34),CHAR(92)&amp;CHAR(34))</f>
        <v/>
      </c>
      <c r="G686" t="str">
        <f>SUBSTITUTE(B687,CHAR(34),CHAR(92)&amp;CHAR(34))</f>
        <v>Được phép lái xe không hạn chế tốc độ và khoảng cách an toàn tối thiểu với xe phía trước cùng làn đường hoặc phần đường khi tham gia giao thông trên đường nhánh.</v>
      </c>
      <c r="H686" t="str">
        <f>SUBSTITUTE(B688,CHAR(34),CHAR(92)&amp;CHAR(34))</f>
        <v xml:space="preserve"> Chấp hành quy định về tốc độ, khoảng cách an toàn tối thiểu với xe phía trước cùng làn đường hoặc phần đường.</v>
      </c>
      <c r="I686" t="str">
        <f>SUBSTITUTE(IF(LEFT(A689,3)="Câu","",B689),CHAR(34),CHAR(92)&amp;CHAR(34))</f>
        <v/>
      </c>
      <c r="J686" t="str">
        <f>SUBSTITUTE(IF(OR(LEFT(A690,3)="Câu",I686=""),"",IF(B690=0,"",B690)),CHAR(34),CHAR(92)&amp;CHAR(34))</f>
        <v/>
      </c>
      <c r="K686" t="str">
        <f>SUBSTITUTE(SUBSTITUTE(SUBSTITUTE(SUBSTITUTE(IFERROR(VLOOKUP("Câu "&amp;D686&amp;".",dapan!$E:$J,6,0),""),"1","A"),"2","B"),"3","C"),"4","D")</f>
        <v/>
      </c>
      <c r="P686" t="str">
        <f t="shared" si="37"/>
        <v/>
      </c>
      <c r="Q686" t="str">
        <f t="shared" si="38"/>
        <v/>
      </c>
    </row>
    <row r="687" spans="1:17" hidden="1" x14ac:dyDescent="0.25">
      <c r="A687">
        <v>2</v>
      </c>
      <c r="B687" t="s">
        <v>582</v>
      </c>
      <c r="C687">
        <f>IFERROR(COUNTIFS($A$1:A687,"Câu "&amp;"*")-MID(A687,5,FIND(".",A687,1)-5),0)</f>
        <v>0</v>
      </c>
      <c r="D687" t="str">
        <f t="shared" si="39"/>
        <v/>
      </c>
      <c r="E687" t="str">
        <f>SUBSTITUTE(IF(LEFT(A687,3)="Câu",MID(A687,FIND(".",A687,1)+2,LEN(A687)),""),CHAR(34),CHAR(92)&amp;CHAR(34))</f>
        <v/>
      </c>
      <c r="G687" t="str">
        <f>SUBSTITUTE(B688,CHAR(34),CHAR(92)&amp;CHAR(34))</f>
        <v xml:space="preserve"> Chấp hành quy định về tốc độ, khoảng cách an toàn tối thiểu với xe phía trước cùng làn đường hoặc phần đường.</v>
      </c>
      <c r="H687" t="str">
        <f>SUBSTITUTE(B689,CHAR(34),CHAR(92)&amp;CHAR(34))</f>
        <v/>
      </c>
      <c r="I687" t="str">
        <f>SUBSTITUTE(IF(LEFT(A690,3)="Câu","",B690),CHAR(34),CHAR(92)&amp;CHAR(34))</f>
        <v>Tăng tốc độ để nhanh chóng vượt qua xe buýt.</v>
      </c>
      <c r="J687" t="str">
        <f>SUBSTITUTE(IF(OR(LEFT(A691,3)="Câu",I687=""),"",IF(B691=0,"",B691)),CHAR(34),CHAR(92)&amp;CHAR(34))</f>
        <v xml:space="preserve"> Quan sát, giảm tốc độ đi qua xe buýt hoặc dừng lại để bảo đảm an toàn.</v>
      </c>
      <c r="K687" t="str">
        <f>SUBSTITUTE(SUBSTITUTE(SUBSTITUTE(SUBSTITUTE(IFERROR(VLOOKUP("Câu "&amp;D687&amp;".",dapan!$E:$J,6,0),""),"1","A"),"2","B"),"3","C"),"4","D")</f>
        <v/>
      </c>
      <c r="P687" t="str">
        <f t="shared" si="37"/>
        <v/>
      </c>
      <c r="Q687" t="str">
        <f t="shared" si="38"/>
        <v/>
      </c>
    </row>
    <row r="688" spans="1:17" hidden="1" x14ac:dyDescent="0.25">
      <c r="A688">
        <v>3</v>
      </c>
      <c r="B688" t="s">
        <v>583</v>
      </c>
      <c r="C688">
        <f>IFERROR(COUNTIFS($A$1:A688,"Câu "&amp;"*")-MID(A688,5,FIND(".",A688,1)-5),0)</f>
        <v>0</v>
      </c>
      <c r="D688" t="str">
        <f t="shared" si="39"/>
        <v/>
      </c>
      <c r="E688" t="str">
        <f>SUBSTITUTE(IF(LEFT(A688,3)="Câu",MID(A688,FIND(".",A688,1)+2,LEN(A688)),""),CHAR(34),CHAR(92)&amp;CHAR(34))</f>
        <v/>
      </c>
      <c r="G688" t="str">
        <f>SUBSTITUTE(B689,CHAR(34),CHAR(92)&amp;CHAR(34))</f>
        <v/>
      </c>
      <c r="H688" t="str">
        <f>SUBSTITUTE(B690,CHAR(34),CHAR(92)&amp;CHAR(34))</f>
        <v>Tăng tốc độ để nhanh chóng vượt qua xe buýt.</v>
      </c>
      <c r="I688" t="str">
        <f>SUBSTITUTE(IF(LEFT(A691,3)="Câu","",B691),CHAR(34),CHAR(92)&amp;CHAR(34))</f>
        <v xml:space="preserve"> Quan sát, giảm tốc độ đi qua xe buýt hoặc dừng lại để bảo đảm an toàn.</v>
      </c>
      <c r="J688" t="str">
        <f>SUBSTITUTE(IF(OR(LEFT(A692,3)="Câu",I688=""),"",IF(B692=0,"",B692)),CHAR(34),CHAR(92)&amp;CHAR(34))</f>
        <v/>
      </c>
      <c r="K688" t="str">
        <f>SUBSTITUTE(SUBSTITUTE(SUBSTITUTE(SUBSTITUTE(IFERROR(VLOOKUP("Câu "&amp;D688&amp;".",dapan!$E:$J,6,0),""),"1","A"),"2","B"),"3","C"),"4","D")</f>
        <v/>
      </c>
      <c r="P688" t="str">
        <f t="shared" si="37"/>
        <v/>
      </c>
      <c r="Q688" t="str">
        <f t="shared" si="38"/>
        <v/>
      </c>
    </row>
    <row r="689" spans="1:17" x14ac:dyDescent="0.25">
      <c r="A689" t="s">
        <v>584</v>
      </c>
      <c r="C689">
        <f>IFERROR(COUNTIFS($A$1:A689,"Câu "&amp;"*")-MID(A689,5,FIND(".",A689,1)-5),0)</f>
        <v>0</v>
      </c>
      <c r="D689">
        <f t="shared" si="39"/>
        <v>167</v>
      </c>
      <c r="E689" t="str">
        <f>SUBSTITUTE(IF(LEFT(A689,3)="Câu",MID(A689,FIND(".",A689,1)+2,LEN(A689)),""),CHAR(34),CHAR(92)&amp;CHAR(34))</f>
        <v>Khi gặp xe buýt đang dừng đón, trả khách, người điều khiển xe mô tô phải xử lý như thế nào dưới đây?</v>
      </c>
      <c r="G689" t="str">
        <f>SUBSTITUTE(B690,CHAR(34),CHAR(92)&amp;CHAR(34))</f>
        <v>Tăng tốc độ để nhanh chóng vượt qua xe buýt.</v>
      </c>
      <c r="H689" t="str">
        <f>SUBSTITUTE(B691,CHAR(34),CHAR(92)&amp;CHAR(34))</f>
        <v xml:space="preserve"> Quan sát, giảm tốc độ đi qua xe buýt hoặc dừng lại để bảo đảm an toàn.</v>
      </c>
      <c r="I689" t="str">
        <f>SUBSTITUTE(IF(LEFT(A692,3)="Câu","",B692),CHAR(34),CHAR(92)&amp;CHAR(34))</f>
        <v/>
      </c>
      <c r="J689" t="str">
        <f>SUBSTITUTE(IF(OR(LEFT(A693,3)="Câu",I689=""),"",IF(B693=0,"",B693)),CHAR(34),CHAR(92)&amp;CHAR(34))</f>
        <v/>
      </c>
      <c r="K689" t="str">
        <f ca="1">SUBSTITUTE(SUBSTITUTE(SUBSTITUTE(SUBSTITUTE(IFERROR(VLOOKUP("Câu "&amp;D689&amp;".",dapan!$E:$J,6,0),""),"1","A"),"2","B"),"3","C"),"4","D")</f>
        <v>B</v>
      </c>
      <c r="P689">
        <f t="shared" si="37"/>
        <v>167</v>
      </c>
      <c r="Q689" t="str">
        <f t="shared" ca="1" si="38"/>
        <v>{"num":167,"id":167,"q":"Khi gặp xe buýt đang dừng đón, trả khách, người điều khiển xe mô tô phải xử lý như thế nào dưới đây?","opts":{"A":"Tăng tốc độ để nhanh chóng vượt qua xe buýt.","B":" Quan sát, giảm tốc độ đi qua xe buýt hoặc dừng lại để bảo đảm an toàn."},"answer":"B"},</v>
      </c>
    </row>
    <row r="690" spans="1:17" hidden="1" x14ac:dyDescent="0.25">
      <c r="A690">
        <v>1</v>
      </c>
      <c r="B690" t="s">
        <v>585</v>
      </c>
      <c r="C690">
        <f>IFERROR(COUNTIFS($A$1:A690,"Câu "&amp;"*")-MID(A690,5,FIND(".",A690,1)-5),0)</f>
        <v>0</v>
      </c>
      <c r="D690" t="str">
        <f t="shared" si="39"/>
        <v/>
      </c>
      <c r="E690" t="str">
        <f>SUBSTITUTE(IF(LEFT(A690,3)="Câu",MID(A690,FIND(".",A690,1)+2,LEN(A690)),""),CHAR(34),CHAR(92)&amp;CHAR(34))</f>
        <v/>
      </c>
      <c r="G690" t="str">
        <f>SUBSTITUTE(B691,CHAR(34),CHAR(92)&amp;CHAR(34))</f>
        <v xml:space="preserve"> Quan sát, giảm tốc độ đi qua xe buýt hoặc dừng lại để bảo đảm an toàn.</v>
      </c>
      <c r="H690" t="str">
        <f>SUBSTITUTE(B692,CHAR(34),CHAR(92)&amp;CHAR(34))</f>
        <v/>
      </c>
      <c r="I690" t="str">
        <f>SUBSTITUTE(IF(LEFT(A693,3)="Câu","",B693),CHAR(34),CHAR(92)&amp;CHAR(34))</f>
        <v xml:space="preserve"> Đón, trả hành khách đúng nơi quy định;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v>
      </c>
      <c r="J690" t="str">
        <f>SUBSTITUTE(IF(OR(LEFT(A694,3)="Câu",I690=""),"",IF(B694=0,"",B694)),CHAR(34),CHAR(92)&amp;CHAR(34))</f>
        <v>Đón, trả hành khách theo yêu cầu của hành khách trên xe;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v>
      </c>
      <c r="K690" t="str">
        <f>SUBSTITUTE(SUBSTITUTE(SUBSTITUTE(SUBSTITUTE(IFERROR(VLOOKUP("Câu "&amp;D690&amp;".",dapan!$E:$J,6,0),""),"1","A"),"2","B"),"3","C"),"4","D")</f>
        <v/>
      </c>
      <c r="P690" t="str">
        <f t="shared" si="37"/>
        <v/>
      </c>
      <c r="Q690" t="str">
        <f t="shared" si="38"/>
        <v/>
      </c>
    </row>
    <row r="691" spans="1:17" hidden="1" x14ac:dyDescent="0.25">
      <c r="A691">
        <v>2</v>
      </c>
      <c r="B691" t="s">
        <v>586</v>
      </c>
      <c r="C691">
        <f>IFERROR(COUNTIFS($A$1:A691,"Câu "&amp;"*")-MID(A691,5,FIND(".",A691,1)-5),0)</f>
        <v>0</v>
      </c>
      <c r="D691" t="str">
        <f t="shared" si="39"/>
        <v/>
      </c>
      <c r="E691" t="str">
        <f>SUBSTITUTE(IF(LEFT(A691,3)="Câu",MID(A691,FIND(".",A691,1)+2,LEN(A691)),""),CHAR(34),CHAR(92)&amp;CHAR(34))</f>
        <v/>
      </c>
      <c r="G691" t="str">
        <f>SUBSTITUTE(B692,CHAR(34),CHAR(92)&amp;CHAR(34))</f>
        <v/>
      </c>
      <c r="H691" t="str">
        <f>SUBSTITUTE(B693,CHAR(34),CHAR(92)&amp;CHAR(34))</f>
        <v xml:space="preserve"> Đón, trả hành khách đúng nơi quy định;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v>
      </c>
      <c r="I691" t="str">
        <f>SUBSTITUTE(IF(LEFT(A694,3)="Câu","",B694),CHAR(34),CHAR(92)&amp;CHAR(34))</f>
        <v>Đón, trả hành khách theo yêu cầu của hành khách trên xe;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v>
      </c>
      <c r="J691" t="str">
        <f>SUBSTITUTE(IF(OR(LEFT(A695,3)="Câu",I691=""),"",IF(B695=0,"",B695)),CHAR(34),CHAR(92)&amp;CHAR(34))</f>
        <v/>
      </c>
      <c r="K691" t="str">
        <f>SUBSTITUTE(SUBSTITUTE(SUBSTITUTE(SUBSTITUTE(IFERROR(VLOOKUP("Câu "&amp;D691&amp;".",dapan!$E:$J,6,0),""),"1","A"),"2","B"),"3","C"),"4","D")</f>
        <v/>
      </c>
      <c r="P691" t="str">
        <f t="shared" si="37"/>
        <v/>
      </c>
      <c r="Q691" t="str">
        <f t="shared" si="38"/>
        <v/>
      </c>
    </row>
    <row r="692" spans="1:17" x14ac:dyDescent="0.25">
      <c r="A692" t="s">
        <v>587</v>
      </c>
      <c r="C692">
        <f>IFERROR(COUNTIFS($A$1:A692,"Câu "&amp;"*")-MID(A692,5,FIND(".",A692,1)-5),0)</f>
        <v>0</v>
      </c>
      <c r="D692">
        <f t="shared" si="39"/>
        <v>168</v>
      </c>
      <c r="E692" t="str">
        <f>SUBSTITUTE(IF(LEFT(A692,3)="Câu",MID(A692,FIND(".",A692,1)+2,LEN(A692)),""),CHAR(34),CHAR(92)&amp;CHAR(34))</f>
        <v>Việc vận chuyển hành khách bằng xe ô tô phải tuân thủ các quy định nào dưới đây?</v>
      </c>
      <c r="G692" t="str">
        <f>SUBSTITUTE(B693,CHAR(34),CHAR(92)&amp;CHAR(34))</f>
        <v xml:space="preserve"> Đón, trả hành khách đúng nơi quy định;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v>
      </c>
      <c r="H692" t="str">
        <f>SUBSTITUTE(B694,CHAR(34),CHAR(92)&amp;CHAR(34))</f>
        <v>Đón, trả hành khách theo yêu cầu của hành khách trên xe;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v>
      </c>
      <c r="I692" t="str">
        <f>SUBSTITUTE(IF(LEFT(A695,3)="Câu","",B695),CHAR(34),CHAR(92)&amp;CHAR(34))</f>
        <v/>
      </c>
      <c r="J692" t="str">
        <f>SUBSTITUTE(IF(OR(LEFT(A696,3)="Câu",I692=""),"",IF(B696=0,"",B696)),CHAR(34),CHAR(92)&amp;CHAR(34))</f>
        <v/>
      </c>
      <c r="K692" t="str">
        <f ca="1">SUBSTITUTE(SUBSTITUTE(SUBSTITUTE(SUBSTITUTE(IFERROR(VLOOKUP("Câu "&amp;D692&amp;".",dapan!$E:$J,6,0),""),"1","A"),"2","B"),"3","C"),"4","D")</f>
        <v>A</v>
      </c>
      <c r="P692">
        <f t="shared" si="37"/>
        <v>168</v>
      </c>
      <c r="Q692" t="str">
        <f t="shared" ca="1" si="38"/>
        <v>{"num":168,"id":168,"q":"Việc vận chuyển hành khách bằng xe ô tô phải tuân thủ các quy định nào dưới đây?","opts":{"A":" Đón, trả hành khách đúng nơi quy định;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xe.","B":"Đón, trả hành khách theo yêu cầu của hành khách trên xe;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xe."},"answer":"A"},</v>
      </c>
    </row>
    <row r="693" spans="1:17" hidden="1" x14ac:dyDescent="0.25">
      <c r="A693">
        <v>1</v>
      </c>
      <c r="B693" t="s">
        <v>588</v>
      </c>
      <c r="C693">
        <f>IFERROR(COUNTIFS($A$1:A693,"Câu "&amp;"*")-MID(A693,5,FIND(".",A693,1)-5),0)</f>
        <v>0</v>
      </c>
      <c r="D693" t="str">
        <f t="shared" si="39"/>
        <v/>
      </c>
      <c r="E693" t="str">
        <f>SUBSTITUTE(IF(LEFT(A693,3)="Câu",MID(A693,FIND(".",A693,1)+2,LEN(A693)),""),CHAR(34),CHAR(92)&amp;CHAR(34))</f>
        <v/>
      </c>
      <c r="G693" t="str">
        <f>SUBSTITUTE(B694,CHAR(34),CHAR(92)&amp;CHAR(34))</f>
        <v>Đón, trả hành khách theo yêu cầu của hành khách trên xe; hướng dẫn sử dụng trang thiết bị an toàn trên xe; có biện pháp giữ gìn vệ sinh trong xe; vận chuyển hành khách đúng lịch trình, lộ trình đã đăng ký, trừ trường hợp bất khả kháng; không chở hành khách trên nóc xe, trong khoang chở hành lý hoặc để hành khách đu, bám bên ngoài xe.</v>
      </c>
      <c r="H693" t="str">
        <f>SUBSTITUTE(B695,CHAR(34),CHAR(92)&amp;CHAR(34))</f>
        <v/>
      </c>
      <c r="I693" t="str">
        <f>SUBSTITUTE(IF(LEFT(A696,3)="Câu","",B696),CHAR(34),CHAR(92)&amp;CHAR(34))</f>
        <v>Vận chuyển hàng hóa cấm lưu hành.</v>
      </c>
      <c r="J693" t="str">
        <f>SUBSTITUTE(IF(OR(LEFT(A697,3)="Câu",I693=""),"",IF(B697=0,"",B697)),CHAR(34),CHAR(92)&amp;CHAR(34))</f>
        <v>Vận chuyển trái phép hoặc không thực hiện đầy đủ các quy định của pháp luật về vận chuyển hàng hóa nguy hiểm.</v>
      </c>
      <c r="K693" t="str">
        <f>SUBSTITUTE(SUBSTITUTE(SUBSTITUTE(SUBSTITUTE(IFERROR(VLOOKUP("Câu "&amp;D693&amp;".",dapan!$E:$J,6,0),""),"1","A"),"2","B"),"3","C"),"4","D")</f>
        <v/>
      </c>
      <c r="P693" t="str">
        <f t="shared" si="37"/>
        <v/>
      </c>
      <c r="Q693" t="str">
        <f t="shared" si="38"/>
        <v/>
      </c>
    </row>
    <row r="694" spans="1:17" hidden="1" x14ac:dyDescent="0.25">
      <c r="A694">
        <v>2</v>
      </c>
      <c r="B694" t="s">
        <v>589</v>
      </c>
      <c r="C694">
        <f>IFERROR(COUNTIFS($A$1:A694,"Câu "&amp;"*")-MID(A694,5,FIND(".",A694,1)-5),0)</f>
        <v>0</v>
      </c>
      <c r="D694" t="str">
        <f t="shared" si="39"/>
        <v/>
      </c>
      <c r="E694" t="str">
        <f>SUBSTITUTE(IF(LEFT(A694,3)="Câu",MID(A694,FIND(".",A694,1)+2,LEN(A694)),""),CHAR(34),CHAR(92)&amp;CHAR(34))</f>
        <v/>
      </c>
      <c r="G694" t="str">
        <f>SUBSTITUTE(B695,CHAR(34),CHAR(92)&amp;CHAR(34))</f>
        <v/>
      </c>
      <c r="H694" t="str">
        <f>SUBSTITUTE(B696,CHAR(34),CHAR(92)&amp;CHAR(34))</f>
        <v>Vận chuyển hàng hóa cấm lưu hành.</v>
      </c>
      <c r="I694" t="str">
        <f>SUBSTITUTE(IF(LEFT(A697,3)="Câu","",B697),CHAR(34),CHAR(92)&amp;CHAR(34))</f>
        <v>Vận chuyển trái phép hoặc không thực hiện đầy đủ các quy định của pháp luật về vận chuyển hàng hóa nguy hiểm.</v>
      </c>
      <c r="J694" t="str">
        <f>SUBSTITUTE(IF(OR(LEFT(A698,3)="Câu",I694=""),"",IF(B698=0,"",B698)),CHAR(34),CHAR(92)&amp;CHAR(34))</f>
        <v>Vận chuyển động vật hoang dã.</v>
      </c>
      <c r="K694" t="str">
        <f>SUBSTITUTE(SUBSTITUTE(SUBSTITUTE(SUBSTITUTE(IFERROR(VLOOKUP("Câu "&amp;D694&amp;".",dapan!$E:$J,6,0),""),"1","A"),"2","B"),"3","C"),"4","D")</f>
        <v/>
      </c>
      <c r="P694" t="str">
        <f t="shared" si="37"/>
        <v/>
      </c>
      <c r="Q694" t="str">
        <f t="shared" si="38"/>
        <v/>
      </c>
    </row>
    <row r="695" spans="1:17" x14ac:dyDescent="0.25">
      <c r="A695" t="s">
        <v>590</v>
      </c>
      <c r="C695">
        <f>IFERROR(COUNTIFS($A$1:A695,"Câu "&amp;"*")-MID(A695,5,FIND(".",A695,1)-5),0)</f>
        <v>0</v>
      </c>
      <c r="D695">
        <f t="shared" si="39"/>
        <v>169</v>
      </c>
      <c r="E695" t="str">
        <f>SUBSTITUTE(IF(LEFT(A695,3)="Câu",MID(A695,FIND(".",A695,1)+2,LEN(A695)),""),CHAR(34),CHAR(92)&amp;CHAR(34))</f>
        <v>Trong hoạt động vận tải đường bộ, các hành vi nào dưới đây bị nghiêm cấm?</v>
      </c>
      <c r="G695" t="str">
        <f>SUBSTITUTE(B696,CHAR(34),CHAR(92)&amp;CHAR(34))</f>
        <v>Vận chuyển hàng hóa cấm lưu hành.</v>
      </c>
      <c r="H695" t="str">
        <f>SUBSTITUTE(B697,CHAR(34),CHAR(92)&amp;CHAR(34))</f>
        <v>Vận chuyển trái phép hoặc không thực hiện đầy đủ các quy định của pháp luật về vận chuyển hàng hóa nguy hiểm.</v>
      </c>
      <c r="I695" t="str">
        <f>SUBSTITUTE(IF(LEFT(A698,3)="Câu","",B698),CHAR(34),CHAR(92)&amp;CHAR(34))</f>
        <v>Vận chuyển động vật hoang dã.</v>
      </c>
      <c r="J695" t="str">
        <f>SUBSTITUTE(IF(OR(LEFT(A699,3)="Câu",I695=""),"",IF(B699=0,"",B699)),CHAR(34),CHAR(92)&amp;CHAR(34))</f>
        <v xml:space="preserve"> Cả ba ý trên.</v>
      </c>
      <c r="K695" t="str">
        <f ca="1">SUBSTITUTE(SUBSTITUTE(SUBSTITUTE(SUBSTITUTE(IFERROR(VLOOKUP("Câu "&amp;D695&amp;".",dapan!$E:$J,6,0),""),"1","A"),"2","B"),"3","C"),"4","D")</f>
        <v>D</v>
      </c>
      <c r="P695">
        <f t="shared" si="37"/>
        <v>169</v>
      </c>
      <c r="Q695" t="str">
        <f t="shared" ca="1" si="38"/>
        <v>{"num":169,"id":169,"q":"Trong hoạt động vận tải đường bộ, các hành vi nào dưới đây bị nghiêm cấm?","opts":{"A":"Vận chuyển hàng hóa cấm lưu hành.","B":"Vận chuyển trái phép hoặc không thực hiện đầy đủ các quy định của pháp luật về vận chuyển hàng hóa nguy hiểm.","C":"Vận chuyển động vật hoang dã.","D":" Cả ba ý trên."},"answer":"D"},</v>
      </c>
    </row>
    <row r="696" spans="1:17" hidden="1" x14ac:dyDescent="0.25">
      <c r="A696">
        <v>1</v>
      </c>
      <c r="B696" t="s">
        <v>591</v>
      </c>
      <c r="C696">
        <f>IFERROR(COUNTIFS($A$1:A696,"Câu "&amp;"*")-MID(A696,5,FIND(".",A696,1)-5),0)</f>
        <v>0</v>
      </c>
      <c r="D696" t="str">
        <f t="shared" si="39"/>
        <v/>
      </c>
      <c r="E696" t="str">
        <f>SUBSTITUTE(IF(LEFT(A696,3)="Câu",MID(A696,FIND(".",A696,1)+2,LEN(A696)),""),CHAR(34),CHAR(92)&amp;CHAR(34))</f>
        <v/>
      </c>
      <c r="G696" t="str">
        <f>SUBSTITUTE(B697,CHAR(34),CHAR(92)&amp;CHAR(34))</f>
        <v>Vận chuyển trái phép hoặc không thực hiện đầy đủ các quy định của pháp luật về vận chuyển hàng hóa nguy hiểm.</v>
      </c>
      <c r="H696" t="str">
        <f>SUBSTITUTE(B698,CHAR(34),CHAR(92)&amp;CHAR(34))</f>
        <v>Vận chuyển động vật hoang dã.</v>
      </c>
      <c r="I696" t="str">
        <f>SUBSTITUTE(IF(LEFT(A699,3)="Câu","",B699),CHAR(34),CHAR(92)&amp;CHAR(34))</f>
        <v xml:space="preserve"> Cả ba ý trên.</v>
      </c>
      <c r="J696" t="str">
        <f>SUBSTITUTE(IF(OR(LEFT(A700,3)="Câu",I696=""),"",IF(B700=0,"",B700)),CHAR(34),CHAR(92)&amp;CHAR(34))</f>
        <v/>
      </c>
      <c r="K696" t="str">
        <f>SUBSTITUTE(SUBSTITUTE(SUBSTITUTE(SUBSTITUTE(IFERROR(VLOOKUP("Câu "&amp;D696&amp;".",dapan!$E:$J,6,0),""),"1","A"),"2","B"),"3","C"),"4","D")</f>
        <v/>
      </c>
      <c r="P696" t="str">
        <f t="shared" si="37"/>
        <v/>
      </c>
      <c r="Q696" t="str">
        <f t="shared" si="38"/>
        <v/>
      </c>
    </row>
    <row r="697" spans="1:17" hidden="1" x14ac:dyDescent="0.25">
      <c r="A697">
        <v>2</v>
      </c>
      <c r="B697" t="s">
        <v>592</v>
      </c>
      <c r="C697">
        <f>IFERROR(COUNTIFS($A$1:A697,"Câu "&amp;"*")-MID(A697,5,FIND(".",A697,1)-5),0)</f>
        <v>0</v>
      </c>
      <c r="D697" t="str">
        <f t="shared" si="39"/>
        <v/>
      </c>
      <c r="E697" t="str">
        <f>SUBSTITUTE(IF(LEFT(A697,3)="Câu",MID(A697,FIND(".",A697,1)+2,LEN(A697)),""),CHAR(34),CHAR(92)&amp;CHAR(34))</f>
        <v/>
      </c>
      <c r="G697" t="str">
        <f>SUBSTITUTE(B698,CHAR(34),CHAR(92)&amp;CHAR(34))</f>
        <v>Vận chuyển động vật hoang dã.</v>
      </c>
      <c r="H697" t="str">
        <f>SUBSTITUTE(B699,CHAR(34),CHAR(92)&amp;CHAR(34))</f>
        <v xml:space="preserve"> Cả ba ý trên.</v>
      </c>
      <c r="I697" t="str">
        <f>SUBSTITUTE(IF(LEFT(A700,3)="Câu","",B700),CHAR(34),CHAR(92)&amp;CHAR(34))</f>
        <v/>
      </c>
      <c r="J697" t="str">
        <f>SUBSTITUTE(IF(OR(LEFT(A701,3)="Câu",I697=""),"",IF(B701=0,"",B701)),CHAR(34),CHAR(92)&amp;CHAR(34))</f>
        <v/>
      </c>
      <c r="K697" t="str">
        <f>SUBSTITUTE(SUBSTITUTE(SUBSTITUTE(SUBSTITUTE(IFERROR(VLOOKUP("Câu "&amp;D697&amp;".",dapan!$E:$J,6,0),""),"1","A"),"2","B"),"3","C"),"4","D")</f>
        <v/>
      </c>
      <c r="P697" t="str">
        <f t="shared" si="37"/>
        <v/>
      </c>
      <c r="Q697" t="str">
        <f t="shared" si="38"/>
        <v/>
      </c>
    </row>
    <row r="698" spans="1:17" hidden="1" x14ac:dyDescent="0.25">
      <c r="A698">
        <v>3</v>
      </c>
      <c r="B698" t="s">
        <v>593</v>
      </c>
      <c r="C698">
        <f>IFERROR(COUNTIFS($A$1:A698,"Câu "&amp;"*")-MID(A698,5,FIND(".",A698,1)-5),0)</f>
        <v>0</v>
      </c>
      <c r="D698" t="str">
        <f t="shared" si="39"/>
        <v/>
      </c>
      <c r="E698" t="str">
        <f>SUBSTITUTE(IF(LEFT(A698,3)="Câu",MID(A698,FIND(".",A698,1)+2,LEN(A698)),""),CHAR(34),CHAR(92)&amp;CHAR(34))</f>
        <v/>
      </c>
      <c r="G698" t="str">
        <f>SUBSTITUTE(B699,CHAR(34),CHAR(92)&amp;CHAR(34))</f>
        <v xml:space="preserve"> Cả ba ý trên.</v>
      </c>
      <c r="H698" t="str">
        <f>SUBSTITUTE(B700,CHAR(34),CHAR(92)&amp;CHAR(34))</f>
        <v/>
      </c>
      <c r="I698" t="str">
        <f>SUBSTITUTE(IF(LEFT(A701,3)="Câu","",B701),CHAR(34),CHAR(92)&amp;CHAR(34))</f>
        <v>Cạnh tranh nhau nhằm tăng lợi nhuận.</v>
      </c>
      <c r="J698" t="str">
        <f>SUBSTITUTE(IF(OR(LEFT(A702,3)="Câu",I698=""),"",IF(B702=0,"",B702)),CHAR(34),CHAR(92)&amp;CHAR(34))</f>
        <v>Giảm giá để thu hút khách.</v>
      </c>
      <c r="K698" t="str">
        <f>SUBSTITUTE(SUBSTITUTE(SUBSTITUTE(SUBSTITUTE(IFERROR(VLOOKUP("Câu "&amp;D698&amp;".",dapan!$E:$J,6,0),""),"1","A"),"2","B"),"3","C"),"4","D")</f>
        <v/>
      </c>
      <c r="P698" t="str">
        <f t="shared" si="37"/>
        <v/>
      </c>
      <c r="Q698" t="str">
        <f t="shared" si="38"/>
        <v/>
      </c>
    </row>
    <row r="699" spans="1:17" hidden="1" x14ac:dyDescent="0.25">
      <c r="A699">
        <v>4</v>
      </c>
      <c r="B699" t="s">
        <v>89</v>
      </c>
      <c r="C699">
        <f>IFERROR(COUNTIFS($A$1:A699,"Câu "&amp;"*")-MID(A699,5,FIND(".",A699,1)-5),0)</f>
        <v>0</v>
      </c>
      <c r="D699" t="str">
        <f t="shared" si="39"/>
        <v/>
      </c>
      <c r="E699" t="str">
        <f>SUBSTITUTE(IF(LEFT(A699,3)="Câu",MID(A699,FIND(".",A699,1)+2,LEN(A699)),""),CHAR(34),CHAR(92)&amp;CHAR(34))</f>
        <v/>
      </c>
      <c r="G699" t="str">
        <f>SUBSTITUTE(B700,CHAR(34),CHAR(92)&amp;CHAR(34))</f>
        <v/>
      </c>
      <c r="H699" t="str">
        <f>SUBSTITUTE(B701,CHAR(34),CHAR(92)&amp;CHAR(34))</f>
        <v>Cạnh tranh nhau nhằm tăng lợi nhuận.</v>
      </c>
      <c r="I699" t="str">
        <f>SUBSTITUTE(IF(LEFT(A702,3)="Câu","",B702),CHAR(34),CHAR(92)&amp;CHAR(34))</f>
        <v>Giảm giá để thu hút khách.</v>
      </c>
      <c r="J699" t="str">
        <f>SUBSTITUTE(IF(OR(LEFT(A703,3)="Câu",I699=""),"",IF(B703=0,"",B703)),CHAR(34),CHAR(92)&amp;CHAR(34))</f>
        <v xml:space="preserve"> 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v>
      </c>
      <c r="K699" t="str">
        <f>SUBSTITUTE(SUBSTITUTE(SUBSTITUTE(SUBSTITUTE(IFERROR(VLOOKUP("Câu "&amp;D699&amp;".",dapan!$E:$J,6,0),""),"1","A"),"2","B"),"3","C"),"4","D")</f>
        <v/>
      </c>
      <c r="P699" t="str">
        <f t="shared" si="37"/>
        <v/>
      </c>
      <c r="Q699" t="str">
        <f t="shared" si="38"/>
        <v/>
      </c>
    </row>
    <row r="700" spans="1:17" x14ac:dyDescent="0.25">
      <c r="A700" t="s">
        <v>594</v>
      </c>
      <c r="C700">
        <f>IFERROR(COUNTIFS($A$1:A700,"Câu "&amp;"*")-MID(A700,5,FIND(".",A700,1)-5),0)</f>
        <v>0</v>
      </c>
      <c r="D700">
        <f t="shared" si="39"/>
        <v>170</v>
      </c>
      <c r="E700" t="str">
        <f>SUBSTITUTE(IF(LEFT(A700,3)="Câu",MID(A700,FIND(".",A700,1)+2,LEN(A700)),""),CHAR(34),CHAR(92)&amp;CHAR(34))</f>
        <v>Trong hoạt động vận tải hành khách, những hành vi nào dưới đây bị nghiêm cấm?</v>
      </c>
      <c r="G700" t="str">
        <f>SUBSTITUTE(B701,CHAR(34),CHAR(92)&amp;CHAR(34))</f>
        <v>Cạnh tranh nhau nhằm tăng lợi nhuận.</v>
      </c>
      <c r="H700" t="str">
        <f>SUBSTITUTE(B702,CHAR(34),CHAR(92)&amp;CHAR(34))</f>
        <v>Giảm giá để thu hút khách.</v>
      </c>
      <c r="I700" t="str">
        <f>SUBSTITUTE(IF(LEFT(A703,3)="Câu","",B703),CHAR(34),CHAR(92)&amp;CHAR(34))</f>
        <v xml:space="preserve"> 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v>
      </c>
      <c r="J700" t="str">
        <f>SUBSTITUTE(IF(OR(LEFT(A704,3)="Câu",I700=""),"",IF(B704=0,"",B704)),CHAR(34),CHAR(92)&amp;CHAR(34))</f>
        <v>Cả ba ý trên.</v>
      </c>
      <c r="K700" t="str">
        <f ca="1">SUBSTITUTE(SUBSTITUTE(SUBSTITUTE(SUBSTITUTE(IFERROR(VLOOKUP("Câu "&amp;D700&amp;".",dapan!$E:$J,6,0),""),"1","A"),"2","B"),"3","C"),"4","D")</f>
        <v>C</v>
      </c>
      <c r="P700">
        <f t="shared" si="37"/>
        <v>170</v>
      </c>
      <c r="Q700" t="str">
        <f t="shared" ca="1" si="38"/>
        <v>{"num":170,"id":170,"q":"Trong hoạt động vận tải hành khách, những hành vi nào dưới đây bị nghiêm cấm?","opts":{"A":"Cạnh tranh nhau nhằm tăng lợi nhuận.","B":"Giảm giá để thu hút khách.","C":" 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luật.","D":"Cả ba ý trên."},"answer":"C"},</v>
      </c>
    </row>
    <row r="701" spans="1:17" hidden="1" x14ac:dyDescent="0.25">
      <c r="A701">
        <v>1</v>
      </c>
      <c r="B701" t="s">
        <v>595</v>
      </c>
      <c r="C701">
        <f>IFERROR(COUNTIFS($A$1:A701,"Câu "&amp;"*")-MID(A701,5,FIND(".",A701,1)-5),0)</f>
        <v>0</v>
      </c>
      <c r="D701" t="str">
        <f t="shared" si="39"/>
        <v/>
      </c>
      <c r="E701" t="str">
        <f>SUBSTITUTE(IF(LEFT(A701,3)="Câu",MID(A701,FIND(".",A701,1)+2,LEN(A701)),""),CHAR(34),CHAR(92)&amp;CHAR(34))</f>
        <v/>
      </c>
      <c r="G701" t="str">
        <f>SUBSTITUTE(B702,CHAR(34),CHAR(92)&amp;CHAR(34))</f>
        <v>Giảm giá để thu hút khách.</v>
      </c>
      <c r="H701" t="str">
        <f>SUBSTITUTE(B703,CHAR(34),CHAR(92)&amp;CHAR(34))</f>
        <v xml:space="preserve"> 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v>
      </c>
      <c r="I701" t="str">
        <f>SUBSTITUTE(IF(LEFT(A704,3)="Câu","",B704),CHAR(34),CHAR(92)&amp;CHAR(34))</f>
        <v>Cả ba ý trên.</v>
      </c>
      <c r="J701" t="str">
        <f>SUBSTITUTE(IF(OR(LEFT(A705,3)="Câu",I701=""),"",IF(B705=0,"",B705)),CHAR(34),CHAR(92)&amp;CHAR(34))</f>
        <v/>
      </c>
      <c r="K701" t="str">
        <f>SUBSTITUTE(SUBSTITUTE(SUBSTITUTE(SUBSTITUTE(IFERROR(VLOOKUP("Câu "&amp;D701&amp;".",dapan!$E:$J,6,0),""),"1","A"),"2","B"),"3","C"),"4","D")</f>
        <v/>
      </c>
      <c r="P701" t="str">
        <f t="shared" si="37"/>
        <v/>
      </c>
      <c r="Q701" t="str">
        <f t="shared" si="38"/>
        <v/>
      </c>
    </row>
    <row r="702" spans="1:17" hidden="1" x14ac:dyDescent="0.25">
      <c r="A702">
        <v>2</v>
      </c>
      <c r="B702" t="s">
        <v>596</v>
      </c>
      <c r="C702">
        <f>IFERROR(COUNTIFS($A$1:A702,"Câu "&amp;"*")-MID(A702,5,FIND(".",A702,1)-5),0)</f>
        <v>0</v>
      </c>
      <c r="D702" t="str">
        <f t="shared" si="39"/>
        <v/>
      </c>
      <c r="E702" t="str">
        <f>SUBSTITUTE(IF(LEFT(A702,3)="Câu",MID(A702,FIND(".",A702,1)+2,LEN(A702)),""),CHAR(34),CHAR(92)&amp;CHAR(34))</f>
        <v/>
      </c>
      <c r="G702" t="str">
        <f>SUBSTITUTE(B703,CHAR(34),CHAR(92)&amp;CHAR(34))</f>
        <v xml:space="preserve"> Đe dọa, xúc phạm, tranh giành, lôi kéo hành khách; đe doạ, cưỡng ép hành khách sử dụng dịch vụ ngoài ý muốn; chuyển tải, xuống khách hoặc các hành vi khác nhằm trốn tránh phát hiện xe chở quá tải, quá số người theo quy định của pháp luật.</v>
      </c>
      <c r="H702" t="str">
        <f>SUBSTITUTE(B704,CHAR(34),CHAR(92)&amp;CHAR(34))</f>
        <v>Cả ba ý trên.</v>
      </c>
      <c r="I702" t="str">
        <f>SUBSTITUTE(IF(LEFT(A705,3)="Câu","",B705),CHAR(34),CHAR(92)&amp;CHAR(34))</f>
        <v/>
      </c>
      <c r="J702" t="str">
        <f>SUBSTITUTE(IF(OR(LEFT(A706,3)="Câu",I702=""),"",IF(B706=0,"",B706)),CHAR(34),CHAR(92)&amp;CHAR(34))</f>
        <v/>
      </c>
      <c r="K702" t="str">
        <f>SUBSTITUTE(SUBSTITUTE(SUBSTITUTE(SUBSTITUTE(IFERROR(VLOOKUP("Câu "&amp;D702&amp;".",dapan!$E:$J,6,0),""),"1","A"),"2","B"),"3","C"),"4","D")</f>
        <v/>
      </c>
      <c r="P702" t="str">
        <f t="shared" si="37"/>
        <v/>
      </c>
      <c r="Q702" t="str">
        <f t="shared" si="38"/>
        <v/>
      </c>
    </row>
    <row r="703" spans="1:17" hidden="1" x14ac:dyDescent="0.25">
      <c r="A703">
        <v>3</v>
      </c>
      <c r="B703" t="s">
        <v>597</v>
      </c>
      <c r="C703">
        <f>IFERROR(COUNTIFS($A$1:A703,"Câu "&amp;"*")-MID(A703,5,FIND(".",A703,1)-5),0)</f>
        <v>0</v>
      </c>
      <c r="D703" t="str">
        <f t="shared" si="39"/>
        <v/>
      </c>
      <c r="E703" t="str">
        <f>SUBSTITUTE(IF(LEFT(A703,3)="Câu",MID(A703,FIND(".",A703,1)+2,LEN(A703)),""),CHAR(34),CHAR(92)&amp;CHAR(34))</f>
        <v/>
      </c>
      <c r="G703" t="str">
        <f>SUBSTITUTE(B704,CHAR(34),CHAR(92)&amp;CHAR(34))</f>
        <v>Cả ba ý trên.</v>
      </c>
      <c r="H703" t="str">
        <f>SUBSTITUTE(B705,CHAR(34),CHAR(92)&amp;CHAR(34))</f>
        <v/>
      </c>
      <c r="I703" t="str">
        <f>SUBSTITUTE(IF(LEFT(A706,3)="Câu","",B706),CHAR(34),CHAR(92)&amp;CHAR(34))</f>
        <v xml:space="preserve"> Không quá 4 giờ.</v>
      </c>
      <c r="J703" t="str">
        <f>SUBSTITUTE(IF(OR(LEFT(A707,3)="Câu",I703=""),"",IF(B707=0,"",B707)),CHAR(34),CHAR(92)&amp;CHAR(34))</f>
        <v>Không quá 6 giờ.</v>
      </c>
      <c r="K703" t="str">
        <f>SUBSTITUTE(SUBSTITUTE(SUBSTITUTE(SUBSTITUTE(IFERROR(VLOOKUP("Câu "&amp;D703&amp;".",dapan!$E:$J,6,0),""),"1","A"),"2","B"),"3","C"),"4","D")</f>
        <v/>
      </c>
      <c r="P703" t="str">
        <f t="shared" si="37"/>
        <v/>
      </c>
      <c r="Q703" t="str">
        <f t="shared" si="38"/>
        <v/>
      </c>
    </row>
    <row r="704" spans="1:17" hidden="1" x14ac:dyDescent="0.25">
      <c r="A704">
        <v>4</v>
      </c>
      <c r="B704" t="s">
        <v>15</v>
      </c>
      <c r="C704">
        <f>IFERROR(COUNTIFS($A$1:A704,"Câu "&amp;"*")-MID(A704,5,FIND(".",A704,1)-5),0)</f>
        <v>0</v>
      </c>
      <c r="D704" t="str">
        <f t="shared" si="39"/>
        <v/>
      </c>
      <c r="E704" t="str">
        <f>SUBSTITUTE(IF(LEFT(A704,3)="Câu",MID(A704,FIND(".",A704,1)+2,LEN(A704)),""),CHAR(34),CHAR(92)&amp;CHAR(34))</f>
        <v/>
      </c>
      <c r="G704" t="str">
        <f>SUBSTITUTE(B705,CHAR(34),CHAR(92)&amp;CHAR(34))</f>
        <v/>
      </c>
      <c r="H704" t="str">
        <f>SUBSTITUTE(B706,CHAR(34),CHAR(92)&amp;CHAR(34))</f>
        <v xml:space="preserve"> Không quá 4 giờ.</v>
      </c>
      <c r="I704" t="str">
        <f>SUBSTITUTE(IF(LEFT(A707,3)="Câu","",B707),CHAR(34),CHAR(92)&amp;CHAR(34))</f>
        <v>Không quá 6 giờ.</v>
      </c>
      <c r="J704" t="str">
        <f>SUBSTITUTE(IF(OR(LEFT(A708,3)="Câu",I704=""),"",IF(B708=0,"",B708)),CHAR(34),CHAR(92)&amp;CHAR(34))</f>
        <v>Không quá 8 giờ.</v>
      </c>
      <c r="K704" t="str">
        <f>SUBSTITUTE(SUBSTITUTE(SUBSTITUTE(SUBSTITUTE(IFERROR(VLOOKUP("Câu "&amp;D704&amp;".",dapan!$E:$J,6,0),""),"1","A"),"2","B"),"3","C"),"4","D")</f>
        <v/>
      </c>
      <c r="P704" t="str">
        <f t="shared" si="37"/>
        <v/>
      </c>
      <c r="Q704" t="str">
        <f t="shared" si="38"/>
        <v/>
      </c>
    </row>
    <row r="705" spans="1:17" x14ac:dyDescent="0.25">
      <c r="A705" t="s">
        <v>598</v>
      </c>
      <c r="C705">
        <f>IFERROR(COUNTIFS($A$1:A705,"Câu "&amp;"*")-MID(A705,5,FIND(".",A705,1)-5),0)</f>
        <v>0</v>
      </c>
      <c r="D705">
        <f t="shared" si="39"/>
        <v>171</v>
      </c>
      <c r="E705" t="str">
        <f>SUBSTITUTE(IF(LEFT(A705,3)="Câu",MID(A705,FIND(".",A705,1)+2,LEN(A705)),""),CHAR(34),CHAR(92)&amp;CHAR(34))</f>
        <v>Thời gian lái xe liên tục của người lái xe ô tô kinh doanh vận tải được quy định như thế nào để bảo đảm an toàn giao thông?</v>
      </c>
      <c r="G705" t="str">
        <f>SUBSTITUTE(B706,CHAR(34),CHAR(92)&amp;CHAR(34))</f>
        <v xml:space="preserve"> Không quá 4 giờ.</v>
      </c>
      <c r="H705" t="str">
        <f>SUBSTITUTE(B707,CHAR(34),CHAR(92)&amp;CHAR(34))</f>
        <v>Không quá 6 giờ.</v>
      </c>
      <c r="I705" t="str">
        <f>SUBSTITUTE(IF(LEFT(A708,3)="Câu","",B708),CHAR(34),CHAR(92)&amp;CHAR(34))</f>
        <v>Không quá 8 giờ.</v>
      </c>
      <c r="J705" t="str">
        <f>SUBSTITUTE(IF(OR(LEFT(A709,3)="Câu",I705=""),"",IF(B709=0,"",B709)),CHAR(34),CHAR(92)&amp;CHAR(34))</f>
        <v>Liên tục tùy thuộc vào sức khỏe và khả năng của người lái xe.</v>
      </c>
      <c r="K705" t="str">
        <f ca="1">SUBSTITUTE(SUBSTITUTE(SUBSTITUTE(SUBSTITUTE(IFERROR(VLOOKUP("Câu "&amp;D705&amp;".",dapan!$E:$J,6,0),""),"1","A"),"2","B"),"3","C"),"4","D")</f>
        <v>A</v>
      </c>
      <c r="P705">
        <f t="shared" si="37"/>
        <v>171</v>
      </c>
      <c r="Q705" t="str">
        <f t="shared" ca="1" si="38"/>
        <v>{"num":171,"id":171,"q":"Thời gian lái xe liên tục của người lái xe ô tô kinh doanh vận tải được quy định như thế nào để bảo đảm an toàn giao thông?","opts":{"A":" Không quá 4 giờ.","B":"Không quá 6 giờ.","C":"Không quá 8 giờ.","D":"Liên tục tùy thuộc vào sức khỏe và khả năng của người lái xe."},"answer":"A"},</v>
      </c>
    </row>
    <row r="706" spans="1:17" hidden="1" x14ac:dyDescent="0.25">
      <c r="A706">
        <v>1</v>
      </c>
      <c r="B706" t="s">
        <v>599</v>
      </c>
      <c r="C706">
        <f>IFERROR(COUNTIFS($A$1:A706,"Câu "&amp;"*")-MID(A706,5,FIND(".",A706,1)-5),0)</f>
        <v>0</v>
      </c>
      <c r="D706" t="str">
        <f t="shared" si="39"/>
        <v/>
      </c>
      <c r="E706" t="str">
        <f>SUBSTITUTE(IF(LEFT(A706,3)="Câu",MID(A706,FIND(".",A706,1)+2,LEN(A706)),""),CHAR(34),CHAR(92)&amp;CHAR(34))</f>
        <v/>
      </c>
      <c r="G706" t="str">
        <f>SUBSTITUTE(B707,CHAR(34),CHAR(92)&amp;CHAR(34))</f>
        <v>Không quá 6 giờ.</v>
      </c>
      <c r="H706" t="str">
        <f>SUBSTITUTE(B708,CHAR(34),CHAR(92)&amp;CHAR(34))</f>
        <v>Không quá 8 giờ.</v>
      </c>
      <c r="I706" t="str">
        <f>SUBSTITUTE(IF(LEFT(A709,3)="Câu","",B709),CHAR(34),CHAR(92)&amp;CHAR(34))</f>
        <v>Liên tục tùy thuộc vào sức khỏe và khả năng của người lái xe.</v>
      </c>
      <c r="J706" t="str">
        <f>SUBSTITUTE(IF(OR(LEFT(A710,3)="Câu",I706=""),"",IF(B710=0,"",B710)),CHAR(34),CHAR(92)&amp;CHAR(34))</f>
        <v/>
      </c>
      <c r="K706" t="str">
        <f>SUBSTITUTE(SUBSTITUTE(SUBSTITUTE(SUBSTITUTE(IFERROR(VLOOKUP("Câu "&amp;D706&amp;".",dapan!$E:$J,6,0),""),"1","A"),"2","B"),"3","C"),"4","D")</f>
        <v/>
      </c>
      <c r="P706" t="str">
        <f t="shared" si="37"/>
        <v/>
      </c>
      <c r="Q706" t="str">
        <f t="shared" si="38"/>
        <v/>
      </c>
    </row>
    <row r="707" spans="1:17" hidden="1" x14ac:dyDescent="0.25">
      <c r="A707">
        <v>2</v>
      </c>
      <c r="B707" t="s">
        <v>600</v>
      </c>
      <c r="C707">
        <f>IFERROR(COUNTIFS($A$1:A707,"Câu "&amp;"*")-MID(A707,5,FIND(".",A707,1)-5),0)</f>
        <v>0</v>
      </c>
      <c r="D707" t="str">
        <f t="shared" si="39"/>
        <v/>
      </c>
      <c r="E707" t="str">
        <f>SUBSTITUTE(IF(LEFT(A707,3)="Câu",MID(A707,FIND(".",A707,1)+2,LEN(A707)),""),CHAR(34),CHAR(92)&amp;CHAR(34))</f>
        <v/>
      </c>
      <c r="G707" t="str">
        <f>SUBSTITUTE(B708,CHAR(34),CHAR(92)&amp;CHAR(34))</f>
        <v>Không quá 8 giờ.</v>
      </c>
      <c r="H707" t="str">
        <f>SUBSTITUTE(B709,CHAR(34),CHAR(92)&amp;CHAR(34))</f>
        <v>Liên tục tùy thuộc vào sức khỏe và khả năng của người lái xe.</v>
      </c>
      <c r="I707" t="str">
        <f>SUBSTITUTE(IF(LEFT(A710,3)="Câu","",B710),CHAR(34),CHAR(92)&amp;CHAR(34))</f>
        <v/>
      </c>
      <c r="J707" t="str">
        <f>SUBSTITUTE(IF(OR(LEFT(A711,3)="Câu",I707=""),"",IF(B711=0,"",B711)),CHAR(34),CHAR(92)&amp;CHAR(34))</f>
        <v/>
      </c>
      <c r="K707" t="str">
        <f>SUBSTITUTE(SUBSTITUTE(SUBSTITUTE(SUBSTITUTE(IFERROR(VLOOKUP("Câu "&amp;D707&amp;".",dapan!$E:$J,6,0),""),"1","A"),"2","B"),"3","C"),"4","D")</f>
        <v/>
      </c>
      <c r="P707" t="str">
        <f t="shared" ref="P707:P770" si="40">D707</f>
        <v/>
      </c>
      <c r="Q707" t="str">
        <f t="shared" ref="Q707:Q770" si="41">IF(D707="","",CHAR(123)&amp;CHAR(34)&amp;"num"&amp;CHAR(34)&amp;":"&amp;P707&amp;","&amp;CHAR(34)&amp;"id"&amp;CHAR(34)&amp;":"&amp;D707&amp;","
&amp;CHAR(34)&amp;"q"&amp;CHAR(34)&amp;":"&amp;CHAR(34)&amp;E707&amp;CHAR(34)&amp;","
&amp;IF(F707="","",CHAR(34)&amp;"img"&amp;CHAR(34)&amp;":"&amp;CHAR(34)&amp;F707&amp;CHAR(34)&amp;",")
&amp;CHAR(34)&amp;"opts"&amp;CHAR(34)&amp;":"&amp;CHAR(123)&amp;CHAR(34)&amp;"A"&amp;CHAR(34)&amp;":"&amp;CHAR(34)&amp;G707&amp;CHAR(34)&amp;","&amp;CHAR(34)&amp;"B"&amp;CHAR(34)&amp;":"&amp;CHAR(34)&amp;H707&amp;CHAR(34)
&amp;IF(I707="","",","&amp;CHAR(34)&amp;"C"&amp;CHAR(34)&amp;":"&amp;CHAR(34)&amp;I707&amp;CHAR(34))&amp;IF(J707="","",","&amp;CHAR(34)&amp;"D"&amp;CHAR(34)&amp;":"&amp;CHAR(34)&amp;J707&amp;CHAR(34))&amp;CHAR(125)&amp;","
&amp;CHAR(34)&amp;"answer"&amp;CHAR(34)&amp;":"&amp;CHAR(34)&amp;K707&amp;CHAR(34)
&amp;IF(L707="","",","&amp;CHAR(34)&amp;"danger"&amp;CHAR(34)&amp;":"&amp;CHAR(34)&amp;"true"&amp;CHAR(34))
&amp;IF(M707="","",","&amp;CHAR(34)&amp;"explain"&amp;CHAR(34)&amp;":"&amp;CHAR(34)&amp;M707&amp;CHAR(34))
&amp;IF(N707="","",","&amp;CHAR(34)&amp;"explainImg"&amp;CHAR(34)&amp;":"&amp;CHAR(34)&amp;N707&amp;CHAR(34))
&amp;IF(O707="","",","&amp;CHAR(34)&amp;"shuffle"&amp;CHAR(34)&amp;":"&amp;CHAR(34)&amp;"false"&amp;CHAR(34))&amp;CHAR(125)&amp;",")</f>
        <v/>
      </c>
    </row>
    <row r="708" spans="1:17" hidden="1" x14ac:dyDescent="0.25">
      <c r="A708">
        <v>3</v>
      </c>
      <c r="B708" t="s">
        <v>601</v>
      </c>
      <c r="C708">
        <f>IFERROR(COUNTIFS($A$1:A708,"Câu "&amp;"*")-MID(A708,5,FIND(".",A708,1)-5),0)</f>
        <v>0</v>
      </c>
      <c r="D708" t="str">
        <f t="shared" si="39"/>
        <v/>
      </c>
      <c r="E708" t="str">
        <f>SUBSTITUTE(IF(LEFT(A708,3)="Câu",MID(A708,FIND(".",A708,1)+2,LEN(A708)),""),CHAR(34),CHAR(92)&amp;CHAR(34))</f>
        <v/>
      </c>
      <c r="G708" t="str">
        <f>SUBSTITUTE(B709,CHAR(34),CHAR(92)&amp;CHAR(34))</f>
        <v>Liên tục tùy thuộc vào sức khỏe và khả năng của người lái xe.</v>
      </c>
      <c r="H708" t="str">
        <f>SUBSTITUTE(B710,CHAR(34),CHAR(92)&amp;CHAR(34))</f>
        <v/>
      </c>
      <c r="I708" t="str">
        <f>SUBSTITUTE(IF(LEFT(A711,3)="Câu","",B711),CHAR(34),CHAR(92)&amp;CHAR(34))</f>
        <v>Không quá 6 giờ trong một ngày.</v>
      </c>
      <c r="J708" t="str">
        <f>SUBSTITUTE(IF(OR(LEFT(A712,3)="Câu",I708=""),"",IF(B712=0,"",B712)),CHAR(34),CHAR(92)&amp;CHAR(34))</f>
        <v>Không quá 8 giờ trong một ngày.</v>
      </c>
      <c r="K708" t="str">
        <f>SUBSTITUTE(SUBSTITUTE(SUBSTITUTE(SUBSTITUTE(IFERROR(VLOOKUP("Câu "&amp;D708&amp;".",dapan!$E:$J,6,0),""),"1","A"),"2","B"),"3","C"),"4","D")</f>
        <v/>
      </c>
      <c r="P708" t="str">
        <f t="shared" si="40"/>
        <v/>
      </c>
      <c r="Q708" t="str">
        <f t="shared" si="41"/>
        <v/>
      </c>
    </row>
    <row r="709" spans="1:17" hidden="1" x14ac:dyDescent="0.25">
      <c r="A709">
        <v>4</v>
      </c>
      <c r="B709" t="s">
        <v>602</v>
      </c>
      <c r="C709">
        <f>IFERROR(COUNTIFS($A$1:A709,"Câu "&amp;"*")-MID(A709,5,FIND(".",A709,1)-5),0)</f>
        <v>0</v>
      </c>
      <c r="D709" t="str">
        <f t="shared" si="39"/>
        <v/>
      </c>
      <c r="E709" t="str">
        <f>SUBSTITUTE(IF(LEFT(A709,3)="Câu",MID(A709,FIND(".",A709,1)+2,LEN(A709)),""),CHAR(34),CHAR(92)&amp;CHAR(34))</f>
        <v/>
      </c>
      <c r="G709" t="str">
        <f>SUBSTITUTE(B710,CHAR(34),CHAR(92)&amp;CHAR(34))</f>
        <v/>
      </c>
      <c r="H709" t="str">
        <f>SUBSTITUTE(B711,CHAR(34),CHAR(92)&amp;CHAR(34))</f>
        <v>Không quá 6 giờ trong một ngày.</v>
      </c>
      <c r="I709" t="str">
        <f>SUBSTITUTE(IF(LEFT(A712,3)="Câu","",B712),CHAR(34),CHAR(92)&amp;CHAR(34))</f>
        <v>Không quá 8 giờ trong một ngày.</v>
      </c>
      <c r="J709" t="str">
        <f>SUBSTITUTE(IF(OR(LEFT(A713,3)="Câu",I709=""),"",IF(B713=0,"",B713)),CHAR(34),CHAR(92)&amp;CHAR(34))</f>
        <v xml:space="preserve"> Không quá 10 giờ trong một ngày.</v>
      </c>
      <c r="K709" t="str">
        <f>SUBSTITUTE(SUBSTITUTE(SUBSTITUTE(SUBSTITUTE(IFERROR(VLOOKUP("Câu "&amp;D709&amp;".",dapan!$E:$J,6,0),""),"1","A"),"2","B"),"3","C"),"4","D")</f>
        <v/>
      </c>
      <c r="P709" t="str">
        <f t="shared" si="40"/>
        <v/>
      </c>
      <c r="Q709" t="str">
        <f t="shared" si="41"/>
        <v/>
      </c>
    </row>
    <row r="710" spans="1:17" x14ac:dyDescent="0.25">
      <c r="A710" t="s">
        <v>603</v>
      </c>
      <c r="C710">
        <f>IFERROR(COUNTIFS($A$1:A710,"Câu "&amp;"*")-MID(A710,5,FIND(".",A710,1)-5),0)</f>
        <v>0</v>
      </c>
      <c r="D710">
        <f t="shared" si="39"/>
        <v>172</v>
      </c>
      <c r="E710" t="str">
        <f>SUBSTITUTE(IF(LEFT(A710,3)="Câu",MID(A710,FIND(".",A710,1)+2,LEN(A710)),""),CHAR(34),CHAR(92)&amp;CHAR(34))</f>
        <v>Thời gian làm việc của người lái xe ô tô kinh doanh vận tải trong một ngày được quy định như thế nào để bảo đảm an toàn giao thông?</v>
      </c>
      <c r="G710" t="str">
        <f>SUBSTITUTE(B711,CHAR(34),CHAR(92)&amp;CHAR(34))</f>
        <v>Không quá 6 giờ trong một ngày.</v>
      </c>
      <c r="H710" t="str">
        <f>SUBSTITUTE(B712,CHAR(34),CHAR(92)&amp;CHAR(34))</f>
        <v>Không quá 8 giờ trong một ngày.</v>
      </c>
      <c r="I710" t="str">
        <f>SUBSTITUTE(IF(LEFT(A713,3)="Câu","",B713),CHAR(34),CHAR(92)&amp;CHAR(34))</f>
        <v xml:space="preserve"> Không quá 10 giờ trong một ngày.</v>
      </c>
      <c r="J710" t="str">
        <f>SUBSTITUTE(IF(OR(LEFT(A714,3)="Câu",I710=""),"",IF(B714=0,"",B714)),CHAR(34),CHAR(92)&amp;CHAR(34))</f>
        <v>Không hạn chế tùy thuộc vào sức khỏe và khả năng của người lái xe.</v>
      </c>
      <c r="K710" t="str">
        <f ca="1">SUBSTITUTE(SUBSTITUTE(SUBSTITUTE(SUBSTITUTE(IFERROR(VLOOKUP("Câu "&amp;D710&amp;".",dapan!$E:$J,6,0),""),"1","A"),"2","B"),"3","C"),"4","D")</f>
        <v>C</v>
      </c>
      <c r="P710">
        <f t="shared" si="40"/>
        <v>172</v>
      </c>
      <c r="Q710" t="str">
        <f t="shared" ca="1" si="41"/>
        <v>{"num":172,"id":172,"q":"Thời gian làm việc của người lái xe ô tô kinh doanh vận tải trong một ngày được quy định như thế nào để bảo đảm an toàn giao thông?","opts":{"A":"Không quá 6 giờ trong một ngày.","B":"Không quá 8 giờ trong một ngày.","C":" Không quá 10 giờ trong một ngày.","D":"Không hạn chế tùy thuộc vào sức khỏe và khả năng của người lái xe."},"answer":"C"},</v>
      </c>
    </row>
    <row r="711" spans="1:17" hidden="1" x14ac:dyDescent="0.25">
      <c r="A711">
        <v>1</v>
      </c>
      <c r="B711" t="s">
        <v>604</v>
      </c>
      <c r="C711">
        <f>IFERROR(COUNTIFS($A$1:A711,"Câu "&amp;"*")-MID(A711,5,FIND(".",A711,1)-5),0)</f>
        <v>0</v>
      </c>
      <c r="D711" t="str">
        <f t="shared" si="39"/>
        <v/>
      </c>
      <c r="E711" t="str">
        <f>SUBSTITUTE(IF(LEFT(A711,3)="Câu",MID(A711,FIND(".",A711,1)+2,LEN(A711)),""),CHAR(34),CHAR(92)&amp;CHAR(34))</f>
        <v/>
      </c>
      <c r="G711" t="str">
        <f>SUBSTITUTE(B712,CHAR(34),CHAR(92)&amp;CHAR(34))</f>
        <v>Không quá 8 giờ trong một ngày.</v>
      </c>
      <c r="H711" t="str">
        <f>SUBSTITUTE(B713,CHAR(34),CHAR(92)&amp;CHAR(34))</f>
        <v xml:space="preserve"> Không quá 10 giờ trong một ngày.</v>
      </c>
      <c r="I711" t="str">
        <f>SUBSTITUTE(IF(LEFT(A714,3)="Câu","",B714),CHAR(34),CHAR(92)&amp;CHAR(34))</f>
        <v>Không hạn chế tùy thuộc vào sức khỏe và khả năng của người lái xe.</v>
      </c>
      <c r="J711" t="str">
        <f>SUBSTITUTE(IF(OR(LEFT(A715,3)="Câu",I711=""),"",IF(B715=0,"",B715)),CHAR(34),CHAR(92)&amp;CHAR(34))</f>
        <v/>
      </c>
      <c r="K711" t="str">
        <f>SUBSTITUTE(SUBSTITUTE(SUBSTITUTE(SUBSTITUTE(IFERROR(VLOOKUP("Câu "&amp;D711&amp;".",dapan!$E:$J,6,0),""),"1","A"),"2","B"),"3","C"),"4","D")</f>
        <v/>
      </c>
      <c r="P711" t="str">
        <f t="shared" si="40"/>
        <v/>
      </c>
      <c r="Q711" t="str">
        <f t="shared" si="41"/>
        <v/>
      </c>
    </row>
    <row r="712" spans="1:17" hidden="1" x14ac:dyDescent="0.25">
      <c r="A712">
        <v>2</v>
      </c>
      <c r="B712" t="s">
        <v>605</v>
      </c>
      <c r="C712">
        <f>IFERROR(COUNTIFS($A$1:A712,"Câu "&amp;"*")-MID(A712,5,FIND(".",A712,1)-5),0)</f>
        <v>0</v>
      </c>
      <c r="D712" t="str">
        <f t="shared" si="39"/>
        <v/>
      </c>
      <c r="E712" t="str">
        <f>SUBSTITUTE(IF(LEFT(A712,3)="Câu",MID(A712,FIND(".",A712,1)+2,LEN(A712)),""),CHAR(34),CHAR(92)&amp;CHAR(34))</f>
        <v/>
      </c>
      <c r="G712" t="str">
        <f>SUBSTITUTE(B713,CHAR(34),CHAR(92)&amp;CHAR(34))</f>
        <v xml:space="preserve"> Không quá 10 giờ trong một ngày.</v>
      </c>
      <c r="H712" t="str">
        <f>SUBSTITUTE(B714,CHAR(34),CHAR(92)&amp;CHAR(34))</f>
        <v>Không hạn chế tùy thuộc vào sức khỏe và khả năng của người lái xe.</v>
      </c>
      <c r="I712" t="str">
        <f>SUBSTITUTE(IF(LEFT(A715,3)="Câu","",B715),CHAR(34),CHAR(92)&amp;CHAR(34))</f>
        <v/>
      </c>
      <c r="J712" t="str">
        <f>SUBSTITUTE(IF(OR(LEFT(A716,3)="Câu",I712=""),"",IF(B716=0,"",B716)),CHAR(34),CHAR(92)&amp;CHAR(34))</f>
        <v/>
      </c>
      <c r="K712" t="str">
        <f>SUBSTITUTE(SUBSTITUTE(SUBSTITUTE(SUBSTITUTE(IFERROR(VLOOKUP("Câu "&amp;D712&amp;".",dapan!$E:$J,6,0),""),"1","A"),"2","B"),"3","C"),"4","D")</f>
        <v/>
      </c>
      <c r="P712" t="str">
        <f t="shared" si="40"/>
        <v/>
      </c>
      <c r="Q712" t="str">
        <f t="shared" si="41"/>
        <v/>
      </c>
    </row>
    <row r="713" spans="1:17" hidden="1" x14ac:dyDescent="0.25">
      <c r="A713">
        <v>3</v>
      </c>
      <c r="B713" t="s">
        <v>606</v>
      </c>
      <c r="C713">
        <f>IFERROR(COUNTIFS($A$1:A713,"Câu "&amp;"*")-MID(A713,5,FIND(".",A713,1)-5),0)</f>
        <v>0</v>
      </c>
      <c r="D713" t="str">
        <f t="shared" si="39"/>
        <v/>
      </c>
      <c r="E713" t="str">
        <f>SUBSTITUTE(IF(LEFT(A713,3)="Câu",MID(A713,FIND(".",A713,1)+2,LEN(A713)),""),CHAR(34),CHAR(92)&amp;CHAR(34))</f>
        <v/>
      </c>
      <c r="G713" t="str">
        <f>SUBSTITUTE(B714,CHAR(34),CHAR(92)&amp;CHAR(34))</f>
        <v>Không hạn chế tùy thuộc vào sức khỏe và khả năng của người lái xe.</v>
      </c>
      <c r="H713" t="str">
        <f>SUBSTITUTE(B715,CHAR(34),CHAR(92)&amp;CHAR(34))</f>
        <v/>
      </c>
      <c r="I713" t="str">
        <f>SUBSTITUTE(IF(LEFT(A716,3)="Câu","",B716),CHAR(34),CHAR(92)&amp;CHAR(34))</f>
        <v>Kiểm tra các điều kiện bảo đảm an toàn của xe.</v>
      </c>
      <c r="J713" t="str">
        <f>SUBSTITUTE(IF(OR(LEFT(A717,3)="Câu",I713=""),"",IF(B717=0,"",B717)),CHAR(34),CHAR(92)&amp;CHAR(34))</f>
        <v>Hướng dẫn cho hành khách về an toàn giao thông đường bộ và thoát hiểm khi gặp sự cố.</v>
      </c>
      <c r="K713" t="str">
        <f>SUBSTITUTE(SUBSTITUTE(SUBSTITUTE(SUBSTITUTE(IFERROR(VLOOKUP("Câu "&amp;D713&amp;".",dapan!$E:$J,6,0),""),"1","A"),"2","B"),"3","C"),"4","D")</f>
        <v/>
      </c>
      <c r="P713" t="str">
        <f t="shared" si="40"/>
        <v/>
      </c>
      <c r="Q713" t="str">
        <f t="shared" si="41"/>
        <v/>
      </c>
    </row>
    <row r="714" spans="1:17" hidden="1" x14ac:dyDescent="0.25">
      <c r="A714">
        <v>4</v>
      </c>
      <c r="B714" t="s">
        <v>607</v>
      </c>
      <c r="C714">
        <f>IFERROR(COUNTIFS($A$1:A714,"Câu "&amp;"*")-MID(A714,5,FIND(".",A714,1)-5),0)</f>
        <v>0</v>
      </c>
      <c r="D714" t="str">
        <f t="shared" si="39"/>
        <v/>
      </c>
      <c r="E714" t="str">
        <f>SUBSTITUTE(IF(LEFT(A714,3)="Câu",MID(A714,FIND(".",A714,1)+2,LEN(A714)),""),CHAR(34),CHAR(92)&amp;CHAR(34))</f>
        <v/>
      </c>
      <c r="G714" t="str">
        <f>SUBSTITUTE(B715,CHAR(34),CHAR(92)&amp;CHAR(34))</f>
        <v/>
      </c>
      <c r="H714" t="str">
        <f>SUBSTITUTE(B716,CHAR(34),CHAR(92)&amp;CHAR(34))</f>
        <v>Kiểm tra các điều kiện bảo đảm an toàn của xe.</v>
      </c>
      <c r="I714" t="str">
        <f>SUBSTITUTE(IF(LEFT(A717,3)="Câu","",B717),CHAR(34),CHAR(92)&amp;CHAR(34))</f>
        <v>Hướng dẫn cho hành khách về an toàn giao thông đường bộ và thoát hiểm khi gặp sự cố.</v>
      </c>
      <c r="J714" t="str">
        <f>SUBSTITUTE(IF(OR(LEFT(A718,3)="Câu",I714=""),"",IF(B718=0,"",B718)),CHAR(34),CHAR(92)&amp;CHAR(34))</f>
        <v>Kiểm tra nhân thân và hành lý của hành khách đi xe.</v>
      </c>
      <c r="K714" t="str">
        <f>SUBSTITUTE(SUBSTITUTE(SUBSTITUTE(SUBSTITUTE(IFERROR(VLOOKUP("Câu "&amp;D714&amp;".",dapan!$E:$J,6,0),""),"1","A"),"2","B"),"3","C"),"4","D")</f>
        <v/>
      </c>
      <c r="P714" t="str">
        <f t="shared" si="40"/>
        <v/>
      </c>
      <c r="Q714" t="str">
        <f t="shared" si="41"/>
        <v/>
      </c>
    </row>
    <row r="715" spans="1:17" x14ac:dyDescent="0.25">
      <c r="A715" t="s">
        <v>608</v>
      </c>
      <c r="C715">
        <f>IFERROR(COUNTIFS($A$1:A715,"Câu "&amp;"*")-MID(A715,5,FIND(".",A715,1)-5),0)</f>
        <v>0</v>
      </c>
      <c r="D715">
        <f t="shared" si="39"/>
        <v>173</v>
      </c>
      <c r="E715" t="str">
        <f>SUBSTITUTE(IF(LEFT(A715,3)="Câu",MID(A715,FIND(".",A715,1)+2,LEN(A715)),""),CHAR(34),CHAR(92)&amp;CHAR(34))</f>
        <v>Trước khi xe khởi hành, người lái xe, nhân viên phục vụ trên xe ô tô vận chuyển hành khách có trách nhiệm nào sau đây?</v>
      </c>
      <c r="G715" t="str">
        <f>SUBSTITUTE(B716,CHAR(34),CHAR(92)&amp;CHAR(34))</f>
        <v>Kiểm tra các điều kiện bảo đảm an toàn của xe.</v>
      </c>
      <c r="H715" t="str">
        <f>SUBSTITUTE(B717,CHAR(34),CHAR(92)&amp;CHAR(34))</f>
        <v>Hướng dẫn cho hành khách về an toàn giao thông đường bộ và thoát hiểm khi gặp sự cố.</v>
      </c>
      <c r="I715" t="str">
        <f>SUBSTITUTE(IF(LEFT(A718,3)="Câu","",B718),CHAR(34),CHAR(92)&amp;CHAR(34))</f>
        <v>Kiểm tra nhân thân và hành lý của hành khách đi xe.</v>
      </c>
      <c r="J715" t="str">
        <f>SUBSTITUTE(IF(OR(LEFT(A719,3)="Câu",I715=""),"",IF(B719=0,"",B719)),CHAR(34),CHAR(92)&amp;CHAR(34))</f>
        <v xml:space="preserve"> Ý 1 và ý 2.</v>
      </c>
      <c r="K715" t="str">
        <f ca="1">SUBSTITUTE(SUBSTITUTE(SUBSTITUTE(SUBSTITUTE(IFERROR(VLOOKUP("Câu "&amp;D715&amp;".",dapan!$E:$J,6,0),""),"1","A"),"2","B"),"3","C"),"4","D")</f>
        <v>D</v>
      </c>
      <c r="P715">
        <f t="shared" si="40"/>
        <v>173</v>
      </c>
      <c r="Q715" t="str">
        <f t="shared" ca="1" si="41"/>
        <v>{"num":173,"id":173,"q":"Trước khi xe khởi hành, người lái xe, nhân viên phục vụ trên xe ô tô vận chuyển hành khách có trách nhiệm nào sau đây?","opts":{"A":"Kiểm tra các điều kiện bảo đảm an toàn của xe.","B":"Hướng dẫn cho hành khách về an toàn giao thông đường bộ và thoát hiểm khi gặp sự cố.","C":"Kiểm tra nhân thân và hành lý của hành khách đi xe.","D":" Ý 1 và ý 2."},"answer":"D"},</v>
      </c>
    </row>
    <row r="716" spans="1:17" hidden="1" x14ac:dyDescent="0.25">
      <c r="A716">
        <v>1</v>
      </c>
      <c r="B716" t="s">
        <v>609</v>
      </c>
      <c r="C716">
        <f>IFERROR(COUNTIFS($A$1:A716,"Câu "&amp;"*")-MID(A716,5,FIND(".",A716,1)-5),0)</f>
        <v>0</v>
      </c>
      <c r="D716" t="str">
        <f t="shared" si="39"/>
        <v/>
      </c>
      <c r="E716" t="str">
        <f>SUBSTITUTE(IF(LEFT(A716,3)="Câu",MID(A716,FIND(".",A716,1)+2,LEN(A716)),""),CHAR(34),CHAR(92)&amp;CHAR(34))</f>
        <v/>
      </c>
      <c r="G716" t="str">
        <f>SUBSTITUTE(B717,CHAR(34),CHAR(92)&amp;CHAR(34))</f>
        <v>Hướng dẫn cho hành khách về an toàn giao thông đường bộ và thoát hiểm khi gặp sự cố.</v>
      </c>
      <c r="H716" t="str">
        <f>SUBSTITUTE(B718,CHAR(34),CHAR(92)&amp;CHAR(34))</f>
        <v>Kiểm tra nhân thân và hành lý của hành khách đi xe.</v>
      </c>
      <c r="I716" t="str">
        <f>SUBSTITUTE(IF(LEFT(A719,3)="Câu","",B719),CHAR(34),CHAR(92)&amp;CHAR(34))</f>
        <v xml:space="preserve"> Ý 1 và ý 2.</v>
      </c>
      <c r="J716" t="str">
        <f>SUBSTITUTE(IF(OR(LEFT(A720,3)="Câu",I716=""),"",IF(B720=0,"",B720)),CHAR(34),CHAR(92)&amp;CHAR(34))</f>
        <v/>
      </c>
      <c r="K716" t="str">
        <f>SUBSTITUTE(SUBSTITUTE(SUBSTITUTE(SUBSTITUTE(IFERROR(VLOOKUP("Câu "&amp;D716&amp;".",dapan!$E:$J,6,0),""),"1","A"),"2","B"),"3","C"),"4","D")</f>
        <v/>
      </c>
      <c r="P716" t="str">
        <f t="shared" si="40"/>
        <v/>
      </c>
      <c r="Q716" t="str">
        <f t="shared" si="41"/>
        <v/>
      </c>
    </row>
    <row r="717" spans="1:17" hidden="1" x14ac:dyDescent="0.25">
      <c r="A717">
        <v>2</v>
      </c>
      <c r="B717" t="s">
        <v>610</v>
      </c>
      <c r="C717">
        <f>IFERROR(COUNTIFS($A$1:A717,"Câu "&amp;"*")-MID(A717,5,FIND(".",A717,1)-5),0)</f>
        <v>0</v>
      </c>
      <c r="D717" t="str">
        <f t="shared" si="39"/>
        <v/>
      </c>
      <c r="E717" t="str">
        <f>SUBSTITUTE(IF(LEFT(A717,3)="Câu",MID(A717,FIND(".",A717,1)+2,LEN(A717)),""),CHAR(34),CHAR(92)&amp;CHAR(34))</f>
        <v/>
      </c>
      <c r="G717" t="str">
        <f>SUBSTITUTE(B718,CHAR(34),CHAR(92)&amp;CHAR(34))</f>
        <v>Kiểm tra nhân thân và hành lý của hành khách đi xe.</v>
      </c>
      <c r="H717" t="str">
        <f>SUBSTITUTE(B719,CHAR(34),CHAR(92)&amp;CHAR(34))</f>
        <v xml:space="preserve"> Ý 1 và ý 2.</v>
      </c>
      <c r="I717" t="str">
        <f>SUBSTITUTE(IF(LEFT(A720,3)="Câu","",B720),CHAR(34),CHAR(92)&amp;CHAR(34))</f>
        <v/>
      </c>
      <c r="J717" t="str">
        <f>SUBSTITUTE(IF(OR(LEFT(A721,3)="Câu",I717=""),"",IF(B721=0,"",B721)),CHAR(34),CHAR(92)&amp;CHAR(34))</f>
        <v/>
      </c>
      <c r="K717" t="str">
        <f>SUBSTITUTE(SUBSTITUTE(SUBSTITUTE(SUBSTITUTE(IFERROR(VLOOKUP("Câu "&amp;D717&amp;".",dapan!$E:$J,6,0),""),"1","A"),"2","B"),"3","C"),"4","D")</f>
        <v/>
      </c>
      <c r="P717" t="str">
        <f t="shared" si="40"/>
        <v/>
      </c>
      <c r="Q717" t="str">
        <f t="shared" si="41"/>
        <v/>
      </c>
    </row>
    <row r="718" spans="1:17" hidden="1" x14ac:dyDescent="0.25">
      <c r="A718">
        <v>3</v>
      </c>
      <c r="B718" t="s">
        <v>611</v>
      </c>
      <c r="C718">
        <f>IFERROR(COUNTIFS($A$1:A718,"Câu "&amp;"*")-MID(A718,5,FIND(".",A718,1)-5),0)</f>
        <v>0</v>
      </c>
      <c r="D718" t="str">
        <f t="shared" si="39"/>
        <v/>
      </c>
      <c r="E718" t="str">
        <f>SUBSTITUTE(IF(LEFT(A718,3)="Câu",MID(A718,FIND(".",A718,1)+2,LEN(A718)),""),CHAR(34),CHAR(92)&amp;CHAR(34))</f>
        <v/>
      </c>
      <c r="G718" t="str">
        <f>SUBSTITUTE(B719,CHAR(34),CHAR(92)&amp;CHAR(34))</f>
        <v xml:space="preserve"> Ý 1 và ý 2.</v>
      </c>
      <c r="H718" t="str">
        <f>SUBSTITUTE(B720,CHAR(34),CHAR(92)&amp;CHAR(34))</f>
        <v/>
      </c>
      <c r="I718" t="str">
        <f>SUBSTITUTE(IF(LEFT(A721,3)="Câu","",B721),CHAR(34),CHAR(92)&amp;CHAR(34))</f>
        <v>Có thiết bị ghi nhận hình ảnh trẻ em mầm non, học sinh và thiết bị có chức năng cảnh báo, chống bỏ quên trẻ em trên xe; có niên hạn sử dụng không quá 20 năm; có màu sơn theo quy định của Chính phủ.</v>
      </c>
      <c r="J718" t="str">
        <f>SUBSTITUTE(IF(OR(LEFT(A722,3)="Câu",I718=""),"",IF(B722=0,"",B722)),CHAR(34),CHAR(92)&amp;CHAR(34))</f>
        <v>Có dây đai an toàn phù hợp với lứa tuổi hoặc sử dụng xe có ghế ngồi phù hợp với lứa tuổi theo quy định của pháp luật.</v>
      </c>
      <c r="K718" t="str">
        <f>SUBSTITUTE(SUBSTITUTE(SUBSTITUTE(SUBSTITUTE(IFERROR(VLOOKUP("Câu "&amp;D718&amp;".",dapan!$E:$J,6,0),""),"1","A"),"2","B"),"3","C"),"4","D")</f>
        <v/>
      </c>
      <c r="P718" t="str">
        <f t="shared" si="40"/>
        <v/>
      </c>
      <c r="Q718" t="str">
        <f t="shared" si="41"/>
        <v/>
      </c>
    </row>
    <row r="719" spans="1:17" hidden="1" x14ac:dyDescent="0.25">
      <c r="A719">
        <v>4</v>
      </c>
      <c r="B719" t="s">
        <v>239</v>
      </c>
      <c r="C719">
        <f>IFERROR(COUNTIFS($A$1:A719,"Câu "&amp;"*")-MID(A719,5,FIND(".",A719,1)-5),0)</f>
        <v>0</v>
      </c>
      <c r="D719" t="str">
        <f t="shared" si="39"/>
        <v/>
      </c>
      <c r="E719" t="str">
        <f>SUBSTITUTE(IF(LEFT(A719,3)="Câu",MID(A719,FIND(".",A719,1)+2,LEN(A719)),""),CHAR(34),CHAR(92)&amp;CHAR(34))</f>
        <v/>
      </c>
      <c r="G719" t="str">
        <f>SUBSTITUTE(B720,CHAR(34),CHAR(92)&amp;CHAR(34))</f>
        <v/>
      </c>
      <c r="H719" t="str">
        <f>SUBSTITUTE(B721,CHAR(34),CHAR(92)&amp;CHAR(34))</f>
        <v>Có thiết bị ghi nhận hình ảnh trẻ em mầm non, học sinh và thiết bị có chức năng cảnh báo, chống bỏ quên trẻ em trên xe; có niên hạn sử dụng không quá 20 năm; có màu sơn theo quy định của Chính phủ.</v>
      </c>
      <c r="I719" t="str">
        <f>SUBSTITUTE(IF(LEFT(A722,3)="Câu","",B722),CHAR(34),CHAR(92)&amp;CHAR(34))</f>
        <v>Có dây đai an toàn phù hợp với lứa tuổi hoặc sử dụng xe có ghế ngồi phù hợp với lứa tuổi theo quy định của pháp luật.</v>
      </c>
      <c r="J719" t="str">
        <f>SUBSTITUTE(IF(OR(LEFT(A723,3)="Câu",I719=""),"",IF(B723=0,"",B723)),CHAR(34),CHAR(92)&amp;CHAR(34))</f>
        <v>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v>
      </c>
      <c r="K719" t="str">
        <f>SUBSTITUTE(SUBSTITUTE(SUBSTITUTE(SUBSTITUTE(IFERROR(VLOOKUP("Câu "&amp;D719&amp;".",dapan!$E:$J,6,0),""),"1","A"),"2","B"),"3","C"),"4","D")</f>
        <v/>
      </c>
      <c r="P719" t="str">
        <f t="shared" si="40"/>
        <v/>
      </c>
      <c r="Q719" t="str">
        <f t="shared" si="41"/>
        <v/>
      </c>
    </row>
    <row r="720" spans="1:17" x14ac:dyDescent="0.25">
      <c r="A720" t="s">
        <v>612</v>
      </c>
      <c r="C720">
        <f>IFERROR(COUNTIFS($A$1:A720,"Câu "&amp;"*")-MID(A720,5,FIND(".",A720,1)-5),0)</f>
        <v>0</v>
      </c>
      <c r="D720">
        <f t="shared" si="39"/>
        <v>174</v>
      </c>
      <c r="E720" t="str">
        <f>SUBSTITUTE(IF(LEFT(A720,3)="Câu",MID(A720,FIND(".",A720,1)+2,LEN(A720)),""),CHAR(34),CHAR(92)&amp;CHAR(34))</f>
        <v>Xe ô tô kinh doanh vận tải chở trẻ em mầm non, học sinh phải đáp ứng các yêu cầu nào dưới đây?</v>
      </c>
      <c r="G720" t="str">
        <f>SUBSTITUTE(B721,CHAR(34),CHAR(92)&amp;CHAR(34))</f>
        <v>Có thiết bị ghi nhận hình ảnh trẻ em mầm non, học sinh và thiết bị có chức năng cảnh báo, chống bỏ quên trẻ em trên xe; có niên hạn sử dụng không quá 20 năm; có màu sơn theo quy định của Chính phủ.</v>
      </c>
      <c r="H720" t="str">
        <f>SUBSTITUTE(B722,CHAR(34),CHAR(92)&amp;CHAR(34))</f>
        <v>Có dây đai an toàn phù hợp với lứa tuổi hoặc sử dụng xe có ghế ngồi phù hợp với lứa tuổi theo quy định của pháp luật.</v>
      </c>
      <c r="I720" t="str">
        <f>SUBSTITUTE(IF(LEFT(A723,3)="Câu","",B723),CHAR(34),CHAR(92)&amp;CHAR(34))</f>
        <v>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v>
      </c>
      <c r="J720" t="str">
        <f>SUBSTITUTE(IF(OR(LEFT(A724,3)="Câu",I720=""),"",IF(B724=0,"",B724)),CHAR(34),CHAR(92)&amp;CHAR(34))</f>
        <v xml:space="preserve"> Cả ba ý trên.</v>
      </c>
      <c r="K720" t="str">
        <f ca="1">SUBSTITUTE(SUBSTITUTE(SUBSTITUTE(SUBSTITUTE(IFERROR(VLOOKUP("Câu "&amp;D720&amp;".",dapan!$E:$J,6,0),""),"1","A"),"2","B"),"3","C"),"4","D")</f>
        <v>D</v>
      </c>
      <c r="P720">
        <f t="shared" si="40"/>
        <v>174</v>
      </c>
      <c r="Q720" t="str">
        <f t="shared" ca="1" si="41"/>
        <v>{"num":174,"id":174,"q":"Xe ô tô kinh doanh vận tải chở trẻ em mầm non, học sinh phải đáp ứng các yêu cầu nào dưới đây?","opts":{"A":"Có thiết bị ghi nhận hình ảnh trẻ em mầm non, học sinh và thiết bị có chức năng cảnh báo, chống bỏ quên trẻ em trên xe; có niên hạn sử dụng không quá 20 năm; có màu sơn theo quy định của Chính phủ.","B":"Có dây đai an toàn phù hợp với lứa tuổi hoặc sử dụng xe có ghế ngồi phù hợp với lứa tuổi theo quy định của pháp luật.","C":"Được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xe.","D":" Cả ba ý trên."},"answer":"D"},</v>
      </c>
    </row>
    <row r="721" spans="1:17" hidden="1" x14ac:dyDescent="0.25">
      <c r="A721">
        <v>1</v>
      </c>
      <c r="B721" t="s">
        <v>613</v>
      </c>
      <c r="C721">
        <f>IFERROR(COUNTIFS($A$1:A721,"Câu "&amp;"*")-MID(A721,5,FIND(".",A721,1)-5),0)</f>
        <v>0</v>
      </c>
      <c r="D721" t="str">
        <f t="shared" si="39"/>
        <v/>
      </c>
      <c r="E721" t="str">
        <f>SUBSTITUTE(IF(LEFT(A721,3)="Câu",MID(A721,FIND(".",A721,1)+2,LEN(A721)),""),CHAR(34),CHAR(92)&amp;CHAR(34))</f>
        <v/>
      </c>
      <c r="G721" t="str">
        <f>SUBSTITUTE(B722,CHAR(34),CHAR(92)&amp;CHAR(34))</f>
        <v>Có dây đai an toàn phù hợp với lứa tuổi hoặc sử dụng xe có ghế ngồi phù hợp với lứa tuổi theo quy định của pháp luật.</v>
      </c>
      <c r="H721" t="str">
        <f>SUBSTITUTE(B723,CHAR(34),CHAR(92)&amp;CHAR(34))</f>
        <v>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v>
      </c>
      <c r="I721" t="str">
        <f>SUBSTITUTE(IF(LEFT(A724,3)="Câu","",B724),CHAR(34),CHAR(92)&amp;CHAR(34))</f>
        <v xml:space="preserve"> Cả ba ý trên.</v>
      </c>
      <c r="J721" t="str">
        <f>SUBSTITUTE(IF(OR(LEFT(A725,3)="Câu",I721=""),"",IF(B725=0,"",B725)),CHAR(34),CHAR(92)&amp;CHAR(34))</f>
        <v/>
      </c>
      <c r="K721" t="str">
        <f>SUBSTITUTE(SUBSTITUTE(SUBSTITUTE(SUBSTITUTE(IFERROR(VLOOKUP("Câu "&amp;D721&amp;".",dapan!$E:$J,6,0),""),"1","A"),"2","B"),"3","C"),"4","D")</f>
        <v/>
      </c>
      <c r="P721" t="str">
        <f t="shared" si="40"/>
        <v/>
      </c>
      <c r="Q721" t="str">
        <f t="shared" si="41"/>
        <v/>
      </c>
    </row>
    <row r="722" spans="1:17" hidden="1" x14ac:dyDescent="0.25">
      <c r="A722">
        <v>2</v>
      </c>
      <c r="B722" t="s">
        <v>614</v>
      </c>
      <c r="C722">
        <f>IFERROR(COUNTIFS($A$1:A722,"Câu "&amp;"*")-MID(A722,5,FIND(".",A722,1)-5),0)</f>
        <v>0</v>
      </c>
      <c r="D722" t="str">
        <f t="shared" si="39"/>
        <v/>
      </c>
      <c r="E722" t="str">
        <f>SUBSTITUTE(IF(LEFT(A722,3)="Câu",MID(A722,FIND(".",A722,1)+2,LEN(A722)),""),CHAR(34),CHAR(92)&amp;CHAR(34))</f>
        <v/>
      </c>
      <c r="G722" t="str">
        <f>SUBSTITUTE(B723,CHAR(34),CHAR(92)&amp;CHAR(34))</f>
        <v>Được cấp chứng nhận đăng kí xe và gắn biển số xe, bảo đảm an toàn kĩ thuật và bảo vệ môi trường theo quy định của pháp luật; xe ô tô chở người từ 08 chỗ trở lên (không kể chỗ của người lái xe) phải lắp thiết bị giám sát hành trình và thiết bị ghi nhận hình ảnh người lái xe.</v>
      </c>
      <c r="H722" t="str">
        <f>SUBSTITUTE(B724,CHAR(34),CHAR(92)&amp;CHAR(34))</f>
        <v xml:space="preserve"> Cả ba ý trên.</v>
      </c>
      <c r="I722" t="str">
        <f>SUBSTITUTE(IF(LEFT(A725,3)="Câu","",B725),CHAR(34),CHAR(92)&amp;CHAR(34))</f>
        <v/>
      </c>
      <c r="J722" t="str">
        <f>SUBSTITUTE(IF(OR(LEFT(A726,3)="Câu",I722=""),"",IF(B726=0,"",B726)),CHAR(34),CHAR(92)&amp;CHAR(34))</f>
        <v/>
      </c>
      <c r="K722" t="str">
        <f>SUBSTITUTE(SUBSTITUTE(SUBSTITUTE(SUBSTITUTE(IFERROR(VLOOKUP("Câu "&amp;D722&amp;".",dapan!$E:$J,6,0),""),"1","A"),"2","B"),"3","C"),"4","D")</f>
        <v/>
      </c>
      <c r="P722" t="str">
        <f t="shared" si="40"/>
        <v/>
      </c>
      <c r="Q722" t="str">
        <f t="shared" si="41"/>
        <v/>
      </c>
    </row>
    <row r="723" spans="1:17" hidden="1" x14ac:dyDescent="0.25">
      <c r="A723">
        <v>3</v>
      </c>
      <c r="B723" t="s">
        <v>615</v>
      </c>
      <c r="C723">
        <f>IFERROR(COUNTIFS($A$1:A723,"Câu "&amp;"*")-MID(A723,5,FIND(".",A723,1)-5),0)</f>
        <v>0</v>
      </c>
      <c r="D723" t="str">
        <f t="shared" si="39"/>
        <v/>
      </c>
      <c r="E723" t="str">
        <f>SUBSTITUTE(IF(LEFT(A723,3)="Câu",MID(A723,FIND(".",A723,1)+2,LEN(A723)),""),CHAR(34),CHAR(92)&amp;CHAR(34))</f>
        <v/>
      </c>
      <c r="G723" t="str">
        <f>SUBSTITUTE(B724,CHAR(34),CHAR(92)&amp;CHAR(34))</f>
        <v xml:space="preserve"> Cả ba ý trên.</v>
      </c>
      <c r="H723" t="str">
        <f>SUBSTITUTE(B725,CHAR(34),CHAR(92)&amp;CHAR(34))</f>
        <v/>
      </c>
      <c r="I723" t="str">
        <f>SUBSTITUTE(IF(LEFT(A726,3)="Câu","",B726),CHAR(34),CHAR(92)&amp;CHAR(34))</f>
        <v>Người lái xe phải mang đủ giấy tờ theo quy định của pháp luật.</v>
      </c>
      <c r="J723" t="str">
        <f>SUBSTITUTE(IF(OR(LEFT(A727,3)="Câu",I723=""),"",IF(B727=0,"",B727)),CHAR(34),CHAR(92)&amp;CHAR(34))</f>
        <v>Phương tiện vận chuyển phải có kết cấu phù hợp với loại động vật chuyên chở.</v>
      </c>
      <c r="K723" t="str">
        <f>SUBSTITUTE(SUBSTITUTE(SUBSTITUTE(SUBSTITUTE(IFERROR(VLOOKUP("Câu "&amp;D723&amp;".",dapan!$E:$J,6,0),""),"1","A"),"2","B"),"3","C"),"4","D")</f>
        <v/>
      </c>
      <c r="P723" t="str">
        <f t="shared" si="40"/>
        <v/>
      </c>
      <c r="Q723" t="str">
        <f t="shared" si="41"/>
        <v/>
      </c>
    </row>
    <row r="724" spans="1:17" hidden="1" x14ac:dyDescent="0.25">
      <c r="A724">
        <v>4</v>
      </c>
      <c r="B724" t="s">
        <v>89</v>
      </c>
      <c r="C724">
        <f>IFERROR(COUNTIFS($A$1:A724,"Câu "&amp;"*")-MID(A724,5,FIND(".",A724,1)-5),0)</f>
        <v>0</v>
      </c>
      <c r="D724" t="str">
        <f t="shared" si="39"/>
        <v/>
      </c>
      <c r="E724" t="str">
        <f>SUBSTITUTE(IF(LEFT(A724,3)="Câu",MID(A724,FIND(".",A724,1)+2,LEN(A724)),""),CHAR(34),CHAR(92)&amp;CHAR(34))</f>
        <v/>
      </c>
      <c r="G724" t="str">
        <f>SUBSTITUTE(B725,CHAR(34),CHAR(92)&amp;CHAR(34))</f>
        <v/>
      </c>
      <c r="H724" t="str">
        <f>SUBSTITUTE(B726,CHAR(34),CHAR(92)&amp;CHAR(34))</f>
        <v>Người lái xe phải mang đủ giấy tờ theo quy định của pháp luật.</v>
      </c>
      <c r="I724" t="str">
        <f>SUBSTITUTE(IF(LEFT(A727,3)="Câu","",B727),CHAR(34),CHAR(92)&amp;CHAR(34))</f>
        <v>Phương tiện vận chuyển phải có kết cấu phù hợp với loại động vật chuyên chở.</v>
      </c>
      <c r="J724" t="str">
        <f>SUBSTITUTE(IF(OR(LEFT(A728,3)="Câu",I724=""),"",IF(B728=0,"",B728)),CHAR(34),CHAR(92)&amp;CHAR(34))</f>
        <v>Trong quá trình vận chuyển phải chấp hành các quy định của pháp luật về trật tự, an toàn giao thông đường bộ, vệ sinh dịch tễ, phòng dịch và bảo đảm vệ sinh môi trường.</v>
      </c>
      <c r="K724" t="str">
        <f>SUBSTITUTE(SUBSTITUTE(SUBSTITUTE(SUBSTITUTE(IFERROR(VLOOKUP("Câu "&amp;D724&amp;".",dapan!$E:$J,6,0),""),"1","A"),"2","B"),"3","C"),"4","D")</f>
        <v/>
      </c>
      <c r="P724" t="str">
        <f t="shared" si="40"/>
        <v/>
      </c>
      <c r="Q724" t="str">
        <f t="shared" si="41"/>
        <v/>
      </c>
    </row>
    <row r="725" spans="1:17" x14ac:dyDescent="0.25">
      <c r="A725" t="s">
        <v>616</v>
      </c>
      <c r="C725">
        <f>IFERROR(COUNTIFS($A$1:A725,"Câu "&amp;"*")-MID(A725,5,FIND(".",A725,1)-5),0)</f>
        <v>0</v>
      </c>
      <c r="D725">
        <f t="shared" si="39"/>
        <v>175</v>
      </c>
      <c r="E725" t="str">
        <f>SUBSTITUTE(IF(LEFT(A725,3)="Câu",MID(A725,FIND(".",A725,1)+2,LEN(A725)),""),CHAR(34),CHAR(92)&amp;CHAR(34))</f>
        <v>Việc vận chuyển động vật sống khi tham gia giao thông đường bộ phải thực hiện các yêu cầu nào dưới đây?</v>
      </c>
      <c r="G725" t="str">
        <f>SUBSTITUTE(B726,CHAR(34),CHAR(92)&amp;CHAR(34))</f>
        <v>Người lái xe phải mang đủ giấy tờ theo quy định của pháp luật.</v>
      </c>
      <c r="H725" t="str">
        <f>SUBSTITUTE(B727,CHAR(34),CHAR(92)&amp;CHAR(34))</f>
        <v>Phương tiện vận chuyển phải có kết cấu phù hợp với loại động vật chuyên chở.</v>
      </c>
      <c r="I725" t="str">
        <f>SUBSTITUTE(IF(LEFT(A728,3)="Câu","",B728),CHAR(34),CHAR(92)&amp;CHAR(34))</f>
        <v>Trong quá trình vận chuyển phải chấp hành các quy định của pháp luật về trật tự, an toàn giao thông đường bộ, vệ sinh dịch tễ, phòng dịch và bảo đảm vệ sinh môi trường.</v>
      </c>
      <c r="J725" t="str">
        <f>SUBSTITUTE(IF(OR(LEFT(A729,3)="Câu",I725=""),"",IF(B729=0,"",B729)),CHAR(34),CHAR(92)&amp;CHAR(34))</f>
        <v xml:space="preserve"> Cả ba ý trên.</v>
      </c>
      <c r="K725" t="str">
        <f ca="1">SUBSTITUTE(SUBSTITUTE(SUBSTITUTE(SUBSTITUTE(IFERROR(VLOOKUP("Câu "&amp;D725&amp;".",dapan!$E:$J,6,0),""),"1","A"),"2","B"),"3","C"),"4","D")</f>
        <v>D</v>
      </c>
      <c r="P725">
        <f t="shared" si="40"/>
        <v>175</v>
      </c>
      <c r="Q725" t="str">
        <f t="shared" ca="1" si="41"/>
        <v>{"num":175,"id":175,"q":"Việc vận chuyển động vật sống khi tham gia giao thông đường bộ phải thực hiện các yêu cầu nào dưới đây?","opts":{"A":"Người lái xe phải mang đủ giấy tờ theo quy định của pháp luật.","B":"Phương tiện vận chuyển phải có kết cấu phù hợp với loại động vật chuyên chở.","C":"Trong quá trình vận chuyển phải chấp hành các quy định của pháp luật về trật tự, an toàn giao thông đường bộ, vệ sinh dịch tễ, phòng dịch và bảo đảm vệ sinh môi trường.","D":" Cả ba ý trên."},"answer":"D"},</v>
      </c>
    </row>
    <row r="726" spans="1:17" hidden="1" x14ac:dyDescent="0.25">
      <c r="A726">
        <v>1</v>
      </c>
      <c r="B726" t="s">
        <v>617</v>
      </c>
      <c r="C726">
        <f>IFERROR(COUNTIFS($A$1:A726,"Câu "&amp;"*")-MID(A726,5,FIND(".",A726,1)-5),0)</f>
        <v>0</v>
      </c>
      <c r="D726" t="str">
        <f t="shared" si="39"/>
        <v/>
      </c>
      <c r="E726" t="str">
        <f>SUBSTITUTE(IF(LEFT(A726,3)="Câu",MID(A726,FIND(".",A726,1)+2,LEN(A726)),""),CHAR(34),CHAR(92)&amp;CHAR(34))</f>
        <v/>
      </c>
      <c r="G726" t="str">
        <f>SUBSTITUTE(B727,CHAR(34),CHAR(92)&amp;CHAR(34))</f>
        <v>Phương tiện vận chuyển phải có kết cấu phù hợp với loại động vật chuyên chở.</v>
      </c>
      <c r="H726" t="str">
        <f>SUBSTITUTE(B728,CHAR(34),CHAR(92)&amp;CHAR(34))</f>
        <v>Trong quá trình vận chuyển phải chấp hành các quy định của pháp luật về trật tự, an toàn giao thông đường bộ, vệ sinh dịch tễ, phòng dịch và bảo đảm vệ sinh môi trường.</v>
      </c>
      <c r="I726" t="str">
        <f>SUBSTITUTE(IF(LEFT(A729,3)="Câu","",B729),CHAR(34),CHAR(92)&amp;CHAR(34))</f>
        <v xml:space="preserve"> Cả ba ý trên.</v>
      </c>
      <c r="J726" t="str">
        <f>SUBSTITUTE(IF(OR(LEFT(A730,3)="Câu",I726=""),"",IF(B730=0,"",B730)),CHAR(34),CHAR(92)&amp;CHAR(34))</f>
        <v/>
      </c>
      <c r="K726" t="str">
        <f>SUBSTITUTE(SUBSTITUTE(SUBSTITUTE(SUBSTITUTE(IFERROR(VLOOKUP("Câu "&amp;D726&amp;".",dapan!$E:$J,6,0),""),"1","A"),"2","B"),"3","C"),"4","D")</f>
        <v/>
      </c>
      <c r="P726" t="str">
        <f t="shared" si="40"/>
        <v/>
      </c>
      <c r="Q726" t="str">
        <f t="shared" si="41"/>
        <v/>
      </c>
    </row>
    <row r="727" spans="1:17" hidden="1" x14ac:dyDescent="0.25">
      <c r="A727">
        <v>2</v>
      </c>
      <c r="B727" t="s">
        <v>618</v>
      </c>
      <c r="C727">
        <f>IFERROR(COUNTIFS($A$1:A727,"Câu "&amp;"*")-MID(A727,5,FIND(".",A727,1)-5),0)</f>
        <v>0</v>
      </c>
      <c r="D727" t="str">
        <f t="shared" si="39"/>
        <v/>
      </c>
      <c r="E727" t="str">
        <f>SUBSTITUTE(IF(LEFT(A727,3)="Câu",MID(A727,FIND(".",A727,1)+2,LEN(A727)),""),CHAR(34),CHAR(92)&amp;CHAR(34))</f>
        <v/>
      </c>
      <c r="G727" t="str">
        <f>SUBSTITUTE(B728,CHAR(34),CHAR(92)&amp;CHAR(34))</f>
        <v>Trong quá trình vận chuyển phải chấp hành các quy định của pháp luật về trật tự, an toàn giao thông đường bộ, vệ sinh dịch tễ, phòng dịch và bảo đảm vệ sinh môi trường.</v>
      </c>
      <c r="H727" t="str">
        <f>SUBSTITUTE(B729,CHAR(34),CHAR(92)&amp;CHAR(34))</f>
        <v xml:space="preserve"> Cả ba ý trên.</v>
      </c>
      <c r="I727" t="str">
        <f>SUBSTITUTE(IF(LEFT(A730,3)="Câu","",B730),CHAR(34),CHAR(92)&amp;CHAR(34))</f>
        <v/>
      </c>
      <c r="J727" t="str">
        <f>SUBSTITUTE(IF(OR(LEFT(A731,3)="Câu",I727=""),"",IF(B731=0,"",B731)),CHAR(34),CHAR(92)&amp;CHAR(34))</f>
        <v/>
      </c>
      <c r="K727" t="str">
        <f>SUBSTITUTE(SUBSTITUTE(SUBSTITUTE(SUBSTITUTE(IFERROR(VLOOKUP("Câu "&amp;D727&amp;".",dapan!$E:$J,6,0),""),"1","A"),"2","B"),"3","C"),"4","D")</f>
        <v/>
      </c>
      <c r="P727" t="str">
        <f t="shared" si="40"/>
        <v/>
      </c>
      <c r="Q727" t="str">
        <f t="shared" si="41"/>
        <v/>
      </c>
    </row>
    <row r="728" spans="1:17" hidden="1" x14ac:dyDescent="0.25">
      <c r="A728">
        <v>3</v>
      </c>
      <c r="B728" t="s">
        <v>619</v>
      </c>
      <c r="C728">
        <f>IFERROR(COUNTIFS($A$1:A728,"Câu "&amp;"*")-MID(A728,5,FIND(".",A728,1)-5),0)</f>
        <v>0</v>
      </c>
      <c r="D728" t="str">
        <f t="shared" si="39"/>
        <v/>
      </c>
      <c r="E728" t="str">
        <f>SUBSTITUTE(IF(LEFT(A728,3)="Câu",MID(A728,FIND(".",A728,1)+2,LEN(A728)),""),CHAR(34),CHAR(92)&amp;CHAR(34))</f>
        <v/>
      </c>
      <c r="G728" t="str">
        <f>SUBSTITUTE(B729,CHAR(34),CHAR(92)&amp;CHAR(34))</f>
        <v xml:space="preserve"> Cả ba ý trên.</v>
      </c>
      <c r="H728" t="str">
        <f>SUBSTITUTE(B730,CHAR(34),CHAR(92)&amp;CHAR(34))</f>
        <v/>
      </c>
      <c r="I728" t="str">
        <f>SUBSTITUTE(IF(LEFT(A731,3)="Câu","",B731),CHAR(34),CHAR(92)&amp;CHAR(34))</f>
        <v xml:space="preserve"> Phải có giấy phép vận chuyển; trong trường hợp cần thiết, đơn vị vận chuyển hàng hoá nguy hiểm phải bố trí người áp tải để bảo đảm trật tự, an toàn giao thông đường bộ.</v>
      </c>
      <c r="J728" t="str">
        <f>SUBSTITUTE(IF(OR(LEFT(A732,3)="Câu",I728=""),"",IF(B732=0,"",B732)),CHAR(34),CHAR(92)&amp;CHAR(34))</f>
        <v>Phải có giấy phép vận chuyển; không phải bố trí người áp tải khi tham gia giao thông đường bộ.</v>
      </c>
      <c r="K728" t="str">
        <f>SUBSTITUTE(SUBSTITUTE(SUBSTITUTE(SUBSTITUTE(IFERROR(VLOOKUP("Câu "&amp;D728&amp;".",dapan!$E:$J,6,0),""),"1","A"),"2","B"),"3","C"),"4","D")</f>
        <v/>
      </c>
      <c r="P728" t="str">
        <f t="shared" si="40"/>
        <v/>
      </c>
      <c r="Q728" t="str">
        <f t="shared" si="41"/>
        <v/>
      </c>
    </row>
    <row r="729" spans="1:17" hidden="1" x14ac:dyDescent="0.25">
      <c r="A729">
        <v>4</v>
      </c>
      <c r="B729" t="s">
        <v>89</v>
      </c>
      <c r="C729">
        <f>IFERROR(COUNTIFS($A$1:A729,"Câu "&amp;"*")-MID(A729,5,FIND(".",A729,1)-5),0)</f>
        <v>0</v>
      </c>
      <c r="D729" t="str">
        <f t="shared" ref="D729:D792" si="42">IF(LEFT(A729,3)="Câu",VALUE(MID(A729,5,FIND(".",A729,1)-5)),"")</f>
        <v/>
      </c>
      <c r="E729" t="str">
        <f>SUBSTITUTE(IF(LEFT(A729,3)="Câu",MID(A729,FIND(".",A729,1)+2,LEN(A729)),""),CHAR(34),CHAR(92)&amp;CHAR(34))</f>
        <v/>
      </c>
      <c r="G729" t="str">
        <f>SUBSTITUTE(B730,CHAR(34),CHAR(92)&amp;CHAR(34))</f>
        <v/>
      </c>
      <c r="H729" t="str">
        <f>SUBSTITUTE(B731,CHAR(34),CHAR(92)&amp;CHAR(34))</f>
        <v xml:space="preserve"> Phải có giấy phép vận chuyển; trong trường hợp cần thiết, đơn vị vận chuyển hàng hoá nguy hiểm phải bố trí người áp tải để bảo đảm trật tự, an toàn giao thông đường bộ.</v>
      </c>
      <c r="I729" t="str">
        <f>SUBSTITUTE(IF(LEFT(A732,3)="Câu","",B732),CHAR(34),CHAR(92)&amp;CHAR(34))</f>
        <v>Phải có giấy phép vận chuyển; không phải bố trí người áp tải khi tham gia giao thông đường bộ.</v>
      </c>
      <c r="J729" t="str">
        <f>SUBSTITUTE(IF(OR(LEFT(A733,3)="Câu",I729=""),"",IF(B733=0,"",B733)),CHAR(34),CHAR(92)&amp;CHAR(34))</f>
        <v/>
      </c>
      <c r="K729" t="str">
        <f>SUBSTITUTE(SUBSTITUTE(SUBSTITUTE(SUBSTITUTE(IFERROR(VLOOKUP("Câu "&amp;D729&amp;".",dapan!$E:$J,6,0),""),"1","A"),"2","B"),"3","C"),"4","D")</f>
        <v/>
      </c>
      <c r="P729" t="str">
        <f t="shared" si="40"/>
        <v/>
      </c>
      <c r="Q729" t="str">
        <f t="shared" si="41"/>
        <v/>
      </c>
    </row>
    <row r="730" spans="1:17" x14ac:dyDescent="0.25">
      <c r="A730" t="s">
        <v>620</v>
      </c>
      <c r="C730">
        <f>IFERROR(COUNTIFS($A$1:A730,"Câu "&amp;"*")-MID(A730,5,FIND(".",A730,1)-5),0)</f>
        <v>0</v>
      </c>
      <c r="D730">
        <f t="shared" si="42"/>
        <v>176</v>
      </c>
      <c r="E730" t="str">
        <f>SUBSTITUTE(IF(LEFT(A730,3)="Câu",MID(A730,FIND(".",A730,1)+2,LEN(A730)),""),CHAR(34),CHAR(92)&amp;CHAR(34))</f>
        <v>Việc vận chuyển hàng hóa nguy hiểm khi tham gia giao thông đường bộ phải chấp hành các quy định nào dưới đây?</v>
      </c>
      <c r="G730" t="str">
        <f>SUBSTITUTE(B731,CHAR(34),CHAR(92)&amp;CHAR(34))</f>
        <v xml:space="preserve"> Phải có giấy phép vận chuyển; trong trường hợp cần thiết, đơn vị vận chuyển hàng hoá nguy hiểm phải bố trí người áp tải để bảo đảm trật tự, an toàn giao thông đường bộ.</v>
      </c>
      <c r="H730" t="str">
        <f>SUBSTITUTE(B732,CHAR(34),CHAR(92)&amp;CHAR(34))</f>
        <v>Phải có giấy phép vận chuyển; không phải bố trí người áp tải khi tham gia giao thông đường bộ.</v>
      </c>
      <c r="I730" t="str">
        <f>SUBSTITUTE(IF(LEFT(A733,3)="Câu","",B733),CHAR(34),CHAR(92)&amp;CHAR(34))</f>
        <v/>
      </c>
      <c r="J730" t="str">
        <f>SUBSTITUTE(IF(OR(LEFT(A734,3)="Câu",I730=""),"",IF(B734=0,"",B734)),CHAR(34),CHAR(92)&amp;CHAR(34))</f>
        <v/>
      </c>
      <c r="K730" t="str">
        <f ca="1">SUBSTITUTE(SUBSTITUTE(SUBSTITUTE(SUBSTITUTE(IFERROR(VLOOKUP("Câu "&amp;D730&amp;".",dapan!$E:$J,6,0),""),"1","A"),"2","B"),"3","C"),"4","D")</f>
        <v>A</v>
      </c>
      <c r="P730">
        <f t="shared" si="40"/>
        <v>176</v>
      </c>
      <c r="Q730" t="str">
        <f t="shared" ca="1" si="41"/>
        <v>{"num":176,"id":176,"q":"Việc vận chuyển hàng hóa nguy hiểm khi tham gia giao thông đường bộ phải chấp hành các quy định nào dưới đây?","opts":{"A":" Phải có giấy phép vận chuyển; trong trường hợp cần thiết, đơn vị vận chuyển hàng hoá nguy hiểm phải bố trí người áp tải để bảo đảm trật tự, an toàn giao thông đường bộ.","B":"Phải có giấy phép vận chuyển; không phải bố trí người áp tải khi tham gia giao thông đường bộ."},"answer":"A"},</v>
      </c>
    </row>
    <row r="731" spans="1:17" hidden="1" x14ac:dyDescent="0.25">
      <c r="A731">
        <v>1</v>
      </c>
      <c r="B731" t="s">
        <v>621</v>
      </c>
      <c r="C731">
        <f>IFERROR(COUNTIFS($A$1:A731,"Câu "&amp;"*")-MID(A731,5,FIND(".",A731,1)-5),0)</f>
        <v>0</v>
      </c>
      <c r="D731" t="str">
        <f t="shared" si="42"/>
        <v/>
      </c>
      <c r="E731" t="str">
        <f>SUBSTITUTE(IF(LEFT(A731,3)="Câu",MID(A731,FIND(".",A731,1)+2,LEN(A731)),""),CHAR(34),CHAR(92)&amp;CHAR(34))</f>
        <v/>
      </c>
      <c r="G731" t="str">
        <f>SUBSTITUTE(B732,CHAR(34),CHAR(92)&amp;CHAR(34))</f>
        <v>Phải có giấy phép vận chuyển; không phải bố trí người áp tải khi tham gia giao thông đường bộ.</v>
      </c>
      <c r="H731" t="str">
        <f>SUBSTITUTE(B733,CHAR(34),CHAR(92)&amp;CHAR(34))</f>
        <v/>
      </c>
      <c r="I731" t="str">
        <f>SUBSTITUTE(IF(LEFT(A734,3)="Câu","",B734),CHAR(34),CHAR(92)&amp;CHAR(34))</f>
        <v>Phải chấp hành quy định của pháp luật về trật tự, an toàn giao thông đường bộ của Việt Nam. Trường hợp điều ước quốc tế mà nước Cộng hòa xã hội chủ nghĩa Việt Nam là thành viên có quy định khác thì áp dụng theo điều ước quốc tế đó.</v>
      </c>
      <c r="J731" t="str">
        <f>SUBSTITUTE(IF(OR(LEFT(A735,3)="Câu",I731=""),"",IF(B735=0,"",B735)),CHAR(34),CHAR(92)&amp;CHAR(34))</f>
        <v>Tham gia giao thông đúng trong phạm vi, tuyến đường, thời gian đã được cơ quan có thẩm quyền của Việt Nam cấp phép.</v>
      </c>
      <c r="K731" t="str">
        <f>SUBSTITUTE(SUBSTITUTE(SUBSTITUTE(SUBSTITUTE(IFERROR(VLOOKUP("Câu "&amp;D731&amp;".",dapan!$E:$J,6,0),""),"1","A"),"2","B"),"3","C"),"4","D")</f>
        <v/>
      </c>
      <c r="P731" t="str">
        <f t="shared" si="40"/>
        <v/>
      </c>
      <c r="Q731" t="str">
        <f t="shared" si="41"/>
        <v/>
      </c>
    </row>
    <row r="732" spans="1:17" hidden="1" x14ac:dyDescent="0.25">
      <c r="A732">
        <v>2</v>
      </c>
      <c r="B732" t="s">
        <v>622</v>
      </c>
      <c r="C732">
        <f>IFERROR(COUNTIFS($A$1:A732,"Câu "&amp;"*")-MID(A732,5,FIND(".",A732,1)-5),0)</f>
        <v>0</v>
      </c>
      <c r="D732" t="str">
        <f t="shared" si="42"/>
        <v/>
      </c>
      <c r="E732" t="str">
        <f>SUBSTITUTE(IF(LEFT(A732,3)="Câu",MID(A732,FIND(".",A732,1)+2,LEN(A732)),""),CHAR(34),CHAR(92)&amp;CHAR(34))</f>
        <v/>
      </c>
      <c r="G732" t="str">
        <f>SUBSTITUTE(B733,CHAR(34),CHAR(92)&amp;CHAR(34))</f>
        <v/>
      </c>
      <c r="H732" t="str">
        <f>SUBSTITUTE(B734,CHAR(34),CHAR(92)&amp;CHAR(34))</f>
        <v>Phải chấp hành quy định của pháp luật về trật tự, an toàn giao thông đường bộ của Việt Nam. Trường hợp điều ước quốc tế mà nước Cộng hòa xã hội chủ nghĩa Việt Nam là thành viên có quy định khác thì áp dụng theo điều ước quốc tế đó.</v>
      </c>
      <c r="I732" t="str">
        <f>SUBSTITUTE(IF(LEFT(A735,3)="Câu","",B735),CHAR(34),CHAR(92)&amp;CHAR(34))</f>
        <v>Tham gia giao thông đúng trong phạm vi, tuyến đường, thời gian đã được cơ quan có thẩm quyền của Việt Nam cấp phép.</v>
      </c>
      <c r="J732" t="str">
        <f>SUBSTITUTE(IF(OR(LEFT(A736,3)="Câu",I732=""),"",IF(B736=0,"",B736)),CHAR(34),CHAR(92)&amp;CHAR(34))</f>
        <v>Xe ô tô của người nước ngoài đăng ký tại nước ngoài có tay lái ở bên phải phải đi theo đoàn và có người, phương tiện hỗ trợ, hướng dẫn giao thông.</v>
      </c>
      <c r="K732" t="str">
        <f>SUBSTITUTE(SUBSTITUTE(SUBSTITUTE(SUBSTITUTE(IFERROR(VLOOKUP("Câu "&amp;D732&amp;".",dapan!$E:$J,6,0),""),"1","A"),"2","B"),"3","C"),"4","D")</f>
        <v/>
      </c>
      <c r="P732" t="str">
        <f t="shared" si="40"/>
        <v/>
      </c>
      <c r="Q732" t="str">
        <f t="shared" si="41"/>
        <v/>
      </c>
    </row>
    <row r="733" spans="1:17" x14ac:dyDescent="0.25">
      <c r="A733" t="s">
        <v>623</v>
      </c>
      <c r="C733">
        <f>IFERROR(COUNTIFS($A$1:A733,"Câu "&amp;"*")-MID(A733,5,FIND(".",A733,1)-5),0)</f>
        <v>0</v>
      </c>
      <c r="D733">
        <f t="shared" si="42"/>
        <v>177</v>
      </c>
      <c r="E733" t="str">
        <f>SUBSTITUTE(IF(LEFT(A733,3)="Câu",MID(A733,FIND(".",A733,1)+2,LEN(A733)),""),CHAR(34),CHAR(92)&amp;CHAR(34))</f>
        <v>Việc lưu hành xe ô tô của người nước ngoài đăng ký tại nước ngoài có tay lái ở bên phải tham gia giao thông tại Việt Nam, xe cơ giới nước ngoài do người nước ngoài đưa vào Việt Nam du lịch được quy định như như thế nào?</v>
      </c>
      <c r="G733" t="str">
        <f>SUBSTITUTE(B734,CHAR(34),CHAR(92)&amp;CHAR(34))</f>
        <v>Phải chấp hành quy định của pháp luật về trật tự, an toàn giao thông đường bộ của Việt Nam. Trường hợp điều ước quốc tế mà nước Cộng hòa xã hội chủ nghĩa Việt Nam là thành viên có quy định khác thì áp dụng theo điều ước quốc tế đó.</v>
      </c>
      <c r="H733" t="str">
        <f>SUBSTITUTE(B735,CHAR(34),CHAR(92)&amp;CHAR(34))</f>
        <v>Tham gia giao thông đúng trong phạm vi, tuyến đường, thời gian đã được cơ quan có thẩm quyền của Việt Nam cấp phép.</v>
      </c>
      <c r="I733" t="str">
        <f>SUBSTITUTE(IF(LEFT(A736,3)="Câu","",B736),CHAR(34),CHAR(92)&amp;CHAR(34))</f>
        <v>Xe ô tô của người nước ngoài đăng ký tại nước ngoài có tay lái ở bên phải phải đi theo đoàn và có người, phương tiện hỗ trợ, hướng dẫn giao thông.</v>
      </c>
      <c r="J733" t="str">
        <f>SUBSTITUTE(IF(OR(LEFT(A737,3)="Câu",I733=""),"",IF(B737=0,"",B737)),CHAR(34),CHAR(92)&amp;CHAR(34))</f>
        <v xml:space="preserve"> Cả ba ý trên.</v>
      </c>
      <c r="K733" t="str">
        <f ca="1">SUBSTITUTE(SUBSTITUTE(SUBSTITUTE(SUBSTITUTE(IFERROR(VLOOKUP("Câu "&amp;D733&amp;".",dapan!$E:$J,6,0),""),"1","A"),"2","B"),"3","C"),"4","D")</f>
        <v>D</v>
      </c>
      <c r="P733">
        <f t="shared" si="40"/>
        <v>177</v>
      </c>
      <c r="Q733" t="str">
        <f t="shared" ca="1" si="41"/>
        <v>{"num":177,"id":177,"q":"Việc lưu hành xe ô tô của người nước ngoài đăng ký tại nước ngoài có tay lái ở bên phải tham gia giao thông tại Việt Nam, xe cơ giới nước ngoài do người nước ngoài đưa vào Việt Nam du lịch được quy định như như thế nào?","opts":{"A":"Phải chấp hành quy định của pháp luật về trật tự, an toàn giao thông đường bộ của Việt Nam. Trường hợp điều ước quốc tế mà nước Cộng hòa xã hội chủ nghĩa Việt Nam là thành viên có quy định khác thì áp dụng theo điều ước quốc tế đó.","B":"Tham gia giao thông đúng trong phạm vi, tuyến đường, thời gian đã được cơ quan có thẩm quyền của Việt Nam cấp phép.","C":"Xe ô tô của người nước ngoài đăng ký tại nước ngoài có tay lái ở bên phải phải đi theo đoàn và có người, phương tiện hỗ trợ, hướng dẫn giao thông.","D":" Cả ba ý trên."},"answer":"D"},</v>
      </c>
    </row>
    <row r="734" spans="1:17" hidden="1" x14ac:dyDescent="0.25">
      <c r="A734">
        <v>1</v>
      </c>
      <c r="B734" t="s">
        <v>624</v>
      </c>
      <c r="C734">
        <f>IFERROR(COUNTIFS($A$1:A734,"Câu "&amp;"*")-MID(A734,5,FIND(".",A734,1)-5),0)</f>
        <v>0</v>
      </c>
      <c r="D734" t="str">
        <f t="shared" si="42"/>
        <v/>
      </c>
      <c r="E734" t="str">
        <f>SUBSTITUTE(IF(LEFT(A734,3)="Câu",MID(A734,FIND(".",A734,1)+2,LEN(A734)),""),CHAR(34),CHAR(92)&amp;CHAR(34))</f>
        <v/>
      </c>
      <c r="G734" t="str">
        <f>SUBSTITUTE(B735,CHAR(34),CHAR(92)&amp;CHAR(34))</f>
        <v>Tham gia giao thông đúng trong phạm vi, tuyến đường, thời gian đã được cơ quan có thẩm quyền của Việt Nam cấp phép.</v>
      </c>
      <c r="H734" t="str">
        <f>SUBSTITUTE(B736,CHAR(34),CHAR(92)&amp;CHAR(34))</f>
        <v>Xe ô tô của người nước ngoài đăng ký tại nước ngoài có tay lái ở bên phải phải đi theo đoàn và có người, phương tiện hỗ trợ, hướng dẫn giao thông.</v>
      </c>
      <c r="I734" t="str">
        <f>SUBSTITUTE(IF(LEFT(A737,3)="Câu","",B737),CHAR(34),CHAR(92)&amp;CHAR(34))</f>
        <v xml:space="preserve"> Cả ba ý trên.</v>
      </c>
      <c r="J734" t="str">
        <f>SUBSTITUTE(IF(OR(LEFT(A738,3)="Câu",I734=""),"",IF(B738=0,"",B738)),CHAR(34),CHAR(92)&amp;CHAR(34))</f>
        <v/>
      </c>
      <c r="K734" t="str">
        <f>SUBSTITUTE(SUBSTITUTE(SUBSTITUTE(SUBSTITUTE(IFERROR(VLOOKUP("Câu "&amp;D734&amp;".",dapan!$E:$J,6,0),""),"1","A"),"2","B"),"3","C"),"4","D")</f>
        <v/>
      </c>
      <c r="P734" t="str">
        <f t="shared" si="40"/>
        <v/>
      </c>
      <c r="Q734" t="str">
        <f t="shared" si="41"/>
        <v/>
      </c>
    </row>
    <row r="735" spans="1:17" hidden="1" x14ac:dyDescent="0.25">
      <c r="A735">
        <v>2</v>
      </c>
      <c r="B735" t="s">
        <v>625</v>
      </c>
      <c r="C735">
        <f>IFERROR(COUNTIFS($A$1:A735,"Câu "&amp;"*")-MID(A735,5,FIND(".",A735,1)-5),0)</f>
        <v>0</v>
      </c>
      <c r="D735" t="str">
        <f t="shared" si="42"/>
        <v/>
      </c>
      <c r="E735" t="str">
        <f>SUBSTITUTE(IF(LEFT(A735,3)="Câu",MID(A735,FIND(".",A735,1)+2,LEN(A735)),""),CHAR(34),CHAR(92)&amp;CHAR(34))</f>
        <v/>
      </c>
      <c r="G735" t="str">
        <f>SUBSTITUTE(B736,CHAR(34),CHAR(92)&amp;CHAR(34))</f>
        <v>Xe ô tô của người nước ngoài đăng ký tại nước ngoài có tay lái ở bên phải phải đi theo đoàn và có người, phương tiện hỗ trợ, hướng dẫn giao thông.</v>
      </c>
      <c r="H735" t="str">
        <f>SUBSTITUTE(B737,CHAR(34),CHAR(92)&amp;CHAR(34))</f>
        <v xml:space="preserve"> Cả ba ý trên.</v>
      </c>
      <c r="I735" t="str">
        <f>SUBSTITUTE(IF(LEFT(A738,3)="Câu","",B738),CHAR(34),CHAR(92)&amp;CHAR(34))</f>
        <v/>
      </c>
      <c r="J735" t="str">
        <f>SUBSTITUTE(IF(OR(LEFT(A739,3)="Câu",I735=""),"",IF(B739=0,"",B739)),CHAR(34),CHAR(92)&amp;CHAR(34))</f>
        <v/>
      </c>
      <c r="K735" t="str">
        <f>SUBSTITUTE(SUBSTITUTE(SUBSTITUTE(SUBSTITUTE(IFERROR(VLOOKUP("Câu "&amp;D735&amp;".",dapan!$E:$J,6,0),""),"1","A"),"2","B"),"3","C"),"4","D")</f>
        <v/>
      </c>
      <c r="P735" t="str">
        <f t="shared" si="40"/>
        <v/>
      </c>
      <c r="Q735" t="str">
        <f t="shared" si="41"/>
        <v/>
      </c>
    </row>
    <row r="736" spans="1:17" hidden="1" x14ac:dyDescent="0.25">
      <c r="A736">
        <v>3</v>
      </c>
      <c r="B736" t="s">
        <v>626</v>
      </c>
      <c r="C736">
        <f>IFERROR(COUNTIFS($A$1:A736,"Câu "&amp;"*")-MID(A736,5,FIND(".",A736,1)-5),0)</f>
        <v>0</v>
      </c>
      <c r="D736" t="str">
        <f t="shared" si="42"/>
        <v/>
      </c>
      <c r="E736" t="str">
        <f>SUBSTITUTE(IF(LEFT(A736,3)="Câu",MID(A736,FIND(".",A736,1)+2,LEN(A736)),""),CHAR(34),CHAR(92)&amp;CHAR(34))</f>
        <v/>
      </c>
      <c r="G736" t="str">
        <f>SUBSTITUTE(B737,CHAR(34),CHAR(92)&amp;CHAR(34))</f>
        <v xml:space="preserve"> Cả ba ý trên.</v>
      </c>
      <c r="H736" t="str">
        <f>SUBSTITUTE(B738,CHAR(34),CHAR(92)&amp;CHAR(34))</f>
        <v/>
      </c>
      <c r="I736" t="str">
        <f>SUBSTITUTE(IF(LEFT(A739,3)="Câu","",B739),CHAR(34),CHAR(92)&amp;CHAR(34))</f>
        <v>Kiểm tra điều kiện bảo đảm an toàn của xe trước khi tham gia giao thông đường bộ; mang đủ giấy tờ theo quy định của pháp luật.</v>
      </c>
      <c r="J736" t="str">
        <f>SUBSTITUTE(IF(OR(LEFT(A740,3)="Câu",I736=""),"",IF(B740=0,"",B740)),CHAR(34),CHAR(92)&amp;CHAR(34))</f>
        <v>Kiểm tra việc sắp xếp hàng hóa bảo đảm an toàn; không chở quá số người, chở hành lý, hàng hoá vượt quá khối lượng cho phép hoặc vượt quá khổ giới hạn của xe.</v>
      </c>
      <c r="K736" t="str">
        <f>SUBSTITUTE(SUBSTITUTE(SUBSTITUTE(SUBSTITUTE(IFERROR(VLOOKUP("Câu "&amp;D736&amp;".",dapan!$E:$J,6,0),""),"1","A"),"2","B"),"3","C"),"4","D")</f>
        <v/>
      </c>
      <c r="P736" t="str">
        <f t="shared" si="40"/>
        <v/>
      </c>
      <c r="Q736" t="str">
        <f t="shared" si="41"/>
        <v/>
      </c>
    </row>
    <row r="737" spans="1:17" hidden="1" x14ac:dyDescent="0.25">
      <c r="A737">
        <v>4</v>
      </c>
      <c r="B737" t="s">
        <v>89</v>
      </c>
      <c r="C737">
        <f>IFERROR(COUNTIFS($A$1:A737,"Câu "&amp;"*")-MID(A737,5,FIND(".",A737,1)-5),0)</f>
        <v>0</v>
      </c>
      <c r="D737" t="str">
        <f t="shared" si="42"/>
        <v/>
      </c>
      <c r="E737" t="str">
        <f>SUBSTITUTE(IF(LEFT(A737,3)="Câu",MID(A737,FIND(".",A737,1)+2,LEN(A737)),""),CHAR(34),CHAR(92)&amp;CHAR(34))</f>
        <v/>
      </c>
      <c r="G737" t="str">
        <f>SUBSTITUTE(B738,CHAR(34),CHAR(92)&amp;CHAR(34))</f>
        <v/>
      </c>
      <c r="H737" t="str">
        <f>SUBSTITUTE(B739,CHAR(34),CHAR(92)&amp;CHAR(34))</f>
        <v>Kiểm tra điều kiện bảo đảm an toàn của xe trước khi tham gia giao thông đường bộ; mang đủ giấy tờ theo quy định của pháp luật.</v>
      </c>
      <c r="I737" t="str">
        <f>SUBSTITUTE(IF(LEFT(A740,3)="Câu","",B740),CHAR(34),CHAR(92)&amp;CHAR(34))</f>
        <v>Kiểm tra việc sắp xếp hàng hóa bảo đảm an toàn; không chở quá số người, chở hành lý, hàng hoá vượt quá khối lượng cho phép hoặc vượt quá khổ giới hạn của xe.</v>
      </c>
      <c r="J737" t="str">
        <f>SUBSTITUTE(IF(OR(LEFT(A741,3)="Câu",I737=""),"",IF(B741=0,"",B741)),CHAR(34),CHAR(92)&amp;CHAR(34))</f>
        <v xml:space="preserve"> Cả hai ý trên.</v>
      </c>
      <c r="K737" t="str">
        <f>SUBSTITUTE(SUBSTITUTE(SUBSTITUTE(SUBSTITUTE(IFERROR(VLOOKUP("Câu "&amp;D737&amp;".",dapan!$E:$J,6,0),""),"1","A"),"2","B"),"3","C"),"4","D")</f>
        <v/>
      </c>
      <c r="P737" t="str">
        <f t="shared" si="40"/>
        <v/>
      </c>
      <c r="Q737" t="str">
        <f t="shared" si="41"/>
        <v/>
      </c>
    </row>
    <row r="738" spans="1:17" x14ac:dyDescent="0.25">
      <c r="A738" t="s">
        <v>627</v>
      </c>
      <c r="C738">
        <f>IFERROR(COUNTIFS($A$1:A738,"Câu "&amp;"*")-MID(A738,5,FIND(".",A738,1)-5),0)</f>
        <v>0</v>
      </c>
      <c r="D738">
        <f t="shared" si="42"/>
        <v>178</v>
      </c>
      <c r="E738" t="str">
        <f>SUBSTITUTE(IF(LEFT(A738,3)="Câu",MID(A738,FIND(".",A738,1)+2,LEN(A738)),""),CHAR(34),CHAR(92)&amp;CHAR(34))</f>
        <v>Việc sử dụng xe mô tô, xe gắn máy, xe thô sơ để vận chuyển hành khách, hàng hóa phải thực hiện các quy định nào dưới đây để đảm bảo an toàn giao thông?</v>
      </c>
      <c r="G738" t="str">
        <f>SUBSTITUTE(B739,CHAR(34),CHAR(92)&amp;CHAR(34))</f>
        <v>Kiểm tra điều kiện bảo đảm an toàn của xe trước khi tham gia giao thông đường bộ; mang đủ giấy tờ theo quy định của pháp luật.</v>
      </c>
      <c r="H738" t="str">
        <f>SUBSTITUTE(B740,CHAR(34),CHAR(92)&amp;CHAR(34))</f>
        <v>Kiểm tra việc sắp xếp hàng hóa bảo đảm an toàn; không chở quá số người, chở hành lý, hàng hoá vượt quá khối lượng cho phép hoặc vượt quá khổ giới hạn của xe.</v>
      </c>
      <c r="I738" t="str">
        <f>SUBSTITUTE(IF(LEFT(A741,3)="Câu","",B741),CHAR(34),CHAR(92)&amp;CHAR(34))</f>
        <v xml:space="preserve"> Cả hai ý trên.</v>
      </c>
      <c r="J738" t="str">
        <f>SUBSTITUTE(IF(OR(LEFT(A742,3)="Câu",I738=""),"",IF(B742=0,"",B742)),CHAR(34),CHAR(92)&amp;CHAR(34))</f>
        <v/>
      </c>
      <c r="K738" t="str">
        <f ca="1">SUBSTITUTE(SUBSTITUTE(SUBSTITUTE(SUBSTITUTE(IFERROR(VLOOKUP("Câu "&amp;D738&amp;".",dapan!$E:$J,6,0),""),"1","A"),"2","B"),"3","C"),"4","D")</f>
        <v>C</v>
      </c>
      <c r="P738">
        <f t="shared" si="40"/>
        <v>178</v>
      </c>
      <c r="Q738" t="str">
        <f t="shared" ca="1" si="41"/>
        <v>{"num":178,"id":178,"q":"Việc sử dụng xe mô tô, xe gắn máy, xe thô sơ để vận chuyển hành khách, hàng hóa phải thực hiện các quy định nào dưới đây để đảm bảo an toàn giao thông?","opts":{"A":"Kiểm tra điều kiện bảo đảm an toàn của xe trước khi tham gia giao thông đường bộ; mang đủ giấy tờ theo quy định của pháp luật.","B":"Kiểm tra việc sắp xếp hàng hóa bảo đảm an toàn; không chở quá số người, chở hành lý, hàng hoá vượt quá khối lượng cho phép hoặc vượt quá khổ giới hạn của xe.","C":" Cả hai ý trên."},"answer":"C"},</v>
      </c>
    </row>
    <row r="739" spans="1:17" hidden="1" x14ac:dyDescent="0.25">
      <c r="A739">
        <v>1</v>
      </c>
      <c r="B739" t="s">
        <v>628</v>
      </c>
      <c r="C739">
        <f>IFERROR(COUNTIFS($A$1:A739,"Câu "&amp;"*")-MID(A739,5,FIND(".",A739,1)-5),0)</f>
        <v>0</v>
      </c>
      <c r="D739" t="str">
        <f t="shared" si="42"/>
        <v/>
      </c>
      <c r="E739" t="str">
        <f>SUBSTITUTE(IF(LEFT(A739,3)="Câu",MID(A739,FIND(".",A739,1)+2,LEN(A739)),""),CHAR(34),CHAR(92)&amp;CHAR(34))</f>
        <v/>
      </c>
      <c r="G739" t="str">
        <f>SUBSTITUTE(B740,CHAR(34),CHAR(92)&amp;CHAR(34))</f>
        <v>Kiểm tra việc sắp xếp hàng hóa bảo đảm an toàn; không chở quá số người, chở hành lý, hàng hoá vượt quá khối lượng cho phép hoặc vượt quá khổ giới hạn của xe.</v>
      </c>
      <c r="H739" t="str">
        <f>SUBSTITUTE(B741,CHAR(34),CHAR(92)&amp;CHAR(34))</f>
        <v xml:space="preserve"> Cả hai ý trên.</v>
      </c>
      <c r="I739" t="str">
        <f>SUBSTITUTE(IF(LEFT(A742,3)="Câu","",B742),CHAR(34),CHAR(92)&amp;CHAR(34))</f>
        <v/>
      </c>
      <c r="J739" t="str">
        <f>SUBSTITUTE(IF(OR(LEFT(A743,3)="Câu",I739=""),"",IF(B743=0,"",B743)),CHAR(34),CHAR(92)&amp;CHAR(34))</f>
        <v/>
      </c>
      <c r="K739" t="str">
        <f>SUBSTITUTE(SUBSTITUTE(SUBSTITUTE(SUBSTITUTE(IFERROR(VLOOKUP("Câu "&amp;D739&amp;".",dapan!$E:$J,6,0),""),"1","A"),"2","B"),"3","C"),"4","D")</f>
        <v/>
      </c>
      <c r="P739" t="str">
        <f t="shared" si="40"/>
        <v/>
      </c>
      <c r="Q739" t="str">
        <f t="shared" si="41"/>
        <v/>
      </c>
    </row>
    <row r="740" spans="1:17" hidden="1" x14ac:dyDescent="0.25">
      <c r="A740">
        <v>2</v>
      </c>
      <c r="B740" t="s">
        <v>629</v>
      </c>
      <c r="C740">
        <f>IFERROR(COUNTIFS($A$1:A740,"Câu "&amp;"*")-MID(A740,5,FIND(".",A740,1)-5),0)</f>
        <v>0</v>
      </c>
      <c r="D740" t="str">
        <f t="shared" si="42"/>
        <v/>
      </c>
      <c r="E740" t="str">
        <f>SUBSTITUTE(IF(LEFT(A740,3)="Câu",MID(A740,FIND(".",A740,1)+2,LEN(A740)),""),CHAR(34),CHAR(92)&amp;CHAR(34))</f>
        <v/>
      </c>
      <c r="G740" t="str">
        <f>SUBSTITUTE(B741,CHAR(34),CHAR(92)&amp;CHAR(34))</f>
        <v xml:space="preserve"> Cả hai ý trên.</v>
      </c>
      <c r="H740" t="str">
        <f>SUBSTITUTE(B742,CHAR(34),CHAR(92)&amp;CHAR(34))</f>
        <v/>
      </c>
      <c r="I740" t="str">
        <f>SUBSTITUTE(IF(LEFT(A743,3)="Câu","",B743),CHAR(34),CHAR(92)&amp;CHAR(34))</f>
        <v xml:space="preserve"> Phải chạy với tốc độ quy định trong giấy phép và phải có báo hiệu kích thước của hàng; trường hợp cần thiết,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bộ.</v>
      </c>
      <c r="J740" t="str">
        <f>SUBSTITUTE(IF(OR(LEFT(A744,3)="Câu",I740=""),"",IF(B744=0,"",B744)),CHAR(34),CHAR(92)&amp;CHAR(34))</f>
        <v>Phải chạy với tốc độ quy định trong giấy phép;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dành cho giao thông công cộng.</v>
      </c>
      <c r="K740" t="str">
        <f>SUBSTITUTE(SUBSTITUTE(SUBSTITUTE(SUBSTITUTE(IFERROR(VLOOKUP("Câu "&amp;D740&amp;".",dapan!$E:$J,6,0),""),"1","A"),"2","B"),"3","C"),"4","D")</f>
        <v/>
      </c>
      <c r="P740" t="str">
        <f t="shared" si="40"/>
        <v/>
      </c>
      <c r="Q740" t="str">
        <f t="shared" si="41"/>
        <v/>
      </c>
    </row>
    <row r="741" spans="1:17" hidden="1" x14ac:dyDescent="0.25">
      <c r="A741">
        <v>3</v>
      </c>
      <c r="B741" t="s">
        <v>32</v>
      </c>
      <c r="C741">
        <f>IFERROR(COUNTIFS($A$1:A741,"Câu "&amp;"*")-MID(A741,5,FIND(".",A741,1)-5),0)</f>
        <v>0</v>
      </c>
      <c r="D741" t="str">
        <f t="shared" si="42"/>
        <v/>
      </c>
      <c r="E741" t="str">
        <f>SUBSTITUTE(IF(LEFT(A741,3)="Câu",MID(A741,FIND(".",A741,1)+2,LEN(A741)),""),CHAR(34),CHAR(92)&amp;CHAR(34))</f>
        <v/>
      </c>
      <c r="G741" t="str">
        <f>SUBSTITUTE(B742,CHAR(34),CHAR(92)&amp;CHAR(34))</f>
        <v/>
      </c>
      <c r="H741" t="str">
        <f>SUBSTITUTE(B743,CHAR(34),CHAR(92)&amp;CHAR(34))</f>
        <v xml:space="preserve"> Phải chạy với tốc độ quy định trong giấy phép và phải có báo hiệu kích thước của hàng; trường hợp cần thiết,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bộ.</v>
      </c>
      <c r="I741" t="str">
        <f>SUBSTITUTE(IF(LEFT(A744,3)="Câu","",B744),CHAR(34),CHAR(92)&amp;CHAR(34))</f>
        <v>Phải chạy với tốc độ quy định trong giấy phép;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dành cho giao thông công cộng.</v>
      </c>
      <c r="J741" t="str">
        <f>SUBSTITUTE(IF(OR(LEFT(A745,3)="Câu",I741=""),"",IF(B745=0,"",B745)),CHAR(34),CHAR(92)&amp;CHAR(34))</f>
        <v/>
      </c>
      <c r="K741" t="str">
        <f>SUBSTITUTE(SUBSTITUTE(SUBSTITUTE(SUBSTITUTE(IFERROR(VLOOKUP("Câu "&amp;D741&amp;".",dapan!$E:$J,6,0),""),"1","A"),"2","B"),"3","C"),"4","D")</f>
        <v/>
      </c>
      <c r="P741" t="str">
        <f t="shared" si="40"/>
        <v/>
      </c>
      <c r="Q741" t="str">
        <f t="shared" si="41"/>
        <v/>
      </c>
    </row>
    <row r="742" spans="1:17" x14ac:dyDescent="0.25">
      <c r="A742" t="s">
        <v>630</v>
      </c>
      <c r="C742">
        <f>IFERROR(COUNTIFS($A$1:A742,"Câu "&amp;"*")-MID(A742,5,FIND(".",A742,1)-5),0)</f>
        <v>0</v>
      </c>
      <c r="D742">
        <f t="shared" si="42"/>
        <v>179</v>
      </c>
      <c r="E742" t="str">
        <f>SUBSTITUTE(IF(LEFT(A742,3)="Câu",MID(A742,FIND(".",A742,1)+2,LEN(A742)),""),CHAR(34),CHAR(92)&amp;CHAR(34))</f>
        <v>Xe vận chuyển hàng siêu trường, siêu trọng phải thực hiện các quy định nào dưới đây để bảo đảm an toàn giao thông?</v>
      </c>
      <c r="G742" t="str">
        <f>SUBSTITUTE(B743,CHAR(34),CHAR(92)&amp;CHAR(34))</f>
        <v xml:space="preserve"> Phải chạy với tốc độ quy định trong giấy phép và phải có báo hiệu kích thước của hàng; trường hợp cần thiết,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bộ.</v>
      </c>
      <c r="H742" t="str">
        <f>SUBSTITUTE(B744,CHAR(34),CHAR(92)&amp;CHAR(34))</f>
        <v>Phải chạy với tốc độ quy định trong giấy phép;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dành cho giao thông công cộng.</v>
      </c>
      <c r="I742" t="str">
        <f>SUBSTITUTE(IF(LEFT(A745,3)="Câu","",B745),CHAR(34),CHAR(92)&amp;CHAR(34))</f>
        <v/>
      </c>
      <c r="J742" t="str">
        <f>SUBSTITUTE(IF(OR(LEFT(A746,3)="Câu",I742=""),"",IF(B746=0,"",B746)),CHAR(34),CHAR(92)&amp;CHAR(34))</f>
        <v/>
      </c>
      <c r="K742" t="str">
        <f ca="1">SUBSTITUTE(SUBSTITUTE(SUBSTITUTE(SUBSTITUTE(IFERROR(VLOOKUP("Câu "&amp;D742&amp;".",dapan!$E:$J,6,0),""),"1","A"),"2","B"),"3","C"),"4","D")</f>
        <v>A</v>
      </c>
      <c r="P742">
        <f t="shared" si="40"/>
        <v>179</v>
      </c>
      <c r="Q742" t="str">
        <f t="shared" ca="1" si="41"/>
        <v>{"num":179,"id":179,"q":"Xe vận chuyển hàng siêu trường, siêu trọng phải thực hiện các quy định nào dưới đây để bảo đảm an toàn giao thông?","opts":{"A":" Phải chạy với tốc độ quy định trong giấy phép và phải có báo hiệu kích thước của hàng; trường hợp cần thiết,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bộ.","B":"Phải chạy với tốc độ quy định trong giấy phép;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dành cho giao thông công cộng."},"answer":"A"},</v>
      </c>
    </row>
    <row r="743" spans="1:17" hidden="1" x14ac:dyDescent="0.25">
      <c r="A743">
        <v>1</v>
      </c>
      <c r="B743" t="s">
        <v>631</v>
      </c>
      <c r="C743">
        <f>IFERROR(COUNTIFS($A$1:A743,"Câu "&amp;"*")-MID(A743,5,FIND(".",A743,1)-5),0)</f>
        <v>0</v>
      </c>
      <c r="D743" t="str">
        <f t="shared" si="42"/>
        <v/>
      </c>
      <c r="E743" t="str">
        <f>SUBSTITUTE(IF(LEFT(A743,3)="Câu",MID(A743,FIND(".",A743,1)+2,LEN(A743)),""),CHAR(34),CHAR(92)&amp;CHAR(34))</f>
        <v/>
      </c>
      <c r="G743" t="str">
        <f>SUBSTITUTE(B744,CHAR(34),CHAR(92)&amp;CHAR(34))</f>
        <v>Phải chạy với tốc độ quy định trong giấy phép; phải có người, phương tiện hỗ trợ lái xe, cảnh báo cho người, phương tiện tham gia giao thông đường bộ khác và thực hiện các biện pháp bảo đảm an toàn giao thông khi vận chuyển hàng siêu trường, siêu trọng trên đường dành cho giao thông công cộng.</v>
      </c>
      <c r="H743" t="str">
        <f>SUBSTITUTE(B745,CHAR(34),CHAR(92)&amp;CHAR(34))</f>
        <v/>
      </c>
      <c r="I743" t="str">
        <f>SUBSTITUTE(IF(LEFT(A746,3)="Câu","",B746),CHAR(34),CHAR(92)&amp;CHAR(34))</f>
        <v>Xe cứu hộ giao thông đường bộ phải có dấu hiệu nhận diện, niêm yết thông tin trên xe, gắn thiết bị giám sát hành trình và thiết bị ghi nhận hình ảnh người lái xe.</v>
      </c>
      <c r="J743" t="str">
        <f>SUBSTITUTE(IF(OR(LEFT(A747,3)="Câu",I743=""),"",IF(B747=0,"",B747)),CHAR(34),CHAR(92)&amp;CHAR(34))</f>
        <v>Phải tuân thủ quy định của pháp luật về khối lượng hàng hóa chuyên chở của xe cứu hộ và khối lượng của xe được cứu hộ ghi trên Chứng nhận kiểm định an toàn kỹ thuật và bảo vệ môi trường.</v>
      </c>
      <c r="K743" t="str">
        <f>SUBSTITUTE(SUBSTITUTE(SUBSTITUTE(SUBSTITUTE(IFERROR(VLOOKUP("Câu "&amp;D743&amp;".",dapan!$E:$J,6,0),""),"1","A"),"2","B"),"3","C"),"4","D")</f>
        <v/>
      </c>
      <c r="P743" t="str">
        <f t="shared" si="40"/>
        <v/>
      </c>
      <c r="Q743" t="str">
        <f t="shared" si="41"/>
        <v/>
      </c>
    </row>
    <row r="744" spans="1:17" hidden="1" x14ac:dyDescent="0.25">
      <c r="A744">
        <v>2</v>
      </c>
      <c r="B744" t="s">
        <v>632</v>
      </c>
      <c r="C744">
        <f>IFERROR(COUNTIFS($A$1:A744,"Câu "&amp;"*")-MID(A744,5,FIND(".",A744,1)-5),0)</f>
        <v>0</v>
      </c>
      <c r="D744" t="str">
        <f t="shared" si="42"/>
        <v/>
      </c>
      <c r="E744" t="str">
        <f>SUBSTITUTE(IF(LEFT(A744,3)="Câu",MID(A744,FIND(".",A744,1)+2,LEN(A744)),""),CHAR(34),CHAR(92)&amp;CHAR(34))</f>
        <v/>
      </c>
      <c r="G744" t="str">
        <f>SUBSTITUTE(B745,CHAR(34),CHAR(92)&amp;CHAR(34))</f>
        <v/>
      </c>
      <c r="H744" t="str">
        <f>SUBSTITUTE(B746,CHAR(34),CHAR(92)&amp;CHAR(34))</f>
        <v>Xe cứu hộ giao thông đường bộ phải có dấu hiệu nhận diện, niêm yết thông tin trên xe, gắn thiết bị giám sát hành trình và thiết bị ghi nhận hình ảnh người lái xe.</v>
      </c>
      <c r="I744" t="str">
        <f>SUBSTITUTE(IF(LEFT(A747,3)="Câu","",B747),CHAR(34),CHAR(92)&amp;CHAR(34))</f>
        <v>Phải tuân thủ quy định của pháp luật về khối lượng hàng hóa chuyên chở của xe cứu hộ và khối lượng của xe được cứu hộ ghi trên Chứng nhận kiểm định an toàn kỹ thuật và bảo vệ môi trường.</v>
      </c>
      <c r="J744" t="str">
        <f>SUBSTITUTE(IF(OR(LEFT(A748,3)="Câu",I744=""),"",IF(B748=0,"",B748)),CHAR(34),CHAR(92)&amp;CHAR(34))</f>
        <v xml:space="preserve"> Cả hai ý trên.</v>
      </c>
      <c r="K744" t="str">
        <f>SUBSTITUTE(SUBSTITUTE(SUBSTITUTE(SUBSTITUTE(IFERROR(VLOOKUP("Câu "&amp;D744&amp;".",dapan!$E:$J,6,0),""),"1","A"),"2","B"),"3","C"),"4","D")</f>
        <v/>
      </c>
      <c r="P744" t="str">
        <f t="shared" si="40"/>
        <v/>
      </c>
      <c r="Q744" t="str">
        <f t="shared" si="41"/>
        <v/>
      </c>
    </row>
    <row r="745" spans="1:17" x14ac:dyDescent="0.25">
      <c r="A745" t="s">
        <v>633</v>
      </c>
      <c r="C745">
        <f>IFERROR(COUNTIFS($A$1:A745,"Câu "&amp;"*")-MID(A745,5,FIND(".",A745,1)-5),0)</f>
        <v>0</v>
      </c>
      <c r="D745">
        <f t="shared" si="42"/>
        <v>180</v>
      </c>
      <c r="E745" t="str">
        <f>SUBSTITUTE(IF(LEFT(A745,3)="Câu",MID(A745,FIND(".",A745,1)+2,LEN(A745)),""),CHAR(34),CHAR(92)&amp;CHAR(34))</f>
        <v>Xe cứu hộ giao thông đường bộ cần thực hiện yêu cầu nào sau đây để bảo đảm trật tự an toàn giao thông?</v>
      </c>
      <c r="G745" t="str">
        <f>SUBSTITUTE(B746,CHAR(34),CHAR(92)&amp;CHAR(34))</f>
        <v>Xe cứu hộ giao thông đường bộ phải có dấu hiệu nhận diện, niêm yết thông tin trên xe, gắn thiết bị giám sát hành trình và thiết bị ghi nhận hình ảnh người lái xe.</v>
      </c>
      <c r="H745" t="str">
        <f>SUBSTITUTE(B747,CHAR(34),CHAR(92)&amp;CHAR(34))</f>
        <v>Phải tuân thủ quy định của pháp luật về khối lượng hàng hóa chuyên chở của xe cứu hộ và khối lượng của xe được cứu hộ ghi trên Chứng nhận kiểm định an toàn kỹ thuật và bảo vệ môi trường.</v>
      </c>
      <c r="I745" t="str">
        <f>SUBSTITUTE(IF(LEFT(A748,3)="Câu","",B748),CHAR(34),CHAR(92)&amp;CHAR(34))</f>
        <v xml:space="preserve"> Cả hai ý trên.</v>
      </c>
      <c r="J745" t="str">
        <f>SUBSTITUTE(IF(OR(LEFT(A749,3)="Câu",I745=""),"",IF(B749=0,"",B749)),CHAR(34),CHAR(92)&amp;CHAR(34))</f>
        <v/>
      </c>
      <c r="K745" t="str">
        <f ca="1">SUBSTITUTE(SUBSTITUTE(SUBSTITUTE(SUBSTITUTE(IFERROR(VLOOKUP("Câu "&amp;D745&amp;".",dapan!$E:$J,6,0),""),"1","A"),"2","B"),"3","C"),"4","D")</f>
        <v>C</v>
      </c>
      <c r="P745">
        <f t="shared" si="40"/>
        <v>180</v>
      </c>
      <c r="Q745" t="str">
        <f t="shared" ca="1" si="41"/>
        <v>{"num":180,"id":180,"q":"Xe cứu hộ giao thông đường bộ cần thực hiện yêu cầu nào sau đây để bảo đảm trật tự an toàn giao thông?","opts":{"A":"Xe cứu hộ giao thông đường bộ phải có dấu hiệu nhận diện, niêm yết thông tin trên xe, gắn thiết bị giám sát hành trình và thiết bị ghi nhận hình ảnh người lái xe.","B":"Phải tuân thủ quy định của pháp luật về khối lượng hàng hóa chuyên chở của xe cứu hộ và khối lượng của xe được cứu hộ ghi trên Chứng nhận kiểm định an toàn kỹ thuật và bảo vệ môi trường.","C":" Cả hai ý trên."},"answer":"C"},</v>
      </c>
    </row>
    <row r="746" spans="1:17" hidden="1" x14ac:dyDescent="0.25">
      <c r="A746">
        <v>1</v>
      </c>
      <c r="B746" t="s">
        <v>634</v>
      </c>
      <c r="C746">
        <f>IFERROR(COUNTIFS($A$1:A746,"Câu "&amp;"*")-MID(A746,5,FIND(".",A746,1)-5),0)</f>
        <v>0</v>
      </c>
      <c r="D746" t="str">
        <f t="shared" si="42"/>
        <v/>
      </c>
      <c r="E746" t="str">
        <f>SUBSTITUTE(IF(LEFT(A746,3)="Câu",MID(A746,FIND(".",A746,1)+2,LEN(A746)),""),CHAR(34),CHAR(92)&amp;CHAR(34))</f>
        <v/>
      </c>
      <c r="G746" t="str">
        <f>SUBSTITUTE(B747,CHAR(34),CHAR(92)&amp;CHAR(34))</f>
        <v>Phải tuân thủ quy định của pháp luật về khối lượng hàng hóa chuyên chở của xe cứu hộ và khối lượng của xe được cứu hộ ghi trên Chứng nhận kiểm định an toàn kỹ thuật và bảo vệ môi trường.</v>
      </c>
      <c r="H746" t="str">
        <f>SUBSTITUTE(B748,CHAR(34),CHAR(92)&amp;CHAR(34))</f>
        <v xml:space="preserve"> Cả hai ý trên.</v>
      </c>
      <c r="I746" t="str">
        <f>SUBSTITUTE(IF(LEFT(A749,3)="Câu","",B749),CHAR(34),CHAR(92)&amp;CHAR(34))</f>
        <v/>
      </c>
      <c r="J746" t="str">
        <f>SUBSTITUTE(IF(OR(LEFT(A750,3)="Câu",I746=""),"",IF(B750=0,"",B750)),CHAR(34),CHAR(92)&amp;CHAR(34))</f>
        <v/>
      </c>
      <c r="K746" t="str">
        <f>SUBSTITUTE(SUBSTITUTE(SUBSTITUTE(SUBSTITUTE(IFERROR(VLOOKUP("Câu "&amp;D746&amp;".",dapan!$E:$J,6,0),""),"1","A"),"2","B"),"3","C"),"4","D")</f>
        <v/>
      </c>
      <c r="P746" t="str">
        <f t="shared" si="40"/>
        <v/>
      </c>
      <c r="Q746" t="str">
        <f t="shared" si="41"/>
        <v/>
      </c>
    </row>
    <row r="747" spans="1:17" hidden="1" x14ac:dyDescent="0.25">
      <c r="A747">
        <v>2</v>
      </c>
      <c r="B747" t="s">
        <v>635</v>
      </c>
      <c r="C747">
        <f>IFERROR(COUNTIFS($A$1:A747,"Câu "&amp;"*")-MID(A747,5,FIND(".",A747,1)-5),0)</f>
        <v>0</v>
      </c>
      <c r="D747" t="str">
        <f t="shared" si="42"/>
        <v/>
      </c>
      <c r="E747" t="str">
        <f>SUBSTITUTE(IF(LEFT(A747,3)="Câu",MID(A747,FIND(".",A747,1)+2,LEN(A747)),""),CHAR(34),CHAR(92)&amp;CHAR(34))</f>
        <v/>
      </c>
      <c r="G747" t="str">
        <f>SUBSTITUTE(B748,CHAR(34),CHAR(92)&amp;CHAR(34))</f>
        <v xml:space="preserve"> Cả hai ý trên.</v>
      </c>
      <c r="H747" t="str">
        <f>SUBSTITUTE(B749,CHAR(34),CHAR(92)&amp;CHAR(34))</f>
        <v/>
      </c>
      <c r="I747" t="str">
        <f>SUBSTITUTE(IF(LEFT(A750,3)="Câu","",B750),CHAR(34),CHAR(92)&amp;CHAR(34))</f>
        <v/>
      </c>
      <c r="J747" t="str">
        <f>SUBSTITUTE(IF(OR(LEFT(A751,3)="Câu",I747=""),"",IF(B751=0,"",B751)),CHAR(34),CHAR(92)&amp;CHAR(34))</f>
        <v/>
      </c>
      <c r="K747" t="str">
        <f>SUBSTITUTE(SUBSTITUTE(SUBSTITUTE(SUBSTITUTE(IFERROR(VLOOKUP("Câu "&amp;D747&amp;".",dapan!$E:$J,6,0),""),"1","A"),"2","B"),"3","C"),"4","D")</f>
        <v/>
      </c>
      <c r="P747" t="str">
        <f t="shared" si="40"/>
        <v/>
      </c>
      <c r="Q747" t="str">
        <f t="shared" si="41"/>
        <v/>
      </c>
    </row>
    <row r="748" spans="1:17" hidden="1" x14ac:dyDescent="0.25">
      <c r="A748">
        <v>3</v>
      </c>
      <c r="B748" t="s">
        <v>32</v>
      </c>
      <c r="C748">
        <f>IFERROR(COUNTIFS($A$1:A748,"Câu "&amp;"*")-MID(A748,5,FIND(".",A748,1)-5),0)</f>
        <v>0</v>
      </c>
      <c r="D748" t="str">
        <f t="shared" si="42"/>
        <v/>
      </c>
      <c r="E748" t="str">
        <f>SUBSTITUTE(IF(LEFT(A748,3)="Câu",MID(A748,FIND(".",A748,1)+2,LEN(A748)),""),CHAR(34),CHAR(92)&amp;CHAR(34))</f>
        <v/>
      </c>
      <c r="G748" t="str">
        <f>SUBSTITUTE(B749,CHAR(34),CHAR(92)&amp;CHAR(34))</f>
        <v/>
      </c>
      <c r="H748" t="str">
        <f>SUBSTITUTE(B750,CHAR(34),CHAR(92)&amp;CHAR(34))</f>
        <v/>
      </c>
      <c r="I748" t="str">
        <f>SUBSTITUTE(IF(LEFT(A751,3)="Câu","",B751),CHAR(34),CHAR(92)&amp;CHAR(34))</f>
        <v xml:space="preserve"> Được khách hàng, xã hội tôn trọng; được đồng nghiệp quý mến, giúp đỡ; được doanh nghiệp tin dùng và đóng góp nhiều cho xã hội; thu hút được khách hàng, góp phần quan trọng trong xây dựng thương hiệu, kinh doanh có hiệu quả cao.</v>
      </c>
      <c r="J748" t="str">
        <f>SUBSTITUTE(IF(OR(LEFT(A752,3)="Câu",I748=""),"",IF(B752=0,"",B752)),CHAR(34),CHAR(92)&amp;CHAR(34))</f>
        <v>Được cộng điểm vào giấy phép lái xe.</v>
      </c>
      <c r="K748" t="str">
        <f>SUBSTITUTE(SUBSTITUTE(SUBSTITUTE(SUBSTITUTE(IFERROR(VLOOKUP("Câu "&amp;D748&amp;".",dapan!$E:$J,6,0),""),"1","A"),"2","B"),"3","C"),"4","D")</f>
        <v/>
      </c>
      <c r="P748" t="str">
        <f t="shared" si="40"/>
        <v/>
      </c>
      <c r="Q748" t="str">
        <f t="shared" si="41"/>
        <v/>
      </c>
    </row>
    <row r="749" spans="1:17" hidden="1" x14ac:dyDescent="0.25">
      <c r="A749" t="s">
        <v>636</v>
      </c>
      <c r="C749">
        <f>IFERROR(COUNTIFS($A$1:A749,"Câu "&amp;"*")-MID(A749,5,FIND(".",A749,1)-5),0)</f>
        <v>0</v>
      </c>
      <c r="D749" t="str">
        <f t="shared" si="42"/>
        <v/>
      </c>
      <c r="E749" t="str">
        <f>SUBSTITUTE(IF(LEFT(A749,3)="Câu",MID(A749,FIND(".",A749,1)+2,LEN(A749)),""),CHAR(34),CHAR(92)&amp;CHAR(34))</f>
        <v/>
      </c>
      <c r="G749" t="str">
        <f>SUBSTITUTE(B750,CHAR(34),CHAR(92)&amp;CHAR(34))</f>
        <v/>
      </c>
      <c r="H749" t="str">
        <f>SUBSTITUTE(B751,CHAR(34),CHAR(92)&amp;CHAR(34))</f>
        <v xml:space="preserve"> Được khách hàng, xã hội tôn trọng; được đồng nghiệp quý mến, giúp đỡ; được doanh nghiệp tin dùng và đóng góp nhiều cho xã hội; thu hút được khách hàng, góp phần quan trọng trong xây dựng thương hiệu, kinh doanh có hiệu quả cao.</v>
      </c>
      <c r="I749" t="str">
        <f>SUBSTITUTE(IF(LEFT(A752,3)="Câu","",B752),CHAR(34),CHAR(92)&amp;CHAR(34))</f>
        <v>Được cộng điểm vào giấy phép lái xe.</v>
      </c>
      <c r="J749" t="str">
        <f>SUBSTITUTE(IF(OR(LEFT(A753,3)="Câu",I749=""),"",IF(B753=0,"",B753)),CHAR(34),CHAR(92)&amp;CHAR(34))</f>
        <v>Cả hai ý trên.</v>
      </c>
      <c r="K749" t="str">
        <f>SUBSTITUTE(SUBSTITUTE(SUBSTITUTE(SUBSTITUTE(IFERROR(VLOOKUP("Câu "&amp;D749&amp;".",dapan!$E:$J,6,0),""),"1","A"),"2","B"),"3","C"),"4","D")</f>
        <v/>
      </c>
      <c r="P749" t="str">
        <f t="shared" si="40"/>
        <v/>
      </c>
      <c r="Q749" t="str">
        <f t="shared" si="41"/>
        <v/>
      </c>
    </row>
    <row r="750" spans="1:17" x14ac:dyDescent="0.25">
      <c r="A750" t="s">
        <v>637</v>
      </c>
      <c r="C750">
        <f>IFERROR(COUNTIFS($A$1:A750,"Câu "&amp;"*")-MID(A750,5,FIND(".",A750,1)-5),0)</f>
        <v>0</v>
      </c>
      <c r="D750">
        <f t="shared" si="42"/>
        <v>181</v>
      </c>
      <c r="E750" t="str">
        <f>SUBSTITUTE(IF(LEFT(A750,3)="Câu",MID(A750,FIND(".",A750,1)+2,LEN(A750)),""),CHAR(34),CHAR(92)&amp;CHAR(34))</f>
        <v>Người lái xe kinh doanh vận tải khi thực hiện tốt việc rèn luyện, nâng cao trách nhiệm, đạo đức nghề nghiệp sẽ thu được kết quả như thế nào dưới đây?</v>
      </c>
      <c r="G750" t="str">
        <f>SUBSTITUTE(B751,CHAR(34),CHAR(92)&amp;CHAR(34))</f>
        <v xml:space="preserve"> Được khách hàng, xã hội tôn trọng; được đồng nghiệp quý mến, giúp đỡ; được doanh nghiệp tin dùng và đóng góp nhiều cho xã hội; thu hút được khách hàng, góp phần quan trọng trong xây dựng thương hiệu, kinh doanh có hiệu quả cao.</v>
      </c>
      <c r="H750" t="str">
        <f>SUBSTITUTE(B752,CHAR(34),CHAR(92)&amp;CHAR(34))</f>
        <v>Được cộng điểm vào giấy phép lái xe.</v>
      </c>
      <c r="I750" t="str">
        <f>SUBSTITUTE(IF(LEFT(A753,3)="Câu","",B753),CHAR(34),CHAR(92)&amp;CHAR(34))</f>
        <v>Cả hai ý trên.</v>
      </c>
      <c r="J750" t="str">
        <f>SUBSTITUTE(IF(OR(LEFT(A754,3)="Câu",I750=""),"",IF(B754=0,"",B754)),CHAR(34),CHAR(92)&amp;CHAR(34))</f>
        <v/>
      </c>
      <c r="K750" t="str">
        <f ca="1">SUBSTITUTE(SUBSTITUTE(SUBSTITUTE(SUBSTITUTE(IFERROR(VLOOKUP("Câu "&amp;D750&amp;".",dapan!$E:$J,6,0),""),"1","A"),"2","B"),"3","C"),"4","D")</f>
        <v>A</v>
      </c>
      <c r="P750">
        <f t="shared" si="40"/>
        <v>181</v>
      </c>
      <c r="Q750" t="str">
        <f t="shared" ca="1" si="41"/>
        <v>{"num":181,"id":181,"q":"Người lái xe kinh doanh vận tải khi thực hiện tốt việc rèn luyện, nâng cao trách nhiệm, đạo đức nghề nghiệp sẽ thu được kết quả như thế nào dưới đây?","opts":{"A":" Được khách hàng, xã hội tôn trọng; được đồng nghiệp quý mến, giúp đỡ; được doanh nghiệp tin dùng và đóng góp nhiều cho xã hội; thu hút được khách hàng, góp phần quan trọng trong xây dựng thương hiệu, kinh doanh có hiệu quả cao.","B":"Được cộng điểm vào giấy phép lái xe.","C":"Cả hai ý trên."},"answer":"A"},</v>
      </c>
    </row>
    <row r="751" spans="1:17" hidden="1" x14ac:dyDescent="0.25">
      <c r="A751">
        <v>1</v>
      </c>
      <c r="B751" t="s">
        <v>638</v>
      </c>
      <c r="C751">
        <f>IFERROR(COUNTIFS($A$1:A751,"Câu "&amp;"*")-MID(A751,5,FIND(".",A751,1)-5),0)</f>
        <v>0</v>
      </c>
      <c r="D751" t="str">
        <f t="shared" si="42"/>
        <v/>
      </c>
      <c r="E751" t="str">
        <f>SUBSTITUTE(IF(LEFT(A751,3)="Câu",MID(A751,FIND(".",A751,1)+2,LEN(A751)),""),CHAR(34),CHAR(92)&amp;CHAR(34))</f>
        <v/>
      </c>
      <c r="G751" t="str">
        <f>SUBSTITUTE(B752,CHAR(34),CHAR(92)&amp;CHAR(34))</f>
        <v>Được cộng điểm vào giấy phép lái xe.</v>
      </c>
      <c r="H751" t="str">
        <f>SUBSTITUTE(B753,CHAR(34),CHAR(92)&amp;CHAR(34))</f>
        <v>Cả hai ý trên.</v>
      </c>
      <c r="I751" t="str">
        <f>SUBSTITUTE(IF(LEFT(A754,3)="Câu","",B754),CHAR(34),CHAR(92)&amp;CHAR(34))</f>
        <v/>
      </c>
      <c r="J751" t="str">
        <f>SUBSTITUTE(IF(OR(LEFT(A755,3)="Câu",I751=""),"",IF(B755=0,"",B755)),CHAR(34),CHAR(92)&amp;CHAR(34))</f>
        <v/>
      </c>
      <c r="K751" t="str">
        <f>SUBSTITUTE(SUBSTITUTE(SUBSTITUTE(SUBSTITUTE(IFERROR(VLOOKUP("Câu "&amp;D751&amp;".",dapan!$E:$J,6,0),""),"1","A"),"2","B"),"3","C"),"4","D")</f>
        <v/>
      </c>
      <c r="P751" t="str">
        <f t="shared" si="40"/>
        <v/>
      </c>
      <c r="Q751" t="str">
        <f t="shared" si="41"/>
        <v/>
      </c>
    </row>
    <row r="752" spans="1:17" hidden="1" x14ac:dyDescent="0.25">
      <c r="A752">
        <v>2</v>
      </c>
      <c r="B752" t="s">
        <v>639</v>
      </c>
      <c r="C752">
        <f>IFERROR(COUNTIFS($A$1:A752,"Câu "&amp;"*")-MID(A752,5,FIND(".",A752,1)-5),0)</f>
        <v>0</v>
      </c>
      <c r="D752" t="str">
        <f t="shared" si="42"/>
        <v/>
      </c>
      <c r="E752" t="str">
        <f>SUBSTITUTE(IF(LEFT(A752,3)="Câu",MID(A752,FIND(".",A752,1)+2,LEN(A752)),""),CHAR(34),CHAR(92)&amp;CHAR(34))</f>
        <v/>
      </c>
      <c r="G752" t="str">
        <f>SUBSTITUTE(B753,CHAR(34),CHAR(92)&amp;CHAR(34))</f>
        <v>Cả hai ý trên.</v>
      </c>
      <c r="H752" t="str">
        <f>SUBSTITUTE(B754,CHAR(34),CHAR(92)&amp;CHAR(34))</f>
        <v/>
      </c>
      <c r="I752" t="str">
        <f>SUBSTITUTE(IF(LEFT(A755,3)="Câu","",B755),CHAR(34),CHAR(92)&amp;CHAR(34))</f>
        <v xml:space="preserve"> Luôn tuân thủ pháp luật về trật tự, an toàn giao thông đường bộ, nhường nhịn và giúp đỡ người khác.</v>
      </c>
      <c r="J752" t="str">
        <f>SUBSTITUTE(IF(OR(LEFT(A756,3)="Câu",I752=""),"",IF(B756=0,"",B756)),CHAR(34),CHAR(92)&amp;CHAR(34))</f>
        <v>Đi nhanh, vượt đèn đỏ nếu không có lực lượng Công an.</v>
      </c>
      <c r="K752" t="str">
        <f>SUBSTITUTE(SUBSTITUTE(SUBSTITUTE(SUBSTITUTE(IFERROR(VLOOKUP("Câu "&amp;D752&amp;".",dapan!$E:$J,6,0),""),"1","A"),"2","B"),"3","C"),"4","D")</f>
        <v/>
      </c>
      <c r="P752" t="str">
        <f t="shared" si="40"/>
        <v/>
      </c>
      <c r="Q752" t="str">
        <f t="shared" si="41"/>
        <v/>
      </c>
    </row>
    <row r="753" spans="1:17" hidden="1" x14ac:dyDescent="0.25">
      <c r="A753">
        <v>3</v>
      </c>
      <c r="B753" t="s">
        <v>18</v>
      </c>
      <c r="C753">
        <f>IFERROR(COUNTIFS($A$1:A753,"Câu "&amp;"*")-MID(A753,5,FIND(".",A753,1)-5),0)</f>
        <v>0</v>
      </c>
      <c r="D753" t="str">
        <f t="shared" si="42"/>
        <v/>
      </c>
      <c r="E753" t="str">
        <f>SUBSTITUTE(IF(LEFT(A753,3)="Câu",MID(A753,FIND(".",A753,1)+2,LEN(A753)),""),CHAR(34),CHAR(92)&amp;CHAR(34))</f>
        <v/>
      </c>
      <c r="G753" t="str">
        <f>SUBSTITUTE(B754,CHAR(34),CHAR(92)&amp;CHAR(34))</f>
        <v/>
      </c>
      <c r="H753" t="str">
        <f>SUBSTITUTE(B755,CHAR(34),CHAR(92)&amp;CHAR(34))</f>
        <v xml:space="preserve"> Luôn tuân thủ pháp luật về trật tự, an toàn giao thông đường bộ, nhường nhịn và giúp đỡ người khác.</v>
      </c>
      <c r="I753" t="str">
        <f>SUBSTITUTE(IF(LEFT(A756,3)="Câu","",B756),CHAR(34),CHAR(92)&amp;CHAR(34))</f>
        <v>Đi nhanh, vượt đèn đỏ nếu không có lực lượng Công an.</v>
      </c>
      <c r="J753" t="str">
        <f>SUBSTITUTE(IF(OR(LEFT(A757,3)="Câu",I753=""),"",IF(B757=0,"",B757)),CHAR(34),CHAR(92)&amp;CHAR(34))</f>
        <v>Bấm còi và nháy đèn liên tục để cảnh báo xe khác.</v>
      </c>
      <c r="K753" t="str">
        <f>SUBSTITUTE(SUBSTITUTE(SUBSTITUTE(SUBSTITUTE(IFERROR(VLOOKUP("Câu "&amp;D753&amp;".",dapan!$E:$J,6,0),""),"1","A"),"2","B"),"3","C"),"4","D")</f>
        <v/>
      </c>
      <c r="P753" t="str">
        <f t="shared" si="40"/>
        <v/>
      </c>
      <c r="Q753" t="str">
        <f t="shared" si="41"/>
        <v/>
      </c>
    </row>
    <row r="754" spans="1:17" x14ac:dyDescent="0.25">
      <c r="A754" t="s">
        <v>640</v>
      </c>
      <c r="C754">
        <f>IFERROR(COUNTIFS($A$1:A754,"Câu "&amp;"*")-MID(A754,5,FIND(".",A754,1)-5),0)</f>
        <v>0</v>
      </c>
      <c r="D754">
        <f t="shared" si="42"/>
        <v>182</v>
      </c>
      <c r="E754" t="str">
        <f>SUBSTITUTE(IF(LEFT(A754,3)="Câu",MID(A754,FIND(".",A754,1)+2,LEN(A754)),""),CHAR(34),CHAR(92)&amp;CHAR(34))</f>
        <v>Những hành vi nào sau đây thể hiện là người có văn hóa giao thông?</v>
      </c>
      <c r="G754" t="str">
        <f>SUBSTITUTE(B755,CHAR(34),CHAR(92)&amp;CHAR(34))</f>
        <v xml:space="preserve"> Luôn tuân thủ pháp luật về trật tự, an toàn giao thông đường bộ, nhường nhịn và giúp đỡ người khác.</v>
      </c>
      <c r="H754" t="str">
        <f>SUBSTITUTE(B756,CHAR(34),CHAR(92)&amp;CHAR(34))</f>
        <v>Đi nhanh, vượt đèn đỏ nếu không có lực lượng Công an.</v>
      </c>
      <c r="I754" t="str">
        <f>SUBSTITUTE(IF(LEFT(A757,3)="Câu","",B757),CHAR(34),CHAR(92)&amp;CHAR(34))</f>
        <v>Bấm còi và nháy đèn liên tục để cảnh báo xe khác.</v>
      </c>
      <c r="J754" t="str">
        <f>SUBSTITUTE(IF(OR(LEFT(A758,3)="Câu",I754=""),"",IF(B758=0,"",B758)),CHAR(34),CHAR(92)&amp;CHAR(34))</f>
        <v>Tránh nhường đường để đi nhanh hơn.</v>
      </c>
      <c r="K754" t="str">
        <f ca="1">SUBSTITUTE(SUBSTITUTE(SUBSTITUTE(SUBSTITUTE(IFERROR(VLOOKUP("Câu "&amp;D754&amp;".",dapan!$E:$J,6,0),""),"1","A"),"2","B"),"3","C"),"4","D")</f>
        <v>A</v>
      </c>
      <c r="P754">
        <f t="shared" si="40"/>
        <v>182</v>
      </c>
      <c r="Q754" t="str">
        <f t="shared" ca="1" si="41"/>
        <v>{"num":182,"id":182,"q":"Những hành vi nào sau đây thể hiện là người có văn hóa giao thông?","opts":{"A":" Luôn tuân thủ pháp luật về trật tự, an toàn giao thông đường bộ, nhường nhịn và giúp đỡ người khác.","B":"Đi nhanh, vượt đèn đỏ nếu không có lực lượng Công an.","C":"Bấm còi và nháy đèn liên tục để cảnh báo xe khác.","D":"Tránh nhường đường để đi nhanh hơn."},"answer":"A"},</v>
      </c>
    </row>
    <row r="755" spans="1:17" hidden="1" x14ac:dyDescent="0.25">
      <c r="A755">
        <v>1</v>
      </c>
      <c r="B755" t="s">
        <v>641</v>
      </c>
      <c r="C755">
        <f>IFERROR(COUNTIFS($A$1:A755,"Câu "&amp;"*")-MID(A755,5,FIND(".",A755,1)-5),0)</f>
        <v>0</v>
      </c>
      <c r="D755" t="str">
        <f t="shared" si="42"/>
        <v/>
      </c>
      <c r="E755" t="str">
        <f>SUBSTITUTE(IF(LEFT(A755,3)="Câu",MID(A755,FIND(".",A755,1)+2,LEN(A755)),""),CHAR(34),CHAR(92)&amp;CHAR(34))</f>
        <v/>
      </c>
      <c r="G755" t="str">
        <f>SUBSTITUTE(B756,CHAR(34),CHAR(92)&amp;CHAR(34))</f>
        <v>Đi nhanh, vượt đèn đỏ nếu không có lực lượng Công an.</v>
      </c>
      <c r="H755" t="str">
        <f>SUBSTITUTE(B757,CHAR(34),CHAR(92)&amp;CHAR(34))</f>
        <v>Bấm còi và nháy đèn liên tục để cảnh báo xe khác.</v>
      </c>
      <c r="I755" t="str">
        <f>SUBSTITUTE(IF(LEFT(A758,3)="Câu","",B758),CHAR(34),CHAR(92)&amp;CHAR(34))</f>
        <v>Tránh nhường đường để đi nhanh hơn.</v>
      </c>
      <c r="J755" t="str">
        <f>SUBSTITUTE(IF(OR(LEFT(A759,3)="Câu",I755=""),"",IF(B759=0,"",B759)),CHAR(34),CHAR(92)&amp;CHAR(34))</f>
        <v/>
      </c>
      <c r="K755" t="str">
        <f>SUBSTITUTE(SUBSTITUTE(SUBSTITUTE(SUBSTITUTE(IFERROR(VLOOKUP("Câu "&amp;D755&amp;".",dapan!$E:$J,6,0),""),"1","A"),"2","B"),"3","C"),"4","D")</f>
        <v/>
      </c>
      <c r="P755" t="str">
        <f t="shared" si="40"/>
        <v/>
      </c>
      <c r="Q755" t="str">
        <f t="shared" si="41"/>
        <v/>
      </c>
    </row>
    <row r="756" spans="1:17" hidden="1" x14ac:dyDescent="0.25">
      <c r="A756">
        <v>2</v>
      </c>
      <c r="B756" t="s">
        <v>642</v>
      </c>
      <c r="C756">
        <f>IFERROR(COUNTIFS($A$1:A756,"Câu "&amp;"*")-MID(A756,5,FIND(".",A756,1)-5),0)</f>
        <v>0</v>
      </c>
      <c r="D756" t="str">
        <f t="shared" si="42"/>
        <v/>
      </c>
      <c r="E756" t="str">
        <f>SUBSTITUTE(IF(LEFT(A756,3)="Câu",MID(A756,FIND(".",A756,1)+2,LEN(A756)),""),CHAR(34),CHAR(92)&amp;CHAR(34))</f>
        <v/>
      </c>
      <c r="G756" t="str">
        <f>SUBSTITUTE(B757,CHAR(34),CHAR(92)&amp;CHAR(34))</f>
        <v>Bấm còi và nháy đèn liên tục để cảnh báo xe khác.</v>
      </c>
      <c r="H756" t="str">
        <f>SUBSTITUTE(B758,CHAR(34),CHAR(92)&amp;CHAR(34))</f>
        <v>Tránh nhường đường để đi nhanh hơn.</v>
      </c>
      <c r="I756" t="str">
        <f>SUBSTITUTE(IF(LEFT(A759,3)="Câu","",B759),CHAR(34),CHAR(92)&amp;CHAR(34))</f>
        <v/>
      </c>
      <c r="J756" t="str">
        <f>SUBSTITUTE(IF(OR(LEFT(A760,3)="Câu",I756=""),"",IF(B760=0,"",B760)),CHAR(34),CHAR(92)&amp;CHAR(34))</f>
        <v/>
      </c>
      <c r="K756" t="str">
        <f>SUBSTITUTE(SUBSTITUTE(SUBSTITUTE(SUBSTITUTE(IFERROR(VLOOKUP("Câu "&amp;D756&amp;".",dapan!$E:$J,6,0),""),"1","A"),"2","B"),"3","C"),"4","D")</f>
        <v/>
      </c>
      <c r="P756" t="str">
        <f t="shared" si="40"/>
        <v/>
      </c>
      <c r="Q756" t="str">
        <f t="shared" si="41"/>
        <v/>
      </c>
    </row>
    <row r="757" spans="1:17" hidden="1" x14ac:dyDescent="0.25">
      <c r="A757">
        <v>3</v>
      </c>
      <c r="B757" t="s">
        <v>643</v>
      </c>
      <c r="C757">
        <f>IFERROR(COUNTIFS($A$1:A757,"Câu "&amp;"*")-MID(A757,5,FIND(".",A757,1)-5),0)</f>
        <v>0</v>
      </c>
      <c r="D757" t="str">
        <f t="shared" si="42"/>
        <v/>
      </c>
      <c r="E757" t="str">
        <f>SUBSTITUTE(IF(LEFT(A757,3)="Câu",MID(A757,FIND(".",A757,1)+2,LEN(A757)),""),CHAR(34),CHAR(92)&amp;CHAR(34))</f>
        <v/>
      </c>
      <c r="G757" t="str">
        <f>SUBSTITUTE(B758,CHAR(34),CHAR(92)&amp;CHAR(34))</f>
        <v>Tránh nhường đường để đi nhanh hơn.</v>
      </c>
      <c r="H757" t="str">
        <f>SUBSTITUTE(B759,CHAR(34),CHAR(92)&amp;CHAR(34))</f>
        <v/>
      </c>
      <c r="I757" t="str">
        <f>SUBSTITUTE(IF(LEFT(A760,3)="Câu","",B760),CHAR(34),CHAR(92)&amp;CHAR(34))</f>
        <v>Quản lý và sử dụng xe tốt; bảo dưỡng xe đúng định kỳ; thực hành tiết kiệm vật tư, nhiên liệu; luôn tu dưỡng bản thân, có lối sống lành mạnh, tác phong làm việc công nghiệp.</v>
      </c>
      <c r="J757" t="str">
        <f>SUBSTITUTE(IF(OR(LEFT(A761,3)="Câu",I757=""),"",IF(B761=0,"",B761)),CHAR(34),CHAR(92)&amp;CHAR(34))</f>
        <v>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v>
      </c>
      <c r="K757" t="str">
        <f>SUBSTITUTE(SUBSTITUTE(SUBSTITUTE(SUBSTITUTE(IFERROR(VLOOKUP("Câu "&amp;D757&amp;".",dapan!$E:$J,6,0),""),"1","A"),"2","B"),"3","C"),"4","D")</f>
        <v/>
      </c>
      <c r="P757" t="str">
        <f t="shared" si="40"/>
        <v/>
      </c>
      <c r="Q757" t="str">
        <f t="shared" si="41"/>
        <v/>
      </c>
    </row>
    <row r="758" spans="1:17" hidden="1" x14ac:dyDescent="0.25">
      <c r="A758">
        <v>4</v>
      </c>
      <c r="B758" t="s">
        <v>644</v>
      </c>
      <c r="C758">
        <f>IFERROR(COUNTIFS($A$1:A758,"Câu "&amp;"*")-MID(A758,5,FIND(".",A758,1)-5),0)</f>
        <v>0</v>
      </c>
      <c r="D758" t="str">
        <f t="shared" si="42"/>
        <v/>
      </c>
      <c r="E758" t="str">
        <f>SUBSTITUTE(IF(LEFT(A758,3)="Câu",MID(A758,FIND(".",A758,1)+2,LEN(A758)),""),CHAR(34),CHAR(92)&amp;CHAR(34))</f>
        <v/>
      </c>
      <c r="G758" t="str">
        <f>SUBSTITUTE(B759,CHAR(34),CHAR(92)&amp;CHAR(34))</f>
        <v/>
      </c>
      <c r="H758" t="str">
        <f>SUBSTITUTE(B760,CHAR(34),CHAR(92)&amp;CHAR(34))</f>
        <v>Quản lý và sử dụng xe tốt; bảo dưỡng xe đúng định kỳ; thực hành tiết kiệm vật tư, nhiên liệu; luôn tu dưỡng bản thân, có lối sống lành mạnh, tác phong làm việc công nghiệp.</v>
      </c>
      <c r="I758" t="str">
        <f>SUBSTITUTE(IF(LEFT(A761,3)="Câu","",B761),CHAR(34),CHAR(92)&amp;CHAR(34))</f>
        <v>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v>
      </c>
      <c r="J758" t="str">
        <f>SUBSTITUTE(IF(OR(LEFT(A762,3)="Câu",I758=""),"",IF(B762=0,"",B762)),CHAR(34),CHAR(92)&amp;CHAR(34))</f>
        <v xml:space="preserve"> Cả hai ý trên.</v>
      </c>
      <c r="K758" t="str">
        <f>SUBSTITUTE(SUBSTITUTE(SUBSTITUTE(SUBSTITUTE(IFERROR(VLOOKUP("Câu "&amp;D758&amp;".",dapan!$E:$J,6,0),""),"1","A"),"2","B"),"3","C"),"4","D")</f>
        <v/>
      </c>
      <c r="P758" t="str">
        <f t="shared" si="40"/>
        <v/>
      </c>
      <c r="Q758" t="str">
        <f t="shared" si="41"/>
        <v/>
      </c>
    </row>
    <row r="759" spans="1:17" x14ac:dyDescent="0.25">
      <c r="A759" t="s">
        <v>645</v>
      </c>
      <c r="C759">
        <f>IFERROR(COUNTIFS($A$1:A759,"Câu "&amp;"*")-MID(A759,5,FIND(".",A759,1)-5),0)</f>
        <v>0</v>
      </c>
      <c r="D759">
        <f t="shared" si="42"/>
        <v>183</v>
      </c>
      <c r="E759" t="str">
        <f>SUBSTITUTE(IF(LEFT(A759,3)="Câu",MID(A759,FIND(".",A759,1)+2,LEN(A759)),""),CHAR(34),CHAR(92)&amp;CHAR(34))</f>
        <v>Người lái xe kinh doanh vận tải cần thực hiện những công việc gì ghi ở dưới đây để thường xuyên rèn luyện nâng cao đạo đức nghề nghiệp?</v>
      </c>
      <c r="G759" t="str">
        <f>SUBSTITUTE(B760,CHAR(34),CHAR(92)&amp;CHAR(34))</f>
        <v>Quản lý và sử dụng xe tốt; bảo dưỡng xe đúng định kỳ; thực hành tiết kiệm vật tư, nhiên liệu; luôn tu dưỡng bản thân, có lối sống lành mạnh, tác phong làm việc công nghiệp.</v>
      </c>
      <c r="H759" t="str">
        <f>SUBSTITUTE(B761,CHAR(34),CHAR(92)&amp;CHAR(34))</f>
        <v>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v>
      </c>
      <c r="I759" t="str">
        <f>SUBSTITUTE(IF(LEFT(A762,3)="Câu","",B762),CHAR(34),CHAR(92)&amp;CHAR(34))</f>
        <v xml:space="preserve"> Cả hai ý trên.</v>
      </c>
      <c r="J759" t="str">
        <f>SUBSTITUTE(IF(OR(LEFT(A763,3)="Câu",I759=""),"",IF(B763=0,"",B763)),CHAR(34),CHAR(92)&amp;CHAR(34))</f>
        <v/>
      </c>
      <c r="K759" t="str">
        <f ca="1">SUBSTITUTE(SUBSTITUTE(SUBSTITUTE(SUBSTITUTE(IFERROR(VLOOKUP("Câu "&amp;D759&amp;".",dapan!$E:$J,6,0),""),"1","A"),"2","B"),"3","C"),"4","D")</f>
        <v>C</v>
      </c>
      <c r="P759">
        <f t="shared" si="40"/>
        <v>183</v>
      </c>
      <c r="Q759" t="str">
        <f t="shared" ca="1" si="41"/>
        <v>{"num":183,"id":183,"q":"Người lái xe kinh doanh vận tải cần thực hiện những công việc gì ghi ở dưới đây để thường xuyên rèn luyện nâng cao đạo đức nghề nghiệp?","opts":{"A":"Quản lý và sử dụng xe tốt; bảo dưỡng xe đúng định kỳ; thực hành tiết kiệm vật tư, nhiên liệu; luôn tu dưỡng bản thân, có lối sống lành mạnh, tác phong làm việc công nghiệp.","B":"Nắm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nghiệp.","C":" Cả hai ý trên."},"answer":"C"},</v>
      </c>
    </row>
    <row r="760" spans="1:17" hidden="1" x14ac:dyDescent="0.25">
      <c r="A760">
        <v>1</v>
      </c>
      <c r="B760" t="s">
        <v>646</v>
      </c>
      <c r="C760">
        <f>IFERROR(COUNTIFS($A$1:A760,"Câu "&amp;"*")-MID(A760,5,FIND(".",A760,1)-5),0)</f>
        <v>0</v>
      </c>
      <c r="D760" t="str">
        <f t="shared" si="42"/>
        <v/>
      </c>
      <c r="E760" t="str">
        <f>SUBSTITUTE(IF(LEFT(A760,3)="Câu",MID(A760,FIND(".",A760,1)+2,LEN(A760)),""),CHAR(34),CHAR(92)&amp;CHAR(34))</f>
        <v/>
      </c>
      <c r="G760" t="str">
        <f>SUBSTITUTE(B761,CHAR(34),CHAR(92)&amp;CHAR(34))</f>
        <v>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v>
      </c>
      <c r="H760" t="str">
        <f>SUBSTITUTE(B762,CHAR(34),CHAR(92)&amp;CHAR(34))</f>
        <v xml:space="preserve"> Cả hai ý trên.</v>
      </c>
      <c r="I760" t="str">
        <f>SUBSTITUTE(IF(LEFT(A763,3)="Câu","",B763),CHAR(34),CHAR(92)&amp;CHAR(34))</f>
        <v/>
      </c>
      <c r="J760" t="str">
        <f>SUBSTITUTE(IF(OR(LEFT(A764,3)="Câu",I760=""),"",IF(B764=0,"",B764)),CHAR(34),CHAR(92)&amp;CHAR(34))</f>
        <v/>
      </c>
      <c r="K760" t="str">
        <f>SUBSTITUTE(SUBSTITUTE(SUBSTITUTE(SUBSTITUTE(IFERROR(VLOOKUP("Câu "&amp;D760&amp;".",dapan!$E:$J,6,0),""),"1","A"),"2","B"),"3","C"),"4","D")</f>
        <v/>
      </c>
      <c r="P760" t="str">
        <f t="shared" si="40"/>
        <v/>
      </c>
      <c r="Q760" t="str">
        <f t="shared" si="41"/>
        <v/>
      </c>
    </row>
    <row r="761" spans="1:17" hidden="1" x14ac:dyDescent="0.25">
      <c r="A761">
        <v>2</v>
      </c>
      <c r="B761" t="s">
        <v>647</v>
      </c>
      <c r="C761">
        <f>IFERROR(COUNTIFS($A$1:A761,"Câu "&amp;"*")-MID(A761,5,FIND(".",A761,1)-5),0)</f>
        <v>0</v>
      </c>
      <c r="D761" t="str">
        <f t="shared" si="42"/>
        <v/>
      </c>
      <c r="E761" t="str">
        <f>SUBSTITUTE(IF(LEFT(A761,3)="Câu",MID(A761,FIND(".",A761,1)+2,LEN(A761)),""),CHAR(34),CHAR(92)&amp;CHAR(34))</f>
        <v/>
      </c>
      <c r="G761" t="str">
        <f>SUBSTITUTE(B762,CHAR(34),CHAR(92)&amp;CHAR(34))</f>
        <v xml:space="preserve"> Cả hai ý trên.</v>
      </c>
      <c r="H761" t="str">
        <f>SUBSTITUTE(B763,CHAR(34),CHAR(92)&amp;CHAR(34))</f>
        <v/>
      </c>
      <c r="I761" t="str">
        <f>SUBSTITUTE(IF(LEFT(A764,3)="Câu","",B764),CHAR(34),CHAR(92)&amp;CHAR(34))</f>
        <v>Phải có thái độ lịch sự, tôn trọng, thân mật với hành khách; giúp đỡ những người có hoàn cảnh khó khăn, người già, người khuyết tật, phụ nữ có thai, có con nhỏ và trẻ em.</v>
      </c>
      <c r="J761" t="str">
        <f>SUBSTITUTE(IF(OR(LEFT(A765,3)="Câu",I761=""),"",IF(B765=0,"",B765)),CHAR(34),CHAR(92)&amp;CHAR(34))</f>
        <v>Luôn tu dưỡng bản thân, có lối sống lành mạnh, khiêm tốn, có tác phong làm việc công nghiệp, không tham gia vào các tệ nạn xã hội; tôn trọng người cùng tham gia giao thông đường bộ và có ý thức bảo vệ môi trường.</v>
      </c>
      <c r="K761" t="str">
        <f>SUBSTITUTE(SUBSTITUTE(SUBSTITUTE(SUBSTITUTE(IFERROR(VLOOKUP("Câu "&amp;D761&amp;".",dapan!$E:$J,6,0),""),"1","A"),"2","B"),"3","C"),"4","D")</f>
        <v/>
      </c>
      <c r="P761" t="str">
        <f t="shared" si="40"/>
        <v/>
      </c>
      <c r="Q761" t="str">
        <f t="shared" si="41"/>
        <v/>
      </c>
    </row>
    <row r="762" spans="1:17" hidden="1" x14ac:dyDescent="0.25">
      <c r="A762">
        <v>3</v>
      </c>
      <c r="B762" t="s">
        <v>32</v>
      </c>
      <c r="C762">
        <f>IFERROR(COUNTIFS($A$1:A762,"Câu "&amp;"*")-MID(A762,5,FIND(".",A762,1)-5),0)</f>
        <v>0</v>
      </c>
      <c r="D762" t="str">
        <f t="shared" si="42"/>
        <v/>
      </c>
      <c r="E762" t="str">
        <f>SUBSTITUTE(IF(LEFT(A762,3)="Câu",MID(A762,FIND(".",A762,1)+2,LEN(A762)),""),CHAR(34),CHAR(92)&amp;CHAR(34))</f>
        <v/>
      </c>
      <c r="G762" t="str">
        <f>SUBSTITUTE(B763,CHAR(34),CHAR(92)&amp;CHAR(34))</f>
        <v/>
      </c>
      <c r="H762" t="str">
        <f>SUBSTITUTE(B764,CHAR(34),CHAR(92)&amp;CHAR(34))</f>
        <v>Phải có thái độ lịch sự, tôn trọng, thân mật với hành khách; giúp đỡ những người có hoàn cảnh khó khăn, người già, người khuyết tật, phụ nữ có thai, có con nhỏ và trẻ em.</v>
      </c>
      <c r="I762" t="str">
        <f>SUBSTITUTE(IF(LEFT(A765,3)="Câu","",B765),CHAR(34),CHAR(92)&amp;CHAR(34))</f>
        <v>Luôn tu dưỡng bản thân, có lối sống lành mạnh, khiêm tốn, có tác phong làm việc công nghiệp, không tham gia vào các tệ nạn xã hội; tôn trọng người cùng tham gia giao thông đường bộ và có ý thức bảo vệ môi trường.</v>
      </c>
      <c r="J762" t="str">
        <f>SUBSTITUTE(IF(OR(LEFT(A766,3)="Câu",I762=""),"",IF(B766=0,"",B766)),CHAR(34),CHAR(92)&amp;CHAR(34))</f>
        <v xml:space="preserve"> Cả hai ý trên.</v>
      </c>
      <c r="K762" t="str">
        <f>SUBSTITUTE(SUBSTITUTE(SUBSTITUTE(SUBSTITUTE(IFERROR(VLOOKUP("Câu "&amp;D762&amp;".",dapan!$E:$J,6,0),""),"1","A"),"2","B"),"3","C"),"4","D")</f>
        <v/>
      </c>
      <c r="P762" t="str">
        <f t="shared" si="40"/>
        <v/>
      </c>
      <c r="Q762" t="str">
        <f t="shared" si="41"/>
        <v/>
      </c>
    </row>
    <row r="763" spans="1:17" x14ac:dyDescent="0.25">
      <c r="A763" t="s">
        <v>648</v>
      </c>
      <c r="C763">
        <f>IFERROR(COUNTIFS($A$1:A763,"Câu "&amp;"*")-MID(A763,5,FIND(".",A763,1)-5),0)</f>
        <v>0</v>
      </c>
      <c r="D763">
        <f t="shared" si="42"/>
        <v>184</v>
      </c>
      <c r="E763" t="str">
        <f>SUBSTITUTE(IF(LEFT(A763,3)="Câu",MID(A763,FIND(".",A763,1)+2,LEN(A763)),""),CHAR(34),CHAR(92)&amp;CHAR(34))</f>
        <v>Người lái xe ô tô vận chuyển hành khách phải có những phẩm chất, đạo đức nghề nghiệp gì dưới đây?</v>
      </c>
      <c r="G763" t="str">
        <f>SUBSTITUTE(B764,CHAR(34),CHAR(92)&amp;CHAR(34))</f>
        <v>Phải có thái độ lịch sự, tôn trọng, thân mật với hành khách; giúp đỡ những người có hoàn cảnh khó khăn, người già, người khuyết tật, phụ nữ có thai, có con nhỏ và trẻ em.</v>
      </c>
      <c r="H763" t="str">
        <f>SUBSTITUTE(B765,CHAR(34),CHAR(92)&amp;CHAR(34))</f>
        <v>Luôn tu dưỡng bản thân, có lối sống lành mạnh, khiêm tốn, có tác phong làm việc công nghiệp, không tham gia vào các tệ nạn xã hội; tôn trọng người cùng tham gia giao thông đường bộ và có ý thức bảo vệ môi trường.</v>
      </c>
      <c r="I763" t="str">
        <f>SUBSTITUTE(IF(LEFT(A766,3)="Câu","",B766),CHAR(34),CHAR(92)&amp;CHAR(34))</f>
        <v xml:space="preserve"> Cả hai ý trên.</v>
      </c>
      <c r="J763" t="str">
        <f>SUBSTITUTE(IF(OR(LEFT(A767,3)="Câu",I763=""),"",IF(B767=0,"",B767)),CHAR(34),CHAR(92)&amp;CHAR(34))</f>
        <v/>
      </c>
      <c r="K763" t="str">
        <f ca="1">SUBSTITUTE(SUBSTITUTE(SUBSTITUTE(SUBSTITUTE(IFERROR(VLOOKUP("Câu "&amp;D763&amp;".",dapan!$E:$J,6,0),""),"1","A"),"2","B"),"3","C"),"4","D")</f>
        <v>C</v>
      </c>
      <c r="P763">
        <f t="shared" si="40"/>
        <v>184</v>
      </c>
      <c r="Q763" t="str">
        <f t="shared" ca="1" si="41"/>
        <v>{"num":184,"id":184,"q":"Người lái xe ô tô vận chuyển hành khách phải có những phẩm chất, đạo đức nghề nghiệp gì dưới đây?","opts":{"A":"Phải có thái độ lịch sự, tôn trọng, thân mật với hành khách; giúp đỡ những người có hoàn cảnh khó khăn, người già, người khuyết tật, phụ nữ có thai, có con nhỏ và trẻ em.","B":"Luôn tu dưỡng bản thân, có lối sống lành mạnh, khiêm tốn, có tác phong làm việc công nghiệp, không tham gia vào các tệ nạn xã hội; tôn trọng người cùng tham gia giao thông đường bộ và có ý thức bảo vệ môi trường.","C":" Cả hai ý trên."},"answer":"C"},</v>
      </c>
    </row>
    <row r="764" spans="1:17" hidden="1" x14ac:dyDescent="0.25">
      <c r="A764">
        <v>1</v>
      </c>
      <c r="B764" t="s">
        <v>649</v>
      </c>
      <c r="C764">
        <f>IFERROR(COUNTIFS($A$1:A764,"Câu "&amp;"*")-MID(A764,5,FIND(".",A764,1)-5),0)</f>
        <v>0</v>
      </c>
      <c r="D764" t="str">
        <f t="shared" si="42"/>
        <v/>
      </c>
      <c r="E764" t="str">
        <f>SUBSTITUTE(IF(LEFT(A764,3)="Câu",MID(A764,FIND(".",A764,1)+2,LEN(A764)),""),CHAR(34),CHAR(92)&amp;CHAR(34))</f>
        <v/>
      </c>
      <c r="G764" t="str">
        <f>SUBSTITUTE(B765,CHAR(34),CHAR(92)&amp;CHAR(34))</f>
        <v>Luôn tu dưỡng bản thân, có lối sống lành mạnh, khiêm tốn, có tác phong làm việc công nghiệp, không tham gia vào các tệ nạn xã hội; tôn trọng người cùng tham gia giao thông đường bộ và có ý thức bảo vệ môi trường.</v>
      </c>
      <c r="H764" t="str">
        <f>SUBSTITUTE(B766,CHAR(34),CHAR(92)&amp;CHAR(34))</f>
        <v xml:space="preserve"> Cả hai ý trên.</v>
      </c>
      <c r="I764" t="str">
        <f>SUBSTITUTE(IF(LEFT(A767,3)="Câu","",B767),CHAR(34),CHAR(92)&amp;CHAR(34))</f>
        <v/>
      </c>
      <c r="J764" t="str">
        <f>SUBSTITUTE(IF(OR(LEFT(A768,3)="Câu",I764=""),"",IF(B768=0,"",B768)),CHAR(34),CHAR(92)&amp;CHAR(34))</f>
        <v/>
      </c>
      <c r="K764" t="str">
        <f>SUBSTITUTE(SUBSTITUTE(SUBSTITUTE(SUBSTITUTE(IFERROR(VLOOKUP("Câu "&amp;D764&amp;".",dapan!$E:$J,6,0),""),"1","A"),"2","B"),"3","C"),"4","D")</f>
        <v/>
      </c>
      <c r="P764" t="str">
        <f t="shared" si="40"/>
        <v/>
      </c>
      <c r="Q764" t="str">
        <f t="shared" si="41"/>
        <v/>
      </c>
    </row>
    <row r="765" spans="1:17" hidden="1" x14ac:dyDescent="0.25">
      <c r="A765">
        <v>2</v>
      </c>
      <c r="B765" t="s">
        <v>650</v>
      </c>
      <c r="C765">
        <f>IFERROR(COUNTIFS($A$1:A765,"Câu "&amp;"*")-MID(A765,5,FIND(".",A765,1)-5),0)</f>
        <v>0</v>
      </c>
      <c r="D765" t="str">
        <f t="shared" si="42"/>
        <v/>
      </c>
      <c r="E765" t="str">
        <f>SUBSTITUTE(IF(LEFT(A765,3)="Câu",MID(A765,FIND(".",A765,1)+2,LEN(A765)),""),CHAR(34),CHAR(92)&amp;CHAR(34))</f>
        <v/>
      </c>
      <c r="G765" t="str">
        <f>SUBSTITUTE(B766,CHAR(34),CHAR(92)&amp;CHAR(34))</f>
        <v xml:space="preserve"> Cả hai ý trên.</v>
      </c>
      <c r="H765" t="str">
        <f>SUBSTITUTE(B767,CHAR(34),CHAR(92)&amp;CHAR(34))</f>
        <v/>
      </c>
      <c r="I765" t="str">
        <f>SUBSTITUTE(IF(LEFT(A768,3)="Câu","",B768),CHAR(34),CHAR(92)&amp;CHAR(34))</f>
        <v>Là sự hiểu biết và chấp hành nghiêm chỉnh pháp luật về giao thông, là ý thức trách nhiệm với cộng đồng khi tham gia giao thông.</v>
      </c>
      <c r="J765" t="str">
        <f>SUBSTITUTE(IF(OR(LEFT(A769,3)="Câu",I765=""),"",IF(B769=0,"",B769)),CHAR(34),CHAR(92)&amp;CHAR(34))</f>
        <v>Là sự tôn trọng, nhường nhịn, giúp đỡ và ứng xử có văn hóa giữa những người tham gia giao thông với nhau.</v>
      </c>
      <c r="K765" t="str">
        <f>SUBSTITUTE(SUBSTITUTE(SUBSTITUTE(SUBSTITUTE(IFERROR(VLOOKUP("Câu "&amp;D765&amp;".",dapan!$E:$J,6,0),""),"1","A"),"2","B"),"3","C"),"4","D")</f>
        <v/>
      </c>
      <c r="P765" t="str">
        <f t="shared" si="40"/>
        <v/>
      </c>
      <c r="Q765" t="str">
        <f t="shared" si="41"/>
        <v/>
      </c>
    </row>
    <row r="766" spans="1:17" hidden="1" x14ac:dyDescent="0.25">
      <c r="A766">
        <v>3</v>
      </c>
      <c r="B766" t="s">
        <v>32</v>
      </c>
      <c r="C766">
        <f>IFERROR(COUNTIFS($A$1:A766,"Câu "&amp;"*")-MID(A766,5,FIND(".",A766,1)-5),0)</f>
        <v>0</v>
      </c>
      <c r="D766" t="str">
        <f t="shared" si="42"/>
        <v/>
      </c>
      <c r="E766" t="str">
        <f>SUBSTITUTE(IF(LEFT(A766,3)="Câu",MID(A766,FIND(".",A766,1)+2,LEN(A766)),""),CHAR(34),CHAR(92)&amp;CHAR(34))</f>
        <v/>
      </c>
      <c r="G766" t="str">
        <f>SUBSTITUTE(B767,CHAR(34),CHAR(92)&amp;CHAR(34))</f>
        <v/>
      </c>
      <c r="H766" t="str">
        <f>SUBSTITUTE(B768,CHAR(34),CHAR(92)&amp;CHAR(34))</f>
        <v>Là sự hiểu biết và chấp hành nghiêm chỉnh pháp luật về giao thông, là ý thức trách nhiệm với cộng đồng khi tham gia giao thông.</v>
      </c>
      <c r="I766" t="str">
        <f>SUBSTITUTE(IF(LEFT(A769,3)="Câu","",B769),CHAR(34),CHAR(92)&amp;CHAR(34))</f>
        <v>Là sự tôn trọng, nhường nhịn, giúp đỡ và ứng xử có văn hóa giữa những người tham gia giao thông với nhau.</v>
      </c>
      <c r="J766" t="str">
        <f>SUBSTITUTE(IF(OR(LEFT(A770,3)="Câu",I766=""),"",IF(B770=0,"",B770)),CHAR(34),CHAR(92)&amp;CHAR(34))</f>
        <v xml:space="preserve"> Cả hai ý trên.</v>
      </c>
      <c r="K766" t="str">
        <f>SUBSTITUTE(SUBSTITUTE(SUBSTITUTE(SUBSTITUTE(IFERROR(VLOOKUP("Câu "&amp;D766&amp;".",dapan!$E:$J,6,0),""),"1","A"),"2","B"),"3","C"),"4","D")</f>
        <v/>
      </c>
      <c r="P766" t="str">
        <f t="shared" si="40"/>
        <v/>
      </c>
      <c r="Q766" t="str">
        <f t="shared" si="41"/>
        <v/>
      </c>
    </row>
    <row r="767" spans="1:17" x14ac:dyDescent="0.25">
      <c r="A767" t="s">
        <v>651</v>
      </c>
      <c r="C767">
        <f>IFERROR(COUNTIFS($A$1:A767,"Câu "&amp;"*")-MID(A767,5,FIND(".",A767,1)-5),0)</f>
        <v>0</v>
      </c>
      <c r="D767">
        <f t="shared" si="42"/>
        <v>185</v>
      </c>
      <c r="E767" t="str">
        <f>SUBSTITUTE(IF(LEFT(A767,3)="Câu",MID(A767,FIND(".",A767,1)+2,LEN(A767)),""),CHAR(34),CHAR(92)&amp;CHAR(34))</f>
        <v>Khái niệm về văn hóa giao thông được hiểu như thế nào là đúng?</v>
      </c>
      <c r="G767" t="str">
        <f>SUBSTITUTE(B768,CHAR(34),CHAR(92)&amp;CHAR(34))</f>
        <v>Là sự hiểu biết và chấp hành nghiêm chỉnh pháp luật về giao thông, là ý thức trách nhiệm với cộng đồng khi tham gia giao thông.</v>
      </c>
      <c r="H767" t="str">
        <f>SUBSTITUTE(B769,CHAR(34),CHAR(92)&amp;CHAR(34))</f>
        <v>Là sự tôn trọng, nhường nhịn, giúp đỡ và ứng xử có văn hóa giữa những người tham gia giao thông với nhau.</v>
      </c>
      <c r="I767" t="str">
        <f>SUBSTITUTE(IF(LEFT(A770,3)="Câu","",B770),CHAR(34),CHAR(92)&amp;CHAR(34))</f>
        <v xml:space="preserve"> Cả hai ý trên.</v>
      </c>
      <c r="J767" t="str">
        <f>SUBSTITUTE(IF(OR(LEFT(A771,3)="Câu",I767=""),"",IF(B771=0,"",B771)),CHAR(34),CHAR(92)&amp;CHAR(34))</f>
        <v/>
      </c>
      <c r="K767" t="str">
        <f ca="1">SUBSTITUTE(SUBSTITUTE(SUBSTITUTE(SUBSTITUTE(IFERROR(VLOOKUP("Câu "&amp;D767&amp;".",dapan!$E:$J,6,0),""),"1","A"),"2","B"),"3","C"),"4","D")</f>
        <v>C</v>
      </c>
      <c r="P767">
        <f t="shared" si="40"/>
        <v>185</v>
      </c>
      <c r="Q767" t="str">
        <f t="shared" ca="1" si="41"/>
        <v>{"num":185,"id":185,"q":"Khái niệm về văn hóa giao thông được hiểu như thế nào là đúng?","opts":{"A":"Là sự hiểu biết và chấp hành nghiêm chỉnh pháp luật về giao thông, là ý thức trách nhiệm với cộng đồng khi tham gia giao thông.","B":"Là sự tôn trọng, nhường nhịn, giúp đỡ và ứng xử có văn hóa giữa những người tham gia giao thông với nhau.","C":" Cả hai ý trên."},"answer":"C"},</v>
      </c>
    </row>
    <row r="768" spans="1:17" hidden="1" x14ac:dyDescent="0.25">
      <c r="A768">
        <v>1</v>
      </c>
      <c r="B768" t="s">
        <v>652</v>
      </c>
      <c r="C768">
        <f>IFERROR(COUNTIFS($A$1:A768,"Câu "&amp;"*")-MID(A768,5,FIND(".",A768,1)-5),0)</f>
        <v>0</v>
      </c>
      <c r="D768" t="str">
        <f t="shared" si="42"/>
        <v/>
      </c>
      <c r="E768" t="str">
        <f>SUBSTITUTE(IF(LEFT(A768,3)="Câu",MID(A768,FIND(".",A768,1)+2,LEN(A768)),""),CHAR(34),CHAR(92)&amp;CHAR(34))</f>
        <v/>
      </c>
      <c r="G768" t="str">
        <f>SUBSTITUTE(B769,CHAR(34),CHAR(92)&amp;CHAR(34))</f>
        <v>Là sự tôn trọng, nhường nhịn, giúp đỡ và ứng xử có văn hóa giữa những người tham gia giao thông với nhau.</v>
      </c>
      <c r="H768" t="str">
        <f>SUBSTITUTE(B770,CHAR(34),CHAR(92)&amp;CHAR(34))</f>
        <v xml:space="preserve"> Cả hai ý trên.</v>
      </c>
      <c r="I768" t="str">
        <f>SUBSTITUTE(IF(LEFT(A771,3)="Câu","",B771),CHAR(34),CHAR(92)&amp;CHAR(34))</f>
        <v/>
      </c>
      <c r="J768" t="str">
        <f>SUBSTITUTE(IF(OR(LEFT(A772,3)="Câu",I768=""),"",IF(B772=0,"",B772)),CHAR(34),CHAR(92)&amp;CHAR(34))</f>
        <v/>
      </c>
      <c r="K768" t="str">
        <f>SUBSTITUTE(SUBSTITUTE(SUBSTITUTE(SUBSTITUTE(IFERROR(VLOOKUP("Câu "&amp;D768&amp;".",dapan!$E:$J,6,0),""),"1","A"),"2","B"),"3","C"),"4","D")</f>
        <v/>
      </c>
      <c r="P768" t="str">
        <f t="shared" si="40"/>
        <v/>
      </c>
      <c r="Q768" t="str">
        <f t="shared" si="41"/>
        <v/>
      </c>
    </row>
    <row r="769" spans="1:17" hidden="1" x14ac:dyDescent="0.25">
      <c r="A769">
        <v>2</v>
      </c>
      <c r="B769" t="s">
        <v>653</v>
      </c>
      <c r="C769">
        <f>IFERROR(COUNTIFS($A$1:A769,"Câu "&amp;"*")-MID(A769,5,FIND(".",A769,1)-5),0)</f>
        <v>0</v>
      </c>
      <c r="D769" t="str">
        <f t="shared" si="42"/>
        <v/>
      </c>
      <c r="E769" t="str">
        <f>SUBSTITUTE(IF(LEFT(A769,3)="Câu",MID(A769,FIND(".",A769,1)+2,LEN(A769)),""),CHAR(34),CHAR(92)&amp;CHAR(34))</f>
        <v/>
      </c>
      <c r="G769" t="str">
        <f>SUBSTITUTE(B770,CHAR(34),CHAR(92)&amp;CHAR(34))</f>
        <v xml:space="preserve"> Cả hai ý trên.</v>
      </c>
      <c r="H769" t="str">
        <f>SUBSTITUTE(B771,CHAR(34),CHAR(92)&amp;CHAR(34))</f>
        <v/>
      </c>
      <c r="I769" t="str">
        <f>SUBSTITUTE(IF(LEFT(A772,3)="Câu","",B772),CHAR(34),CHAR(92)&amp;CHAR(34))</f>
        <v>Cho xe chạy thật nhanh qua vũng nước.</v>
      </c>
      <c r="J769" t="str">
        <f>SUBSTITUTE(IF(OR(LEFT(A773,3)="Câu",I769=""),"",IF(B773=0,"",B773)),CHAR(34),CHAR(92)&amp;CHAR(34))</f>
        <v xml:space="preserve"> Giảm tốc độ cho xe chạy chậm qua vũng nước.</v>
      </c>
      <c r="K769" t="str">
        <f>SUBSTITUTE(SUBSTITUTE(SUBSTITUTE(SUBSTITUTE(IFERROR(VLOOKUP("Câu "&amp;D769&amp;".",dapan!$E:$J,6,0),""),"1","A"),"2","B"),"3","C"),"4","D")</f>
        <v/>
      </c>
      <c r="P769" t="str">
        <f t="shared" si="40"/>
        <v/>
      </c>
      <c r="Q769" t="str">
        <f t="shared" si="41"/>
        <v/>
      </c>
    </row>
    <row r="770" spans="1:17" hidden="1" x14ac:dyDescent="0.25">
      <c r="A770">
        <v>3</v>
      </c>
      <c r="B770" t="s">
        <v>32</v>
      </c>
      <c r="C770">
        <f>IFERROR(COUNTIFS($A$1:A770,"Câu "&amp;"*")-MID(A770,5,FIND(".",A770,1)-5),0)</f>
        <v>0</v>
      </c>
      <c r="D770" t="str">
        <f t="shared" si="42"/>
        <v/>
      </c>
      <c r="E770" t="str">
        <f>SUBSTITUTE(IF(LEFT(A770,3)="Câu",MID(A770,FIND(".",A770,1)+2,LEN(A770)),""),CHAR(34),CHAR(92)&amp;CHAR(34))</f>
        <v/>
      </c>
      <c r="G770" t="str">
        <f>SUBSTITUTE(B771,CHAR(34),CHAR(92)&amp;CHAR(34))</f>
        <v/>
      </c>
      <c r="H770" t="str">
        <f>SUBSTITUTE(B772,CHAR(34),CHAR(92)&amp;CHAR(34))</f>
        <v>Cho xe chạy thật nhanh qua vũng nước.</v>
      </c>
      <c r="I770" t="str">
        <f>SUBSTITUTE(IF(LEFT(A773,3)="Câu","",B773),CHAR(34),CHAR(92)&amp;CHAR(34))</f>
        <v xml:space="preserve"> Giảm tốc độ cho xe chạy chậm qua vũng nước.</v>
      </c>
      <c r="J770" t="str">
        <f>SUBSTITUTE(IF(OR(LEFT(A774,3)="Câu",I770=""),"",IF(B774=0,"",B774)),CHAR(34),CHAR(92)&amp;CHAR(34))</f>
        <v>Giảm tốc độ cho xe chạy qua làn đường dành cho mô tô để tránh vũng nước.</v>
      </c>
      <c r="K770" t="str">
        <f>SUBSTITUTE(SUBSTITUTE(SUBSTITUTE(SUBSTITUTE(IFERROR(VLOOKUP("Câu "&amp;D770&amp;".",dapan!$E:$J,6,0),""),"1","A"),"2","B"),"3","C"),"4","D")</f>
        <v/>
      </c>
      <c r="P770" t="str">
        <f t="shared" si="40"/>
        <v/>
      </c>
      <c r="Q770" t="str">
        <f t="shared" si="41"/>
        <v/>
      </c>
    </row>
    <row r="771" spans="1:17" x14ac:dyDescent="0.25">
      <c r="A771" t="s">
        <v>654</v>
      </c>
      <c r="C771">
        <f>IFERROR(COUNTIFS($A$1:A771,"Câu "&amp;"*")-MID(A771,5,FIND(".",A771,1)-5),0)</f>
        <v>0</v>
      </c>
      <c r="D771">
        <f t="shared" si="42"/>
        <v>186</v>
      </c>
      <c r="E771" t="str">
        <f>SUBSTITUTE(IF(LEFT(A771,3)="Câu",MID(A771,FIND(".",A771,1)+2,LEN(A771)),""),CHAR(34),CHAR(92)&amp;CHAR(34))</f>
        <v>Trên làn đường dành cho ô tô có vũng nước lớn, người lái xe ô tô bắt buộc phải đi qua vũng nước, trên làn đường bên cạnh có nhiều người đang lái xe mô tô tham gia giao thông, người lái xe ô tô xử lý như thế nào khi lái xe qua vũng nước là có văn hóa giao thông?</v>
      </c>
      <c r="G771" t="str">
        <f>SUBSTITUTE(B772,CHAR(34),CHAR(92)&amp;CHAR(34))</f>
        <v>Cho xe chạy thật nhanh qua vũng nước.</v>
      </c>
      <c r="H771" t="str">
        <f>SUBSTITUTE(B773,CHAR(34),CHAR(92)&amp;CHAR(34))</f>
        <v xml:space="preserve"> Giảm tốc độ cho xe chạy chậm qua vũng nước.</v>
      </c>
      <c r="I771" t="str">
        <f>SUBSTITUTE(IF(LEFT(A774,3)="Câu","",B774),CHAR(34),CHAR(92)&amp;CHAR(34))</f>
        <v>Giảm tốc độ cho xe chạy qua làn đường dành cho mô tô để tránh vũng nước.</v>
      </c>
      <c r="J771" t="str">
        <f>SUBSTITUTE(IF(OR(LEFT(A775,3)="Câu",I771=""),"",IF(B775=0,"",B775)),CHAR(34),CHAR(92)&amp;CHAR(34))</f>
        <v/>
      </c>
      <c r="K771" t="str">
        <f ca="1">SUBSTITUTE(SUBSTITUTE(SUBSTITUTE(SUBSTITUTE(IFERROR(VLOOKUP("Câu "&amp;D771&amp;".",dapan!$E:$J,6,0),""),"1","A"),"2","B"),"3","C"),"4","D")</f>
        <v>B</v>
      </c>
      <c r="P771">
        <f t="shared" ref="P771:P834" si="43">D771</f>
        <v>186</v>
      </c>
      <c r="Q771" t="str">
        <f t="shared" ref="Q771:Q834" ca="1" si="44">IF(D771="","",CHAR(123)&amp;CHAR(34)&amp;"num"&amp;CHAR(34)&amp;":"&amp;P771&amp;","&amp;CHAR(34)&amp;"id"&amp;CHAR(34)&amp;":"&amp;D771&amp;","
&amp;CHAR(34)&amp;"q"&amp;CHAR(34)&amp;":"&amp;CHAR(34)&amp;E771&amp;CHAR(34)&amp;","
&amp;IF(F771="","",CHAR(34)&amp;"img"&amp;CHAR(34)&amp;":"&amp;CHAR(34)&amp;F771&amp;CHAR(34)&amp;",")
&amp;CHAR(34)&amp;"opts"&amp;CHAR(34)&amp;":"&amp;CHAR(123)&amp;CHAR(34)&amp;"A"&amp;CHAR(34)&amp;":"&amp;CHAR(34)&amp;G771&amp;CHAR(34)&amp;","&amp;CHAR(34)&amp;"B"&amp;CHAR(34)&amp;":"&amp;CHAR(34)&amp;H771&amp;CHAR(34)
&amp;IF(I771="","",","&amp;CHAR(34)&amp;"C"&amp;CHAR(34)&amp;":"&amp;CHAR(34)&amp;I771&amp;CHAR(34))&amp;IF(J771="","",","&amp;CHAR(34)&amp;"D"&amp;CHAR(34)&amp;":"&amp;CHAR(34)&amp;J771&amp;CHAR(34))&amp;CHAR(125)&amp;","
&amp;CHAR(34)&amp;"answer"&amp;CHAR(34)&amp;":"&amp;CHAR(34)&amp;K771&amp;CHAR(34)
&amp;IF(L771="","",","&amp;CHAR(34)&amp;"danger"&amp;CHAR(34)&amp;":"&amp;CHAR(34)&amp;"true"&amp;CHAR(34))
&amp;IF(M771="","",","&amp;CHAR(34)&amp;"explain"&amp;CHAR(34)&amp;":"&amp;CHAR(34)&amp;M771&amp;CHAR(34))
&amp;IF(N771="","",","&amp;CHAR(34)&amp;"explainImg"&amp;CHAR(34)&amp;":"&amp;CHAR(34)&amp;N771&amp;CHAR(34))
&amp;IF(O771="","",","&amp;CHAR(34)&amp;"shuffle"&amp;CHAR(34)&amp;":"&amp;CHAR(34)&amp;"false"&amp;CHAR(34))&amp;CHAR(125)&amp;",")</f>
        <v>{"num":186,"id":186,"q":"Trên làn đường dành cho ô tô có vũng nước lớn, người lái xe ô tô bắt buộc phải đi qua vũng nước, trên làn đường bên cạnh có nhiều người đang lái xe mô tô tham gia giao thông, người lái xe ô tô xử lý như thế nào khi lái xe qua vũng nước là có văn hóa giao thông?","opts":{"A":"Cho xe chạy thật nhanh qua vũng nước.","B":" Giảm tốc độ cho xe chạy chậm qua vũng nước.","C":"Giảm tốc độ cho xe chạy qua làn đường dành cho mô tô để tránh vũng nước."},"answer":"B"},</v>
      </c>
    </row>
    <row r="772" spans="1:17" hidden="1" x14ac:dyDescent="0.25">
      <c r="A772">
        <v>1</v>
      </c>
      <c r="B772" t="s">
        <v>655</v>
      </c>
      <c r="C772">
        <f>IFERROR(COUNTIFS($A$1:A772,"Câu "&amp;"*")-MID(A772,5,FIND(".",A772,1)-5),0)</f>
        <v>0</v>
      </c>
      <c r="D772" t="str">
        <f t="shared" si="42"/>
        <v/>
      </c>
      <c r="E772" t="str">
        <f>SUBSTITUTE(IF(LEFT(A772,3)="Câu",MID(A772,FIND(".",A772,1)+2,LEN(A772)),""),CHAR(34),CHAR(92)&amp;CHAR(34))</f>
        <v/>
      </c>
      <c r="G772" t="str">
        <f>SUBSTITUTE(B773,CHAR(34),CHAR(92)&amp;CHAR(34))</f>
        <v xml:space="preserve"> Giảm tốc độ cho xe chạy chậm qua vũng nước.</v>
      </c>
      <c r="H772" t="str">
        <f>SUBSTITUTE(B774,CHAR(34),CHAR(92)&amp;CHAR(34))</f>
        <v>Giảm tốc độ cho xe chạy qua làn đường dành cho mô tô để tránh vũng nước.</v>
      </c>
      <c r="I772" t="str">
        <f>SUBSTITUTE(IF(LEFT(A775,3)="Câu","",B775),CHAR(34),CHAR(92)&amp;CHAR(34))</f>
        <v/>
      </c>
      <c r="J772" t="str">
        <f>SUBSTITUTE(IF(OR(LEFT(A776,3)="Câu",I772=""),"",IF(B776=0,"",B776)),CHAR(34),CHAR(92)&amp;CHAR(34))</f>
        <v/>
      </c>
      <c r="K772" t="str">
        <f>SUBSTITUTE(SUBSTITUTE(SUBSTITUTE(SUBSTITUTE(IFERROR(VLOOKUP("Câu "&amp;D772&amp;".",dapan!$E:$J,6,0),""),"1","A"),"2","B"),"3","C"),"4","D")</f>
        <v/>
      </c>
      <c r="P772" t="str">
        <f t="shared" si="43"/>
        <v/>
      </c>
      <c r="Q772" t="str">
        <f t="shared" si="44"/>
        <v/>
      </c>
    </row>
    <row r="773" spans="1:17" hidden="1" x14ac:dyDescent="0.25">
      <c r="A773">
        <v>2</v>
      </c>
      <c r="B773" t="s">
        <v>656</v>
      </c>
      <c r="C773">
        <f>IFERROR(COUNTIFS($A$1:A773,"Câu "&amp;"*")-MID(A773,5,FIND(".",A773,1)-5),0)</f>
        <v>0</v>
      </c>
      <c r="D773" t="str">
        <f t="shared" si="42"/>
        <v/>
      </c>
      <c r="E773" t="str">
        <f>SUBSTITUTE(IF(LEFT(A773,3)="Câu",MID(A773,FIND(".",A773,1)+2,LEN(A773)),""),CHAR(34),CHAR(92)&amp;CHAR(34))</f>
        <v/>
      </c>
      <c r="G773" t="str">
        <f>SUBSTITUTE(B774,CHAR(34),CHAR(92)&amp;CHAR(34))</f>
        <v>Giảm tốc độ cho xe chạy qua làn đường dành cho mô tô để tránh vũng nước.</v>
      </c>
      <c r="H773" t="str">
        <f>SUBSTITUTE(B775,CHAR(34),CHAR(92)&amp;CHAR(34))</f>
        <v/>
      </c>
      <c r="I773" t="str">
        <f>SUBSTITUTE(IF(LEFT(A776,3)="Câu","",B776),CHAR(34),CHAR(92)&amp;CHAR(34))</f>
        <v xml:space="preserve"> Là thiếu văn hóa giao thông, vi phạm pháp luật về trật tự, an toàn giao thông đường bộ.</v>
      </c>
      <c r="J773" t="str">
        <f>SUBSTITUTE(IF(OR(LEFT(A777,3)="Câu",I773=""),"",IF(B777=0,"",B777)),CHAR(34),CHAR(92)&amp;CHAR(34))</f>
        <v>Là thiếu văn hóa giao thông.</v>
      </c>
      <c r="K773" t="str">
        <f>SUBSTITUTE(SUBSTITUTE(SUBSTITUTE(SUBSTITUTE(IFERROR(VLOOKUP("Câu "&amp;D773&amp;".",dapan!$E:$J,6,0),""),"1","A"),"2","B"),"3","C"),"4","D")</f>
        <v/>
      </c>
      <c r="P773" t="str">
        <f t="shared" si="43"/>
        <v/>
      </c>
      <c r="Q773" t="str">
        <f t="shared" si="44"/>
        <v/>
      </c>
    </row>
    <row r="774" spans="1:17" hidden="1" x14ac:dyDescent="0.25">
      <c r="A774">
        <v>3</v>
      </c>
      <c r="B774" t="s">
        <v>1756</v>
      </c>
      <c r="C774">
        <f>IFERROR(COUNTIFS($A$1:A774,"Câu "&amp;"*")-MID(A774,5,FIND(".",A774,1)-5),0)</f>
        <v>0</v>
      </c>
      <c r="D774" t="str">
        <f t="shared" si="42"/>
        <v/>
      </c>
      <c r="E774" t="str">
        <f>SUBSTITUTE(IF(LEFT(A774,3)="Câu",MID(A774,FIND(".",A774,1)+2,LEN(A774)),""),CHAR(34),CHAR(92)&amp;CHAR(34))</f>
        <v/>
      </c>
      <c r="G774" t="str">
        <f>SUBSTITUTE(B775,CHAR(34),CHAR(92)&amp;CHAR(34))</f>
        <v/>
      </c>
      <c r="H774" t="str">
        <f>SUBSTITUTE(B776,CHAR(34),CHAR(92)&amp;CHAR(34))</f>
        <v xml:space="preserve"> Là thiếu văn hóa giao thông, vi phạm pháp luật về trật tự, an toàn giao thông đường bộ.</v>
      </c>
      <c r="I774" t="str">
        <f>SUBSTITUTE(IF(LEFT(A777,3)="Câu","",B777),CHAR(34),CHAR(92)&amp;CHAR(34))</f>
        <v>Là thiếu văn hóa giao thông.</v>
      </c>
      <c r="J774" t="str">
        <f>SUBSTITUTE(IF(OR(LEFT(A778,3)="Câu",I774=""),"",IF(B778=0,"",B778)),CHAR(34),CHAR(92)&amp;CHAR(34))</f>
        <v/>
      </c>
      <c r="K774" t="str">
        <f>SUBSTITUTE(SUBSTITUTE(SUBSTITUTE(SUBSTITUTE(IFERROR(VLOOKUP("Câu "&amp;D774&amp;".",dapan!$E:$J,6,0),""),"1","A"),"2","B"),"3","C"),"4","D")</f>
        <v/>
      </c>
      <c r="P774" t="str">
        <f t="shared" si="43"/>
        <v/>
      </c>
      <c r="Q774" t="str">
        <f t="shared" si="44"/>
        <v/>
      </c>
    </row>
    <row r="775" spans="1:17" x14ac:dyDescent="0.25">
      <c r="A775" t="s">
        <v>1753</v>
      </c>
      <c r="C775">
        <f>IFERROR(COUNTIFS($A$1:A775,"Câu "&amp;"*")-MID(A775,5,FIND(".",A775,1)-5),0)</f>
        <v>0</v>
      </c>
      <c r="D775">
        <f t="shared" si="42"/>
        <v>187</v>
      </c>
      <c r="E775" t="str">
        <f>SUBSTITUTE(IF(LEFT(A775,3)="Câu",MID(A775,FIND(".",A775,1)+2,LEN(A775)),""),CHAR(34),CHAR(92)&amp;CHAR(34))</f>
        <v>Người lái xe không điều khiển xe đi đúng làn đường quy định, phóng nhanh, vượt ẩu, vượt đèn đỏ, đi vào đường cấm được coi là hành vi nào trong các hành vi dưới đây?</v>
      </c>
      <c r="G775" t="str">
        <f>SUBSTITUTE(B776,CHAR(34),CHAR(92)&amp;CHAR(34))</f>
        <v xml:space="preserve"> Là thiếu văn hóa giao thông, vi phạm pháp luật về trật tự, an toàn giao thông đường bộ.</v>
      </c>
      <c r="H775" t="str">
        <f>SUBSTITUTE(B777,CHAR(34),CHAR(92)&amp;CHAR(34))</f>
        <v>Là thiếu văn hóa giao thông.</v>
      </c>
      <c r="I775" t="str">
        <f>SUBSTITUTE(IF(LEFT(A778,3)="Câu","",B778),CHAR(34),CHAR(92)&amp;CHAR(34))</f>
        <v/>
      </c>
      <c r="J775" t="str">
        <f>SUBSTITUTE(IF(OR(LEFT(A779,3)="Câu",I775=""),"",IF(B779=0,"",B779)),CHAR(34),CHAR(92)&amp;CHAR(34))</f>
        <v/>
      </c>
      <c r="K775" t="str">
        <f ca="1">SUBSTITUTE(SUBSTITUTE(SUBSTITUTE(SUBSTITUTE(IFERROR(VLOOKUP("Câu "&amp;D775&amp;".",dapan!$E:$J,6,0),""),"1","A"),"2","B"),"3","C"),"4","D")</f>
        <v>A</v>
      </c>
      <c r="P775">
        <f t="shared" si="43"/>
        <v>187</v>
      </c>
      <c r="Q775" t="str">
        <f t="shared" ca="1" si="44"/>
        <v>{"num":187,"id":187,"q":"Người lái xe không điều khiển xe đi đúng làn đường quy định, phóng nhanh, vượt ẩu, vượt đèn đỏ, đi vào đường cấm được coi là hành vi nào trong các hành vi dưới đây?","opts":{"A":" Là thiếu văn hóa giao thông, vi phạm pháp luật về trật tự, an toàn giao thông đường bộ.","B":"Là thiếu văn hóa giao thông."},"answer":"A"},</v>
      </c>
    </row>
    <row r="776" spans="1:17" hidden="1" x14ac:dyDescent="0.25">
      <c r="A776">
        <v>1</v>
      </c>
      <c r="B776" t="s">
        <v>657</v>
      </c>
      <c r="C776">
        <f>IFERROR(COUNTIFS($A$1:A776,"Câu "&amp;"*")-MID(A776,5,FIND(".",A776,1)-5),0)</f>
        <v>0</v>
      </c>
      <c r="D776" t="str">
        <f t="shared" si="42"/>
        <v/>
      </c>
      <c r="E776" t="str">
        <f>SUBSTITUTE(IF(LEFT(A776,3)="Câu",MID(A776,FIND(".",A776,1)+2,LEN(A776)),""),CHAR(34),CHAR(92)&amp;CHAR(34))</f>
        <v/>
      </c>
      <c r="G776" t="str">
        <f>SUBSTITUTE(B777,CHAR(34),CHAR(92)&amp;CHAR(34))</f>
        <v>Là thiếu văn hóa giao thông.</v>
      </c>
      <c r="H776" t="str">
        <f>SUBSTITUTE(B778,CHAR(34),CHAR(92)&amp;CHAR(34))</f>
        <v/>
      </c>
      <c r="I776" t="str">
        <f>SUBSTITUTE(IF(LEFT(A779,3)="Câu","",B779),CHAR(34),CHAR(92)&amp;CHAR(34))</f>
        <v>Thực hiện cầm máu trực tiếp.</v>
      </c>
      <c r="J776" t="str">
        <f>SUBSTITUTE(IF(OR(LEFT(A780,3)="Câu",I776=""),"",IF(B780=0,"",B780)),CHAR(34),CHAR(92)&amp;CHAR(34))</f>
        <v xml:space="preserve"> Thực hiện cầm máu không trực tiếp (chặn động mạch).</v>
      </c>
      <c r="K776" t="str">
        <f>SUBSTITUTE(SUBSTITUTE(SUBSTITUTE(SUBSTITUTE(IFERROR(VLOOKUP("Câu "&amp;D776&amp;".",dapan!$E:$J,6,0),""),"1","A"),"2","B"),"3","C"),"4","D")</f>
        <v/>
      </c>
      <c r="P776" t="str">
        <f t="shared" si="43"/>
        <v/>
      </c>
      <c r="Q776" t="str">
        <f t="shared" si="44"/>
        <v/>
      </c>
    </row>
    <row r="777" spans="1:17" hidden="1" x14ac:dyDescent="0.25">
      <c r="A777">
        <v>2</v>
      </c>
      <c r="B777" t="s">
        <v>658</v>
      </c>
      <c r="C777">
        <f>IFERROR(COUNTIFS($A$1:A777,"Câu "&amp;"*")-MID(A777,5,FIND(".",A777,1)-5),0)</f>
        <v>0</v>
      </c>
      <c r="D777" t="str">
        <f t="shared" si="42"/>
        <v/>
      </c>
      <c r="E777" t="str">
        <f>SUBSTITUTE(IF(LEFT(A777,3)="Câu",MID(A777,FIND(".",A777,1)+2,LEN(A777)),""),CHAR(34),CHAR(92)&amp;CHAR(34))</f>
        <v/>
      </c>
      <c r="G777" t="str">
        <f>SUBSTITUTE(B778,CHAR(34),CHAR(92)&amp;CHAR(34))</f>
        <v/>
      </c>
      <c r="H777" t="str">
        <f>SUBSTITUTE(B779,CHAR(34),CHAR(92)&amp;CHAR(34))</f>
        <v>Thực hiện cầm máu trực tiếp.</v>
      </c>
      <c r="I777" t="str">
        <f>SUBSTITUTE(IF(LEFT(A780,3)="Câu","",B780),CHAR(34),CHAR(92)&amp;CHAR(34))</f>
        <v xml:space="preserve"> Thực hiện cầm máu không trực tiếp (chặn động mạch).</v>
      </c>
      <c r="J777" t="str">
        <f>SUBSTITUTE(IF(OR(LEFT(A781,3)="Câu",I777=""),"",IF(B781=0,"",B781)),CHAR(34),CHAR(92)&amp;CHAR(34))</f>
        <v/>
      </c>
      <c r="K777" t="str">
        <f>SUBSTITUTE(SUBSTITUTE(SUBSTITUTE(SUBSTITUTE(IFERROR(VLOOKUP("Câu "&amp;D777&amp;".",dapan!$E:$J,6,0),""),"1","A"),"2","B"),"3","C"),"4","D")</f>
        <v/>
      </c>
      <c r="P777" t="str">
        <f t="shared" si="43"/>
        <v/>
      </c>
      <c r="Q777" t="str">
        <f t="shared" si="44"/>
        <v/>
      </c>
    </row>
    <row r="778" spans="1:17" x14ac:dyDescent="0.25">
      <c r="A778" t="s">
        <v>659</v>
      </c>
      <c r="C778">
        <f>IFERROR(COUNTIFS($A$1:A778,"Câu "&amp;"*")-MID(A778,5,FIND(".",A778,1)-5),0)</f>
        <v>0</v>
      </c>
      <c r="D778">
        <f t="shared" si="42"/>
        <v>188</v>
      </c>
      <c r="E778" t="str">
        <f>SUBSTITUTE(IF(LEFT(A778,3)="Câu",MID(A778,FIND(".",A778,1)+2,LEN(A778)),""),CHAR(34),CHAR(92)&amp;CHAR(34))</f>
        <v>Khi sơ cứu người bị tai nạn giao thông đường bộ, có vết thương chảy máu ngoài, phun thành tia và phun mạnh khi mạch đập, bạn phải làm gì dưới đây?</v>
      </c>
      <c r="G778" t="str">
        <f>SUBSTITUTE(B779,CHAR(34),CHAR(92)&amp;CHAR(34))</f>
        <v>Thực hiện cầm máu trực tiếp.</v>
      </c>
      <c r="H778" t="str">
        <f>SUBSTITUTE(B780,CHAR(34),CHAR(92)&amp;CHAR(34))</f>
        <v xml:space="preserve"> Thực hiện cầm máu không trực tiếp (chặn động mạch).</v>
      </c>
      <c r="I778" t="str">
        <f>SUBSTITUTE(IF(LEFT(A781,3)="Câu","",B781),CHAR(34),CHAR(92)&amp;CHAR(34))</f>
        <v/>
      </c>
      <c r="J778" t="str">
        <f>SUBSTITUTE(IF(OR(LEFT(A782,3)="Câu",I778=""),"",IF(B782=0,"",B782)),CHAR(34),CHAR(92)&amp;CHAR(34))</f>
        <v/>
      </c>
      <c r="K778" t="str">
        <f ca="1">SUBSTITUTE(SUBSTITUTE(SUBSTITUTE(SUBSTITUTE(IFERROR(VLOOKUP("Câu "&amp;D778&amp;".",dapan!$E:$J,6,0),""),"1","A"),"2","B"),"3","C"),"4","D")</f>
        <v>B</v>
      </c>
      <c r="P778">
        <f t="shared" si="43"/>
        <v>188</v>
      </c>
      <c r="Q778" t="str">
        <f t="shared" ca="1" si="44"/>
        <v>{"num":188,"id":188,"q":"Khi sơ cứu người bị tai nạn giao thông đường bộ, có vết thương chảy máu ngoài, phun thành tia và phun mạnh khi mạch đập, bạn phải làm gì dưới đây?","opts":{"A":"Thực hiện cầm máu trực tiếp.","B":" Thực hiện cầm máu không trực tiếp (chặn động mạch)."},"answer":"B"},</v>
      </c>
    </row>
    <row r="779" spans="1:17" hidden="1" x14ac:dyDescent="0.25">
      <c r="A779">
        <v>1</v>
      </c>
      <c r="B779" t="s">
        <v>660</v>
      </c>
      <c r="C779">
        <f>IFERROR(COUNTIFS($A$1:A779,"Câu "&amp;"*")-MID(A779,5,FIND(".",A779,1)-5),0)</f>
        <v>0</v>
      </c>
      <c r="D779" t="str">
        <f t="shared" si="42"/>
        <v/>
      </c>
      <c r="E779" t="str">
        <f>SUBSTITUTE(IF(LEFT(A779,3)="Câu",MID(A779,FIND(".",A779,1)+2,LEN(A779)),""),CHAR(34),CHAR(92)&amp;CHAR(34))</f>
        <v/>
      </c>
      <c r="G779" t="str">
        <f>SUBSTITUTE(B780,CHAR(34),CHAR(92)&amp;CHAR(34))</f>
        <v xml:space="preserve"> Thực hiện cầm máu không trực tiếp (chặn động mạch).</v>
      </c>
      <c r="H779" t="str">
        <f>SUBSTITUTE(B781,CHAR(34),CHAR(92)&amp;CHAR(34))</f>
        <v/>
      </c>
      <c r="I779" t="str">
        <f>SUBSTITUTE(IF(LEFT(A782,3)="Câu","",B782),CHAR(34),CHAR(92)&amp;CHAR(34))</f>
        <v xml:space="preserve"> Hiểu biết và chấp hành nghiêm chỉnh pháp luật về giao thông đường bộ; có ý thức trách nhiệm với cộng đồng khi tham gia giao thông; tôn trọng, nhường nhịn, giúp đỡ và ứng xử có văn hóa với những người cùng tham gia giao thông.</v>
      </c>
      <c r="J779" t="str">
        <f>SUBSTITUTE(IF(OR(LEFT(A783,3)="Câu",I779=""),"",IF(B783=0,"",B783)),CHAR(34),CHAR(92)&amp;CHAR(34))</f>
        <v>Điều khiển xe vượt quá tốc độ, đi không đúng làn đường.</v>
      </c>
      <c r="K779" t="str">
        <f>SUBSTITUTE(SUBSTITUTE(SUBSTITUTE(SUBSTITUTE(IFERROR(VLOOKUP("Câu "&amp;D779&amp;".",dapan!$E:$J,6,0),""),"1","A"),"2","B"),"3","C"),"4","D")</f>
        <v/>
      </c>
      <c r="P779" t="str">
        <f t="shared" si="43"/>
        <v/>
      </c>
      <c r="Q779" t="str">
        <f t="shared" si="44"/>
        <v/>
      </c>
    </row>
    <row r="780" spans="1:17" hidden="1" x14ac:dyDescent="0.25">
      <c r="A780">
        <v>2</v>
      </c>
      <c r="B780" t="s">
        <v>661</v>
      </c>
      <c r="C780">
        <f>IFERROR(COUNTIFS($A$1:A780,"Câu "&amp;"*")-MID(A780,5,FIND(".",A780,1)-5),0)</f>
        <v>0</v>
      </c>
      <c r="D780" t="str">
        <f t="shared" si="42"/>
        <v/>
      </c>
      <c r="E780" t="str">
        <f>SUBSTITUTE(IF(LEFT(A780,3)="Câu",MID(A780,FIND(".",A780,1)+2,LEN(A780)),""),CHAR(34),CHAR(92)&amp;CHAR(34))</f>
        <v/>
      </c>
      <c r="G780" t="str">
        <f>SUBSTITUTE(B781,CHAR(34),CHAR(92)&amp;CHAR(34))</f>
        <v/>
      </c>
      <c r="H780" t="str">
        <f>SUBSTITUTE(B782,CHAR(34),CHAR(92)&amp;CHAR(34))</f>
        <v xml:space="preserve"> Hiểu biết và chấp hành nghiêm chỉnh pháp luật về giao thông đường bộ; có ý thức trách nhiệm với cộng đồng khi tham gia giao thông; tôn trọng, nhường nhịn, giúp đỡ và ứng xử có văn hóa với những người cùng tham gia giao thông.</v>
      </c>
      <c r="I780" t="str">
        <f>SUBSTITUTE(IF(LEFT(A783,3)="Câu","",B783),CHAR(34),CHAR(92)&amp;CHAR(34))</f>
        <v>Điều khiển xe vượt quá tốc độ, đi không đúng làn đường.</v>
      </c>
      <c r="J780" t="str">
        <f>SUBSTITUTE(IF(OR(LEFT(A784,3)="Câu",I780=""),"",IF(B784=0,"",B784)),CHAR(34),CHAR(92)&amp;CHAR(34))</f>
        <v/>
      </c>
      <c r="K780" t="str">
        <f>SUBSTITUTE(SUBSTITUTE(SUBSTITUTE(SUBSTITUTE(IFERROR(VLOOKUP("Câu "&amp;D780&amp;".",dapan!$E:$J,6,0),""),"1","A"),"2","B"),"3","C"),"4","D")</f>
        <v/>
      </c>
      <c r="P780" t="str">
        <f t="shared" si="43"/>
        <v/>
      </c>
      <c r="Q780" t="str">
        <f t="shared" si="44"/>
        <v/>
      </c>
    </row>
    <row r="781" spans="1:17" x14ac:dyDescent="0.25">
      <c r="A781" t="s">
        <v>662</v>
      </c>
      <c r="C781">
        <f>IFERROR(COUNTIFS($A$1:A781,"Câu "&amp;"*")-MID(A781,5,FIND(".",A781,1)-5),0)</f>
        <v>0</v>
      </c>
      <c r="D781">
        <f t="shared" si="42"/>
        <v>189</v>
      </c>
      <c r="E781" t="str">
        <f>SUBSTITUTE(IF(LEFT(A781,3)="Câu",MID(A781,FIND(".",A781,1)+2,LEN(A781)),""),CHAR(34),CHAR(92)&amp;CHAR(34))</f>
        <v>Người lái xe có văn hóa giao thông khi tham gia giao thông đường bộ phải đáp ứng các điều kiện nào dưới đây?</v>
      </c>
      <c r="G781" t="str">
        <f>SUBSTITUTE(B782,CHAR(34),CHAR(92)&amp;CHAR(34))</f>
        <v xml:space="preserve"> Hiểu biết và chấp hành nghiêm chỉnh pháp luật về giao thông đường bộ; có ý thức trách nhiệm với cộng đồng khi tham gia giao thông; tôn trọng, nhường nhịn, giúp đỡ và ứng xử có văn hóa với những người cùng tham gia giao thông.</v>
      </c>
      <c r="H781" t="str">
        <f>SUBSTITUTE(B783,CHAR(34),CHAR(92)&amp;CHAR(34))</f>
        <v>Điều khiển xe vượt quá tốc độ, đi không đúng làn đường.</v>
      </c>
      <c r="I781" t="str">
        <f>SUBSTITUTE(IF(LEFT(A784,3)="Câu","",B784),CHAR(34),CHAR(92)&amp;CHAR(34))</f>
        <v/>
      </c>
      <c r="J781" t="str">
        <f>SUBSTITUTE(IF(OR(LEFT(A785,3)="Câu",I781=""),"",IF(B785=0,"",B785)),CHAR(34),CHAR(92)&amp;CHAR(34))</f>
        <v/>
      </c>
      <c r="K781" t="str">
        <f ca="1">SUBSTITUTE(SUBSTITUTE(SUBSTITUTE(SUBSTITUTE(IFERROR(VLOOKUP("Câu "&amp;D781&amp;".",dapan!$E:$J,6,0),""),"1","A"),"2","B"),"3","C"),"4","D")</f>
        <v>A</v>
      </c>
      <c r="P781">
        <f t="shared" si="43"/>
        <v>189</v>
      </c>
      <c r="Q781" t="str">
        <f t="shared" ca="1" si="44"/>
        <v>{"num":189,"id":189,"q":"Người lái xe có văn hóa giao thông khi tham gia giao thông đường bộ phải đáp ứng các điều kiện nào dưới đây?","opts":{"A":" Hiểu biết và chấp hành nghiêm chỉnh pháp luật về giao thông đường bộ; có ý thức trách nhiệm với cộng đồng khi tham gia giao thông; tôn trọng, nhường nhịn, giúp đỡ và ứng xử có văn hóa với những người cùng tham gia giao thông.","B":"Điều khiển xe vượt quá tốc độ, đi không đúng làn đường."},"answer":"A"},</v>
      </c>
    </row>
    <row r="782" spans="1:17" hidden="1" x14ac:dyDescent="0.25">
      <c r="A782">
        <v>1</v>
      </c>
      <c r="B782" t="s">
        <v>663</v>
      </c>
      <c r="C782">
        <f>IFERROR(COUNTIFS($A$1:A782,"Câu "&amp;"*")-MID(A782,5,FIND(".",A782,1)-5),0)</f>
        <v>0</v>
      </c>
      <c r="D782" t="str">
        <f t="shared" si="42"/>
        <v/>
      </c>
      <c r="E782" t="str">
        <f>SUBSTITUTE(IF(LEFT(A782,3)="Câu",MID(A782,FIND(".",A782,1)+2,LEN(A782)),""),CHAR(34),CHAR(92)&amp;CHAR(34))</f>
        <v/>
      </c>
      <c r="G782" t="str">
        <f>SUBSTITUTE(B783,CHAR(34),CHAR(92)&amp;CHAR(34))</f>
        <v>Điều khiển xe vượt quá tốc độ, đi không đúng làn đường.</v>
      </c>
      <c r="H782" t="str">
        <f>SUBSTITUTE(B784,CHAR(34),CHAR(92)&amp;CHAR(34))</f>
        <v/>
      </c>
      <c r="I782" t="str">
        <f>SUBSTITUTE(IF(LEFT(A785,3)="Câu","",B785),CHAR(34),CHAR(92)&amp;CHAR(34))</f>
        <v>Điều khiển xe đi trên phần đường, làn đường có ít phương tiện tham gia giao thông, chỉ đội mũ bảo hiểm ở nơi có biển báo bắt buộc đội mũ bảo hiểm.</v>
      </c>
      <c r="J782" t="str">
        <f>SUBSTITUTE(IF(OR(LEFT(A786,3)="Câu",I782=""),"",IF(B786=0,"",B786)),CHAR(34),CHAR(92)&amp;CHAR(34))</f>
        <v xml:space="preserve"> Chấp hành hiệu lệnh, chỉ dẫn của người điều khiển giao thông, quy định về tốc độ, tín hiệu đèn, biển báo hiệu, vạch kẻ đường khi lái xe; nhường đường cho người đi bộ, người già, trẻ em, người khuyết tật.</v>
      </c>
      <c r="K782" t="str">
        <f>SUBSTITUTE(SUBSTITUTE(SUBSTITUTE(SUBSTITUTE(IFERROR(VLOOKUP("Câu "&amp;D782&amp;".",dapan!$E:$J,6,0),""),"1","A"),"2","B"),"3","C"),"4","D")</f>
        <v/>
      </c>
      <c r="P782" t="str">
        <f t="shared" si="43"/>
        <v/>
      </c>
      <c r="Q782" t="str">
        <f t="shared" si="44"/>
        <v/>
      </c>
    </row>
    <row r="783" spans="1:17" hidden="1" x14ac:dyDescent="0.25">
      <c r="A783">
        <v>2</v>
      </c>
      <c r="B783" t="s">
        <v>664</v>
      </c>
      <c r="C783">
        <f>IFERROR(COUNTIFS($A$1:A783,"Câu "&amp;"*")-MID(A783,5,FIND(".",A783,1)-5),0)</f>
        <v>0</v>
      </c>
      <c r="D783" t="str">
        <f t="shared" si="42"/>
        <v/>
      </c>
      <c r="E783" t="str">
        <f>SUBSTITUTE(IF(LEFT(A783,3)="Câu",MID(A783,FIND(".",A783,1)+2,LEN(A783)),""),CHAR(34),CHAR(92)&amp;CHAR(34))</f>
        <v/>
      </c>
      <c r="G783" t="str">
        <f>SUBSTITUTE(B784,CHAR(34),CHAR(92)&amp;CHAR(34))</f>
        <v/>
      </c>
      <c r="H783" t="str">
        <f>SUBSTITUTE(B785,CHAR(34),CHAR(92)&amp;CHAR(34))</f>
        <v>Điều khiển xe đi trên phần đường, làn đường có ít phương tiện tham gia giao thông, chỉ đội mũ bảo hiểm ở nơi có biển báo bắt buộc đội mũ bảo hiểm.</v>
      </c>
      <c r="I783" t="str">
        <f>SUBSTITUTE(IF(LEFT(A786,3)="Câu","",B786),CHAR(34),CHAR(92)&amp;CHAR(34))</f>
        <v xml:space="preserve"> Chấp hành hiệu lệnh, chỉ dẫn của người điều khiển giao thông, quy định về tốc độ, tín hiệu đèn, biển báo hiệu, vạch kẻ đường khi lái xe; nhường đường cho người đi bộ, người già, trẻ em, người khuyết tật.</v>
      </c>
      <c r="J783" t="str">
        <f>SUBSTITUTE(IF(OR(LEFT(A787,3)="Câu",I783=""),"",IF(B787=0,"",B787)),CHAR(34),CHAR(92)&amp;CHAR(34))</f>
        <v/>
      </c>
      <c r="K783" t="str">
        <f>SUBSTITUTE(SUBSTITUTE(SUBSTITUTE(SUBSTITUTE(IFERROR(VLOOKUP("Câu "&amp;D783&amp;".",dapan!$E:$J,6,0),""),"1","A"),"2","B"),"3","C"),"4","D")</f>
        <v/>
      </c>
      <c r="P783" t="str">
        <f t="shared" si="43"/>
        <v/>
      </c>
      <c r="Q783" t="str">
        <f t="shared" si="44"/>
        <v/>
      </c>
    </row>
    <row r="784" spans="1:17" x14ac:dyDescent="0.25">
      <c r="A784" t="s">
        <v>665</v>
      </c>
      <c r="C784">
        <f>IFERROR(COUNTIFS($A$1:A784,"Câu "&amp;"*")-MID(A784,5,FIND(".",A784,1)-5),0)</f>
        <v>0</v>
      </c>
      <c r="D784">
        <f t="shared" si="42"/>
        <v>190</v>
      </c>
      <c r="E784" t="str">
        <f>SUBSTITUTE(IF(LEFT(A784,3)="Câu",MID(A784,FIND(".",A784,1)+2,LEN(A784)),""),CHAR(34),CHAR(92)&amp;CHAR(34))</f>
        <v>Người lái xe có văn hóa giao thông khi tham gia giao thông phải tuân thủ những quy định nào dưới đây?</v>
      </c>
      <c r="G784" t="str">
        <f>SUBSTITUTE(B785,CHAR(34),CHAR(92)&amp;CHAR(34))</f>
        <v>Điều khiển xe đi trên phần đường, làn đường có ít phương tiện tham gia giao thông, chỉ đội mũ bảo hiểm ở nơi có biển báo bắt buộc đội mũ bảo hiểm.</v>
      </c>
      <c r="H784" t="str">
        <f>SUBSTITUTE(B786,CHAR(34),CHAR(92)&amp;CHAR(34))</f>
        <v xml:space="preserve"> Chấp hành hiệu lệnh, chỉ dẫn của người điều khiển giao thông, quy định về tốc độ, tín hiệu đèn, biển báo hiệu, vạch kẻ đường khi lái xe; nhường đường cho người đi bộ, người già, trẻ em, người khuyết tật.</v>
      </c>
      <c r="I784" t="str">
        <f>SUBSTITUTE(IF(LEFT(A787,3)="Câu","",B787),CHAR(34),CHAR(92)&amp;CHAR(34))</f>
        <v/>
      </c>
      <c r="J784" t="str">
        <f>SUBSTITUTE(IF(OR(LEFT(A788,3)="Câu",I784=""),"",IF(B788=0,"",B788)),CHAR(34),CHAR(92)&amp;CHAR(34))</f>
        <v/>
      </c>
      <c r="K784" t="str">
        <f ca="1">SUBSTITUTE(SUBSTITUTE(SUBSTITUTE(SUBSTITUTE(IFERROR(VLOOKUP("Câu "&amp;D784&amp;".",dapan!$E:$J,6,0),""),"1","A"),"2","B"),"3","C"),"4","D")</f>
        <v>B</v>
      </c>
      <c r="P784">
        <f t="shared" si="43"/>
        <v>190</v>
      </c>
      <c r="Q784" t="str">
        <f t="shared" ca="1" si="44"/>
        <v>{"num":190,"id":190,"q":"Người lái xe có văn hóa giao thông khi tham gia giao thông phải tuân thủ những quy định nào dưới đây?","opts":{"A":"Điều khiển xe đi trên phần đường, làn đường có ít phương tiện tham gia giao thông, chỉ đội mũ bảo hiểm ở nơi có biển báo bắt buộc đội mũ bảo hiểm.","B":" Chấp hành hiệu lệnh, chỉ dẫn của người điều khiển giao thông, quy định về tốc độ, tín hiệu đèn, biển báo hiệu, vạch kẻ đường khi lái xe; nhường đường cho người đi bộ, người già, trẻ em, người khuyết tật."},"answer":"B"},</v>
      </c>
    </row>
    <row r="785" spans="1:17" hidden="1" x14ac:dyDescent="0.25">
      <c r="A785">
        <v>1</v>
      </c>
      <c r="B785" t="s">
        <v>666</v>
      </c>
      <c r="C785">
        <f>IFERROR(COUNTIFS($A$1:A785,"Câu "&amp;"*")-MID(A785,5,FIND(".",A785,1)-5),0)</f>
        <v>0</v>
      </c>
      <c r="D785" t="str">
        <f t="shared" si="42"/>
        <v/>
      </c>
      <c r="E785" t="str">
        <f>SUBSTITUTE(IF(LEFT(A785,3)="Câu",MID(A785,FIND(".",A785,1)+2,LEN(A785)),""),CHAR(34),CHAR(92)&amp;CHAR(34))</f>
        <v/>
      </c>
      <c r="G785" t="str">
        <f>SUBSTITUTE(B786,CHAR(34),CHAR(92)&amp;CHAR(34))</f>
        <v xml:space="preserve"> Chấp hành hiệu lệnh, chỉ dẫn của người điều khiển giao thông, quy định về tốc độ, tín hiệu đèn, biển báo hiệu, vạch kẻ đường khi lái xe; nhường đường cho người đi bộ, người già, trẻ em, người khuyết tật.</v>
      </c>
      <c r="H785" t="str">
        <f>SUBSTITUTE(B787,CHAR(34),CHAR(92)&amp;CHAR(34))</f>
        <v/>
      </c>
      <c r="I785" t="str">
        <f>SUBSTITUTE(IF(LEFT(A788,3)="Câu","",B788),CHAR(34),CHAR(92)&amp;CHAR(34))</f>
        <v xml:space="preserve"> Điều khiển xe đi bên phải theo chiều đi của mình; đi đúng phần đường, làn đường quy định; đội mũ bảo hiểm đúng quy chuẩn kỹ thuật quốc gia, cài quai đúng quy cách.</v>
      </c>
      <c r="J785" t="str">
        <f>SUBSTITUTE(IF(OR(LEFT(A789,3)="Câu",I785=""),"",IF(B789=0,"",B789)),CHAR(34),CHAR(92)&amp;CHAR(34))</f>
        <v>Điều khiển xe đi trên phần đường, làn đường có ít phương tiện tham gia giao thông.</v>
      </c>
      <c r="K785" t="str">
        <f>SUBSTITUTE(SUBSTITUTE(SUBSTITUTE(SUBSTITUTE(IFERROR(VLOOKUP("Câu "&amp;D785&amp;".",dapan!$E:$J,6,0),""),"1","A"),"2","B"),"3","C"),"4","D")</f>
        <v/>
      </c>
      <c r="P785" t="str">
        <f t="shared" si="43"/>
        <v/>
      </c>
      <c r="Q785" t="str">
        <f t="shared" si="44"/>
        <v/>
      </c>
    </row>
    <row r="786" spans="1:17" hidden="1" x14ac:dyDescent="0.25">
      <c r="A786">
        <v>2</v>
      </c>
      <c r="B786" t="s">
        <v>667</v>
      </c>
      <c r="C786">
        <f>IFERROR(COUNTIFS($A$1:A786,"Câu "&amp;"*")-MID(A786,5,FIND(".",A786,1)-5),0)</f>
        <v>0</v>
      </c>
      <c r="D786" t="str">
        <f t="shared" si="42"/>
        <v/>
      </c>
      <c r="E786" t="str">
        <f>SUBSTITUTE(IF(LEFT(A786,3)="Câu",MID(A786,FIND(".",A786,1)+2,LEN(A786)),""),CHAR(34),CHAR(92)&amp;CHAR(34))</f>
        <v/>
      </c>
      <c r="G786" t="str">
        <f>SUBSTITUTE(B787,CHAR(34),CHAR(92)&amp;CHAR(34))</f>
        <v/>
      </c>
      <c r="H786" t="str">
        <f>SUBSTITUTE(B788,CHAR(34),CHAR(92)&amp;CHAR(34))</f>
        <v xml:space="preserve"> Điều khiển xe đi bên phải theo chiều đi của mình; đi đúng phần đường, làn đường quy định; đội mũ bảo hiểm đúng quy chuẩn kỹ thuật quốc gia, cài quai đúng quy cách.</v>
      </c>
      <c r="I786" t="str">
        <f>SUBSTITUTE(IF(LEFT(A789,3)="Câu","",B789),CHAR(34),CHAR(92)&amp;CHAR(34))</f>
        <v>Điều khiển xe đi trên phần đường, làn đường có ít phương tiện tham gia giao thông.</v>
      </c>
      <c r="J786" t="str">
        <f>SUBSTITUTE(IF(OR(LEFT(A790,3)="Câu",I786=""),"",IF(B790=0,"",B790)),CHAR(34),CHAR(92)&amp;CHAR(34))</f>
        <v>Điều khiển xe và đội mũ bảo hiểm ở nơi có biển báo bắt buộc đội mũ bảo hiểm.</v>
      </c>
      <c r="K786" t="str">
        <f>SUBSTITUTE(SUBSTITUTE(SUBSTITUTE(SUBSTITUTE(IFERROR(VLOOKUP("Câu "&amp;D786&amp;".",dapan!$E:$J,6,0),""),"1","A"),"2","B"),"3","C"),"4","D")</f>
        <v/>
      </c>
      <c r="P786" t="str">
        <f t="shared" si="43"/>
        <v/>
      </c>
      <c r="Q786" t="str">
        <f t="shared" si="44"/>
        <v/>
      </c>
    </row>
    <row r="787" spans="1:17" x14ac:dyDescent="0.25">
      <c r="A787" t="s">
        <v>668</v>
      </c>
      <c r="C787">
        <f>IFERROR(COUNTIFS($A$1:A787,"Câu "&amp;"*")-MID(A787,5,FIND(".",A787,1)-5),0)</f>
        <v>0</v>
      </c>
      <c r="D787">
        <f t="shared" si="42"/>
        <v>191</v>
      </c>
      <c r="E787" t="str">
        <f>SUBSTITUTE(IF(LEFT(A787,3)="Câu",MID(A787,FIND(".",A787,1)+2,LEN(A787)),""),CHAR(34),CHAR(92)&amp;CHAR(34))</f>
        <v>Người lái xe mô tô có văn hóa giao thông khi tham gia giao thông phải tuân thủ những quy định nào dưới đây?</v>
      </c>
      <c r="G787" t="str">
        <f>SUBSTITUTE(B788,CHAR(34),CHAR(92)&amp;CHAR(34))</f>
        <v xml:space="preserve"> Điều khiển xe đi bên phải theo chiều đi của mình; đi đúng phần đường, làn đường quy định; đội mũ bảo hiểm đúng quy chuẩn kỹ thuật quốc gia, cài quai đúng quy cách.</v>
      </c>
      <c r="H787" t="str">
        <f>SUBSTITUTE(B789,CHAR(34),CHAR(92)&amp;CHAR(34))</f>
        <v>Điều khiển xe đi trên phần đường, làn đường có ít phương tiện tham gia giao thông.</v>
      </c>
      <c r="I787" t="str">
        <f>SUBSTITUTE(IF(LEFT(A790,3)="Câu","",B790),CHAR(34),CHAR(92)&amp;CHAR(34))</f>
        <v>Điều khiển xe và đội mũ bảo hiểm ở nơi có biển báo bắt buộc đội mũ bảo hiểm.</v>
      </c>
      <c r="J787" t="str">
        <f>SUBSTITUTE(IF(OR(LEFT(A791,3)="Câu",I787=""),"",IF(B791=0,"",B791)),CHAR(34),CHAR(92)&amp;CHAR(34))</f>
        <v/>
      </c>
      <c r="K787" t="str">
        <f ca="1">SUBSTITUTE(SUBSTITUTE(SUBSTITUTE(SUBSTITUTE(IFERROR(VLOOKUP("Câu "&amp;D787&amp;".",dapan!$E:$J,6,0),""),"1","A"),"2","B"),"3","C"),"4","D")</f>
        <v>A</v>
      </c>
      <c r="P787">
        <f t="shared" si="43"/>
        <v>191</v>
      </c>
      <c r="Q787" t="str">
        <f t="shared" ca="1" si="44"/>
        <v>{"num":191,"id":191,"q":"Người lái xe mô tô có văn hóa giao thông khi tham gia giao thông phải tuân thủ những quy định nào dưới đây?","opts":{"A":" Điều khiển xe đi bên phải theo chiều đi của mình; đi đúng phần đường, làn đường quy định; đội mũ bảo hiểm đúng quy chuẩn kỹ thuật quốc gia, cài quai đúng quy cách.","B":"Điều khiển xe đi trên phần đường, làn đường có ít phương tiện tham gia giao thông.","C":"Điều khiển xe và đội mũ bảo hiểm ở nơi có biển báo bắt buộc đội mũ bảo hiểm."},"answer":"A"},</v>
      </c>
    </row>
    <row r="788" spans="1:17" hidden="1" x14ac:dyDescent="0.25">
      <c r="A788">
        <v>1</v>
      </c>
      <c r="B788" t="s">
        <v>669</v>
      </c>
      <c r="C788">
        <f>IFERROR(COUNTIFS($A$1:A788,"Câu "&amp;"*")-MID(A788,5,FIND(".",A788,1)-5),0)</f>
        <v>0</v>
      </c>
      <c r="D788" t="str">
        <f t="shared" si="42"/>
        <v/>
      </c>
      <c r="E788" t="str">
        <f>SUBSTITUTE(IF(LEFT(A788,3)="Câu",MID(A788,FIND(".",A788,1)+2,LEN(A788)),""),CHAR(34),CHAR(92)&amp;CHAR(34))</f>
        <v/>
      </c>
      <c r="G788" t="str">
        <f>SUBSTITUTE(B789,CHAR(34),CHAR(92)&amp;CHAR(34))</f>
        <v>Điều khiển xe đi trên phần đường, làn đường có ít phương tiện tham gia giao thông.</v>
      </c>
      <c r="H788" t="str">
        <f>SUBSTITUTE(B790,CHAR(34),CHAR(92)&amp;CHAR(34))</f>
        <v>Điều khiển xe và đội mũ bảo hiểm ở nơi có biển báo bắt buộc đội mũ bảo hiểm.</v>
      </c>
      <c r="I788" t="str">
        <f>SUBSTITUTE(IF(LEFT(A791,3)="Câu","",B791),CHAR(34),CHAR(92)&amp;CHAR(34))</f>
        <v/>
      </c>
      <c r="J788" t="str">
        <f>SUBSTITUTE(IF(OR(LEFT(A792,3)="Câu",I788=""),"",IF(B792=0,"",B792)),CHAR(34),CHAR(92)&amp;CHAR(34))</f>
        <v/>
      </c>
      <c r="K788" t="str">
        <f>SUBSTITUTE(SUBSTITUTE(SUBSTITUTE(SUBSTITUTE(IFERROR(VLOOKUP("Câu "&amp;D788&amp;".",dapan!$E:$J,6,0),""),"1","A"),"2","B"),"3","C"),"4","D")</f>
        <v/>
      </c>
      <c r="P788" t="str">
        <f t="shared" si="43"/>
        <v/>
      </c>
      <c r="Q788" t="str">
        <f t="shared" si="44"/>
        <v/>
      </c>
    </row>
    <row r="789" spans="1:17" hidden="1" x14ac:dyDescent="0.25">
      <c r="A789">
        <v>2</v>
      </c>
      <c r="B789" t="s">
        <v>670</v>
      </c>
      <c r="C789">
        <f>IFERROR(COUNTIFS($A$1:A789,"Câu "&amp;"*")-MID(A789,5,FIND(".",A789,1)-5),0)</f>
        <v>0</v>
      </c>
      <c r="D789" t="str">
        <f t="shared" si="42"/>
        <v/>
      </c>
      <c r="E789" t="str">
        <f>SUBSTITUTE(IF(LEFT(A789,3)="Câu",MID(A789,FIND(".",A789,1)+2,LEN(A789)),""),CHAR(34),CHAR(92)&amp;CHAR(34))</f>
        <v/>
      </c>
      <c r="G789" t="str">
        <f>SUBSTITUTE(B790,CHAR(34),CHAR(92)&amp;CHAR(34))</f>
        <v>Điều khiển xe và đội mũ bảo hiểm ở nơi có biển báo bắt buộc đội mũ bảo hiểm.</v>
      </c>
      <c r="H789" t="str">
        <f>SUBSTITUTE(B791,CHAR(34),CHAR(92)&amp;CHAR(34))</f>
        <v/>
      </c>
      <c r="I789" t="str">
        <f>SUBSTITUTE(IF(LEFT(A792,3)="Câu","",B792),CHAR(34),CHAR(92)&amp;CHAR(34))</f>
        <v xml:space="preserve"> Điều khiển xe đi bên phải theo chiều đi của mình; đi đúng phần đường, làn đường quy định; dừng, đỗ xe đúng nơi quy định; đã uống rượu, bia thì không lái xe.</v>
      </c>
      <c r="J789" t="str">
        <f>SUBSTITUTE(IF(OR(LEFT(A793,3)="Câu",I789=""),"",IF(B793=0,"",B793)),CHAR(34),CHAR(92)&amp;CHAR(34))</f>
        <v>Điều khiển xe đi trên phần đường, làn đường có ít phương tiện giao thông; dừng xe, đỗ xe ở nơi thuận tiện hoặc theo yêu cầu của hành khách, của người thân.</v>
      </c>
      <c r="K789" t="str">
        <f>SUBSTITUTE(SUBSTITUTE(SUBSTITUTE(SUBSTITUTE(IFERROR(VLOOKUP("Câu "&amp;D789&amp;".",dapan!$E:$J,6,0),""),"1","A"),"2","B"),"3","C"),"4","D")</f>
        <v/>
      </c>
      <c r="P789" t="str">
        <f t="shared" si="43"/>
        <v/>
      </c>
      <c r="Q789" t="str">
        <f t="shared" si="44"/>
        <v/>
      </c>
    </row>
    <row r="790" spans="1:17" hidden="1" x14ac:dyDescent="0.25">
      <c r="A790">
        <v>3</v>
      </c>
      <c r="B790" t="s">
        <v>1754</v>
      </c>
      <c r="C790">
        <f>IFERROR(COUNTIFS($A$1:A790,"Câu "&amp;"*")-MID(A790,5,FIND(".",A790,1)-5),0)</f>
        <v>0</v>
      </c>
      <c r="D790" t="str">
        <f t="shared" si="42"/>
        <v/>
      </c>
      <c r="E790" t="str">
        <f>SUBSTITUTE(IF(LEFT(A790,3)="Câu",MID(A790,FIND(".",A790,1)+2,LEN(A790)),""),CHAR(34),CHAR(92)&amp;CHAR(34))</f>
        <v/>
      </c>
      <c r="G790" t="str">
        <f>SUBSTITUTE(B791,CHAR(34),CHAR(92)&amp;CHAR(34))</f>
        <v/>
      </c>
      <c r="H790" t="str">
        <f>SUBSTITUTE(B792,CHAR(34),CHAR(92)&amp;CHAR(34))</f>
        <v xml:space="preserve"> Điều khiển xe đi bên phải theo chiều đi của mình; đi đúng phần đường, làn đường quy định; dừng, đỗ xe đúng nơi quy định; đã uống rượu, bia thì không lái xe.</v>
      </c>
      <c r="I790" t="str">
        <f>SUBSTITUTE(IF(LEFT(A793,3)="Câu","",B793),CHAR(34),CHAR(92)&amp;CHAR(34))</f>
        <v>Điều khiển xe đi trên phần đường, làn đường có ít phương tiện giao thông; dừng xe, đỗ xe ở nơi thuận tiện hoặc theo yêu cầu của hành khách, của người thân.</v>
      </c>
      <c r="J790" t="str">
        <f>SUBSTITUTE(IF(OR(LEFT(A794,3)="Câu",I790=""),"",IF(B794=0,"",B794)),CHAR(34),CHAR(92)&amp;CHAR(34))</f>
        <v>Dừng và đỗ xe ở nơi thuận tiện cho việc chuyên chở hành khách và giao nhận hàng hóa; sử dụng ít rượu, bia thì có thể lái xe.</v>
      </c>
      <c r="K790" t="str">
        <f>SUBSTITUTE(SUBSTITUTE(SUBSTITUTE(SUBSTITUTE(IFERROR(VLOOKUP("Câu "&amp;D790&amp;".",dapan!$E:$J,6,0),""),"1","A"),"2","B"),"3","C"),"4","D")</f>
        <v/>
      </c>
      <c r="P790" t="str">
        <f t="shared" si="43"/>
        <v/>
      </c>
      <c r="Q790" t="str">
        <f t="shared" si="44"/>
        <v/>
      </c>
    </row>
    <row r="791" spans="1:17" x14ac:dyDescent="0.25">
      <c r="A791" t="s">
        <v>1755</v>
      </c>
      <c r="C791">
        <f>IFERROR(COUNTIFS($A$1:A791,"Câu "&amp;"*")-MID(A791,5,FIND(".",A791,1)-5),0)</f>
        <v>0</v>
      </c>
      <c r="D791">
        <f t="shared" si="42"/>
        <v>192</v>
      </c>
      <c r="E791" t="str">
        <f>SUBSTITUTE(IF(LEFT(A791,3)="Câu",MID(A791,FIND(".",A791,1)+2,LEN(A791)),""),CHAR(34),CHAR(92)&amp;CHAR(34))</f>
        <v>Trong các hành vi dưới đây, người lái xe có văn hóa giao thông phải ứng xử như thế nào?</v>
      </c>
      <c r="G791" t="str">
        <f>SUBSTITUTE(B792,CHAR(34),CHAR(92)&amp;CHAR(34))</f>
        <v xml:space="preserve"> Điều khiển xe đi bên phải theo chiều đi của mình; đi đúng phần đường, làn đường quy định; dừng, đỗ xe đúng nơi quy định; đã uống rượu, bia thì không lái xe.</v>
      </c>
      <c r="H791" t="str">
        <f>SUBSTITUTE(B793,CHAR(34),CHAR(92)&amp;CHAR(34))</f>
        <v>Điều khiển xe đi trên phần đường, làn đường có ít phương tiện giao thông; dừng xe, đỗ xe ở nơi thuận tiện hoặc theo yêu cầu của hành khách, của người thân.</v>
      </c>
      <c r="I791" t="str">
        <f>SUBSTITUTE(IF(LEFT(A794,3)="Câu","",B794),CHAR(34),CHAR(92)&amp;CHAR(34))</f>
        <v>Dừng và đỗ xe ở nơi thuận tiện cho việc chuyên chở hành khách và giao nhận hàng hóa; sử dụng ít rượu, bia thì có thể lái xe.</v>
      </c>
      <c r="J791" t="str">
        <f>SUBSTITUTE(IF(OR(LEFT(A795,3)="Câu",I791=""),"",IF(B795=0,"",B795)),CHAR(34),CHAR(92)&amp;CHAR(34))</f>
        <v/>
      </c>
      <c r="K791" t="str">
        <f ca="1">SUBSTITUTE(SUBSTITUTE(SUBSTITUTE(SUBSTITUTE(IFERROR(VLOOKUP("Câu "&amp;D791&amp;".",dapan!$E:$J,6,0),""),"1","A"),"2","B"),"3","C"),"4","D")</f>
        <v>A</v>
      </c>
      <c r="P791">
        <f t="shared" si="43"/>
        <v>192</v>
      </c>
      <c r="Q791" t="str">
        <f t="shared" ca="1" si="44"/>
        <v>{"num":192,"id":192,"q":"Trong các hành vi dưới đây, người lái xe có văn hóa giao thông phải ứng xử như thế nào?","opts":{"A":" Điều khiển xe đi bên phải theo chiều đi của mình; đi đúng phần đường, làn đường quy định; dừng, đỗ xe đúng nơi quy định; đã uống rượu, bia thì không lái xe.","B":"Điều khiển xe đi trên phần đường, làn đường có ít phương tiện giao thông; dừng xe, đỗ xe ở nơi thuận tiện hoặc theo yêu cầu của hành khách, của người thân.","C":"Dừng và đỗ xe ở nơi thuận tiện cho việc chuyên chở hành khách và giao nhận hàng hóa; sử dụng ít rượu, bia thì có thể lái xe."},"answer":"A"},</v>
      </c>
    </row>
    <row r="792" spans="1:17" hidden="1" x14ac:dyDescent="0.25">
      <c r="A792">
        <v>1</v>
      </c>
      <c r="B792" t="s">
        <v>671</v>
      </c>
      <c r="C792">
        <f>IFERROR(COUNTIFS($A$1:A792,"Câu "&amp;"*")-MID(A792,5,FIND(".",A792,1)-5),0)</f>
        <v>0</v>
      </c>
      <c r="D792" t="str">
        <f t="shared" si="42"/>
        <v/>
      </c>
      <c r="E792" t="str">
        <f>SUBSTITUTE(IF(LEFT(A792,3)="Câu",MID(A792,FIND(".",A792,1)+2,LEN(A792)),""),CHAR(34),CHAR(92)&amp;CHAR(34))</f>
        <v/>
      </c>
      <c r="G792" t="str">
        <f>SUBSTITUTE(B793,CHAR(34),CHAR(92)&amp;CHAR(34))</f>
        <v>Điều khiển xe đi trên phần đường, làn đường có ít phương tiện giao thông; dừng xe, đỗ xe ở nơi thuận tiện hoặc theo yêu cầu của hành khách, của người thân.</v>
      </c>
      <c r="H792" t="str">
        <f>SUBSTITUTE(B794,CHAR(34),CHAR(92)&amp;CHAR(34))</f>
        <v>Dừng và đỗ xe ở nơi thuận tiện cho việc chuyên chở hành khách và giao nhận hàng hóa; sử dụng ít rượu, bia thì có thể lái xe.</v>
      </c>
      <c r="I792" t="str">
        <f>SUBSTITUTE(IF(LEFT(A795,3)="Câu","",B795),CHAR(34),CHAR(92)&amp;CHAR(34))</f>
        <v/>
      </c>
      <c r="J792" t="str">
        <f>SUBSTITUTE(IF(OR(LEFT(A796,3)="Câu",I792=""),"",IF(B796=0,"",B796)),CHAR(34),CHAR(92)&amp;CHAR(34))</f>
        <v/>
      </c>
      <c r="K792" t="str">
        <f>SUBSTITUTE(SUBSTITUTE(SUBSTITUTE(SUBSTITUTE(IFERROR(VLOOKUP("Câu "&amp;D792&amp;".",dapan!$E:$J,6,0),""),"1","A"),"2","B"),"3","C"),"4","D")</f>
        <v/>
      </c>
      <c r="P792" t="str">
        <f t="shared" si="43"/>
        <v/>
      </c>
      <c r="Q792" t="str">
        <f t="shared" si="44"/>
        <v/>
      </c>
    </row>
    <row r="793" spans="1:17" hidden="1" x14ac:dyDescent="0.25">
      <c r="A793">
        <v>2</v>
      </c>
      <c r="B793" t="s">
        <v>672</v>
      </c>
      <c r="C793">
        <f>IFERROR(COUNTIFS($A$1:A793,"Câu "&amp;"*")-MID(A793,5,FIND(".",A793,1)-5),0)</f>
        <v>0</v>
      </c>
      <c r="D793" t="str">
        <f t="shared" ref="D793:D856" si="45">IF(LEFT(A793,3)="Câu",VALUE(MID(A793,5,FIND(".",A793,1)-5)),"")</f>
        <v/>
      </c>
      <c r="E793" t="str">
        <f>SUBSTITUTE(IF(LEFT(A793,3)="Câu",MID(A793,FIND(".",A793,1)+2,LEN(A793)),""),CHAR(34),CHAR(92)&amp;CHAR(34))</f>
        <v/>
      </c>
      <c r="G793" t="str">
        <f>SUBSTITUTE(B794,CHAR(34),CHAR(92)&amp;CHAR(34))</f>
        <v>Dừng và đỗ xe ở nơi thuận tiện cho việc chuyên chở hành khách và giao nhận hàng hóa; sử dụng ít rượu, bia thì có thể lái xe.</v>
      </c>
      <c r="H793" t="str">
        <f>SUBSTITUTE(B795,CHAR(34),CHAR(92)&amp;CHAR(34))</f>
        <v/>
      </c>
      <c r="I793" t="str">
        <f>SUBSTITUTE(IF(LEFT(A796,3)="Câu","",B796),CHAR(34),CHAR(92)&amp;CHAR(34))</f>
        <v xml:space="preserve"> Chỉ bấm còi khi thật sự cần thiết, không bấm còi liên tục hoặc kéo dài, sử dụng còi với mức âm lượng theo quy định.</v>
      </c>
      <c r="J793" t="str">
        <f>SUBSTITUTE(IF(OR(LEFT(A797,3)="Câu",I793=""),"",IF(B797=0,"",B797)),CHAR(34),CHAR(92)&amp;CHAR(34))</f>
        <v>Bấm còi liên tục để các xe khác nhường đường.</v>
      </c>
      <c r="K793" t="str">
        <f>SUBSTITUTE(SUBSTITUTE(SUBSTITUTE(SUBSTITUTE(IFERROR(VLOOKUP("Câu "&amp;D793&amp;".",dapan!$E:$J,6,0),""),"1","A"),"2","B"),"3","C"),"4","D")</f>
        <v/>
      </c>
      <c r="P793" t="str">
        <f t="shared" si="43"/>
        <v/>
      </c>
      <c r="Q793" t="str">
        <f t="shared" si="44"/>
        <v/>
      </c>
    </row>
    <row r="794" spans="1:17" hidden="1" x14ac:dyDescent="0.25">
      <c r="A794">
        <v>3</v>
      </c>
      <c r="B794" t="s">
        <v>673</v>
      </c>
      <c r="C794">
        <f>IFERROR(COUNTIFS($A$1:A794,"Câu "&amp;"*")-MID(A794,5,FIND(".",A794,1)-5),0)</f>
        <v>0</v>
      </c>
      <c r="D794" t="str">
        <f t="shared" si="45"/>
        <v/>
      </c>
      <c r="E794" t="str">
        <f>SUBSTITUTE(IF(LEFT(A794,3)="Câu",MID(A794,FIND(".",A794,1)+2,LEN(A794)),""),CHAR(34),CHAR(92)&amp;CHAR(34))</f>
        <v/>
      </c>
      <c r="G794" t="str">
        <f>SUBSTITUTE(B795,CHAR(34),CHAR(92)&amp;CHAR(34))</f>
        <v/>
      </c>
      <c r="H794" t="str">
        <f>SUBSTITUTE(B796,CHAR(34),CHAR(92)&amp;CHAR(34))</f>
        <v xml:space="preserve"> Chỉ bấm còi khi thật sự cần thiết, không bấm còi liên tục hoặc kéo dài, sử dụng còi với mức âm lượng theo quy định.</v>
      </c>
      <c r="I794" t="str">
        <f>SUBSTITUTE(IF(LEFT(A797,3)="Câu","",B797),CHAR(34),CHAR(92)&amp;CHAR(34))</f>
        <v>Bấm còi liên tục để các xe khác nhường đường.</v>
      </c>
      <c r="J794" t="str">
        <f>SUBSTITUTE(IF(OR(LEFT(A798,3)="Câu",I794=""),"",IF(B798=0,"",B798)),CHAR(34),CHAR(92)&amp;CHAR(34))</f>
        <v>Bấm còi to khi đi qua khu vực đông dân cư.</v>
      </c>
      <c r="K794" t="str">
        <f>SUBSTITUTE(SUBSTITUTE(SUBSTITUTE(SUBSTITUTE(IFERROR(VLOOKUP("Câu "&amp;D794&amp;".",dapan!$E:$J,6,0),""),"1","A"),"2","B"),"3","C"),"4","D")</f>
        <v/>
      </c>
      <c r="P794" t="str">
        <f t="shared" si="43"/>
        <v/>
      </c>
      <c r="Q794" t="str">
        <f t="shared" si="44"/>
        <v/>
      </c>
    </row>
    <row r="795" spans="1:17" x14ac:dyDescent="0.25">
      <c r="A795" t="s">
        <v>674</v>
      </c>
      <c r="C795">
        <f>IFERROR(COUNTIFS($A$1:A795,"Câu "&amp;"*")-MID(A795,5,FIND(".",A795,1)-5),0)</f>
        <v>0</v>
      </c>
      <c r="D795">
        <f t="shared" si="45"/>
        <v>193</v>
      </c>
      <c r="E795" t="str">
        <f>SUBSTITUTE(IF(LEFT(A795,3)="Câu",MID(A795,FIND(".",A795,1)+2,LEN(A795)),""),CHAR(34),CHAR(92)&amp;CHAR(34))</f>
        <v>Khi tham gia giao thông việc sử dụng còi xe nên dùng như thế nào để thể hiện là người có văn hóa giao thông?</v>
      </c>
      <c r="G795" t="str">
        <f>SUBSTITUTE(B796,CHAR(34),CHAR(92)&amp;CHAR(34))</f>
        <v xml:space="preserve"> Chỉ bấm còi khi thật sự cần thiết, không bấm còi liên tục hoặc kéo dài, sử dụng còi với mức âm lượng theo quy định.</v>
      </c>
      <c r="H795" t="str">
        <f>SUBSTITUTE(B797,CHAR(34),CHAR(92)&amp;CHAR(34))</f>
        <v>Bấm còi liên tục để các xe khác nhường đường.</v>
      </c>
      <c r="I795" t="str">
        <f>SUBSTITUTE(IF(LEFT(A798,3)="Câu","",B798),CHAR(34),CHAR(92)&amp;CHAR(34))</f>
        <v>Bấm còi to khi đi qua khu vực đông dân cư.</v>
      </c>
      <c r="J795" t="str">
        <f>SUBSTITUTE(IF(OR(LEFT(A799,3)="Câu",I795=""),"",IF(B799=0,"",B799)),CHAR(34),CHAR(92)&amp;CHAR(34))</f>
        <v>Không cần dùng còi, tránh gây tiếng ồn là văn minh.</v>
      </c>
      <c r="K795" t="str">
        <f ca="1">SUBSTITUTE(SUBSTITUTE(SUBSTITUTE(SUBSTITUTE(IFERROR(VLOOKUP("Câu "&amp;D795&amp;".",dapan!$E:$J,6,0),""),"1","A"),"2","B"),"3","C"),"4","D")</f>
        <v>A</v>
      </c>
      <c r="P795">
        <f t="shared" si="43"/>
        <v>193</v>
      </c>
      <c r="Q795" t="str">
        <f t="shared" ca="1" si="44"/>
        <v>{"num":193,"id":193,"q":"Khi tham gia giao thông việc sử dụng còi xe nên dùng như thế nào để thể hiện là người có văn hóa giao thông?","opts":{"A":" Chỉ bấm còi khi thật sự cần thiết, không bấm còi liên tục hoặc kéo dài, sử dụng còi với mức âm lượng theo quy định.","B":"Bấm còi liên tục để các xe khác nhường đường.","C":"Bấm còi to khi đi qua khu vực đông dân cư.","D":"Không cần dùng còi, tránh gây tiếng ồn là văn minh."},"answer":"A"},</v>
      </c>
    </row>
    <row r="796" spans="1:17" hidden="1" x14ac:dyDescent="0.25">
      <c r="A796">
        <v>1</v>
      </c>
      <c r="B796" t="s">
        <v>675</v>
      </c>
      <c r="C796">
        <f>IFERROR(COUNTIFS($A$1:A796,"Câu "&amp;"*")-MID(A796,5,FIND(".",A796,1)-5),0)</f>
        <v>0</v>
      </c>
      <c r="D796" t="str">
        <f t="shared" si="45"/>
        <v/>
      </c>
      <c r="E796" t="str">
        <f>SUBSTITUTE(IF(LEFT(A796,3)="Câu",MID(A796,FIND(".",A796,1)+2,LEN(A796)),""),CHAR(34),CHAR(92)&amp;CHAR(34))</f>
        <v/>
      </c>
      <c r="G796" t="str">
        <f>SUBSTITUTE(B797,CHAR(34),CHAR(92)&amp;CHAR(34))</f>
        <v>Bấm còi liên tục để các xe khác nhường đường.</v>
      </c>
      <c r="H796" t="str">
        <f>SUBSTITUTE(B798,CHAR(34),CHAR(92)&amp;CHAR(34))</f>
        <v>Bấm còi to khi đi qua khu vực đông dân cư.</v>
      </c>
      <c r="I796" t="str">
        <f>SUBSTITUTE(IF(LEFT(A799,3)="Câu","",B799),CHAR(34),CHAR(92)&amp;CHAR(34))</f>
        <v>Không cần dùng còi, tránh gây tiếng ồn là văn minh.</v>
      </c>
      <c r="J796" t="str">
        <f>SUBSTITUTE(IF(OR(LEFT(A800,3)="Câu",I796=""),"",IF(B800=0,"",B800)),CHAR(34),CHAR(92)&amp;CHAR(34))</f>
        <v/>
      </c>
      <c r="K796" t="str">
        <f>SUBSTITUTE(SUBSTITUTE(SUBSTITUTE(SUBSTITUTE(IFERROR(VLOOKUP("Câu "&amp;D796&amp;".",dapan!$E:$J,6,0),""),"1","A"),"2","B"),"3","C"),"4","D")</f>
        <v/>
      </c>
      <c r="P796" t="str">
        <f t="shared" si="43"/>
        <v/>
      </c>
      <c r="Q796" t="str">
        <f t="shared" si="44"/>
        <v/>
      </c>
    </row>
    <row r="797" spans="1:17" hidden="1" x14ac:dyDescent="0.25">
      <c r="A797">
        <v>2</v>
      </c>
      <c r="B797" t="s">
        <v>676</v>
      </c>
      <c r="C797">
        <f>IFERROR(COUNTIFS($A$1:A797,"Câu "&amp;"*")-MID(A797,5,FIND(".",A797,1)-5),0)</f>
        <v>0</v>
      </c>
      <c r="D797" t="str">
        <f t="shared" si="45"/>
        <v/>
      </c>
      <c r="E797" t="str">
        <f>SUBSTITUTE(IF(LEFT(A797,3)="Câu",MID(A797,FIND(".",A797,1)+2,LEN(A797)),""),CHAR(34),CHAR(92)&amp;CHAR(34))</f>
        <v/>
      </c>
      <c r="G797" t="str">
        <f>SUBSTITUTE(B798,CHAR(34),CHAR(92)&amp;CHAR(34))</f>
        <v>Bấm còi to khi đi qua khu vực đông dân cư.</v>
      </c>
      <c r="H797" t="str">
        <f>SUBSTITUTE(B799,CHAR(34),CHAR(92)&amp;CHAR(34))</f>
        <v>Không cần dùng còi, tránh gây tiếng ồn là văn minh.</v>
      </c>
      <c r="I797" t="str">
        <f>SUBSTITUTE(IF(LEFT(A800,3)="Câu","",B800),CHAR(34),CHAR(92)&amp;CHAR(34))</f>
        <v/>
      </c>
      <c r="J797" t="str">
        <f>SUBSTITUTE(IF(OR(LEFT(A801,3)="Câu",I797=""),"",IF(B801=0,"",B801)),CHAR(34),CHAR(92)&amp;CHAR(34))</f>
        <v/>
      </c>
      <c r="K797" t="str">
        <f>SUBSTITUTE(SUBSTITUTE(SUBSTITUTE(SUBSTITUTE(IFERROR(VLOOKUP("Câu "&amp;D797&amp;".",dapan!$E:$J,6,0),""),"1","A"),"2","B"),"3","C"),"4","D")</f>
        <v/>
      </c>
      <c r="P797" t="str">
        <f t="shared" si="43"/>
        <v/>
      </c>
      <c r="Q797" t="str">
        <f t="shared" si="44"/>
        <v/>
      </c>
    </row>
    <row r="798" spans="1:17" hidden="1" x14ac:dyDescent="0.25">
      <c r="A798">
        <v>3</v>
      </c>
      <c r="B798" t="s">
        <v>677</v>
      </c>
      <c r="C798">
        <f>IFERROR(COUNTIFS($A$1:A798,"Câu "&amp;"*")-MID(A798,5,FIND(".",A798,1)-5),0)</f>
        <v>0</v>
      </c>
      <c r="D798" t="str">
        <f t="shared" si="45"/>
        <v/>
      </c>
      <c r="E798" t="str">
        <f>SUBSTITUTE(IF(LEFT(A798,3)="Câu",MID(A798,FIND(".",A798,1)+2,LEN(A798)),""),CHAR(34),CHAR(92)&amp;CHAR(34))</f>
        <v/>
      </c>
      <c r="G798" t="str">
        <f>SUBSTITUTE(B799,CHAR(34),CHAR(92)&amp;CHAR(34))</f>
        <v>Không cần dùng còi, tránh gây tiếng ồn là văn minh.</v>
      </c>
      <c r="H798" t="str">
        <f>SUBSTITUTE(B800,CHAR(34),CHAR(92)&amp;CHAR(34))</f>
        <v/>
      </c>
      <c r="I798" t="str">
        <f>SUBSTITUTE(IF(LEFT(A801,3)="Câu","",B801),CHAR(34),CHAR(92)&amp;CHAR(34))</f>
        <v>Dừng ngay phương tiện, cảnh báo nguy hiểm, giữ nguyên hiện trường, trợ giúp người bị nạn và báo tin cho cơ quan Công an, cơ sở khám bệnh, chữa bệnh.</v>
      </c>
      <c r="J798" t="str">
        <f>SUBSTITUTE(IF(OR(LEFT(A802,3)="Câu",I798=""),"",IF(B802=0,"",B802)),CHAR(34),CHAR(92)&amp;CHAR(34))</f>
        <v>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v>
      </c>
      <c r="K798" t="str">
        <f>SUBSTITUTE(SUBSTITUTE(SUBSTITUTE(SUBSTITUTE(IFERROR(VLOOKUP("Câu "&amp;D798&amp;".",dapan!$E:$J,6,0),""),"1","A"),"2","B"),"3","C"),"4","D")</f>
        <v/>
      </c>
      <c r="P798" t="str">
        <f t="shared" si="43"/>
        <v/>
      </c>
      <c r="Q798" t="str">
        <f t="shared" si="44"/>
        <v/>
      </c>
    </row>
    <row r="799" spans="1:17" hidden="1" x14ac:dyDescent="0.25">
      <c r="A799">
        <v>4</v>
      </c>
      <c r="B799" t="s">
        <v>678</v>
      </c>
      <c r="C799">
        <f>IFERROR(COUNTIFS($A$1:A799,"Câu "&amp;"*")-MID(A799,5,FIND(".",A799,1)-5),0)</f>
        <v>0</v>
      </c>
      <c r="D799" t="str">
        <f t="shared" si="45"/>
        <v/>
      </c>
      <c r="E799" t="str">
        <f>SUBSTITUTE(IF(LEFT(A799,3)="Câu",MID(A799,FIND(".",A799,1)+2,LEN(A799)),""),CHAR(34),CHAR(92)&amp;CHAR(34))</f>
        <v/>
      </c>
      <c r="G799" t="str">
        <f>SUBSTITUTE(B800,CHAR(34),CHAR(92)&amp;CHAR(34))</f>
        <v/>
      </c>
      <c r="H799" t="str">
        <f>SUBSTITUTE(B801,CHAR(34),CHAR(92)&amp;CHAR(34))</f>
        <v>Dừng ngay phương tiện, cảnh báo nguy hiểm, giữ nguyên hiện trường, trợ giúp người bị nạn và báo tin cho cơ quan Công an, cơ sở khám bệnh, chữa bệnh.</v>
      </c>
      <c r="I799" t="str">
        <f>SUBSTITUTE(IF(LEFT(A802,3)="Câu","",B802),CHAR(34),CHAR(92)&amp;CHAR(34))</f>
        <v>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v>
      </c>
      <c r="J799" t="str">
        <f>SUBSTITUTE(IF(OR(LEFT(A803,3)="Câu",I799=""),"",IF(B803=0,"",B803)),CHAR(34),CHAR(92)&amp;CHAR(34))</f>
        <v>Cung cấp thông tin xác định danh tính về bản thân, người liên quan đến vụ tai nạn giao thông đường bộ và thông tin liên quan của vụ tai nạn giao thông đường bộ cho cơ quan có thẩm quyền.</v>
      </c>
      <c r="K799" t="str">
        <f>SUBSTITUTE(SUBSTITUTE(SUBSTITUTE(SUBSTITUTE(IFERROR(VLOOKUP("Câu "&amp;D799&amp;".",dapan!$E:$J,6,0),""),"1","A"),"2","B"),"3","C"),"4","D")</f>
        <v/>
      </c>
      <c r="P799" t="str">
        <f t="shared" si="43"/>
        <v/>
      </c>
      <c r="Q799" t="str">
        <f t="shared" si="44"/>
        <v/>
      </c>
    </row>
    <row r="800" spans="1:17" x14ac:dyDescent="0.25">
      <c r="A800" t="s">
        <v>679</v>
      </c>
      <c r="C800">
        <f>IFERROR(COUNTIFS($A$1:A800,"Câu "&amp;"*")-MID(A800,5,FIND(".",A800,1)-5),0)</f>
        <v>0</v>
      </c>
      <c r="D800">
        <f t="shared" si="45"/>
        <v>194</v>
      </c>
      <c r="E800" t="str">
        <f>SUBSTITUTE(IF(LEFT(A800,3)="Câu",MID(A800,FIND(".",A800,1)+2,LEN(A800)),""),CHAR(34),CHAR(92)&amp;CHAR(34))</f>
        <v>Người điều khiển phương tiện tham giao thông đường bộ gây ra tai nạn giao thông đường bộ, người liên quan đến vụ tai nạn giao thông đường bộ có trách nhiệm gì dưới đây?</v>
      </c>
      <c r="G800" t="str">
        <f>SUBSTITUTE(B801,CHAR(34),CHAR(92)&amp;CHAR(34))</f>
        <v>Dừng ngay phương tiện, cảnh báo nguy hiểm, giữ nguyên hiện trường, trợ giúp người bị nạn và báo tin cho cơ quan Công an, cơ sở khám bệnh, chữa bệnh.</v>
      </c>
      <c r="H800" t="str">
        <f>SUBSTITUTE(B802,CHAR(34),CHAR(92)&amp;CHAR(34))</f>
        <v>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v>
      </c>
      <c r="I800" t="str">
        <f>SUBSTITUTE(IF(LEFT(A803,3)="Câu","",B803),CHAR(34),CHAR(92)&amp;CHAR(34))</f>
        <v>Cung cấp thông tin xác định danh tính về bản thân, người liên quan đến vụ tai nạn giao thông đường bộ và thông tin liên quan của vụ tai nạn giao thông đường bộ cho cơ quan có thẩm quyền.</v>
      </c>
      <c r="J800" t="str">
        <f>SUBSTITUTE(IF(OR(LEFT(A804,3)="Câu",I800=""),"",IF(B804=0,"",B804)),CHAR(34),CHAR(92)&amp;CHAR(34))</f>
        <v xml:space="preserve"> Cả ba ý trên.</v>
      </c>
      <c r="K800" t="str">
        <f ca="1">SUBSTITUTE(SUBSTITUTE(SUBSTITUTE(SUBSTITUTE(IFERROR(VLOOKUP("Câu "&amp;D800&amp;".",dapan!$E:$J,6,0),""),"1","A"),"2","B"),"3","C"),"4","D")</f>
        <v>D</v>
      </c>
      <c r="P800">
        <f t="shared" si="43"/>
        <v>194</v>
      </c>
      <c r="Q800" t="str">
        <f t="shared" ca="1" si="44"/>
        <v>{"num":194,"id":194,"q":"Người điều khiển phương tiện tham giao thông đường bộ gây ra tai nạn giao thông đường bộ, người liên quan đến vụ tai nạn giao thông đường bộ có trách nhiệm gì dưới đây?","opts":{"A":"Dừng ngay phương tiện, cảnh báo nguy hiểm, giữ nguyên hiện trường, trợ giúp người bị nạn và báo tin cho cơ quan Công an, cơ sở khám bệnh, chữa bệnh.","B":"Ở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nhất.","C":"Cung cấp thông tin xác định danh tính về bản thân, người liên quan đến vụ tai nạn giao thông đường bộ và thông tin liên quan của vụ tai nạn giao thông đường bộ cho cơ quan có thẩm quyền.","D":" Cả ba ý trên."},"answer":"D"},</v>
      </c>
    </row>
    <row r="801" spans="1:17" hidden="1" x14ac:dyDescent="0.25">
      <c r="A801">
        <v>1</v>
      </c>
      <c r="B801" t="s">
        <v>680</v>
      </c>
      <c r="C801">
        <f>IFERROR(COUNTIFS($A$1:A801,"Câu "&amp;"*")-MID(A801,5,FIND(".",A801,1)-5),0)</f>
        <v>0</v>
      </c>
      <c r="D801" t="str">
        <f t="shared" si="45"/>
        <v/>
      </c>
      <c r="E801" t="str">
        <f>SUBSTITUTE(IF(LEFT(A801,3)="Câu",MID(A801,FIND(".",A801,1)+2,LEN(A801)),""),CHAR(34),CHAR(92)&amp;CHAR(34))</f>
        <v/>
      </c>
      <c r="G801" t="str">
        <f>SUBSTITUTE(B802,CHAR(34),CHAR(92)&amp;CHAR(34))</f>
        <v>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v>
      </c>
      <c r="H801" t="str">
        <f>SUBSTITUTE(B803,CHAR(34),CHAR(92)&amp;CHAR(34))</f>
        <v>Cung cấp thông tin xác định danh tính về bản thân, người liên quan đến vụ tai nạn giao thông đường bộ và thông tin liên quan của vụ tai nạn giao thông đường bộ cho cơ quan có thẩm quyền.</v>
      </c>
      <c r="I801" t="str">
        <f>SUBSTITUTE(IF(LEFT(A804,3)="Câu","",B804),CHAR(34),CHAR(92)&amp;CHAR(34))</f>
        <v xml:space="preserve"> Cả ba ý trên.</v>
      </c>
      <c r="J801" t="str">
        <f>SUBSTITUTE(IF(OR(LEFT(A805,3)="Câu",I801=""),"",IF(B805=0,"",B805)),CHAR(34),CHAR(92)&amp;CHAR(34))</f>
        <v/>
      </c>
      <c r="K801" t="str">
        <f>SUBSTITUTE(SUBSTITUTE(SUBSTITUTE(SUBSTITUTE(IFERROR(VLOOKUP("Câu "&amp;D801&amp;".",dapan!$E:$J,6,0),""),"1","A"),"2","B"),"3","C"),"4","D")</f>
        <v/>
      </c>
      <c r="P801" t="str">
        <f t="shared" si="43"/>
        <v/>
      </c>
      <c r="Q801" t="str">
        <f t="shared" si="44"/>
        <v/>
      </c>
    </row>
    <row r="802" spans="1:17" hidden="1" x14ac:dyDescent="0.25">
      <c r="A802">
        <v>2</v>
      </c>
      <c r="B802" t="s">
        <v>681</v>
      </c>
      <c r="C802">
        <f>IFERROR(COUNTIFS($A$1:A802,"Câu "&amp;"*")-MID(A802,5,FIND(".",A802,1)-5),0)</f>
        <v>0</v>
      </c>
      <c r="D802" t="str">
        <f t="shared" si="45"/>
        <v/>
      </c>
      <c r="E802" t="str">
        <f>SUBSTITUTE(IF(LEFT(A802,3)="Câu",MID(A802,FIND(".",A802,1)+2,LEN(A802)),""),CHAR(34),CHAR(92)&amp;CHAR(34))</f>
        <v/>
      </c>
      <c r="G802" t="str">
        <f>SUBSTITUTE(B803,CHAR(34),CHAR(92)&amp;CHAR(34))</f>
        <v>Cung cấp thông tin xác định danh tính về bản thân, người liên quan đến vụ tai nạn giao thông đường bộ và thông tin liên quan của vụ tai nạn giao thông đường bộ cho cơ quan có thẩm quyền.</v>
      </c>
      <c r="H802" t="str">
        <f>SUBSTITUTE(B804,CHAR(34),CHAR(92)&amp;CHAR(34))</f>
        <v xml:space="preserve"> Cả ba ý trên.</v>
      </c>
      <c r="I802" t="str">
        <f>SUBSTITUTE(IF(LEFT(A805,3)="Câu","",B805),CHAR(34),CHAR(92)&amp;CHAR(34))</f>
        <v/>
      </c>
      <c r="J802" t="str">
        <f>SUBSTITUTE(IF(OR(LEFT(A806,3)="Câu",I802=""),"",IF(B806=0,"",B806)),CHAR(34),CHAR(92)&amp;CHAR(34))</f>
        <v/>
      </c>
      <c r="K802" t="str">
        <f>SUBSTITUTE(SUBSTITUTE(SUBSTITUTE(SUBSTITUTE(IFERROR(VLOOKUP("Câu "&amp;D802&amp;".",dapan!$E:$J,6,0),""),"1","A"),"2","B"),"3","C"),"4","D")</f>
        <v/>
      </c>
      <c r="P802" t="str">
        <f t="shared" si="43"/>
        <v/>
      </c>
      <c r="Q802" t="str">
        <f t="shared" si="44"/>
        <v/>
      </c>
    </row>
    <row r="803" spans="1:17" hidden="1" x14ac:dyDescent="0.25">
      <c r="A803">
        <v>3</v>
      </c>
      <c r="B803" t="s">
        <v>682</v>
      </c>
      <c r="C803">
        <f>IFERROR(COUNTIFS($A$1:A803,"Câu "&amp;"*")-MID(A803,5,FIND(".",A803,1)-5),0)</f>
        <v>0</v>
      </c>
      <c r="D803" t="str">
        <f t="shared" si="45"/>
        <v/>
      </c>
      <c r="E803" t="str">
        <f>SUBSTITUTE(IF(LEFT(A803,3)="Câu",MID(A803,FIND(".",A803,1)+2,LEN(A803)),""),CHAR(34),CHAR(92)&amp;CHAR(34))</f>
        <v/>
      </c>
      <c r="G803" t="str">
        <f>SUBSTITUTE(B804,CHAR(34),CHAR(92)&amp;CHAR(34))</f>
        <v xml:space="preserve"> Cả ba ý trên.</v>
      </c>
      <c r="H803" t="str">
        <f>SUBSTITUTE(B805,CHAR(34),CHAR(92)&amp;CHAR(34))</f>
        <v/>
      </c>
      <c r="I803" t="str">
        <f>SUBSTITUTE(IF(LEFT(A806,3)="Câu","",B806),CHAR(34),CHAR(92)&amp;CHAR(34))</f>
        <v xml:space="preserve"> Giúp đỡ, cứu chữa kịp thời người bị nạn; báo tin ngay cho cơ quan Công an, cơ sở khám bệnh, chữa bệnh hoặc Ủy ban nhân dân nơi gần nhất; tham gia bảo vệ hiện trường; tham gia bảo vệ tài sản của người bị nạn; cung cấp thông tin liên quan về vụ tai nạn theo yêu cầu của cơ quan có thẩm quyền.</v>
      </c>
      <c r="J803" t="str">
        <f>SUBSTITUTE(IF(OR(LEFT(A807,3)="Câu",I803=""),"",IF(B807=0,"",B807)),CHAR(34),CHAR(92)&amp;CHAR(34))</f>
        <v>Chụp lại hình ảnh vụ tai nạn (nếu có thiết bị ghi hình) và nhanh chóng rời khỏi hiện trường vụ tai nạn.</v>
      </c>
      <c r="K803" t="str">
        <f>SUBSTITUTE(SUBSTITUTE(SUBSTITUTE(SUBSTITUTE(IFERROR(VLOOKUP("Câu "&amp;D803&amp;".",dapan!$E:$J,6,0),""),"1","A"),"2","B"),"3","C"),"4","D")</f>
        <v/>
      </c>
      <c r="P803" t="str">
        <f t="shared" si="43"/>
        <v/>
      </c>
      <c r="Q803" t="str">
        <f t="shared" si="44"/>
        <v/>
      </c>
    </row>
    <row r="804" spans="1:17" hidden="1" x14ac:dyDescent="0.25">
      <c r="A804">
        <v>4</v>
      </c>
      <c r="B804" t="s">
        <v>89</v>
      </c>
      <c r="C804">
        <f>IFERROR(COUNTIFS($A$1:A804,"Câu "&amp;"*")-MID(A804,5,FIND(".",A804,1)-5),0)</f>
        <v>0</v>
      </c>
      <c r="D804" t="str">
        <f t="shared" si="45"/>
        <v/>
      </c>
      <c r="E804" t="str">
        <f>SUBSTITUTE(IF(LEFT(A804,3)="Câu",MID(A804,FIND(".",A804,1)+2,LEN(A804)),""),CHAR(34),CHAR(92)&amp;CHAR(34))</f>
        <v/>
      </c>
      <c r="G804" t="str">
        <f>SUBSTITUTE(B805,CHAR(34),CHAR(92)&amp;CHAR(34))</f>
        <v/>
      </c>
      <c r="H804" t="str">
        <f>SUBSTITUTE(B806,CHAR(34),CHAR(92)&amp;CHAR(34))</f>
        <v xml:space="preserve"> Giúp đỡ, cứu chữa kịp thời người bị nạn; báo tin ngay cho cơ quan Công an, cơ sở khám bệnh, chữa bệnh hoặc Ủy ban nhân dân nơi gần nhất; tham gia bảo vệ hiện trường; tham gia bảo vệ tài sản của người bị nạn; cung cấp thông tin liên quan về vụ tai nạn theo yêu cầu của cơ quan có thẩm quyền.</v>
      </c>
      <c r="I804" t="str">
        <f>SUBSTITUTE(IF(LEFT(A807,3)="Câu","",B807),CHAR(34),CHAR(92)&amp;CHAR(34))</f>
        <v>Chụp lại hình ảnh vụ tai nạn (nếu có thiết bị ghi hình) và nhanh chóng rời khỏi hiện trường vụ tai nạn.</v>
      </c>
      <c r="J804" t="str">
        <f>SUBSTITUTE(IF(OR(LEFT(A808,3)="Câu",I804=""),"",IF(B808=0,"",B808)),CHAR(34),CHAR(92)&amp;CHAR(34))</f>
        <v/>
      </c>
      <c r="K804" t="str">
        <f>SUBSTITUTE(SUBSTITUTE(SUBSTITUTE(SUBSTITUTE(IFERROR(VLOOKUP("Câu "&amp;D804&amp;".",dapan!$E:$J,6,0),""),"1","A"),"2","B"),"3","C"),"4","D")</f>
        <v/>
      </c>
      <c r="P804" t="str">
        <f t="shared" si="43"/>
        <v/>
      </c>
      <c r="Q804" t="str">
        <f t="shared" si="44"/>
        <v/>
      </c>
    </row>
    <row r="805" spans="1:17" x14ac:dyDescent="0.25">
      <c r="A805" t="s">
        <v>683</v>
      </c>
      <c r="C805">
        <f>IFERROR(COUNTIFS($A$1:A805,"Câu "&amp;"*")-MID(A805,5,FIND(".",A805,1)-5),0)</f>
        <v>0</v>
      </c>
      <c r="D805">
        <f t="shared" si="45"/>
        <v>195</v>
      </c>
      <c r="E805" t="str">
        <f>SUBSTITUTE(IF(LEFT(A805,3)="Câu",MID(A805,FIND(".",A805,1)+2,LEN(A805)),""),CHAR(34),CHAR(92)&amp;CHAR(34))</f>
        <v>Người có mặt tại nơi xảy ra vụ tai giao thông đường bộ có trách nhiệm gì dưới đây?</v>
      </c>
      <c r="G805" t="str">
        <f>SUBSTITUTE(B806,CHAR(34),CHAR(92)&amp;CHAR(34))</f>
        <v xml:space="preserve"> Giúp đỡ, cứu chữa kịp thời người bị nạn; báo tin ngay cho cơ quan Công an, cơ sở khám bệnh, chữa bệnh hoặc Ủy ban nhân dân nơi gần nhất; tham gia bảo vệ hiện trường; tham gia bảo vệ tài sản của người bị nạn; cung cấp thông tin liên quan về vụ tai nạn theo yêu cầu của cơ quan có thẩm quyền.</v>
      </c>
      <c r="H805" t="str">
        <f>SUBSTITUTE(B807,CHAR(34),CHAR(92)&amp;CHAR(34))</f>
        <v>Chụp lại hình ảnh vụ tai nạn (nếu có thiết bị ghi hình) và nhanh chóng rời khỏi hiện trường vụ tai nạn.</v>
      </c>
      <c r="I805" t="str">
        <f>SUBSTITUTE(IF(LEFT(A808,3)="Câu","",B808),CHAR(34),CHAR(92)&amp;CHAR(34))</f>
        <v/>
      </c>
      <c r="J805" t="str">
        <f>SUBSTITUTE(IF(OR(LEFT(A809,3)="Câu",I805=""),"",IF(B809=0,"",B809)),CHAR(34),CHAR(92)&amp;CHAR(34))</f>
        <v/>
      </c>
      <c r="K805" t="str">
        <f ca="1">SUBSTITUTE(SUBSTITUTE(SUBSTITUTE(SUBSTITUTE(IFERROR(VLOOKUP("Câu "&amp;D805&amp;".",dapan!$E:$J,6,0),""),"1","A"),"2","B"),"3","C"),"4","D")</f>
        <v>A</v>
      </c>
      <c r="P805">
        <f t="shared" si="43"/>
        <v>195</v>
      </c>
      <c r="Q805" t="str">
        <f t="shared" ca="1" si="44"/>
        <v>{"num":195,"id":195,"q":"Người có mặt tại nơi xảy ra vụ tai giao thông đường bộ có trách nhiệm gì dưới đây?","opts":{"A":" Giúp đỡ, cứu chữa kịp thời người bị nạn; báo tin ngay cho cơ quan Công an, cơ sở khám bệnh, chữa bệnh hoặc Ủy ban nhân dân nơi gần nhất; tham gia bảo vệ hiện trường; tham gia bảo vệ tài sản của người bị nạn; cung cấp thông tin liên quan về vụ tai nạn theo yêu cầu của cơ quan có thẩm quyền.","B":"Chụp lại hình ảnh vụ tai nạn (nếu có thiết bị ghi hình) và nhanh chóng rời khỏi hiện trường vụ tai nạn."},"answer":"A"},</v>
      </c>
    </row>
    <row r="806" spans="1:17" hidden="1" x14ac:dyDescent="0.25">
      <c r="A806">
        <v>1</v>
      </c>
      <c r="B806" t="s">
        <v>684</v>
      </c>
      <c r="C806">
        <f>IFERROR(COUNTIFS($A$1:A806,"Câu "&amp;"*")-MID(A806,5,FIND(".",A806,1)-5),0)</f>
        <v>0</v>
      </c>
      <c r="D806" t="str">
        <f t="shared" si="45"/>
        <v/>
      </c>
      <c r="E806" t="str">
        <f>SUBSTITUTE(IF(LEFT(A806,3)="Câu",MID(A806,FIND(".",A806,1)+2,LEN(A806)),""),CHAR(34),CHAR(92)&amp;CHAR(34))</f>
        <v/>
      </c>
      <c r="G806" t="str">
        <f>SUBSTITUTE(B807,CHAR(34),CHAR(92)&amp;CHAR(34))</f>
        <v>Chụp lại hình ảnh vụ tai nạn (nếu có thiết bị ghi hình) và nhanh chóng rời khỏi hiện trường vụ tai nạn.</v>
      </c>
      <c r="H806" t="str">
        <f>SUBSTITUTE(B808,CHAR(34),CHAR(92)&amp;CHAR(34))</f>
        <v/>
      </c>
      <c r="I806" t="str">
        <f>SUBSTITUTE(IF(LEFT(A809,3)="Câu","",B809),CHAR(34),CHAR(92)&amp;CHAR(34))</f>
        <v xml:space="preserve"> Đặt nạn nhân nằm ngửa, khai thông đường thở của nạn nhân; thực hiện các biện pháp hô hấp nhân tạo.</v>
      </c>
      <c r="J806" t="str">
        <f>SUBSTITUTE(IF(OR(LEFT(A810,3)="Câu",I806=""),"",IF(B810=0,"",B810)),CHAR(34),CHAR(92)&amp;CHAR(34))</f>
        <v>Thực hiện các biện pháp hô hấp nhân tạo.</v>
      </c>
      <c r="K806" t="str">
        <f>SUBSTITUTE(SUBSTITUTE(SUBSTITUTE(SUBSTITUTE(IFERROR(VLOOKUP("Câu "&amp;D806&amp;".",dapan!$E:$J,6,0),""),"1","A"),"2","B"),"3","C"),"4","D")</f>
        <v/>
      </c>
      <c r="P806" t="str">
        <f t="shared" si="43"/>
        <v/>
      </c>
      <c r="Q806" t="str">
        <f t="shared" si="44"/>
        <v/>
      </c>
    </row>
    <row r="807" spans="1:17" hidden="1" x14ac:dyDescent="0.25">
      <c r="A807">
        <v>2</v>
      </c>
      <c r="B807" t="s">
        <v>685</v>
      </c>
      <c r="C807">
        <f>IFERROR(COUNTIFS($A$1:A807,"Câu "&amp;"*")-MID(A807,5,FIND(".",A807,1)-5),0)</f>
        <v>0</v>
      </c>
      <c r="D807" t="str">
        <f t="shared" si="45"/>
        <v/>
      </c>
      <c r="E807" t="str">
        <f>SUBSTITUTE(IF(LEFT(A807,3)="Câu",MID(A807,FIND(".",A807,1)+2,LEN(A807)),""),CHAR(34),CHAR(92)&amp;CHAR(34))</f>
        <v/>
      </c>
      <c r="G807" t="str">
        <f>SUBSTITUTE(B808,CHAR(34),CHAR(92)&amp;CHAR(34))</f>
        <v/>
      </c>
      <c r="H807" t="str">
        <f>SUBSTITUTE(B809,CHAR(34),CHAR(92)&amp;CHAR(34))</f>
        <v xml:space="preserve"> Đặt nạn nhân nằm ngửa, khai thông đường thở của nạn nhân; thực hiện các biện pháp hô hấp nhân tạo.</v>
      </c>
      <c r="I807" t="str">
        <f>SUBSTITUTE(IF(LEFT(A810,3)="Câu","",B810),CHAR(34),CHAR(92)&amp;CHAR(34))</f>
        <v>Thực hiện các biện pháp hô hấp nhân tạo.</v>
      </c>
      <c r="J807" t="str">
        <f>SUBSTITUTE(IF(OR(LEFT(A811,3)="Câu",I807=""),"",IF(B811=0,"",B811)),CHAR(34),CHAR(92)&amp;CHAR(34))</f>
        <v/>
      </c>
      <c r="K807" t="str">
        <f>SUBSTITUTE(SUBSTITUTE(SUBSTITUTE(SUBSTITUTE(IFERROR(VLOOKUP("Câu "&amp;D807&amp;".",dapan!$E:$J,6,0),""),"1","A"),"2","B"),"3","C"),"4","D")</f>
        <v/>
      </c>
      <c r="P807" t="str">
        <f t="shared" si="43"/>
        <v/>
      </c>
      <c r="Q807" t="str">
        <f t="shared" si="44"/>
        <v/>
      </c>
    </row>
    <row r="808" spans="1:17" x14ac:dyDescent="0.25">
      <c r="A808" t="s">
        <v>686</v>
      </c>
      <c r="C808">
        <f>IFERROR(COUNTIFS($A$1:A808,"Câu "&amp;"*")-MID(A808,5,FIND(".",A808,1)-5),0)</f>
        <v>0</v>
      </c>
      <c r="D808">
        <f t="shared" si="45"/>
        <v>196</v>
      </c>
      <c r="E808" t="str">
        <f>SUBSTITUTE(IF(LEFT(A808,3)="Câu",MID(A808,FIND(".",A808,1)+2,LEN(A808)),""),CHAR(34),CHAR(92)&amp;CHAR(34))</f>
        <v>Khi sơ cứu ban đầu cho người bị tai nạn giao thông đường bộ không còn hô hấp, người lái xe và người có mặt tại hiện trường vụ tai nạn phải thực hiện các công việc gì dưới đây?</v>
      </c>
      <c r="G808" t="str">
        <f>SUBSTITUTE(B809,CHAR(34),CHAR(92)&amp;CHAR(34))</f>
        <v xml:space="preserve"> Đặt nạn nhân nằm ngửa, khai thông đường thở của nạn nhân; thực hiện các biện pháp hô hấp nhân tạo.</v>
      </c>
      <c r="H808" t="str">
        <f>SUBSTITUTE(B810,CHAR(34),CHAR(92)&amp;CHAR(34))</f>
        <v>Thực hiện các biện pháp hô hấp nhân tạo.</v>
      </c>
      <c r="I808" t="str">
        <f>SUBSTITUTE(IF(LEFT(A811,3)="Câu","",B811),CHAR(34),CHAR(92)&amp;CHAR(34))</f>
        <v/>
      </c>
      <c r="J808" t="str">
        <f>SUBSTITUTE(IF(OR(LEFT(A812,3)="Câu",I808=""),"",IF(B812=0,"",B812)),CHAR(34),CHAR(92)&amp;CHAR(34))</f>
        <v/>
      </c>
      <c r="K808" t="str">
        <f ca="1">SUBSTITUTE(SUBSTITUTE(SUBSTITUTE(SUBSTITUTE(IFERROR(VLOOKUP("Câu "&amp;D808&amp;".",dapan!$E:$J,6,0),""),"1","A"),"2","B"),"3","C"),"4","D")</f>
        <v>A</v>
      </c>
      <c r="P808">
        <f t="shared" si="43"/>
        <v>196</v>
      </c>
      <c r="Q808" t="str">
        <f t="shared" ca="1" si="44"/>
        <v>{"num":196,"id":196,"q":"Khi sơ cứu ban đầu cho người bị tai nạn giao thông đường bộ không còn hô hấp, người lái xe và người có mặt tại hiện trường vụ tai nạn phải thực hiện các công việc gì dưới đây?","opts":{"A":" Đặt nạn nhân nằm ngửa, khai thông đường thở của nạn nhân; thực hiện các biện pháp hô hấp nhân tạo.","B":"Thực hiện các biện pháp hô hấp nhân tạo."},"answer":"A"},</v>
      </c>
    </row>
    <row r="809" spans="1:17" hidden="1" x14ac:dyDescent="0.25">
      <c r="A809">
        <v>1</v>
      </c>
      <c r="B809" t="s">
        <v>687</v>
      </c>
      <c r="C809">
        <f>IFERROR(COUNTIFS($A$1:A809,"Câu "&amp;"*")-MID(A809,5,FIND(".",A809,1)-5),0)</f>
        <v>0</v>
      </c>
      <c r="D809" t="str">
        <f t="shared" si="45"/>
        <v/>
      </c>
      <c r="E809" t="str">
        <f>SUBSTITUTE(IF(LEFT(A809,3)="Câu",MID(A809,FIND(".",A809,1)+2,LEN(A809)),""),CHAR(34),CHAR(92)&amp;CHAR(34))</f>
        <v/>
      </c>
      <c r="G809" t="str">
        <f>SUBSTITUTE(B810,CHAR(34),CHAR(92)&amp;CHAR(34))</f>
        <v>Thực hiện các biện pháp hô hấp nhân tạo.</v>
      </c>
      <c r="H809" t="str">
        <f>SUBSTITUTE(B811,CHAR(34),CHAR(92)&amp;CHAR(34))</f>
        <v/>
      </c>
      <c r="I809" t="str">
        <f>SUBSTITUTE(IF(LEFT(A812,3)="Câu","",B812),CHAR(34),CHAR(92)&amp;CHAR(34))</f>
        <v>Không bị nghiêm cấm.</v>
      </c>
      <c r="J809" t="str">
        <f>SUBSTITUTE(IF(OR(LEFT(A813,3)="Câu",I809=""),"",IF(B813=0,"",B813)),CHAR(34),CHAR(92)&amp;CHAR(34))</f>
        <v>Nghiêm cấm tuỳ từng trường hợp cụ thể.</v>
      </c>
      <c r="K809" t="str">
        <f>SUBSTITUTE(SUBSTITUTE(SUBSTITUTE(SUBSTITUTE(IFERROR(VLOOKUP("Câu "&amp;D809&amp;".",dapan!$E:$J,6,0),""),"1","A"),"2","B"),"3","C"),"4","D")</f>
        <v/>
      </c>
      <c r="P809" t="str">
        <f t="shared" si="43"/>
        <v/>
      </c>
      <c r="Q809" t="str">
        <f t="shared" si="44"/>
        <v/>
      </c>
    </row>
    <row r="810" spans="1:17" hidden="1" x14ac:dyDescent="0.25">
      <c r="A810">
        <v>2</v>
      </c>
      <c r="B810" t="s">
        <v>688</v>
      </c>
      <c r="C810">
        <f>IFERROR(COUNTIFS($A$1:A810,"Câu "&amp;"*")-MID(A810,5,FIND(".",A810,1)-5),0)</f>
        <v>0</v>
      </c>
      <c r="D810" t="str">
        <f t="shared" si="45"/>
        <v/>
      </c>
      <c r="E810" t="str">
        <f>SUBSTITUTE(IF(LEFT(A810,3)="Câu",MID(A810,FIND(".",A810,1)+2,LEN(A810)),""),CHAR(34),CHAR(92)&amp;CHAR(34))</f>
        <v/>
      </c>
      <c r="G810" t="str">
        <f>SUBSTITUTE(B811,CHAR(34),CHAR(92)&amp;CHAR(34))</f>
        <v/>
      </c>
      <c r="H810" t="str">
        <f>SUBSTITUTE(B812,CHAR(34),CHAR(92)&amp;CHAR(34))</f>
        <v>Không bị nghiêm cấm.</v>
      </c>
      <c r="I810" t="str">
        <f>SUBSTITUTE(IF(LEFT(A813,3)="Câu","",B813),CHAR(34),CHAR(92)&amp;CHAR(34))</f>
        <v>Nghiêm cấm tuỳ từng trường hợp cụ thể.</v>
      </c>
      <c r="J810" t="str">
        <f>SUBSTITUTE(IF(OR(LEFT(A814,3)="Câu",I810=""),"",IF(B814=0,"",B814)),CHAR(34),CHAR(92)&amp;CHAR(34))</f>
        <v xml:space="preserve"> Bị nghiêm cấm.</v>
      </c>
      <c r="K810" t="str">
        <f>SUBSTITUTE(SUBSTITUTE(SUBSTITUTE(SUBSTITUTE(IFERROR(VLOOKUP("Câu "&amp;D810&amp;".",dapan!$E:$J,6,0),""),"1","A"),"2","B"),"3","C"),"4","D")</f>
        <v/>
      </c>
      <c r="P810" t="str">
        <f t="shared" si="43"/>
        <v/>
      </c>
      <c r="Q810" t="str">
        <f t="shared" si="44"/>
        <v/>
      </c>
    </row>
    <row r="811" spans="1:17" x14ac:dyDescent="0.25">
      <c r="A811" t="s">
        <v>689</v>
      </c>
      <c r="C811">
        <f>IFERROR(COUNTIFS($A$1:A811,"Câu "&amp;"*")-MID(A811,5,FIND(".",A811,1)-5),0)</f>
        <v>0</v>
      </c>
      <c r="D811">
        <f t="shared" si="45"/>
        <v>197</v>
      </c>
      <c r="E811" t="str">
        <f>SUBSTITUTE(IF(LEFT(A811,3)="Câu",MID(A811,FIND(".",A811,1)+2,LEN(A811)),""),CHAR(34),CHAR(92)&amp;CHAR(34))</f>
        <v>Hành vi bỏ trốn sau khi gây tai nạn để trốn tránh trách nhiệm hoặc khi có điều kiện mà cố ý không cứu giúp người bị tai nạn giao thông có bị nghiêm cấm hay không?</v>
      </c>
      <c r="G811" t="str">
        <f>SUBSTITUTE(B812,CHAR(34),CHAR(92)&amp;CHAR(34))</f>
        <v>Không bị nghiêm cấm.</v>
      </c>
      <c r="H811" t="str">
        <f>SUBSTITUTE(B813,CHAR(34),CHAR(92)&amp;CHAR(34))</f>
        <v>Nghiêm cấm tuỳ từng trường hợp cụ thể.</v>
      </c>
      <c r="I811" t="str">
        <f>SUBSTITUTE(IF(LEFT(A814,3)="Câu","",B814),CHAR(34),CHAR(92)&amp;CHAR(34))</f>
        <v xml:space="preserve"> Bị nghiêm cấm.</v>
      </c>
      <c r="J811" t="str">
        <f>SUBSTITUTE(IF(OR(LEFT(A815,3)="Câu",I811=""),"",IF(B815=0,"",B815)),CHAR(34),CHAR(92)&amp;CHAR(34))</f>
        <v/>
      </c>
      <c r="K811" t="str">
        <f ca="1">SUBSTITUTE(SUBSTITUTE(SUBSTITUTE(SUBSTITUTE(IFERROR(VLOOKUP("Câu "&amp;D811&amp;".",dapan!$E:$J,6,0),""),"1","A"),"2","B"),"3","C"),"4","D")</f>
        <v>C</v>
      </c>
      <c r="P811">
        <f t="shared" si="43"/>
        <v>197</v>
      </c>
      <c r="Q811" t="str">
        <f t="shared" ca="1" si="44"/>
        <v>{"num":197,"id":197,"q":"Hành vi bỏ trốn sau khi gây tai nạn để trốn tránh trách nhiệm hoặc khi có điều kiện mà cố ý không cứu giúp người bị tai nạn giao thông có bị nghiêm cấm hay không?","opts":{"A":"Không bị nghiêm cấm.","B":"Nghiêm cấm tuỳ từng trường hợp cụ thể.","C":" Bị nghiêm cấm."},"answer":"C"},</v>
      </c>
    </row>
    <row r="812" spans="1:17" hidden="1" x14ac:dyDescent="0.25">
      <c r="A812">
        <v>1</v>
      </c>
      <c r="B812" t="s">
        <v>78</v>
      </c>
      <c r="C812">
        <f>IFERROR(COUNTIFS($A$1:A812,"Câu "&amp;"*")-MID(A812,5,FIND(".",A812,1)-5),0)</f>
        <v>0</v>
      </c>
      <c r="D812" t="str">
        <f t="shared" si="45"/>
        <v/>
      </c>
      <c r="E812" t="str">
        <f>SUBSTITUTE(IF(LEFT(A812,3)="Câu",MID(A812,FIND(".",A812,1)+2,LEN(A812)),""),CHAR(34),CHAR(92)&amp;CHAR(34))</f>
        <v/>
      </c>
      <c r="G812" t="str">
        <f>SUBSTITUTE(B813,CHAR(34),CHAR(92)&amp;CHAR(34))</f>
        <v>Nghiêm cấm tuỳ từng trường hợp cụ thể.</v>
      </c>
      <c r="H812" t="str">
        <f>SUBSTITUTE(B814,CHAR(34),CHAR(92)&amp;CHAR(34))</f>
        <v xml:space="preserve"> Bị nghiêm cấm.</v>
      </c>
      <c r="I812" t="str">
        <f>SUBSTITUTE(IF(LEFT(A815,3)="Câu","",B815),CHAR(34),CHAR(92)&amp;CHAR(34))</f>
        <v/>
      </c>
      <c r="J812" t="str">
        <f>SUBSTITUTE(IF(OR(LEFT(A816,3)="Câu",I812=""),"",IF(B816=0,"",B816)),CHAR(34),CHAR(92)&amp;CHAR(34))</f>
        <v/>
      </c>
      <c r="K812" t="str">
        <f>SUBSTITUTE(SUBSTITUTE(SUBSTITUTE(SUBSTITUTE(IFERROR(VLOOKUP("Câu "&amp;D812&amp;".",dapan!$E:$J,6,0),""),"1","A"),"2","B"),"3","C"),"4","D")</f>
        <v/>
      </c>
      <c r="P812" t="str">
        <f t="shared" si="43"/>
        <v/>
      </c>
      <c r="Q812" t="str">
        <f t="shared" si="44"/>
        <v/>
      </c>
    </row>
    <row r="813" spans="1:17" hidden="1" x14ac:dyDescent="0.25">
      <c r="A813">
        <v>2</v>
      </c>
      <c r="B813" t="s">
        <v>690</v>
      </c>
      <c r="C813">
        <f>IFERROR(COUNTIFS($A$1:A813,"Câu "&amp;"*")-MID(A813,5,FIND(".",A813,1)-5),0)</f>
        <v>0</v>
      </c>
      <c r="D813" t="str">
        <f t="shared" si="45"/>
        <v/>
      </c>
      <c r="E813" t="str">
        <f>SUBSTITUTE(IF(LEFT(A813,3)="Câu",MID(A813,FIND(".",A813,1)+2,LEN(A813)),""),CHAR(34),CHAR(92)&amp;CHAR(34))</f>
        <v/>
      </c>
      <c r="G813" t="str">
        <f>SUBSTITUTE(B814,CHAR(34),CHAR(92)&amp;CHAR(34))</f>
        <v xml:space="preserve"> Bị nghiêm cấm.</v>
      </c>
      <c r="H813" t="str">
        <f>SUBSTITUTE(B815,CHAR(34),CHAR(92)&amp;CHAR(34))</f>
        <v/>
      </c>
      <c r="I813" t="str">
        <f>SUBSTITUTE(IF(LEFT(A816,3)="Câu","",B816),CHAR(34),CHAR(92)&amp;CHAR(34))</f>
        <v xml:space="preserve"> Giảm tốc độ và nhường đường cho người đi bộ.</v>
      </c>
      <c r="J813" t="str">
        <f>SUBSTITUTE(IF(OR(LEFT(A817,3)="Câu",I813=""),"",IF(B817=0,"",B817)),CHAR(34),CHAR(92)&amp;CHAR(34))</f>
        <v>Bấm còi để họ đi nhanh hơn.</v>
      </c>
      <c r="K813" t="str">
        <f>SUBSTITUTE(SUBSTITUTE(SUBSTITUTE(SUBSTITUTE(IFERROR(VLOOKUP("Câu "&amp;D813&amp;".",dapan!$E:$J,6,0),""),"1","A"),"2","B"),"3","C"),"4","D")</f>
        <v/>
      </c>
      <c r="P813" t="str">
        <f t="shared" si="43"/>
        <v/>
      </c>
      <c r="Q813" t="str">
        <f t="shared" si="44"/>
        <v/>
      </c>
    </row>
    <row r="814" spans="1:17" hidden="1" x14ac:dyDescent="0.25">
      <c r="A814">
        <v>3</v>
      </c>
      <c r="B814" t="s">
        <v>77</v>
      </c>
      <c r="C814">
        <f>IFERROR(COUNTIFS($A$1:A814,"Câu "&amp;"*")-MID(A814,5,FIND(".",A814,1)-5),0)</f>
        <v>0</v>
      </c>
      <c r="D814" t="str">
        <f t="shared" si="45"/>
        <v/>
      </c>
      <c r="E814" t="str">
        <f>SUBSTITUTE(IF(LEFT(A814,3)="Câu",MID(A814,FIND(".",A814,1)+2,LEN(A814)),""),CHAR(34),CHAR(92)&amp;CHAR(34))</f>
        <v/>
      </c>
      <c r="G814" t="str">
        <f>SUBSTITUTE(B815,CHAR(34),CHAR(92)&amp;CHAR(34))</f>
        <v/>
      </c>
      <c r="H814" t="str">
        <f>SUBSTITUTE(B816,CHAR(34),CHAR(92)&amp;CHAR(34))</f>
        <v xml:space="preserve"> Giảm tốc độ và nhường đường cho người đi bộ.</v>
      </c>
      <c r="I814" t="str">
        <f>SUBSTITUTE(IF(LEFT(A817,3)="Câu","",B817),CHAR(34),CHAR(92)&amp;CHAR(34))</f>
        <v>Bấm còi để họ đi nhanh hơn.</v>
      </c>
      <c r="J814" t="str">
        <f>SUBSTITUTE(IF(OR(LEFT(A818,3)="Câu",I814=""),"",IF(B818=0,"",B818)),CHAR(34),CHAR(92)&amp;CHAR(34))</f>
        <v>Tiếp tục đi nếu đang vội.</v>
      </c>
      <c r="K814" t="str">
        <f>SUBSTITUTE(SUBSTITUTE(SUBSTITUTE(SUBSTITUTE(IFERROR(VLOOKUP("Câu "&amp;D814&amp;".",dapan!$E:$J,6,0),""),"1","A"),"2","B"),"3","C"),"4","D")</f>
        <v/>
      </c>
      <c r="P814" t="str">
        <f t="shared" si="43"/>
        <v/>
      </c>
      <c r="Q814" t="str">
        <f t="shared" si="44"/>
        <v/>
      </c>
    </row>
    <row r="815" spans="1:17" x14ac:dyDescent="0.25">
      <c r="A815" t="s">
        <v>691</v>
      </c>
      <c r="C815">
        <f>IFERROR(COUNTIFS($A$1:A815,"Câu "&amp;"*")-MID(A815,5,FIND(".",A815,1)-5),0)</f>
        <v>0</v>
      </c>
      <c r="D815">
        <f t="shared" si="45"/>
        <v>198</v>
      </c>
      <c r="E815" t="str">
        <f>SUBSTITUTE(IF(LEFT(A815,3)="Câu",MID(A815,FIND(".",A815,1)+2,LEN(A815)),""),CHAR(34),CHAR(92)&amp;CHAR(34))</f>
        <v>Khi đang lái xe, thấy một người đi bộ đang sang đường trên vạch kẻ đường dành cho người đi bộ, người lái xe nên làm gì?</v>
      </c>
      <c r="G815" t="str">
        <f>SUBSTITUTE(B816,CHAR(34),CHAR(92)&amp;CHAR(34))</f>
        <v xml:space="preserve"> Giảm tốc độ và nhường đường cho người đi bộ.</v>
      </c>
      <c r="H815" t="str">
        <f>SUBSTITUTE(B817,CHAR(34),CHAR(92)&amp;CHAR(34))</f>
        <v>Bấm còi để họ đi nhanh hơn.</v>
      </c>
      <c r="I815" t="str">
        <f>SUBSTITUTE(IF(LEFT(A818,3)="Câu","",B818),CHAR(34),CHAR(92)&amp;CHAR(34))</f>
        <v>Tiếp tục đi nếu đang vội.</v>
      </c>
      <c r="J815" t="str">
        <f>SUBSTITUTE(IF(OR(LEFT(A819,3)="Câu",I815=""),"",IF(B819=0,"",B819)),CHAR(34),CHAR(92)&amp;CHAR(34))</f>
        <v>Vượt qua nếu thấy khoảng trống đủ rộng.</v>
      </c>
      <c r="K815" t="str">
        <f ca="1">SUBSTITUTE(SUBSTITUTE(SUBSTITUTE(SUBSTITUTE(IFERROR(VLOOKUP("Câu "&amp;D815&amp;".",dapan!$E:$J,6,0),""),"1","A"),"2","B"),"3","C"),"4","D")</f>
        <v>A</v>
      </c>
      <c r="P815">
        <f t="shared" si="43"/>
        <v>198</v>
      </c>
      <c r="Q815" t="str">
        <f t="shared" ca="1" si="44"/>
        <v>{"num":198,"id":198,"q":"Khi đang lái xe, thấy một người đi bộ đang sang đường trên vạch kẻ đường dành cho người đi bộ, người lái xe nên làm gì?","opts":{"A":" Giảm tốc độ và nhường đường cho người đi bộ.","B":"Bấm còi để họ đi nhanh hơn.","C":"Tiếp tục đi nếu đang vội.","D":"Vượt qua nếu thấy khoảng trống đủ rộng."},"answer":"A"},</v>
      </c>
    </row>
    <row r="816" spans="1:17" hidden="1" x14ac:dyDescent="0.25">
      <c r="A816">
        <v>1</v>
      </c>
      <c r="B816" t="s">
        <v>692</v>
      </c>
      <c r="C816">
        <f>IFERROR(COUNTIFS($A$1:A816,"Câu "&amp;"*")-MID(A816,5,FIND(".",A816,1)-5),0)</f>
        <v>0</v>
      </c>
      <c r="D816" t="str">
        <f t="shared" si="45"/>
        <v/>
      </c>
      <c r="E816" t="str">
        <f>SUBSTITUTE(IF(LEFT(A816,3)="Câu",MID(A816,FIND(".",A816,1)+2,LEN(A816)),""),CHAR(34),CHAR(92)&amp;CHAR(34))</f>
        <v/>
      </c>
      <c r="G816" t="str">
        <f>SUBSTITUTE(B817,CHAR(34),CHAR(92)&amp;CHAR(34))</f>
        <v>Bấm còi để họ đi nhanh hơn.</v>
      </c>
      <c r="H816" t="str">
        <f>SUBSTITUTE(B818,CHAR(34),CHAR(92)&amp;CHAR(34))</f>
        <v>Tiếp tục đi nếu đang vội.</v>
      </c>
      <c r="I816" t="str">
        <f>SUBSTITUTE(IF(LEFT(A819,3)="Câu","",B819),CHAR(34),CHAR(92)&amp;CHAR(34))</f>
        <v>Vượt qua nếu thấy khoảng trống đủ rộng.</v>
      </c>
      <c r="J816" t="str">
        <f>SUBSTITUTE(IF(OR(LEFT(A820,3)="Câu",I816=""),"",IF(B820=0,"",B820)),CHAR(34),CHAR(92)&amp;CHAR(34))</f>
        <v/>
      </c>
      <c r="K816" t="str">
        <f>SUBSTITUTE(SUBSTITUTE(SUBSTITUTE(SUBSTITUTE(IFERROR(VLOOKUP("Câu "&amp;D816&amp;".",dapan!$E:$J,6,0),""),"1","A"),"2","B"),"3","C"),"4","D")</f>
        <v/>
      </c>
      <c r="P816" t="str">
        <f t="shared" si="43"/>
        <v/>
      </c>
      <c r="Q816" t="str">
        <f t="shared" si="44"/>
        <v/>
      </c>
    </row>
    <row r="817" spans="1:17" hidden="1" x14ac:dyDescent="0.25">
      <c r="A817">
        <v>2</v>
      </c>
      <c r="B817" t="s">
        <v>693</v>
      </c>
      <c r="C817">
        <f>IFERROR(COUNTIFS($A$1:A817,"Câu "&amp;"*")-MID(A817,5,FIND(".",A817,1)-5),0)</f>
        <v>0</v>
      </c>
      <c r="D817" t="str">
        <f t="shared" si="45"/>
        <v/>
      </c>
      <c r="E817" t="str">
        <f>SUBSTITUTE(IF(LEFT(A817,3)="Câu",MID(A817,FIND(".",A817,1)+2,LEN(A817)),""),CHAR(34),CHAR(92)&amp;CHAR(34))</f>
        <v/>
      </c>
      <c r="G817" t="str">
        <f>SUBSTITUTE(B818,CHAR(34),CHAR(92)&amp;CHAR(34))</f>
        <v>Tiếp tục đi nếu đang vội.</v>
      </c>
      <c r="H817" t="str">
        <f>SUBSTITUTE(B819,CHAR(34),CHAR(92)&amp;CHAR(34))</f>
        <v>Vượt qua nếu thấy khoảng trống đủ rộng.</v>
      </c>
      <c r="I817" t="str">
        <f>SUBSTITUTE(IF(LEFT(A820,3)="Câu","",B820),CHAR(34),CHAR(92)&amp;CHAR(34))</f>
        <v/>
      </c>
      <c r="J817" t="str">
        <f>SUBSTITUTE(IF(OR(LEFT(A821,3)="Câu",I817=""),"",IF(B821=0,"",B821)),CHAR(34),CHAR(92)&amp;CHAR(34))</f>
        <v/>
      </c>
      <c r="K817" t="str">
        <f>SUBSTITUTE(SUBSTITUTE(SUBSTITUTE(SUBSTITUTE(IFERROR(VLOOKUP("Câu "&amp;D817&amp;".",dapan!$E:$J,6,0),""),"1","A"),"2","B"),"3","C"),"4","D")</f>
        <v/>
      </c>
      <c r="P817" t="str">
        <f t="shared" si="43"/>
        <v/>
      </c>
      <c r="Q817" t="str">
        <f t="shared" si="44"/>
        <v/>
      </c>
    </row>
    <row r="818" spans="1:17" hidden="1" x14ac:dyDescent="0.25">
      <c r="A818">
        <v>3</v>
      </c>
      <c r="B818" t="s">
        <v>694</v>
      </c>
      <c r="C818">
        <f>IFERROR(COUNTIFS($A$1:A818,"Câu "&amp;"*")-MID(A818,5,FIND(".",A818,1)-5),0)</f>
        <v>0</v>
      </c>
      <c r="D818" t="str">
        <f t="shared" si="45"/>
        <v/>
      </c>
      <c r="E818" t="str">
        <f>SUBSTITUTE(IF(LEFT(A818,3)="Câu",MID(A818,FIND(".",A818,1)+2,LEN(A818)),""),CHAR(34),CHAR(92)&amp;CHAR(34))</f>
        <v/>
      </c>
      <c r="G818" t="str">
        <f>SUBSTITUTE(B819,CHAR(34),CHAR(92)&amp;CHAR(34))</f>
        <v>Vượt qua nếu thấy khoảng trống đủ rộng.</v>
      </c>
      <c r="H818" t="str">
        <f>SUBSTITUTE(B820,CHAR(34),CHAR(92)&amp;CHAR(34))</f>
        <v/>
      </c>
      <c r="I818" t="str">
        <f>SUBSTITUTE(IF(LEFT(A821,3)="Câu","",B821),CHAR(34),CHAR(92)&amp;CHAR(34))</f>
        <v>Chạy đi để tránh rắc rối.</v>
      </c>
      <c r="J818" t="str">
        <f>SUBSTITUTE(IF(OR(LEFT(A822,3)="Câu",I818=""),"",IF(B822=0,"",B822)),CHAR(34),CHAR(92)&amp;CHAR(34))</f>
        <v xml:space="preserve"> Dừng xe, hỗ trợ nạn nhân và báo cho cơ quan chức năng.</v>
      </c>
      <c r="K818" t="str">
        <f>SUBSTITUTE(SUBSTITUTE(SUBSTITUTE(SUBSTITUTE(IFERROR(VLOOKUP("Câu "&amp;D818&amp;".",dapan!$E:$J,6,0),""),"1","A"),"2","B"),"3","C"),"4","D")</f>
        <v/>
      </c>
      <c r="P818" t="str">
        <f t="shared" si="43"/>
        <v/>
      </c>
      <c r="Q818" t="str">
        <f t="shared" si="44"/>
        <v/>
      </c>
    </row>
    <row r="819" spans="1:17" hidden="1" x14ac:dyDescent="0.25">
      <c r="A819">
        <v>4</v>
      </c>
      <c r="B819" t="s">
        <v>695</v>
      </c>
      <c r="C819">
        <f>IFERROR(COUNTIFS($A$1:A819,"Câu "&amp;"*")-MID(A819,5,FIND(".",A819,1)-5),0)</f>
        <v>0</v>
      </c>
      <c r="D819" t="str">
        <f t="shared" si="45"/>
        <v/>
      </c>
      <c r="E819" t="str">
        <f>SUBSTITUTE(IF(LEFT(A819,3)="Câu",MID(A819,FIND(".",A819,1)+2,LEN(A819)),""),CHAR(34),CHAR(92)&amp;CHAR(34))</f>
        <v/>
      </c>
      <c r="G819" t="str">
        <f>SUBSTITUTE(B820,CHAR(34),CHAR(92)&amp;CHAR(34))</f>
        <v/>
      </c>
      <c r="H819" t="str">
        <f>SUBSTITUTE(B821,CHAR(34),CHAR(92)&amp;CHAR(34))</f>
        <v>Chạy đi để tránh rắc rối.</v>
      </c>
      <c r="I819" t="str">
        <f>SUBSTITUTE(IF(LEFT(A822,3)="Câu","",B822),CHAR(34),CHAR(92)&amp;CHAR(34))</f>
        <v xml:space="preserve"> Dừng xe, hỗ trợ nạn nhân và báo cho cơ quan chức năng.</v>
      </c>
      <c r="J819" t="str">
        <f>SUBSTITUTE(IF(OR(LEFT(A823,3)="Câu",I819=""),"",IF(B823=0,"",B823)),CHAR(34),CHAR(92)&amp;CHAR(34))</f>
        <v>Chỉ quan sát rồi tiếp tục di chuyển.</v>
      </c>
      <c r="K819" t="str">
        <f>SUBSTITUTE(SUBSTITUTE(SUBSTITUTE(SUBSTITUTE(IFERROR(VLOOKUP("Câu "&amp;D819&amp;".",dapan!$E:$J,6,0),""),"1","A"),"2","B"),"3","C"),"4","D")</f>
        <v/>
      </c>
      <c r="P819" t="str">
        <f t="shared" si="43"/>
        <v/>
      </c>
      <c r="Q819" t="str">
        <f t="shared" si="44"/>
        <v/>
      </c>
    </row>
    <row r="820" spans="1:17" x14ac:dyDescent="0.25">
      <c r="A820" t="s">
        <v>696</v>
      </c>
      <c r="C820">
        <f>IFERROR(COUNTIFS($A$1:A820,"Câu "&amp;"*")-MID(A820,5,FIND(".",A820,1)-5),0)</f>
        <v>0</v>
      </c>
      <c r="D820">
        <f t="shared" si="45"/>
        <v>199</v>
      </c>
      <c r="E820" t="str">
        <f>SUBSTITUTE(IF(LEFT(A820,3)="Câu",MID(A820,FIND(".",A820,1)+2,LEN(A820)),""),CHAR(34),CHAR(92)&amp;CHAR(34))</f>
        <v>Khi gặp vụ tai nạn giao thông, người lái xe nên hành động như thế nào?</v>
      </c>
      <c r="G820" t="str">
        <f>SUBSTITUTE(B821,CHAR(34),CHAR(92)&amp;CHAR(34))</f>
        <v>Chạy đi để tránh rắc rối.</v>
      </c>
      <c r="H820" t="str">
        <f>SUBSTITUTE(B822,CHAR(34),CHAR(92)&amp;CHAR(34))</f>
        <v xml:space="preserve"> Dừng xe, hỗ trợ nạn nhân và báo cho cơ quan chức năng.</v>
      </c>
      <c r="I820" t="str">
        <f>SUBSTITUTE(IF(LEFT(A823,3)="Câu","",B823),CHAR(34),CHAR(92)&amp;CHAR(34))</f>
        <v>Chỉ quan sát rồi tiếp tục di chuyển.</v>
      </c>
      <c r="J820" t="str">
        <f>SUBSTITUTE(IF(OR(LEFT(A824,3)="Câu",I820=""),"",IF(B824=0,"",B824)),CHAR(34),CHAR(92)&amp;CHAR(34))</f>
        <v>Chỉ giúp đỡ nếu có người thân trong vụ tai nạn.</v>
      </c>
      <c r="K820" t="str">
        <f ca="1">SUBSTITUTE(SUBSTITUTE(SUBSTITUTE(SUBSTITUTE(IFERROR(VLOOKUP("Câu "&amp;D820&amp;".",dapan!$E:$J,6,0),""),"1","A"),"2","B"),"3","C"),"4","D")</f>
        <v>B</v>
      </c>
      <c r="P820">
        <f t="shared" si="43"/>
        <v>199</v>
      </c>
      <c r="Q820" t="str">
        <f t="shared" ca="1" si="44"/>
        <v>{"num":199,"id":199,"q":"Khi gặp vụ tai nạn giao thông, người lái xe nên hành động như thế nào?","opts":{"A":"Chạy đi để tránh rắc rối.","B":" Dừng xe, hỗ trợ nạn nhân và báo cho cơ quan chức năng.","C":"Chỉ quan sát rồi tiếp tục di chuyển.","D":"Chỉ giúp đỡ nếu có người thân trong vụ tai nạn."},"answer":"B"},</v>
      </c>
    </row>
    <row r="821" spans="1:17" hidden="1" x14ac:dyDescent="0.25">
      <c r="A821">
        <v>1</v>
      </c>
      <c r="B821" t="s">
        <v>697</v>
      </c>
      <c r="C821">
        <f>IFERROR(COUNTIFS($A$1:A821,"Câu "&amp;"*")-MID(A821,5,FIND(".",A821,1)-5),0)</f>
        <v>0</v>
      </c>
      <c r="D821" t="str">
        <f t="shared" si="45"/>
        <v/>
      </c>
      <c r="E821" t="str">
        <f>SUBSTITUTE(IF(LEFT(A821,3)="Câu",MID(A821,FIND(".",A821,1)+2,LEN(A821)),""),CHAR(34),CHAR(92)&amp;CHAR(34))</f>
        <v/>
      </c>
      <c r="G821" t="str">
        <f>SUBSTITUTE(B822,CHAR(34),CHAR(92)&amp;CHAR(34))</f>
        <v xml:space="preserve"> Dừng xe, hỗ trợ nạn nhân và báo cho cơ quan chức năng.</v>
      </c>
      <c r="H821" t="str">
        <f>SUBSTITUTE(B823,CHAR(34),CHAR(92)&amp;CHAR(34))</f>
        <v>Chỉ quan sát rồi tiếp tục di chuyển.</v>
      </c>
      <c r="I821" t="str">
        <f>SUBSTITUTE(IF(LEFT(A824,3)="Câu","",B824),CHAR(34),CHAR(92)&amp;CHAR(34))</f>
        <v>Chỉ giúp đỡ nếu có người thân trong vụ tai nạn.</v>
      </c>
      <c r="J821" t="str">
        <f>SUBSTITUTE(IF(OR(LEFT(A825,3)="Câu",I821=""),"",IF(B825=0,"",B825)),CHAR(34),CHAR(92)&amp;CHAR(34))</f>
        <v/>
      </c>
      <c r="K821" t="str">
        <f>SUBSTITUTE(SUBSTITUTE(SUBSTITUTE(SUBSTITUTE(IFERROR(VLOOKUP("Câu "&amp;D821&amp;".",dapan!$E:$J,6,0),""),"1","A"),"2","B"),"3","C"),"4","D")</f>
        <v/>
      </c>
      <c r="P821" t="str">
        <f t="shared" si="43"/>
        <v/>
      </c>
      <c r="Q821" t="str">
        <f t="shared" si="44"/>
        <v/>
      </c>
    </row>
    <row r="822" spans="1:17" hidden="1" x14ac:dyDescent="0.25">
      <c r="A822">
        <v>2</v>
      </c>
      <c r="B822" t="s">
        <v>698</v>
      </c>
      <c r="C822">
        <f>IFERROR(COUNTIFS($A$1:A822,"Câu "&amp;"*")-MID(A822,5,FIND(".",A822,1)-5),0)</f>
        <v>0</v>
      </c>
      <c r="D822" t="str">
        <f t="shared" si="45"/>
        <v/>
      </c>
      <c r="E822" t="str">
        <f>SUBSTITUTE(IF(LEFT(A822,3)="Câu",MID(A822,FIND(".",A822,1)+2,LEN(A822)),""),CHAR(34),CHAR(92)&amp;CHAR(34))</f>
        <v/>
      </c>
      <c r="G822" t="str">
        <f>SUBSTITUTE(B823,CHAR(34),CHAR(92)&amp;CHAR(34))</f>
        <v>Chỉ quan sát rồi tiếp tục di chuyển.</v>
      </c>
      <c r="H822" t="str">
        <f>SUBSTITUTE(B824,CHAR(34),CHAR(92)&amp;CHAR(34))</f>
        <v>Chỉ giúp đỡ nếu có người thân trong vụ tai nạn.</v>
      </c>
      <c r="I822" t="str">
        <f>SUBSTITUTE(IF(LEFT(A825,3)="Câu","",B825),CHAR(34),CHAR(92)&amp;CHAR(34))</f>
        <v/>
      </c>
      <c r="J822" t="str">
        <f>SUBSTITUTE(IF(OR(LEFT(A826,3)="Câu",I822=""),"",IF(B826=0,"",B826)),CHAR(34),CHAR(92)&amp;CHAR(34))</f>
        <v/>
      </c>
      <c r="K822" t="str">
        <f>SUBSTITUTE(SUBSTITUTE(SUBSTITUTE(SUBSTITUTE(IFERROR(VLOOKUP("Câu "&amp;D822&amp;".",dapan!$E:$J,6,0),""),"1","A"),"2","B"),"3","C"),"4","D")</f>
        <v/>
      </c>
      <c r="P822" t="str">
        <f t="shared" si="43"/>
        <v/>
      </c>
      <c r="Q822" t="str">
        <f t="shared" si="44"/>
        <v/>
      </c>
    </row>
    <row r="823" spans="1:17" hidden="1" x14ac:dyDescent="0.25">
      <c r="A823">
        <v>3</v>
      </c>
      <c r="B823" t="s">
        <v>699</v>
      </c>
      <c r="C823">
        <f>IFERROR(COUNTIFS($A$1:A823,"Câu "&amp;"*")-MID(A823,5,FIND(".",A823,1)-5),0)</f>
        <v>0</v>
      </c>
      <c r="D823" t="str">
        <f t="shared" si="45"/>
        <v/>
      </c>
      <c r="E823" t="str">
        <f>SUBSTITUTE(IF(LEFT(A823,3)="Câu",MID(A823,FIND(".",A823,1)+2,LEN(A823)),""),CHAR(34),CHAR(92)&amp;CHAR(34))</f>
        <v/>
      </c>
      <c r="G823" t="str">
        <f>SUBSTITUTE(B824,CHAR(34),CHAR(92)&amp;CHAR(34))</f>
        <v>Chỉ giúp đỡ nếu có người thân trong vụ tai nạn.</v>
      </c>
      <c r="H823" t="str">
        <f>SUBSTITUTE(B825,CHAR(34),CHAR(92)&amp;CHAR(34))</f>
        <v/>
      </c>
      <c r="I823" t="str">
        <f>SUBSTITUTE(IF(LEFT(A826,3)="Câu","",B826),CHAR(34),CHAR(92)&amp;CHAR(34))</f>
        <v>Cho xe lấn sang làn ngược chiều để nhanh chóng thoát khỏi nơi ùn tắc.</v>
      </c>
      <c r="J823" t="str">
        <f>SUBSTITUTE(IF(OR(LEFT(A827,3)="Câu",I823=""),"",IF(B827=0,"",B827)),CHAR(34),CHAR(92)&amp;CHAR(34))</f>
        <v>Điều khiển xe trên vỉa hè để nhanh chóng thoát khỏi nơi ùn tắc.</v>
      </c>
      <c r="K823" t="str">
        <f>SUBSTITUTE(SUBSTITUTE(SUBSTITUTE(SUBSTITUTE(IFERROR(VLOOKUP("Câu "&amp;D823&amp;".",dapan!$E:$J,6,0),""),"1","A"),"2","B"),"3","C"),"4","D")</f>
        <v/>
      </c>
      <c r="P823" t="str">
        <f t="shared" si="43"/>
        <v/>
      </c>
      <c r="Q823" t="str">
        <f t="shared" si="44"/>
        <v/>
      </c>
    </row>
    <row r="824" spans="1:17" hidden="1" x14ac:dyDescent="0.25">
      <c r="A824">
        <v>4</v>
      </c>
      <c r="B824" t="s">
        <v>700</v>
      </c>
      <c r="C824">
        <f>IFERROR(COUNTIFS($A$1:A824,"Câu "&amp;"*")-MID(A824,5,FIND(".",A824,1)-5),0)</f>
        <v>0</v>
      </c>
      <c r="D824" t="str">
        <f t="shared" si="45"/>
        <v/>
      </c>
      <c r="E824" t="str">
        <f>SUBSTITUTE(IF(LEFT(A824,3)="Câu",MID(A824,FIND(".",A824,1)+2,LEN(A824)),""),CHAR(34),CHAR(92)&amp;CHAR(34))</f>
        <v/>
      </c>
      <c r="G824" t="str">
        <f>SUBSTITUTE(B825,CHAR(34),CHAR(92)&amp;CHAR(34))</f>
        <v/>
      </c>
      <c r="H824" t="str">
        <f>SUBSTITUTE(B826,CHAR(34),CHAR(92)&amp;CHAR(34))</f>
        <v>Cho xe lấn sang làn ngược chiều để nhanh chóng thoát khỏi nơi ùn tắc.</v>
      </c>
      <c r="I824" t="str">
        <f>SUBSTITUTE(IF(LEFT(A827,3)="Câu","",B827),CHAR(34),CHAR(92)&amp;CHAR(34))</f>
        <v>Điều khiển xe trên vỉa hè để nhanh chóng thoát khỏi nơi ùn tắc.</v>
      </c>
      <c r="J824" t="str">
        <f>SUBSTITUTE(IF(OR(LEFT(A828,3)="Câu",I824=""),"",IF(B828=0,"",B828)),CHAR(34),CHAR(92)&amp;CHAR(34))</f>
        <v xml:space="preserve"> Kiên nhẫn tuân thủ hướng dẫn của người điều khiển giao thông hoặc tín hiệu đèn giao thông, di chuyển trên đúng phần đường bên phải theo chiều đi, nhường đường cho các phương tiện đi ngược chiều.</v>
      </c>
      <c r="K824" t="str">
        <f>SUBSTITUTE(SUBSTITUTE(SUBSTITUTE(SUBSTITUTE(IFERROR(VLOOKUP("Câu "&amp;D824&amp;".",dapan!$E:$J,6,0),""),"1","A"),"2","B"),"3","C"),"4","D")</f>
        <v/>
      </c>
      <c r="P824" t="str">
        <f t="shared" si="43"/>
        <v/>
      </c>
      <c r="Q824" t="str">
        <f t="shared" si="44"/>
        <v/>
      </c>
    </row>
    <row r="825" spans="1:17" x14ac:dyDescent="0.25">
      <c r="A825" t="s">
        <v>701</v>
      </c>
      <c r="C825">
        <f>IFERROR(COUNTIFS($A$1:A825,"Câu "&amp;"*")-MID(A825,5,FIND(".",A825,1)-5),0)</f>
        <v>0</v>
      </c>
      <c r="D825">
        <f t="shared" si="45"/>
        <v>200</v>
      </c>
      <c r="E825" t="str">
        <f>SUBSTITUTE(IF(LEFT(A825,3)="Câu",MID(A825,FIND(".",A825,1)+2,LEN(A825)),""),CHAR(34),CHAR(92)&amp;CHAR(34))</f>
        <v>Trong đoạn đường hai chiều tại khu đông dân cư đang ùn tắc, người điều khiển xe mô tô có văn hóa giao thông sẽ lựa chọn cách xử lý tình huống nào dưới đây?</v>
      </c>
      <c r="G825" t="str">
        <f>SUBSTITUTE(B826,CHAR(34),CHAR(92)&amp;CHAR(34))</f>
        <v>Cho xe lấn sang làn ngược chiều để nhanh chóng thoát khỏi nơi ùn tắc.</v>
      </c>
      <c r="H825" t="str">
        <f>SUBSTITUTE(B827,CHAR(34),CHAR(92)&amp;CHAR(34))</f>
        <v>Điều khiển xe trên vỉa hè để nhanh chóng thoát khỏi nơi ùn tắc.</v>
      </c>
      <c r="I825" t="str">
        <f>SUBSTITUTE(IF(LEFT(A828,3)="Câu","",B828),CHAR(34),CHAR(92)&amp;CHAR(34))</f>
        <v xml:space="preserve"> Kiên nhẫn tuân thủ hướng dẫn của người điều khiển giao thông hoặc tín hiệu đèn giao thông, di chuyển trên đúng phần đường bên phải theo chiều đi, nhường đường cho các phương tiện đi ngược chiều.</v>
      </c>
      <c r="J825" t="str">
        <f>SUBSTITUTE(IF(OR(LEFT(A829,3)="Câu",I825=""),"",IF(B829=0,"",B829)),CHAR(34),CHAR(92)&amp;CHAR(34))</f>
        <v/>
      </c>
      <c r="K825" t="str">
        <f ca="1">SUBSTITUTE(SUBSTITUTE(SUBSTITUTE(SUBSTITUTE(IFERROR(VLOOKUP("Câu "&amp;D825&amp;".",dapan!$E:$J,6,0),""),"1","A"),"2","B"),"3","C"),"4","D")</f>
        <v>C</v>
      </c>
      <c r="P825">
        <f t="shared" si="43"/>
        <v>200</v>
      </c>
      <c r="Q825" t="str">
        <f t="shared" ca="1" si="44"/>
        <v>{"num":200,"id":200,"q":"Trong đoạn đường hai chiều tại khu đông dân cư đang ùn tắc, người điều khiển xe mô tô có văn hóa giao thông sẽ lựa chọn cách xử lý tình huống nào dưới đây?","opts":{"A":"Cho xe lấn sang làn ngược chiều để nhanh chóng thoát khỏi nơi ùn tắc.","B":"Điều khiển xe trên vỉa hè để nhanh chóng thoát khỏi nơi ùn tắc.","C":" Kiên nhẫn tuân thủ hướng dẫn của người điều khiển giao thông hoặc tín hiệu đèn giao thông, di chuyển trên đúng phần đường bên phải theo chiều đi, nhường đường cho các phương tiện đi ngược chiều."},"answer":"C"},</v>
      </c>
    </row>
    <row r="826" spans="1:17" hidden="1" x14ac:dyDescent="0.25">
      <c r="A826">
        <v>1</v>
      </c>
      <c r="B826" t="s">
        <v>702</v>
      </c>
      <c r="C826">
        <f>IFERROR(COUNTIFS($A$1:A826,"Câu "&amp;"*")-MID(A826,5,FIND(".",A826,1)-5),0)</f>
        <v>0</v>
      </c>
      <c r="D826" t="str">
        <f t="shared" si="45"/>
        <v/>
      </c>
      <c r="E826" t="str">
        <f>SUBSTITUTE(IF(LEFT(A826,3)="Câu",MID(A826,FIND(".",A826,1)+2,LEN(A826)),""),CHAR(34),CHAR(92)&amp;CHAR(34))</f>
        <v/>
      </c>
      <c r="G826" t="str">
        <f>SUBSTITUTE(B827,CHAR(34),CHAR(92)&amp;CHAR(34))</f>
        <v>Điều khiển xe trên vỉa hè để nhanh chóng thoát khỏi nơi ùn tắc.</v>
      </c>
      <c r="H826" t="str">
        <f>SUBSTITUTE(B828,CHAR(34),CHAR(92)&amp;CHAR(34))</f>
        <v xml:space="preserve"> Kiên nhẫn tuân thủ hướng dẫn của người điều khiển giao thông hoặc tín hiệu đèn giao thông, di chuyển trên đúng phần đường bên phải theo chiều đi, nhường đường cho các phương tiện đi ngược chiều.</v>
      </c>
      <c r="I826" t="str">
        <f>SUBSTITUTE(IF(LEFT(A829,3)="Câu","",B829),CHAR(34),CHAR(92)&amp;CHAR(34))</f>
        <v/>
      </c>
      <c r="J826" t="str">
        <f>SUBSTITUTE(IF(OR(LEFT(A830,3)="Câu",I826=""),"",IF(B830=0,"",B830)),CHAR(34),CHAR(92)&amp;CHAR(34))</f>
        <v/>
      </c>
      <c r="K826" t="str">
        <f>SUBSTITUTE(SUBSTITUTE(SUBSTITUTE(SUBSTITUTE(IFERROR(VLOOKUP("Câu "&amp;D826&amp;".",dapan!$E:$J,6,0),""),"1","A"),"2","B"),"3","C"),"4","D")</f>
        <v/>
      </c>
      <c r="P826" t="str">
        <f t="shared" si="43"/>
        <v/>
      </c>
      <c r="Q826" t="str">
        <f t="shared" si="44"/>
        <v/>
      </c>
    </row>
    <row r="827" spans="1:17" hidden="1" x14ac:dyDescent="0.25">
      <c r="A827">
        <v>2</v>
      </c>
      <c r="B827" t="s">
        <v>703</v>
      </c>
      <c r="C827">
        <f>IFERROR(COUNTIFS($A$1:A827,"Câu "&amp;"*")-MID(A827,5,FIND(".",A827,1)-5),0)</f>
        <v>0</v>
      </c>
      <c r="D827" t="str">
        <f t="shared" si="45"/>
        <v/>
      </c>
      <c r="E827" t="str">
        <f>SUBSTITUTE(IF(LEFT(A827,3)="Câu",MID(A827,FIND(".",A827,1)+2,LEN(A827)),""),CHAR(34),CHAR(92)&amp;CHAR(34))</f>
        <v/>
      </c>
      <c r="G827" t="str">
        <f>SUBSTITUTE(B828,CHAR(34),CHAR(92)&amp;CHAR(34))</f>
        <v xml:space="preserve"> Kiên nhẫn tuân thủ hướng dẫn của người điều khiển giao thông hoặc tín hiệu đèn giao thông, di chuyển trên đúng phần đường bên phải theo chiều đi, nhường đường cho các phương tiện đi ngược chiều.</v>
      </c>
      <c r="H827" t="str">
        <f>SUBSTITUTE(B829,CHAR(34),CHAR(92)&amp;CHAR(34))</f>
        <v/>
      </c>
      <c r="I827" t="str">
        <f>SUBSTITUTE(IF(LEFT(A830,3)="Câu","",B830),CHAR(34),CHAR(92)&amp;CHAR(34))</f>
        <v xml:space="preserve"> Bấm còi liên tục thúc giục các phương tiện phía trước nhường đường; đi trên vỉa hè, tận dụng mọi khoảng trống để nhanh chóng thoát khỏi nơi ùn tắc; lấn sang trái đường cố gắng vượt lên xe khác.</v>
      </c>
      <c r="J827" t="str">
        <f>SUBSTITUTE(IF(OR(LEFT(A831,3)="Câu",I827=""),"",IF(B831=0,"",B831)),CHAR(34),CHAR(92)&amp;CHAR(34))</f>
        <v>Tuân thủ hướng dẫn của người điều khiển giao thông hoặc tín hiệu giao thông, đi đúng phần đường, làn đường quy định.</v>
      </c>
      <c r="K827" t="str">
        <f>SUBSTITUTE(SUBSTITUTE(SUBSTITUTE(SUBSTITUTE(IFERROR(VLOOKUP("Câu "&amp;D827&amp;".",dapan!$E:$J,6,0),""),"1","A"),"2","B"),"3","C"),"4","D")</f>
        <v/>
      </c>
      <c r="P827" t="str">
        <f t="shared" si="43"/>
        <v/>
      </c>
      <c r="Q827" t="str">
        <f t="shared" si="44"/>
        <v/>
      </c>
    </row>
    <row r="828" spans="1:17" hidden="1" x14ac:dyDescent="0.25">
      <c r="A828">
        <v>3</v>
      </c>
      <c r="B828" t="s">
        <v>704</v>
      </c>
      <c r="C828">
        <f>IFERROR(COUNTIFS($A$1:A828,"Câu "&amp;"*")-MID(A828,5,FIND(".",A828,1)-5),0)</f>
        <v>0</v>
      </c>
      <c r="D828" t="str">
        <f t="shared" si="45"/>
        <v/>
      </c>
      <c r="E828" t="str">
        <f>SUBSTITUTE(IF(LEFT(A828,3)="Câu",MID(A828,FIND(".",A828,1)+2,LEN(A828)),""),CHAR(34),CHAR(92)&amp;CHAR(34))</f>
        <v/>
      </c>
      <c r="G828" t="str">
        <f>SUBSTITUTE(B829,CHAR(34),CHAR(92)&amp;CHAR(34))</f>
        <v/>
      </c>
      <c r="H828" t="str">
        <f>SUBSTITUTE(B830,CHAR(34),CHAR(92)&amp;CHAR(34))</f>
        <v xml:space="preserve"> Bấm còi liên tục thúc giục các phương tiện phía trước nhường đường; đi trên vỉa hè, tận dụng mọi khoảng trống để nhanh chóng thoát khỏi nơi ùn tắc; lấn sang trái đường cố gắng vượt lên xe khác.</v>
      </c>
      <c r="I828" t="str">
        <f>SUBSTITUTE(IF(LEFT(A831,3)="Câu","",B831),CHAR(34),CHAR(92)&amp;CHAR(34))</f>
        <v>Tuân thủ hướng dẫn của người điều khiển giao thông hoặc tín hiệu giao thông, đi đúng phần đường, làn đường quy định.</v>
      </c>
      <c r="J828" t="str">
        <f>SUBSTITUTE(IF(OR(LEFT(A832,3)="Câu",I828=""),"",IF(B832=0,"",B832)),CHAR(34),CHAR(92)&amp;CHAR(34))</f>
        <v/>
      </c>
      <c r="K828" t="str">
        <f>SUBSTITUTE(SUBSTITUTE(SUBSTITUTE(SUBSTITUTE(IFERROR(VLOOKUP("Câu "&amp;D828&amp;".",dapan!$E:$J,6,0),""),"1","A"),"2","B"),"3","C"),"4","D")</f>
        <v/>
      </c>
      <c r="P828" t="str">
        <f t="shared" si="43"/>
        <v/>
      </c>
      <c r="Q828" t="str">
        <f t="shared" si="44"/>
        <v/>
      </c>
    </row>
    <row r="829" spans="1:17" x14ac:dyDescent="0.25">
      <c r="A829" t="s">
        <v>705</v>
      </c>
      <c r="C829">
        <f>IFERROR(COUNTIFS($A$1:A829,"Câu "&amp;"*")-MID(A829,5,FIND(".",A829,1)-5),0)</f>
        <v>0</v>
      </c>
      <c r="D829">
        <f t="shared" si="45"/>
        <v>201</v>
      </c>
      <c r="E829" t="str">
        <f>SUBSTITUTE(IF(LEFT(A829,3)="Câu",MID(A829,FIND(".",A829,1)+2,LEN(A829)),""),CHAR(34),CHAR(92)&amp;CHAR(34))</f>
        <v>Khi điều khiển phương tiện tham gia giao thông trên đoạn đường bộ đang xảy ra ùn tắc, những hành vi nào dưới đây là thiếu văn hóa?</v>
      </c>
      <c r="G829" t="str">
        <f>SUBSTITUTE(B830,CHAR(34),CHAR(92)&amp;CHAR(34))</f>
        <v xml:space="preserve"> Bấm còi liên tục thúc giục các phương tiện phía trước nhường đường; đi trên vỉa hè, tận dụng mọi khoảng trống để nhanh chóng thoát khỏi nơi ùn tắc; lấn sang trái đường cố gắng vượt lên xe khác.</v>
      </c>
      <c r="H829" t="str">
        <f>SUBSTITUTE(B831,CHAR(34),CHAR(92)&amp;CHAR(34))</f>
        <v>Tuân thủ hướng dẫn của người điều khiển giao thông hoặc tín hiệu giao thông, đi đúng phần đường, làn đường quy định.</v>
      </c>
      <c r="I829" t="str">
        <f>SUBSTITUTE(IF(LEFT(A832,3)="Câu","",B832),CHAR(34),CHAR(92)&amp;CHAR(34))</f>
        <v/>
      </c>
      <c r="J829" t="str">
        <f>SUBSTITUTE(IF(OR(LEFT(A833,3)="Câu",I829=""),"",IF(B833=0,"",B833)),CHAR(34),CHAR(92)&amp;CHAR(34))</f>
        <v/>
      </c>
      <c r="K829" t="str">
        <f ca="1">SUBSTITUTE(SUBSTITUTE(SUBSTITUTE(SUBSTITUTE(IFERROR(VLOOKUP("Câu "&amp;D829&amp;".",dapan!$E:$J,6,0),""),"1","A"),"2","B"),"3","C"),"4","D")</f>
        <v>A</v>
      </c>
      <c r="P829">
        <f t="shared" si="43"/>
        <v>201</v>
      </c>
      <c r="Q829" t="str">
        <f t="shared" ca="1" si="44"/>
        <v>{"num":201,"id":201,"q":"Khi điều khiển phương tiện tham gia giao thông trên đoạn đường bộ đang xảy ra ùn tắc, những hành vi nào dưới đây là thiếu văn hóa?","opts":{"A":" Bấm còi liên tục thúc giục các phương tiện phía trước nhường đường; đi trên vỉa hè, tận dụng mọi khoảng trống để nhanh chóng thoát khỏi nơi ùn tắc; lấn sang trái đường cố gắng vượt lên xe khác.","B":"Tuân thủ hướng dẫn của người điều khiển giao thông hoặc tín hiệu giao thông, đi đúng phần đường, làn đường quy định."},"answer":"A"},</v>
      </c>
    </row>
    <row r="830" spans="1:17" hidden="1" x14ac:dyDescent="0.25">
      <c r="A830">
        <v>1</v>
      </c>
      <c r="B830" t="s">
        <v>706</v>
      </c>
      <c r="C830">
        <f>IFERROR(COUNTIFS($A$1:A830,"Câu "&amp;"*")-MID(A830,5,FIND(".",A830,1)-5),0)</f>
        <v>0</v>
      </c>
      <c r="D830" t="str">
        <f t="shared" si="45"/>
        <v/>
      </c>
      <c r="E830" t="str">
        <f>SUBSTITUTE(IF(LEFT(A830,3)="Câu",MID(A830,FIND(".",A830,1)+2,LEN(A830)),""),CHAR(34),CHAR(92)&amp;CHAR(34))</f>
        <v/>
      </c>
      <c r="G830" t="str">
        <f>SUBSTITUTE(B831,CHAR(34),CHAR(92)&amp;CHAR(34))</f>
        <v>Tuân thủ hướng dẫn của người điều khiển giao thông hoặc tín hiệu giao thông, đi đúng phần đường, làn đường quy định.</v>
      </c>
      <c r="H830" t="str">
        <f>SUBSTITUTE(B832,CHAR(34),CHAR(92)&amp;CHAR(34))</f>
        <v/>
      </c>
      <c r="I830" t="str">
        <f>SUBSTITUTE(IF(LEFT(A833,3)="Câu","",B833),CHAR(34),CHAR(92)&amp;CHAR(34))</f>
        <v>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(khó nổ, có hơi xăng, có tiếng kêu bất thường, nhiệt độ của máy cao, có mùi khét) cần khắc phục ngay.</v>
      </c>
      <c r="J830" t="str">
        <f>SUBSTITUTE(IF(OR(LEFT(A834,3)="Câu",I830=""),"",IF(B834=0,"",B834)),CHAR(34),CHAR(92)&amp;CHAR(34))</f>
        <v>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có thể gây hỏng xe hoặc dẫn đến nguy cơ xảy ra cháy cao.</v>
      </c>
      <c r="K830" t="str">
        <f>SUBSTITUTE(SUBSTITUTE(SUBSTITUTE(SUBSTITUTE(IFERROR(VLOOKUP("Câu "&amp;D830&amp;".",dapan!$E:$J,6,0),""),"1","A"),"2","B"),"3","C"),"4","D")</f>
        <v/>
      </c>
      <c r="P830" t="str">
        <f t="shared" si="43"/>
        <v/>
      </c>
      <c r="Q830" t="str">
        <f t="shared" si="44"/>
        <v/>
      </c>
    </row>
    <row r="831" spans="1:17" hidden="1" x14ac:dyDescent="0.25">
      <c r="A831">
        <v>2</v>
      </c>
      <c r="B831" t="s">
        <v>707</v>
      </c>
      <c r="C831">
        <f>IFERROR(COUNTIFS($A$1:A831,"Câu "&amp;"*")-MID(A831,5,FIND(".",A831,1)-5),0)</f>
        <v>0</v>
      </c>
      <c r="D831" t="str">
        <f t="shared" si="45"/>
        <v/>
      </c>
      <c r="E831" t="str">
        <f>SUBSTITUTE(IF(LEFT(A831,3)="Câu",MID(A831,FIND(".",A831,1)+2,LEN(A831)),""),CHAR(34),CHAR(92)&amp;CHAR(34))</f>
        <v/>
      </c>
      <c r="G831" t="str">
        <f>SUBSTITUTE(B832,CHAR(34),CHAR(92)&amp;CHAR(34))</f>
        <v/>
      </c>
      <c r="H831" t="str">
        <f>SUBSTITUTE(B833,CHAR(34),CHAR(92)&amp;CHAR(34))</f>
        <v>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(khó nổ, có hơi xăng, có tiếng kêu bất thường, nhiệt độ của máy cao, có mùi khét) cần khắc phục ngay.</v>
      </c>
      <c r="I831" t="str">
        <f>SUBSTITUTE(IF(LEFT(A834,3)="Câu","",B834),CHAR(34),CHAR(92)&amp;CHAR(34))</f>
        <v>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có thể gây hỏng xe hoặc dẫn đến nguy cơ xảy ra cháy cao.</v>
      </c>
      <c r="J831" t="str">
        <f>SUBSTITUTE(IF(OR(LEFT(A835,3)="Câu",I831=""),"",IF(B835=0,"",B835)),CHAR(34),CHAR(92)&amp;CHAR(34))</f>
        <v>Không để các chất dễ cháy, dễ bắt lửa trong xe, dưới yên xe, trong cốp xe, trong khoang động cơ. Đối với xe điện cần chọn địa điểm sạc an toàn, sử dụng các thiết bị sạc đúng cách và giám sát quá trình sạc.</v>
      </c>
      <c r="K831" t="str">
        <f>SUBSTITUTE(SUBSTITUTE(SUBSTITUTE(SUBSTITUTE(IFERROR(VLOOKUP("Câu "&amp;D831&amp;".",dapan!$E:$J,6,0),""),"1","A"),"2","B"),"3","C"),"4","D")</f>
        <v/>
      </c>
      <c r="P831" t="str">
        <f t="shared" si="43"/>
        <v/>
      </c>
      <c r="Q831" t="str">
        <f t="shared" si="44"/>
        <v/>
      </c>
    </row>
    <row r="832" spans="1:17" x14ac:dyDescent="0.25">
      <c r="A832" t="s">
        <v>708</v>
      </c>
      <c r="C832">
        <f>IFERROR(COUNTIFS($A$1:A832,"Câu "&amp;"*")-MID(A832,5,FIND(".",A832,1)-5),0)</f>
        <v>0</v>
      </c>
      <c r="D832">
        <f t="shared" si="45"/>
        <v>202</v>
      </c>
      <c r="E832" t="str">
        <f>SUBSTITUTE(IF(LEFT(A832,3)="Câu",MID(A832,FIND(".",A832,1)+2,LEN(A832)),""),CHAR(34),CHAR(92)&amp;CHAR(34))</f>
        <v>Người lái xe, chủ phương tiện giao thông cơ giới đường bộ nên thực hiện các biện pháp phòng cháy, chữa cháy như thế nào dưới đây?</v>
      </c>
      <c r="G832" t="str">
        <f>SUBSTITUTE(B833,CHAR(34),CHAR(92)&amp;CHAR(34))</f>
        <v>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(khó nổ, có hơi xăng, có tiếng kêu bất thường, nhiệt độ của máy cao, có mùi khét) cần khắc phục ngay.</v>
      </c>
      <c r="H832" t="str">
        <f>SUBSTITUTE(B834,CHAR(34),CHAR(92)&amp;CHAR(34))</f>
        <v>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có thể gây hỏng xe hoặc dẫn đến nguy cơ xảy ra cháy cao.</v>
      </c>
      <c r="I832" t="str">
        <f>SUBSTITUTE(IF(LEFT(A835,3)="Câu","",B835),CHAR(34),CHAR(92)&amp;CHAR(34))</f>
        <v>Không để các chất dễ cháy, dễ bắt lửa trong xe, dưới yên xe, trong cốp xe, trong khoang động cơ. Đối với xe điện cần chọn địa điểm sạc an toàn, sử dụng các thiết bị sạc đúng cách và giám sát quá trình sạc.</v>
      </c>
      <c r="J832" t="str">
        <f>SUBSTITUTE(IF(OR(LEFT(A836,3)="Câu",I832=""),"",IF(B836=0,"",B836)),CHAR(34),CHAR(92)&amp;CHAR(34))</f>
        <v xml:space="preserve"> Cả ba ý trên.</v>
      </c>
      <c r="K832" t="str">
        <f ca="1">SUBSTITUTE(SUBSTITUTE(SUBSTITUTE(SUBSTITUTE(IFERROR(VLOOKUP("Câu "&amp;D832&amp;".",dapan!$E:$J,6,0),""),"1","A"),"2","B"),"3","C"),"4","D")</f>
        <v>D</v>
      </c>
      <c r="P832">
        <f t="shared" si="43"/>
        <v>202</v>
      </c>
      <c r="Q832" t="str">
        <f t="shared" ca="1" si="44"/>
        <v>{"num":202,"id":202,"q":"Người lái xe, chủ phương tiện giao thông cơ giới đường bộ nên thực hiện các biện pháp phòng cháy, chữa cháy như thế nào dưới đây?","opts":{"A":"Không lắp đặt thêm thiết bị điện, phụ kiện không đúng theo thiết kế của nhà sản xuất; tuân thủ quy trình vận hành bảo trì bảo dưỡng định kỳ; thường xuyên kiểm tra phương tiện, khi phát hiện thấy dấu hiệu khác lạ (khó nổ, có hơi xăng, có tiếng kêu bất thường, nhiệt độ của máy cao, có mùi khét) cần khắc phục ngay.","B":"Khi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có thể gây hỏng xe hoặc dẫn đến nguy cơ xảy ra cháy cao.","C":"Không để các chất dễ cháy, dễ bắt lửa trong xe, dưới yên xe, trong cốp xe, trong khoang động cơ. Đối với xe điện cần chọn địa điểm sạc an toàn, sử dụng các thiết bị sạc đúng cách và giám sát quá trình sạc.","D":" Cả ba ý trên."},"answer":"D"},</v>
      </c>
    </row>
    <row r="833" spans="1:17" hidden="1" x14ac:dyDescent="0.25">
      <c r="A833">
        <v>1</v>
      </c>
      <c r="B833" t="s">
        <v>709</v>
      </c>
      <c r="C833">
        <f>IFERROR(COUNTIFS($A$1:A833,"Câu "&amp;"*")-MID(A833,5,FIND(".",A833,1)-5),0)</f>
        <v>0</v>
      </c>
      <c r="D833" t="str">
        <f t="shared" si="45"/>
        <v/>
      </c>
      <c r="E833" t="str">
        <f>SUBSTITUTE(IF(LEFT(A833,3)="Câu",MID(A833,FIND(".",A833,1)+2,LEN(A833)),""),CHAR(34),CHAR(92)&amp;CHAR(34))</f>
        <v/>
      </c>
      <c r="G833" t="str">
        <f>SUBSTITUTE(B834,CHAR(34),CHAR(92)&amp;CHAR(34))</f>
        <v>Khi để xe trong nhà, ở nơi trông giữ xe phải tắt khóa điện, để xa nguồn lửa, nguồn nhiệt; không mua xăng, dầu ở các điểm bán tự phát, không rõ nguồn gốc; không sử dụng các biện pháp “tiết kiệm xăng, dầu” khi chưa được kiểm chứng về mức độ an toàn có thể gây hỏng xe hoặc dẫn đến nguy cơ xảy ra cháy cao.</v>
      </c>
      <c r="H833" t="str">
        <f>SUBSTITUTE(B835,CHAR(34),CHAR(92)&amp;CHAR(34))</f>
        <v>Không để các chất dễ cháy, dễ bắt lửa trong xe, dưới yên xe, trong cốp xe, trong khoang động cơ. Đối với xe điện cần chọn địa điểm sạc an toàn, sử dụng các thiết bị sạc đúng cách và giám sát quá trình sạc.</v>
      </c>
      <c r="I833" t="str">
        <f>SUBSTITUTE(IF(LEFT(A836,3)="Câu","",B836),CHAR(34),CHAR(92)&amp;CHAR(34))</f>
        <v xml:space="preserve"> Cả ba ý trên.</v>
      </c>
      <c r="J833" t="str">
        <f>SUBSTITUTE(IF(OR(LEFT(A837,3)="Câu",I833=""),"",IF(B837=0,"",B837)),CHAR(34),CHAR(92)&amp;CHAR(34))</f>
        <v/>
      </c>
      <c r="K833" t="str">
        <f>SUBSTITUTE(SUBSTITUTE(SUBSTITUTE(SUBSTITUTE(IFERROR(VLOOKUP("Câu "&amp;D833&amp;".",dapan!$E:$J,6,0),""),"1","A"),"2","B"),"3","C"),"4","D")</f>
        <v/>
      </c>
      <c r="P833" t="str">
        <f t="shared" si="43"/>
        <v/>
      </c>
      <c r="Q833" t="str">
        <f t="shared" si="44"/>
        <v/>
      </c>
    </row>
    <row r="834" spans="1:17" hidden="1" x14ac:dyDescent="0.25">
      <c r="A834">
        <v>2</v>
      </c>
      <c r="B834" t="s">
        <v>710</v>
      </c>
      <c r="C834">
        <f>IFERROR(COUNTIFS($A$1:A834,"Câu "&amp;"*")-MID(A834,5,FIND(".",A834,1)-5),0)</f>
        <v>0</v>
      </c>
      <c r="D834" t="str">
        <f t="shared" si="45"/>
        <v/>
      </c>
      <c r="E834" t="str">
        <f>SUBSTITUTE(IF(LEFT(A834,3)="Câu",MID(A834,FIND(".",A834,1)+2,LEN(A834)),""),CHAR(34),CHAR(92)&amp;CHAR(34))</f>
        <v/>
      </c>
      <c r="G834" t="str">
        <f>SUBSTITUTE(B835,CHAR(34),CHAR(92)&amp;CHAR(34))</f>
        <v>Không để các chất dễ cháy, dễ bắt lửa trong xe, dưới yên xe, trong cốp xe, trong khoang động cơ. Đối với xe điện cần chọn địa điểm sạc an toàn, sử dụng các thiết bị sạc đúng cách và giám sát quá trình sạc.</v>
      </c>
      <c r="H834" t="str">
        <f>SUBSTITUTE(B836,CHAR(34),CHAR(92)&amp;CHAR(34))</f>
        <v xml:space="preserve"> Cả ba ý trên.</v>
      </c>
      <c r="I834" t="str">
        <f>SUBSTITUTE(IF(LEFT(A837,3)="Câu","",B837),CHAR(34),CHAR(92)&amp;CHAR(34))</f>
        <v/>
      </c>
      <c r="J834" t="str">
        <f>SUBSTITUTE(IF(OR(LEFT(A838,3)="Câu",I834=""),"",IF(B838=0,"",B838)),CHAR(34),CHAR(92)&amp;CHAR(34))</f>
        <v/>
      </c>
      <c r="K834" t="str">
        <f>SUBSTITUTE(SUBSTITUTE(SUBSTITUTE(SUBSTITUTE(IFERROR(VLOOKUP("Câu "&amp;D834&amp;".",dapan!$E:$J,6,0),""),"1","A"),"2","B"),"3","C"),"4","D")</f>
        <v/>
      </c>
      <c r="P834" t="str">
        <f t="shared" si="43"/>
        <v/>
      </c>
      <c r="Q834" t="str">
        <f t="shared" si="44"/>
        <v/>
      </c>
    </row>
    <row r="835" spans="1:17" hidden="1" x14ac:dyDescent="0.25">
      <c r="A835">
        <v>3</v>
      </c>
      <c r="B835" t="s">
        <v>711</v>
      </c>
      <c r="C835">
        <f>IFERROR(COUNTIFS($A$1:A835,"Câu "&amp;"*")-MID(A835,5,FIND(".",A835,1)-5),0)</f>
        <v>0</v>
      </c>
      <c r="D835" t="str">
        <f t="shared" si="45"/>
        <v/>
      </c>
      <c r="E835" t="str">
        <f>SUBSTITUTE(IF(LEFT(A835,3)="Câu",MID(A835,FIND(".",A835,1)+2,LEN(A835)),""),CHAR(34),CHAR(92)&amp;CHAR(34))</f>
        <v/>
      </c>
      <c r="G835" t="str">
        <f>SUBSTITUTE(B836,CHAR(34),CHAR(92)&amp;CHAR(34))</f>
        <v xml:space="preserve"> Cả ba ý trên.</v>
      </c>
      <c r="H835" t="str">
        <f>SUBSTITUTE(B837,CHAR(34),CHAR(92)&amp;CHAR(34))</f>
        <v/>
      </c>
      <c r="I835" t="str">
        <f>SUBSTITUTE(IF(LEFT(A838,3)="Câu","",B838),CHAR(34),CHAR(92)&amp;CHAR(34))</f>
        <v>Tắt khoá điện, hô hoán để mọi người đến trợ giúp chữa cháy, gọi Cảnh sát phòng cháy chữa cháy và cứu nạn cứu hộ (điện thoại 114).</v>
      </c>
      <c r="J835" t="str">
        <f>SUBSTITUTE(IF(OR(LEFT(A839,3)="Câu",I835=""),"",IF(B839=0,"",B839)),CHAR(34),CHAR(92)&amp;CHAR(34))</f>
        <v>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v>
      </c>
      <c r="K835" t="str">
        <f>SUBSTITUTE(SUBSTITUTE(SUBSTITUTE(SUBSTITUTE(IFERROR(VLOOKUP("Câu "&amp;D835&amp;".",dapan!$E:$J,6,0),""),"1","A"),"2","B"),"3","C"),"4","D")</f>
        <v/>
      </c>
      <c r="P835" t="str">
        <f t="shared" ref="P835:P898" si="46">D835</f>
        <v/>
      </c>
      <c r="Q835" t="str">
        <f t="shared" ref="Q835:Q898" si="47">IF(D835="","",CHAR(123)&amp;CHAR(34)&amp;"num"&amp;CHAR(34)&amp;":"&amp;P835&amp;","&amp;CHAR(34)&amp;"id"&amp;CHAR(34)&amp;":"&amp;D835&amp;","
&amp;CHAR(34)&amp;"q"&amp;CHAR(34)&amp;":"&amp;CHAR(34)&amp;E835&amp;CHAR(34)&amp;","
&amp;IF(F835="","",CHAR(34)&amp;"img"&amp;CHAR(34)&amp;":"&amp;CHAR(34)&amp;F835&amp;CHAR(34)&amp;",")
&amp;CHAR(34)&amp;"opts"&amp;CHAR(34)&amp;":"&amp;CHAR(123)&amp;CHAR(34)&amp;"A"&amp;CHAR(34)&amp;":"&amp;CHAR(34)&amp;G835&amp;CHAR(34)&amp;","&amp;CHAR(34)&amp;"B"&amp;CHAR(34)&amp;":"&amp;CHAR(34)&amp;H835&amp;CHAR(34)
&amp;IF(I835="","",","&amp;CHAR(34)&amp;"C"&amp;CHAR(34)&amp;":"&amp;CHAR(34)&amp;I835&amp;CHAR(34))&amp;IF(J835="","",","&amp;CHAR(34)&amp;"D"&amp;CHAR(34)&amp;":"&amp;CHAR(34)&amp;J835&amp;CHAR(34))&amp;CHAR(125)&amp;","
&amp;CHAR(34)&amp;"answer"&amp;CHAR(34)&amp;":"&amp;CHAR(34)&amp;K835&amp;CHAR(34)
&amp;IF(L835="","",","&amp;CHAR(34)&amp;"danger"&amp;CHAR(34)&amp;":"&amp;CHAR(34)&amp;"true"&amp;CHAR(34))
&amp;IF(M835="","",","&amp;CHAR(34)&amp;"explain"&amp;CHAR(34)&amp;":"&amp;CHAR(34)&amp;M835&amp;CHAR(34))
&amp;IF(N835="","",","&amp;CHAR(34)&amp;"explainImg"&amp;CHAR(34)&amp;":"&amp;CHAR(34)&amp;N835&amp;CHAR(34))
&amp;IF(O835="","",","&amp;CHAR(34)&amp;"shuffle"&amp;CHAR(34)&amp;":"&amp;CHAR(34)&amp;"false"&amp;CHAR(34))&amp;CHAR(125)&amp;",")</f>
        <v/>
      </c>
    </row>
    <row r="836" spans="1:17" hidden="1" x14ac:dyDescent="0.25">
      <c r="A836">
        <v>4</v>
      </c>
      <c r="B836" t="s">
        <v>89</v>
      </c>
      <c r="C836">
        <f>IFERROR(COUNTIFS($A$1:A836,"Câu "&amp;"*")-MID(A836,5,FIND(".",A836,1)-5),0)</f>
        <v>0</v>
      </c>
      <c r="D836" t="str">
        <f t="shared" si="45"/>
        <v/>
      </c>
      <c r="E836" t="str">
        <f>SUBSTITUTE(IF(LEFT(A836,3)="Câu",MID(A836,FIND(".",A836,1)+2,LEN(A836)),""),CHAR(34),CHAR(92)&amp;CHAR(34))</f>
        <v/>
      </c>
      <c r="G836" t="str">
        <f>SUBSTITUTE(B837,CHAR(34),CHAR(92)&amp;CHAR(34))</f>
        <v/>
      </c>
      <c r="H836" t="str">
        <f>SUBSTITUTE(B838,CHAR(34),CHAR(92)&amp;CHAR(34))</f>
        <v>Tắt khoá điện, hô hoán để mọi người đến trợ giúp chữa cháy, gọi Cảnh sát phòng cháy chữa cháy và cứu nạn cứu hộ (điện thoại 114).</v>
      </c>
      <c r="I836" t="str">
        <f>SUBSTITUTE(IF(LEFT(A839,3)="Câu","",B839),CHAR(34),CHAR(92)&amp;CHAR(34))</f>
        <v>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v>
      </c>
      <c r="J836" t="str">
        <f>SUBSTITUTE(IF(OR(LEFT(A840,3)="Câu",I836=""),"",IF(B840=0,"",B840)),CHAR(34),CHAR(92)&amp;CHAR(34))</f>
        <v xml:space="preserve"> Cả hai ý trên.</v>
      </c>
      <c r="K836" t="str">
        <f>SUBSTITUTE(SUBSTITUTE(SUBSTITUTE(SUBSTITUTE(IFERROR(VLOOKUP("Câu "&amp;D836&amp;".",dapan!$E:$J,6,0),""),"1","A"),"2","B"),"3","C"),"4","D")</f>
        <v/>
      </c>
      <c r="P836" t="str">
        <f t="shared" si="46"/>
        <v/>
      </c>
      <c r="Q836" t="str">
        <f t="shared" si="47"/>
        <v/>
      </c>
    </row>
    <row r="837" spans="1:17" x14ac:dyDescent="0.25">
      <c r="A837" t="s">
        <v>712</v>
      </c>
      <c r="C837">
        <f>IFERROR(COUNTIFS($A$1:A837,"Câu "&amp;"*")-MID(A837,5,FIND(".",A837,1)-5),0)</f>
        <v>0</v>
      </c>
      <c r="D837">
        <f t="shared" si="45"/>
        <v>203</v>
      </c>
      <c r="E837" t="str">
        <f>SUBSTITUTE(IF(LEFT(A837,3)="Câu",MID(A837,FIND(".",A837,1)+2,LEN(A837)),""),CHAR(34),CHAR(92)&amp;CHAR(34))</f>
        <v>Người điều khiển phương tiện cơ giới đường bộ phải thực hiện những biện pháp gì dưới đây để chữa cháy trong trường hợp phương tiện bị cháy, xét thấy có khả năng dập tắt đám cháy?</v>
      </c>
      <c r="G837" t="str">
        <f>SUBSTITUTE(B838,CHAR(34),CHAR(92)&amp;CHAR(34))</f>
        <v>Tắt khoá điện, hô hoán để mọi người đến trợ giúp chữa cháy, gọi Cảnh sát phòng cháy chữa cháy và cứu nạn cứu hộ (điện thoại 114).</v>
      </c>
      <c r="H837" t="str">
        <f>SUBSTITUTE(B839,CHAR(34),CHAR(92)&amp;CHAR(34))</f>
        <v>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v>
      </c>
      <c r="I837" t="str">
        <f>SUBSTITUTE(IF(LEFT(A840,3)="Câu","",B840),CHAR(34),CHAR(92)&amp;CHAR(34))</f>
        <v xml:space="preserve"> Cả hai ý trên.</v>
      </c>
      <c r="J837" t="str">
        <f>SUBSTITUTE(IF(OR(LEFT(A841,3)="Câu",I837=""),"",IF(B841=0,"",B841)),CHAR(34),CHAR(92)&amp;CHAR(34))</f>
        <v/>
      </c>
      <c r="K837" t="str">
        <f ca="1">SUBSTITUTE(SUBSTITUTE(SUBSTITUTE(SUBSTITUTE(IFERROR(VLOOKUP("Câu "&amp;D837&amp;".",dapan!$E:$J,6,0),""),"1","A"),"2","B"),"3","C"),"4","D")</f>
        <v>C</v>
      </c>
      <c r="P837">
        <f t="shared" si="46"/>
        <v>203</v>
      </c>
      <c r="Q837" t="str">
        <f t="shared" ca="1" si="47"/>
        <v>{"num":203,"id":203,"q":"Người điều khiển phương tiện cơ giới đường bộ phải thực hiện những biện pháp gì dưới đây để chữa cháy trong trường hợp phương tiện bị cháy, xét thấy có khả năng dập tắt đám cháy?","opts":{"A":"Tắt khoá điện, hô hoán để mọi người đến trợ giúp chữa cháy, gọi Cảnh sát phòng cháy chữa cháy và cứu nạn cứu hộ (điện thoại 114).","B":"Nếu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lửa.","C":" Cả hai ý trên."},"answer":"C"},</v>
      </c>
    </row>
    <row r="838" spans="1:17" hidden="1" x14ac:dyDescent="0.25">
      <c r="A838">
        <v>1</v>
      </c>
      <c r="B838" t="s">
        <v>713</v>
      </c>
      <c r="C838">
        <f>IFERROR(COUNTIFS($A$1:A838,"Câu "&amp;"*")-MID(A838,5,FIND(".",A838,1)-5),0)</f>
        <v>0</v>
      </c>
      <c r="D838" t="str">
        <f t="shared" si="45"/>
        <v/>
      </c>
      <c r="E838" t="str">
        <f>SUBSTITUTE(IF(LEFT(A838,3)="Câu",MID(A838,FIND(".",A838,1)+2,LEN(A838)),""),CHAR(34),CHAR(92)&amp;CHAR(34))</f>
        <v/>
      </c>
      <c r="G838" t="str">
        <f>SUBSTITUTE(B839,CHAR(34),CHAR(92)&amp;CHAR(34))</f>
        <v>Nếu nhiên liệu chưa trào ra ngoài (ngọn lửa chưa cháy dữ dội) thì có thể sử dụng nước, hoặc bất kỳ chất, phương tiện chữa cháy có được để dập lửa; nếu nhiên liệu đã trào ra ngoài (ngọn lửa cháy dữ dội) thì phải sử dụng các bình chữa cháy, cát, chăn chiên, bao tải, vải nhúng nước để dập lửa.</v>
      </c>
      <c r="H838" t="str">
        <f>SUBSTITUTE(B840,CHAR(34),CHAR(92)&amp;CHAR(34))</f>
        <v xml:space="preserve"> Cả hai ý trên.</v>
      </c>
      <c r="I838" t="str">
        <f>SUBSTITUTE(IF(LEFT(A841,3)="Câu","",B841),CHAR(34),CHAR(92)&amp;CHAR(34))</f>
        <v/>
      </c>
      <c r="J838" t="str">
        <f>SUBSTITUTE(IF(OR(LEFT(A842,3)="Câu",I838=""),"",IF(B842=0,"",B842)),CHAR(34),CHAR(92)&amp;CHAR(34))</f>
        <v/>
      </c>
      <c r="K838" t="str">
        <f>SUBSTITUTE(SUBSTITUTE(SUBSTITUTE(SUBSTITUTE(IFERROR(VLOOKUP("Câu "&amp;D838&amp;".",dapan!$E:$J,6,0),""),"1","A"),"2","B"),"3","C"),"4","D")</f>
        <v/>
      </c>
      <c r="P838" t="str">
        <f t="shared" si="46"/>
        <v/>
      </c>
      <c r="Q838" t="str">
        <f t="shared" si="47"/>
        <v/>
      </c>
    </row>
    <row r="839" spans="1:17" hidden="1" x14ac:dyDescent="0.25">
      <c r="A839">
        <v>2</v>
      </c>
      <c r="B839" t="s">
        <v>714</v>
      </c>
      <c r="C839">
        <f>IFERROR(COUNTIFS($A$1:A839,"Câu "&amp;"*")-MID(A839,5,FIND(".",A839,1)-5),0)</f>
        <v>0</v>
      </c>
      <c r="D839" t="str">
        <f t="shared" si="45"/>
        <v/>
      </c>
      <c r="E839" t="str">
        <f>SUBSTITUTE(IF(LEFT(A839,3)="Câu",MID(A839,FIND(".",A839,1)+2,LEN(A839)),""),CHAR(34),CHAR(92)&amp;CHAR(34))</f>
        <v/>
      </c>
      <c r="G839" t="str">
        <f>SUBSTITUTE(B840,CHAR(34),CHAR(92)&amp;CHAR(34))</f>
        <v xml:space="preserve"> Cả hai ý trên.</v>
      </c>
      <c r="H839" t="str">
        <f>SUBSTITUTE(B841,CHAR(34),CHAR(92)&amp;CHAR(34))</f>
        <v/>
      </c>
      <c r="I839" t="str">
        <f>SUBSTITUTE(IF(LEFT(A842,3)="Câu","",B842),CHAR(34),CHAR(92)&amp;CHAR(34))</f>
        <v xml:space="preserve"> Bình tĩnh, đưa xe sát vào lề đường, tránh xa nơi có nhiều người, nhiều chất dễ cháy và tắt khóa điện, thực hiện các bước chữa cháy.</v>
      </c>
      <c r="J839" t="str">
        <f>SUBSTITUTE(IF(OR(LEFT(A843,3)="Câu",I839=""),"",IF(B843=0,"",B843)),CHAR(34),CHAR(92)&amp;CHAR(34))</f>
        <v>Hô hoán để mọi người đến trợ giúp chữa cháy, gọi Cảnh sát giao thông, Cảnh sát phòng cháy, chữa cháy và cứu nạn, cứu hộ, lực lượng y tế để sẵn sàng hỗ trợ cứu người.</v>
      </c>
      <c r="K839" t="str">
        <f>SUBSTITUTE(SUBSTITUTE(SUBSTITUTE(SUBSTITUTE(IFERROR(VLOOKUP("Câu "&amp;D839&amp;".",dapan!$E:$J,6,0),""),"1","A"),"2","B"),"3","C"),"4","D")</f>
        <v/>
      </c>
      <c r="P839" t="str">
        <f t="shared" si="46"/>
        <v/>
      </c>
      <c r="Q839" t="str">
        <f t="shared" si="47"/>
        <v/>
      </c>
    </row>
    <row r="840" spans="1:17" hidden="1" x14ac:dyDescent="0.25">
      <c r="A840">
        <v>3</v>
      </c>
      <c r="B840" t="s">
        <v>32</v>
      </c>
      <c r="C840">
        <f>IFERROR(COUNTIFS($A$1:A840,"Câu "&amp;"*")-MID(A840,5,FIND(".",A840,1)-5),0)</f>
        <v>0</v>
      </c>
      <c r="D840" t="str">
        <f t="shared" si="45"/>
        <v/>
      </c>
      <c r="E840" t="str">
        <f>SUBSTITUTE(IF(LEFT(A840,3)="Câu",MID(A840,FIND(".",A840,1)+2,LEN(A840)),""),CHAR(34),CHAR(92)&amp;CHAR(34))</f>
        <v/>
      </c>
      <c r="G840" t="str">
        <f>SUBSTITUTE(B841,CHAR(34),CHAR(92)&amp;CHAR(34))</f>
        <v/>
      </c>
      <c r="H840" t="str">
        <f>SUBSTITUTE(B842,CHAR(34),CHAR(92)&amp;CHAR(34))</f>
        <v xml:space="preserve"> Bình tĩnh, đưa xe sát vào lề đường, tránh xa nơi có nhiều người, nhiều chất dễ cháy và tắt khóa điện, thực hiện các bước chữa cháy.</v>
      </c>
      <c r="I840" t="str">
        <f>SUBSTITUTE(IF(LEFT(A843,3)="Câu","",B843),CHAR(34),CHAR(92)&amp;CHAR(34))</f>
        <v>Hô hoán để mọi người đến trợ giúp chữa cháy, gọi Cảnh sát giao thông, Cảnh sát phòng cháy, chữa cháy và cứu nạn, cứu hộ, lực lượng y tế để sẵn sàng hỗ trợ cứu người.</v>
      </c>
      <c r="J840" t="str">
        <f>SUBSTITUTE(IF(OR(LEFT(A844,3)="Câu",I840=""),"",IF(B844=0,"",B844)),CHAR(34),CHAR(92)&amp;CHAR(34))</f>
        <v>Nếu nhiên liệu trào ra ngoài, ngọn lửa chưa cháy dữ dội thì tiếp tục sử dụng nước, hoặc bất kỳ chất, phương tiện chữa cháy có được để dập lửa.</v>
      </c>
      <c r="K840" t="str">
        <f>SUBSTITUTE(SUBSTITUTE(SUBSTITUTE(SUBSTITUTE(IFERROR(VLOOKUP("Câu "&amp;D840&amp;".",dapan!$E:$J,6,0),""),"1","A"),"2","B"),"3","C"),"4","D")</f>
        <v/>
      </c>
      <c r="P840" t="str">
        <f t="shared" si="46"/>
        <v/>
      </c>
      <c r="Q840" t="str">
        <f t="shared" si="47"/>
        <v/>
      </c>
    </row>
    <row r="841" spans="1:17" x14ac:dyDescent="0.25">
      <c r="A841" t="s">
        <v>715</v>
      </c>
      <c r="C841">
        <f>IFERROR(COUNTIFS($A$1:A841,"Câu "&amp;"*")-MID(A841,5,FIND(".",A841,1)-5),0)</f>
        <v>0</v>
      </c>
      <c r="D841">
        <f t="shared" si="45"/>
        <v>204</v>
      </c>
      <c r="E841" t="str">
        <f>SUBSTITUTE(IF(LEFT(A841,3)="Câu",MID(A841,FIND(".",A841,1)+2,LEN(A841)),""),CHAR(34),CHAR(92)&amp;CHAR(34))</f>
        <v>Khi phát hiện thấy có ngọn lửa, khói hoặc nhiệt độ cao bất thường từ phương tiện giao thông do mình điều khiển người lái xe phải làm gì trước tiên?</v>
      </c>
      <c r="G841" t="str">
        <f>SUBSTITUTE(B842,CHAR(34),CHAR(92)&amp;CHAR(34))</f>
        <v xml:space="preserve"> Bình tĩnh, đưa xe sát vào lề đường, tránh xa nơi có nhiều người, nhiều chất dễ cháy và tắt khóa điện, thực hiện các bước chữa cháy.</v>
      </c>
      <c r="H841" t="str">
        <f>SUBSTITUTE(B843,CHAR(34),CHAR(92)&amp;CHAR(34))</f>
        <v>Hô hoán để mọi người đến trợ giúp chữa cháy, gọi Cảnh sát giao thông, Cảnh sát phòng cháy, chữa cháy và cứu nạn, cứu hộ, lực lượng y tế để sẵn sàng hỗ trợ cứu người.</v>
      </c>
      <c r="I841" t="str">
        <f>SUBSTITUTE(IF(LEFT(A844,3)="Câu","",B844),CHAR(34),CHAR(92)&amp;CHAR(34))</f>
        <v>Nếu nhiên liệu trào ra ngoài, ngọn lửa chưa cháy dữ dội thì tiếp tục sử dụng nước, hoặc bất kỳ chất, phương tiện chữa cháy có được để dập lửa.</v>
      </c>
      <c r="J841" t="str">
        <f>SUBSTITUTE(IF(OR(LEFT(A845,3)="Câu",I841=""),"",IF(B845=0,"",B845)),CHAR(34),CHAR(92)&amp;CHAR(34))</f>
        <v>Cả ba ý trên.</v>
      </c>
      <c r="K841" t="str">
        <f ca="1">SUBSTITUTE(SUBSTITUTE(SUBSTITUTE(SUBSTITUTE(IFERROR(VLOOKUP("Câu "&amp;D841&amp;".",dapan!$E:$J,6,0),""),"1","A"),"2","B"),"3","C"),"4","D")</f>
        <v>A</v>
      </c>
      <c r="P841">
        <f t="shared" si="46"/>
        <v>204</v>
      </c>
      <c r="Q841" t="str">
        <f t="shared" ca="1" si="47"/>
        <v>{"num":204,"id":204,"q":"Khi phát hiện thấy có ngọn lửa, khói hoặc nhiệt độ cao bất thường từ phương tiện giao thông do mình điều khiển người lái xe phải làm gì trước tiên?","opts":{"A":" Bình tĩnh, đưa xe sát vào lề đường, tránh xa nơi có nhiều người, nhiều chất dễ cháy và tắt khóa điện, thực hiện các bước chữa cháy.","B":"Hô hoán để mọi người đến trợ giúp chữa cháy, gọi Cảnh sát giao thông, Cảnh sát phòng cháy, chữa cháy và cứu nạn, cứu hộ, lực lượng y tế để sẵn sàng hỗ trợ cứu người.","C":"Nếu nhiên liệu trào ra ngoài, ngọn lửa chưa cháy dữ dội thì tiếp tục sử dụng nước, hoặc bất kỳ chất, phương tiện chữa cháy có được để dập lửa.","D":"Cả ba ý trên."},"answer":"A"},</v>
      </c>
    </row>
    <row r="842" spans="1:17" hidden="1" x14ac:dyDescent="0.25">
      <c r="A842">
        <v>1</v>
      </c>
      <c r="B842" t="s">
        <v>716</v>
      </c>
      <c r="C842">
        <f>IFERROR(COUNTIFS($A$1:A842,"Câu "&amp;"*")-MID(A842,5,FIND(".",A842,1)-5),0)</f>
        <v>0</v>
      </c>
      <c r="D842" t="str">
        <f t="shared" si="45"/>
        <v/>
      </c>
      <c r="E842" t="str">
        <f>SUBSTITUTE(IF(LEFT(A842,3)="Câu",MID(A842,FIND(".",A842,1)+2,LEN(A842)),""),CHAR(34),CHAR(92)&amp;CHAR(34))</f>
        <v/>
      </c>
      <c r="G842" t="str">
        <f>SUBSTITUTE(B843,CHAR(34),CHAR(92)&amp;CHAR(34))</f>
        <v>Hô hoán để mọi người đến trợ giúp chữa cháy, gọi Cảnh sát giao thông, Cảnh sát phòng cháy, chữa cháy và cứu nạn, cứu hộ, lực lượng y tế để sẵn sàng hỗ trợ cứu người.</v>
      </c>
      <c r="H842" t="str">
        <f>SUBSTITUTE(B844,CHAR(34),CHAR(92)&amp;CHAR(34))</f>
        <v>Nếu nhiên liệu trào ra ngoài, ngọn lửa chưa cháy dữ dội thì tiếp tục sử dụng nước, hoặc bất kỳ chất, phương tiện chữa cháy có được để dập lửa.</v>
      </c>
      <c r="I842" t="str">
        <f>SUBSTITUTE(IF(LEFT(A845,3)="Câu","",B845),CHAR(34),CHAR(92)&amp;CHAR(34))</f>
        <v>Cả ba ý trên.</v>
      </c>
      <c r="J842" t="str">
        <f>SUBSTITUTE(IF(OR(LEFT(A846,3)="Câu",I842=""),"",IF(B846=0,"",B846)),CHAR(34),CHAR(92)&amp;CHAR(34))</f>
        <v/>
      </c>
      <c r="K842" t="str">
        <f>SUBSTITUTE(SUBSTITUTE(SUBSTITUTE(SUBSTITUTE(IFERROR(VLOOKUP("Câu "&amp;D842&amp;".",dapan!$E:$J,6,0),""),"1","A"),"2","B"),"3","C"),"4","D")</f>
        <v/>
      </c>
      <c r="P842" t="str">
        <f t="shared" si="46"/>
        <v/>
      </c>
      <c r="Q842" t="str">
        <f t="shared" si="47"/>
        <v/>
      </c>
    </row>
    <row r="843" spans="1:17" hidden="1" x14ac:dyDescent="0.25">
      <c r="A843">
        <v>2</v>
      </c>
      <c r="B843" t="s">
        <v>717</v>
      </c>
      <c r="C843">
        <f>IFERROR(COUNTIFS($A$1:A843,"Câu "&amp;"*")-MID(A843,5,FIND(".",A843,1)-5),0)</f>
        <v>0</v>
      </c>
      <c r="D843" t="str">
        <f t="shared" si="45"/>
        <v/>
      </c>
      <c r="E843" t="str">
        <f>SUBSTITUTE(IF(LEFT(A843,3)="Câu",MID(A843,FIND(".",A843,1)+2,LEN(A843)),""),CHAR(34),CHAR(92)&amp;CHAR(34))</f>
        <v/>
      </c>
      <c r="G843" t="str">
        <f>SUBSTITUTE(B844,CHAR(34),CHAR(92)&amp;CHAR(34))</f>
        <v>Nếu nhiên liệu trào ra ngoài, ngọn lửa chưa cháy dữ dội thì tiếp tục sử dụng nước, hoặc bất kỳ chất, phương tiện chữa cháy có được để dập lửa.</v>
      </c>
      <c r="H843" t="str">
        <f>SUBSTITUTE(B845,CHAR(34),CHAR(92)&amp;CHAR(34))</f>
        <v>Cả ba ý trên.</v>
      </c>
      <c r="I843" t="str">
        <f>SUBSTITUTE(IF(LEFT(A846,3)="Câu","",B846),CHAR(34),CHAR(92)&amp;CHAR(34))</f>
        <v/>
      </c>
      <c r="J843" t="str">
        <f>SUBSTITUTE(IF(OR(LEFT(A847,3)="Câu",I843=""),"",IF(B847=0,"",B847)),CHAR(34),CHAR(92)&amp;CHAR(34))</f>
        <v/>
      </c>
      <c r="K843" t="str">
        <f>SUBSTITUTE(SUBSTITUTE(SUBSTITUTE(SUBSTITUTE(IFERROR(VLOOKUP("Câu "&amp;D843&amp;".",dapan!$E:$J,6,0),""),"1","A"),"2","B"),"3","C"),"4","D")</f>
        <v/>
      </c>
      <c r="P843" t="str">
        <f t="shared" si="46"/>
        <v/>
      </c>
      <c r="Q843" t="str">
        <f t="shared" si="47"/>
        <v/>
      </c>
    </row>
    <row r="844" spans="1:17" hidden="1" x14ac:dyDescent="0.25">
      <c r="A844">
        <v>3</v>
      </c>
      <c r="B844" t="s">
        <v>718</v>
      </c>
      <c r="C844">
        <f>IFERROR(COUNTIFS($A$1:A844,"Câu "&amp;"*")-MID(A844,5,FIND(".",A844,1)-5),0)</f>
        <v>0</v>
      </c>
      <c r="D844" t="str">
        <f t="shared" si="45"/>
        <v/>
      </c>
      <c r="E844" t="str">
        <f>SUBSTITUTE(IF(LEFT(A844,3)="Câu",MID(A844,FIND(".",A844,1)+2,LEN(A844)),""),CHAR(34),CHAR(92)&amp;CHAR(34))</f>
        <v/>
      </c>
      <c r="G844" t="str">
        <f>SUBSTITUTE(B845,CHAR(34),CHAR(92)&amp;CHAR(34))</f>
        <v>Cả ba ý trên.</v>
      </c>
      <c r="H844" t="str">
        <f>SUBSTITUTE(B846,CHAR(34),CHAR(92)&amp;CHAR(34))</f>
        <v/>
      </c>
      <c r="I844" t="str">
        <f>SUBSTITUTE(IF(LEFT(A847,3)="Câu","",B847),CHAR(34),CHAR(92)&amp;CHAR(34))</f>
        <v>Gọi số 115 để thông báo về tình trạng tai nạn và yêu cầu hỗ trợ y tế ngay lập tức. Quan sát hiện trường để giúp nạn nhân, đồng thời tránh gây tổn thương cho mình.</v>
      </c>
      <c r="J844" t="str">
        <f>SUBSTITUTE(IF(OR(LEFT(A848,3)="Câu",I844=""),"",IF(B848=0,"",B848)),CHAR(34),CHAR(92)&amp;CHAR(34))</f>
        <v>Nhanh chóng loại bỏ nguyên nhân gây bỏng bằng cách tách nạn nhân khỏi vật gây cháy, cởi bỏ quần áo nếu bén lửa, ngâm vùng da bị bỏng vào nước sạch hoặc đắp khăn mát, lưu ý không dùng khăn hoặc nước quá lạnh.</v>
      </c>
      <c r="K844" t="str">
        <f>SUBSTITUTE(SUBSTITUTE(SUBSTITUTE(SUBSTITUTE(IFERROR(VLOOKUP("Câu "&amp;D844&amp;".",dapan!$E:$J,6,0),""),"1","A"),"2","B"),"3","C"),"4","D")</f>
        <v/>
      </c>
      <c r="P844" t="str">
        <f t="shared" si="46"/>
        <v/>
      </c>
      <c r="Q844" t="str">
        <f t="shared" si="47"/>
        <v/>
      </c>
    </row>
    <row r="845" spans="1:17" hidden="1" x14ac:dyDescent="0.25">
      <c r="A845">
        <v>4</v>
      </c>
      <c r="B845" t="s">
        <v>15</v>
      </c>
      <c r="C845">
        <f>IFERROR(COUNTIFS($A$1:A845,"Câu "&amp;"*")-MID(A845,5,FIND(".",A845,1)-5),0)</f>
        <v>0</v>
      </c>
      <c r="D845" t="str">
        <f t="shared" si="45"/>
        <v/>
      </c>
      <c r="E845" t="str">
        <f>SUBSTITUTE(IF(LEFT(A845,3)="Câu",MID(A845,FIND(".",A845,1)+2,LEN(A845)),""),CHAR(34),CHAR(92)&amp;CHAR(34))</f>
        <v/>
      </c>
      <c r="G845" t="str">
        <f>SUBSTITUTE(B846,CHAR(34),CHAR(92)&amp;CHAR(34))</f>
        <v/>
      </c>
      <c r="H845" t="str">
        <f>SUBSTITUTE(B847,CHAR(34),CHAR(92)&amp;CHAR(34))</f>
        <v>Gọi số 115 để thông báo về tình trạng tai nạn và yêu cầu hỗ trợ y tế ngay lập tức. Quan sát hiện trường để giúp nạn nhân, đồng thời tránh gây tổn thương cho mình.</v>
      </c>
      <c r="I845" t="str">
        <f>SUBSTITUTE(IF(LEFT(A848,3)="Câu","",B848),CHAR(34),CHAR(92)&amp;CHAR(34))</f>
        <v>Nhanh chóng loại bỏ nguyên nhân gây bỏng bằng cách tách nạn nhân khỏi vật gây cháy, cởi bỏ quần áo nếu bén lửa, ngâm vùng da bị bỏng vào nước sạch hoặc đắp khăn mát, lưu ý không dùng khăn hoặc nước quá lạnh.</v>
      </c>
      <c r="J845" t="str">
        <f>SUBSTITUTE(IF(OR(LEFT(A849,3)="Câu",I845=""),"",IF(B849=0,"",B849)),CHAR(34),CHAR(92)&amp;CHAR(34))</f>
        <v>Nếu nạn nhân còn tỉnh, cần cho uống bù nước. Trong thời tiết lạnh, cần giữ ấm cho cơ thể nạn nhân, sau đó nhanh chóng đưa đến cơ sở y tế gần nhất.</v>
      </c>
      <c r="K845" t="str">
        <f>SUBSTITUTE(SUBSTITUTE(SUBSTITUTE(SUBSTITUTE(IFERROR(VLOOKUP("Câu "&amp;D845&amp;".",dapan!$E:$J,6,0),""),"1","A"),"2","B"),"3","C"),"4","D")</f>
        <v/>
      </c>
      <c r="P845" t="str">
        <f t="shared" si="46"/>
        <v/>
      </c>
      <c r="Q845" t="str">
        <f t="shared" si="47"/>
        <v/>
      </c>
    </row>
    <row r="846" spans="1:17" x14ac:dyDescent="0.25">
      <c r="A846" t="s">
        <v>719</v>
      </c>
      <c r="C846">
        <f>IFERROR(COUNTIFS($A$1:A846,"Câu "&amp;"*")-MID(A846,5,FIND(".",A846,1)-5),0)</f>
        <v>0</v>
      </c>
      <c r="D846">
        <f t="shared" si="45"/>
        <v>205</v>
      </c>
      <c r="E846" t="str">
        <f>SUBSTITUTE(IF(LEFT(A846,3)="Câu",MID(A846,FIND(".",A846,1)+2,LEN(A846)),""),CHAR(34),CHAR(92)&amp;CHAR(34))</f>
        <v>Khi gặp nạn nhân bị bỏng trong vụ tai nạn giao thông, người lái xe cần làm gì?</v>
      </c>
      <c r="G846" t="str">
        <f>SUBSTITUTE(B847,CHAR(34),CHAR(92)&amp;CHAR(34))</f>
        <v>Gọi số 115 để thông báo về tình trạng tai nạn và yêu cầu hỗ trợ y tế ngay lập tức. Quan sát hiện trường để giúp nạn nhân, đồng thời tránh gây tổn thương cho mình.</v>
      </c>
      <c r="H846" t="str">
        <f>SUBSTITUTE(B848,CHAR(34),CHAR(92)&amp;CHAR(34))</f>
        <v>Nhanh chóng loại bỏ nguyên nhân gây bỏng bằng cách tách nạn nhân khỏi vật gây cháy, cởi bỏ quần áo nếu bén lửa, ngâm vùng da bị bỏng vào nước sạch hoặc đắp khăn mát, lưu ý không dùng khăn hoặc nước quá lạnh.</v>
      </c>
      <c r="I846" t="str">
        <f>SUBSTITUTE(IF(LEFT(A849,3)="Câu","",B849),CHAR(34),CHAR(92)&amp;CHAR(34))</f>
        <v>Nếu nạn nhân còn tỉnh, cần cho uống bù nước. Trong thời tiết lạnh, cần giữ ấm cho cơ thể nạn nhân, sau đó nhanh chóng đưa đến cơ sở y tế gần nhất.</v>
      </c>
      <c r="J846" t="str">
        <f>SUBSTITUTE(IF(OR(LEFT(A850,3)="Câu",I846=""),"",IF(B850=0,"",B850)),CHAR(34),CHAR(92)&amp;CHAR(34))</f>
        <v xml:space="preserve"> Cả ba ý trên.</v>
      </c>
      <c r="K846" t="str">
        <f ca="1">SUBSTITUTE(SUBSTITUTE(SUBSTITUTE(SUBSTITUTE(IFERROR(VLOOKUP("Câu "&amp;D846&amp;".",dapan!$E:$J,6,0),""),"1","A"),"2","B"),"3","C"),"4","D")</f>
        <v>D</v>
      </c>
      <c r="P846">
        <f t="shared" si="46"/>
        <v>205</v>
      </c>
      <c r="Q846" t="str">
        <f t="shared" ca="1" si="47"/>
        <v>{"num":205,"id":205,"q":"Khi gặp nạn nhân bị bỏng trong vụ tai nạn giao thông, người lái xe cần làm gì?","opts":{"A":"Gọi số 115 để thông báo về tình trạng tai nạn và yêu cầu hỗ trợ y tế ngay lập tức. Quan sát hiện trường để giúp nạn nhân, đồng thời tránh gây tổn thương cho mình.","B":"Nhanh chóng loại bỏ nguyên nhân gây bỏng bằng cách tách nạn nhân khỏi vật gây cháy, cởi bỏ quần áo nếu bén lửa, ngâm vùng da bị bỏng vào nước sạch hoặc đắp khăn mát, lưu ý không dùng khăn hoặc nước quá lạnh.","C":"Nếu nạn nhân còn tỉnh, cần cho uống bù nước. Trong thời tiết lạnh, cần giữ ấm cho cơ thể nạn nhân, sau đó nhanh chóng đưa đến cơ sở y tế gần nhất.","D":" Cả ba ý trên."},"answer":"D"},</v>
      </c>
    </row>
    <row r="847" spans="1:17" hidden="1" x14ac:dyDescent="0.25">
      <c r="A847">
        <v>1</v>
      </c>
      <c r="B847" t="s">
        <v>720</v>
      </c>
      <c r="C847">
        <f>IFERROR(COUNTIFS($A$1:A847,"Câu "&amp;"*")-MID(A847,5,FIND(".",A847,1)-5),0)</f>
        <v>0</v>
      </c>
      <c r="D847" t="str">
        <f t="shared" si="45"/>
        <v/>
      </c>
      <c r="E847" t="str">
        <f>SUBSTITUTE(IF(LEFT(A847,3)="Câu",MID(A847,FIND(".",A847,1)+2,LEN(A847)),""),CHAR(34),CHAR(92)&amp;CHAR(34))</f>
        <v/>
      </c>
      <c r="G847" t="str">
        <f>SUBSTITUTE(B848,CHAR(34),CHAR(92)&amp;CHAR(34))</f>
        <v>Nhanh chóng loại bỏ nguyên nhân gây bỏng bằng cách tách nạn nhân khỏi vật gây cháy, cởi bỏ quần áo nếu bén lửa, ngâm vùng da bị bỏng vào nước sạch hoặc đắp khăn mát, lưu ý không dùng khăn hoặc nước quá lạnh.</v>
      </c>
      <c r="H847" t="str">
        <f>SUBSTITUTE(B849,CHAR(34),CHAR(92)&amp;CHAR(34))</f>
        <v>Nếu nạn nhân còn tỉnh, cần cho uống bù nước. Trong thời tiết lạnh, cần giữ ấm cho cơ thể nạn nhân, sau đó nhanh chóng đưa đến cơ sở y tế gần nhất.</v>
      </c>
      <c r="I847" t="str">
        <f>SUBSTITUTE(IF(LEFT(A850,3)="Câu","",B850),CHAR(34),CHAR(92)&amp;CHAR(34))</f>
        <v xml:space="preserve"> Cả ba ý trên.</v>
      </c>
      <c r="J847" t="str">
        <f>SUBSTITUTE(IF(OR(LEFT(A851,3)="Câu",I847=""),"",IF(B851=0,"",B851)),CHAR(34),CHAR(92)&amp;CHAR(34))</f>
        <v/>
      </c>
      <c r="K847" t="str">
        <f>SUBSTITUTE(SUBSTITUTE(SUBSTITUTE(SUBSTITUTE(IFERROR(VLOOKUP("Câu "&amp;D847&amp;".",dapan!$E:$J,6,0),""),"1","A"),"2","B"),"3","C"),"4","D")</f>
        <v/>
      </c>
      <c r="P847" t="str">
        <f t="shared" si="46"/>
        <v/>
      </c>
      <c r="Q847" t="str">
        <f t="shared" si="47"/>
        <v/>
      </c>
    </row>
    <row r="848" spans="1:17" hidden="1" x14ac:dyDescent="0.25">
      <c r="A848">
        <v>2</v>
      </c>
      <c r="B848" t="s">
        <v>721</v>
      </c>
      <c r="C848">
        <f>IFERROR(COUNTIFS($A$1:A848,"Câu "&amp;"*")-MID(A848,5,FIND(".",A848,1)-5),0)</f>
        <v>0</v>
      </c>
      <c r="D848" t="str">
        <f t="shared" si="45"/>
        <v/>
      </c>
      <c r="E848" t="str">
        <f>SUBSTITUTE(IF(LEFT(A848,3)="Câu",MID(A848,FIND(".",A848,1)+2,LEN(A848)),""),CHAR(34),CHAR(92)&amp;CHAR(34))</f>
        <v/>
      </c>
      <c r="G848" t="str">
        <f>SUBSTITUTE(B849,CHAR(34),CHAR(92)&amp;CHAR(34))</f>
        <v>Nếu nạn nhân còn tỉnh, cần cho uống bù nước. Trong thời tiết lạnh, cần giữ ấm cho cơ thể nạn nhân, sau đó nhanh chóng đưa đến cơ sở y tế gần nhất.</v>
      </c>
      <c r="H848" t="str">
        <f>SUBSTITUTE(B850,CHAR(34),CHAR(92)&amp;CHAR(34))</f>
        <v xml:space="preserve"> Cả ba ý trên.</v>
      </c>
      <c r="I848" t="str">
        <f>SUBSTITUTE(IF(LEFT(A851,3)="Câu","",B851),CHAR(34),CHAR(92)&amp;CHAR(34))</f>
        <v/>
      </c>
      <c r="J848" t="str">
        <f>SUBSTITUTE(IF(OR(LEFT(A852,3)="Câu",I848=""),"",IF(B852=0,"",B852)),CHAR(34),CHAR(92)&amp;CHAR(34))</f>
        <v/>
      </c>
      <c r="K848" t="str">
        <f>SUBSTITUTE(SUBSTITUTE(SUBSTITUTE(SUBSTITUTE(IFERROR(VLOOKUP("Câu "&amp;D848&amp;".",dapan!$E:$J,6,0),""),"1","A"),"2","B"),"3","C"),"4","D")</f>
        <v/>
      </c>
      <c r="P848" t="str">
        <f t="shared" si="46"/>
        <v/>
      </c>
      <c r="Q848" t="str">
        <f t="shared" si="47"/>
        <v/>
      </c>
    </row>
    <row r="849" spans="1:17" hidden="1" x14ac:dyDescent="0.25">
      <c r="A849">
        <v>3</v>
      </c>
      <c r="B849" t="s">
        <v>722</v>
      </c>
      <c r="C849">
        <f>IFERROR(COUNTIFS($A$1:A849,"Câu "&amp;"*")-MID(A849,5,FIND(".",A849,1)-5),0)</f>
        <v>0</v>
      </c>
      <c r="D849" t="str">
        <f t="shared" si="45"/>
        <v/>
      </c>
      <c r="E849" t="str">
        <f>SUBSTITUTE(IF(LEFT(A849,3)="Câu",MID(A849,FIND(".",A849,1)+2,LEN(A849)),""),CHAR(34),CHAR(92)&amp;CHAR(34))</f>
        <v/>
      </c>
      <c r="G849" t="str">
        <f>SUBSTITUTE(B850,CHAR(34),CHAR(92)&amp;CHAR(34))</f>
        <v xml:space="preserve"> Cả ba ý trên.</v>
      </c>
      <c r="H849" t="str">
        <f>SUBSTITUTE(B851,CHAR(34),CHAR(92)&amp;CHAR(34))</f>
        <v/>
      </c>
      <c r="I849" t="str">
        <f>SUBSTITUTE(IF(LEFT(A852,3)="Câu","",B852),CHAR(34),CHAR(92)&amp;CHAR(34))</f>
        <v/>
      </c>
      <c r="J849" t="str">
        <f>SUBSTITUTE(IF(OR(LEFT(A853,3)="Câu",I849=""),"",IF(B853=0,"",B853)),CHAR(34),CHAR(92)&amp;CHAR(34))</f>
        <v/>
      </c>
      <c r="K849" t="str">
        <f>SUBSTITUTE(SUBSTITUTE(SUBSTITUTE(SUBSTITUTE(IFERROR(VLOOKUP("Câu "&amp;D849&amp;".",dapan!$E:$J,6,0),""),"1","A"),"2","B"),"3","C"),"4","D")</f>
        <v/>
      </c>
      <c r="P849" t="str">
        <f t="shared" si="46"/>
        <v/>
      </c>
      <c r="Q849" t="str">
        <f t="shared" si="47"/>
        <v/>
      </c>
    </row>
    <row r="850" spans="1:17" hidden="1" x14ac:dyDescent="0.25">
      <c r="A850">
        <v>4</v>
      </c>
      <c r="B850" t="s">
        <v>89</v>
      </c>
      <c r="C850">
        <f>IFERROR(COUNTIFS($A$1:A850,"Câu "&amp;"*")-MID(A850,5,FIND(".",A850,1)-5),0)</f>
        <v>0</v>
      </c>
      <c r="D850" t="str">
        <f t="shared" si="45"/>
        <v/>
      </c>
      <c r="E850" t="str">
        <f>SUBSTITUTE(IF(LEFT(A850,3)="Câu",MID(A850,FIND(".",A850,1)+2,LEN(A850)),""),CHAR(34),CHAR(92)&amp;CHAR(34))</f>
        <v/>
      </c>
      <c r="G850" t="str">
        <f>SUBSTITUTE(B851,CHAR(34),CHAR(92)&amp;CHAR(34))</f>
        <v/>
      </c>
      <c r="H850" t="str">
        <f>SUBSTITUTE(B852,CHAR(34),CHAR(92)&amp;CHAR(34))</f>
        <v/>
      </c>
      <c r="I850" t="str">
        <f>SUBSTITUTE(IF(LEFT(A853,3)="Câu","",B853),CHAR(34),CHAR(92)&amp;CHAR(34))</f>
        <v xml:space="preserve"> Giữ tay ga ở mức độ phù hợp, sử dụng phanh trước và phanh sau để giảm tốc độ.</v>
      </c>
      <c r="J850" t="str">
        <f>SUBSTITUTE(IF(OR(LEFT(A854,3)="Câu",I850=""),"",IF(B854=0,"",B854)),CHAR(34),CHAR(92)&amp;CHAR(34))</f>
        <v>Nhả hết tay ga, tắt động cơ, sử dụng phanh trước và phanh sau để giảm tốc độ.</v>
      </c>
      <c r="K850" t="str">
        <f>SUBSTITUTE(SUBSTITUTE(SUBSTITUTE(SUBSTITUTE(IFERROR(VLOOKUP("Câu "&amp;D850&amp;".",dapan!$E:$J,6,0),""),"1","A"),"2","B"),"3","C"),"4","D")</f>
        <v/>
      </c>
      <c r="P850" t="str">
        <f t="shared" si="46"/>
        <v/>
      </c>
      <c r="Q850" t="str">
        <f t="shared" si="47"/>
        <v/>
      </c>
    </row>
    <row r="851" spans="1:17" hidden="1" x14ac:dyDescent="0.25">
      <c r="A851" t="s">
        <v>723</v>
      </c>
      <c r="C851">
        <f>IFERROR(COUNTIFS($A$1:A851,"Câu "&amp;"*")-MID(A851,5,FIND(".",A851,1)-5),0)</f>
        <v>0</v>
      </c>
      <c r="D851" t="str">
        <f t="shared" si="45"/>
        <v/>
      </c>
      <c r="E851" t="str">
        <f>SUBSTITUTE(IF(LEFT(A851,3)="Câu",MID(A851,FIND(".",A851,1)+2,LEN(A851)),""),CHAR(34),CHAR(92)&amp;CHAR(34))</f>
        <v/>
      </c>
      <c r="G851" t="str">
        <f>SUBSTITUTE(B852,CHAR(34),CHAR(92)&amp;CHAR(34))</f>
        <v/>
      </c>
      <c r="H851" t="str">
        <f>SUBSTITUTE(B853,CHAR(34),CHAR(92)&amp;CHAR(34))</f>
        <v xml:space="preserve"> Giữ tay ga ở mức độ phù hợp, sử dụng phanh trước và phanh sau để giảm tốc độ.</v>
      </c>
      <c r="I851" t="str">
        <f>SUBSTITUTE(IF(LEFT(A854,3)="Câu","",B854),CHAR(34),CHAR(92)&amp;CHAR(34))</f>
        <v>Nhả hết tay ga, tắt động cơ, sử dụng phanh trước và phanh sau để giảm tốc độ.</v>
      </c>
      <c r="J851" t="str">
        <f>SUBSTITUTE(IF(OR(LEFT(A855,3)="Câu",I851=""),"",IF(B855=0,"",B855)),CHAR(34),CHAR(92)&amp;CHAR(34))</f>
        <v>Sử dụng phanh trước để giảm tốc độ kết hợp với tắt chìa khóa điện của xe.</v>
      </c>
      <c r="K851" t="str">
        <f>SUBSTITUTE(SUBSTITUTE(SUBSTITUTE(SUBSTITUTE(IFERROR(VLOOKUP("Câu "&amp;D851&amp;".",dapan!$E:$J,6,0),""),"1","A"),"2","B"),"3","C"),"4","D")</f>
        <v/>
      </c>
      <c r="P851" t="str">
        <f t="shared" si="46"/>
        <v/>
      </c>
      <c r="Q851" t="str">
        <f t="shared" si="47"/>
        <v/>
      </c>
    </row>
    <row r="852" spans="1:17" x14ac:dyDescent="0.25">
      <c r="A852" t="s">
        <v>724</v>
      </c>
      <c r="C852">
        <f>IFERROR(COUNTIFS($A$1:A852,"Câu "&amp;"*")-MID(A852,5,FIND(".",A852,1)-5),0)</f>
        <v>0</v>
      </c>
      <c r="D852">
        <f t="shared" si="45"/>
        <v>206</v>
      </c>
      <c r="E852" t="str">
        <f>SUBSTITUTE(IF(LEFT(A852,3)="Câu",MID(A852,FIND(".",A852,1)+2,LEN(A852)),""),CHAR(34),CHAR(92)&amp;CHAR(34))</f>
        <v>Khi điều khiển xe mô tô tay ga xuống đường dốc dài, độ dốc cao, người lái xe cần thực hiện các thao tác nào dưới đây để bảo đảm an toàn?</v>
      </c>
      <c r="G852" t="str">
        <f>SUBSTITUTE(B853,CHAR(34),CHAR(92)&amp;CHAR(34))</f>
        <v xml:space="preserve"> Giữ tay ga ở mức độ phù hợp, sử dụng phanh trước và phanh sau để giảm tốc độ.</v>
      </c>
      <c r="H852" t="str">
        <f>SUBSTITUTE(B854,CHAR(34),CHAR(92)&amp;CHAR(34))</f>
        <v>Nhả hết tay ga, tắt động cơ, sử dụng phanh trước và phanh sau để giảm tốc độ.</v>
      </c>
      <c r="I852" t="str">
        <f>SUBSTITUTE(IF(LEFT(A855,3)="Câu","",B855),CHAR(34),CHAR(92)&amp;CHAR(34))</f>
        <v>Sử dụng phanh trước để giảm tốc độ kết hợp với tắt chìa khóa điện của xe.</v>
      </c>
      <c r="J852" t="str">
        <f>SUBSTITUTE(IF(OR(LEFT(A856,3)="Câu",I852=""),"",IF(B856=0,"",B856)),CHAR(34),CHAR(92)&amp;CHAR(34))</f>
        <v/>
      </c>
      <c r="K852" t="str">
        <f ca="1">SUBSTITUTE(SUBSTITUTE(SUBSTITUTE(SUBSTITUTE(IFERROR(VLOOKUP("Câu "&amp;D852&amp;".",dapan!$E:$J,6,0),""),"1","A"),"2","B"),"3","C"),"4","D")</f>
        <v>A</v>
      </c>
      <c r="P852">
        <f t="shared" si="46"/>
        <v>206</v>
      </c>
      <c r="Q852" t="str">
        <f t="shared" ca="1" si="47"/>
        <v>{"num":206,"id":206,"q":"Khi điều khiển xe mô tô tay ga xuống đường dốc dài, độ dốc cao, người lái xe cần thực hiện các thao tác nào dưới đây để bảo đảm an toàn?","opts":{"A":" Giữ tay ga ở mức độ phù hợp, sử dụng phanh trước và phanh sau để giảm tốc độ.","B":"Nhả hết tay ga, tắt động cơ, sử dụng phanh trước và phanh sau để giảm tốc độ.","C":"Sử dụng phanh trước để giảm tốc độ kết hợp với tắt chìa khóa điện của xe."},"answer":"A"},</v>
      </c>
    </row>
    <row r="853" spans="1:17" hidden="1" x14ac:dyDescent="0.25">
      <c r="A853">
        <v>1</v>
      </c>
      <c r="B853" t="s">
        <v>725</v>
      </c>
      <c r="C853">
        <f>IFERROR(COUNTIFS($A$1:A853,"Câu "&amp;"*")-MID(A853,5,FIND(".",A853,1)-5),0)</f>
        <v>0</v>
      </c>
      <c r="D853" t="str">
        <f t="shared" si="45"/>
        <v/>
      </c>
      <c r="E853" t="str">
        <f>SUBSTITUTE(IF(LEFT(A853,3)="Câu",MID(A853,FIND(".",A853,1)+2,LEN(A853)),""),CHAR(34),CHAR(92)&amp;CHAR(34))</f>
        <v/>
      </c>
      <c r="G853" t="str">
        <f>SUBSTITUTE(B854,CHAR(34),CHAR(92)&amp;CHAR(34))</f>
        <v>Nhả hết tay ga, tắt động cơ, sử dụng phanh trước và phanh sau để giảm tốc độ.</v>
      </c>
      <c r="H853" t="str">
        <f>SUBSTITUTE(B855,CHAR(34),CHAR(92)&amp;CHAR(34))</f>
        <v>Sử dụng phanh trước để giảm tốc độ kết hợp với tắt chìa khóa điện của xe.</v>
      </c>
      <c r="I853" t="str">
        <f>SUBSTITUTE(IF(LEFT(A856,3)="Câu","",B856),CHAR(34),CHAR(92)&amp;CHAR(34))</f>
        <v/>
      </c>
      <c r="J853" t="str">
        <f>SUBSTITUTE(IF(OR(LEFT(A857,3)="Câu",I853=""),"",IF(B857=0,"",B857)),CHAR(34),CHAR(92)&amp;CHAR(34))</f>
        <v/>
      </c>
      <c r="K853" t="str">
        <f>SUBSTITUTE(SUBSTITUTE(SUBSTITUTE(SUBSTITUTE(IFERROR(VLOOKUP("Câu "&amp;D853&amp;".",dapan!$E:$J,6,0),""),"1","A"),"2","B"),"3","C"),"4","D")</f>
        <v/>
      </c>
      <c r="P853" t="str">
        <f t="shared" si="46"/>
        <v/>
      </c>
      <c r="Q853" t="str">
        <f t="shared" si="47"/>
        <v/>
      </c>
    </row>
    <row r="854" spans="1:17" hidden="1" x14ac:dyDescent="0.25">
      <c r="A854">
        <v>2</v>
      </c>
      <c r="B854" t="s">
        <v>726</v>
      </c>
      <c r="C854">
        <f>IFERROR(COUNTIFS($A$1:A854,"Câu "&amp;"*")-MID(A854,5,FIND(".",A854,1)-5),0)</f>
        <v>0</v>
      </c>
      <c r="D854" t="str">
        <f t="shared" si="45"/>
        <v/>
      </c>
      <c r="E854" t="str">
        <f>SUBSTITUTE(IF(LEFT(A854,3)="Câu",MID(A854,FIND(".",A854,1)+2,LEN(A854)),""),CHAR(34),CHAR(92)&amp;CHAR(34))</f>
        <v/>
      </c>
      <c r="G854" t="str">
        <f>SUBSTITUTE(B855,CHAR(34),CHAR(92)&amp;CHAR(34))</f>
        <v>Sử dụng phanh trước để giảm tốc độ kết hợp với tắt chìa khóa điện của xe.</v>
      </c>
      <c r="H854" t="str">
        <f>SUBSTITUTE(B856,CHAR(34),CHAR(92)&amp;CHAR(34))</f>
        <v/>
      </c>
      <c r="I854" t="str">
        <f>SUBSTITUTE(IF(LEFT(A857,3)="Câu","",B857),CHAR(34),CHAR(92)&amp;CHAR(34))</f>
        <v xml:space="preserve"> Đạp bàn đạp phanh chân hết hành trình, vào số và nhả phanh đỗ, kiểm tra lại xem có bị nhầm số không rồi mới cho xe lăn bánh.</v>
      </c>
      <c r="J854" t="str">
        <f>SUBSTITUTE(IF(OR(LEFT(A858,3)="Câu",I854=""),"",IF(B858=0,"",B858)),CHAR(34),CHAR(92)&amp;CHAR(34))</f>
        <v>Đạp bàn đạp để tăng ga với mức độ phù hợp, vào số và kiểm tra lại xem có bị nhầm số không rồi mới cho xe lăn bánh.</v>
      </c>
      <c r="K854" t="str">
        <f>SUBSTITUTE(SUBSTITUTE(SUBSTITUTE(SUBSTITUTE(IFERROR(VLOOKUP("Câu "&amp;D854&amp;".",dapan!$E:$J,6,0),""),"1","A"),"2","B"),"3","C"),"4","D")</f>
        <v/>
      </c>
      <c r="P854" t="str">
        <f t="shared" si="46"/>
        <v/>
      </c>
      <c r="Q854" t="str">
        <f t="shared" si="47"/>
        <v/>
      </c>
    </row>
    <row r="855" spans="1:17" hidden="1" x14ac:dyDescent="0.25">
      <c r="A855">
        <v>3</v>
      </c>
      <c r="B855" t="s">
        <v>727</v>
      </c>
      <c r="C855">
        <f>IFERROR(COUNTIFS($A$1:A855,"Câu "&amp;"*")-MID(A855,5,FIND(".",A855,1)-5),0)</f>
        <v>0</v>
      </c>
      <c r="D855" t="str">
        <f t="shared" si="45"/>
        <v/>
      </c>
      <c r="E855" t="str">
        <f>SUBSTITUTE(IF(LEFT(A855,3)="Câu",MID(A855,FIND(".",A855,1)+2,LEN(A855)),""),CHAR(34),CHAR(92)&amp;CHAR(34))</f>
        <v/>
      </c>
      <c r="G855" t="str">
        <f>SUBSTITUTE(B856,CHAR(34),CHAR(92)&amp;CHAR(34))</f>
        <v/>
      </c>
      <c r="H855" t="str">
        <f>SUBSTITUTE(B857,CHAR(34),CHAR(92)&amp;CHAR(34))</f>
        <v xml:space="preserve"> Đạp bàn đạp phanh chân hết hành trình, vào số và nhả phanh đỗ, kiểm tra lại xem có bị nhầm số không rồi mới cho xe lăn bánh.</v>
      </c>
      <c r="I855" t="str">
        <f>SUBSTITUTE(IF(LEFT(A858,3)="Câu","",B858),CHAR(34),CHAR(92)&amp;CHAR(34))</f>
        <v>Đạp bàn đạp để tăng ga với mức độ phù hợp, vào số và kiểm tra lại xem có bị nhầm số không rồi mới cho xe lăn bánh.</v>
      </c>
      <c r="J855" t="str">
        <f>SUBSTITUTE(IF(OR(LEFT(A859,3)="Câu",I855=""),"",IF(B859=0,"",B859)),CHAR(34),CHAR(92)&amp;CHAR(34))</f>
        <v/>
      </c>
      <c r="K855" t="str">
        <f>SUBSTITUTE(SUBSTITUTE(SUBSTITUTE(SUBSTITUTE(IFERROR(VLOOKUP("Câu "&amp;D855&amp;".",dapan!$E:$J,6,0),""),"1","A"),"2","B"),"3","C"),"4","D")</f>
        <v/>
      </c>
      <c r="P855" t="str">
        <f t="shared" si="46"/>
        <v/>
      </c>
      <c r="Q855" t="str">
        <f t="shared" si="47"/>
        <v/>
      </c>
    </row>
    <row r="856" spans="1:17" x14ac:dyDescent="0.25">
      <c r="A856" t="s">
        <v>728</v>
      </c>
      <c r="C856">
        <f>IFERROR(COUNTIFS($A$1:A856,"Câu "&amp;"*")-MID(A856,5,FIND(".",A856,1)-5),0)</f>
        <v>0</v>
      </c>
      <c r="D856">
        <f t="shared" si="45"/>
        <v>207</v>
      </c>
      <c r="E856" t="str">
        <f>SUBSTITUTE(IF(LEFT(A856,3)="Câu",MID(A856,FIND(".",A856,1)+2,LEN(A856)),""),CHAR(34),CHAR(92)&amp;CHAR(34))</f>
        <v>Khi vào số để khởi hành xe ô tô có số tự động, người lái xe phải thực hiện các thao tác nào để bảo đảm an toàn?</v>
      </c>
      <c r="G856" t="str">
        <f>SUBSTITUTE(B857,CHAR(34),CHAR(92)&amp;CHAR(34))</f>
        <v xml:space="preserve"> Đạp bàn đạp phanh chân hết hành trình, vào số và nhả phanh đỗ, kiểm tra lại xem có bị nhầm số không rồi mới cho xe lăn bánh.</v>
      </c>
      <c r="H856" t="str">
        <f>SUBSTITUTE(B858,CHAR(34),CHAR(92)&amp;CHAR(34))</f>
        <v>Đạp bàn đạp để tăng ga với mức độ phù hợp, vào số và kiểm tra lại xem có bị nhầm số không rồi mới cho xe lăn bánh.</v>
      </c>
      <c r="I856" t="str">
        <f>SUBSTITUTE(IF(LEFT(A859,3)="Câu","",B859),CHAR(34),CHAR(92)&amp;CHAR(34))</f>
        <v/>
      </c>
      <c r="J856" t="str">
        <f>SUBSTITUTE(IF(OR(LEFT(A860,3)="Câu",I856=""),"",IF(B860=0,"",B860)),CHAR(34),CHAR(92)&amp;CHAR(34))</f>
        <v/>
      </c>
      <c r="K856" t="str">
        <f ca="1">SUBSTITUTE(SUBSTITUTE(SUBSTITUTE(SUBSTITUTE(IFERROR(VLOOKUP("Câu "&amp;D856&amp;".",dapan!$E:$J,6,0),""),"1","A"),"2","B"),"3","C"),"4","D")</f>
        <v>A</v>
      </c>
      <c r="P856">
        <f t="shared" si="46"/>
        <v>207</v>
      </c>
      <c r="Q856" t="str">
        <f t="shared" ca="1" si="47"/>
        <v>{"num":207,"id":207,"q":"Khi vào số để khởi hành xe ô tô có số tự động, người lái xe phải thực hiện các thao tác nào để bảo đảm an toàn?","opts":{"A":" Đạp bàn đạp phanh chân hết hành trình, vào số và nhả phanh đỗ, kiểm tra lại xem có bị nhầm số không rồi mới cho xe lăn bánh.","B":"Đạp bàn đạp để tăng ga với mức độ phù hợp, vào số và kiểm tra lại xem có bị nhầm số không rồi mới cho xe lăn bánh."},"answer":"A"},</v>
      </c>
    </row>
    <row r="857" spans="1:17" hidden="1" x14ac:dyDescent="0.25">
      <c r="A857">
        <v>1</v>
      </c>
      <c r="B857" t="s">
        <v>729</v>
      </c>
      <c r="C857">
        <f>IFERROR(COUNTIFS($A$1:A857,"Câu "&amp;"*")-MID(A857,5,FIND(".",A857,1)-5),0)</f>
        <v>0</v>
      </c>
      <c r="D857" t="str">
        <f t="shared" ref="D857:D920" si="48">IF(LEFT(A857,3)="Câu",VALUE(MID(A857,5,FIND(".",A857,1)-5)),"")</f>
        <v/>
      </c>
      <c r="E857" t="str">
        <f>SUBSTITUTE(IF(LEFT(A857,3)="Câu",MID(A857,FIND(".",A857,1)+2,LEN(A857)),""),CHAR(34),CHAR(92)&amp;CHAR(34))</f>
        <v/>
      </c>
      <c r="G857" t="str">
        <f>SUBSTITUTE(B858,CHAR(34),CHAR(92)&amp;CHAR(34))</f>
        <v>Đạp bàn đạp để tăng ga với mức độ phù hợp, vào số và kiểm tra lại xem có bị nhầm số không rồi mới cho xe lăn bánh.</v>
      </c>
      <c r="H857" t="str">
        <f>SUBSTITUTE(B859,CHAR(34),CHAR(92)&amp;CHAR(34))</f>
        <v/>
      </c>
      <c r="I857" t="str">
        <f>SUBSTITUTE(IF(LEFT(A860,3)="Câu","",B860),CHAR(34),CHAR(92)&amp;CHAR(34))</f>
        <v>Dùng lực tay phải kéo cần phanh tay về phía sau hết hành trình; nếu khóa hãm bị kẹt cứng phải đẩy mạnh phanh tay về phía trước, sau đó bóp khóa hãm.</v>
      </c>
      <c r="J857" t="str">
        <f>SUBSTITUTE(IF(OR(LEFT(A861,3)="Câu",I857=""),"",IF(B861=0,"",B861)),CHAR(34),CHAR(92)&amp;CHAR(34))</f>
        <v xml:space="preserve"> Dùng lực tay phải bóp khóa hãm đẩy cần phanh tay về phía trước hết hành trình; nếu khóa hãm bị kẹt cứng phải kéo cần phanh tay về phía sau đồng thời bóp khóa hãm.</v>
      </c>
      <c r="K857" t="str">
        <f>SUBSTITUTE(SUBSTITUTE(SUBSTITUTE(SUBSTITUTE(IFERROR(VLOOKUP("Câu "&amp;D857&amp;".",dapan!$E:$J,6,0),""),"1","A"),"2","B"),"3","C"),"4","D")</f>
        <v/>
      </c>
      <c r="P857" t="str">
        <f t="shared" si="46"/>
        <v/>
      </c>
      <c r="Q857" t="str">
        <f t="shared" si="47"/>
        <v/>
      </c>
    </row>
    <row r="858" spans="1:17" hidden="1" x14ac:dyDescent="0.25">
      <c r="A858">
        <v>2</v>
      </c>
      <c r="B858" t="s">
        <v>730</v>
      </c>
      <c r="C858">
        <f>IFERROR(COUNTIFS($A$1:A858,"Câu "&amp;"*")-MID(A858,5,FIND(".",A858,1)-5),0)</f>
        <v>0</v>
      </c>
      <c r="D858" t="str">
        <f t="shared" si="48"/>
        <v/>
      </c>
      <c r="E858" t="str">
        <f>SUBSTITUTE(IF(LEFT(A858,3)="Câu",MID(A858,FIND(".",A858,1)+2,LEN(A858)),""),CHAR(34),CHAR(92)&amp;CHAR(34))</f>
        <v/>
      </c>
      <c r="G858" t="str">
        <f>SUBSTITUTE(B859,CHAR(34),CHAR(92)&amp;CHAR(34))</f>
        <v/>
      </c>
      <c r="H858" t="str">
        <f>SUBSTITUTE(B860,CHAR(34),CHAR(92)&amp;CHAR(34))</f>
        <v>Dùng lực tay phải kéo cần phanh tay về phía sau hết hành trình; nếu khóa hãm bị kẹt cứng phải đẩy mạnh phanh tay về phía trước, sau đó bóp khóa hãm.</v>
      </c>
      <c r="I858" t="str">
        <f>SUBSTITUTE(IF(LEFT(A861,3)="Câu","",B861),CHAR(34),CHAR(92)&amp;CHAR(34))</f>
        <v xml:space="preserve"> Dùng lực tay phải bóp khóa hãm đẩy cần phanh tay về phía trước hết hành trình; nếu khóa hãm bị kẹt cứng phải kéo cần phanh tay về phía sau đồng thời bóp khóa hãm.</v>
      </c>
      <c r="J858" t="str">
        <f>SUBSTITUTE(IF(OR(LEFT(A862,3)="Câu",I858=""),"",IF(B862=0,"",B862)),CHAR(34),CHAR(92)&amp;CHAR(34))</f>
        <v>Dùng lực tay phải đẩy cần phanh tay về phía trước hết hành trình; nếu khóa hãm bị kẹt cứng phải đẩy mạnh phanh tay về phía trước, sau đó bóp khóa hãm.</v>
      </c>
      <c r="K858" t="str">
        <f>SUBSTITUTE(SUBSTITUTE(SUBSTITUTE(SUBSTITUTE(IFERROR(VLOOKUP("Câu "&amp;D858&amp;".",dapan!$E:$J,6,0),""),"1","A"),"2","B"),"3","C"),"4","D")</f>
        <v/>
      </c>
      <c r="P858" t="str">
        <f t="shared" si="46"/>
        <v/>
      </c>
      <c r="Q858" t="str">
        <f t="shared" si="47"/>
        <v/>
      </c>
    </row>
    <row r="859" spans="1:17" x14ac:dyDescent="0.25">
      <c r="A859" t="s">
        <v>731</v>
      </c>
      <c r="C859">
        <f>IFERROR(COUNTIFS($A$1:A859,"Câu "&amp;"*")-MID(A859,5,FIND(".",A859,1)-5),0)</f>
        <v>0</v>
      </c>
      <c r="D859">
        <f t="shared" si="48"/>
        <v>208</v>
      </c>
      <c r="E859" t="str">
        <f>SUBSTITUTE(IF(LEFT(A859,3)="Câu",MID(A859,FIND(".",A859,1)+2,LEN(A859)),""),CHAR(34),CHAR(92)&amp;CHAR(34))</f>
        <v>Khi nhả phanh đỗ cơ khí điều khiển bằng tay (phanh tay), người lái xe cần phải thực hiện các thao tác nào?</v>
      </c>
      <c r="G859" t="str">
        <f>SUBSTITUTE(B860,CHAR(34),CHAR(92)&amp;CHAR(34))</f>
        <v>Dùng lực tay phải kéo cần phanh tay về phía sau hết hành trình; nếu khóa hãm bị kẹt cứng phải đẩy mạnh phanh tay về phía trước, sau đó bóp khóa hãm.</v>
      </c>
      <c r="H859" t="str">
        <f>SUBSTITUTE(B861,CHAR(34),CHAR(92)&amp;CHAR(34))</f>
        <v xml:space="preserve"> Dùng lực tay phải bóp khóa hãm đẩy cần phanh tay về phía trước hết hành trình; nếu khóa hãm bị kẹt cứng phải kéo cần phanh tay về phía sau đồng thời bóp khóa hãm.</v>
      </c>
      <c r="I859" t="str">
        <f>SUBSTITUTE(IF(LEFT(A862,3)="Câu","",B862),CHAR(34),CHAR(92)&amp;CHAR(34))</f>
        <v>Dùng lực tay phải đẩy cần phanh tay về phía trước hết hành trình; nếu khóa hãm bị kẹt cứng phải đẩy mạnh phanh tay về phía trước, sau đó bóp khóa hãm.</v>
      </c>
      <c r="J859" t="str">
        <f>SUBSTITUTE(IF(OR(LEFT(A863,3)="Câu",I859=""),"",IF(B863=0,"",B863)),CHAR(34),CHAR(92)&amp;CHAR(34))</f>
        <v/>
      </c>
      <c r="K859" t="str">
        <f ca="1">SUBSTITUTE(SUBSTITUTE(SUBSTITUTE(SUBSTITUTE(IFERROR(VLOOKUP("Câu "&amp;D859&amp;".",dapan!$E:$J,6,0),""),"1","A"),"2","B"),"3","C"),"4","D")</f>
        <v>B</v>
      </c>
      <c r="P859">
        <f t="shared" si="46"/>
        <v>208</v>
      </c>
      <c r="Q859" t="str">
        <f t="shared" ca="1" si="47"/>
        <v>{"num":208,"id":208,"q":"Khi nhả phanh đỗ cơ khí điều khiển bằng tay (phanh tay), người lái xe cần phải thực hiện các thao tác nào?","opts":{"A":"Dùng lực tay phải kéo cần phanh tay về phía sau hết hành trình; nếu khóa hãm bị kẹt cứng phải đẩy mạnh phanh tay về phía trước, sau đó bóp khóa hãm.","B":" Dùng lực tay phải bóp khóa hãm đẩy cần phanh tay về phía trước hết hành trình; nếu khóa hãm bị kẹt cứng phải kéo cần phanh tay về phía sau đồng thời bóp khóa hãm.","C":"Dùng lực tay phải đẩy cần phanh tay về phía trước hết hành trình; nếu khóa hãm bị kẹt cứng phải đẩy mạnh phanh tay về phía trước, sau đó bóp khóa hãm."},"answer":"B"},</v>
      </c>
    </row>
    <row r="860" spans="1:17" hidden="1" x14ac:dyDescent="0.25">
      <c r="A860">
        <v>1</v>
      </c>
      <c r="B860" t="s">
        <v>732</v>
      </c>
      <c r="C860">
        <f>IFERROR(COUNTIFS($A$1:A860,"Câu "&amp;"*")-MID(A860,5,FIND(".",A860,1)-5),0)</f>
        <v>0</v>
      </c>
      <c r="D860" t="str">
        <f t="shared" si="48"/>
        <v/>
      </c>
      <c r="E860" t="str">
        <f>SUBSTITUTE(IF(LEFT(A860,3)="Câu",MID(A860,FIND(".",A860,1)+2,LEN(A860)),""),CHAR(34),CHAR(92)&amp;CHAR(34))</f>
        <v/>
      </c>
      <c r="G860" t="str">
        <f>SUBSTITUTE(B861,CHAR(34),CHAR(92)&amp;CHAR(34))</f>
        <v xml:space="preserve"> Dùng lực tay phải bóp khóa hãm đẩy cần phanh tay về phía trước hết hành trình; nếu khóa hãm bị kẹt cứng phải kéo cần phanh tay về phía sau đồng thời bóp khóa hãm.</v>
      </c>
      <c r="H860" t="str">
        <f>SUBSTITUTE(B862,CHAR(34),CHAR(92)&amp;CHAR(34))</f>
        <v>Dùng lực tay phải đẩy cần phanh tay về phía trước hết hành trình; nếu khóa hãm bị kẹt cứng phải đẩy mạnh phanh tay về phía trước, sau đó bóp khóa hãm.</v>
      </c>
      <c r="I860" t="str">
        <f>SUBSTITUTE(IF(LEFT(A863,3)="Câu","",B863),CHAR(34),CHAR(92)&amp;CHAR(34))</f>
        <v/>
      </c>
      <c r="J860" t="str">
        <f>SUBSTITUTE(IF(OR(LEFT(A864,3)="Câu",I860=""),"",IF(B864=0,"",B864)),CHAR(34),CHAR(92)&amp;CHAR(34))</f>
        <v/>
      </c>
      <c r="K860" t="str">
        <f>SUBSTITUTE(SUBSTITUTE(SUBSTITUTE(SUBSTITUTE(IFERROR(VLOOKUP("Câu "&amp;D860&amp;".",dapan!$E:$J,6,0),""),"1","A"),"2","B"),"3","C"),"4","D")</f>
        <v/>
      </c>
      <c r="P860" t="str">
        <f t="shared" si="46"/>
        <v/>
      </c>
      <c r="Q860" t="str">
        <f t="shared" si="47"/>
        <v/>
      </c>
    </row>
    <row r="861" spans="1:17" hidden="1" x14ac:dyDescent="0.25">
      <c r="A861">
        <v>2</v>
      </c>
      <c r="B861" t="s">
        <v>733</v>
      </c>
      <c r="C861">
        <f>IFERROR(COUNTIFS($A$1:A861,"Câu "&amp;"*")-MID(A861,5,FIND(".",A861,1)-5),0)</f>
        <v>0</v>
      </c>
      <c r="D861" t="str">
        <f t="shared" si="48"/>
        <v/>
      </c>
      <c r="E861" t="str">
        <f>SUBSTITUTE(IF(LEFT(A861,3)="Câu",MID(A861,FIND(".",A861,1)+2,LEN(A861)),""),CHAR(34),CHAR(92)&amp;CHAR(34))</f>
        <v/>
      </c>
      <c r="G861" t="str">
        <f>SUBSTITUTE(B862,CHAR(34),CHAR(92)&amp;CHAR(34))</f>
        <v>Dùng lực tay phải đẩy cần phanh tay về phía trước hết hành trình; nếu khóa hãm bị kẹt cứng phải đẩy mạnh phanh tay về phía trước, sau đó bóp khóa hãm.</v>
      </c>
      <c r="H861" t="str">
        <f>SUBSTITUTE(B863,CHAR(34),CHAR(92)&amp;CHAR(34))</f>
        <v/>
      </c>
      <c r="I861" t="str">
        <f>SUBSTITUTE(IF(LEFT(A864,3)="Câu","",B864),CHAR(34),CHAR(92)&amp;CHAR(34))</f>
        <v>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côn để cho xe ô tô chuyển động.</v>
      </c>
      <c r="J861" t="str">
        <f>SUBSTITUTE(IF(OR(LEFT(A865,3)="Câu",I861=""),"",IF(B865=0,"",B865)),CHAR(34),CHAR(92)&amp;CHAR(34))</f>
        <v xml:space="preserve"> Kiểm tra an toàn xung quanh xe ô tô; đạp ly hợp (côn) hết hành trình; vào số 1; nhả hết phanh tay, báo hiệu bằng còi, đèn trước khi xuất phát; tăng ga đủ để xuất phát; nhả từ từ đến 1/2 hành trình bàn đạp côn và giữ trong khoảng 3 giây, sau đó vừa tăng ga vừa nhả hết côn để cho xe ô tô chuyển động.</v>
      </c>
      <c r="K861" t="str">
        <f>SUBSTITUTE(SUBSTITUTE(SUBSTITUTE(SUBSTITUTE(IFERROR(VLOOKUP("Câu "&amp;D861&amp;".",dapan!$E:$J,6,0),""),"1","A"),"2","B"),"3","C"),"4","D")</f>
        <v/>
      </c>
      <c r="P861" t="str">
        <f t="shared" si="46"/>
        <v/>
      </c>
      <c r="Q861" t="str">
        <f t="shared" si="47"/>
        <v/>
      </c>
    </row>
    <row r="862" spans="1:17" hidden="1" x14ac:dyDescent="0.25">
      <c r="A862">
        <v>3</v>
      </c>
      <c r="B862" t="s">
        <v>734</v>
      </c>
      <c r="C862">
        <f>IFERROR(COUNTIFS($A$1:A862,"Câu "&amp;"*")-MID(A862,5,FIND(".",A862,1)-5),0)</f>
        <v>0</v>
      </c>
      <c r="D862" t="str">
        <f t="shared" si="48"/>
        <v/>
      </c>
      <c r="E862" t="str">
        <f>SUBSTITUTE(IF(LEFT(A862,3)="Câu",MID(A862,FIND(".",A862,1)+2,LEN(A862)),""),CHAR(34),CHAR(92)&amp;CHAR(34))</f>
        <v/>
      </c>
      <c r="G862" t="str">
        <f>SUBSTITUTE(B863,CHAR(34),CHAR(92)&amp;CHAR(34))</f>
        <v/>
      </c>
      <c r="H862" t="str">
        <f>SUBSTITUTE(B864,CHAR(34),CHAR(92)&amp;CHAR(34))</f>
        <v>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côn để cho xe ô tô chuyển động.</v>
      </c>
      <c r="I862" t="str">
        <f>SUBSTITUTE(IF(LEFT(A865,3)="Câu","",B865),CHAR(34),CHAR(92)&amp;CHAR(34))</f>
        <v xml:space="preserve"> Kiểm tra an toàn xung quanh xe ô tô; đạp ly hợp (côn) hết hành trình; vào số 1; nhả hết phanh tay, báo hiệu bằng còi, đèn trước khi xuất phát; tăng ga đủ để xuất phát; nhả từ từ đến 1/2 hành trình bàn đạp côn và giữ trong khoảng 3 giây, sau đó vừa tăng ga vừa nhả hết côn để cho xe ô tô chuyển động.</v>
      </c>
      <c r="J862" t="str">
        <f>SUBSTITUTE(IF(OR(LEFT(A866,3)="Câu",I862=""),"",IF(B866=0,"",B866)),CHAR(34),CHAR(92)&amp;CHAR(34))</f>
        <v/>
      </c>
      <c r="K862" t="str">
        <f>SUBSTITUTE(SUBSTITUTE(SUBSTITUTE(SUBSTITUTE(IFERROR(VLOOKUP("Câu "&amp;D862&amp;".",dapan!$E:$J,6,0),""),"1","A"),"2","B"),"3","C"),"4","D")</f>
        <v/>
      </c>
      <c r="P862" t="str">
        <f t="shared" si="46"/>
        <v/>
      </c>
      <c r="Q862" t="str">
        <f t="shared" si="47"/>
        <v/>
      </c>
    </row>
    <row r="863" spans="1:17" x14ac:dyDescent="0.25">
      <c r="A863" t="s">
        <v>735</v>
      </c>
      <c r="C863">
        <f>IFERROR(COUNTIFS($A$1:A863,"Câu "&amp;"*")-MID(A863,5,FIND(".",A863,1)-5),0)</f>
        <v>0</v>
      </c>
      <c r="D863">
        <f t="shared" si="48"/>
        <v>209</v>
      </c>
      <c r="E863" t="str">
        <f>SUBSTITUTE(IF(LEFT(A863,3)="Câu",MID(A863,FIND(".",A863,1)+2,LEN(A863)),""),CHAR(34),CHAR(92)&amp;CHAR(34))</f>
        <v>Khi khởi hành ô tô sử dụng hộp số cơ khí trên đường bằng, người lái xe cần thực hiện các thao tác nào theo trình tự dưới đây?</v>
      </c>
      <c r="G863" t="str">
        <f>SUBSTITUTE(B864,CHAR(34),CHAR(92)&amp;CHAR(34))</f>
        <v>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côn để cho xe ô tô chuyển động.</v>
      </c>
      <c r="H863" t="str">
        <f>SUBSTITUTE(B865,CHAR(34),CHAR(92)&amp;CHAR(34))</f>
        <v xml:space="preserve"> Kiểm tra an toàn xung quanh xe ô tô; đạp ly hợp (côn) hết hành trình; vào số 1; nhả hết phanh tay, báo hiệu bằng còi, đèn trước khi xuất phát; tăng ga đủ để xuất phát; nhả từ từ đến 1/2 hành trình bàn đạp côn và giữ trong khoảng 3 giây, sau đó vừa tăng ga vừa nhả hết côn để cho xe ô tô chuyển động.</v>
      </c>
      <c r="I863" t="str">
        <f>SUBSTITUTE(IF(LEFT(A866,3)="Câu","",B866),CHAR(34),CHAR(92)&amp;CHAR(34))</f>
        <v/>
      </c>
      <c r="J863" t="str">
        <f>SUBSTITUTE(IF(OR(LEFT(A867,3)="Câu",I863=""),"",IF(B867=0,"",B867)),CHAR(34),CHAR(92)&amp;CHAR(34))</f>
        <v/>
      </c>
      <c r="K863" t="str">
        <f ca="1">SUBSTITUTE(SUBSTITUTE(SUBSTITUTE(SUBSTITUTE(IFERROR(VLOOKUP("Câu "&amp;D863&amp;".",dapan!$E:$J,6,0),""),"1","A"),"2","B"),"3","C"),"4","D")</f>
        <v>B</v>
      </c>
      <c r="P863">
        <f t="shared" si="46"/>
        <v>209</v>
      </c>
      <c r="Q863" t="str">
        <f t="shared" ca="1" si="47"/>
        <v>{"num":209,"id":209,"q":"Khi khởi hành ô tô sử dụng hộp số cơ khí trên đường bằng, người lái xe cần thực hiện các thao tác nào theo trình tự dưới đây?","opts":{"A":"Kiểm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côn để cho xe ô tô chuyển động.","B":" Kiểm tra an toàn xung quanh xe ô tô; đạp ly hợp (côn) hết hành trình; vào số 1; nhả hết phanh tay, báo hiệu bằng còi, đèn trước khi xuất phát; tăng ga đủ để xuất phát; nhả từ từ đến 1/2 hành trình bàn đạp côn và giữ trong khoảng 3 giây, sau đó vừa tăng ga vừa nhả hết côn để cho xe ô tô chuyển động."},"answer":"B"},</v>
      </c>
    </row>
    <row r="864" spans="1:17" hidden="1" x14ac:dyDescent="0.25">
      <c r="A864">
        <v>1</v>
      </c>
      <c r="B864" t="s">
        <v>736</v>
      </c>
      <c r="C864">
        <f>IFERROR(COUNTIFS($A$1:A864,"Câu "&amp;"*")-MID(A864,5,FIND(".",A864,1)-5),0)</f>
        <v>0</v>
      </c>
      <c r="D864" t="str">
        <f t="shared" si="48"/>
        <v/>
      </c>
      <c r="E864" t="str">
        <f>SUBSTITUTE(IF(LEFT(A864,3)="Câu",MID(A864,FIND(".",A864,1)+2,LEN(A864)),""),CHAR(34),CHAR(92)&amp;CHAR(34))</f>
        <v/>
      </c>
      <c r="G864" t="str">
        <f>SUBSTITUTE(B865,CHAR(34),CHAR(92)&amp;CHAR(34))</f>
        <v xml:space="preserve"> Kiểm tra an toàn xung quanh xe ô tô; đạp ly hợp (côn) hết hành trình; vào số 1; nhả hết phanh tay, báo hiệu bằng còi, đèn trước khi xuất phát; tăng ga đủ để xuất phát; nhả từ từ đến 1/2 hành trình bàn đạp côn và giữ trong khoảng 3 giây, sau đó vừa tăng ga vừa nhả hết côn để cho xe ô tô chuyển động.</v>
      </c>
      <c r="H864" t="str">
        <f>SUBSTITUTE(B866,CHAR(34),CHAR(92)&amp;CHAR(34))</f>
        <v/>
      </c>
      <c r="I864" t="str">
        <f>SUBSTITUTE(IF(LEFT(A867,3)="Câu","",B867),CHAR(34),CHAR(92)&amp;CHAR(34))</f>
        <v xml:space="preserve"> Quan sát biển báo hiệu để biết nơi được phép quay đầu; quan sát kỹ địa hình nơi chọn để quay đầu; lựa chọn quỹ đạo quay đầu xe cho thích hợp; quay đầu xe với tốc độ thấp; thường xuyên báo tín hiệu để người, các phương tiện xung quanh được biết; nếu quay đầu xe ở nơi nguy hiểm thì đưa đầu xe về phía nguy hiểm, đưa đuôi xe về phía an toàn.</v>
      </c>
      <c r="J864" t="str">
        <f>SUBSTITUTE(IF(OR(LEFT(A868,3)="Câu",I864=""),"",IF(B868=0,"",B868)),CHAR(34),CHAR(92)&amp;CHAR(34))</f>
        <v>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v>
      </c>
      <c r="K864" t="str">
        <f>SUBSTITUTE(SUBSTITUTE(SUBSTITUTE(SUBSTITUTE(IFERROR(VLOOKUP("Câu "&amp;D864&amp;".",dapan!$E:$J,6,0),""),"1","A"),"2","B"),"3","C"),"4","D")</f>
        <v/>
      </c>
      <c r="P864" t="str">
        <f t="shared" si="46"/>
        <v/>
      </c>
      <c r="Q864" t="str">
        <f t="shared" si="47"/>
        <v/>
      </c>
    </row>
    <row r="865" spans="1:17" hidden="1" x14ac:dyDescent="0.25">
      <c r="A865">
        <v>2</v>
      </c>
      <c r="B865" t="s">
        <v>737</v>
      </c>
      <c r="C865">
        <f>IFERROR(COUNTIFS($A$1:A865,"Câu "&amp;"*")-MID(A865,5,FIND(".",A865,1)-5),0)</f>
        <v>0</v>
      </c>
      <c r="D865" t="str">
        <f t="shared" si="48"/>
        <v/>
      </c>
      <c r="E865" t="str">
        <f>SUBSTITUTE(IF(LEFT(A865,3)="Câu",MID(A865,FIND(".",A865,1)+2,LEN(A865)),""),CHAR(34),CHAR(92)&amp;CHAR(34))</f>
        <v/>
      </c>
      <c r="G865" t="str">
        <f>SUBSTITUTE(B866,CHAR(34),CHAR(92)&amp;CHAR(34))</f>
        <v/>
      </c>
      <c r="H865" t="str">
        <f>SUBSTITUTE(B867,CHAR(34),CHAR(92)&amp;CHAR(34))</f>
        <v xml:space="preserve"> Quan sát biển báo hiệu để biết nơi được phép quay đầu; quan sát kỹ địa hình nơi chọn để quay đầu; lựa chọn quỹ đạo quay đầu xe cho thích hợp; quay đầu xe với tốc độ thấp; thường xuyên báo tín hiệu để người, các phương tiện xung quanh được biết; nếu quay đầu xe ở nơi nguy hiểm thì đưa đầu xe về phía nguy hiểm, đưa đuôi xe về phía an toàn.</v>
      </c>
      <c r="I865" t="str">
        <f>SUBSTITUTE(IF(LEFT(A868,3)="Câu","",B868),CHAR(34),CHAR(92)&amp;CHAR(34))</f>
        <v>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v>
      </c>
      <c r="J865" t="str">
        <f>SUBSTITUTE(IF(OR(LEFT(A869,3)="Câu",I865=""),"",IF(B869=0,"",B869)),CHAR(34),CHAR(92)&amp;CHAR(34))</f>
        <v/>
      </c>
      <c r="K865" t="str">
        <f>SUBSTITUTE(SUBSTITUTE(SUBSTITUTE(SUBSTITUTE(IFERROR(VLOOKUP("Câu "&amp;D865&amp;".",dapan!$E:$J,6,0),""),"1","A"),"2","B"),"3","C"),"4","D")</f>
        <v/>
      </c>
      <c r="P865" t="str">
        <f t="shared" si="46"/>
        <v/>
      </c>
      <c r="Q865" t="str">
        <f t="shared" si="47"/>
        <v/>
      </c>
    </row>
    <row r="866" spans="1:17" x14ac:dyDescent="0.25">
      <c r="A866" t="s">
        <v>738</v>
      </c>
      <c r="C866">
        <f>IFERROR(COUNTIFS($A$1:A866,"Câu "&amp;"*")-MID(A866,5,FIND(".",A866,1)-5),0)</f>
        <v>0</v>
      </c>
      <c r="D866">
        <f t="shared" si="48"/>
        <v>210</v>
      </c>
      <c r="E866" t="str">
        <f>SUBSTITUTE(IF(LEFT(A866,3)="Câu",MID(A866,FIND(".",A866,1)+2,LEN(A866)),""),CHAR(34),CHAR(92)&amp;CHAR(34))</f>
        <v>Khi quay đầu xe, người lái xe cần phải quan sát và thực hiện các thao tác nào để bảo đảm an toàn giao thông?</v>
      </c>
      <c r="G866" t="str">
        <f>SUBSTITUTE(B867,CHAR(34),CHAR(92)&amp;CHAR(34))</f>
        <v xml:space="preserve"> Quan sát biển báo hiệu để biết nơi được phép quay đầu; quan sát kỹ địa hình nơi chọn để quay đầu; lựa chọn quỹ đạo quay đầu xe cho thích hợp; quay đầu xe với tốc độ thấp; thường xuyên báo tín hiệu để người, các phương tiện xung quanh được biết; nếu quay đầu xe ở nơi nguy hiểm thì đưa đầu xe về phía nguy hiểm, đưa đuôi xe về phía an toàn.</v>
      </c>
      <c r="H866" t="str">
        <f>SUBSTITUTE(B868,CHAR(34),CHAR(92)&amp;CHAR(34))</f>
        <v>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v>
      </c>
      <c r="I866" t="str">
        <f>SUBSTITUTE(IF(LEFT(A869,3)="Câu","",B869),CHAR(34),CHAR(92)&amp;CHAR(34))</f>
        <v/>
      </c>
      <c r="J866" t="str">
        <f>SUBSTITUTE(IF(OR(LEFT(A870,3)="Câu",I866=""),"",IF(B870=0,"",B870)),CHAR(34),CHAR(92)&amp;CHAR(34))</f>
        <v/>
      </c>
      <c r="K866" t="str">
        <f ca="1">SUBSTITUTE(SUBSTITUTE(SUBSTITUTE(SUBSTITUTE(IFERROR(VLOOKUP("Câu "&amp;D866&amp;".",dapan!$E:$J,6,0),""),"1","A"),"2","B"),"3","C"),"4","D")</f>
        <v>A</v>
      </c>
      <c r="P866">
        <f t="shared" si="46"/>
        <v>210</v>
      </c>
      <c r="Q866" t="str">
        <f t="shared" ca="1" si="47"/>
        <v>{"num":210,"id":210,"q":"Khi quay đầu xe, người lái xe cần phải quan sát và thực hiện các thao tác nào để bảo đảm an toàn giao thông?","opts":{"A":" Quan sát biển báo hiệu để biết nơi được phép quay đầu; quan sát kỹ địa hình nơi chọn để quay đầu; lựa chọn quỹ đạo quay đầu xe cho thích hợp; quay đầu xe với tốc độ thấp; thường xuyên báo tín hiệu để người, các phương tiện xung quanh được biết; nếu quay đầu xe ở nơi nguy hiểm thì đưa đầu xe về phía nguy hiểm, đưa đuôi xe về phía an toàn.","B":"Quan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toàn."},"answer":"A"},</v>
      </c>
    </row>
    <row r="867" spans="1:17" hidden="1" x14ac:dyDescent="0.25">
      <c r="A867">
        <v>1</v>
      </c>
      <c r="B867" t="s">
        <v>1751</v>
      </c>
      <c r="C867">
        <f>IFERROR(COUNTIFS($A$1:A867,"Câu "&amp;"*")-MID(A867,5,FIND(".",A867,1)-5),0)</f>
        <v>0</v>
      </c>
      <c r="D867" t="str">
        <f t="shared" si="48"/>
        <v/>
      </c>
      <c r="E867" t="str">
        <f>SUBSTITUTE(IF(LEFT(A867,3)="Câu",MID(A867,FIND(".",A867,1)+2,LEN(A867)),""),CHAR(34),CHAR(92)&amp;CHAR(34))</f>
        <v/>
      </c>
      <c r="G867" t="str">
        <f>SUBSTITUTE(B868,CHAR(34),CHAR(92)&amp;CHAR(34))</f>
        <v>Quan sát biển báo hiệu để biết nơi được phép quay đầu; quan sát kỹ địa hình nơi chọn để quay đầu; lựa chọn quỹ đạo quay đầu xe; quay đầu xe với tốc độ tối đa; thường xuyên báo tín hiệu để người, các phương tiện xung quanh được biết; nếu quay đầu xe ở nơi nguy hiểm thì đưa đuôi xe về phía nguy hiểm và đầu xe về phía an toàn.</v>
      </c>
      <c r="H867" t="str">
        <f>SUBSTITUTE(B869,CHAR(34),CHAR(92)&amp;CHAR(34))</f>
        <v/>
      </c>
      <c r="I867" t="str">
        <f>SUBSTITUTE(IF(LEFT(A870,3)="Câu","",B870),CHAR(34),CHAR(92)&amp;CHAR(34))</f>
        <v xml:space="preserve"> Điều chỉnh ghế sao cho chân có thể đạp phanh và ga dễ dàng, ngồi thẳng lưng, hai tay nắm vô lăng, tay trái nắm ở vị trí 9 đến 10 giờ và tay phải nắm ở vị trí từ 2 đến 4 giờ.</v>
      </c>
      <c r="J867" t="str">
        <f>SUBSTITUTE(IF(OR(LEFT(A871,3)="Câu",I867=""),"",IF(B871=0,"",B871)),CHAR(34),CHAR(92)&amp;CHAR(34))</f>
        <v>Ngồi sát vô lăng để dễ quan sát hoặc ngồi tự do, không cần điều chỉnh ghế.</v>
      </c>
      <c r="K867" t="str">
        <f>SUBSTITUTE(SUBSTITUTE(SUBSTITUTE(SUBSTITUTE(IFERROR(VLOOKUP("Câu "&amp;D867&amp;".",dapan!$E:$J,6,0),""),"1","A"),"2","B"),"3","C"),"4","D")</f>
        <v/>
      </c>
      <c r="P867" t="str">
        <f t="shared" si="46"/>
        <v/>
      </c>
      <c r="Q867" t="str">
        <f t="shared" si="47"/>
        <v/>
      </c>
    </row>
    <row r="868" spans="1:17" hidden="1" x14ac:dyDescent="0.25">
      <c r="A868">
        <v>2</v>
      </c>
      <c r="B868" t="s">
        <v>739</v>
      </c>
      <c r="C868">
        <f>IFERROR(COUNTIFS($A$1:A868,"Câu "&amp;"*")-MID(A868,5,FIND(".",A868,1)-5),0)</f>
        <v>0</v>
      </c>
      <c r="D868" t="str">
        <f t="shared" si="48"/>
        <v/>
      </c>
      <c r="E868" t="str">
        <f>SUBSTITUTE(IF(LEFT(A868,3)="Câu",MID(A868,FIND(".",A868,1)+2,LEN(A868)),""),CHAR(34),CHAR(92)&amp;CHAR(34))</f>
        <v/>
      </c>
      <c r="G868" t="str">
        <f>SUBSTITUTE(B869,CHAR(34),CHAR(92)&amp;CHAR(34))</f>
        <v/>
      </c>
      <c r="H868" t="str">
        <f>SUBSTITUTE(B870,CHAR(34),CHAR(92)&amp;CHAR(34))</f>
        <v xml:space="preserve"> Điều chỉnh ghế sao cho chân có thể đạp phanh và ga dễ dàng, ngồi thẳng lưng, hai tay nắm vô lăng, tay trái nắm ở vị trí 9 đến 10 giờ và tay phải nắm ở vị trí từ 2 đến 4 giờ.</v>
      </c>
      <c r="I868" t="str">
        <f>SUBSTITUTE(IF(LEFT(A871,3)="Câu","",B871),CHAR(34),CHAR(92)&amp;CHAR(34))</f>
        <v>Ngồi sát vô lăng để dễ quan sát hoặc ngồi tự do, không cần điều chỉnh ghế.</v>
      </c>
      <c r="J868" t="str">
        <f>SUBSTITUTE(IF(OR(LEFT(A872,3)="Câu",I868=""),"",IF(B872=0,"",B872)),CHAR(34),CHAR(92)&amp;CHAR(34))</f>
        <v>Ngồi ngả người về phía sau nhiều để thư giãn, chân trái để ở vị trí chân ga, hai tay nắm vô lăng ở vị trí bất kỳ.</v>
      </c>
      <c r="K868" t="str">
        <f>SUBSTITUTE(SUBSTITUTE(SUBSTITUTE(SUBSTITUTE(IFERROR(VLOOKUP("Câu "&amp;D868&amp;".",dapan!$E:$J,6,0),""),"1","A"),"2","B"),"3","C"),"4","D")</f>
        <v/>
      </c>
      <c r="P868" t="str">
        <f t="shared" si="46"/>
        <v/>
      </c>
      <c r="Q868" t="str">
        <f t="shared" si="47"/>
        <v/>
      </c>
    </row>
    <row r="869" spans="1:17" x14ac:dyDescent="0.25">
      <c r="A869" t="s">
        <v>740</v>
      </c>
      <c r="C869">
        <f>IFERROR(COUNTIFS($A$1:A869,"Câu "&amp;"*")-MID(A869,5,FIND(".",A869,1)-5),0)</f>
        <v>0</v>
      </c>
      <c r="D869">
        <f t="shared" si="48"/>
        <v>211</v>
      </c>
      <c r="E869" t="str">
        <f>SUBSTITUTE(IF(LEFT(A869,3)="Câu",MID(A869,FIND(".",A869,1)+2,LEN(A869)),""),CHAR(34),CHAR(92)&amp;CHAR(34))</f>
        <v>Khi ngồi lái ô tô tư thế chân, lưng, tay của người lái xe như thế nào là đúng để bảo đảm an toàn và thoải mái?</v>
      </c>
      <c r="G869" t="str">
        <f>SUBSTITUTE(B870,CHAR(34),CHAR(92)&amp;CHAR(34))</f>
        <v xml:space="preserve"> Điều chỉnh ghế sao cho chân có thể đạp phanh và ga dễ dàng, ngồi thẳng lưng, hai tay nắm vô lăng, tay trái nắm ở vị trí 9 đến 10 giờ và tay phải nắm ở vị trí từ 2 đến 4 giờ.</v>
      </c>
      <c r="H869" t="str">
        <f>SUBSTITUTE(B871,CHAR(34),CHAR(92)&amp;CHAR(34))</f>
        <v>Ngồi sát vô lăng để dễ quan sát hoặc ngồi tự do, không cần điều chỉnh ghế.</v>
      </c>
      <c r="I869" t="str">
        <f>SUBSTITUTE(IF(LEFT(A872,3)="Câu","",B872),CHAR(34),CHAR(92)&amp;CHAR(34))</f>
        <v>Ngồi ngả người về phía sau nhiều để thư giãn, chân trái để ở vị trí chân ga, hai tay nắm vô lăng ở vị trí bất kỳ.</v>
      </c>
      <c r="J869" t="str">
        <f>SUBSTITUTE(IF(OR(LEFT(A873,3)="Câu",I869=""),"",IF(B873=0,"",B873)),CHAR(34),CHAR(92)&amp;CHAR(34))</f>
        <v/>
      </c>
      <c r="K869" t="str">
        <f ca="1">SUBSTITUTE(SUBSTITUTE(SUBSTITUTE(SUBSTITUTE(IFERROR(VLOOKUP("Câu "&amp;D869&amp;".",dapan!$E:$J,6,0),""),"1","A"),"2","B"),"3","C"),"4","D")</f>
        <v>A</v>
      </c>
      <c r="P869">
        <f t="shared" si="46"/>
        <v>211</v>
      </c>
      <c r="Q869" t="str">
        <f t="shared" ca="1" si="47"/>
        <v>{"num":211,"id":211,"q":"Khi ngồi lái ô tô tư thế chân, lưng, tay của người lái xe như thế nào là đúng để bảo đảm an toàn và thoải mái?","opts":{"A":" Điều chỉnh ghế sao cho chân có thể đạp phanh và ga dễ dàng, ngồi thẳng lưng, hai tay nắm vô lăng, tay trái nắm ở vị trí 9 đến 10 giờ và tay phải nắm ở vị trí từ 2 đến 4 giờ.","B":"Ngồi sát vô lăng để dễ quan sát hoặc ngồi tự do, không cần điều chỉnh ghế.","C":"Ngồi ngả người về phía sau nhiều để thư giãn, chân trái để ở vị trí chân ga, hai tay nắm vô lăng ở vị trí bất kỳ."},"answer":"A"},</v>
      </c>
    </row>
    <row r="870" spans="1:17" hidden="1" x14ac:dyDescent="0.25">
      <c r="A870">
        <v>1</v>
      </c>
      <c r="B870" t="s">
        <v>741</v>
      </c>
      <c r="C870">
        <f>IFERROR(COUNTIFS($A$1:A870,"Câu "&amp;"*")-MID(A870,5,FIND(".",A870,1)-5),0)</f>
        <v>0</v>
      </c>
      <c r="D870" t="str">
        <f t="shared" si="48"/>
        <v/>
      </c>
      <c r="E870" t="str">
        <f>SUBSTITUTE(IF(LEFT(A870,3)="Câu",MID(A870,FIND(".",A870,1)+2,LEN(A870)),""),CHAR(34),CHAR(92)&amp;CHAR(34))</f>
        <v/>
      </c>
      <c r="G870" t="str">
        <f>SUBSTITUTE(B871,CHAR(34),CHAR(92)&amp;CHAR(34))</f>
        <v>Ngồi sát vô lăng để dễ quan sát hoặc ngồi tự do, không cần điều chỉnh ghế.</v>
      </c>
      <c r="H870" t="str">
        <f>SUBSTITUTE(B872,CHAR(34),CHAR(92)&amp;CHAR(34))</f>
        <v>Ngồi ngả người về phía sau nhiều để thư giãn, chân trái để ở vị trí chân ga, hai tay nắm vô lăng ở vị trí bất kỳ.</v>
      </c>
      <c r="I870" t="str">
        <f>SUBSTITUTE(IF(LEFT(A873,3)="Câu","",B873),CHAR(34),CHAR(92)&amp;CHAR(34))</f>
        <v/>
      </c>
      <c r="J870" t="str">
        <f>SUBSTITUTE(IF(OR(LEFT(A874,3)="Câu",I870=""),"",IF(B874=0,"",B874)),CHAR(34),CHAR(92)&amp;CHAR(34))</f>
        <v/>
      </c>
      <c r="K870" t="str">
        <f>SUBSTITUTE(SUBSTITUTE(SUBSTITUTE(SUBSTITUTE(IFERROR(VLOOKUP("Câu "&amp;D870&amp;".",dapan!$E:$J,6,0),""),"1","A"),"2","B"),"3","C"),"4","D")</f>
        <v/>
      </c>
      <c r="P870" t="str">
        <f t="shared" si="46"/>
        <v/>
      </c>
      <c r="Q870" t="str">
        <f t="shared" si="47"/>
        <v/>
      </c>
    </row>
    <row r="871" spans="1:17" hidden="1" x14ac:dyDescent="0.25">
      <c r="A871">
        <v>2</v>
      </c>
      <c r="B871" t="s">
        <v>742</v>
      </c>
      <c r="C871">
        <f>IFERROR(COUNTIFS($A$1:A871,"Câu "&amp;"*")-MID(A871,5,FIND(".",A871,1)-5),0)</f>
        <v>0</v>
      </c>
      <c r="D871" t="str">
        <f t="shared" si="48"/>
        <v/>
      </c>
      <c r="E871" t="str">
        <f>SUBSTITUTE(IF(LEFT(A871,3)="Câu",MID(A871,FIND(".",A871,1)+2,LEN(A871)),""),CHAR(34),CHAR(92)&amp;CHAR(34))</f>
        <v/>
      </c>
      <c r="G871" t="str">
        <f>SUBSTITUTE(B872,CHAR(34),CHAR(92)&amp;CHAR(34))</f>
        <v>Ngồi ngả người về phía sau nhiều để thư giãn, chân trái để ở vị trí chân ga, hai tay nắm vô lăng ở vị trí bất kỳ.</v>
      </c>
      <c r="H871" t="str">
        <f>SUBSTITUTE(B873,CHAR(34),CHAR(92)&amp;CHAR(34))</f>
        <v/>
      </c>
      <c r="I871" t="str">
        <f>SUBSTITUTE(IF(LEFT(A874,3)="Câu","",B874),CHAR(34),CHAR(92)&amp;CHAR(34))</f>
        <v>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v>
      </c>
      <c r="J871" t="str">
        <f>SUBSTITUTE(IF(OR(LEFT(A875,3)="Câu",I871=""),"",IF(B875=0,"",B875)),CHAR(34),CHAR(92)&amp;CHAR(34))</f>
        <v xml:space="preserve"> Về số thấp từ chân dốc, điều chỉnh ga cho xe từ từ lên dốc; đến gần đỉnh dốc phải đi chậm, đi sát về phía bên phải đường, có tín hiệu (còi, đèn) để báo cho người lái xe đi ngược chiều biết.</v>
      </c>
      <c r="K871" t="str">
        <f>SUBSTITUTE(SUBSTITUTE(SUBSTITUTE(SUBSTITUTE(IFERROR(VLOOKUP("Câu "&amp;D871&amp;".",dapan!$E:$J,6,0),""),"1","A"),"2","B"),"3","C"),"4","D")</f>
        <v/>
      </c>
      <c r="P871" t="str">
        <f t="shared" si="46"/>
        <v/>
      </c>
      <c r="Q871" t="str">
        <f t="shared" si="47"/>
        <v/>
      </c>
    </row>
    <row r="872" spans="1:17" hidden="1" x14ac:dyDescent="0.25">
      <c r="A872">
        <v>3</v>
      </c>
      <c r="B872" t="s">
        <v>743</v>
      </c>
      <c r="C872">
        <f>IFERROR(COUNTIFS($A$1:A872,"Câu "&amp;"*")-MID(A872,5,FIND(".",A872,1)-5),0)</f>
        <v>0</v>
      </c>
      <c r="D872" t="str">
        <f t="shared" si="48"/>
        <v/>
      </c>
      <c r="E872" t="str">
        <f>SUBSTITUTE(IF(LEFT(A872,3)="Câu",MID(A872,FIND(".",A872,1)+2,LEN(A872)),""),CHAR(34),CHAR(92)&amp;CHAR(34))</f>
        <v/>
      </c>
      <c r="G872" t="str">
        <f>SUBSTITUTE(B873,CHAR(34),CHAR(92)&amp;CHAR(34))</f>
        <v/>
      </c>
      <c r="H872" t="str">
        <f>SUBSTITUTE(B874,CHAR(34),CHAR(92)&amp;CHAR(34))</f>
        <v>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v>
      </c>
      <c r="I872" t="str">
        <f>SUBSTITUTE(IF(LEFT(A875,3)="Câu","",B875),CHAR(34),CHAR(92)&amp;CHAR(34))</f>
        <v xml:space="preserve"> Về số thấp từ chân dốc, điều chỉnh ga cho xe từ từ lên dốc; đến gần đỉnh dốc phải đi chậm, đi sát về phía bên phải đường, có tín hiệu (còi, đèn) để báo cho người lái xe đi ngược chiều biết.</v>
      </c>
      <c r="J872" t="str">
        <f>SUBSTITUTE(IF(OR(LEFT(A876,3)="Câu",I872=""),"",IF(B876=0,"",B876)),CHAR(34),CHAR(92)&amp;CHAR(34))</f>
        <v/>
      </c>
      <c r="K872" t="str">
        <f>SUBSTITUTE(SUBSTITUTE(SUBSTITUTE(SUBSTITUTE(IFERROR(VLOOKUP("Câu "&amp;D872&amp;".",dapan!$E:$J,6,0),""),"1","A"),"2","B"),"3","C"),"4","D")</f>
        <v/>
      </c>
      <c r="P872" t="str">
        <f t="shared" si="46"/>
        <v/>
      </c>
      <c r="Q872" t="str">
        <f t="shared" si="47"/>
        <v/>
      </c>
    </row>
    <row r="873" spans="1:17" x14ac:dyDescent="0.25">
      <c r="A873" t="s">
        <v>744</v>
      </c>
      <c r="C873">
        <f>IFERROR(COUNTIFS($A$1:A873,"Câu "&amp;"*")-MID(A873,5,FIND(".",A873,1)-5),0)</f>
        <v>0</v>
      </c>
      <c r="D873">
        <f t="shared" si="48"/>
        <v>212</v>
      </c>
      <c r="E873" t="str">
        <f>SUBSTITUTE(IF(LEFT(A873,3)="Câu",MID(A873,FIND(".",A873,1)+2,LEN(A873)),""),CHAR(34),CHAR(92)&amp;CHAR(34))</f>
        <v>Khi điều khiển ô tô lên dốc cao, người lái xe cần thực hiện các thao tác nào dưới đây để bảo đảm an toàn?</v>
      </c>
      <c r="G873" t="str">
        <f>SUBSTITUTE(B874,CHAR(34),CHAR(92)&amp;CHAR(34))</f>
        <v>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v>
      </c>
      <c r="H873" t="str">
        <f>SUBSTITUTE(B875,CHAR(34),CHAR(92)&amp;CHAR(34))</f>
        <v xml:space="preserve"> Về số thấp từ chân dốc, điều chỉnh ga cho xe từ từ lên dốc; đến gần đỉnh dốc phải đi chậm, đi sát về phía bên phải đường, có tín hiệu (còi, đèn) để báo cho người lái xe đi ngược chiều biết.</v>
      </c>
      <c r="I873" t="str">
        <f>SUBSTITUTE(IF(LEFT(A876,3)="Câu","",B876),CHAR(34),CHAR(92)&amp;CHAR(34))</f>
        <v/>
      </c>
      <c r="J873" t="str">
        <f>SUBSTITUTE(IF(OR(LEFT(A877,3)="Câu",I873=""),"",IF(B877=0,"",B877)),CHAR(34),CHAR(92)&amp;CHAR(34))</f>
        <v/>
      </c>
      <c r="K873" t="str">
        <f ca="1">SUBSTITUTE(SUBSTITUTE(SUBSTITUTE(SUBSTITUTE(IFERROR(VLOOKUP("Câu "&amp;D873&amp;".",dapan!$E:$J,6,0),""),"1","A"),"2","B"),"3","C"),"4","D")</f>
        <v>B</v>
      </c>
      <c r="P873">
        <f t="shared" si="46"/>
        <v>212</v>
      </c>
      <c r="Q873" t="str">
        <f t="shared" ca="1" si="47"/>
        <v>{"num":212,"id":212,"q":"Khi điều khiển ô tô lên dốc cao, người lái xe cần thực hiện các thao tác nào dưới đây để bảo đảm an toàn?","opts":{"A":"Tăng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biết.","B":" Về số thấp từ chân dốc, điều chỉnh ga cho xe từ từ lên dốc; đến gần đỉnh dốc phải đi chậm, đi sát về phía bên phải đường, có tín hiệu (còi, đèn) để báo cho người lái xe đi ngược chiều biết."},"answer":"B"},</v>
      </c>
    </row>
    <row r="874" spans="1:17" hidden="1" x14ac:dyDescent="0.25">
      <c r="A874">
        <v>1</v>
      </c>
      <c r="B874" t="s">
        <v>745</v>
      </c>
      <c r="C874">
        <f>IFERROR(COUNTIFS($A$1:A874,"Câu "&amp;"*")-MID(A874,5,FIND(".",A874,1)-5),0)</f>
        <v>0</v>
      </c>
      <c r="D874" t="str">
        <f t="shared" si="48"/>
        <v/>
      </c>
      <c r="E874" t="str">
        <f>SUBSTITUTE(IF(LEFT(A874,3)="Câu",MID(A874,FIND(".",A874,1)+2,LEN(A874)),""),CHAR(34),CHAR(92)&amp;CHAR(34))</f>
        <v/>
      </c>
      <c r="G874" t="str">
        <f>SUBSTITUTE(B875,CHAR(34),CHAR(92)&amp;CHAR(34))</f>
        <v xml:space="preserve"> Về số thấp từ chân dốc, điều chỉnh ga cho xe từ từ lên dốc; đến gần đỉnh dốc phải đi chậm, đi sát về phía bên phải đường, có tín hiệu (còi, đèn) để báo cho người lái xe đi ngược chiều biết.</v>
      </c>
      <c r="H874" t="str">
        <f>SUBSTITUTE(B876,CHAR(34),CHAR(92)&amp;CHAR(34))</f>
        <v/>
      </c>
      <c r="I874" t="str">
        <f>SUBSTITUTE(IF(LEFT(A877,3)="Câu","",B877),CHAR(34),CHAR(92)&amp;CHAR(34))</f>
        <v>Tăng lên số cao, nhả bàn đạp ga ở mức độ phù hợp, kết hợp với phanh chân để khống chế tốc độ.</v>
      </c>
      <c r="J874" t="str">
        <f>SUBSTITUTE(IF(OR(LEFT(A878,3)="Câu",I874=""),"",IF(B878=0,"",B878)),CHAR(34),CHAR(92)&amp;CHAR(34))</f>
        <v xml:space="preserve"> Về số thấp, nhả bàn đạp ga ở mức độ phù hợp, kết hợp với phanh chân để khống chế tốc độ.</v>
      </c>
      <c r="K874" t="str">
        <f>SUBSTITUTE(SUBSTITUTE(SUBSTITUTE(SUBSTITUTE(IFERROR(VLOOKUP("Câu "&amp;D874&amp;".",dapan!$E:$J,6,0),""),"1","A"),"2","B"),"3","C"),"4","D")</f>
        <v/>
      </c>
      <c r="P874" t="str">
        <f t="shared" si="46"/>
        <v/>
      </c>
      <c r="Q874" t="str">
        <f t="shared" si="47"/>
        <v/>
      </c>
    </row>
    <row r="875" spans="1:17" hidden="1" x14ac:dyDescent="0.25">
      <c r="A875">
        <v>2</v>
      </c>
      <c r="B875" t="s">
        <v>746</v>
      </c>
      <c r="C875">
        <f>IFERROR(COUNTIFS($A$1:A875,"Câu "&amp;"*")-MID(A875,5,FIND(".",A875,1)-5),0)</f>
        <v>0</v>
      </c>
      <c r="D875" t="str">
        <f t="shared" si="48"/>
        <v/>
      </c>
      <c r="E875" t="str">
        <f>SUBSTITUTE(IF(LEFT(A875,3)="Câu",MID(A875,FIND(".",A875,1)+2,LEN(A875)),""),CHAR(34),CHAR(92)&amp;CHAR(34))</f>
        <v/>
      </c>
      <c r="G875" t="str">
        <f>SUBSTITUTE(B876,CHAR(34),CHAR(92)&amp;CHAR(34))</f>
        <v/>
      </c>
      <c r="H875" t="str">
        <f>SUBSTITUTE(B877,CHAR(34),CHAR(92)&amp;CHAR(34))</f>
        <v>Tăng lên số cao, nhả bàn đạp ga ở mức độ phù hợp, kết hợp với phanh chân để khống chế tốc độ.</v>
      </c>
      <c r="I875" t="str">
        <f>SUBSTITUTE(IF(LEFT(A878,3)="Câu","",B878),CHAR(34),CHAR(92)&amp;CHAR(34))</f>
        <v xml:space="preserve"> Về số thấp, nhả bàn đạp ga ở mức độ phù hợp, kết hợp với phanh chân để khống chế tốc độ.</v>
      </c>
      <c r="J875" t="str">
        <f>SUBSTITUTE(IF(OR(LEFT(A879,3)="Câu",I875=""),"",IF(B879=0,"",B879)),CHAR(34),CHAR(92)&amp;CHAR(34))</f>
        <v>Về số không (0), nhả bàn đạp ga ở mức độ phù hợp, kết hợp với phanh chân để khống chế tốc độ.</v>
      </c>
      <c r="K875" t="str">
        <f>SUBSTITUTE(SUBSTITUTE(SUBSTITUTE(SUBSTITUTE(IFERROR(VLOOKUP("Câu "&amp;D875&amp;".",dapan!$E:$J,6,0),""),"1","A"),"2","B"),"3","C"),"4","D")</f>
        <v/>
      </c>
      <c r="P875" t="str">
        <f t="shared" si="46"/>
        <v/>
      </c>
      <c r="Q875" t="str">
        <f t="shared" si="47"/>
        <v/>
      </c>
    </row>
    <row r="876" spans="1:17" x14ac:dyDescent="0.25">
      <c r="A876" t="s">
        <v>747</v>
      </c>
      <c r="C876">
        <f>IFERROR(COUNTIFS($A$1:A876,"Câu "&amp;"*")-MID(A876,5,FIND(".",A876,1)-5),0)</f>
        <v>0</v>
      </c>
      <c r="D876">
        <f t="shared" si="48"/>
        <v>213</v>
      </c>
      <c r="E876" t="str">
        <f>SUBSTITUTE(IF(LEFT(A876,3)="Câu",MID(A876,FIND(".",A876,1)+2,LEN(A876)),""),CHAR(34),CHAR(92)&amp;CHAR(34))</f>
        <v>Khi điều khiển ô tô xuống dốc dài, người lái xe cần thực hiện các thao tác nào dưới đây để bảo đảm an toàn?</v>
      </c>
      <c r="G876" t="str">
        <f>SUBSTITUTE(B877,CHAR(34),CHAR(92)&amp;CHAR(34))</f>
        <v>Tăng lên số cao, nhả bàn đạp ga ở mức độ phù hợp, kết hợp với phanh chân để khống chế tốc độ.</v>
      </c>
      <c r="H876" t="str">
        <f>SUBSTITUTE(B878,CHAR(34),CHAR(92)&amp;CHAR(34))</f>
        <v xml:space="preserve"> Về số thấp, nhả bàn đạp ga ở mức độ phù hợp, kết hợp với phanh chân để khống chế tốc độ.</v>
      </c>
      <c r="I876" t="str">
        <f>SUBSTITUTE(IF(LEFT(A879,3)="Câu","",B879),CHAR(34),CHAR(92)&amp;CHAR(34))</f>
        <v>Về số không (0), nhả bàn đạp ga ở mức độ phù hợp, kết hợp với phanh chân để khống chế tốc độ.</v>
      </c>
      <c r="J876" t="str">
        <f>SUBSTITUTE(IF(OR(LEFT(A880,3)="Câu",I876=""),"",IF(B880=0,"",B880)),CHAR(34),CHAR(92)&amp;CHAR(34))</f>
        <v/>
      </c>
      <c r="K876" t="str">
        <f ca="1">SUBSTITUTE(SUBSTITUTE(SUBSTITUTE(SUBSTITUTE(IFERROR(VLOOKUP("Câu "&amp;D876&amp;".",dapan!$E:$J,6,0),""),"1","A"),"2","B"),"3","C"),"4","D")</f>
        <v>B</v>
      </c>
      <c r="P876">
        <f t="shared" si="46"/>
        <v>213</v>
      </c>
      <c r="Q876" t="str">
        <f t="shared" ca="1" si="47"/>
        <v>{"num":213,"id":213,"q":"Khi điều khiển ô tô xuống dốc dài, người lái xe cần thực hiện các thao tác nào dưới đây để bảo đảm an toàn?","opts":{"A":"Tăng lên số cao, nhả bàn đạp ga ở mức độ phù hợp, kết hợp với phanh chân để khống chế tốc độ.","B":" Về số thấp, nhả bàn đạp ga ở mức độ phù hợp, kết hợp với phanh chân để khống chế tốc độ.","C":"Về số không (0), nhả bàn đạp ga ở mức độ phù hợp, kết hợp với phanh chân để khống chế tốc độ."},"answer":"B"},</v>
      </c>
    </row>
    <row r="877" spans="1:17" hidden="1" x14ac:dyDescent="0.25">
      <c r="A877">
        <v>1</v>
      </c>
      <c r="B877" t="s">
        <v>748</v>
      </c>
      <c r="C877">
        <f>IFERROR(COUNTIFS($A$1:A877,"Câu "&amp;"*")-MID(A877,5,FIND(".",A877,1)-5),0)</f>
        <v>0</v>
      </c>
      <c r="D877" t="str">
        <f t="shared" si="48"/>
        <v/>
      </c>
      <c r="E877" t="str">
        <f>SUBSTITUTE(IF(LEFT(A877,3)="Câu",MID(A877,FIND(".",A877,1)+2,LEN(A877)),""),CHAR(34),CHAR(92)&amp;CHAR(34))</f>
        <v/>
      </c>
      <c r="G877" t="str">
        <f>SUBSTITUTE(B878,CHAR(34),CHAR(92)&amp;CHAR(34))</f>
        <v xml:space="preserve"> Về số thấp, nhả bàn đạp ga ở mức độ phù hợp, kết hợp với phanh chân để khống chế tốc độ.</v>
      </c>
      <c r="H877" t="str">
        <f>SUBSTITUTE(B879,CHAR(34),CHAR(92)&amp;CHAR(34))</f>
        <v>Về số không (0), nhả bàn đạp ga ở mức độ phù hợp, kết hợp với phanh chân để khống chế tốc độ.</v>
      </c>
      <c r="I877" t="str">
        <f>SUBSTITUTE(IF(LEFT(A880,3)="Câu","",B880),CHAR(34),CHAR(92)&amp;CHAR(34))</f>
        <v/>
      </c>
      <c r="J877" t="str">
        <f>SUBSTITUTE(IF(OR(LEFT(A881,3)="Câu",I877=""),"",IF(B881=0,"",B881)),CHAR(34),CHAR(92)&amp;CHAR(34))</f>
        <v/>
      </c>
      <c r="K877" t="str">
        <f>SUBSTITUTE(SUBSTITUTE(SUBSTITUTE(SUBSTITUTE(IFERROR(VLOOKUP("Câu "&amp;D877&amp;".",dapan!$E:$J,6,0),""),"1","A"),"2","B"),"3","C"),"4","D")</f>
        <v/>
      </c>
      <c r="P877" t="str">
        <f t="shared" si="46"/>
        <v/>
      </c>
      <c r="Q877" t="str">
        <f t="shared" si="47"/>
        <v/>
      </c>
    </row>
    <row r="878" spans="1:17" hidden="1" x14ac:dyDescent="0.25">
      <c r="A878">
        <v>2</v>
      </c>
      <c r="B878" t="s">
        <v>749</v>
      </c>
      <c r="C878">
        <f>IFERROR(COUNTIFS($A$1:A878,"Câu "&amp;"*")-MID(A878,5,FIND(".",A878,1)-5),0)</f>
        <v>0</v>
      </c>
      <c r="D878" t="str">
        <f t="shared" si="48"/>
        <v/>
      </c>
      <c r="E878" t="str">
        <f>SUBSTITUTE(IF(LEFT(A878,3)="Câu",MID(A878,FIND(".",A878,1)+2,LEN(A878)),""),CHAR(34),CHAR(92)&amp;CHAR(34))</f>
        <v/>
      </c>
      <c r="G878" t="str">
        <f>SUBSTITUTE(B879,CHAR(34),CHAR(92)&amp;CHAR(34))</f>
        <v>Về số không (0), nhả bàn đạp ga ở mức độ phù hợp, kết hợp với phanh chân để khống chế tốc độ.</v>
      </c>
      <c r="H878" t="str">
        <f>SUBSTITUTE(B880,CHAR(34),CHAR(92)&amp;CHAR(34))</f>
        <v/>
      </c>
      <c r="I878" t="str">
        <f>SUBSTITUTE(IF(LEFT(A881,3)="Câu","",B881),CHAR(34),CHAR(92)&amp;CHAR(34))</f>
        <v xml:space="preserve"> Có tín hiệu rẽ phải, điều khiển xe sát vào lề đường bên phải; đạp phanh sớm và mạnh hơn lúc dừng xe trên đường bằng để xe đi với tốc độ chậm đến mức dễ dàng dừng lại được; về số 1, đạp 1/2 ly hợp (côn) cho xe đến chỗ dừng; khi xe đã dừng, về số không (N), đạp phanh chân, sử dụng phanh đỗ.</v>
      </c>
      <c r="J878" t="str">
        <f>SUBSTITUTE(IF(OR(LEFT(A882,3)="Câu",I878=""),"",IF(B882=0,"",B882)),CHAR(34),CHAR(92)&amp;CHAR(34))</f>
        <v>Có tín hiệu rẽ phải, điều khiển xe sát vào lề đường bên trái; đạp hết hành trình ly hợp (côn) và nhả bàn đạp ga để xe đi với tốc độ chậm đến mức dễ dàng dừng lại được tại chỗ dừng; khi xe đã dừng, đạp và giữ phanh chân.</v>
      </c>
      <c r="K878" t="str">
        <f>SUBSTITUTE(SUBSTITUTE(SUBSTITUTE(SUBSTITUTE(IFERROR(VLOOKUP("Câu "&amp;D878&amp;".",dapan!$E:$J,6,0),""),"1","A"),"2","B"),"3","C"),"4","D")</f>
        <v/>
      </c>
      <c r="P878" t="str">
        <f t="shared" si="46"/>
        <v/>
      </c>
      <c r="Q878" t="str">
        <f t="shared" si="47"/>
        <v/>
      </c>
    </row>
    <row r="879" spans="1:17" hidden="1" x14ac:dyDescent="0.25">
      <c r="A879">
        <v>3</v>
      </c>
      <c r="B879" t="s">
        <v>750</v>
      </c>
      <c r="C879">
        <f>IFERROR(COUNTIFS($A$1:A879,"Câu "&amp;"*")-MID(A879,5,FIND(".",A879,1)-5),0)</f>
        <v>0</v>
      </c>
      <c r="D879" t="str">
        <f t="shared" si="48"/>
        <v/>
      </c>
      <c r="E879" t="str">
        <f>SUBSTITUTE(IF(LEFT(A879,3)="Câu",MID(A879,FIND(".",A879,1)+2,LEN(A879)),""),CHAR(34),CHAR(92)&amp;CHAR(34))</f>
        <v/>
      </c>
      <c r="G879" t="str">
        <f>SUBSTITUTE(B880,CHAR(34),CHAR(92)&amp;CHAR(34))</f>
        <v/>
      </c>
      <c r="H879" t="str">
        <f>SUBSTITUTE(B881,CHAR(34),CHAR(92)&amp;CHAR(34))</f>
        <v xml:space="preserve"> Có tín hiệu rẽ phải, điều khiển xe sát vào lề đường bên phải; đạp phanh sớm và mạnh hơn lúc dừng xe trên đường bằng để xe đi với tốc độ chậm đến mức dễ dàng dừng lại được; về số 1, đạp 1/2 ly hợp (côn) cho xe đến chỗ dừng; khi xe đã dừng, về số không (N), đạp phanh chân, sử dụng phanh đỗ.</v>
      </c>
      <c r="I879" t="str">
        <f>SUBSTITUTE(IF(LEFT(A882,3)="Câu","",B882),CHAR(34),CHAR(92)&amp;CHAR(34))</f>
        <v>Có tín hiệu rẽ phải, điều khiển xe sát vào lề đường bên trái; đạp hết hành trình ly hợp (côn) và nhả bàn đạp ga để xe đi với tốc độ chậm đến mức dễ dàng dừng lại được tại chỗ dừng; khi xe đã dừng, đạp và giữ phanh chân.</v>
      </c>
      <c r="J879" t="str">
        <f>SUBSTITUTE(IF(OR(LEFT(A883,3)="Câu",I879=""),"",IF(B883=0,"",B883)),CHAR(34),CHAR(92)&amp;CHAR(34))</f>
        <v>Có tín hiệu rẽ trái, điều khiển xe sát vào lề đường bên phải; đạp phanh sớm và mạnh hơn lúc dừng xe trên đường bằng để xe đi với tốc độ chậm đến mức dễ dàng dừng lại được; về số không (N) để xe đi đến chỗ dừng, khi xe đã dừng, sử dụng phanh đỗ.</v>
      </c>
      <c r="K879" t="str">
        <f>SUBSTITUTE(SUBSTITUTE(SUBSTITUTE(SUBSTITUTE(IFERROR(VLOOKUP("Câu "&amp;D879&amp;".",dapan!$E:$J,6,0),""),"1","A"),"2","B"),"3","C"),"4","D")</f>
        <v/>
      </c>
      <c r="P879" t="str">
        <f t="shared" si="46"/>
        <v/>
      </c>
      <c r="Q879" t="str">
        <f t="shared" si="47"/>
        <v/>
      </c>
    </row>
    <row r="880" spans="1:17" x14ac:dyDescent="0.25">
      <c r="A880" t="s">
        <v>751</v>
      </c>
      <c r="C880">
        <f>IFERROR(COUNTIFS($A$1:A880,"Câu "&amp;"*")-MID(A880,5,FIND(".",A880,1)-5),0)</f>
        <v>0</v>
      </c>
      <c r="D880">
        <f t="shared" si="48"/>
        <v>214</v>
      </c>
      <c r="E880" t="str">
        <f>SUBSTITUTE(IF(LEFT(A880,3)="Câu",MID(A880,FIND(".",A880,1)+2,LEN(A880)),""),CHAR(34),CHAR(92)&amp;CHAR(34))</f>
        <v>Khi xuống dốc, muốn dừng xe, người lái xe cần thực hiện các thao tác nào để bảo đảm an toàn?</v>
      </c>
      <c r="G880" t="str">
        <f>SUBSTITUTE(B881,CHAR(34),CHAR(92)&amp;CHAR(34))</f>
        <v xml:space="preserve"> Có tín hiệu rẽ phải, điều khiển xe sát vào lề đường bên phải; đạp phanh sớm và mạnh hơn lúc dừng xe trên đường bằng để xe đi với tốc độ chậm đến mức dễ dàng dừng lại được; về số 1, đạp 1/2 ly hợp (côn) cho xe đến chỗ dừng; khi xe đã dừng, về số không (N), đạp phanh chân, sử dụng phanh đỗ.</v>
      </c>
      <c r="H880" t="str">
        <f>SUBSTITUTE(B882,CHAR(34),CHAR(92)&amp;CHAR(34))</f>
        <v>Có tín hiệu rẽ phải, điều khiển xe sát vào lề đường bên trái; đạp hết hành trình ly hợp (côn) và nhả bàn đạp ga để xe đi với tốc độ chậm đến mức dễ dàng dừng lại được tại chỗ dừng; khi xe đã dừng, đạp và giữ phanh chân.</v>
      </c>
      <c r="I880" t="str">
        <f>SUBSTITUTE(IF(LEFT(A883,3)="Câu","",B883),CHAR(34),CHAR(92)&amp;CHAR(34))</f>
        <v>Có tín hiệu rẽ trái, điều khiển xe sát vào lề đường bên phải; đạp phanh sớm và mạnh hơn lúc dừng xe trên đường bằng để xe đi với tốc độ chậm đến mức dễ dàng dừng lại được; về số không (N) để xe đi đến chỗ dừng, khi xe đã dừng, sử dụng phanh đỗ.</v>
      </c>
      <c r="J880" t="str">
        <f>SUBSTITUTE(IF(OR(LEFT(A884,3)="Câu",I880=""),"",IF(B884=0,"",B884)),CHAR(34),CHAR(92)&amp;CHAR(34))</f>
        <v/>
      </c>
      <c r="K880" t="str">
        <f ca="1">SUBSTITUTE(SUBSTITUTE(SUBSTITUTE(SUBSTITUTE(IFERROR(VLOOKUP("Câu "&amp;D880&amp;".",dapan!$E:$J,6,0),""),"1","A"),"2","B"),"3","C"),"4","D")</f>
        <v>A</v>
      </c>
      <c r="P880">
        <f t="shared" si="46"/>
        <v>214</v>
      </c>
      <c r="Q880" t="str">
        <f t="shared" ca="1" si="47"/>
        <v>{"num":214,"id":214,"q":"Khi xuống dốc, muốn dừng xe, người lái xe cần thực hiện các thao tác nào để bảo đảm an toàn?","opts":{"A":" Có tín hiệu rẽ phải, điều khiển xe sát vào lề đường bên phải; đạp phanh sớm và mạnh hơn lúc dừng xe trên đường bằng để xe đi với tốc độ chậm đến mức dễ dàng dừng lại được; về số 1, đạp 1/2 ly hợp (côn) cho xe đến chỗ dừng; khi xe đã dừng, về số không (N), đạp phanh chân, sử dụng phanh đỗ.","B":"Có tín hiệu rẽ phải, điều khiển xe sát vào lề đường bên trái; đạp hết hành trình ly hợp (côn) và nhả bàn đạp ga để xe đi với tốc độ chậm đến mức dễ dàng dừng lại được tại chỗ dừng; khi xe đã dừng, đạp và giữ phanh chân.","C":"Có tín hiệu rẽ trái, điều khiển xe sát vào lề đường bên phải; đạp phanh sớm và mạnh hơn lúc dừng xe trên đường bằng để xe đi với tốc độ chậm đến mức dễ dàng dừng lại được; về số không (N) để xe đi đến chỗ dừng, khi xe đã dừng, sử dụng phanh đỗ."},"answer":"A"},</v>
      </c>
    </row>
    <row r="881" spans="1:17" hidden="1" x14ac:dyDescent="0.25">
      <c r="A881">
        <v>1</v>
      </c>
      <c r="B881" t="s">
        <v>752</v>
      </c>
      <c r="C881">
        <f>IFERROR(COUNTIFS($A$1:A881,"Câu "&amp;"*")-MID(A881,5,FIND(".",A881,1)-5),0)</f>
        <v>0</v>
      </c>
      <c r="D881" t="str">
        <f t="shared" si="48"/>
        <v/>
      </c>
      <c r="E881" t="str">
        <f>SUBSTITUTE(IF(LEFT(A881,3)="Câu",MID(A881,FIND(".",A881,1)+2,LEN(A881)),""),CHAR(34),CHAR(92)&amp;CHAR(34))</f>
        <v/>
      </c>
      <c r="G881" t="str">
        <f>SUBSTITUTE(B882,CHAR(34),CHAR(92)&amp;CHAR(34))</f>
        <v>Có tín hiệu rẽ phải, điều khiển xe sát vào lề đường bên trái; đạp hết hành trình ly hợp (côn) và nhả bàn đạp ga để xe đi với tốc độ chậm đến mức dễ dàng dừng lại được tại chỗ dừng; khi xe đã dừng, đạp và giữ phanh chân.</v>
      </c>
      <c r="H881" t="str">
        <f>SUBSTITUTE(B883,CHAR(34),CHAR(92)&amp;CHAR(34))</f>
        <v>Có tín hiệu rẽ trái, điều khiển xe sát vào lề đường bên phải; đạp phanh sớm và mạnh hơn lúc dừng xe trên đường bằng để xe đi với tốc độ chậm đến mức dễ dàng dừng lại được; về số không (N) để xe đi đến chỗ dừng, khi xe đã dừng, sử dụng phanh đỗ.</v>
      </c>
      <c r="I881" t="str">
        <f>SUBSTITUTE(IF(LEFT(A884,3)="Câu","",B884),CHAR(34),CHAR(92)&amp;CHAR(34))</f>
        <v/>
      </c>
      <c r="J881" t="str">
        <f>SUBSTITUTE(IF(OR(LEFT(A885,3)="Câu",I881=""),"",IF(B885=0,"",B885)),CHAR(34),CHAR(92)&amp;CHAR(34))</f>
        <v/>
      </c>
      <c r="K881" t="str">
        <f>SUBSTITUTE(SUBSTITUTE(SUBSTITUTE(SUBSTITUTE(IFERROR(VLOOKUP("Câu "&amp;D881&amp;".",dapan!$E:$J,6,0),""),"1","A"),"2","B"),"3","C"),"4","D")</f>
        <v/>
      </c>
      <c r="P881" t="str">
        <f t="shared" si="46"/>
        <v/>
      </c>
      <c r="Q881" t="str">
        <f t="shared" si="47"/>
        <v/>
      </c>
    </row>
    <row r="882" spans="1:17" hidden="1" x14ac:dyDescent="0.25">
      <c r="A882">
        <v>2</v>
      </c>
      <c r="B882" t="s">
        <v>753</v>
      </c>
      <c r="C882">
        <f>IFERROR(COUNTIFS($A$1:A882,"Câu "&amp;"*")-MID(A882,5,FIND(".",A882,1)-5),0)</f>
        <v>0</v>
      </c>
      <c r="D882" t="str">
        <f t="shared" si="48"/>
        <v/>
      </c>
      <c r="E882" t="str">
        <f>SUBSTITUTE(IF(LEFT(A882,3)="Câu",MID(A882,FIND(".",A882,1)+2,LEN(A882)),""),CHAR(34),CHAR(92)&amp;CHAR(34))</f>
        <v/>
      </c>
      <c r="G882" t="str">
        <f>SUBSTITUTE(B883,CHAR(34),CHAR(92)&amp;CHAR(34))</f>
        <v>Có tín hiệu rẽ trái, điều khiển xe sát vào lề đường bên phải; đạp phanh sớm và mạnh hơn lúc dừng xe trên đường bằng để xe đi với tốc độ chậm đến mức dễ dàng dừng lại được; về số không (N) để xe đi đến chỗ dừng, khi xe đã dừng, sử dụng phanh đỗ.</v>
      </c>
      <c r="H882" t="str">
        <f>SUBSTITUTE(B884,CHAR(34),CHAR(92)&amp;CHAR(34))</f>
        <v/>
      </c>
      <c r="I882" t="str">
        <f>SUBSTITUTE(IF(LEFT(A885,3)="Câu","",B885),CHAR(34),CHAR(92)&amp;CHAR(34))</f>
        <v xml:space="preserve"> Quan sát cẩn thận các chướng ngại vật và báo hiệu bằng coi, đèn; giảm tốc độ tới mức cần thiết, về số thấp và thực hiện quay vòng với tốc độ phù hợp với bán kính cong của đường vòng.</v>
      </c>
      <c r="J882" t="str">
        <f>SUBSTITUTE(IF(OR(LEFT(A886,3)="Câu",I882=""),"",IF(B886=0,"",B886)),CHAR(34),CHAR(92)&amp;CHAR(34))</f>
        <v>Quan sát cẩn thận các chướng ngại vật và báo hiệu bằng còi, đèn; tăng tốc để nhanh chóng qua đường vòng và giảm tốc độ sau khi qua đường vòng.</v>
      </c>
      <c r="K882" t="str">
        <f>SUBSTITUTE(SUBSTITUTE(SUBSTITUTE(SUBSTITUTE(IFERROR(VLOOKUP("Câu "&amp;D882&amp;".",dapan!$E:$J,6,0),""),"1","A"),"2","B"),"3","C"),"4","D")</f>
        <v/>
      </c>
      <c r="P882" t="str">
        <f t="shared" si="46"/>
        <v/>
      </c>
      <c r="Q882" t="str">
        <f t="shared" si="47"/>
        <v/>
      </c>
    </row>
    <row r="883" spans="1:17" hidden="1" x14ac:dyDescent="0.25">
      <c r="A883">
        <v>3</v>
      </c>
      <c r="B883" t="s">
        <v>754</v>
      </c>
      <c r="C883">
        <f>IFERROR(COUNTIFS($A$1:A883,"Câu "&amp;"*")-MID(A883,5,FIND(".",A883,1)-5),0)</f>
        <v>0</v>
      </c>
      <c r="D883" t="str">
        <f t="shared" si="48"/>
        <v/>
      </c>
      <c r="E883" t="str">
        <f>SUBSTITUTE(IF(LEFT(A883,3)="Câu",MID(A883,FIND(".",A883,1)+2,LEN(A883)),""),CHAR(34),CHAR(92)&amp;CHAR(34))</f>
        <v/>
      </c>
      <c r="G883" t="str">
        <f>SUBSTITUTE(B884,CHAR(34),CHAR(92)&amp;CHAR(34))</f>
        <v/>
      </c>
      <c r="H883" t="str">
        <f>SUBSTITUTE(B885,CHAR(34),CHAR(92)&amp;CHAR(34))</f>
        <v xml:space="preserve"> Quan sát cẩn thận các chướng ngại vật và báo hiệu bằng coi, đèn; giảm tốc độ tới mức cần thiết, về số thấp và thực hiện quay vòng với tốc độ phù hợp với bán kính cong của đường vòng.</v>
      </c>
      <c r="I883" t="str">
        <f>SUBSTITUTE(IF(LEFT(A886,3)="Câu","",B886),CHAR(34),CHAR(92)&amp;CHAR(34))</f>
        <v>Quan sát cẩn thận các chướng ngại vật và báo hiệu bằng còi, đèn; tăng tốc để nhanh chóng qua đường vòng và giảm tốc độ sau khi qua đường vòng.</v>
      </c>
      <c r="J883" t="str">
        <f>SUBSTITUTE(IF(OR(LEFT(A887,3)="Câu",I883=""),"",IF(B887=0,"",B887)),CHAR(34),CHAR(92)&amp;CHAR(34))</f>
        <v/>
      </c>
      <c r="K883" t="str">
        <f>SUBSTITUTE(SUBSTITUTE(SUBSTITUTE(SUBSTITUTE(IFERROR(VLOOKUP("Câu "&amp;D883&amp;".",dapan!$E:$J,6,0),""),"1","A"),"2","B"),"3","C"),"4","D")</f>
        <v/>
      </c>
      <c r="P883" t="str">
        <f t="shared" si="46"/>
        <v/>
      </c>
      <c r="Q883" t="str">
        <f t="shared" si="47"/>
        <v/>
      </c>
    </row>
    <row r="884" spans="1:17" x14ac:dyDescent="0.25">
      <c r="A884" t="s">
        <v>755</v>
      </c>
      <c r="C884">
        <f>IFERROR(COUNTIFS($A$1:A884,"Câu "&amp;"*")-MID(A884,5,FIND(".",A884,1)-5),0)</f>
        <v>0</v>
      </c>
      <c r="D884">
        <f t="shared" si="48"/>
        <v>215</v>
      </c>
      <c r="E884" t="str">
        <f>SUBSTITUTE(IF(LEFT(A884,3)="Câu",MID(A884,FIND(".",A884,1)+2,LEN(A884)),""),CHAR(34),CHAR(92)&amp;CHAR(34))</f>
        <v>Khi điều khiển xe trên đường vòng người lái xe cần phải làm gì để bảo đảm an toàn?</v>
      </c>
      <c r="G884" t="str">
        <f>SUBSTITUTE(B885,CHAR(34),CHAR(92)&amp;CHAR(34))</f>
        <v xml:space="preserve"> Quan sát cẩn thận các chướng ngại vật và báo hiệu bằng coi, đèn; giảm tốc độ tới mức cần thiết, về số thấp và thực hiện quay vòng với tốc độ phù hợp với bán kính cong của đường vòng.</v>
      </c>
      <c r="H884" t="str">
        <f>SUBSTITUTE(B886,CHAR(34),CHAR(92)&amp;CHAR(34))</f>
        <v>Quan sát cẩn thận các chướng ngại vật và báo hiệu bằng còi, đèn; tăng tốc để nhanh chóng qua đường vòng và giảm tốc độ sau khi qua đường vòng.</v>
      </c>
      <c r="I884" t="str">
        <f>SUBSTITUTE(IF(LEFT(A887,3)="Câu","",B887),CHAR(34),CHAR(92)&amp;CHAR(34))</f>
        <v/>
      </c>
      <c r="J884" t="str">
        <f>SUBSTITUTE(IF(OR(LEFT(A888,3)="Câu",I884=""),"",IF(B888=0,"",B888)),CHAR(34),CHAR(92)&amp;CHAR(34))</f>
        <v/>
      </c>
      <c r="K884" t="str">
        <f ca="1">SUBSTITUTE(SUBSTITUTE(SUBSTITUTE(SUBSTITUTE(IFERROR(VLOOKUP("Câu "&amp;D884&amp;".",dapan!$E:$J,6,0),""),"1","A"),"2","B"),"3","C"),"4","D")</f>
        <v>A</v>
      </c>
      <c r="P884">
        <f t="shared" si="46"/>
        <v>215</v>
      </c>
      <c r="Q884" t="str">
        <f t="shared" ca="1" si="47"/>
        <v>{"num":215,"id":215,"q":"Khi điều khiển xe trên đường vòng người lái xe cần phải làm gì để bảo đảm an toàn?","opts":{"A":" Quan sát cẩn thận các chướng ngại vật và báo hiệu bằng coi, đèn; giảm tốc độ tới mức cần thiết, về số thấp và thực hiện quay vòng với tốc độ phù hợp với bán kính cong của đường vòng.","B":"Quan sát cẩn thận các chướng ngại vật và báo hiệu bằng còi, đèn; tăng tốc để nhanh chóng qua đường vòng và giảm tốc độ sau khi qua đường vòng."},"answer":"A"},</v>
      </c>
    </row>
    <row r="885" spans="1:17" hidden="1" x14ac:dyDescent="0.25">
      <c r="A885">
        <v>1</v>
      </c>
      <c r="B885" t="s">
        <v>756</v>
      </c>
      <c r="C885">
        <f>IFERROR(COUNTIFS($A$1:A885,"Câu "&amp;"*")-MID(A885,5,FIND(".",A885,1)-5),0)</f>
        <v>0</v>
      </c>
      <c r="D885" t="str">
        <f t="shared" si="48"/>
        <v/>
      </c>
      <c r="E885" t="str">
        <f>SUBSTITUTE(IF(LEFT(A885,3)="Câu",MID(A885,FIND(".",A885,1)+2,LEN(A885)),""),CHAR(34),CHAR(92)&amp;CHAR(34))</f>
        <v/>
      </c>
      <c r="G885" t="str">
        <f>SUBSTITUTE(B886,CHAR(34),CHAR(92)&amp;CHAR(34))</f>
        <v>Quan sát cẩn thận các chướng ngại vật và báo hiệu bằng còi, đèn; tăng tốc để nhanh chóng qua đường vòng và giảm tốc độ sau khi qua đường vòng.</v>
      </c>
      <c r="H885" t="str">
        <f>SUBSTITUTE(B887,CHAR(34),CHAR(92)&amp;CHAR(34))</f>
        <v/>
      </c>
      <c r="I885" t="str">
        <f>SUBSTITUTE(IF(LEFT(A888,3)="Câu","",B888),CHAR(34),CHAR(92)&amp;CHAR(34))</f>
        <v>Có tín hiệu rẽ phải; quan sát an toàn phía sau; điều khiển xe sang làn đường bên trái; giảm tốc độ và quan sát an toàn phía bên phải để điều khiển xe qua chỗ đường giao nhau.</v>
      </c>
      <c r="J885" t="str">
        <f>SUBSTITUTE(IF(OR(LEFT(A889,3)="Câu",I885=""),"",IF(B889=0,"",B889)),CHAR(34),CHAR(92)&amp;CHAR(34))</f>
        <v xml:space="preserve"> Cách chỗ rẽ một khoảng cách an toàn có tín hiệu rẽ phải; giảm tốc độ, quan sát an toàn phía trước, sau, bên phải và điều khiển xe từ từ rẽ phải.</v>
      </c>
      <c r="K885" t="str">
        <f>SUBSTITUTE(SUBSTITUTE(SUBSTITUTE(SUBSTITUTE(IFERROR(VLOOKUP("Câu "&amp;D885&amp;".",dapan!$E:$J,6,0),""),"1","A"),"2","B"),"3","C"),"4","D")</f>
        <v/>
      </c>
      <c r="P885" t="str">
        <f t="shared" si="46"/>
        <v/>
      </c>
      <c r="Q885" t="str">
        <f t="shared" si="47"/>
        <v/>
      </c>
    </row>
    <row r="886" spans="1:17" hidden="1" x14ac:dyDescent="0.25">
      <c r="A886">
        <v>2</v>
      </c>
      <c r="B886" t="s">
        <v>757</v>
      </c>
      <c r="C886">
        <f>IFERROR(COUNTIFS($A$1:A886,"Câu "&amp;"*")-MID(A886,5,FIND(".",A886,1)-5),0)</f>
        <v>0</v>
      </c>
      <c r="D886" t="str">
        <f t="shared" si="48"/>
        <v/>
      </c>
      <c r="E886" t="str">
        <f>SUBSTITUTE(IF(LEFT(A886,3)="Câu",MID(A886,FIND(".",A886,1)+2,LEN(A886)),""),CHAR(34),CHAR(92)&amp;CHAR(34))</f>
        <v/>
      </c>
      <c r="G886" t="str">
        <f>SUBSTITUTE(B887,CHAR(34),CHAR(92)&amp;CHAR(34))</f>
        <v/>
      </c>
      <c r="H886" t="str">
        <f>SUBSTITUTE(B888,CHAR(34),CHAR(92)&amp;CHAR(34))</f>
        <v>Có tín hiệu rẽ phải; quan sát an toàn phía sau; điều khiển xe sang làn đường bên trái; giảm tốc độ và quan sát an toàn phía bên phải để điều khiển xe qua chỗ đường giao nhau.</v>
      </c>
      <c r="I886" t="str">
        <f>SUBSTITUTE(IF(LEFT(A889,3)="Câu","",B889),CHAR(34),CHAR(92)&amp;CHAR(34))</f>
        <v xml:space="preserve"> Cách chỗ rẽ một khoảng cách an toàn có tín hiệu rẽ phải; giảm tốc độ, quan sát an toàn phía trước, sau, bên phải và điều khiển xe từ từ rẽ phải.</v>
      </c>
      <c r="J886" t="str">
        <f>SUBSTITUTE(IF(OR(LEFT(A890,3)="Câu",I886=""),"",IF(B890=0,"",B890)),CHAR(34),CHAR(92)&amp;CHAR(34))</f>
        <v>Cách chỗ rẽ một khoảng cách an toàn có tín hiệu rẽ phải; quan sát an toàn phía sau; điều khiển xe bám sát vào phía phải đường; tăng tốc độ và quan sát an toàn phía bên trái để điều khiển xe qua chỗ đường giao nhau.</v>
      </c>
      <c r="K886" t="str">
        <f>SUBSTITUTE(SUBSTITUTE(SUBSTITUTE(SUBSTITUTE(IFERROR(VLOOKUP("Câu "&amp;D886&amp;".",dapan!$E:$J,6,0),""),"1","A"),"2","B"),"3","C"),"4","D")</f>
        <v/>
      </c>
      <c r="P886" t="str">
        <f t="shared" si="46"/>
        <v/>
      </c>
      <c r="Q886" t="str">
        <f t="shared" si="47"/>
        <v/>
      </c>
    </row>
    <row r="887" spans="1:17" x14ac:dyDescent="0.25">
      <c r="A887" t="s">
        <v>758</v>
      </c>
      <c r="C887">
        <f>IFERROR(COUNTIFS($A$1:A887,"Câu "&amp;"*")-MID(A887,5,FIND(".",A887,1)-5),0)</f>
        <v>0</v>
      </c>
      <c r="D887">
        <f t="shared" si="48"/>
        <v>216</v>
      </c>
      <c r="E887" t="str">
        <f>SUBSTITUTE(IF(LEFT(A887,3)="Câu",MID(A887,FIND(".",A887,1)+2,LEN(A887)),""),CHAR(34),CHAR(92)&amp;CHAR(34))</f>
        <v>Khi điều khiển xe ô tô rẽ phải, người lái xe cần thực hiện các thao tác nào để bảo đảm an toàn?</v>
      </c>
      <c r="G887" t="str">
        <f>SUBSTITUTE(B888,CHAR(34),CHAR(92)&amp;CHAR(34))</f>
        <v>Có tín hiệu rẽ phải; quan sát an toàn phía sau; điều khiển xe sang làn đường bên trái; giảm tốc độ và quan sát an toàn phía bên phải để điều khiển xe qua chỗ đường giao nhau.</v>
      </c>
      <c r="H887" t="str">
        <f>SUBSTITUTE(B889,CHAR(34),CHAR(92)&amp;CHAR(34))</f>
        <v xml:space="preserve"> Cách chỗ rẽ một khoảng cách an toàn có tín hiệu rẽ phải; giảm tốc độ, quan sát an toàn phía trước, sau, bên phải và điều khiển xe từ từ rẽ phải.</v>
      </c>
      <c r="I887" t="str">
        <f>SUBSTITUTE(IF(LEFT(A890,3)="Câu","",B890),CHAR(34),CHAR(92)&amp;CHAR(34))</f>
        <v>Cách chỗ rẽ một khoảng cách an toàn có tín hiệu rẽ phải; quan sát an toàn phía sau; điều khiển xe bám sát vào phía phải đường; tăng tốc độ và quan sát an toàn phía bên trái để điều khiển xe qua chỗ đường giao nhau.</v>
      </c>
      <c r="J887" t="str">
        <f>SUBSTITUTE(IF(OR(LEFT(A891,3)="Câu",I887=""),"",IF(B891=0,"",B891)),CHAR(34),CHAR(92)&amp;CHAR(34))</f>
        <v/>
      </c>
      <c r="K887" t="str">
        <f ca="1">SUBSTITUTE(SUBSTITUTE(SUBSTITUTE(SUBSTITUTE(IFERROR(VLOOKUP("Câu "&amp;D887&amp;".",dapan!$E:$J,6,0),""),"1","A"),"2","B"),"3","C"),"4","D")</f>
        <v>B</v>
      </c>
      <c r="P887">
        <f t="shared" si="46"/>
        <v>216</v>
      </c>
      <c r="Q887" t="str">
        <f t="shared" ca="1" si="47"/>
        <v>{"num":216,"id":216,"q":"Khi điều khiển xe ô tô rẽ phải, người lái xe cần thực hiện các thao tác nào để bảo đảm an toàn?","opts":{"A":"Có tín hiệu rẽ phải; quan sát an toàn phía sau; điều khiển xe sang làn đường bên trái; giảm tốc độ và quan sát an toàn phía bên phải để điều khiển xe qua chỗ đường giao nhau.","B":" Cách chỗ rẽ một khoảng cách an toàn có tín hiệu rẽ phải; giảm tốc độ, quan sát an toàn phía trước, sau, bên phải và điều khiển xe từ từ rẽ phải.","C":"Cách chỗ rẽ một khoảng cách an toàn có tín hiệu rẽ phải; quan sát an toàn phía sau; điều khiển xe bám sát vào phía phải đường; tăng tốc độ và quan sát an toàn phía bên trái để điều khiển xe qua chỗ đường giao nhau."},"answer":"B"},</v>
      </c>
    </row>
    <row r="888" spans="1:17" hidden="1" x14ac:dyDescent="0.25">
      <c r="A888">
        <v>1</v>
      </c>
      <c r="B888" t="s">
        <v>759</v>
      </c>
      <c r="C888">
        <f>IFERROR(COUNTIFS($A$1:A888,"Câu "&amp;"*")-MID(A888,5,FIND(".",A888,1)-5),0)</f>
        <v>0</v>
      </c>
      <c r="D888" t="str">
        <f t="shared" si="48"/>
        <v/>
      </c>
      <c r="E888" t="str">
        <f>SUBSTITUTE(IF(LEFT(A888,3)="Câu",MID(A888,FIND(".",A888,1)+2,LEN(A888)),""),CHAR(34),CHAR(92)&amp;CHAR(34))</f>
        <v/>
      </c>
      <c r="G888" t="str">
        <f>SUBSTITUTE(B889,CHAR(34),CHAR(92)&amp;CHAR(34))</f>
        <v xml:space="preserve"> Cách chỗ rẽ một khoảng cách an toàn có tín hiệu rẽ phải; giảm tốc độ, quan sát an toàn phía trước, sau, bên phải và điều khiển xe từ từ rẽ phải.</v>
      </c>
      <c r="H888" t="str">
        <f>SUBSTITUTE(B890,CHAR(34),CHAR(92)&amp;CHAR(34))</f>
        <v>Cách chỗ rẽ một khoảng cách an toàn có tín hiệu rẽ phải; quan sát an toàn phía sau; điều khiển xe bám sát vào phía phải đường; tăng tốc độ và quan sát an toàn phía bên trái để điều khiển xe qua chỗ đường giao nhau.</v>
      </c>
      <c r="I888" t="str">
        <f>SUBSTITUTE(IF(LEFT(A891,3)="Câu","",B891),CHAR(34),CHAR(92)&amp;CHAR(34))</f>
        <v/>
      </c>
      <c r="J888" t="str">
        <f>SUBSTITUTE(IF(OR(LEFT(A892,3)="Câu",I888=""),"",IF(B892=0,"",B892)),CHAR(34),CHAR(92)&amp;CHAR(34))</f>
        <v/>
      </c>
      <c r="K888" t="str">
        <f>SUBSTITUTE(SUBSTITUTE(SUBSTITUTE(SUBSTITUTE(IFERROR(VLOOKUP("Câu "&amp;D888&amp;".",dapan!$E:$J,6,0),""),"1","A"),"2","B"),"3","C"),"4","D")</f>
        <v/>
      </c>
      <c r="P888" t="str">
        <f t="shared" si="46"/>
        <v/>
      </c>
      <c r="Q888" t="str">
        <f t="shared" si="47"/>
        <v/>
      </c>
    </row>
    <row r="889" spans="1:17" hidden="1" x14ac:dyDescent="0.25">
      <c r="A889">
        <v>2</v>
      </c>
      <c r="B889" t="s">
        <v>760</v>
      </c>
      <c r="C889">
        <f>IFERROR(COUNTIFS($A$1:A889,"Câu "&amp;"*")-MID(A889,5,FIND(".",A889,1)-5),0)</f>
        <v>0</v>
      </c>
      <c r="D889" t="str">
        <f t="shared" si="48"/>
        <v/>
      </c>
      <c r="E889" t="str">
        <f>SUBSTITUTE(IF(LEFT(A889,3)="Câu",MID(A889,FIND(".",A889,1)+2,LEN(A889)),""),CHAR(34),CHAR(92)&amp;CHAR(34))</f>
        <v/>
      </c>
      <c r="G889" t="str">
        <f>SUBSTITUTE(B890,CHAR(34),CHAR(92)&amp;CHAR(34))</f>
        <v>Cách chỗ rẽ một khoảng cách an toàn có tín hiệu rẽ phải; quan sát an toàn phía sau; điều khiển xe bám sát vào phía phải đường; tăng tốc độ và quan sát an toàn phía bên trái để điều khiển xe qua chỗ đường giao nhau.</v>
      </c>
      <c r="H889" t="str">
        <f>SUBSTITUTE(B891,CHAR(34),CHAR(92)&amp;CHAR(34))</f>
        <v/>
      </c>
      <c r="I889" t="str">
        <f>SUBSTITUTE(IF(LEFT(A892,3)="Câu","",B892),CHAR(34),CHAR(92)&amp;CHAR(34))</f>
        <v xml:space="preserve"> Cách chỗ rẽ một khoảng cách an toàn có tín hiệu rẽ trái; giảm tốc độ, quan sát an toàn xung quanh đặc biệt là bên trái; đổi sang làn đường bên trái và điều khiển xe từ từ rẽ trái.</v>
      </c>
      <c r="J889" t="str">
        <f>SUBSTITUTE(IF(OR(LEFT(A893,3)="Câu",I889=""),"",IF(B893=0,"",B893)),CHAR(34),CHAR(92)&amp;CHAR(34))</f>
        <v>Cách chỗ rẽ một khoảng cách an toàn có tín hiệu rẽ trái, tăng tốc độ để xe nhanh chóng qua chỗ đường giao nhau; có tín hiệu xin đổi làn đường; quan sát an toàn xung quanh đặc biệt là bên trái; đổi làn đường sang phải để mở rộng vòng cua.</v>
      </c>
      <c r="K889" t="str">
        <f>SUBSTITUTE(SUBSTITUTE(SUBSTITUTE(SUBSTITUTE(IFERROR(VLOOKUP("Câu "&amp;D889&amp;".",dapan!$E:$J,6,0),""),"1","A"),"2","B"),"3","C"),"4","D")</f>
        <v/>
      </c>
      <c r="P889" t="str">
        <f t="shared" si="46"/>
        <v/>
      </c>
      <c r="Q889" t="str">
        <f t="shared" si="47"/>
        <v/>
      </c>
    </row>
    <row r="890" spans="1:17" hidden="1" x14ac:dyDescent="0.25">
      <c r="A890">
        <v>3</v>
      </c>
      <c r="B890" t="s">
        <v>761</v>
      </c>
      <c r="C890">
        <f>IFERROR(COUNTIFS($A$1:A890,"Câu "&amp;"*")-MID(A890,5,FIND(".",A890,1)-5),0)</f>
        <v>0</v>
      </c>
      <c r="D890" t="str">
        <f t="shared" si="48"/>
        <v/>
      </c>
      <c r="E890" t="str">
        <f>SUBSTITUTE(IF(LEFT(A890,3)="Câu",MID(A890,FIND(".",A890,1)+2,LEN(A890)),""),CHAR(34),CHAR(92)&amp;CHAR(34))</f>
        <v/>
      </c>
      <c r="G890" t="str">
        <f>SUBSTITUTE(B891,CHAR(34),CHAR(92)&amp;CHAR(34))</f>
        <v/>
      </c>
      <c r="H890" t="str">
        <f>SUBSTITUTE(B892,CHAR(34),CHAR(92)&amp;CHAR(34))</f>
        <v xml:space="preserve"> Cách chỗ rẽ một khoảng cách an toàn có tín hiệu rẽ trái; giảm tốc độ, quan sát an toàn xung quanh đặc biệt là bên trái; đổi sang làn đường bên trái và điều khiển xe từ từ rẽ trái.</v>
      </c>
      <c r="I890" t="str">
        <f>SUBSTITUTE(IF(LEFT(A893,3)="Câu","",B893),CHAR(34),CHAR(92)&amp;CHAR(34))</f>
        <v>Cách chỗ rẽ một khoảng cách an toàn có tín hiệu rẽ trái, tăng tốc độ để xe nhanh chóng qua chỗ đường giao nhau; có tín hiệu xin đổi làn đường; quan sát an toàn xung quanh đặc biệt là bên trái; đổi làn đường sang phải để mở rộng vòng cua.</v>
      </c>
      <c r="J890" t="str">
        <f>SUBSTITUTE(IF(OR(LEFT(A894,3)="Câu",I890=""),"",IF(B894=0,"",B894)),CHAR(34),CHAR(92)&amp;CHAR(34))</f>
        <v/>
      </c>
      <c r="K890" t="str">
        <f>SUBSTITUTE(SUBSTITUTE(SUBSTITUTE(SUBSTITUTE(IFERROR(VLOOKUP("Câu "&amp;D890&amp;".",dapan!$E:$J,6,0),""),"1","A"),"2","B"),"3","C"),"4","D")</f>
        <v/>
      </c>
      <c r="P890" t="str">
        <f t="shared" si="46"/>
        <v/>
      </c>
      <c r="Q890" t="str">
        <f t="shared" si="47"/>
        <v/>
      </c>
    </row>
    <row r="891" spans="1:17" x14ac:dyDescent="0.25">
      <c r="A891" t="s">
        <v>762</v>
      </c>
      <c r="C891">
        <f>IFERROR(COUNTIFS($A$1:A891,"Câu "&amp;"*")-MID(A891,5,FIND(".",A891,1)-5),0)</f>
        <v>0</v>
      </c>
      <c r="D891">
        <f t="shared" si="48"/>
        <v>217</v>
      </c>
      <c r="E891" t="str">
        <f>SUBSTITUTE(IF(LEFT(A891,3)="Câu",MID(A891,FIND(".",A891,1)+2,LEN(A891)),""),CHAR(34),CHAR(92)&amp;CHAR(34))</f>
        <v>Khi điều khiển xe ô tô rẽ trái, người lái xe cần thực hiện các thao tác nào để bảo đảm an toàn?</v>
      </c>
      <c r="G891" t="str">
        <f>SUBSTITUTE(B892,CHAR(34),CHAR(92)&amp;CHAR(34))</f>
        <v xml:space="preserve"> Cách chỗ rẽ một khoảng cách an toàn có tín hiệu rẽ trái; giảm tốc độ, quan sát an toàn xung quanh đặc biệt là bên trái; đổi sang làn đường bên trái và điều khiển xe từ từ rẽ trái.</v>
      </c>
      <c r="H891" t="str">
        <f>SUBSTITUTE(B893,CHAR(34),CHAR(92)&amp;CHAR(34))</f>
        <v>Cách chỗ rẽ một khoảng cách an toàn có tín hiệu rẽ trái, tăng tốc độ để xe nhanh chóng qua chỗ đường giao nhau; có tín hiệu xin đổi làn đường; quan sát an toàn xung quanh đặc biệt là bên trái; đổi làn đường sang phải để mở rộng vòng cua.</v>
      </c>
      <c r="I891" t="str">
        <f>SUBSTITUTE(IF(LEFT(A894,3)="Câu","",B894),CHAR(34),CHAR(92)&amp;CHAR(34))</f>
        <v/>
      </c>
      <c r="J891" t="str">
        <f>SUBSTITUTE(IF(OR(LEFT(A895,3)="Câu",I891=""),"",IF(B895=0,"",B895)),CHAR(34),CHAR(92)&amp;CHAR(34))</f>
        <v/>
      </c>
      <c r="K891" t="str">
        <f ca="1">SUBSTITUTE(SUBSTITUTE(SUBSTITUTE(SUBSTITUTE(IFERROR(VLOOKUP("Câu "&amp;D891&amp;".",dapan!$E:$J,6,0),""),"1","A"),"2","B"),"3","C"),"4","D")</f>
        <v>A</v>
      </c>
      <c r="P891">
        <f t="shared" si="46"/>
        <v>217</v>
      </c>
      <c r="Q891" t="str">
        <f t="shared" ca="1" si="47"/>
        <v>{"num":217,"id":217,"q":"Khi điều khiển xe ô tô rẽ trái, người lái xe cần thực hiện các thao tác nào để bảo đảm an toàn?","opts":{"A":" Cách chỗ rẽ một khoảng cách an toàn có tín hiệu rẽ trái; giảm tốc độ, quan sát an toàn xung quanh đặc biệt là bên trái; đổi sang làn đường bên trái và điều khiển xe từ từ rẽ trái.","B":"Cách chỗ rẽ một khoảng cách an toàn có tín hiệu rẽ trái, tăng tốc độ để xe nhanh chóng qua chỗ đường giao nhau; có tín hiệu xin đổi làn đường; quan sát an toàn xung quanh đặc biệt là bên trái; đổi làn đường sang phải để mở rộng vòng cua."},"answer":"A"},</v>
      </c>
    </row>
    <row r="892" spans="1:17" hidden="1" x14ac:dyDescent="0.25">
      <c r="A892">
        <v>1</v>
      </c>
      <c r="B892" t="s">
        <v>763</v>
      </c>
      <c r="C892">
        <f>IFERROR(COUNTIFS($A$1:A892,"Câu "&amp;"*")-MID(A892,5,FIND(".",A892,1)-5),0)</f>
        <v>0</v>
      </c>
      <c r="D892" t="str">
        <f t="shared" si="48"/>
        <v/>
      </c>
      <c r="E892" t="str">
        <f>SUBSTITUTE(IF(LEFT(A892,3)="Câu",MID(A892,FIND(".",A892,1)+2,LEN(A892)),""),CHAR(34),CHAR(92)&amp;CHAR(34))</f>
        <v/>
      </c>
      <c r="G892" t="str">
        <f>SUBSTITUTE(B893,CHAR(34),CHAR(92)&amp;CHAR(34))</f>
        <v>Cách chỗ rẽ một khoảng cách an toàn có tín hiệu rẽ trái, tăng tốc độ để xe nhanh chóng qua chỗ đường giao nhau; có tín hiệu xin đổi làn đường; quan sát an toàn xung quanh đặc biệt là bên trái; đổi làn đường sang phải để mở rộng vòng cua.</v>
      </c>
      <c r="H892" t="str">
        <f>SUBSTITUTE(B894,CHAR(34),CHAR(92)&amp;CHAR(34))</f>
        <v/>
      </c>
      <c r="I892" t="str">
        <f>SUBSTITUTE(IF(LEFT(A895,3)="Câu","",B895),CHAR(34),CHAR(92)&amp;CHAR(34))</f>
        <v>Vào số một (1) và từ từ cho hai bánh xe trước xuống rãnh, tăng ga cho hai bánh xe trước vượt lên khỏi rãnh, tăng số, tăng tốc độ để bánh xe sau vượt qua rãnh.</v>
      </c>
      <c r="J892" t="str">
        <f>SUBSTITUTE(IF(OR(LEFT(A896,3)="Câu",I892=""),"",IF(B896=0,"",B896)),CHAR(34),CHAR(92)&amp;CHAR(34))</f>
        <v>Tăng ga, tăng số để hai bánh xe trước và bánh xe sau vượt qua khỏi rãnh và chạy bình thường.</v>
      </c>
      <c r="K892" t="str">
        <f>SUBSTITUTE(SUBSTITUTE(SUBSTITUTE(SUBSTITUTE(IFERROR(VLOOKUP("Câu "&amp;D892&amp;".",dapan!$E:$J,6,0),""),"1","A"),"2","B"),"3","C"),"4","D")</f>
        <v/>
      </c>
      <c r="P892" t="str">
        <f t="shared" si="46"/>
        <v/>
      </c>
      <c r="Q892" t="str">
        <f t="shared" si="47"/>
        <v/>
      </c>
    </row>
    <row r="893" spans="1:17" hidden="1" x14ac:dyDescent="0.25">
      <c r="A893">
        <v>2</v>
      </c>
      <c r="B893" t="s">
        <v>764</v>
      </c>
      <c r="C893">
        <f>IFERROR(COUNTIFS($A$1:A893,"Câu "&amp;"*")-MID(A893,5,FIND(".",A893,1)-5),0)</f>
        <v>0</v>
      </c>
      <c r="D893" t="str">
        <f t="shared" si="48"/>
        <v/>
      </c>
      <c r="E893" t="str">
        <f>SUBSTITUTE(IF(LEFT(A893,3)="Câu",MID(A893,FIND(".",A893,1)+2,LEN(A893)),""),CHAR(34),CHAR(92)&amp;CHAR(34))</f>
        <v/>
      </c>
      <c r="G893" t="str">
        <f>SUBSTITUTE(B894,CHAR(34),CHAR(92)&amp;CHAR(34))</f>
        <v/>
      </c>
      <c r="H893" t="str">
        <f>SUBSTITUTE(B895,CHAR(34),CHAR(92)&amp;CHAR(34))</f>
        <v>Vào số một (1) và từ từ cho hai bánh xe trước xuống rãnh, tăng ga cho hai bánh xe trước vượt lên khỏi rãnh, tăng số, tăng tốc độ để bánh xe sau vượt qua rãnh.</v>
      </c>
      <c r="I893" t="str">
        <f>SUBSTITUTE(IF(LEFT(A896,3)="Câu","",B896),CHAR(34),CHAR(92)&amp;CHAR(34))</f>
        <v>Tăng ga, tăng số để hai bánh xe trước và bánh xe sau vượt qua khỏi rãnh và chạy bình thường.</v>
      </c>
      <c r="J893" t="str">
        <f>SUBSTITUTE(IF(OR(LEFT(A897,3)="Câu",I893=""),"",IF(B897=0,"",B897)),CHAR(34),CHAR(92)&amp;CHAR(34))</f>
        <v xml:space="preserve"> Vào số một (1) và từ từ cho hai bánh xe trước xuống rãnh, tăng ga cho hai bánh xe trước vượt lên khỏi rãnh, tiếp tục để bánh xe sau từ từ xuống rãnh rồi tăng dần ga cho xe ô tô lên khỏi rãnh.</v>
      </c>
      <c r="K893" t="str">
        <f>SUBSTITUTE(SUBSTITUTE(SUBSTITUTE(SUBSTITUTE(IFERROR(VLOOKUP("Câu "&amp;D893&amp;".",dapan!$E:$J,6,0),""),"1","A"),"2","B"),"3","C"),"4","D")</f>
        <v/>
      </c>
      <c r="P893" t="str">
        <f t="shared" si="46"/>
        <v/>
      </c>
      <c r="Q893" t="str">
        <f t="shared" si="47"/>
        <v/>
      </c>
    </row>
    <row r="894" spans="1:17" x14ac:dyDescent="0.25">
      <c r="A894" t="s">
        <v>765</v>
      </c>
      <c r="C894">
        <f>IFERROR(COUNTIFS($A$1:A894,"Câu "&amp;"*")-MID(A894,5,FIND(".",A894,1)-5),0)</f>
        <v>0</v>
      </c>
      <c r="D894">
        <f t="shared" si="48"/>
        <v>218</v>
      </c>
      <c r="E894" t="str">
        <f>SUBSTITUTE(IF(LEFT(A894,3)="Câu",MID(A894,FIND(".",A894,1)+2,LEN(A894)),""),CHAR(34),CHAR(92)&amp;CHAR(34))</f>
        <v>Khi điều khiển xe sử dụng hộp số cơ khí vượt qua rãnh lớn cắt ngang mặt đường, người lái xe cần thực hiện các thao tác nào để đảm bảo an toàn?</v>
      </c>
      <c r="G894" t="str">
        <f>SUBSTITUTE(B895,CHAR(34),CHAR(92)&amp;CHAR(34))</f>
        <v>Vào số một (1) và từ từ cho hai bánh xe trước xuống rãnh, tăng ga cho hai bánh xe trước vượt lên khỏi rãnh, tăng số, tăng tốc độ để bánh xe sau vượt qua rãnh.</v>
      </c>
      <c r="H894" t="str">
        <f>SUBSTITUTE(B896,CHAR(34),CHAR(92)&amp;CHAR(34))</f>
        <v>Tăng ga, tăng số để hai bánh xe trước và bánh xe sau vượt qua khỏi rãnh và chạy bình thường.</v>
      </c>
      <c r="I894" t="str">
        <f>SUBSTITUTE(IF(LEFT(A897,3)="Câu","",B897),CHAR(34),CHAR(92)&amp;CHAR(34))</f>
        <v xml:space="preserve"> Vào số một (1) và từ từ cho hai bánh xe trước xuống rãnh, tăng ga cho hai bánh xe trước vượt lên khỏi rãnh, tiếp tục để bánh xe sau từ từ xuống rãnh rồi tăng dần ga cho xe ô tô lên khỏi rãnh.</v>
      </c>
      <c r="J894" t="str">
        <f>SUBSTITUTE(IF(OR(LEFT(A898,3)="Câu",I894=""),"",IF(B898=0,"",B898)),CHAR(34),CHAR(92)&amp;CHAR(34))</f>
        <v/>
      </c>
      <c r="K894" t="str">
        <f ca="1">SUBSTITUTE(SUBSTITUTE(SUBSTITUTE(SUBSTITUTE(IFERROR(VLOOKUP("Câu "&amp;D894&amp;".",dapan!$E:$J,6,0),""),"1","A"),"2","B"),"3","C"),"4","D")</f>
        <v>C</v>
      </c>
      <c r="P894">
        <f t="shared" si="46"/>
        <v>218</v>
      </c>
      <c r="Q894" t="str">
        <f t="shared" ca="1" si="47"/>
        <v>{"num":218,"id":218,"q":"Khi điều khiển xe sử dụng hộp số cơ khí vượt qua rãnh lớn cắt ngang mặt đường, người lái xe cần thực hiện các thao tác nào để đảm bảo an toàn?","opts":{"A":"Vào số một (1) và từ từ cho hai bánh xe trước xuống rãnh, tăng ga cho hai bánh xe trước vượt lên khỏi rãnh, tăng số, tăng tốc độ để bánh xe sau vượt qua rãnh.","B":"Tăng ga, tăng số để hai bánh xe trước và bánh xe sau vượt qua khỏi rãnh và chạy bình thường.","C":" Vào số một (1) và từ từ cho hai bánh xe trước xuống rãnh, tăng ga cho hai bánh xe trước vượt lên khỏi rãnh, tiếp tục để bánh xe sau từ từ xuống rãnh rồi tăng dần ga cho xe ô tô lên khỏi rãnh."},"answer":"C"},</v>
      </c>
    </row>
    <row r="895" spans="1:17" hidden="1" x14ac:dyDescent="0.25">
      <c r="A895">
        <v>1</v>
      </c>
      <c r="B895" t="s">
        <v>766</v>
      </c>
      <c r="C895">
        <f>IFERROR(COUNTIFS($A$1:A895,"Câu "&amp;"*")-MID(A895,5,FIND(".",A895,1)-5),0)</f>
        <v>0</v>
      </c>
      <c r="D895" t="str">
        <f t="shared" si="48"/>
        <v/>
      </c>
      <c r="E895" t="str">
        <f>SUBSTITUTE(IF(LEFT(A895,3)="Câu",MID(A895,FIND(".",A895,1)+2,LEN(A895)),""),CHAR(34),CHAR(92)&amp;CHAR(34))</f>
        <v/>
      </c>
      <c r="G895" t="str">
        <f>SUBSTITUTE(B896,CHAR(34),CHAR(92)&amp;CHAR(34))</f>
        <v>Tăng ga, tăng số để hai bánh xe trước và bánh xe sau vượt qua khỏi rãnh và chạy bình thường.</v>
      </c>
      <c r="H895" t="str">
        <f>SUBSTITUTE(B897,CHAR(34),CHAR(92)&amp;CHAR(34))</f>
        <v xml:space="preserve"> Vào số một (1) và từ từ cho hai bánh xe trước xuống rãnh, tăng ga cho hai bánh xe trước vượt lên khỏi rãnh, tiếp tục để bánh xe sau từ từ xuống rãnh rồi tăng dần ga cho xe ô tô lên khỏi rãnh.</v>
      </c>
      <c r="I895" t="str">
        <f>SUBSTITUTE(IF(LEFT(A898,3)="Câu","",B898),CHAR(34),CHAR(92)&amp;CHAR(34))</f>
        <v/>
      </c>
      <c r="J895" t="str">
        <f>SUBSTITUTE(IF(OR(LEFT(A899,3)="Câu",I895=""),"",IF(B899=0,"",B899)),CHAR(34),CHAR(92)&amp;CHAR(34))</f>
        <v/>
      </c>
      <c r="K895" t="str">
        <f>SUBSTITUTE(SUBSTITUTE(SUBSTITUTE(SUBSTITUTE(IFERROR(VLOOKUP("Câu "&amp;D895&amp;".",dapan!$E:$J,6,0),""),"1","A"),"2","B"),"3","C"),"4","D")</f>
        <v/>
      </c>
      <c r="P895" t="str">
        <f t="shared" si="46"/>
        <v/>
      </c>
      <c r="Q895" t="str">
        <f t="shared" si="47"/>
        <v/>
      </c>
    </row>
    <row r="896" spans="1:17" hidden="1" x14ac:dyDescent="0.25">
      <c r="A896">
        <v>2</v>
      </c>
      <c r="B896" t="s">
        <v>767</v>
      </c>
      <c r="C896">
        <f>IFERROR(COUNTIFS($A$1:A896,"Câu "&amp;"*")-MID(A896,5,FIND(".",A896,1)-5),0)</f>
        <v>0</v>
      </c>
      <c r="D896" t="str">
        <f t="shared" si="48"/>
        <v/>
      </c>
      <c r="E896" t="str">
        <f>SUBSTITUTE(IF(LEFT(A896,3)="Câu",MID(A896,FIND(".",A896,1)+2,LEN(A896)),""),CHAR(34),CHAR(92)&amp;CHAR(34))</f>
        <v/>
      </c>
      <c r="G896" t="str">
        <f>SUBSTITUTE(B897,CHAR(34),CHAR(92)&amp;CHAR(34))</f>
        <v xml:space="preserve"> Vào số một (1) và từ từ cho hai bánh xe trước xuống rãnh, tăng ga cho hai bánh xe trước vượt lên khỏi rãnh, tiếp tục để bánh xe sau từ từ xuống rãnh rồi tăng dần ga cho xe ô tô lên khỏi rãnh.</v>
      </c>
      <c r="H896" t="str">
        <f>SUBSTITUTE(B898,CHAR(34),CHAR(92)&amp;CHAR(34))</f>
        <v/>
      </c>
      <c r="I896" t="str">
        <f>SUBSTITUTE(IF(LEFT(A899,3)="Câu","",B899),CHAR(34),CHAR(92)&amp;CHAR(34))</f>
        <v>Khi có chuông báo hoặc thanh chắn đã hạ xuống, người lái xe phải dừng xe tạm thời đúng khoảng cách an toàn, kéo phanh tay nếu đường dốc hoặc phải chờ lâu.</v>
      </c>
      <c r="J896" t="str">
        <f>SUBSTITUTE(IF(OR(LEFT(A900,3)="Câu",I896=""),"",IF(B900=0,"",B900)),CHAR(34),CHAR(92)&amp;CHAR(34))</f>
        <v>Khi không có chuông báo hoặc thanh chắn không hạ xuống, người lái xe cần phải quan sát nếu thấy đủ điều kiện an toàn thì về số thấp, tăng ga nhẹ và không thay đổi số trong quá trình vượt qua đường sắt để tránh động cơ chết máy cho xe cho vượt qua.</v>
      </c>
      <c r="K896" t="str">
        <f>SUBSTITUTE(SUBSTITUTE(SUBSTITUTE(SUBSTITUTE(IFERROR(VLOOKUP("Câu "&amp;D896&amp;".",dapan!$E:$J,6,0),""),"1","A"),"2","B"),"3","C"),"4","D")</f>
        <v/>
      </c>
      <c r="P896" t="str">
        <f t="shared" si="46"/>
        <v/>
      </c>
      <c r="Q896" t="str">
        <f t="shared" si="47"/>
        <v/>
      </c>
    </row>
    <row r="897" spans="1:17" hidden="1" x14ac:dyDescent="0.25">
      <c r="A897">
        <v>3</v>
      </c>
      <c r="B897" t="s">
        <v>768</v>
      </c>
      <c r="C897">
        <f>IFERROR(COUNTIFS($A$1:A897,"Câu "&amp;"*")-MID(A897,5,FIND(".",A897,1)-5),0)</f>
        <v>0</v>
      </c>
      <c r="D897" t="str">
        <f t="shared" si="48"/>
        <v/>
      </c>
      <c r="E897" t="str">
        <f>SUBSTITUTE(IF(LEFT(A897,3)="Câu",MID(A897,FIND(".",A897,1)+2,LEN(A897)),""),CHAR(34),CHAR(92)&amp;CHAR(34))</f>
        <v/>
      </c>
      <c r="G897" t="str">
        <f>SUBSTITUTE(B898,CHAR(34),CHAR(92)&amp;CHAR(34))</f>
        <v/>
      </c>
      <c r="H897" t="str">
        <f>SUBSTITUTE(B899,CHAR(34),CHAR(92)&amp;CHAR(34))</f>
        <v>Khi có chuông báo hoặc thanh chắn đã hạ xuống, người lái xe phải dừng xe tạm thời đúng khoảng cách an toàn, kéo phanh tay nếu đường dốc hoặc phải chờ lâu.</v>
      </c>
      <c r="I897" t="str">
        <f>SUBSTITUTE(IF(LEFT(A900,3)="Câu","",B900),CHAR(34),CHAR(92)&amp;CHAR(34))</f>
        <v>Khi không có chuông báo hoặc thanh chắn không hạ xuống, người lái xe cần phải quan sát nếu thấy đủ điều kiện an toàn thì về số thấp, tăng ga nhẹ và không thay đổi số trong quá trình vượt qua đường sắt để tránh động cơ chết máy cho xe cho vượt qua.</v>
      </c>
      <c r="J897" t="str">
        <f>SUBSTITUTE(IF(OR(LEFT(A901,3)="Câu",I897=""),"",IF(B901=0,"",B901)),CHAR(34),CHAR(92)&amp;CHAR(34))</f>
        <v xml:space="preserve"> Cả hai ý trên.</v>
      </c>
      <c r="K897" t="str">
        <f>SUBSTITUTE(SUBSTITUTE(SUBSTITUTE(SUBSTITUTE(IFERROR(VLOOKUP("Câu "&amp;D897&amp;".",dapan!$E:$J,6,0),""),"1","A"),"2","B"),"3","C"),"4","D")</f>
        <v/>
      </c>
      <c r="P897" t="str">
        <f t="shared" si="46"/>
        <v/>
      </c>
      <c r="Q897" t="str">
        <f t="shared" si="47"/>
        <v/>
      </c>
    </row>
    <row r="898" spans="1:17" x14ac:dyDescent="0.25">
      <c r="A898" t="s">
        <v>769</v>
      </c>
      <c r="C898">
        <f>IFERROR(COUNTIFS($A$1:A898,"Câu "&amp;"*")-MID(A898,5,FIND(".",A898,1)-5),0)</f>
        <v>0</v>
      </c>
      <c r="D898">
        <f t="shared" si="48"/>
        <v>219</v>
      </c>
      <c r="E898" t="str">
        <f>SUBSTITUTE(IF(LEFT(A898,3)="Câu",MID(A898,FIND(".",A898,1)+2,LEN(A898)),""),CHAR(34),CHAR(92)&amp;CHAR(34))</f>
        <v>Khi điều khiển xe qua đường sắt, người lái xe cần phải thực hiện các thao tác nào dưới đây để bảo đảm an toàn?</v>
      </c>
      <c r="G898" t="str">
        <f>SUBSTITUTE(B899,CHAR(34),CHAR(92)&amp;CHAR(34))</f>
        <v>Khi có chuông báo hoặc thanh chắn đã hạ xuống, người lái xe phải dừng xe tạm thời đúng khoảng cách an toàn, kéo phanh tay nếu đường dốc hoặc phải chờ lâu.</v>
      </c>
      <c r="H898" t="str">
        <f>SUBSTITUTE(B900,CHAR(34),CHAR(92)&amp;CHAR(34))</f>
        <v>Khi không có chuông báo hoặc thanh chắn không hạ xuống, người lái xe cần phải quan sát nếu thấy đủ điều kiện an toàn thì về số thấp, tăng ga nhẹ và không thay đổi số trong quá trình vượt qua đường sắt để tránh động cơ chết máy cho xe cho vượt qua.</v>
      </c>
      <c r="I898" t="str">
        <f>SUBSTITUTE(IF(LEFT(A901,3)="Câu","",B901),CHAR(34),CHAR(92)&amp;CHAR(34))</f>
        <v xml:space="preserve"> Cả hai ý trên.</v>
      </c>
      <c r="J898" t="str">
        <f>SUBSTITUTE(IF(OR(LEFT(A902,3)="Câu",I898=""),"",IF(B902=0,"",B902)),CHAR(34),CHAR(92)&amp;CHAR(34))</f>
        <v/>
      </c>
      <c r="K898" t="str">
        <f ca="1">SUBSTITUTE(SUBSTITUTE(SUBSTITUTE(SUBSTITUTE(IFERROR(VLOOKUP("Câu "&amp;D898&amp;".",dapan!$E:$J,6,0),""),"1","A"),"2","B"),"3","C"),"4","D")</f>
        <v>C</v>
      </c>
      <c r="P898">
        <f t="shared" si="46"/>
        <v>219</v>
      </c>
      <c r="Q898" t="str">
        <f t="shared" ca="1" si="47"/>
        <v>{"num":219,"id":219,"q":"Khi điều khiển xe qua đường sắt, người lái xe cần phải thực hiện các thao tác nào dưới đây để bảo đảm an toàn?","opts":{"A":"Khi có chuông báo hoặc thanh chắn đã hạ xuống, người lái xe phải dừng xe tạm thời đúng khoảng cách an toàn, kéo phanh tay nếu đường dốc hoặc phải chờ lâu.","B":"Khi không có chuông báo hoặc thanh chắn không hạ xuống, người lái xe cần phải quan sát nếu thấy đủ điều kiện an toàn thì về số thấp, tăng ga nhẹ và không thay đổi số trong quá trình vượt qua đường sắt để tránh động cơ chết máy cho xe cho vượt qua.","C":" Cả hai ý trên."},"answer":"C"},</v>
      </c>
    </row>
    <row r="899" spans="1:17" hidden="1" x14ac:dyDescent="0.25">
      <c r="A899">
        <v>1</v>
      </c>
      <c r="B899" t="s">
        <v>770</v>
      </c>
      <c r="C899">
        <f>IFERROR(COUNTIFS($A$1:A899,"Câu "&amp;"*")-MID(A899,5,FIND(".",A899,1)-5),0)</f>
        <v>0</v>
      </c>
      <c r="D899" t="str">
        <f t="shared" si="48"/>
        <v/>
      </c>
      <c r="E899" t="str">
        <f>SUBSTITUTE(IF(LEFT(A899,3)="Câu",MID(A899,FIND(".",A899,1)+2,LEN(A899)),""),CHAR(34),CHAR(92)&amp;CHAR(34))</f>
        <v/>
      </c>
      <c r="G899" t="str">
        <f>SUBSTITUTE(B900,CHAR(34),CHAR(92)&amp;CHAR(34))</f>
        <v>Khi không có chuông báo hoặc thanh chắn không hạ xuống, người lái xe cần phải quan sát nếu thấy đủ điều kiện an toàn thì về số thấp, tăng ga nhẹ và không thay đổi số trong quá trình vượt qua đường sắt để tránh động cơ chết máy cho xe cho vượt qua.</v>
      </c>
      <c r="H899" t="str">
        <f>SUBSTITUTE(B901,CHAR(34),CHAR(92)&amp;CHAR(34))</f>
        <v xml:space="preserve"> Cả hai ý trên.</v>
      </c>
      <c r="I899" t="str">
        <f>SUBSTITUTE(IF(LEFT(A902,3)="Câu","",B902),CHAR(34),CHAR(92)&amp;CHAR(34))</f>
        <v/>
      </c>
      <c r="J899" t="str">
        <f>SUBSTITUTE(IF(OR(LEFT(A903,3)="Câu",I899=""),"",IF(B903=0,"",B903)),CHAR(34),CHAR(92)&amp;CHAR(34))</f>
        <v/>
      </c>
      <c r="K899" t="str">
        <f>SUBSTITUTE(SUBSTITUTE(SUBSTITUTE(SUBSTITUTE(IFERROR(VLOOKUP("Câu "&amp;D899&amp;".",dapan!$E:$J,6,0),""),"1","A"),"2","B"),"3","C"),"4","D")</f>
        <v/>
      </c>
      <c r="P899" t="str">
        <f t="shared" ref="P899:P962" si="49">D899</f>
        <v/>
      </c>
      <c r="Q899" t="str">
        <f t="shared" ref="Q899:Q962" si="50">IF(D899="","",CHAR(123)&amp;CHAR(34)&amp;"num"&amp;CHAR(34)&amp;":"&amp;P899&amp;","&amp;CHAR(34)&amp;"id"&amp;CHAR(34)&amp;":"&amp;D899&amp;","
&amp;CHAR(34)&amp;"q"&amp;CHAR(34)&amp;":"&amp;CHAR(34)&amp;E899&amp;CHAR(34)&amp;","
&amp;IF(F899="","",CHAR(34)&amp;"img"&amp;CHAR(34)&amp;":"&amp;CHAR(34)&amp;F899&amp;CHAR(34)&amp;",")
&amp;CHAR(34)&amp;"opts"&amp;CHAR(34)&amp;":"&amp;CHAR(123)&amp;CHAR(34)&amp;"A"&amp;CHAR(34)&amp;":"&amp;CHAR(34)&amp;G899&amp;CHAR(34)&amp;","&amp;CHAR(34)&amp;"B"&amp;CHAR(34)&amp;":"&amp;CHAR(34)&amp;H899&amp;CHAR(34)
&amp;IF(I899="","",","&amp;CHAR(34)&amp;"C"&amp;CHAR(34)&amp;":"&amp;CHAR(34)&amp;I899&amp;CHAR(34))&amp;IF(J899="","",","&amp;CHAR(34)&amp;"D"&amp;CHAR(34)&amp;":"&amp;CHAR(34)&amp;J899&amp;CHAR(34))&amp;CHAR(125)&amp;","
&amp;CHAR(34)&amp;"answer"&amp;CHAR(34)&amp;":"&amp;CHAR(34)&amp;K899&amp;CHAR(34)
&amp;IF(L899="","",","&amp;CHAR(34)&amp;"danger"&amp;CHAR(34)&amp;":"&amp;CHAR(34)&amp;"true"&amp;CHAR(34))
&amp;IF(M899="","",","&amp;CHAR(34)&amp;"explain"&amp;CHAR(34)&amp;":"&amp;CHAR(34)&amp;M899&amp;CHAR(34))
&amp;IF(N899="","",","&amp;CHAR(34)&amp;"explainImg"&amp;CHAR(34)&amp;":"&amp;CHAR(34)&amp;N899&amp;CHAR(34))
&amp;IF(O899="","",","&amp;CHAR(34)&amp;"shuffle"&amp;CHAR(34)&amp;":"&amp;CHAR(34)&amp;"false"&amp;CHAR(34))&amp;CHAR(125)&amp;",")</f>
        <v/>
      </c>
    </row>
    <row r="900" spans="1:17" hidden="1" x14ac:dyDescent="0.25">
      <c r="A900">
        <v>2</v>
      </c>
      <c r="B900" t="s">
        <v>771</v>
      </c>
      <c r="C900">
        <f>IFERROR(COUNTIFS($A$1:A900,"Câu "&amp;"*")-MID(A900,5,FIND(".",A900,1)-5),0)</f>
        <v>0</v>
      </c>
      <c r="D900" t="str">
        <f t="shared" si="48"/>
        <v/>
      </c>
      <c r="E900" t="str">
        <f>SUBSTITUTE(IF(LEFT(A900,3)="Câu",MID(A900,FIND(".",A900,1)+2,LEN(A900)),""),CHAR(34),CHAR(92)&amp;CHAR(34))</f>
        <v/>
      </c>
      <c r="G900" t="str">
        <f>SUBSTITUTE(B901,CHAR(34),CHAR(92)&amp;CHAR(34))</f>
        <v xml:space="preserve"> Cả hai ý trên.</v>
      </c>
      <c r="H900" t="str">
        <f>SUBSTITUTE(B902,CHAR(34),CHAR(92)&amp;CHAR(34))</f>
        <v/>
      </c>
      <c r="I900" t="str">
        <f>SUBSTITUTE(IF(LEFT(A903,3)="Câu","",B903),CHAR(34),CHAR(92)&amp;CHAR(34))</f>
        <v>Khi chạy trên đường xấu, nhiều ổ gà nên chạy chậm để thùng xe không bị lắc mạnh, không gây hiện tượng lệch \"ben\"; khi chạy vào đường vòng, cần giảm tốc độ, không lấy lái gấp và không phanh gấp.</v>
      </c>
      <c r="J900" t="str">
        <f>SUBSTITUTE(IF(OR(LEFT(A904,3)="Câu",I900=""),"",IF(B904=0,"",B904)),CHAR(34),CHAR(92)&amp;CHAR(34))</f>
        <v>Khi chạy trên đường quốc lộ, đường bằng phẳng không cần hạ hết thùng xe xuống.</v>
      </c>
      <c r="K900" t="str">
        <f>SUBSTITUTE(SUBSTITUTE(SUBSTITUTE(SUBSTITUTE(IFERROR(VLOOKUP("Câu "&amp;D900&amp;".",dapan!$E:$J,6,0),""),"1","A"),"2","B"),"3","C"),"4","D")</f>
        <v/>
      </c>
      <c r="P900" t="str">
        <f t="shared" si="49"/>
        <v/>
      </c>
      <c r="Q900" t="str">
        <f t="shared" si="50"/>
        <v/>
      </c>
    </row>
    <row r="901" spans="1:17" hidden="1" x14ac:dyDescent="0.25">
      <c r="A901">
        <v>3</v>
      </c>
      <c r="B901" t="s">
        <v>32</v>
      </c>
      <c r="C901">
        <f>IFERROR(COUNTIFS($A$1:A901,"Câu "&amp;"*")-MID(A901,5,FIND(".",A901,1)-5),0)</f>
        <v>0</v>
      </c>
      <c r="D901" t="str">
        <f t="shared" si="48"/>
        <v/>
      </c>
      <c r="E901" t="str">
        <f>SUBSTITUTE(IF(LEFT(A901,3)="Câu",MID(A901,FIND(".",A901,1)+2,LEN(A901)),""),CHAR(34),CHAR(92)&amp;CHAR(34))</f>
        <v/>
      </c>
      <c r="G901" t="str">
        <f>SUBSTITUTE(B902,CHAR(34),CHAR(92)&amp;CHAR(34))</f>
        <v/>
      </c>
      <c r="H901" t="str">
        <f>SUBSTITUTE(B903,CHAR(34),CHAR(92)&amp;CHAR(34))</f>
        <v>Khi chạy trên đường xấu, nhiều ổ gà nên chạy chậm để thùng xe không bị lắc mạnh, không gây hiện tượng lệch \"ben\"; khi chạy vào đường vòng, cần giảm tốc độ, không lấy lái gấp và không phanh gấp.</v>
      </c>
      <c r="I901" t="str">
        <f>SUBSTITUTE(IF(LEFT(A904,3)="Câu","",B904),CHAR(34),CHAR(92)&amp;CHAR(34))</f>
        <v>Khi chạy trên đường quốc lộ, đường bằng phẳng không cần hạ hết thùng xe xuống.</v>
      </c>
      <c r="J901" t="str">
        <f>SUBSTITUTE(IF(OR(LEFT(A905,3)="Câu",I901=""),"",IF(B905=0,"",B905)),CHAR(34),CHAR(92)&amp;CHAR(34))</f>
        <v>Khi đổ hàng phải chọn vị trí có nền đường cứng và phẳng, dừng hẳn xe, kéo hết phanh đỗ; sau đó mới điều khiển cơ cấu nâng \"ben\" để đổ hàng, đổ xong hàng mới hạ thùng xuống.</v>
      </c>
      <c r="K901" t="str">
        <f>SUBSTITUTE(SUBSTITUTE(SUBSTITUTE(SUBSTITUTE(IFERROR(VLOOKUP("Câu "&amp;D901&amp;".",dapan!$E:$J,6,0),""),"1","A"),"2","B"),"3","C"),"4","D")</f>
        <v/>
      </c>
      <c r="P901" t="str">
        <f t="shared" si="49"/>
        <v/>
      </c>
      <c r="Q901" t="str">
        <f t="shared" si="50"/>
        <v/>
      </c>
    </row>
    <row r="902" spans="1:17" x14ac:dyDescent="0.25">
      <c r="A902" t="s">
        <v>772</v>
      </c>
      <c r="C902">
        <f>IFERROR(COUNTIFS($A$1:A902,"Câu "&amp;"*")-MID(A902,5,FIND(".",A902,1)-5),0)</f>
        <v>0</v>
      </c>
      <c r="D902">
        <f t="shared" si="48"/>
        <v>220</v>
      </c>
      <c r="E902" t="str">
        <f>SUBSTITUTE(IF(LEFT(A902,3)="Câu",MID(A902,FIND(".",A902,1)+2,LEN(A902)),""),CHAR(34),CHAR(92)&amp;CHAR(34))</f>
        <v>Khi điều khiển xe ô tô tự đổ, người lái xe cần chú ý những điểm gì để bảo đảm an toàn?</v>
      </c>
      <c r="G902" t="str">
        <f>SUBSTITUTE(B903,CHAR(34),CHAR(92)&amp;CHAR(34))</f>
        <v>Khi chạy trên đường xấu, nhiều ổ gà nên chạy chậm để thùng xe không bị lắc mạnh, không gây hiện tượng lệch \"ben\"; khi chạy vào đường vòng, cần giảm tốc độ, không lấy lái gấp và không phanh gấp.</v>
      </c>
      <c r="H902" t="str">
        <f>SUBSTITUTE(B904,CHAR(34),CHAR(92)&amp;CHAR(34))</f>
        <v>Khi chạy trên đường quốc lộ, đường bằng phẳng không cần hạ hết thùng xe xuống.</v>
      </c>
      <c r="I902" t="str">
        <f>SUBSTITUTE(IF(LEFT(A905,3)="Câu","",B905),CHAR(34),CHAR(92)&amp;CHAR(34))</f>
        <v>Khi đổ hàng phải chọn vị trí có nền đường cứng và phẳng, dừng hẳn xe, kéo hết phanh đỗ; sau đó mới điều khiển cơ cấu nâng \"ben\" để đổ hàng, đổ xong hàng mới hạ thùng xuống.</v>
      </c>
      <c r="J902" t="str">
        <f>SUBSTITUTE(IF(OR(LEFT(A906,3)="Câu",I902=""),"",IF(B906=0,"",B906)),CHAR(34),CHAR(92)&amp;CHAR(34))</f>
        <v xml:space="preserve"> Ý 1 và ý 3.</v>
      </c>
      <c r="K902" t="str">
        <f ca="1">SUBSTITUTE(SUBSTITUTE(SUBSTITUTE(SUBSTITUTE(IFERROR(VLOOKUP("Câu "&amp;D902&amp;".",dapan!$E:$J,6,0),""),"1","A"),"2","B"),"3","C"),"4","D")</f>
        <v>D</v>
      </c>
      <c r="P902">
        <f t="shared" si="49"/>
        <v>220</v>
      </c>
      <c r="Q902" t="str">
        <f t="shared" ca="1" si="50"/>
        <v>{"num":220,"id":220,"q":"Khi điều khiển xe ô tô tự đổ, người lái xe cần chú ý những điểm gì để bảo đảm an toàn?","opts":{"A":"Khi chạy trên đường xấu, nhiều ổ gà nên chạy chậm để thùng xe không bị lắc mạnh, không gây hiện tượng lệch \"ben\"; khi chạy vào đường vòng, cần giảm tốc độ, không lấy lái gấp và không phanh gấp.","B":"Khi chạy trên đường quốc lộ, đường bằng phẳng không cần hạ hết thùng xe xuống.","C":"Khi đổ hàng phải chọn vị trí có nền đường cứng và phẳng, dừng hẳn xe, kéo hết phanh đỗ; sau đó mới điều khiển cơ cấu nâng \"ben\" để đổ hàng, đổ xong hàng mới hạ thùng xuống.","D":" Ý 1 và ý 3."},"answer":"D"},</v>
      </c>
    </row>
    <row r="903" spans="1:17" hidden="1" x14ac:dyDescent="0.25">
      <c r="A903">
        <v>1</v>
      </c>
      <c r="B903" t="s">
        <v>773</v>
      </c>
      <c r="C903">
        <f>IFERROR(COUNTIFS($A$1:A903,"Câu "&amp;"*")-MID(A903,5,FIND(".",A903,1)-5),0)</f>
        <v>0</v>
      </c>
      <c r="D903" t="str">
        <f t="shared" si="48"/>
        <v/>
      </c>
      <c r="E903" t="str">
        <f>SUBSTITUTE(IF(LEFT(A903,3)="Câu",MID(A903,FIND(".",A903,1)+2,LEN(A903)),""),CHAR(34),CHAR(92)&amp;CHAR(34))</f>
        <v/>
      </c>
      <c r="G903" t="str">
        <f>SUBSTITUTE(B904,CHAR(34),CHAR(92)&amp;CHAR(34))</f>
        <v>Khi chạy trên đường quốc lộ, đường bằng phẳng không cần hạ hết thùng xe xuống.</v>
      </c>
      <c r="H903" t="str">
        <f>SUBSTITUTE(B905,CHAR(34),CHAR(92)&amp;CHAR(34))</f>
        <v>Khi đổ hàng phải chọn vị trí có nền đường cứng và phẳng, dừng hẳn xe, kéo hết phanh đỗ; sau đó mới điều khiển cơ cấu nâng \"ben\" để đổ hàng, đổ xong hàng mới hạ thùng xuống.</v>
      </c>
      <c r="I903" t="str">
        <f>SUBSTITUTE(IF(LEFT(A906,3)="Câu","",B906),CHAR(34),CHAR(92)&amp;CHAR(34))</f>
        <v xml:space="preserve"> Ý 1 và ý 3.</v>
      </c>
      <c r="J903" t="str">
        <f>SUBSTITUTE(IF(OR(LEFT(A907,3)="Câu",I903=""),"",IF(B907=0,"",B907)),CHAR(34),CHAR(92)&amp;CHAR(34))</f>
        <v/>
      </c>
      <c r="K903" t="str">
        <f>SUBSTITUTE(SUBSTITUTE(SUBSTITUTE(SUBSTITUTE(IFERROR(VLOOKUP("Câu "&amp;D903&amp;".",dapan!$E:$J,6,0),""),"1","A"),"2","B"),"3","C"),"4","D")</f>
        <v/>
      </c>
      <c r="P903" t="str">
        <f t="shared" si="49"/>
        <v/>
      </c>
      <c r="Q903" t="str">
        <f t="shared" si="50"/>
        <v/>
      </c>
    </row>
    <row r="904" spans="1:17" hidden="1" x14ac:dyDescent="0.25">
      <c r="A904">
        <v>2</v>
      </c>
      <c r="B904" t="s">
        <v>774</v>
      </c>
      <c r="C904">
        <f>IFERROR(COUNTIFS($A$1:A904,"Câu "&amp;"*")-MID(A904,5,FIND(".",A904,1)-5),0)</f>
        <v>0</v>
      </c>
      <c r="D904" t="str">
        <f t="shared" si="48"/>
        <v/>
      </c>
      <c r="E904" t="str">
        <f>SUBSTITUTE(IF(LEFT(A904,3)="Câu",MID(A904,FIND(".",A904,1)+2,LEN(A904)),""),CHAR(34),CHAR(92)&amp;CHAR(34))</f>
        <v/>
      </c>
      <c r="G904" t="str">
        <f>SUBSTITUTE(B905,CHAR(34),CHAR(92)&amp;CHAR(34))</f>
        <v>Khi đổ hàng phải chọn vị trí có nền đường cứng và phẳng, dừng hẳn xe, kéo hết phanh đỗ; sau đó mới điều khiển cơ cấu nâng \"ben\" để đổ hàng, đổ xong hàng mới hạ thùng xuống.</v>
      </c>
      <c r="H904" t="str">
        <f>SUBSTITUTE(B906,CHAR(34),CHAR(92)&amp;CHAR(34))</f>
        <v xml:space="preserve"> Ý 1 và ý 3.</v>
      </c>
      <c r="I904" t="str">
        <f>SUBSTITUTE(IF(LEFT(A907,3)="Câu","",B907),CHAR(34),CHAR(92)&amp;CHAR(34))</f>
        <v/>
      </c>
      <c r="J904" t="str">
        <f>SUBSTITUTE(IF(OR(LEFT(A908,3)="Câu",I904=""),"",IF(B908=0,"",B908)),CHAR(34),CHAR(92)&amp;CHAR(34))</f>
        <v/>
      </c>
      <c r="K904" t="str">
        <f>SUBSTITUTE(SUBSTITUTE(SUBSTITUTE(SUBSTITUTE(IFERROR(VLOOKUP("Câu "&amp;D904&amp;".",dapan!$E:$J,6,0),""),"1","A"),"2","B"),"3","C"),"4","D")</f>
        <v/>
      </c>
      <c r="P904" t="str">
        <f t="shared" si="49"/>
        <v/>
      </c>
      <c r="Q904" t="str">
        <f t="shared" si="50"/>
        <v/>
      </c>
    </row>
    <row r="905" spans="1:17" hidden="1" x14ac:dyDescent="0.25">
      <c r="A905">
        <v>3</v>
      </c>
      <c r="B905" t="s">
        <v>775</v>
      </c>
      <c r="C905">
        <f>IFERROR(COUNTIFS($A$1:A905,"Câu "&amp;"*")-MID(A905,5,FIND(".",A905,1)-5),0)</f>
        <v>0</v>
      </c>
      <c r="D905" t="str">
        <f t="shared" si="48"/>
        <v/>
      </c>
      <c r="E905" t="str">
        <f>SUBSTITUTE(IF(LEFT(A905,3)="Câu",MID(A905,FIND(".",A905,1)+2,LEN(A905)),""),CHAR(34),CHAR(92)&amp;CHAR(34))</f>
        <v/>
      </c>
      <c r="G905" t="str">
        <f>SUBSTITUTE(B906,CHAR(34),CHAR(92)&amp;CHAR(34))</f>
        <v xml:space="preserve"> Ý 1 và ý 3.</v>
      </c>
      <c r="H905" t="str">
        <f>SUBSTITUTE(B907,CHAR(34),CHAR(92)&amp;CHAR(34))</f>
        <v/>
      </c>
      <c r="I905" t="str">
        <f>SUBSTITUTE(IF(LEFT(A908,3)="Câu","",B908),CHAR(34),CHAR(92)&amp;CHAR(34))</f>
        <v xml:space="preserve"> Không được nhìn xuống buồng lái, cần phải tăng thứ tự từ thấp đến cao, phối hợp các động tác phải nhịp nhàng, chính xác.</v>
      </c>
      <c r="J905" t="str">
        <f>SUBSTITUTE(IF(OR(LEFT(A909,3)="Câu",I905=""),"",IF(B909=0,"",B909)),CHAR(34),CHAR(92)&amp;CHAR(34))</f>
        <v>Nhìn xuống buồng lái để biết chính xác vị trí các tay số, cần phải tăng thứ tự từ thấp đến cao, phối hợp các động tác phải nhịp nhàng, vù ga phải phù hợp với tốc độ.</v>
      </c>
      <c r="K905" t="str">
        <f>SUBSTITUTE(SUBSTITUTE(SUBSTITUTE(SUBSTITUTE(IFERROR(VLOOKUP("Câu "&amp;D905&amp;".",dapan!$E:$J,6,0),""),"1","A"),"2","B"),"3","C"),"4","D")</f>
        <v/>
      </c>
      <c r="P905" t="str">
        <f t="shared" si="49"/>
        <v/>
      </c>
      <c r="Q905" t="str">
        <f t="shared" si="50"/>
        <v/>
      </c>
    </row>
    <row r="906" spans="1:17" hidden="1" x14ac:dyDescent="0.25">
      <c r="A906">
        <v>4</v>
      </c>
      <c r="B906" t="s">
        <v>776</v>
      </c>
      <c r="C906">
        <f>IFERROR(COUNTIFS($A$1:A906,"Câu "&amp;"*")-MID(A906,5,FIND(".",A906,1)-5),0)</f>
        <v>0</v>
      </c>
      <c r="D906" t="str">
        <f t="shared" si="48"/>
        <v/>
      </c>
      <c r="E906" t="str">
        <f>SUBSTITUTE(IF(LEFT(A906,3)="Câu",MID(A906,FIND(".",A906,1)+2,LEN(A906)),""),CHAR(34),CHAR(92)&amp;CHAR(34))</f>
        <v/>
      </c>
      <c r="G906" t="str">
        <f>SUBSTITUTE(B907,CHAR(34),CHAR(92)&amp;CHAR(34))</f>
        <v/>
      </c>
      <c r="H906" t="str">
        <f>SUBSTITUTE(B908,CHAR(34),CHAR(92)&amp;CHAR(34))</f>
        <v xml:space="preserve"> Không được nhìn xuống buồng lái, cần phải tăng thứ tự từ thấp đến cao, phối hợp các động tác phải nhịp nhàng, chính xác.</v>
      </c>
      <c r="I906" t="str">
        <f>SUBSTITUTE(IF(LEFT(A909,3)="Câu","",B909),CHAR(34),CHAR(92)&amp;CHAR(34))</f>
        <v>Nhìn xuống buồng lái để biết chính xác vị trí các tay số, cần phải tăng thứ tự từ thấp đến cao, phối hợp các động tác phải nhịp nhàng, vù ga phải phù hợp với tốc độ.</v>
      </c>
      <c r="J906" t="str">
        <f>SUBSTITUTE(IF(OR(LEFT(A910,3)="Câu",I906=""),"",IF(B910=0,"",B910)),CHAR(34),CHAR(92)&amp;CHAR(34))</f>
        <v/>
      </c>
      <c r="K906" t="str">
        <f>SUBSTITUTE(SUBSTITUTE(SUBSTITUTE(SUBSTITUTE(IFERROR(VLOOKUP("Câu "&amp;D906&amp;".",dapan!$E:$J,6,0),""),"1","A"),"2","B"),"3","C"),"4","D")</f>
        <v/>
      </c>
      <c r="P906" t="str">
        <f t="shared" si="49"/>
        <v/>
      </c>
      <c r="Q906" t="str">
        <f t="shared" si="50"/>
        <v/>
      </c>
    </row>
    <row r="907" spans="1:17" x14ac:dyDescent="0.25">
      <c r="A907" t="s">
        <v>777</v>
      </c>
      <c r="C907">
        <f>IFERROR(COUNTIFS($A$1:A907,"Câu "&amp;"*")-MID(A907,5,FIND(".",A907,1)-5),0)</f>
        <v>0</v>
      </c>
      <c r="D907">
        <f t="shared" si="48"/>
        <v>221</v>
      </c>
      <c r="E907" t="str">
        <f>SUBSTITUTE(IF(LEFT(A907,3)="Câu",MID(A907,FIND(".",A907,1)+2,LEN(A907)),""),CHAR(34),CHAR(92)&amp;CHAR(34))</f>
        <v>Khi điều khiển xe tăng số, người lái xe cần chú ý những điểm gì để bảo đảm an toàn?</v>
      </c>
      <c r="G907" t="str">
        <f>SUBSTITUTE(B908,CHAR(34),CHAR(92)&amp;CHAR(34))</f>
        <v xml:space="preserve"> Không được nhìn xuống buồng lái, cần phải tăng thứ tự từ thấp đến cao, phối hợp các động tác phải nhịp nhàng, chính xác.</v>
      </c>
      <c r="H907" t="str">
        <f>SUBSTITUTE(B909,CHAR(34),CHAR(92)&amp;CHAR(34))</f>
        <v>Nhìn xuống buồng lái để biết chính xác vị trí các tay số, cần phải tăng thứ tự từ thấp đến cao, phối hợp các động tác phải nhịp nhàng, vù ga phải phù hợp với tốc độ.</v>
      </c>
      <c r="I907" t="str">
        <f>SUBSTITUTE(IF(LEFT(A910,3)="Câu","",B910),CHAR(34),CHAR(92)&amp;CHAR(34))</f>
        <v/>
      </c>
      <c r="J907" t="str">
        <f>SUBSTITUTE(IF(OR(LEFT(A911,3)="Câu",I907=""),"",IF(B911=0,"",B911)),CHAR(34),CHAR(92)&amp;CHAR(34))</f>
        <v/>
      </c>
      <c r="K907" t="str">
        <f ca="1">SUBSTITUTE(SUBSTITUTE(SUBSTITUTE(SUBSTITUTE(IFERROR(VLOOKUP("Câu "&amp;D907&amp;".",dapan!$E:$J,6,0),""),"1","A"),"2","B"),"3","C"),"4","D")</f>
        <v>A</v>
      </c>
      <c r="P907">
        <f t="shared" si="49"/>
        <v>221</v>
      </c>
      <c r="Q907" t="str">
        <f t="shared" ca="1" si="50"/>
        <v>{"num":221,"id":221,"q":"Khi điều khiển xe tăng số, người lái xe cần chú ý những điểm gì để bảo đảm an toàn?","opts":{"A":" Không được nhìn xuống buồng lái, cần phải tăng thứ tự từ thấp đến cao, phối hợp các động tác phải nhịp nhàng, chính xác.","B":"Nhìn xuống buồng lái để biết chính xác vị trí các tay số, cần phải tăng thứ tự từ thấp đến cao, phối hợp các động tác phải nhịp nhàng, vù ga phải phù hợp với tốc độ."},"answer":"A"},</v>
      </c>
    </row>
    <row r="908" spans="1:17" hidden="1" x14ac:dyDescent="0.25">
      <c r="A908">
        <v>1</v>
      </c>
      <c r="B908" t="s">
        <v>778</v>
      </c>
      <c r="C908">
        <f>IFERROR(COUNTIFS($A$1:A908,"Câu "&amp;"*")-MID(A908,5,FIND(".",A908,1)-5),0)</f>
        <v>0</v>
      </c>
      <c r="D908" t="str">
        <f t="shared" si="48"/>
        <v/>
      </c>
      <c r="E908" t="str">
        <f>SUBSTITUTE(IF(LEFT(A908,3)="Câu",MID(A908,FIND(".",A908,1)+2,LEN(A908)),""),CHAR(34),CHAR(92)&amp;CHAR(34))</f>
        <v/>
      </c>
      <c r="G908" t="str">
        <f>SUBSTITUTE(B909,CHAR(34),CHAR(92)&amp;CHAR(34))</f>
        <v>Nhìn xuống buồng lái để biết chính xác vị trí các tay số, cần phải tăng thứ tự từ thấp đến cao, phối hợp các động tác phải nhịp nhàng, vù ga phải phù hợp với tốc độ.</v>
      </c>
      <c r="H908" t="str">
        <f>SUBSTITUTE(B910,CHAR(34),CHAR(92)&amp;CHAR(34))</f>
        <v/>
      </c>
      <c r="I908" t="str">
        <f>SUBSTITUTE(IF(LEFT(A911,3)="Câu","",B911),CHAR(34),CHAR(92)&amp;CHAR(34))</f>
        <v>Nhìn xuống buồng lái để biết chính xác vị trí các tay số, cần phải giảm thứ tự từ cao xuống thấp, phối hợp các động tác phải nhịp nhàng, chính xác.</v>
      </c>
      <c r="J908" t="str">
        <f>SUBSTITUTE(IF(OR(LEFT(A912,3)="Câu",I908=""),"",IF(B912=0,"",B912)),CHAR(34),CHAR(92)&amp;CHAR(34))</f>
        <v xml:space="preserve"> Không được nhìn xuống buồng lái, cần phải giảm thứ tự từ cao xuống thấp, phối hợp các động tác phải nhịp nhàng, chính xác, vù ga phải phù hợp với tốc độ.</v>
      </c>
      <c r="K908" t="str">
        <f>SUBSTITUTE(SUBSTITUTE(SUBSTITUTE(SUBSTITUTE(IFERROR(VLOOKUP("Câu "&amp;D908&amp;".",dapan!$E:$J,6,0),""),"1","A"),"2","B"),"3","C"),"4","D")</f>
        <v/>
      </c>
      <c r="P908" t="str">
        <f t="shared" si="49"/>
        <v/>
      </c>
      <c r="Q908" t="str">
        <f t="shared" si="50"/>
        <v/>
      </c>
    </row>
    <row r="909" spans="1:17" hidden="1" x14ac:dyDescent="0.25">
      <c r="A909">
        <v>2</v>
      </c>
      <c r="B909" t="s">
        <v>1757</v>
      </c>
      <c r="C909">
        <f>IFERROR(COUNTIFS($A$1:A909,"Câu "&amp;"*")-MID(A909,5,FIND(".",A909,1)-5),0)</f>
        <v>0</v>
      </c>
      <c r="D909" t="str">
        <f t="shared" si="48"/>
        <v/>
      </c>
      <c r="E909" t="str">
        <f>SUBSTITUTE(IF(LEFT(A909,3)="Câu",MID(A909,FIND(".",A909,1)+2,LEN(A909)),""),CHAR(34),CHAR(92)&amp;CHAR(34))</f>
        <v/>
      </c>
      <c r="G909" t="str">
        <f>SUBSTITUTE(B910,CHAR(34),CHAR(92)&amp;CHAR(34))</f>
        <v/>
      </c>
      <c r="H909" t="str">
        <f>SUBSTITUTE(B911,CHAR(34),CHAR(92)&amp;CHAR(34))</f>
        <v>Nhìn xuống buồng lái để biết chính xác vị trí các tay số, cần phải giảm thứ tự từ cao xuống thấp, phối hợp các động tác phải nhịp nhàng, chính xác.</v>
      </c>
      <c r="I909" t="str">
        <f>SUBSTITUTE(IF(LEFT(A912,3)="Câu","",B912),CHAR(34),CHAR(92)&amp;CHAR(34))</f>
        <v xml:space="preserve"> Không được nhìn xuống buồng lái, cần phải giảm thứ tự từ cao xuống thấp, phối hợp các động tác phải nhịp nhàng, chính xác, vù ga phải phù hợp với tốc độ.</v>
      </c>
      <c r="J909" t="str">
        <f>SUBSTITUTE(IF(OR(LEFT(A913,3)="Câu",I909=""),"",IF(B913=0,"",B913)),CHAR(34),CHAR(92)&amp;CHAR(34))</f>
        <v/>
      </c>
      <c r="K909" t="str">
        <f>SUBSTITUTE(SUBSTITUTE(SUBSTITUTE(SUBSTITUTE(IFERROR(VLOOKUP("Câu "&amp;D909&amp;".",dapan!$E:$J,6,0),""),"1","A"),"2","B"),"3","C"),"4","D")</f>
        <v/>
      </c>
      <c r="P909" t="str">
        <f t="shared" si="49"/>
        <v/>
      </c>
      <c r="Q909" t="str">
        <f t="shared" si="50"/>
        <v/>
      </c>
    </row>
    <row r="910" spans="1:17" x14ac:dyDescent="0.25">
      <c r="A910" t="s">
        <v>1758</v>
      </c>
      <c r="C910">
        <f>IFERROR(COUNTIFS($A$1:A910,"Câu "&amp;"*")-MID(A910,5,FIND(".",A910,1)-5),0)</f>
        <v>0</v>
      </c>
      <c r="D910">
        <f t="shared" si="48"/>
        <v>222</v>
      </c>
      <c r="E910" t="str">
        <f>SUBSTITUTE(IF(LEFT(A910,3)="Câu",MID(A910,FIND(".",A910,1)+2,LEN(A910)),""),CHAR(34),CHAR(92)&amp;CHAR(34))</f>
        <v>Khi điều khiển xe giảm số, người lái xe cần phải chú ý những điểm gì để bảo đảm an toàn?</v>
      </c>
      <c r="G910" t="str">
        <f>SUBSTITUTE(B911,CHAR(34),CHAR(92)&amp;CHAR(34))</f>
        <v>Nhìn xuống buồng lái để biết chính xác vị trí các tay số, cần phải giảm thứ tự từ cao xuống thấp, phối hợp các động tác phải nhịp nhàng, chính xác.</v>
      </c>
      <c r="H910" t="str">
        <f>SUBSTITUTE(B912,CHAR(34),CHAR(92)&amp;CHAR(34))</f>
        <v xml:space="preserve"> Không được nhìn xuống buồng lái, cần phải giảm thứ tự từ cao xuống thấp, phối hợp các động tác phải nhịp nhàng, chính xác, vù ga phải phù hợp với tốc độ.</v>
      </c>
      <c r="I910" t="str">
        <f>SUBSTITUTE(IF(LEFT(A913,3)="Câu","",B913),CHAR(34),CHAR(92)&amp;CHAR(34))</f>
        <v/>
      </c>
      <c r="J910" t="str">
        <f>SUBSTITUTE(IF(OR(LEFT(A914,3)="Câu",I910=""),"",IF(B914=0,"",B914)),CHAR(34),CHAR(92)&amp;CHAR(34))</f>
        <v/>
      </c>
      <c r="K910" t="str">
        <f ca="1">SUBSTITUTE(SUBSTITUTE(SUBSTITUTE(SUBSTITUTE(IFERROR(VLOOKUP("Câu "&amp;D910&amp;".",dapan!$E:$J,6,0),""),"1","A"),"2","B"),"3","C"),"4","D")</f>
        <v>B</v>
      </c>
      <c r="P910">
        <f t="shared" si="49"/>
        <v>222</v>
      </c>
      <c r="Q910" t="str">
        <f t="shared" ca="1" si="50"/>
        <v>{"num":222,"id":222,"q":"Khi điều khiển xe giảm số, người lái xe cần phải chú ý những điểm gì để bảo đảm an toàn?","opts":{"A":"Nhìn xuống buồng lái để biết chính xác vị trí các tay số, cần phải giảm thứ tự từ cao xuống thấp, phối hợp các động tác phải nhịp nhàng, chính xác.","B":" Không được nhìn xuống buồng lái, cần phải giảm thứ tự từ cao xuống thấp, phối hợp các động tác phải nhịp nhàng, chính xác, vù ga phải phù hợp với tốc độ."},"answer":"B"},</v>
      </c>
    </row>
    <row r="911" spans="1:17" hidden="1" x14ac:dyDescent="0.25">
      <c r="A911">
        <v>1</v>
      </c>
      <c r="B911" t="s">
        <v>779</v>
      </c>
      <c r="C911">
        <f>IFERROR(COUNTIFS($A$1:A911,"Câu "&amp;"*")-MID(A911,5,FIND(".",A911,1)-5),0)</f>
        <v>0</v>
      </c>
      <c r="D911" t="str">
        <f t="shared" si="48"/>
        <v/>
      </c>
      <c r="E911" t="str">
        <f>SUBSTITUTE(IF(LEFT(A911,3)="Câu",MID(A911,FIND(".",A911,1)+2,LEN(A911)),""),CHAR(34),CHAR(92)&amp;CHAR(34))</f>
        <v/>
      </c>
      <c r="G911" t="str">
        <f>SUBSTITUTE(B912,CHAR(34),CHAR(92)&amp;CHAR(34))</f>
        <v xml:space="preserve"> Không được nhìn xuống buồng lái, cần phải giảm thứ tự từ cao xuống thấp, phối hợp các động tác phải nhịp nhàng, chính xác, vù ga phải phù hợp với tốc độ.</v>
      </c>
      <c r="H911" t="str">
        <f>SUBSTITUTE(B913,CHAR(34),CHAR(92)&amp;CHAR(34))</f>
        <v/>
      </c>
      <c r="I911" t="str">
        <f>SUBSTITUTE(IF(LEFT(A914,3)="Câu","",B914),CHAR(34),CHAR(92)&amp;CHAR(34))</f>
        <v>Nhả bàn đạp ga, đạp ly hợp (côn) hết hành trình, đạp mạnh phanh chân để giảm tốc độ.</v>
      </c>
      <c r="J911" t="str">
        <f>SUBSTITUTE(IF(OR(LEFT(A915,3)="Câu",I911=""),"",IF(B915=0,"",B915)),CHAR(34),CHAR(92)&amp;CHAR(34))</f>
        <v xml:space="preserve"> Về số thấp phù hợp, nhả bàn đạp ga, kết hợp đạp phanh chân với mức độ phù hợp để giảm tốc độ.</v>
      </c>
      <c r="K911" t="str">
        <f>SUBSTITUTE(SUBSTITUTE(SUBSTITUTE(SUBSTITUTE(IFERROR(VLOOKUP("Câu "&amp;D911&amp;".",dapan!$E:$J,6,0),""),"1","A"),"2","B"),"3","C"),"4","D")</f>
        <v/>
      </c>
      <c r="P911" t="str">
        <f t="shared" si="49"/>
        <v/>
      </c>
      <c r="Q911" t="str">
        <f t="shared" si="50"/>
        <v/>
      </c>
    </row>
    <row r="912" spans="1:17" hidden="1" x14ac:dyDescent="0.25">
      <c r="A912">
        <v>2</v>
      </c>
      <c r="B912" t="s">
        <v>780</v>
      </c>
      <c r="C912">
        <f>IFERROR(COUNTIFS($A$1:A912,"Câu "&amp;"*")-MID(A912,5,FIND(".",A912,1)-5),0)</f>
        <v>0</v>
      </c>
      <c r="D912" t="str">
        <f t="shared" si="48"/>
        <v/>
      </c>
      <c r="E912" t="str">
        <f>SUBSTITUTE(IF(LEFT(A912,3)="Câu",MID(A912,FIND(".",A912,1)+2,LEN(A912)),""),CHAR(34),CHAR(92)&amp;CHAR(34))</f>
        <v/>
      </c>
      <c r="G912" t="str">
        <f>SUBSTITUTE(B913,CHAR(34),CHAR(92)&amp;CHAR(34))</f>
        <v/>
      </c>
      <c r="H912" t="str">
        <f>SUBSTITUTE(B914,CHAR(34),CHAR(92)&amp;CHAR(34))</f>
        <v>Nhả bàn đạp ga, đạp ly hợp (côn) hết hành trình, đạp mạnh phanh chân để giảm tốc độ.</v>
      </c>
      <c r="I912" t="str">
        <f>SUBSTITUTE(IF(LEFT(A915,3)="Câu","",B915),CHAR(34),CHAR(92)&amp;CHAR(34))</f>
        <v xml:space="preserve"> Về số thấp phù hợp, nhả bàn đạp ga, kết hợp đạp phanh chân với mức độ phù hợp để giảm tốc độ.</v>
      </c>
      <c r="J912" t="str">
        <f>SUBSTITUTE(IF(OR(LEFT(A916,3)="Câu",I912=""),"",IF(B916=0,"",B916)),CHAR(34),CHAR(92)&amp;CHAR(34))</f>
        <v>Nhả bàn đạp ga, tăng lên số cao, đạp phanh chân với mức độ phù hợp để giảm tốc độ.</v>
      </c>
      <c r="K912" t="str">
        <f>SUBSTITUTE(SUBSTITUTE(SUBSTITUTE(SUBSTITUTE(IFERROR(VLOOKUP("Câu "&amp;D912&amp;".",dapan!$E:$J,6,0),""),"1","A"),"2","B"),"3","C"),"4","D")</f>
        <v/>
      </c>
      <c r="P912" t="str">
        <f t="shared" si="49"/>
        <v/>
      </c>
      <c r="Q912" t="str">
        <f t="shared" si="50"/>
        <v/>
      </c>
    </row>
    <row r="913" spans="1:17" x14ac:dyDescent="0.25">
      <c r="A913" t="s">
        <v>781</v>
      </c>
      <c r="C913">
        <f>IFERROR(COUNTIFS($A$1:A913,"Câu "&amp;"*")-MID(A913,5,FIND(".",A913,1)-5),0)</f>
        <v>0</v>
      </c>
      <c r="D913">
        <f t="shared" si="48"/>
        <v>223</v>
      </c>
      <c r="E913" t="str">
        <f>SUBSTITUTE(IF(LEFT(A913,3)="Câu",MID(A913,FIND(".",A913,1)+2,LEN(A913)),""),CHAR(34),CHAR(92)&amp;CHAR(34))</f>
        <v>Để giảm tốc độ khi ô tô đi xuống đường dốc dài, người lái xe phải thực hiện các thao tác nào để bảo đảm an toàn?</v>
      </c>
      <c r="G913" t="str">
        <f>SUBSTITUTE(B914,CHAR(34),CHAR(92)&amp;CHAR(34))</f>
        <v>Nhả bàn đạp ga, đạp ly hợp (côn) hết hành trình, đạp mạnh phanh chân để giảm tốc độ.</v>
      </c>
      <c r="H913" t="str">
        <f>SUBSTITUTE(B915,CHAR(34),CHAR(92)&amp;CHAR(34))</f>
        <v xml:space="preserve"> Về số thấp phù hợp, nhả bàn đạp ga, kết hợp đạp phanh chân với mức độ phù hợp để giảm tốc độ.</v>
      </c>
      <c r="I913" t="str">
        <f>SUBSTITUTE(IF(LEFT(A916,3)="Câu","",B916),CHAR(34),CHAR(92)&amp;CHAR(34))</f>
        <v>Nhả bàn đạp ga, tăng lên số cao, đạp phanh chân với mức độ phù hợp để giảm tốc độ.</v>
      </c>
      <c r="J913" t="str">
        <f>SUBSTITUTE(IF(OR(LEFT(A917,3)="Câu",I913=""),"",IF(B917=0,"",B917)),CHAR(34),CHAR(92)&amp;CHAR(34))</f>
        <v/>
      </c>
      <c r="K913" t="str">
        <f ca="1">SUBSTITUTE(SUBSTITUTE(SUBSTITUTE(SUBSTITUTE(IFERROR(VLOOKUP("Câu "&amp;D913&amp;".",dapan!$E:$J,6,0),""),"1","A"),"2","B"),"3","C"),"4","D")</f>
        <v>B</v>
      </c>
      <c r="P913">
        <f t="shared" si="49"/>
        <v>223</v>
      </c>
      <c r="Q913" t="str">
        <f t="shared" ca="1" si="50"/>
        <v>{"num":223,"id":223,"q":"Để giảm tốc độ khi ô tô đi xuống đường dốc dài, người lái xe phải thực hiện các thao tác nào để bảo đảm an toàn?","opts":{"A":"Nhả bàn đạp ga, đạp ly hợp (côn) hết hành trình, đạp mạnh phanh chân để giảm tốc độ.","B":" Về số thấp phù hợp, nhả bàn đạp ga, kết hợp đạp phanh chân với mức độ phù hợp để giảm tốc độ.","C":"Nhả bàn đạp ga, tăng lên số cao, đạp phanh chân với mức độ phù hợp để giảm tốc độ."},"answer":"B"},</v>
      </c>
    </row>
    <row r="914" spans="1:17" hidden="1" x14ac:dyDescent="0.25">
      <c r="A914">
        <v>1</v>
      </c>
      <c r="B914" t="s">
        <v>782</v>
      </c>
      <c r="C914">
        <f>IFERROR(COUNTIFS($A$1:A914,"Câu "&amp;"*")-MID(A914,5,FIND(".",A914,1)-5),0)</f>
        <v>0</v>
      </c>
      <c r="D914" t="str">
        <f t="shared" si="48"/>
        <v/>
      </c>
      <c r="E914" t="str">
        <f>SUBSTITUTE(IF(LEFT(A914,3)="Câu",MID(A914,FIND(".",A914,1)+2,LEN(A914)),""),CHAR(34),CHAR(92)&amp;CHAR(34))</f>
        <v/>
      </c>
      <c r="G914" t="str">
        <f>SUBSTITUTE(B915,CHAR(34),CHAR(92)&amp;CHAR(34))</f>
        <v xml:space="preserve"> Về số thấp phù hợp, nhả bàn đạp ga, kết hợp đạp phanh chân với mức độ phù hợp để giảm tốc độ.</v>
      </c>
      <c r="H914" t="str">
        <f>SUBSTITUTE(B916,CHAR(34),CHAR(92)&amp;CHAR(34))</f>
        <v>Nhả bàn đạp ga, tăng lên số cao, đạp phanh chân với mức độ phù hợp để giảm tốc độ.</v>
      </c>
      <c r="I914" t="str">
        <f>SUBSTITUTE(IF(LEFT(A917,3)="Câu","",B917),CHAR(34),CHAR(92)&amp;CHAR(34))</f>
        <v/>
      </c>
      <c r="J914" t="str">
        <f>SUBSTITUTE(IF(OR(LEFT(A918,3)="Câu",I914=""),"",IF(B918=0,"",B918)),CHAR(34),CHAR(92)&amp;CHAR(34))</f>
        <v/>
      </c>
      <c r="K914" t="str">
        <f>SUBSTITUTE(SUBSTITUTE(SUBSTITUTE(SUBSTITUTE(IFERROR(VLOOKUP("Câu "&amp;D914&amp;".",dapan!$E:$J,6,0),""),"1","A"),"2","B"),"3","C"),"4","D")</f>
        <v/>
      </c>
      <c r="P914" t="str">
        <f t="shared" si="49"/>
        <v/>
      </c>
      <c r="Q914" t="str">
        <f t="shared" si="50"/>
        <v/>
      </c>
    </row>
    <row r="915" spans="1:17" hidden="1" x14ac:dyDescent="0.25">
      <c r="A915">
        <v>2</v>
      </c>
      <c r="B915" t="s">
        <v>783</v>
      </c>
      <c r="C915">
        <f>IFERROR(COUNTIFS($A$1:A915,"Câu "&amp;"*")-MID(A915,5,FIND(".",A915,1)-5),0)</f>
        <v>0</v>
      </c>
      <c r="D915" t="str">
        <f t="shared" si="48"/>
        <v/>
      </c>
      <c r="E915" t="str">
        <f>SUBSTITUTE(IF(LEFT(A915,3)="Câu",MID(A915,FIND(".",A915,1)+2,LEN(A915)),""),CHAR(34),CHAR(92)&amp;CHAR(34))</f>
        <v/>
      </c>
      <c r="G915" t="str">
        <f>SUBSTITUTE(B916,CHAR(34),CHAR(92)&amp;CHAR(34))</f>
        <v>Nhả bàn đạp ga, tăng lên số cao, đạp phanh chân với mức độ phù hợp để giảm tốc độ.</v>
      </c>
      <c r="H915" t="str">
        <f>SUBSTITUTE(B917,CHAR(34),CHAR(92)&amp;CHAR(34))</f>
        <v/>
      </c>
      <c r="I915" t="str">
        <f>SUBSTITUTE(IF(LEFT(A918,3)="Câu","",B918),CHAR(34),CHAR(92)&amp;CHAR(34))</f>
        <v>Tăng lên số cao, tăng ga và giảm ga liên tục để thay đổi tốc độ, giữ vững tay lái để ô tô vượt qua đoạn đường ngập nước.</v>
      </c>
      <c r="J915" t="str">
        <f>SUBSTITUTE(IF(OR(LEFT(A919,3)="Câu",I915=""),"",IF(B919=0,"",B919)),CHAR(34),CHAR(92)&amp;CHAR(34))</f>
        <v>Đạp ly hợp (côn) hết hành trình, tăng ga và giảm ga liên tục để thay đổi tốc độ, giữ vững tay lái để ô tô vượt qua đoạn đường ngập nước.</v>
      </c>
      <c r="K915" t="str">
        <f>SUBSTITUTE(SUBSTITUTE(SUBSTITUTE(SUBSTITUTE(IFERROR(VLOOKUP("Câu "&amp;D915&amp;".",dapan!$E:$J,6,0),""),"1","A"),"2","B"),"3","C"),"4","D")</f>
        <v/>
      </c>
      <c r="P915" t="str">
        <f t="shared" si="49"/>
        <v/>
      </c>
      <c r="Q915" t="str">
        <f t="shared" si="50"/>
        <v/>
      </c>
    </row>
    <row r="916" spans="1:17" hidden="1" x14ac:dyDescent="0.25">
      <c r="A916">
        <v>3</v>
      </c>
      <c r="B916" t="s">
        <v>784</v>
      </c>
      <c r="C916">
        <f>IFERROR(COUNTIFS($A$1:A916,"Câu "&amp;"*")-MID(A916,5,FIND(".",A916,1)-5),0)</f>
        <v>0</v>
      </c>
      <c r="D916" t="str">
        <f t="shared" si="48"/>
        <v/>
      </c>
      <c r="E916" t="str">
        <f>SUBSTITUTE(IF(LEFT(A916,3)="Câu",MID(A916,FIND(".",A916,1)+2,LEN(A916)),""),CHAR(34),CHAR(92)&amp;CHAR(34))</f>
        <v/>
      </c>
      <c r="G916" t="str">
        <f>SUBSTITUTE(B917,CHAR(34),CHAR(92)&amp;CHAR(34))</f>
        <v/>
      </c>
      <c r="H916" t="str">
        <f>SUBSTITUTE(B918,CHAR(34),CHAR(92)&amp;CHAR(34))</f>
        <v>Tăng lên số cao, tăng ga và giảm ga liên tục để thay đổi tốc độ, giữ vững tay lái để ô tô vượt qua đoạn đường ngập nước.</v>
      </c>
      <c r="I916" t="str">
        <f>SUBSTITUTE(IF(LEFT(A919,3)="Câu","",B919),CHAR(34),CHAR(92)&amp;CHAR(34))</f>
        <v>Đạp ly hợp (côn) hết hành trình, tăng ga và giảm ga liên tục để thay đổi tốc độ, giữ vững tay lái để ô tô vượt qua đoạn đường ngập nước.</v>
      </c>
      <c r="J916" t="str">
        <f>SUBSTITUTE(IF(OR(LEFT(A920,3)="Câu",I916=""),"",IF(B920=0,"",B920)),CHAR(34),CHAR(92)&amp;CHAR(34))</f>
        <v xml:space="preserve"> Quan sát, ước lượng độ ngập nước mà xe ô tô có thể vượt qua an toàn, về số thấp, giữ đều ga và giữ vững tay lái để ô tô vượt qua đoạn đường ngập nước.</v>
      </c>
      <c r="K916" t="str">
        <f>SUBSTITUTE(SUBSTITUTE(SUBSTITUTE(SUBSTITUTE(IFERROR(VLOOKUP("Câu "&amp;D916&amp;".",dapan!$E:$J,6,0),""),"1","A"),"2","B"),"3","C"),"4","D")</f>
        <v/>
      </c>
      <c r="P916" t="str">
        <f t="shared" si="49"/>
        <v/>
      </c>
      <c r="Q916" t="str">
        <f t="shared" si="50"/>
        <v/>
      </c>
    </row>
    <row r="917" spans="1:17" x14ac:dyDescent="0.25">
      <c r="A917" t="s">
        <v>785</v>
      </c>
      <c r="C917">
        <f>IFERROR(COUNTIFS($A$1:A917,"Câu "&amp;"*")-MID(A917,5,FIND(".",A917,1)-5),0)</f>
        <v>0</v>
      </c>
      <c r="D917">
        <f t="shared" si="48"/>
        <v>224</v>
      </c>
      <c r="E917" t="str">
        <f>SUBSTITUTE(IF(LEFT(A917,3)="Câu",MID(A917,FIND(".",A917,1)+2,LEN(A917)),""),CHAR(34),CHAR(92)&amp;CHAR(34))</f>
        <v>Khi điều khiển ô tô qua đường ngập nước, người lái xe cần thực hiện các thao tác nào để đảm bảo an toàn?</v>
      </c>
      <c r="G917" t="str">
        <f>SUBSTITUTE(B918,CHAR(34),CHAR(92)&amp;CHAR(34))</f>
        <v>Tăng lên số cao, tăng ga và giảm ga liên tục để thay đổi tốc độ, giữ vững tay lái để ô tô vượt qua đoạn đường ngập nước.</v>
      </c>
      <c r="H917" t="str">
        <f>SUBSTITUTE(B919,CHAR(34),CHAR(92)&amp;CHAR(34))</f>
        <v>Đạp ly hợp (côn) hết hành trình, tăng ga và giảm ga liên tục để thay đổi tốc độ, giữ vững tay lái để ô tô vượt qua đoạn đường ngập nước.</v>
      </c>
      <c r="I917" t="str">
        <f>SUBSTITUTE(IF(LEFT(A920,3)="Câu","",B920),CHAR(34),CHAR(92)&amp;CHAR(34))</f>
        <v xml:space="preserve"> Quan sát, ước lượng độ ngập nước mà xe ô tô có thể vượt qua an toàn, về số thấp, giữ đều ga và giữ vững tay lái để ô tô vượt qua đoạn đường ngập nước.</v>
      </c>
      <c r="J917" t="str">
        <f>SUBSTITUTE(IF(OR(LEFT(A921,3)="Câu",I917=""),"",IF(B921=0,"",B921)),CHAR(34),CHAR(92)&amp;CHAR(34))</f>
        <v/>
      </c>
      <c r="K917" t="str">
        <f ca="1">SUBSTITUTE(SUBSTITUTE(SUBSTITUTE(SUBSTITUTE(IFERROR(VLOOKUP("Câu "&amp;D917&amp;".",dapan!$E:$J,6,0),""),"1","A"),"2","B"),"3","C"),"4","D")</f>
        <v>C</v>
      </c>
      <c r="P917">
        <f t="shared" si="49"/>
        <v>224</v>
      </c>
      <c r="Q917" t="str">
        <f t="shared" ca="1" si="50"/>
        <v>{"num":224,"id":224,"q":"Khi điều khiển ô tô qua đường ngập nước, người lái xe cần thực hiện các thao tác nào để đảm bảo an toàn?","opts":{"A":"Tăng lên số cao, tăng ga và giảm ga liên tục để thay đổi tốc độ, giữ vững tay lái để ô tô vượt qua đoạn đường ngập nước.","B":"Đạp ly hợp (côn) hết hành trình, tăng ga và giảm ga liên tục để thay đổi tốc độ, giữ vững tay lái để ô tô vượt qua đoạn đường ngập nước.","C":" Quan sát, ước lượng độ ngập nước mà xe ô tô có thể vượt qua an toàn, về số thấp, giữ đều ga và giữ vững tay lái để ô tô vượt qua đoạn đường ngập nước."},"answer":"C"},</v>
      </c>
    </row>
    <row r="918" spans="1:17" hidden="1" x14ac:dyDescent="0.25">
      <c r="A918">
        <v>1</v>
      </c>
      <c r="B918" t="s">
        <v>786</v>
      </c>
      <c r="C918">
        <f>IFERROR(COUNTIFS($A$1:A918,"Câu "&amp;"*")-MID(A918,5,FIND(".",A918,1)-5),0)</f>
        <v>0</v>
      </c>
      <c r="D918" t="str">
        <f t="shared" si="48"/>
        <v/>
      </c>
      <c r="E918" t="str">
        <f>SUBSTITUTE(IF(LEFT(A918,3)="Câu",MID(A918,FIND(".",A918,1)+2,LEN(A918)),""),CHAR(34),CHAR(92)&amp;CHAR(34))</f>
        <v/>
      </c>
      <c r="G918" t="str">
        <f>SUBSTITUTE(B919,CHAR(34),CHAR(92)&amp;CHAR(34))</f>
        <v>Đạp ly hợp (côn) hết hành trình, tăng ga và giảm ga liên tục để thay đổi tốc độ, giữ vững tay lái để ô tô vượt qua đoạn đường ngập nước.</v>
      </c>
      <c r="H918" t="str">
        <f>SUBSTITUTE(B920,CHAR(34),CHAR(92)&amp;CHAR(34))</f>
        <v xml:space="preserve"> Quan sát, ước lượng độ ngập nước mà xe ô tô có thể vượt qua an toàn, về số thấp, giữ đều ga và giữ vững tay lái để ô tô vượt qua đoạn đường ngập nước.</v>
      </c>
      <c r="I918" t="str">
        <f>SUBSTITUTE(IF(LEFT(A921,3)="Câu","",B921),CHAR(34),CHAR(92)&amp;CHAR(34))</f>
        <v/>
      </c>
      <c r="J918" t="str">
        <f>SUBSTITUTE(IF(OR(LEFT(A922,3)="Câu",I918=""),"",IF(B922=0,"",B922)),CHAR(34),CHAR(92)&amp;CHAR(34))</f>
        <v/>
      </c>
      <c r="K918" t="str">
        <f>SUBSTITUTE(SUBSTITUTE(SUBSTITUTE(SUBSTITUTE(IFERROR(VLOOKUP("Câu "&amp;D918&amp;".",dapan!$E:$J,6,0),""),"1","A"),"2","B"),"3","C"),"4","D")</f>
        <v/>
      </c>
      <c r="P918" t="str">
        <f t="shared" si="49"/>
        <v/>
      </c>
      <c r="Q918" t="str">
        <f t="shared" si="50"/>
        <v/>
      </c>
    </row>
    <row r="919" spans="1:17" hidden="1" x14ac:dyDescent="0.25">
      <c r="A919">
        <v>2</v>
      </c>
      <c r="B919" t="s">
        <v>787</v>
      </c>
      <c r="C919">
        <f>IFERROR(COUNTIFS($A$1:A919,"Câu "&amp;"*")-MID(A919,5,FIND(".",A919,1)-5),0)</f>
        <v>0</v>
      </c>
      <c r="D919" t="str">
        <f t="shared" si="48"/>
        <v/>
      </c>
      <c r="E919" t="str">
        <f>SUBSTITUTE(IF(LEFT(A919,3)="Câu",MID(A919,FIND(".",A919,1)+2,LEN(A919)),""),CHAR(34),CHAR(92)&amp;CHAR(34))</f>
        <v/>
      </c>
      <c r="G919" t="str">
        <f>SUBSTITUTE(B920,CHAR(34),CHAR(92)&amp;CHAR(34))</f>
        <v xml:space="preserve"> Quan sát, ước lượng độ ngập nước mà xe ô tô có thể vượt qua an toàn, về số thấp, giữ đều ga và giữ vững tay lái để ô tô vượt qua đoạn đường ngập nước.</v>
      </c>
      <c r="H919" t="str">
        <f>SUBSTITUTE(B921,CHAR(34),CHAR(92)&amp;CHAR(34))</f>
        <v/>
      </c>
      <c r="I919" t="str">
        <f>SUBSTITUTE(IF(LEFT(A922,3)="Câu","",B922),CHAR(34),CHAR(92)&amp;CHAR(34))</f>
        <v xml:space="preserve"> Chuyển từ đèn chiếu xa sang đèn chiếu gần; không nhìn thẳng vào đèn của xe chạy ngược chiều mà nhìn chếch sang phía phải theo chiều chuyển động của xe mình.</v>
      </c>
      <c r="J919" t="str">
        <f>SUBSTITUTE(IF(OR(LEFT(A923,3)="Câu",I919=""),"",IF(B923=0,"",B923)),CHAR(34),CHAR(92)&amp;CHAR(34))</f>
        <v>Chuyển từ đèn chiếu gần sang đèn chiếu xa; không nhìn thẳng vào đèn của xe chạy ngược chiều mà nhìn chếch sang phía phải theo chiều chuyển động của xe mình.</v>
      </c>
      <c r="K919" t="str">
        <f>SUBSTITUTE(SUBSTITUTE(SUBSTITUTE(SUBSTITUTE(IFERROR(VLOOKUP("Câu "&amp;D919&amp;".",dapan!$E:$J,6,0),""),"1","A"),"2","B"),"3","C"),"4","D")</f>
        <v/>
      </c>
      <c r="P919" t="str">
        <f t="shared" si="49"/>
        <v/>
      </c>
      <c r="Q919" t="str">
        <f t="shared" si="50"/>
        <v/>
      </c>
    </row>
    <row r="920" spans="1:17" hidden="1" x14ac:dyDescent="0.25">
      <c r="A920">
        <v>3</v>
      </c>
      <c r="B920" t="s">
        <v>1759</v>
      </c>
      <c r="C920">
        <f>IFERROR(COUNTIFS($A$1:A920,"Câu "&amp;"*")-MID(A920,5,FIND(".",A920,1)-5),0)</f>
        <v>0</v>
      </c>
      <c r="D920" t="str">
        <f t="shared" si="48"/>
        <v/>
      </c>
      <c r="E920" t="str">
        <f>SUBSTITUTE(IF(LEFT(A920,3)="Câu",MID(A920,FIND(".",A920,1)+2,LEN(A920)),""),CHAR(34),CHAR(92)&amp;CHAR(34))</f>
        <v/>
      </c>
      <c r="G920" t="str">
        <f>SUBSTITUTE(B921,CHAR(34),CHAR(92)&amp;CHAR(34))</f>
        <v/>
      </c>
      <c r="H920" t="str">
        <f>SUBSTITUTE(B922,CHAR(34),CHAR(92)&amp;CHAR(34))</f>
        <v xml:space="preserve"> Chuyển từ đèn chiếu xa sang đèn chiếu gần; không nhìn thẳng vào đèn của xe chạy ngược chiều mà nhìn chếch sang phía phải theo chiều chuyển động của xe mình.</v>
      </c>
      <c r="I920" t="str">
        <f>SUBSTITUTE(IF(LEFT(A923,3)="Câu","",B923),CHAR(34),CHAR(92)&amp;CHAR(34))</f>
        <v>Chuyển từ đèn chiếu gần sang đèn chiếu xa; không nhìn thẳng vào đèn của xe chạy ngược chiều mà nhìn chếch sang phía phải theo chiều chuyển động của xe mình.</v>
      </c>
      <c r="J920" t="str">
        <f>SUBSTITUTE(IF(OR(LEFT(A924,3)="Câu",I920=""),"",IF(B924=0,"",B924)),CHAR(34),CHAR(92)&amp;CHAR(34))</f>
        <v>Chuyển từ đèn chiếu xa sang đèn chiếu gần; nhìn thẳng vào đèn của xe chạy ngược chiều để tránh xe bảo đảm an toàn.</v>
      </c>
      <c r="K920" t="str">
        <f>SUBSTITUTE(SUBSTITUTE(SUBSTITUTE(SUBSTITUTE(IFERROR(VLOOKUP("Câu "&amp;D920&amp;".",dapan!$E:$J,6,0),""),"1","A"),"2","B"),"3","C"),"4","D")</f>
        <v/>
      </c>
      <c r="P920" t="str">
        <f t="shared" si="49"/>
        <v/>
      </c>
      <c r="Q920" t="str">
        <f t="shared" si="50"/>
        <v/>
      </c>
    </row>
    <row r="921" spans="1:17" x14ac:dyDescent="0.25">
      <c r="A921" t="s">
        <v>1760</v>
      </c>
      <c r="C921">
        <f>IFERROR(COUNTIFS($A$1:A921,"Câu "&amp;"*")-MID(A921,5,FIND(".",A921,1)-5),0)</f>
        <v>0</v>
      </c>
      <c r="D921">
        <f t="shared" ref="D921:D984" si="51">IF(LEFT(A921,3)="Câu",VALUE(MID(A921,5,FIND(".",A921,1)-5)),"")</f>
        <v>225</v>
      </c>
      <c r="E921" t="str">
        <f>SUBSTITUTE(IF(LEFT(A921,3)="Câu",MID(A921,FIND(".",A921,1)+2,LEN(A921)),""),CHAR(34),CHAR(92)&amp;CHAR(34))</f>
        <v>Khi điều khiển xe ô tô tới gần xe chạy ngược chiều vào ban đêm, người lái xe cần thực hiện các thao tác nào để bảo đảm an toàn?</v>
      </c>
      <c r="G921" t="str">
        <f>SUBSTITUTE(B922,CHAR(34),CHAR(92)&amp;CHAR(34))</f>
        <v xml:space="preserve"> Chuyển từ đèn chiếu xa sang đèn chiếu gần; không nhìn thẳng vào đèn của xe chạy ngược chiều mà nhìn chếch sang phía phải theo chiều chuyển động của xe mình.</v>
      </c>
      <c r="H921" t="str">
        <f>SUBSTITUTE(B923,CHAR(34),CHAR(92)&amp;CHAR(34))</f>
        <v>Chuyển từ đèn chiếu gần sang đèn chiếu xa; không nhìn thẳng vào đèn của xe chạy ngược chiều mà nhìn chếch sang phía phải theo chiều chuyển động của xe mình.</v>
      </c>
      <c r="I921" t="str">
        <f>SUBSTITUTE(IF(LEFT(A924,3)="Câu","",B924),CHAR(34),CHAR(92)&amp;CHAR(34))</f>
        <v>Chuyển từ đèn chiếu xa sang đèn chiếu gần; nhìn thẳng vào đèn của xe chạy ngược chiều để tránh xe bảo đảm an toàn.</v>
      </c>
      <c r="J921" t="str">
        <f>SUBSTITUTE(IF(OR(LEFT(A925,3)="Câu",I921=""),"",IF(B925=0,"",B925)),CHAR(34),CHAR(92)&amp;CHAR(34))</f>
        <v/>
      </c>
      <c r="K921" t="str">
        <f ca="1">SUBSTITUTE(SUBSTITUTE(SUBSTITUTE(SUBSTITUTE(IFERROR(VLOOKUP("Câu "&amp;D921&amp;".",dapan!$E:$J,6,0),""),"1","A"),"2","B"),"3","C"),"4","D")</f>
        <v>A</v>
      </c>
      <c r="P921">
        <f t="shared" si="49"/>
        <v>225</v>
      </c>
      <c r="Q921" t="str">
        <f t="shared" ca="1" si="50"/>
        <v>{"num":225,"id":225,"q":"Khi điều khiển xe ô tô tới gần xe chạy ngược chiều vào ban đêm, người lái xe cần thực hiện các thao tác nào để bảo đảm an toàn?","opts":{"A":" Chuyển từ đèn chiếu xa sang đèn chiếu gần; không nhìn thẳng vào đèn của xe chạy ngược chiều mà nhìn chếch sang phía phải theo chiều chuyển động của xe mình.","B":"Chuyển từ đèn chiếu gần sang đèn chiếu xa; không nhìn thẳng vào đèn của xe chạy ngược chiều mà nhìn chếch sang phía phải theo chiều chuyển động của xe mình.","C":"Chuyển từ đèn chiếu xa sang đèn chiếu gần; nhìn thẳng vào đèn của xe chạy ngược chiều để tránh xe bảo đảm an toàn."},"answer":"A"},</v>
      </c>
    </row>
    <row r="922" spans="1:17" hidden="1" x14ac:dyDescent="0.25">
      <c r="A922">
        <v>1</v>
      </c>
      <c r="B922" t="s">
        <v>788</v>
      </c>
      <c r="C922">
        <f>IFERROR(COUNTIFS($A$1:A922,"Câu "&amp;"*")-MID(A922,5,FIND(".",A922,1)-5),0)</f>
        <v>0</v>
      </c>
      <c r="D922" t="str">
        <f t="shared" si="51"/>
        <v/>
      </c>
      <c r="E922" t="str">
        <f>SUBSTITUTE(IF(LEFT(A922,3)="Câu",MID(A922,FIND(".",A922,1)+2,LEN(A922)),""),CHAR(34),CHAR(92)&amp;CHAR(34))</f>
        <v/>
      </c>
      <c r="G922" t="str">
        <f>SUBSTITUTE(B923,CHAR(34),CHAR(92)&amp;CHAR(34))</f>
        <v>Chuyển từ đèn chiếu gần sang đèn chiếu xa; không nhìn thẳng vào đèn của xe chạy ngược chiều mà nhìn chếch sang phía phải theo chiều chuyển động của xe mình.</v>
      </c>
      <c r="H922" t="str">
        <f>SUBSTITUTE(B924,CHAR(34),CHAR(92)&amp;CHAR(34))</f>
        <v>Chuyển từ đèn chiếu xa sang đèn chiếu gần; nhìn thẳng vào đèn của xe chạy ngược chiều để tránh xe bảo đảm an toàn.</v>
      </c>
      <c r="I922" t="str">
        <f>SUBSTITUTE(IF(LEFT(A925,3)="Câu","",B925),CHAR(34),CHAR(92)&amp;CHAR(34))</f>
        <v/>
      </c>
      <c r="J922" t="str">
        <f>SUBSTITUTE(IF(OR(LEFT(A926,3)="Câu",I922=""),"",IF(B926=0,"",B926)),CHAR(34),CHAR(92)&amp;CHAR(34))</f>
        <v/>
      </c>
      <c r="K922" t="str">
        <f>SUBSTITUTE(SUBSTITUTE(SUBSTITUTE(SUBSTITUTE(IFERROR(VLOOKUP("Câu "&amp;D922&amp;".",dapan!$E:$J,6,0),""),"1","A"),"2","B"),"3","C"),"4","D")</f>
        <v/>
      </c>
      <c r="P922" t="str">
        <f t="shared" si="49"/>
        <v/>
      </c>
      <c r="Q922" t="str">
        <f t="shared" si="50"/>
        <v/>
      </c>
    </row>
    <row r="923" spans="1:17" hidden="1" x14ac:dyDescent="0.25">
      <c r="A923">
        <v>2</v>
      </c>
      <c r="B923" t="s">
        <v>789</v>
      </c>
      <c r="C923">
        <f>IFERROR(COUNTIFS($A$1:A923,"Câu "&amp;"*")-MID(A923,5,FIND(".",A923,1)-5),0)</f>
        <v>0</v>
      </c>
      <c r="D923" t="str">
        <f t="shared" si="51"/>
        <v/>
      </c>
      <c r="E923" t="str">
        <f>SUBSTITUTE(IF(LEFT(A923,3)="Câu",MID(A923,FIND(".",A923,1)+2,LEN(A923)),""),CHAR(34),CHAR(92)&amp;CHAR(34))</f>
        <v/>
      </c>
      <c r="G923" t="str">
        <f>SUBSTITUTE(B924,CHAR(34),CHAR(92)&amp;CHAR(34))</f>
        <v>Chuyển từ đèn chiếu xa sang đèn chiếu gần; nhìn thẳng vào đèn của xe chạy ngược chiều để tránh xe bảo đảm an toàn.</v>
      </c>
      <c r="H923" t="str">
        <f>SUBSTITUTE(B925,CHAR(34),CHAR(92)&amp;CHAR(34))</f>
        <v/>
      </c>
      <c r="I923" t="str">
        <f>SUBSTITUTE(IF(LEFT(A926,3)="Câu","",B926),CHAR(34),CHAR(92)&amp;CHAR(34))</f>
        <v>Giữ vững tay lái cho xe đi đúng vệt bánh xe đi trước, sử dụng số thấp đi chậm, giữ đều ga, đánh lái ngoặt và phanh gấp khi cần thiết.</v>
      </c>
      <c r="J923" t="str">
        <f>SUBSTITUTE(IF(OR(LEFT(A927,3)="Câu",I923=""),"",IF(B927=0,"",B927)),CHAR(34),CHAR(92)&amp;CHAR(34))</f>
        <v xml:space="preserve"> Giữ vững tay lái cho xe đi đúng vệt bánh xe đi trước, sử dụng số thấp đi chậm, gài cầu (nếu có), giữ đều ga, không lấy nhiều lái, không đánh lái ngoặt và phanh gấp.</v>
      </c>
      <c r="K923" t="str">
        <f>SUBSTITUTE(SUBSTITUTE(SUBSTITUTE(SUBSTITUTE(IFERROR(VLOOKUP("Câu "&amp;D923&amp;".",dapan!$E:$J,6,0),""),"1","A"),"2","B"),"3","C"),"4","D")</f>
        <v/>
      </c>
      <c r="P923" t="str">
        <f t="shared" si="49"/>
        <v/>
      </c>
      <c r="Q923" t="str">
        <f t="shared" si="50"/>
        <v/>
      </c>
    </row>
    <row r="924" spans="1:17" hidden="1" x14ac:dyDescent="0.25">
      <c r="A924">
        <v>3</v>
      </c>
      <c r="B924" t="s">
        <v>790</v>
      </c>
      <c r="C924">
        <f>IFERROR(COUNTIFS($A$1:A924,"Câu "&amp;"*")-MID(A924,5,FIND(".",A924,1)-5),0)</f>
        <v>0</v>
      </c>
      <c r="D924" t="str">
        <f t="shared" si="51"/>
        <v/>
      </c>
      <c r="E924" t="str">
        <f>SUBSTITUTE(IF(LEFT(A924,3)="Câu",MID(A924,FIND(".",A924,1)+2,LEN(A924)),""),CHAR(34),CHAR(92)&amp;CHAR(34))</f>
        <v/>
      </c>
      <c r="G924" t="str">
        <f>SUBSTITUTE(B925,CHAR(34),CHAR(92)&amp;CHAR(34))</f>
        <v/>
      </c>
      <c r="H924" t="str">
        <f>SUBSTITUTE(B926,CHAR(34),CHAR(92)&amp;CHAR(34))</f>
        <v>Giữ vững tay lái cho xe đi đúng vệt bánh xe đi trước, sử dụng số thấp đi chậm, giữ đều ga, đánh lái ngoặt và phanh gấp khi cần thiết.</v>
      </c>
      <c r="I924" t="str">
        <f>SUBSTITUTE(IF(LEFT(A927,3)="Câu","",B927),CHAR(34),CHAR(92)&amp;CHAR(34))</f>
        <v xml:space="preserve"> Giữ vững tay lái cho xe đi đúng vệt bánh xe đi trước, sử dụng số thấp đi chậm, gài cầu (nếu có), giữ đều ga, không lấy nhiều lái, không đánh lái ngoặt và phanh gấp.</v>
      </c>
      <c r="J924" t="str">
        <f>SUBSTITUTE(IF(OR(LEFT(A928,3)="Câu",I924=""),"",IF(B928=0,"",B928)),CHAR(34),CHAR(92)&amp;CHAR(34))</f>
        <v/>
      </c>
      <c r="K924" t="str">
        <f>SUBSTITUTE(SUBSTITUTE(SUBSTITUTE(SUBSTITUTE(IFERROR(VLOOKUP("Câu "&amp;D924&amp;".",dapan!$E:$J,6,0),""),"1","A"),"2","B"),"3","C"),"4","D")</f>
        <v/>
      </c>
      <c r="P924" t="str">
        <f t="shared" si="49"/>
        <v/>
      </c>
      <c r="Q924" t="str">
        <f t="shared" si="50"/>
        <v/>
      </c>
    </row>
    <row r="925" spans="1:17" x14ac:dyDescent="0.25">
      <c r="A925" t="s">
        <v>791</v>
      </c>
      <c r="C925">
        <f>IFERROR(COUNTIFS($A$1:A925,"Câu "&amp;"*")-MID(A925,5,FIND(".",A925,1)-5),0)</f>
        <v>0</v>
      </c>
      <c r="D925">
        <f t="shared" si="51"/>
        <v>226</v>
      </c>
      <c r="E925" t="str">
        <f>SUBSTITUTE(IF(LEFT(A925,3)="Câu",MID(A925,FIND(".",A925,1)+2,LEN(A925)),""),CHAR(34),CHAR(92)&amp;CHAR(34))</f>
        <v>Khi điều khiển xe ô tô trên đường trơn cần chú ý những điểm gì để bảo đảm an toàn?</v>
      </c>
      <c r="G925" t="str">
        <f>SUBSTITUTE(B926,CHAR(34),CHAR(92)&amp;CHAR(34))</f>
        <v>Giữ vững tay lái cho xe đi đúng vệt bánh xe đi trước, sử dụng số thấp đi chậm, giữ đều ga, đánh lái ngoặt và phanh gấp khi cần thiết.</v>
      </c>
      <c r="H925" t="str">
        <f>SUBSTITUTE(B927,CHAR(34),CHAR(92)&amp;CHAR(34))</f>
        <v xml:space="preserve"> Giữ vững tay lái cho xe đi đúng vệt bánh xe đi trước, sử dụng số thấp đi chậm, gài cầu (nếu có), giữ đều ga, không lấy nhiều lái, không đánh lái ngoặt và phanh gấp.</v>
      </c>
      <c r="I925" t="str">
        <f>SUBSTITUTE(IF(LEFT(A928,3)="Câu","",B928),CHAR(34),CHAR(92)&amp;CHAR(34))</f>
        <v/>
      </c>
      <c r="J925" t="str">
        <f>SUBSTITUTE(IF(OR(LEFT(A929,3)="Câu",I925=""),"",IF(B929=0,"",B929)),CHAR(34),CHAR(92)&amp;CHAR(34))</f>
        <v/>
      </c>
      <c r="K925" t="str">
        <f ca="1">SUBSTITUTE(SUBSTITUTE(SUBSTITUTE(SUBSTITUTE(IFERROR(VLOOKUP("Câu "&amp;D925&amp;".",dapan!$E:$J,6,0),""),"1","A"),"2","B"),"3","C"),"4","D")</f>
        <v>B</v>
      </c>
      <c r="P925">
        <f t="shared" si="49"/>
        <v>226</v>
      </c>
      <c r="Q925" t="str">
        <f t="shared" ca="1" si="50"/>
        <v>{"num":226,"id":226,"q":"Khi điều khiển xe ô tô trên đường trơn cần chú ý những điểm gì để bảo đảm an toàn?","opts":{"A":"Giữ vững tay lái cho xe đi đúng vệt bánh xe đi trước, sử dụng số thấp đi chậm, giữ đều ga, đánh lái ngoặt và phanh gấp khi cần thiết.","B":" Giữ vững tay lái cho xe đi đúng vệt bánh xe đi trước, sử dụng số thấp đi chậm, gài cầu (nếu có), giữ đều ga, không lấy nhiều lái, không đánh lái ngoặt và phanh gấp."},"answer":"B"},</v>
      </c>
    </row>
    <row r="926" spans="1:17" hidden="1" x14ac:dyDescent="0.25">
      <c r="A926">
        <v>1</v>
      </c>
      <c r="B926" t="s">
        <v>792</v>
      </c>
      <c r="C926">
        <f>IFERROR(COUNTIFS($A$1:A926,"Câu "&amp;"*")-MID(A926,5,FIND(".",A926,1)-5),0)</f>
        <v>0</v>
      </c>
      <c r="D926" t="str">
        <f t="shared" si="51"/>
        <v/>
      </c>
      <c r="E926" t="str">
        <f>SUBSTITUTE(IF(LEFT(A926,3)="Câu",MID(A926,FIND(".",A926,1)+2,LEN(A926)),""),CHAR(34),CHAR(92)&amp;CHAR(34))</f>
        <v/>
      </c>
      <c r="G926" t="str">
        <f>SUBSTITUTE(B927,CHAR(34),CHAR(92)&amp;CHAR(34))</f>
        <v xml:space="preserve"> Giữ vững tay lái cho xe đi đúng vệt bánh xe đi trước, sử dụng số thấp đi chậm, gài cầu (nếu có), giữ đều ga, không lấy nhiều lái, không đánh lái ngoặt và phanh gấp.</v>
      </c>
      <c r="H926" t="str">
        <f>SUBSTITUTE(B928,CHAR(34),CHAR(92)&amp;CHAR(34))</f>
        <v/>
      </c>
      <c r="I926" t="str">
        <f>SUBSTITUTE(IF(LEFT(A929,3)="Câu","",B929),CHAR(34),CHAR(92)&amp;CHAR(34))</f>
        <v xml:space="preserve"> Đang sử dụng phanh đỗ.</v>
      </c>
      <c r="J926" t="str">
        <f>SUBSTITUTE(IF(OR(LEFT(A930,3)="Câu",I926=""),"",IF(B930=0,"",B930)),CHAR(34),CHAR(92)&amp;CHAR(34))</f>
        <v>Nhiệt độ nước làm mát quá mức cho phép.</v>
      </c>
      <c r="K926" t="str">
        <f>SUBSTITUTE(SUBSTITUTE(SUBSTITUTE(SUBSTITUTE(IFERROR(VLOOKUP("Câu "&amp;D926&amp;".",dapan!$E:$J,6,0),""),"1","A"),"2","B"),"3","C"),"4","D")</f>
        <v/>
      </c>
      <c r="P926" t="str">
        <f t="shared" si="49"/>
        <v/>
      </c>
      <c r="Q926" t="str">
        <f t="shared" si="50"/>
        <v/>
      </c>
    </row>
    <row r="927" spans="1:17" hidden="1" x14ac:dyDescent="0.25">
      <c r="A927">
        <v>2</v>
      </c>
      <c r="B927" t="s">
        <v>1761</v>
      </c>
      <c r="C927">
        <f>IFERROR(COUNTIFS($A$1:A927,"Câu "&amp;"*")-MID(A927,5,FIND(".",A927,1)-5),0)</f>
        <v>0</v>
      </c>
      <c r="D927" t="str">
        <f t="shared" si="51"/>
        <v/>
      </c>
      <c r="E927" t="str">
        <f>SUBSTITUTE(IF(LEFT(A927,3)="Câu",MID(A927,FIND(".",A927,1)+2,LEN(A927)),""),CHAR(34),CHAR(92)&amp;CHAR(34))</f>
        <v/>
      </c>
      <c r="G927" t="str">
        <f>SUBSTITUTE(B928,CHAR(34),CHAR(92)&amp;CHAR(34))</f>
        <v/>
      </c>
      <c r="H927" t="str">
        <f>SUBSTITUTE(B929,CHAR(34),CHAR(92)&amp;CHAR(34))</f>
        <v xml:space="preserve"> Đang sử dụng phanh đỗ.</v>
      </c>
      <c r="I927" t="str">
        <f>SUBSTITUTE(IF(LEFT(A930,3)="Câu","",B930),CHAR(34),CHAR(92)&amp;CHAR(34))</f>
        <v>Nhiệt độ nước làm mát quá mức cho phép.</v>
      </c>
      <c r="J927" t="str">
        <f>SUBSTITUTE(IF(OR(LEFT(A931,3)="Câu",I927=""),"",IF(B931=0,"",B931)),CHAR(34),CHAR(92)&amp;CHAR(34))</f>
        <v>Cửa xe đang mở.</v>
      </c>
      <c r="K927" t="str">
        <f>SUBSTITUTE(SUBSTITUTE(SUBSTITUTE(SUBSTITUTE(IFERROR(VLOOKUP("Câu "&amp;D927&amp;".",dapan!$E:$J,6,0),""),"1","A"),"2","B"),"3","C"),"4","D")</f>
        <v/>
      </c>
      <c r="P927" t="str">
        <f t="shared" si="49"/>
        <v/>
      </c>
      <c r="Q927" t="str">
        <f t="shared" si="50"/>
        <v/>
      </c>
    </row>
    <row r="928" spans="1:17" x14ac:dyDescent="0.25">
      <c r="A928" t="s">
        <v>1762</v>
      </c>
      <c r="C928">
        <f>IFERROR(COUNTIFS($A$1:A928,"Câu "&amp;"*")-MID(A928,5,FIND(".",A928,1)-5),0)</f>
        <v>0</v>
      </c>
      <c r="D928">
        <f t="shared" si="51"/>
        <v>227</v>
      </c>
      <c r="E928" t="str">
        <f>SUBSTITUTE(IF(LEFT(A928,3)="Câu",MID(A928,FIND(".",A928,1)+2,LEN(A928)),""),CHAR(34),CHAR(92)&amp;CHAR(34))</f>
        <v>Khi động cơ xe ô tô đã khởi động, bảng đồng hồ xuất hiện ký hiệu như hình vẽ dưới đây là báo hiệu tình trạng gì của xe ô tô?</v>
      </c>
      <c r="F928" t="str">
        <f t="shared" ref="F928:F951" si="52">IF(D928="","","q"&amp;TEXT(D928,"000")&amp;".jpg")</f>
        <v>q227.jpg</v>
      </c>
      <c r="G928" t="str">
        <f>SUBSTITUTE(B929,CHAR(34),CHAR(92)&amp;CHAR(34))</f>
        <v xml:space="preserve"> Đang sử dụng phanh đỗ.</v>
      </c>
      <c r="H928" t="str">
        <f>SUBSTITUTE(B930,CHAR(34),CHAR(92)&amp;CHAR(34))</f>
        <v>Nhiệt độ nước làm mát quá mức cho phép.</v>
      </c>
      <c r="I928" t="str">
        <f>SUBSTITUTE(IF(LEFT(A931,3)="Câu","",B931),CHAR(34),CHAR(92)&amp;CHAR(34))</f>
        <v>Cửa xe đang mở.</v>
      </c>
      <c r="J928" t="str">
        <f>SUBSTITUTE(IF(OR(LEFT(A932,3)="Câu",I928=""),"",IF(B932=0,"",B932)),CHAR(34),CHAR(92)&amp;CHAR(34))</f>
        <v/>
      </c>
      <c r="K928" t="str">
        <f ca="1">SUBSTITUTE(SUBSTITUTE(SUBSTITUTE(SUBSTITUTE(IFERROR(VLOOKUP("Câu "&amp;D928&amp;".",dapan!$E:$J,6,0),""),"1","A"),"2","B"),"3","C"),"4","D")</f>
        <v>A</v>
      </c>
      <c r="P928">
        <f t="shared" si="49"/>
        <v>227</v>
      </c>
      <c r="Q928" t="str">
        <f t="shared" ca="1" si="50"/>
        <v>{"num":227,"id":227,"q":"Khi động cơ xe ô tô đã khởi động, bảng đồng hồ xuất hiện ký hiệu như hình vẽ dưới đây là báo hiệu tình trạng gì của xe ô tô?","img":"q227.jpg","opts":{"A":" Đang sử dụng phanh đỗ.","B":"Nhiệt độ nước làm mát quá mức cho phép.","C":"Cửa xe đang mở."},"answer":"A"},</v>
      </c>
    </row>
    <row r="929" spans="1:17" hidden="1" x14ac:dyDescent="0.25">
      <c r="A929">
        <v>1</v>
      </c>
      <c r="B929" t="s">
        <v>793</v>
      </c>
      <c r="C929">
        <f>IFERROR(COUNTIFS($A$1:A929,"Câu "&amp;"*")-MID(A929,5,FIND(".",A929,1)-5),0)</f>
        <v>0</v>
      </c>
      <c r="D929" t="str">
        <f t="shared" si="51"/>
        <v/>
      </c>
      <c r="E929" t="str">
        <f>SUBSTITUTE(IF(LEFT(A929,3)="Câu",MID(A929,FIND(".",A929,1)+2,LEN(A929)),""),CHAR(34),CHAR(92)&amp;CHAR(34))</f>
        <v/>
      </c>
      <c r="F929" t="str">
        <f t="shared" si="52"/>
        <v/>
      </c>
      <c r="G929" t="str">
        <f>SUBSTITUTE(B930,CHAR(34),CHAR(92)&amp;CHAR(34))</f>
        <v>Nhiệt độ nước làm mát quá mức cho phép.</v>
      </c>
      <c r="H929" t="str">
        <f>SUBSTITUTE(B931,CHAR(34),CHAR(92)&amp;CHAR(34))</f>
        <v>Cửa xe đang mở.</v>
      </c>
      <c r="I929" t="str">
        <f>SUBSTITUTE(IF(LEFT(A932,3)="Câu","",B932),CHAR(34),CHAR(92)&amp;CHAR(34))</f>
        <v/>
      </c>
      <c r="J929" t="str">
        <f>SUBSTITUTE(IF(OR(LEFT(A933,3)="Câu",I929=""),"",IF(B933=0,"",B933)),CHAR(34),CHAR(92)&amp;CHAR(34))</f>
        <v/>
      </c>
      <c r="K929" t="str">
        <f>SUBSTITUTE(SUBSTITUTE(SUBSTITUTE(SUBSTITUTE(IFERROR(VLOOKUP("Câu "&amp;D929&amp;".",dapan!$E:$J,6,0),""),"1","A"),"2","B"),"3","C"),"4","D")</f>
        <v/>
      </c>
      <c r="P929" t="str">
        <f t="shared" si="49"/>
        <v/>
      </c>
      <c r="Q929" t="str">
        <f t="shared" si="50"/>
        <v/>
      </c>
    </row>
    <row r="930" spans="1:17" hidden="1" x14ac:dyDescent="0.25">
      <c r="A930">
        <v>2</v>
      </c>
      <c r="B930" t="s">
        <v>794</v>
      </c>
      <c r="C930">
        <f>IFERROR(COUNTIFS($A$1:A930,"Câu "&amp;"*")-MID(A930,5,FIND(".",A930,1)-5),0)</f>
        <v>0</v>
      </c>
      <c r="D930" t="str">
        <f t="shared" si="51"/>
        <v/>
      </c>
      <c r="E930" t="str">
        <f>SUBSTITUTE(IF(LEFT(A930,3)="Câu",MID(A930,FIND(".",A930,1)+2,LEN(A930)),""),CHAR(34),CHAR(92)&amp;CHAR(34))</f>
        <v/>
      </c>
      <c r="F930" t="str">
        <f t="shared" si="52"/>
        <v/>
      </c>
      <c r="G930" t="str">
        <f>SUBSTITUTE(B931,CHAR(34),CHAR(92)&amp;CHAR(34))</f>
        <v>Cửa xe đang mở.</v>
      </c>
      <c r="H930" t="str">
        <f>SUBSTITUTE(B932,CHAR(34),CHAR(92)&amp;CHAR(34))</f>
        <v/>
      </c>
      <c r="I930" t="str">
        <f>SUBSTITUTE(IF(LEFT(A933,3)="Câu","",B933),CHAR(34),CHAR(92)&amp;CHAR(34))</f>
        <v>Đang sử dụng phanh đỗ.</v>
      </c>
      <c r="J930" t="str">
        <f>SUBSTITUTE(IF(OR(LEFT(A934,3)="Câu",I930=""),"",IF(B934=0,"",B934)),CHAR(34),CHAR(92)&amp;CHAR(34))</f>
        <v>Thiếu dầu phanh.</v>
      </c>
      <c r="K930" t="str">
        <f>SUBSTITUTE(SUBSTITUTE(SUBSTITUTE(SUBSTITUTE(IFERROR(VLOOKUP("Câu "&amp;D930&amp;".",dapan!$E:$J,6,0),""),"1","A"),"2","B"),"3","C"),"4","D")</f>
        <v/>
      </c>
      <c r="P930" t="str">
        <f t="shared" si="49"/>
        <v/>
      </c>
      <c r="Q930" t="str">
        <f t="shared" si="50"/>
        <v/>
      </c>
    </row>
    <row r="931" spans="1:17" hidden="1" x14ac:dyDescent="0.25">
      <c r="A931">
        <v>3</v>
      </c>
      <c r="B931" t="s">
        <v>795</v>
      </c>
      <c r="C931">
        <f>IFERROR(COUNTIFS($A$1:A931,"Câu "&amp;"*")-MID(A931,5,FIND(".",A931,1)-5),0)</f>
        <v>0</v>
      </c>
      <c r="D931" t="str">
        <f t="shared" si="51"/>
        <v/>
      </c>
      <c r="E931" t="str">
        <f>SUBSTITUTE(IF(LEFT(A931,3)="Câu",MID(A931,FIND(".",A931,1)+2,LEN(A931)),""),CHAR(34),CHAR(92)&amp;CHAR(34))</f>
        <v/>
      </c>
      <c r="F931" t="str">
        <f t="shared" si="52"/>
        <v/>
      </c>
      <c r="G931" t="str">
        <f>SUBSTITUTE(B932,CHAR(34),CHAR(92)&amp;CHAR(34))</f>
        <v/>
      </c>
      <c r="H931" t="str">
        <f>SUBSTITUTE(B933,CHAR(34),CHAR(92)&amp;CHAR(34))</f>
        <v>Đang sử dụng phanh đỗ.</v>
      </c>
      <c r="I931" t="str">
        <f>SUBSTITUTE(IF(LEFT(A934,3)="Câu","",B934),CHAR(34),CHAR(92)&amp;CHAR(34))</f>
        <v>Thiếu dầu phanh.</v>
      </c>
      <c r="J931" t="str">
        <f>SUBSTITUTE(IF(OR(LEFT(A935,3)="Câu",I931=""),"",IF(B935=0,"",B935)),CHAR(34),CHAR(92)&amp;CHAR(34))</f>
        <v>Nhiệt độ nước làm mát tăng quá mức cho phép.</v>
      </c>
      <c r="K931" t="str">
        <f>SUBSTITUTE(SUBSTITUTE(SUBSTITUTE(SUBSTITUTE(IFERROR(VLOOKUP("Câu "&amp;D931&amp;".",dapan!$E:$J,6,0),""),"1","A"),"2","B"),"3","C"),"4","D")</f>
        <v/>
      </c>
      <c r="P931" t="str">
        <f t="shared" si="49"/>
        <v/>
      </c>
      <c r="Q931" t="str">
        <f t="shared" si="50"/>
        <v/>
      </c>
    </row>
    <row r="932" spans="1:17" x14ac:dyDescent="0.25">
      <c r="A932" t="s">
        <v>796</v>
      </c>
      <c r="C932">
        <f>IFERROR(COUNTIFS($A$1:A932,"Câu "&amp;"*")-MID(A932,5,FIND(".",A932,1)-5),0)</f>
        <v>0</v>
      </c>
      <c r="D932">
        <f t="shared" si="51"/>
        <v>228</v>
      </c>
      <c r="E932" t="str">
        <f>SUBSTITUTE(IF(LEFT(A932,3)="Câu",MID(A932,FIND(".",A932,1)+2,LEN(A932)),""),CHAR(34),CHAR(92)&amp;CHAR(34))</f>
        <v>Khi động cơ xe ô tô đã khởi động, bảng đồng hồ xuất hiện ký hiệu như hình vẽ dưới đây là báo hiệu tình trạng gì của xe ô tô?</v>
      </c>
      <c r="F932" t="str">
        <f t="shared" si="52"/>
        <v>q228.jpg</v>
      </c>
      <c r="G932" t="str">
        <f>SUBSTITUTE(B933,CHAR(34),CHAR(92)&amp;CHAR(34))</f>
        <v>Đang sử dụng phanh đỗ.</v>
      </c>
      <c r="H932" t="str">
        <f>SUBSTITUTE(B934,CHAR(34),CHAR(92)&amp;CHAR(34))</f>
        <v>Thiếu dầu phanh.</v>
      </c>
      <c r="I932" t="str">
        <f>SUBSTITUTE(IF(LEFT(A935,3)="Câu","",B935),CHAR(34),CHAR(92)&amp;CHAR(34))</f>
        <v>Nhiệt độ nước làm mát tăng quá mức cho phép.</v>
      </c>
      <c r="J932" t="str">
        <f>SUBSTITUTE(IF(OR(LEFT(A936,3)="Câu",I932=""),"",IF(B936=0,"",B936)),CHAR(34),CHAR(92)&amp;CHAR(34))</f>
        <v xml:space="preserve"> Áp suất dầu ở mức thấp.</v>
      </c>
      <c r="K932" t="str">
        <f ca="1">SUBSTITUTE(SUBSTITUTE(SUBSTITUTE(SUBSTITUTE(IFERROR(VLOOKUP("Câu "&amp;D932&amp;".",dapan!$E:$J,6,0),""),"1","A"),"2","B"),"3","C"),"4","D")</f>
        <v>D</v>
      </c>
      <c r="P932">
        <f t="shared" si="49"/>
        <v>228</v>
      </c>
      <c r="Q932" t="str">
        <f t="shared" ca="1" si="50"/>
        <v>{"num":228,"id":228,"q":"Khi động cơ xe ô tô đã khởi động, bảng đồng hồ xuất hiện ký hiệu như hình vẽ dưới đây là báo hiệu tình trạng gì của xe ô tô?","img":"q228.jpg","opts":{"A":"Đang sử dụng phanh đỗ.","B":"Thiếu dầu phanh.","C":"Nhiệt độ nước làm mát tăng quá mức cho phép.","D":" Áp suất dầu ở mức thấp."},"answer":"D"},</v>
      </c>
    </row>
    <row r="933" spans="1:17" hidden="1" x14ac:dyDescent="0.25">
      <c r="A933">
        <v>1</v>
      </c>
      <c r="B933" t="s">
        <v>797</v>
      </c>
      <c r="C933">
        <f>IFERROR(COUNTIFS($A$1:A933,"Câu "&amp;"*")-MID(A933,5,FIND(".",A933,1)-5),0)</f>
        <v>0</v>
      </c>
      <c r="D933" t="str">
        <f t="shared" si="51"/>
        <v/>
      </c>
      <c r="E933" t="str">
        <f>SUBSTITUTE(IF(LEFT(A933,3)="Câu",MID(A933,FIND(".",A933,1)+2,LEN(A933)),""),CHAR(34),CHAR(92)&amp;CHAR(34))</f>
        <v/>
      </c>
      <c r="F933" t="str">
        <f t="shared" si="52"/>
        <v/>
      </c>
      <c r="G933" t="str">
        <f>SUBSTITUTE(B934,CHAR(34),CHAR(92)&amp;CHAR(34))</f>
        <v>Thiếu dầu phanh.</v>
      </c>
      <c r="H933" t="str">
        <f>SUBSTITUTE(B935,CHAR(34),CHAR(92)&amp;CHAR(34))</f>
        <v>Nhiệt độ nước làm mát tăng quá mức cho phép.</v>
      </c>
      <c r="I933" t="str">
        <f>SUBSTITUTE(IF(LEFT(A936,3)="Câu","",B936),CHAR(34),CHAR(92)&amp;CHAR(34))</f>
        <v xml:space="preserve"> Áp suất dầu ở mức thấp.</v>
      </c>
      <c r="J933" t="str">
        <f>SUBSTITUTE(IF(OR(LEFT(A937,3)="Câu",I933=""),"",IF(B937=0,"",B937)),CHAR(34),CHAR(92)&amp;CHAR(34))</f>
        <v/>
      </c>
      <c r="K933" t="str">
        <f>SUBSTITUTE(SUBSTITUTE(SUBSTITUTE(SUBSTITUTE(IFERROR(VLOOKUP("Câu "&amp;D933&amp;".",dapan!$E:$J,6,0),""),"1","A"),"2","B"),"3","C"),"4","D")</f>
        <v/>
      </c>
      <c r="P933" t="str">
        <f t="shared" si="49"/>
        <v/>
      </c>
      <c r="Q933" t="str">
        <f t="shared" si="50"/>
        <v/>
      </c>
    </row>
    <row r="934" spans="1:17" hidden="1" x14ac:dyDescent="0.25">
      <c r="A934">
        <v>2</v>
      </c>
      <c r="B934" t="s">
        <v>798</v>
      </c>
      <c r="C934">
        <f>IFERROR(COUNTIFS($A$1:A934,"Câu "&amp;"*")-MID(A934,5,FIND(".",A934,1)-5),0)</f>
        <v>0</v>
      </c>
      <c r="D934" t="str">
        <f t="shared" si="51"/>
        <v/>
      </c>
      <c r="E934" t="str">
        <f>SUBSTITUTE(IF(LEFT(A934,3)="Câu",MID(A934,FIND(".",A934,1)+2,LEN(A934)),""),CHAR(34),CHAR(92)&amp;CHAR(34))</f>
        <v/>
      </c>
      <c r="F934" t="str">
        <f t="shared" si="52"/>
        <v/>
      </c>
      <c r="G934" t="str">
        <f>SUBSTITUTE(B935,CHAR(34),CHAR(92)&amp;CHAR(34))</f>
        <v>Nhiệt độ nước làm mát tăng quá mức cho phép.</v>
      </c>
      <c r="H934" t="str">
        <f>SUBSTITUTE(B936,CHAR(34),CHAR(92)&amp;CHAR(34))</f>
        <v xml:space="preserve"> Áp suất dầu ở mức thấp.</v>
      </c>
      <c r="I934" t="str">
        <f>SUBSTITUTE(IF(LEFT(A937,3)="Câu","",B937),CHAR(34),CHAR(92)&amp;CHAR(34))</f>
        <v/>
      </c>
      <c r="J934" t="str">
        <f>SUBSTITUTE(IF(OR(LEFT(A938,3)="Câu",I934=""),"",IF(B938=0,"",B938)),CHAR(34),CHAR(92)&amp;CHAR(34))</f>
        <v/>
      </c>
      <c r="K934" t="str">
        <f>SUBSTITUTE(SUBSTITUTE(SUBSTITUTE(SUBSTITUTE(IFERROR(VLOOKUP("Câu "&amp;D934&amp;".",dapan!$E:$J,6,0),""),"1","A"),"2","B"),"3","C"),"4","D")</f>
        <v/>
      </c>
      <c r="P934" t="str">
        <f t="shared" si="49"/>
        <v/>
      </c>
      <c r="Q934" t="str">
        <f t="shared" si="50"/>
        <v/>
      </c>
    </row>
    <row r="935" spans="1:17" hidden="1" x14ac:dyDescent="0.25">
      <c r="A935">
        <v>3</v>
      </c>
      <c r="B935" t="s">
        <v>799</v>
      </c>
      <c r="C935">
        <f>IFERROR(COUNTIFS($A$1:A935,"Câu "&amp;"*")-MID(A935,5,FIND(".",A935,1)-5),0)</f>
        <v>0</v>
      </c>
      <c r="D935" t="str">
        <f t="shared" si="51"/>
        <v/>
      </c>
      <c r="E935" t="str">
        <f>SUBSTITUTE(IF(LEFT(A935,3)="Câu",MID(A935,FIND(".",A935,1)+2,LEN(A935)),""),CHAR(34),CHAR(92)&amp;CHAR(34))</f>
        <v/>
      </c>
      <c r="F935" t="str">
        <f t="shared" si="52"/>
        <v/>
      </c>
      <c r="G935" t="str">
        <f>SUBSTITUTE(B936,CHAR(34),CHAR(92)&amp;CHAR(34))</f>
        <v xml:space="preserve"> Áp suất dầu ở mức thấp.</v>
      </c>
      <c r="H935" t="str">
        <f>SUBSTITUTE(B937,CHAR(34),CHAR(92)&amp;CHAR(34))</f>
        <v/>
      </c>
      <c r="I935" t="str">
        <f>SUBSTITUTE(IF(LEFT(A938,3)="Câu","",B938),CHAR(34),CHAR(92)&amp;CHAR(34))</f>
        <v xml:space="preserve"> Cửa xe đóng chưa chặt hoặc có cửa xe chưa đóng.</v>
      </c>
      <c r="J935" t="str">
        <f>SUBSTITUTE(IF(OR(LEFT(A939,3)="Câu",I935=""),"",IF(B939=0,"",B939)),CHAR(34),CHAR(92)&amp;CHAR(34))</f>
        <v>Bộ nạp ắc quy gặp sự cố kỹ thuật.</v>
      </c>
      <c r="K935" t="str">
        <f>SUBSTITUTE(SUBSTITUTE(SUBSTITUTE(SUBSTITUTE(IFERROR(VLOOKUP("Câu "&amp;D935&amp;".",dapan!$E:$J,6,0),""),"1","A"),"2","B"),"3","C"),"4","D")</f>
        <v/>
      </c>
      <c r="P935" t="str">
        <f t="shared" si="49"/>
        <v/>
      </c>
      <c r="Q935" t="str">
        <f t="shared" si="50"/>
        <v/>
      </c>
    </row>
    <row r="936" spans="1:17" hidden="1" x14ac:dyDescent="0.25">
      <c r="A936">
        <v>4</v>
      </c>
      <c r="B936" t="s">
        <v>800</v>
      </c>
      <c r="C936">
        <f>IFERROR(COUNTIFS($A$1:A936,"Câu "&amp;"*")-MID(A936,5,FIND(".",A936,1)-5),0)</f>
        <v>0</v>
      </c>
      <c r="D936" t="str">
        <f t="shared" si="51"/>
        <v/>
      </c>
      <c r="E936" t="str">
        <f>SUBSTITUTE(IF(LEFT(A936,3)="Câu",MID(A936,FIND(".",A936,1)+2,LEN(A936)),""),CHAR(34),CHAR(92)&amp;CHAR(34))</f>
        <v/>
      </c>
      <c r="F936" t="str">
        <f t="shared" si="52"/>
        <v/>
      </c>
      <c r="G936" t="str">
        <f>SUBSTITUTE(B937,CHAR(34),CHAR(92)&amp;CHAR(34))</f>
        <v/>
      </c>
      <c r="H936" t="str">
        <f>SUBSTITUTE(B938,CHAR(34),CHAR(92)&amp;CHAR(34))</f>
        <v xml:space="preserve"> Cửa xe đóng chưa chặt hoặc có cửa xe chưa đóng.</v>
      </c>
      <c r="I936" t="str">
        <f>SUBSTITUTE(IF(LEFT(A939,3)="Câu","",B939),CHAR(34),CHAR(92)&amp;CHAR(34))</f>
        <v>Bộ nạp ắc quy gặp sự cố kỹ thuật.</v>
      </c>
      <c r="J936" t="str">
        <f>SUBSTITUTE(IF(OR(LEFT(A940,3)="Câu",I936=""),"",IF(B940=0,"",B940)),CHAR(34),CHAR(92)&amp;CHAR(34))</f>
        <v>Dầu bôi trơn bị thiếu.</v>
      </c>
      <c r="K936" t="str">
        <f>SUBSTITUTE(SUBSTITUTE(SUBSTITUTE(SUBSTITUTE(IFERROR(VLOOKUP("Câu "&amp;D936&amp;".",dapan!$E:$J,6,0),""),"1","A"),"2","B"),"3","C"),"4","D")</f>
        <v/>
      </c>
      <c r="P936" t="str">
        <f t="shared" si="49"/>
        <v/>
      </c>
      <c r="Q936" t="str">
        <f t="shared" si="50"/>
        <v/>
      </c>
    </row>
    <row r="937" spans="1:17" x14ac:dyDescent="0.25">
      <c r="A937" t="s">
        <v>801</v>
      </c>
      <c r="C937">
        <f>IFERROR(COUNTIFS($A$1:A937,"Câu "&amp;"*")-MID(A937,5,FIND(".",A937,1)-5),0)</f>
        <v>0</v>
      </c>
      <c r="D937">
        <f t="shared" si="51"/>
        <v>229</v>
      </c>
      <c r="E937" t="str">
        <f>SUBSTITUTE(IF(LEFT(A937,3)="Câu",MID(A937,FIND(".",A937,1)+2,LEN(A937)),""),CHAR(34),CHAR(92)&amp;CHAR(34))</f>
        <v>Khi động cơ xe ô tô đã khởi động, bảng đồng hồ xuất hiện ký hiệu như hình vẽ dưới đây là báo hiệu tình trạng gì của xe ô tô?</v>
      </c>
      <c r="F937" t="str">
        <f t="shared" si="52"/>
        <v>q229.jpg</v>
      </c>
      <c r="G937" t="str">
        <f>SUBSTITUTE(B938,CHAR(34),CHAR(92)&amp;CHAR(34))</f>
        <v xml:space="preserve"> Cửa xe đóng chưa chặt hoặc có cửa xe chưa đóng.</v>
      </c>
      <c r="H937" t="str">
        <f>SUBSTITUTE(B939,CHAR(34),CHAR(92)&amp;CHAR(34))</f>
        <v>Bộ nạp ắc quy gặp sự cố kỹ thuật.</v>
      </c>
      <c r="I937" t="str">
        <f>SUBSTITUTE(IF(LEFT(A940,3)="Câu","",B940),CHAR(34),CHAR(92)&amp;CHAR(34))</f>
        <v>Dầu bôi trơn bị thiếu.</v>
      </c>
      <c r="J937" t="str">
        <f>SUBSTITUTE(IF(OR(LEFT(A941,3)="Câu",I937=""),"",IF(B941=0,"",B941)),CHAR(34),CHAR(92)&amp;CHAR(34))</f>
        <v>Ý 2 và ý 3.</v>
      </c>
      <c r="K937" t="str">
        <f ca="1">SUBSTITUTE(SUBSTITUTE(SUBSTITUTE(SUBSTITUTE(IFERROR(VLOOKUP("Câu "&amp;D937&amp;".",dapan!$E:$J,6,0),""),"1","A"),"2","B"),"3","C"),"4","D")</f>
        <v>A</v>
      </c>
      <c r="P937">
        <f t="shared" si="49"/>
        <v>229</v>
      </c>
      <c r="Q937" t="str">
        <f t="shared" ca="1" si="50"/>
        <v>{"num":229,"id":229,"q":"Khi động cơ xe ô tô đã khởi động, bảng đồng hồ xuất hiện ký hiệu như hình vẽ dưới đây là báo hiệu tình trạng gì của xe ô tô?","img":"q229.jpg","opts":{"A":" Cửa xe đóng chưa chặt hoặc có cửa xe chưa đóng.","B":"Bộ nạp ắc quy gặp sự cố kỹ thuật.","C":"Dầu bôi trơn bị thiếu.","D":"Ý 2 và ý 3."},"answer":"A"},</v>
      </c>
    </row>
    <row r="938" spans="1:17" hidden="1" x14ac:dyDescent="0.25">
      <c r="A938">
        <v>1</v>
      </c>
      <c r="B938" t="s">
        <v>802</v>
      </c>
      <c r="C938">
        <f>IFERROR(COUNTIFS($A$1:A938,"Câu "&amp;"*")-MID(A938,5,FIND(".",A938,1)-5),0)</f>
        <v>0</v>
      </c>
      <c r="D938" t="str">
        <f t="shared" si="51"/>
        <v/>
      </c>
      <c r="E938" t="str">
        <f>SUBSTITUTE(IF(LEFT(A938,3)="Câu",MID(A938,FIND(".",A938,1)+2,LEN(A938)),""),CHAR(34),CHAR(92)&amp;CHAR(34))</f>
        <v/>
      </c>
      <c r="F938" t="str">
        <f t="shared" si="52"/>
        <v/>
      </c>
      <c r="G938" t="str">
        <f>SUBSTITUTE(B939,CHAR(34),CHAR(92)&amp;CHAR(34))</f>
        <v>Bộ nạp ắc quy gặp sự cố kỹ thuật.</v>
      </c>
      <c r="H938" t="str">
        <f>SUBSTITUTE(B940,CHAR(34),CHAR(92)&amp;CHAR(34))</f>
        <v>Dầu bôi trơn bị thiếu.</v>
      </c>
      <c r="I938" t="str">
        <f>SUBSTITUTE(IF(LEFT(A941,3)="Câu","",B941),CHAR(34),CHAR(92)&amp;CHAR(34))</f>
        <v>Ý 2 và ý 3.</v>
      </c>
      <c r="J938" t="str">
        <f>SUBSTITUTE(IF(OR(LEFT(A942,3)="Câu",I938=""),"",IF(B942=0,"",B942)),CHAR(34),CHAR(92)&amp;CHAR(34))</f>
        <v/>
      </c>
      <c r="K938" t="str">
        <f>SUBSTITUTE(SUBSTITUTE(SUBSTITUTE(SUBSTITUTE(IFERROR(VLOOKUP("Câu "&amp;D938&amp;".",dapan!$E:$J,6,0),""),"1","A"),"2","B"),"3","C"),"4","D")</f>
        <v/>
      </c>
      <c r="P938" t="str">
        <f t="shared" si="49"/>
        <v/>
      </c>
      <c r="Q938" t="str">
        <f t="shared" si="50"/>
        <v/>
      </c>
    </row>
    <row r="939" spans="1:17" hidden="1" x14ac:dyDescent="0.25">
      <c r="A939">
        <v>2</v>
      </c>
      <c r="B939" t="s">
        <v>803</v>
      </c>
      <c r="C939">
        <f>IFERROR(COUNTIFS($A$1:A939,"Câu "&amp;"*")-MID(A939,5,FIND(".",A939,1)-5),0)</f>
        <v>0</v>
      </c>
      <c r="D939" t="str">
        <f t="shared" si="51"/>
        <v/>
      </c>
      <c r="E939" t="str">
        <f>SUBSTITUTE(IF(LEFT(A939,3)="Câu",MID(A939,FIND(".",A939,1)+2,LEN(A939)),""),CHAR(34),CHAR(92)&amp;CHAR(34))</f>
        <v/>
      </c>
      <c r="F939" t="str">
        <f t="shared" si="52"/>
        <v/>
      </c>
      <c r="G939" t="str">
        <f>SUBSTITUTE(B940,CHAR(34),CHAR(92)&amp;CHAR(34))</f>
        <v>Dầu bôi trơn bị thiếu.</v>
      </c>
      <c r="H939" t="str">
        <f>SUBSTITUTE(B941,CHAR(34),CHAR(92)&amp;CHAR(34))</f>
        <v>Ý 2 và ý 3.</v>
      </c>
      <c r="I939" t="str">
        <f>SUBSTITUTE(IF(LEFT(A942,3)="Câu","",B942),CHAR(34),CHAR(92)&amp;CHAR(34))</f>
        <v/>
      </c>
      <c r="J939" t="str">
        <f>SUBSTITUTE(IF(OR(LEFT(A943,3)="Câu",I939=""),"",IF(B943=0,"",B943)),CHAR(34),CHAR(92)&amp;CHAR(34))</f>
        <v/>
      </c>
      <c r="K939" t="str">
        <f>SUBSTITUTE(SUBSTITUTE(SUBSTITUTE(SUBSTITUTE(IFERROR(VLOOKUP("Câu "&amp;D939&amp;".",dapan!$E:$J,6,0),""),"1","A"),"2","B"),"3","C"),"4","D")</f>
        <v/>
      </c>
      <c r="P939" t="str">
        <f t="shared" si="49"/>
        <v/>
      </c>
      <c r="Q939" t="str">
        <f t="shared" si="50"/>
        <v/>
      </c>
    </row>
    <row r="940" spans="1:17" hidden="1" x14ac:dyDescent="0.25">
      <c r="A940">
        <v>3</v>
      </c>
      <c r="B940" t="s">
        <v>804</v>
      </c>
      <c r="C940">
        <f>IFERROR(COUNTIFS($A$1:A940,"Câu "&amp;"*")-MID(A940,5,FIND(".",A940,1)-5),0)</f>
        <v>0</v>
      </c>
      <c r="D940" t="str">
        <f t="shared" si="51"/>
        <v/>
      </c>
      <c r="E940" t="str">
        <f>SUBSTITUTE(IF(LEFT(A940,3)="Câu",MID(A940,FIND(".",A940,1)+2,LEN(A940)),""),CHAR(34),CHAR(92)&amp;CHAR(34))</f>
        <v/>
      </c>
      <c r="F940" t="str">
        <f t="shared" si="52"/>
        <v/>
      </c>
      <c r="G940" t="str">
        <f>SUBSTITUTE(B941,CHAR(34),CHAR(92)&amp;CHAR(34))</f>
        <v>Ý 2 và ý 3.</v>
      </c>
      <c r="H940" t="str">
        <f>SUBSTITUTE(B942,CHAR(34),CHAR(92)&amp;CHAR(34))</f>
        <v/>
      </c>
      <c r="I940" t="str">
        <f>SUBSTITUTE(IF(LEFT(A943,3)="Câu","",B943),CHAR(34),CHAR(92)&amp;CHAR(34))</f>
        <v>Thiếu dầu phanh, phanh tay đang hãm.</v>
      </c>
      <c r="J940" t="str">
        <f>SUBSTITUTE(IF(OR(LEFT(A944,3)="Câu",I940=""),"",IF(B944=0,"",B944)),CHAR(34),CHAR(92)&amp;CHAR(34))</f>
        <v>Hệ thống túi khí an toàn gặp sự cố.</v>
      </c>
      <c r="K940" t="str">
        <f>SUBSTITUTE(SUBSTITUTE(SUBSTITUTE(SUBSTITUTE(IFERROR(VLOOKUP("Câu "&amp;D940&amp;".",dapan!$E:$J,6,0),""),"1","A"),"2","B"),"3","C"),"4","D")</f>
        <v/>
      </c>
      <c r="P940" t="str">
        <f t="shared" si="49"/>
        <v/>
      </c>
      <c r="Q940" t="str">
        <f t="shared" si="50"/>
        <v/>
      </c>
    </row>
    <row r="941" spans="1:17" hidden="1" x14ac:dyDescent="0.25">
      <c r="A941">
        <v>4</v>
      </c>
      <c r="B941" t="s">
        <v>805</v>
      </c>
      <c r="C941">
        <f>IFERROR(COUNTIFS($A$1:A941,"Câu "&amp;"*")-MID(A941,5,FIND(".",A941,1)-5),0)</f>
        <v>0</v>
      </c>
      <c r="D941" t="str">
        <f t="shared" si="51"/>
        <v/>
      </c>
      <c r="E941" t="str">
        <f>SUBSTITUTE(IF(LEFT(A941,3)="Câu",MID(A941,FIND(".",A941,1)+2,LEN(A941)),""),CHAR(34),CHAR(92)&amp;CHAR(34))</f>
        <v/>
      </c>
      <c r="F941" t="str">
        <f t="shared" si="52"/>
        <v/>
      </c>
      <c r="G941" t="str">
        <f>SUBSTITUTE(B942,CHAR(34),CHAR(92)&amp;CHAR(34))</f>
        <v/>
      </c>
      <c r="H941" t="str">
        <f>SUBSTITUTE(B943,CHAR(34),CHAR(92)&amp;CHAR(34))</f>
        <v>Thiếu dầu phanh, phanh tay đang hãm.</v>
      </c>
      <c r="I941" t="str">
        <f>SUBSTITUTE(IF(LEFT(A944,3)="Câu","",B944),CHAR(34),CHAR(92)&amp;CHAR(34))</f>
        <v>Hệ thống túi khí an toàn gặp sự cố.</v>
      </c>
      <c r="J941" t="str">
        <f>SUBSTITUTE(IF(OR(LEFT(A945,3)="Câu",I941=""),"",IF(B945=0,"",B945)),CHAR(34),CHAR(92)&amp;CHAR(34))</f>
        <v xml:space="preserve"> Lái xe và người ngồi ghế trước chưa cài dây đai an toàn.</v>
      </c>
      <c r="K941" t="str">
        <f>SUBSTITUTE(SUBSTITUTE(SUBSTITUTE(SUBSTITUTE(IFERROR(VLOOKUP("Câu "&amp;D941&amp;".",dapan!$E:$J,6,0),""),"1","A"),"2","B"),"3","C"),"4","D")</f>
        <v/>
      </c>
      <c r="P941" t="str">
        <f t="shared" si="49"/>
        <v/>
      </c>
      <c r="Q941" t="str">
        <f t="shared" si="50"/>
        <v/>
      </c>
    </row>
    <row r="942" spans="1:17" x14ac:dyDescent="0.25">
      <c r="A942" t="s">
        <v>806</v>
      </c>
      <c r="C942">
        <f>IFERROR(COUNTIFS($A$1:A942,"Câu "&amp;"*")-MID(A942,5,FIND(".",A942,1)-5),0)</f>
        <v>0</v>
      </c>
      <c r="D942">
        <f t="shared" si="51"/>
        <v>230</v>
      </c>
      <c r="E942" t="str">
        <f>SUBSTITUTE(IF(LEFT(A942,3)="Câu",MID(A942,FIND(".",A942,1)+2,LEN(A942)),""),CHAR(34),CHAR(92)&amp;CHAR(34))</f>
        <v>Khi động cơ xe ô tô đã khởi động, bảng đồng hồ xuất hiện ký hiệu như hình vẽ dưới đây là báo hiệu tình trạng gì của xe ô tô?</v>
      </c>
      <c r="F942" t="str">
        <f t="shared" si="52"/>
        <v>q230.jpg</v>
      </c>
      <c r="G942" t="str">
        <f>SUBSTITUTE(B943,CHAR(34),CHAR(92)&amp;CHAR(34))</f>
        <v>Thiếu dầu phanh, phanh tay đang hãm.</v>
      </c>
      <c r="H942" t="str">
        <f>SUBSTITUTE(B944,CHAR(34),CHAR(92)&amp;CHAR(34))</f>
        <v>Hệ thống túi khí an toàn gặp sự cố.</v>
      </c>
      <c r="I942" t="str">
        <f>SUBSTITUTE(IF(LEFT(A945,3)="Câu","",B945),CHAR(34),CHAR(92)&amp;CHAR(34))</f>
        <v xml:space="preserve"> Lái xe và người ngồi ghế trước chưa cài dây đai an toàn.</v>
      </c>
      <c r="J942" t="str">
        <f>SUBSTITUTE(IF(OR(LEFT(A946,3)="Câu",I942=""),"",IF(B946=0,"",B946)),CHAR(34),CHAR(92)&amp;CHAR(34))</f>
        <v>Cửa đóng chưa chặt, có cửa chưa đóng.</v>
      </c>
      <c r="K942" t="str">
        <f ca="1">SUBSTITUTE(SUBSTITUTE(SUBSTITUTE(SUBSTITUTE(IFERROR(VLOOKUP("Câu "&amp;D942&amp;".",dapan!$E:$J,6,0),""),"1","A"),"2","B"),"3","C"),"4","D")</f>
        <v>C</v>
      </c>
      <c r="P942">
        <f t="shared" si="49"/>
        <v>230</v>
      </c>
      <c r="Q942" t="str">
        <f t="shared" ca="1" si="50"/>
        <v>{"num":230,"id":230,"q":"Khi động cơ xe ô tô đã khởi động, bảng đồng hồ xuất hiện ký hiệu như hình vẽ dưới đây là báo hiệu tình trạng gì của xe ô tô?","img":"q230.jpg","opts":{"A":"Thiếu dầu phanh, phanh tay đang hãm.","B":"Hệ thống túi khí an toàn gặp sự cố.","C":" Lái xe và người ngồi ghế trước chưa cài dây đai an toàn.","D":"Cửa đóng chưa chặt, có cửa chưa đóng."},"answer":"C"},</v>
      </c>
    </row>
    <row r="943" spans="1:17" hidden="1" x14ac:dyDescent="0.25">
      <c r="A943">
        <v>1</v>
      </c>
      <c r="B943" t="s">
        <v>807</v>
      </c>
      <c r="C943">
        <f>IFERROR(COUNTIFS($A$1:A943,"Câu "&amp;"*")-MID(A943,5,FIND(".",A943,1)-5),0)</f>
        <v>0</v>
      </c>
      <c r="D943" t="str">
        <f t="shared" si="51"/>
        <v/>
      </c>
      <c r="E943" t="str">
        <f>SUBSTITUTE(IF(LEFT(A943,3)="Câu",MID(A943,FIND(".",A943,1)+2,LEN(A943)),""),CHAR(34),CHAR(92)&amp;CHAR(34))</f>
        <v/>
      </c>
      <c r="F943" t="str">
        <f t="shared" si="52"/>
        <v/>
      </c>
      <c r="G943" t="str">
        <f>SUBSTITUTE(B944,CHAR(34),CHAR(92)&amp;CHAR(34))</f>
        <v>Hệ thống túi khí an toàn gặp sự cố.</v>
      </c>
      <c r="H943" t="str">
        <f>SUBSTITUTE(B945,CHAR(34),CHAR(92)&amp;CHAR(34))</f>
        <v xml:space="preserve"> Lái xe và người ngồi ghế trước chưa cài dây đai an toàn.</v>
      </c>
      <c r="I943" t="str">
        <f>SUBSTITUTE(IF(LEFT(A946,3)="Câu","",B946),CHAR(34),CHAR(92)&amp;CHAR(34))</f>
        <v>Cửa đóng chưa chặt, có cửa chưa đóng.</v>
      </c>
      <c r="J943" t="str">
        <f>SUBSTITUTE(IF(OR(LEFT(A947,3)="Câu",I943=""),"",IF(B947=0,"",B947)),CHAR(34),CHAR(92)&amp;CHAR(34))</f>
        <v/>
      </c>
      <c r="K943" t="str">
        <f>SUBSTITUTE(SUBSTITUTE(SUBSTITUTE(SUBSTITUTE(IFERROR(VLOOKUP("Câu "&amp;D943&amp;".",dapan!$E:$J,6,0),""),"1","A"),"2","B"),"3","C"),"4","D")</f>
        <v/>
      </c>
      <c r="P943" t="str">
        <f t="shared" si="49"/>
        <v/>
      </c>
      <c r="Q943" t="str">
        <f t="shared" si="50"/>
        <v/>
      </c>
    </row>
    <row r="944" spans="1:17" hidden="1" x14ac:dyDescent="0.25">
      <c r="A944">
        <v>2</v>
      </c>
      <c r="B944" t="s">
        <v>808</v>
      </c>
      <c r="C944">
        <f>IFERROR(COUNTIFS($A$1:A944,"Câu "&amp;"*")-MID(A944,5,FIND(".",A944,1)-5),0)</f>
        <v>0</v>
      </c>
      <c r="D944" t="str">
        <f t="shared" si="51"/>
        <v/>
      </c>
      <c r="E944" t="str">
        <f>SUBSTITUTE(IF(LEFT(A944,3)="Câu",MID(A944,FIND(".",A944,1)+2,LEN(A944)),""),CHAR(34),CHAR(92)&amp;CHAR(34))</f>
        <v/>
      </c>
      <c r="F944" t="str">
        <f t="shared" si="52"/>
        <v/>
      </c>
      <c r="G944" t="str">
        <f>SUBSTITUTE(B945,CHAR(34),CHAR(92)&amp;CHAR(34))</f>
        <v xml:space="preserve"> Lái xe và người ngồi ghế trước chưa cài dây đai an toàn.</v>
      </c>
      <c r="H944" t="str">
        <f>SUBSTITUTE(B946,CHAR(34),CHAR(92)&amp;CHAR(34))</f>
        <v>Cửa đóng chưa chặt, có cửa chưa đóng.</v>
      </c>
      <c r="I944" t="str">
        <f>SUBSTITUTE(IF(LEFT(A947,3)="Câu","",B947),CHAR(34),CHAR(92)&amp;CHAR(34))</f>
        <v/>
      </c>
      <c r="J944" t="str">
        <f>SUBSTITUTE(IF(OR(LEFT(A948,3)="Câu",I944=""),"",IF(B948=0,"",B948)),CHAR(34),CHAR(92)&amp;CHAR(34))</f>
        <v/>
      </c>
      <c r="K944" t="str">
        <f>SUBSTITUTE(SUBSTITUTE(SUBSTITUTE(SUBSTITUTE(IFERROR(VLOOKUP("Câu "&amp;D944&amp;".",dapan!$E:$J,6,0),""),"1","A"),"2","B"),"3","C"),"4","D")</f>
        <v/>
      </c>
      <c r="P944" t="str">
        <f t="shared" si="49"/>
        <v/>
      </c>
      <c r="Q944" t="str">
        <f t="shared" si="50"/>
        <v/>
      </c>
    </row>
    <row r="945" spans="1:17" hidden="1" x14ac:dyDescent="0.25">
      <c r="A945">
        <v>3</v>
      </c>
      <c r="B945" t="s">
        <v>809</v>
      </c>
      <c r="C945">
        <f>IFERROR(COUNTIFS($A$1:A945,"Câu "&amp;"*")-MID(A945,5,FIND(".",A945,1)-5),0)</f>
        <v>0</v>
      </c>
      <c r="D945" t="str">
        <f t="shared" si="51"/>
        <v/>
      </c>
      <c r="E945" t="str">
        <f>SUBSTITUTE(IF(LEFT(A945,3)="Câu",MID(A945,FIND(".",A945,1)+2,LEN(A945)),""),CHAR(34),CHAR(92)&amp;CHAR(34))</f>
        <v/>
      </c>
      <c r="F945" t="str">
        <f t="shared" si="52"/>
        <v/>
      </c>
      <c r="G945" t="str">
        <f>SUBSTITUTE(B946,CHAR(34),CHAR(92)&amp;CHAR(34))</f>
        <v>Cửa đóng chưa chặt, có cửa chưa đóng.</v>
      </c>
      <c r="H945" t="str">
        <f>SUBSTITUTE(B947,CHAR(34),CHAR(92)&amp;CHAR(34))</f>
        <v/>
      </c>
      <c r="I945" t="str">
        <f>SUBSTITUTE(IF(LEFT(A948,3)="Câu","",B948),CHAR(34),CHAR(92)&amp;CHAR(34))</f>
        <v>Báo hiệu thiếu dầu phanh.</v>
      </c>
      <c r="J945" t="str">
        <f>SUBSTITUTE(IF(OR(LEFT(A949,3)="Câu",I945=""),"",IF(B949=0,"",B949)),CHAR(34),CHAR(92)&amp;CHAR(34))</f>
        <v>Áp suất lốp không đủ.</v>
      </c>
      <c r="K945" t="str">
        <f>SUBSTITUTE(SUBSTITUTE(SUBSTITUTE(SUBSTITUTE(IFERROR(VLOOKUP("Câu "&amp;D945&amp;".",dapan!$E:$J,6,0),""),"1","A"),"2","B"),"3","C"),"4","D")</f>
        <v/>
      </c>
      <c r="P945" t="str">
        <f t="shared" si="49"/>
        <v/>
      </c>
      <c r="Q945" t="str">
        <f t="shared" si="50"/>
        <v/>
      </c>
    </row>
    <row r="946" spans="1:17" hidden="1" x14ac:dyDescent="0.25">
      <c r="A946">
        <v>4</v>
      </c>
      <c r="B946" t="s">
        <v>810</v>
      </c>
      <c r="C946">
        <f>IFERROR(COUNTIFS($A$1:A946,"Câu "&amp;"*")-MID(A946,5,FIND(".",A946,1)-5),0)</f>
        <v>0</v>
      </c>
      <c r="D946" t="str">
        <f t="shared" si="51"/>
        <v/>
      </c>
      <c r="E946" t="str">
        <f>SUBSTITUTE(IF(LEFT(A946,3)="Câu",MID(A946,FIND(".",A946,1)+2,LEN(A946)),""),CHAR(34),CHAR(92)&amp;CHAR(34))</f>
        <v/>
      </c>
      <c r="F946" t="str">
        <f t="shared" si="52"/>
        <v/>
      </c>
      <c r="G946" t="str">
        <f>SUBSTITUTE(B947,CHAR(34),CHAR(92)&amp;CHAR(34))</f>
        <v/>
      </c>
      <c r="H946" t="str">
        <f>SUBSTITUTE(B948,CHAR(34),CHAR(92)&amp;CHAR(34))</f>
        <v>Báo hiệu thiếu dầu phanh.</v>
      </c>
      <c r="I946" t="str">
        <f>SUBSTITUTE(IF(LEFT(A949,3)="Câu","",B949),CHAR(34),CHAR(92)&amp;CHAR(34))</f>
        <v>Áp suất lốp không đủ.</v>
      </c>
      <c r="J946" t="str">
        <f>SUBSTITUTE(IF(OR(LEFT(A950,3)="Câu",I946=""),"",IF(B950=0,"",B950)),CHAR(34),CHAR(92)&amp;CHAR(34))</f>
        <v>Đang sử dụng phanh đỗ.</v>
      </c>
      <c r="K946" t="str">
        <f>SUBSTITUTE(SUBSTITUTE(SUBSTITUTE(SUBSTITUTE(IFERROR(VLOOKUP("Câu "&amp;D946&amp;".",dapan!$E:$J,6,0),""),"1","A"),"2","B"),"3","C"),"4","D")</f>
        <v/>
      </c>
      <c r="P946" t="str">
        <f t="shared" si="49"/>
        <v/>
      </c>
      <c r="Q946" t="str">
        <f t="shared" si="50"/>
        <v/>
      </c>
    </row>
    <row r="947" spans="1:17" x14ac:dyDescent="0.25">
      <c r="A947" t="s">
        <v>811</v>
      </c>
      <c r="C947">
        <f>IFERROR(COUNTIFS($A$1:A947,"Câu "&amp;"*")-MID(A947,5,FIND(".",A947,1)-5),0)</f>
        <v>0</v>
      </c>
      <c r="D947">
        <f t="shared" si="51"/>
        <v>231</v>
      </c>
      <c r="E947" t="str">
        <f>SUBSTITUTE(IF(LEFT(A947,3)="Câu",MID(A947,FIND(".",A947,1)+2,LEN(A947)),""),CHAR(34),CHAR(92)&amp;CHAR(34))</f>
        <v>Khi động cơ xe ô tô đã khởi động, bảng đồng hồ xuất hiện ký hiệu như hình vẽ dưới đây là báo hiệu tình trạng gì của xe ô tô?</v>
      </c>
      <c r="F947" t="str">
        <f t="shared" si="52"/>
        <v>q231.jpg</v>
      </c>
      <c r="G947" t="str">
        <f>SUBSTITUTE(B948,CHAR(34),CHAR(92)&amp;CHAR(34))</f>
        <v>Báo hiệu thiếu dầu phanh.</v>
      </c>
      <c r="H947" t="str">
        <f>SUBSTITUTE(B949,CHAR(34),CHAR(92)&amp;CHAR(34))</f>
        <v>Áp suất lốp không đủ.</v>
      </c>
      <c r="I947" t="str">
        <f>SUBSTITUTE(IF(LEFT(A950,3)="Câu","",B950),CHAR(34),CHAR(92)&amp;CHAR(34))</f>
        <v>Đang sử dụng phanh đỗ.</v>
      </c>
      <c r="J947" t="str">
        <f>SUBSTITUTE(IF(OR(LEFT(A951,3)="Câu",I947=""),"",IF(B951=0,"",B951)),CHAR(34),CHAR(92)&amp;CHAR(34))</f>
        <v xml:space="preserve"> Sắp hết nhiên liệu.</v>
      </c>
      <c r="K947" t="str">
        <f ca="1">SUBSTITUTE(SUBSTITUTE(SUBSTITUTE(SUBSTITUTE(IFERROR(VLOOKUP("Câu "&amp;D947&amp;".",dapan!$E:$J,6,0),""),"1","A"),"2","B"),"3","C"),"4","D")</f>
        <v>D</v>
      </c>
      <c r="P947">
        <f t="shared" si="49"/>
        <v>231</v>
      </c>
      <c r="Q947" t="str">
        <f t="shared" ca="1" si="50"/>
        <v>{"num":231,"id":231,"q":"Khi động cơ xe ô tô đã khởi động, bảng đồng hồ xuất hiện ký hiệu như hình vẽ dưới đây là báo hiệu tình trạng gì của xe ô tô?","img":"q231.jpg","opts":{"A":"Báo hiệu thiếu dầu phanh.","B":"Áp suất lốp không đủ.","C":"Đang sử dụng phanh đỗ.","D":" Sắp hết nhiên liệu."},"answer":"D"},</v>
      </c>
    </row>
    <row r="948" spans="1:17" hidden="1" x14ac:dyDescent="0.25">
      <c r="A948">
        <v>1</v>
      </c>
      <c r="B948" t="s">
        <v>812</v>
      </c>
      <c r="C948">
        <f>IFERROR(COUNTIFS($A$1:A948,"Câu "&amp;"*")-MID(A948,5,FIND(".",A948,1)-5),0)</f>
        <v>0</v>
      </c>
      <c r="D948" t="str">
        <f t="shared" si="51"/>
        <v/>
      </c>
      <c r="E948" t="str">
        <f>SUBSTITUTE(IF(LEFT(A948,3)="Câu",MID(A948,FIND(".",A948,1)+2,LEN(A948)),""),CHAR(34),CHAR(92)&amp;CHAR(34))</f>
        <v/>
      </c>
      <c r="F948" t="str">
        <f t="shared" si="52"/>
        <v/>
      </c>
      <c r="G948" t="str">
        <f>SUBSTITUTE(B949,CHAR(34),CHAR(92)&amp;CHAR(34))</f>
        <v>Áp suất lốp không đủ.</v>
      </c>
      <c r="H948" t="str">
        <f>SUBSTITUTE(B950,CHAR(34),CHAR(92)&amp;CHAR(34))</f>
        <v>Đang sử dụng phanh đỗ.</v>
      </c>
      <c r="I948" t="str">
        <f>SUBSTITUTE(IF(LEFT(A951,3)="Câu","",B951),CHAR(34),CHAR(92)&amp;CHAR(34))</f>
        <v xml:space="preserve"> Sắp hết nhiên liệu.</v>
      </c>
      <c r="J948" t="str">
        <f>SUBSTITUTE(IF(OR(LEFT(A952,3)="Câu",I948=""),"",IF(B952=0,"",B952)),CHAR(34),CHAR(92)&amp;CHAR(34))</f>
        <v/>
      </c>
      <c r="K948" t="str">
        <f>SUBSTITUTE(SUBSTITUTE(SUBSTITUTE(SUBSTITUTE(IFERROR(VLOOKUP("Câu "&amp;D948&amp;".",dapan!$E:$J,6,0),""),"1","A"),"2","B"),"3","C"),"4","D")</f>
        <v/>
      </c>
      <c r="P948" t="str">
        <f t="shared" si="49"/>
        <v/>
      </c>
      <c r="Q948" t="str">
        <f t="shared" si="50"/>
        <v/>
      </c>
    </row>
    <row r="949" spans="1:17" hidden="1" x14ac:dyDescent="0.25">
      <c r="A949">
        <v>2</v>
      </c>
      <c r="B949" t="s">
        <v>813</v>
      </c>
      <c r="C949">
        <f>IFERROR(COUNTIFS($A$1:A949,"Câu "&amp;"*")-MID(A949,5,FIND(".",A949,1)-5),0)</f>
        <v>0</v>
      </c>
      <c r="D949" t="str">
        <f t="shared" si="51"/>
        <v/>
      </c>
      <c r="E949" t="str">
        <f>SUBSTITUTE(IF(LEFT(A949,3)="Câu",MID(A949,FIND(".",A949,1)+2,LEN(A949)),""),CHAR(34),CHAR(92)&amp;CHAR(34))</f>
        <v/>
      </c>
      <c r="F949" t="str">
        <f t="shared" si="52"/>
        <v/>
      </c>
      <c r="G949" t="str">
        <f>SUBSTITUTE(B950,CHAR(34),CHAR(92)&amp;CHAR(34))</f>
        <v>Đang sử dụng phanh đỗ.</v>
      </c>
      <c r="H949" t="str">
        <f>SUBSTITUTE(B951,CHAR(34),CHAR(92)&amp;CHAR(34))</f>
        <v xml:space="preserve"> Sắp hết nhiên liệu.</v>
      </c>
      <c r="I949" t="str">
        <f>SUBSTITUTE(IF(LEFT(A952,3)="Câu","",B952),CHAR(34),CHAR(92)&amp;CHAR(34))</f>
        <v/>
      </c>
      <c r="J949" t="str">
        <f>SUBSTITUTE(IF(OR(LEFT(A953,3)="Câu",I949=""),"",IF(B953=0,"",B953)),CHAR(34),CHAR(92)&amp;CHAR(34))</f>
        <v/>
      </c>
      <c r="K949" t="str">
        <f>SUBSTITUTE(SUBSTITUTE(SUBSTITUTE(SUBSTITUTE(IFERROR(VLOOKUP("Câu "&amp;D949&amp;".",dapan!$E:$J,6,0),""),"1","A"),"2","B"),"3","C"),"4","D")</f>
        <v/>
      </c>
      <c r="P949" t="str">
        <f t="shared" si="49"/>
        <v/>
      </c>
      <c r="Q949" t="str">
        <f t="shared" si="50"/>
        <v/>
      </c>
    </row>
    <row r="950" spans="1:17" hidden="1" x14ac:dyDescent="0.25">
      <c r="A950">
        <v>3</v>
      </c>
      <c r="B950" t="s">
        <v>797</v>
      </c>
      <c r="C950">
        <f>IFERROR(COUNTIFS($A$1:A950,"Câu "&amp;"*")-MID(A950,5,FIND(".",A950,1)-5),0)</f>
        <v>0</v>
      </c>
      <c r="D950" t="str">
        <f t="shared" si="51"/>
        <v/>
      </c>
      <c r="E950" t="str">
        <f>SUBSTITUTE(IF(LEFT(A950,3)="Câu",MID(A950,FIND(".",A950,1)+2,LEN(A950)),""),CHAR(34),CHAR(92)&amp;CHAR(34))</f>
        <v/>
      </c>
      <c r="F950" t="str">
        <f t="shared" si="52"/>
        <v/>
      </c>
      <c r="G950" t="str">
        <f>SUBSTITUTE(B951,CHAR(34),CHAR(92)&amp;CHAR(34))</f>
        <v xml:space="preserve"> Sắp hết nhiên liệu.</v>
      </c>
      <c r="H950" t="str">
        <f>SUBSTITUTE(B952,CHAR(34),CHAR(92)&amp;CHAR(34))</f>
        <v/>
      </c>
      <c r="I950" t="str">
        <f>SUBSTITUTE(IF(LEFT(A953,3)="Câu","",B953),CHAR(34),CHAR(92)&amp;CHAR(34))</f>
        <v>Xăng và dầu diesel.</v>
      </c>
      <c r="J950" t="str">
        <f>SUBSTITUTE(IF(OR(LEFT(A954,3)="Câu",I950=""),"",IF(B954=0,"",B954)),CHAR(34),CHAR(92)&amp;CHAR(34))</f>
        <v xml:space="preserve"> Xăng sinh học và khí sinh học.</v>
      </c>
      <c r="K950" t="str">
        <f>SUBSTITUTE(SUBSTITUTE(SUBSTITUTE(SUBSTITUTE(IFERROR(VLOOKUP("Câu "&amp;D950&amp;".",dapan!$E:$J,6,0),""),"1","A"),"2","B"),"3","C"),"4","D")</f>
        <v/>
      </c>
      <c r="P950" t="str">
        <f t="shared" si="49"/>
        <v/>
      </c>
      <c r="Q950" t="str">
        <f t="shared" si="50"/>
        <v/>
      </c>
    </row>
    <row r="951" spans="1:17" hidden="1" x14ac:dyDescent="0.25">
      <c r="A951">
        <v>4</v>
      </c>
      <c r="B951" t="s">
        <v>814</v>
      </c>
      <c r="C951">
        <f>IFERROR(COUNTIFS($A$1:A951,"Câu "&amp;"*")-MID(A951,5,FIND(".",A951,1)-5),0)</f>
        <v>0</v>
      </c>
      <c r="D951" t="str">
        <f t="shared" si="51"/>
        <v/>
      </c>
      <c r="E951" t="str">
        <f>SUBSTITUTE(IF(LEFT(A951,3)="Câu",MID(A951,FIND(".",A951,1)+2,LEN(A951)),""),CHAR(34),CHAR(92)&amp;CHAR(34))</f>
        <v/>
      </c>
      <c r="F951" t="str">
        <f t="shared" si="52"/>
        <v/>
      </c>
      <c r="G951" t="str">
        <f>SUBSTITUTE(B952,CHAR(34),CHAR(92)&amp;CHAR(34))</f>
        <v/>
      </c>
      <c r="H951" t="str">
        <f>SUBSTITUTE(B953,CHAR(34),CHAR(92)&amp;CHAR(34))</f>
        <v>Xăng và dầu diesel.</v>
      </c>
      <c r="I951" t="str">
        <f>SUBSTITUTE(IF(LEFT(A954,3)="Câu","",B954),CHAR(34),CHAR(92)&amp;CHAR(34))</f>
        <v xml:space="preserve"> Xăng sinh học và khí sinh học.</v>
      </c>
      <c r="J951" t="str">
        <f>SUBSTITUTE(IF(OR(LEFT(A955,3)="Câu",I951=""),"",IF(B955=0,"",B955)),CHAR(34),CHAR(92)&amp;CHAR(34))</f>
        <v>Ý 1 và ý 2.</v>
      </c>
      <c r="K951" t="str">
        <f>SUBSTITUTE(SUBSTITUTE(SUBSTITUTE(SUBSTITUTE(IFERROR(VLOOKUP("Câu "&amp;D951&amp;".",dapan!$E:$J,6,0),""),"1","A"),"2","B"),"3","C"),"4","D")</f>
        <v/>
      </c>
      <c r="P951" t="str">
        <f t="shared" si="49"/>
        <v/>
      </c>
      <c r="Q951" t="str">
        <f t="shared" si="50"/>
        <v/>
      </c>
    </row>
    <row r="952" spans="1:17" x14ac:dyDescent="0.25">
      <c r="A952" t="s">
        <v>815</v>
      </c>
      <c r="C952">
        <f>IFERROR(COUNTIFS($A$1:A952,"Câu "&amp;"*")-MID(A952,5,FIND(".",A952,1)-5),0)</f>
        <v>0</v>
      </c>
      <c r="D952">
        <f t="shared" si="51"/>
        <v>232</v>
      </c>
      <c r="E952" t="str">
        <f>SUBSTITUTE(IF(LEFT(A952,3)="Câu",MID(A952,FIND(".",A952,1)+2,LEN(A952)),""),CHAR(34),CHAR(92)&amp;CHAR(34))</f>
        <v>Trong các loại nhiên liệu dưới đây, loại nhiên liệu nào giảm thiểu ô nhiễm môi trường?</v>
      </c>
      <c r="G952" t="str">
        <f>SUBSTITUTE(B953,CHAR(34),CHAR(92)&amp;CHAR(34))</f>
        <v>Xăng và dầu diesel.</v>
      </c>
      <c r="H952" t="str">
        <f>SUBSTITUTE(B954,CHAR(34),CHAR(92)&amp;CHAR(34))</f>
        <v xml:space="preserve"> Xăng sinh học và khí sinh học.</v>
      </c>
      <c r="I952" t="str">
        <f>SUBSTITUTE(IF(LEFT(A955,3)="Câu","",B955),CHAR(34),CHAR(92)&amp;CHAR(34))</f>
        <v>Ý 1 và ý 2.</v>
      </c>
      <c r="J952" t="str">
        <f>SUBSTITUTE(IF(OR(LEFT(A956,3)="Câu",I952=""),"",IF(B956=0,"",B956)),CHAR(34),CHAR(92)&amp;CHAR(34))</f>
        <v/>
      </c>
      <c r="K952" t="str">
        <f ca="1">SUBSTITUTE(SUBSTITUTE(SUBSTITUTE(SUBSTITUTE(IFERROR(VLOOKUP("Câu "&amp;D952&amp;".",dapan!$E:$J,6,0),""),"1","A"),"2","B"),"3","C"),"4","D")</f>
        <v>B</v>
      </c>
      <c r="P952">
        <f t="shared" si="49"/>
        <v>232</v>
      </c>
      <c r="Q952" t="str">
        <f t="shared" ca="1" si="50"/>
        <v>{"num":232,"id":232,"q":"Trong các loại nhiên liệu dưới đây, loại nhiên liệu nào giảm thiểu ô nhiễm môi trường?","opts":{"A":"Xăng và dầu diesel.","B":" Xăng sinh học và khí sinh học.","C":"Ý 1 và ý 2."},"answer":"B"},</v>
      </c>
    </row>
    <row r="953" spans="1:17" hidden="1" x14ac:dyDescent="0.25">
      <c r="A953">
        <v>1</v>
      </c>
      <c r="B953" t="s">
        <v>816</v>
      </c>
      <c r="C953">
        <f>IFERROR(COUNTIFS($A$1:A953,"Câu "&amp;"*")-MID(A953,5,FIND(".",A953,1)-5),0)</f>
        <v>0</v>
      </c>
      <c r="D953" t="str">
        <f t="shared" si="51"/>
        <v/>
      </c>
      <c r="E953" t="str">
        <f>SUBSTITUTE(IF(LEFT(A953,3)="Câu",MID(A953,FIND(".",A953,1)+2,LEN(A953)),""),CHAR(34),CHAR(92)&amp;CHAR(34))</f>
        <v/>
      </c>
      <c r="G953" t="str">
        <f>SUBSTITUTE(B954,CHAR(34),CHAR(92)&amp;CHAR(34))</f>
        <v xml:space="preserve"> Xăng sinh học và khí sinh học.</v>
      </c>
      <c r="H953" t="str">
        <f>SUBSTITUTE(B955,CHAR(34),CHAR(92)&amp;CHAR(34))</f>
        <v>Ý 1 và ý 2.</v>
      </c>
      <c r="I953" t="str">
        <f>SUBSTITUTE(IF(LEFT(A956,3)="Câu","",B956),CHAR(34),CHAR(92)&amp;CHAR(34))</f>
        <v/>
      </c>
      <c r="J953" t="str">
        <f>SUBSTITUTE(IF(OR(LEFT(A957,3)="Câu",I953=""),"",IF(B957=0,"",B957)),CHAR(34),CHAR(92)&amp;CHAR(34))</f>
        <v/>
      </c>
      <c r="K953" t="str">
        <f>SUBSTITUTE(SUBSTITUTE(SUBSTITUTE(SUBSTITUTE(IFERROR(VLOOKUP("Câu "&amp;D953&amp;".",dapan!$E:$J,6,0),""),"1","A"),"2","B"),"3","C"),"4","D")</f>
        <v/>
      </c>
      <c r="P953" t="str">
        <f t="shared" si="49"/>
        <v/>
      </c>
      <c r="Q953" t="str">
        <f t="shared" si="50"/>
        <v/>
      </c>
    </row>
    <row r="954" spans="1:17" hidden="1" x14ac:dyDescent="0.25">
      <c r="A954">
        <v>2</v>
      </c>
      <c r="B954" t="s">
        <v>817</v>
      </c>
      <c r="C954">
        <f>IFERROR(COUNTIFS($A$1:A954,"Câu "&amp;"*")-MID(A954,5,FIND(".",A954,1)-5),0)</f>
        <v>0</v>
      </c>
      <c r="D954" t="str">
        <f t="shared" si="51"/>
        <v/>
      </c>
      <c r="E954" t="str">
        <f>SUBSTITUTE(IF(LEFT(A954,3)="Câu",MID(A954,FIND(".",A954,1)+2,LEN(A954)),""),CHAR(34),CHAR(92)&amp;CHAR(34))</f>
        <v/>
      </c>
      <c r="G954" t="str">
        <f>SUBSTITUTE(B955,CHAR(34),CHAR(92)&amp;CHAR(34))</f>
        <v>Ý 1 và ý 2.</v>
      </c>
      <c r="H954" t="str">
        <f>SUBSTITUTE(B956,CHAR(34),CHAR(92)&amp;CHAR(34))</f>
        <v/>
      </c>
      <c r="I954" t="str">
        <f>SUBSTITUTE(IF(LEFT(A957,3)="Câu","",B957),CHAR(34),CHAR(92)&amp;CHAR(34))</f>
        <v>Bảo dưỡng xe theo định kỳ và có kế hoạch lộ trình trước khi xe chạy.</v>
      </c>
      <c r="J954" t="str">
        <f>SUBSTITUTE(IF(OR(LEFT(A958,3)="Câu",I954=""),"",IF(B958=0,"",B958)),CHAR(34),CHAR(92)&amp;CHAR(34))</f>
        <v>Kiểm tra áp suất lốp theo quy định và chạy xe với tốc độ phù hợp với tình trạng mặt đường và mật độ giao thông trên đường.</v>
      </c>
      <c r="K954" t="str">
        <f>SUBSTITUTE(SUBSTITUTE(SUBSTITUTE(SUBSTITUTE(IFERROR(VLOOKUP("Câu "&amp;D954&amp;".",dapan!$E:$J,6,0),""),"1","A"),"2","B"),"3","C"),"4","D")</f>
        <v/>
      </c>
      <c r="P954" t="str">
        <f t="shared" si="49"/>
        <v/>
      </c>
      <c r="Q954" t="str">
        <f t="shared" si="50"/>
        <v/>
      </c>
    </row>
    <row r="955" spans="1:17" hidden="1" x14ac:dyDescent="0.25">
      <c r="A955">
        <v>3</v>
      </c>
      <c r="B955" t="s">
        <v>818</v>
      </c>
      <c r="C955">
        <f>IFERROR(COUNTIFS($A$1:A955,"Câu "&amp;"*")-MID(A955,5,FIND(".",A955,1)-5),0)</f>
        <v>0</v>
      </c>
      <c r="D955" t="str">
        <f t="shared" si="51"/>
        <v/>
      </c>
      <c r="E955" t="str">
        <f>SUBSTITUTE(IF(LEFT(A955,3)="Câu",MID(A955,FIND(".",A955,1)+2,LEN(A955)),""),CHAR(34),CHAR(92)&amp;CHAR(34))</f>
        <v/>
      </c>
      <c r="G955" t="str">
        <f>SUBSTITUTE(B956,CHAR(34),CHAR(92)&amp;CHAR(34))</f>
        <v/>
      </c>
      <c r="H955" t="str">
        <f>SUBSTITUTE(B957,CHAR(34),CHAR(92)&amp;CHAR(34))</f>
        <v>Bảo dưỡng xe theo định kỳ và có kế hoạch lộ trình trước khi xe chạy.</v>
      </c>
      <c r="I955" t="str">
        <f>SUBSTITUTE(IF(LEFT(A958,3)="Câu","",B958),CHAR(34),CHAR(92)&amp;CHAR(34))</f>
        <v>Kiểm tra áp suất lốp theo quy định và chạy xe với tốc độ phù hợp với tình trạng mặt đường và mật độ giao thông trên đường.</v>
      </c>
      <c r="J955" t="str">
        <f>SUBSTITUTE(IF(OR(LEFT(A959,3)="Câu",I955=""),"",IF(B959=0,"",B959)),CHAR(34),CHAR(92)&amp;CHAR(34))</f>
        <v xml:space="preserve"> Cả hai ý trên.</v>
      </c>
      <c r="K955" t="str">
        <f>SUBSTITUTE(SUBSTITUTE(SUBSTITUTE(SUBSTITUTE(IFERROR(VLOOKUP("Câu "&amp;D955&amp;".",dapan!$E:$J,6,0),""),"1","A"),"2","B"),"3","C"),"4","D")</f>
        <v/>
      </c>
      <c r="P955" t="str">
        <f t="shared" si="49"/>
        <v/>
      </c>
      <c r="Q955" t="str">
        <f t="shared" si="50"/>
        <v/>
      </c>
    </row>
    <row r="956" spans="1:17" x14ac:dyDescent="0.25">
      <c r="A956" t="s">
        <v>819</v>
      </c>
      <c r="C956">
        <f>IFERROR(COUNTIFS($A$1:A956,"Câu "&amp;"*")-MID(A956,5,FIND(".",A956,1)-5),0)</f>
        <v>0</v>
      </c>
      <c r="D956">
        <f t="shared" si="51"/>
        <v>233</v>
      </c>
      <c r="E956" t="str">
        <f>SUBSTITUTE(IF(LEFT(A956,3)="Câu",MID(A956,FIND(".",A956,1)+2,LEN(A956)),""),CHAR(34),CHAR(92)&amp;CHAR(34))</f>
        <v>Các biện pháp tiết kiệm nhiên liệu khi chạy xe?</v>
      </c>
      <c r="G956" t="str">
        <f>SUBSTITUTE(B957,CHAR(34),CHAR(92)&amp;CHAR(34))</f>
        <v>Bảo dưỡng xe theo định kỳ và có kế hoạch lộ trình trước khi xe chạy.</v>
      </c>
      <c r="H956" t="str">
        <f>SUBSTITUTE(B958,CHAR(34),CHAR(92)&amp;CHAR(34))</f>
        <v>Kiểm tra áp suất lốp theo quy định và chạy xe với tốc độ phù hợp với tình trạng mặt đường và mật độ giao thông trên đường.</v>
      </c>
      <c r="I956" t="str">
        <f>SUBSTITUTE(IF(LEFT(A959,3)="Câu","",B959),CHAR(34),CHAR(92)&amp;CHAR(34))</f>
        <v xml:space="preserve"> Cả hai ý trên.</v>
      </c>
      <c r="J956" t="str">
        <f>SUBSTITUTE(IF(OR(LEFT(A960,3)="Câu",I956=""),"",IF(B960=0,"",B960)),CHAR(34),CHAR(92)&amp;CHAR(34))</f>
        <v/>
      </c>
      <c r="K956" t="str">
        <f ca="1">SUBSTITUTE(SUBSTITUTE(SUBSTITUTE(SUBSTITUTE(IFERROR(VLOOKUP("Câu "&amp;D956&amp;".",dapan!$E:$J,6,0),""),"1","A"),"2","B"),"3","C"),"4","D")</f>
        <v>C</v>
      </c>
      <c r="P956">
        <f t="shared" si="49"/>
        <v>233</v>
      </c>
      <c r="Q956" t="str">
        <f t="shared" ca="1" si="50"/>
        <v>{"num":233,"id":233,"q":"Các biện pháp tiết kiệm nhiên liệu khi chạy xe?","opts":{"A":"Bảo dưỡng xe theo định kỳ và có kế hoạch lộ trình trước khi xe chạy.","B":"Kiểm tra áp suất lốp theo quy định và chạy xe với tốc độ phù hợp với tình trạng mặt đường và mật độ giao thông trên đường.","C":" Cả hai ý trên."},"answer":"C"},</v>
      </c>
    </row>
    <row r="957" spans="1:17" hidden="1" x14ac:dyDescent="0.25">
      <c r="A957">
        <v>1</v>
      </c>
      <c r="B957" t="s">
        <v>820</v>
      </c>
      <c r="C957">
        <f>IFERROR(COUNTIFS($A$1:A957,"Câu "&amp;"*")-MID(A957,5,FIND(".",A957,1)-5),0)</f>
        <v>0</v>
      </c>
      <c r="D957" t="str">
        <f t="shared" si="51"/>
        <v/>
      </c>
      <c r="E957" t="str">
        <f>SUBSTITUTE(IF(LEFT(A957,3)="Câu",MID(A957,FIND(".",A957,1)+2,LEN(A957)),""),CHAR(34),CHAR(92)&amp;CHAR(34))</f>
        <v/>
      </c>
      <c r="G957" t="str">
        <f>SUBSTITUTE(B958,CHAR(34),CHAR(92)&amp;CHAR(34))</f>
        <v>Kiểm tra áp suất lốp theo quy định và chạy xe với tốc độ phù hợp với tình trạng mặt đường và mật độ giao thông trên đường.</v>
      </c>
      <c r="H957" t="str">
        <f>SUBSTITUTE(B959,CHAR(34),CHAR(92)&amp;CHAR(34))</f>
        <v xml:space="preserve"> Cả hai ý trên.</v>
      </c>
      <c r="I957" t="str">
        <f>SUBSTITUTE(IF(LEFT(A960,3)="Câu","",B960),CHAR(34),CHAR(92)&amp;CHAR(34))</f>
        <v/>
      </c>
      <c r="J957" t="str">
        <f>SUBSTITUTE(IF(OR(LEFT(A961,3)="Câu",I957=""),"",IF(B961=0,"",B961)),CHAR(34),CHAR(92)&amp;CHAR(34))</f>
        <v/>
      </c>
      <c r="K957" t="str">
        <f>SUBSTITUTE(SUBSTITUTE(SUBSTITUTE(SUBSTITUTE(IFERROR(VLOOKUP("Câu "&amp;D957&amp;".",dapan!$E:$J,6,0),""),"1","A"),"2","B"),"3","C"),"4","D")</f>
        <v/>
      </c>
      <c r="P957" t="str">
        <f t="shared" si="49"/>
        <v/>
      </c>
      <c r="Q957" t="str">
        <f t="shared" si="50"/>
        <v/>
      </c>
    </row>
    <row r="958" spans="1:17" hidden="1" x14ac:dyDescent="0.25">
      <c r="A958">
        <v>2</v>
      </c>
      <c r="B958" t="s">
        <v>821</v>
      </c>
      <c r="C958">
        <f>IFERROR(COUNTIFS($A$1:A958,"Câu "&amp;"*")-MID(A958,5,FIND(".",A958,1)-5),0)</f>
        <v>0</v>
      </c>
      <c r="D958" t="str">
        <f t="shared" si="51"/>
        <v/>
      </c>
      <c r="E958" t="str">
        <f>SUBSTITUTE(IF(LEFT(A958,3)="Câu",MID(A958,FIND(".",A958,1)+2,LEN(A958)),""),CHAR(34),CHAR(92)&amp;CHAR(34))</f>
        <v/>
      </c>
      <c r="G958" t="str">
        <f>SUBSTITUTE(B959,CHAR(34),CHAR(92)&amp;CHAR(34))</f>
        <v xml:space="preserve"> Cả hai ý trên.</v>
      </c>
      <c r="H958" t="str">
        <f>SUBSTITUTE(B960,CHAR(34),CHAR(92)&amp;CHAR(34))</f>
        <v/>
      </c>
      <c r="I958" t="str">
        <f>SUBSTITUTE(IF(LEFT(A961,3)="Câu","",B961),CHAR(34),CHAR(92)&amp;CHAR(34))</f>
        <v xml:space="preserve"> Quan sát tình hình giao thông phía trước, phía sau và phía bên mở cửa xe, mở hé cánh cửa, nếu đảm bảo an toàn thì mở cửa ở mức cần thiết để xuống xe ô tô.</v>
      </c>
      <c r="J958" t="str">
        <f>SUBSTITUTE(IF(OR(LEFT(A962,3)="Câu",I958=""),"",IF(B962=0,"",B962)),CHAR(34),CHAR(92)&amp;CHAR(34))</f>
        <v>Mở cánh cửa và quan sát tình hình giao thông phía trước, nếu đảm bảo an toàn thì mở cửa ở mức cần thiết để xuống xe ô tô.</v>
      </c>
      <c r="K958" t="str">
        <f>SUBSTITUTE(SUBSTITUTE(SUBSTITUTE(SUBSTITUTE(IFERROR(VLOOKUP("Câu "&amp;D958&amp;".",dapan!$E:$J,6,0),""),"1","A"),"2","B"),"3","C"),"4","D")</f>
        <v/>
      </c>
      <c r="P958" t="str">
        <f t="shared" si="49"/>
        <v/>
      </c>
      <c r="Q958" t="str">
        <f t="shared" si="50"/>
        <v/>
      </c>
    </row>
    <row r="959" spans="1:17" hidden="1" x14ac:dyDescent="0.25">
      <c r="A959">
        <v>3</v>
      </c>
      <c r="B959" t="s">
        <v>32</v>
      </c>
      <c r="C959">
        <f>IFERROR(COUNTIFS($A$1:A959,"Câu "&amp;"*")-MID(A959,5,FIND(".",A959,1)-5),0)</f>
        <v>0</v>
      </c>
      <c r="D959" t="str">
        <f t="shared" si="51"/>
        <v/>
      </c>
      <c r="E959" t="str">
        <f>SUBSTITUTE(IF(LEFT(A959,3)="Câu",MID(A959,FIND(".",A959,1)+2,LEN(A959)),""),CHAR(34),CHAR(92)&amp;CHAR(34))</f>
        <v/>
      </c>
      <c r="G959" t="str">
        <f>SUBSTITUTE(B960,CHAR(34),CHAR(92)&amp;CHAR(34))</f>
        <v/>
      </c>
      <c r="H959" t="str">
        <f>SUBSTITUTE(B961,CHAR(34),CHAR(92)&amp;CHAR(34))</f>
        <v xml:space="preserve"> Quan sát tình hình giao thông phía trước, phía sau và phía bên mở cửa xe, mở hé cánh cửa, nếu đảm bảo an toàn thì mở cửa ở mức cần thiết để xuống xe ô tô.</v>
      </c>
      <c r="I959" t="str">
        <f>SUBSTITUTE(IF(LEFT(A962,3)="Câu","",B962),CHAR(34),CHAR(92)&amp;CHAR(34))</f>
        <v>Mở cánh cửa và quan sát tình hình giao thông phía trước, nếu đảm bảo an toàn thì mở cửa ở mức cần thiết để xuống xe ô tô.</v>
      </c>
      <c r="J959" t="str">
        <f>SUBSTITUTE(IF(OR(LEFT(A963,3)="Câu",I959=""),"",IF(B963=0,"",B963)),CHAR(34),CHAR(92)&amp;CHAR(34))</f>
        <v>Mở cánh cửa hết hành trình và nhanh chóng ra khỏi xe ô tô.</v>
      </c>
      <c r="K959" t="str">
        <f>SUBSTITUTE(SUBSTITUTE(SUBSTITUTE(SUBSTITUTE(IFERROR(VLOOKUP("Câu "&amp;D959&amp;".",dapan!$E:$J,6,0),""),"1","A"),"2","B"),"3","C"),"4","D")</f>
        <v/>
      </c>
      <c r="P959" t="str">
        <f t="shared" si="49"/>
        <v/>
      </c>
      <c r="Q959" t="str">
        <f t="shared" si="50"/>
        <v/>
      </c>
    </row>
    <row r="960" spans="1:17" x14ac:dyDescent="0.25">
      <c r="A960" t="s">
        <v>822</v>
      </c>
      <c r="C960">
        <f>IFERROR(COUNTIFS($A$1:A960,"Câu "&amp;"*")-MID(A960,5,FIND(".",A960,1)-5),0)</f>
        <v>0</v>
      </c>
      <c r="D960">
        <f t="shared" si="51"/>
        <v>234</v>
      </c>
      <c r="E960" t="str">
        <f>SUBSTITUTE(IF(LEFT(A960,3)="Câu",MID(A960,FIND(".",A960,1)+2,LEN(A960)),""),CHAR(34),CHAR(92)&amp;CHAR(34))</f>
        <v>Khi đã đỗ xe ô tô sát lề đường bên phải, người lái xe phải thực hiện các thao tác nào dưới đây khi mở cửa xuống xe để đảm bảo an toàn?</v>
      </c>
      <c r="G960" t="str">
        <f>SUBSTITUTE(B961,CHAR(34),CHAR(92)&amp;CHAR(34))</f>
        <v xml:space="preserve"> Quan sát tình hình giao thông phía trước, phía sau và phía bên mở cửa xe, mở hé cánh cửa, nếu đảm bảo an toàn thì mở cửa ở mức cần thiết để xuống xe ô tô.</v>
      </c>
      <c r="H960" t="str">
        <f>SUBSTITUTE(B962,CHAR(34),CHAR(92)&amp;CHAR(34))</f>
        <v>Mở cánh cửa và quan sát tình hình giao thông phía trước, nếu đảm bảo an toàn thì mở cửa ở mức cần thiết để xuống xe ô tô.</v>
      </c>
      <c r="I960" t="str">
        <f>SUBSTITUTE(IF(LEFT(A963,3)="Câu","",B963),CHAR(34),CHAR(92)&amp;CHAR(34))</f>
        <v>Mở cánh cửa hết hành trình và nhanh chóng ra khỏi xe ô tô.</v>
      </c>
      <c r="J960" t="str">
        <f>SUBSTITUTE(IF(OR(LEFT(A964,3)="Câu",I960=""),"",IF(B964=0,"",B964)),CHAR(34),CHAR(92)&amp;CHAR(34))</f>
        <v/>
      </c>
      <c r="K960" t="str">
        <f ca="1">SUBSTITUTE(SUBSTITUTE(SUBSTITUTE(SUBSTITUTE(IFERROR(VLOOKUP("Câu "&amp;D960&amp;".",dapan!$E:$J,6,0),""),"1","A"),"2","B"),"3","C"),"4","D")</f>
        <v>A</v>
      </c>
      <c r="P960">
        <f t="shared" si="49"/>
        <v>234</v>
      </c>
      <c r="Q960" t="str">
        <f t="shared" ca="1" si="50"/>
        <v>{"num":234,"id":234,"q":"Khi đã đỗ xe ô tô sát lề đường bên phải, người lái xe phải thực hiện các thao tác nào dưới đây khi mở cửa xuống xe để đảm bảo an toàn?","opts":{"A":" Quan sát tình hình giao thông phía trước, phía sau và phía bên mở cửa xe, mở hé cánh cửa, nếu đảm bảo an toàn thì mở cửa ở mức cần thiết để xuống xe ô tô.","B":"Mở cánh cửa và quan sát tình hình giao thông phía trước, nếu đảm bảo an toàn thì mở cửa ở mức cần thiết để xuống xe ô tô.","C":"Mở cánh cửa hết hành trình và nhanh chóng ra khỏi xe ô tô."},"answer":"A"},</v>
      </c>
    </row>
    <row r="961" spans="1:17" hidden="1" x14ac:dyDescent="0.25">
      <c r="A961">
        <v>1</v>
      </c>
      <c r="B961" t="s">
        <v>823</v>
      </c>
      <c r="C961">
        <f>IFERROR(COUNTIFS($A$1:A961,"Câu "&amp;"*")-MID(A961,5,FIND(".",A961,1)-5),0)</f>
        <v>0</v>
      </c>
      <c r="D961" t="str">
        <f t="shared" si="51"/>
        <v/>
      </c>
      <c r="E961" t="str">
        <f>SUBSTITUTE(IF(LEFT(A961,3)="Câu",MID(A961,FIND(".",A961,1)+2,LEN(A961)),""),CHAR(34),CHAR(92)&amp;CHAR(34))</f>
        <v/>
      </c>
      <c r="G961" t="str">
        <f>SUBSTITUTE(B962,CHAR(34),CHAR(92)&amp;CHAR(34))</f>
        <v>Mở cánh cửa và quan sát tình hình giao thông phía trước, nếu đảm bảo an toàn thì mở cửa ở mức cần thiết để xuống xe ô tô.</v>
      </c>
      <c r="H961" t="str">
        <f>SUBSTITUTE(B963,CHAR(34),CHAR(92)&amp;CHAR(34))</f>
        <v>Mở cánh cửa hết hành trình và nhanh chóng ra khỏi xe ô tô.</v>
      </c>
      <c r="I961" t="str">
        <f>SUBSTITUTE(IF(LEFT(A964,3)="Câu","",B964),CHAR(34),CHAR(92)&amp;CHAR(34))</f>
        <v/>
      </c>
      <c r="J961" t="str">
        <f>SUBSTITUTE(IF(OR(LEFT(A965,3)="Câu",I961=""),"",IF(B965=0,"",B965)),CHAR(34),CHAR(92)&amp;CHAR(34))</f>
        <v/>
      </c>
      <c r="K961" t="str">
        <f>SUBSTITUTE(SUBSTITUTE(SUBSTITUTE(SUBSTITUTE(IFERROR(VLOOKUP("Câu "&amp;D961&amp;".",dapan!$E:$J,6,0),""),"1","A"),"2","B"),"3","C"),"4","D")</f>
        <v/>
      </c>
      <c r="P961" t="str">
        <f t="shared" si="49"/>
        <v/>
      </c>
      <c r="Q961" t="str">
        <f t="shared" si="50"/>
        <v/>
      </c>
    </row>
    <row r="962" spans="1:17" hidden="1" x14ac:dyDescent="0.25">
      <c r="A962">
        <v>2</v>
      </c>
      <c r="B962" t="s">
        <v>824</v>
      </c>
      <c r="C962">
        <f>IFERROR(COUNTIFS($A$1:A962,"Câu "&amp;"*")-MID(A962,5,FIND(".",A962,1)-5),0)</f>
        <v>0</v>
      </c>
      <c r="D962" t="str">
        <f t="shared" si="51"/>
        <v/>
      </c>
      <c r="E962" t="str">
        <f>SUBSTITUTE(IF(LEFT(A962,3)="Câu",MID(A962,FIND(".",A962,1)+2,LEN(A962)),""),CHAR(34),CHAR(92)&amp;CHAR(34))</f>
        <v/>
      </c>
      <c r="G962" t="str">
        <f>SUBSTITUTE(B963,CHAR(34),CHAR(92)&amp;CHAR(34))</f>
        <v>Mở cánh cửa hết hành trình và nhanh chóng ra khỏi xe ô tô.</v>
      </c>
      <c r="H962" t="str">
        <f>SUBSTITUTE(B964,CHAR(34),CHAR(92)&amp;CHAR(34))</f>
        <v/>
      </c>
      <c r="I962" t="str">
        <f>SUBSTITUTE(IF(LEFT(A965,3)="Câu","",B965),CHAR(34),CHAR(92)&amp;CHAR(34))</f>
        <v>Giảm tốc độ, dừng lại trước vạch dừng, quan sát cả hai phía, nếu không có tàu đi tới, tăng ga nhẹ vượt qua đường sắt.</v>
      </c>
      <c r="J962" t="str">
        <f>SUBSTITUTE(IF(OR(LEFT(A966,3)="Câu",I962=""),"",IF(B966=0,"",B966)),CHAR(34),CHAR(92)&amp;CHAR(34))</f>
        <v>Nếu thấy có tàu đi tới thì dừng lại trước vạch dừng, chỉ khi tàu đi qua mới được đi.</v>
      </c>
      <c r="K962" t="str">
        <f>SUBSTITUTE(SUBSTITUTE(SUBSTITUTE(SUBSTITUTE(IFERROR(VLOOKUP("Câu "&amp;D962&amp;".",dapan!$E:$J,6,0),""),"1","A"),"2","B"),"3","C"),"4","D")</f>
        <v/>
      </c>
      <c r="P962" t="str">
        <f t="shared" si="49"/>
        <v/>
      </c>
      <c r="Q962" t="str">
        <f t="shared" si="50"/>
        <v/>
      </c>
    </row>
    <row r="963" spans="1:17" hidden="1" x14ac:dyDescent="0.25">
      <c r="A963">
        <v>3</v>
      </c>
      <c r="B963" t="s">
        <v>825</v>
      </c>
      <c r="C963">
        <f>IFERROR(COUNTIFS($A$1:A963,"Câu "&amp;"*")-MID(A963,5,FIND(".",A963,1)-5),0)</f>
        <v>0</v>
      </c>
      <c r="D963" t="str">
        <f t="shared" si="51"/>
        <v/>
      </c>
      <c r="E963" t="str">
        <f>SUBSTITUTE(IF(LEFT(A963,3)="Câu",MID(A963,FIND(".",A963,1)+2,LEN(A963)),""),CHAR(34),CHAR(92)&amp;CHAR(34))</f>
        <v/>
      </c>
      <c r="G963" t="str">
        <f>SUBSTITUTE(B964,CHAR(34),CHAR(92)&amp;CHAR(34))</f>
        <v/>
      </c>
      <c r="H963" t="str">
        <f>SUBSTITUTE(B965,CHAR(34),CHAR(92)&amp;CHAR(34))</f>
        <v>Giảm tốc độ, dừng lại trước vạch dừng, quan sát cả hai phía, nếu không có tàu đi tới, tăng ga nhẹ vượt qua đường sắt.</v>
      </c>
      <c r="I963" t="str">
        <f>SUBSTITUTE(IF(LEFT(A966,3)="Câu","",B966),CHAR(34),CHAR(92)&amp;CHAR(34))</f>
        <v>Nếu thấy có tàu đi tới thì dừng lại trước vạch dừng, chỉ khi tàu đi qua mới được đi.</v>
      </c>
      <c r="J963" t="str">
        <f>SUBSTITUTE(IF(OR(LEFT(A967,3)="Câu",I963=""),"",IF(B967=0,"",B967)),CHAR(34),CHAR(92)&amp;CHAR(34))</f>
        <v xml:space="preserve"> Cả hai ý trên.</v>
      </c>
      <c r="K963" t="str">
        <f>SUBSTITUTE(SUBSTITUTE(SUBSTITUTE(SUBSTITUTE(IFERROR(VLOOKUP("Câu "&amp;D963&amp;".",dapan!$E:$J,6,0),""),"1","A"),"2","B"),"3","C"),"4","D")</f>
        <v/>
      </c>
      <c r="P963" t="str">
        <f t="shared" ref="P963:P1026" si="53">D963</f>
        <v/>
      </c>
      <c r="Q963" t="str">
        <f t="shared" ref="Q963:Q1026" si="54">IF(D963="","",CHAR(123)&amp;CHAR(34)&amp;"num"&amp;CHAR(34)&amp;":"&amp;P963&amp;","&amp;CHAR(34)&amp;"id"&amp;CHAR(34)&amp;":"&amp;D963&amp;","
&amp;CHAR(34)&amp;"q"&amp;CHAR(34)&amp;":"&amp;CHAR(34)&amp;E963&amp;CHAR(34)&amp;","
&amp;IF(F963="","",CHAR(34)&amp;"img"&amp;CHAR(34)&amp;":"&amp;CHAR(34)&amp;F963&amp;CHAR(34)&amp;",")
&amp;CHAR(34)&amp;"opts"&amp;CHAR(34)&amp;":"&amp;CHAR(123)&amp;CHAR(34)&amp;"A"&amp;CHAR(34)&amp;":"&amp;CHAR(34)&amp;G963&amp;CHAR(34)&amp;","&amp;CHAR(34)&amp;"B"&amp;CHAR(34)&amp;":"&amp;CHAR(34)&amp;H963&amp;CHAR(34)
&amp;IF(I963="","",","&amp;CHAR(34)&amp;"C"&amp;CHAR(34)&amp;":"&amp;CHAR(34)&amp;I963&amp;CHAR(34))&amp;IF(J963="","",","&amp;CHAR(34)&amp;"D"&amp;CHAR(34)&amp;":"&amp;CHAR(34)&amp;J963&amp;CHAR(34))&amp;CHAR(125)&amp;","
&amp;CHAR(34)&amp;"answer"&amp;CHAR(34)&amp;":"&amp;CHAR(34)&amp;K963&amp;CHAR(34)
&amp;IF(L963="","",","&amp;CHAR(34)&amp;"danger"&amp;CHAR(34)&amp;":"&amp;CHAR(34)&amp;"true"&amp;CHAR(34))
&amp;IF(M963="","",","&amp;CHAR(34)&amp;"explain"&amp;CHAR(34)&amp;":"&amp;CHAR(34)&amp;M963&amp;CHAR(34))
&amp;IF(N963="","",","&amp;CHAR(34)&amp;"explainImg"&amp;CHAR(34)&amp;":"&amp;CHAR(34)&amp;N963&amp;CHAR(34))
&amp;IF(O963="","",","&amp;CHAR(34)&amp;"shuffle"&amp;CHAR(34)&amp;":"&amp;CHAR(34)&amp;"false"&amp;CHAR(34))&amp;CHAR(125)&amp;",")</f>
        <v/>
      </c>
    </row>
    <row r="964" spans="1:17" x14ac:dyDescent="0.25">
      <c r="A964" t="s">
        <v>826</v>
      </c>
      <c r="C964">
        <f>IFERROR(COUNTIFS($A$1:A964,"Câu "&amp;"*")-MID(A964,5,FIND(".",A964,1)-5),0)</f>
        <v>0</v>
      </c>
      <c r="D964">
        <f t="shared" si="51"/>
        <v>235</v>
      </c>
      <c r="E964" t="str">
        <f>SUBSTITUTE(IF(LEFT(A964,3)="Câu",MID(A964,FIND(".",A964,1)+2,LEN(A964)),""),CHAR(34),CHAR(92)&amp;CHAR(34))</f>
        <v>Khi điều khiển xe ô tô qua đường sắt không có rào chắn, không có người điều khiển giao thông, người lái xe phải xử lý như thế nào?</v>
      </c>
      <c r="G964" t="str">
        <f>SUBSTITUTE(B965,CHAR(34),CHAR(92)&amp;CHAR(34))</f>
        <v>Giảm tốc độ, dừng lại trước vạch dừng, quan sát cả hai phía, nếu không có tàu đi tới, tăng ga nhẹ vượt qua đường sắt.</v>
      </c>
      <c r="H964" t="str">
        <f>SUBSTITUTE(B966,CHAR(34),CHAR(92)&amp;CHAR(34))</f>
        <v>Nếu thấy có tàu đi tới thì dừng lại trước vạch dừng, chỉ khi tàu đi qua mới được đi.</v>
      </c>
      <c r="I964" t="str">
        <f>SUBSTITUTE(IF(LEFT(A967,3)="Câu","",B967),CHAR(34),CHAR(92)&amp;CHAR(34))</f>
        <v xml:space="preserve"> Cả hai ý trên.</v>
      </c>
      <c r="J964" t="str">
        <f>SUBSTITUTE(IF(OR(LEFT(A968,3)="Câu",I964=""),"",IF(B968=0,"",B968)),CHAR(34),CHAR(92)&amp;CHAR(34))</f>
        <v/>
      </c>
      <c r="K964" t="str">
        <f ca="1">SUBSTITUTE(SUBSTITUTE(SUBSTITUTE(SUBSTITUTE(IFERROR(VLOOKUP("Câu "&amp;D964&amp;".",dapan!$E:$J,6,0),""),"1","A"),"2","B"),"3","C"),"4","D")</f>
        <v>C</v>
      </c>
      <c r="P964">
        <f t="shared" si="53"/>
        <v>235</v>
      </c>
      <c r="Q964" t="str">
        <f t="shared" ca="1" si="54"/>
        <v>{"num":235,"id":235,"q":"Khi điều khiển xe ô tô qua đường sắt không có rào chắn, không có người điều khiển giao thông, người lái xe phải xử lý như thế nào?","opts":{"A":"Giảm tốc độ, dừng lại trước vạch dừng, quan sát cả hai phía, nếu không có tàu đi tới, tăng ga nhẹ vượt qua đường sắt.","B":"Nếu thấy có tàu đi tới thì dừng lại trước vạch dừng, chỉ khi tàu đi qua mới được đi.","C":" Cả hai ý trên."},"answer":"C"},</v>
      </c>
    </row>
    <row r="965" spans="1:17" hidden="1" x14ac:dyDescent="0.25">
      <c r="A965">
        <v>1</v>
      </c>
      <c r="B965" t="s">
        <v>827</v>
      </c>
      <c r="C965">
        <f>IFERROR(COUNTIFS($A$1:A965,"Câu "&amp;"*")-MID(A965,5,FIND(".",A965,1)-5),0)</f>
        <v>0</v>
      </c>
      <c r="D965" t="str">
        <f t="shared" si="51"/>
        <v/>
      </c>
      <c r="E965" t="str">
        <f>SUBSTITUTE(IF(LEFT(A965,3)="Câu",MID(A965,FIND(".",A965,1)+2,LEN(A965)),""),CHAR(34),CHAR(92)&amp;CHAR(34))</f>
        <v/>
      </c>
      <c r="G965" t="str">
        <f>SUBSTITUTE(B966,CHAR(34),CHAR(92)&amp;CHAR(34))</f>
        <v>Nếu thấy có tàu đi tới thì dừng lại trước vạch dừng, chỉ khi tàu đi qua mới được đi.</v>
      </c>
      <c r="H965" t="str">
        <f>SUBSTITUTE(B967,CHAR(34),CHAR(92)&amp;CHAR(34))</f>
        <v xml:space="preserve"> Cả hai ý trên.</v>
      </c>
      <c r="I965" t="str">
        <f>SUBSTITUTE(IF(LEFT(A968,3)="Câu","",B968),CHAR(34),CHAR(92)&amp;CHAR(34))</f>
        <v/>
      </c>
      <c r="J965" t="str">
        <f>SUBSTITUTE(IF(OR(LEFT(A969,3)="Câu",I965=""),"",IF(B969=0,"",B969)),CHAR(34),CHAR(92)&amp;CHAR(34))</f>
        <v/>
      </c>
      <c r="K965" t="str">
        <f>SUBSTITUTE(SUBSTITUTE(SUBSTITUTE(SUBSTITUTE(IFERROR(VLOOKUP("Câu "&amp;D965&amp;".",dapan!$E:$J,6,0),""),"1","A"),"2","B"),"3","C"),"4","D")</f>
        <v/>
      </c>
      <c r="P965" t="str">
        <f t="shared" si="53"/>
        <v/>
      </c>
      <c r="Q965" t="str">
        <f t="shared" si="54"/>
        <v/>
      </c>
    </row>
    <row r="966" spans="1:17" hidden="1" x14ac:dyDescent="0.25">
      <c r="A966">
        <v>2</v>
      </c>
      <c r="B966" t="s">
        <v>828</v>
      </c>
      <c r="C966">
        <f>IFERROR(COUNTIFS($A$1:A966,"Câu "&amp;"*")-MID(A966,5,FIND(".",A966,1)-5),0)</f>
        <v>0</v>
      </c>
      <c r="D966" t="str">
        <f t="shared" si="51"/>
        <v/>
      </c>
      <c r="E966" t="str">
        <f>SUBSTITUTE(IF(LEFT(A966,3)="Câu",MID(A966,FIND(".",A966,1)+2,LEN(A966)),""),CHAR(34),CHAR(92)&amp;CHAR(34))</f>
        <v/>
      </c>
      <c r="G966" t="str">
        <f>SUBSTITUTE(B967,CHAR(34),CHAR(92)&amp;CHAR(34))</f>
        <v xml:space="preserve"> Cả hai ý trên.</v>
      </c>
      <c r="H966" t="str">
        <f>SUBSTITUTE(B968,CHAR(34),CHAR(92)&amp;CHAR(34))</f>
        <v/>
      </c>
      <c r="I966" t="str">
        <f>SUBSTITUTE(IF(LEFT(A969,3)="Câu","",B969),CHAR(34),CHAR(92)&amp;CHAR(34))</f>
        <v>Không đúng.</v>
      </c>
      <c r="J966" t="str">
        <f>SUBSTITUTE(IF(OR(LEFT(A970,3)="Câu",I966=""),"",IF(B970=0,"",B970)),CHAR(34),CHAR(92)&amp;CHAR(34))</f>
        <v xml:space="preserve"> Đúng.</v>
      </c>
      <c r="K966" t="str">
        <f>SUBSTITUTE(SUBSTITUTE(SUBSTITUTE(SUBSTITUTE(IFERROR(VLOOKUP("Câu "&amp;D966&amp;".",dapan!$E:$J,6,0),""),"1","A"),"2","B"),"3","C"),"4","D")</f>
        <v/>
      </c>
      <c r="P966" t="str">
        <f t="shared" si="53"/>
        <v/>
      </c>
      <c r="Q966" t="str">
        <f t="shared" si="54"/>
        <v/>
      </c>
    </row>
    <row r="967" spans="1:17" hidden="1" x14ac:dyDescent="0.25">
      <c r="A967">
        <v>3</v>
      </c>
      <c r="B967" t="s">
        <v>32</v>
      </c>
      <c r="C967">
        <f>IFERROR(COUNTIFS($A$1:A967,"Câu "&amp;"*")-MID(A967,5,FIND(".",A967,1)-5),0)</f>
        <v>0</v>
      </c>
      <c r="D967" t="str">
        <f t="shared" si="51"/>
        <v/>
      </c>
      <c r="E967" t="str">
        <f>SUBSTITUTE(IF(LEFT(A967,3)="Câu",MID(A967,FIND(".",A967,1)+2,LEN(A967)),""),CHAR(34),CHAR(92)&amp;CHAR(34))</f>
        <v/>
      </c>
      <c r="G967" t="str">
        <f>SUBSTITUTE(B968,CHAR(34),CHAR(92)&amp;CHAR(34))</f>
        <v/>
      </c>
      <c r="H967" t="str">
        <f>SUBSTITUTE(B969,CHAR(34),CHAR(92)&amp;CHAR(34))</f>
        <v>Không đúng.</v>
      </c>
      <c r="I967" t="str">
        <f>SUBSTITUTE(IF(LEFT(A970,3)="Câu","",B970),CHAR(34),CHAR(92)&amp;CHAR(34))</f>
        <v xml:space="preserve"> Đúng.</v>
      </c>
      <c r="J967" t="str">
        <f>SUBSTITUTE(IF(OR(LEFT(A971,3)="Câu",I967=""),"",IF(B971=0,"",B971)),CHAR(34),CHAR(92)&amp;CHAR(34))</f>
        <v>Không cần thiết, vì nếu nhìn thấy tàu còn cách xa, người lái xe có thể tăng số cao, tăng ga để cho xe nhanh chóng vượt qua đường sắt.</v>
      </c>
      <c r="K967" t="str">
        <f>SUBSTITUTE(SUBSTITUTE(SUBSTITUTE(SUBSTITUTE(IFERROR(VLOOKUP("Câu "&amp;D967&amp;".",dapan!$E:$J,6,0),""),"1","A"),"2","B"),"3","C"),"4","D")</f>
        <v/>
      </c>
      <c r="P967" t="str">
        <f t="shared" si="53"/>
        <v/>
      </c>
      <c r="Q967" t="str">
        <f t="shared" si="54"/>
        <v/>
      </c>
    </row>
    <row r="968" spans="1:17" x14ac:dyDescent="0.25">
      <c r="A968" t="s">
        <v>829</v>
      </c>
      <c r="C968">
        <f>IFERROR(COUNTIFS($A$1:A968,"Câu "&amp;"*")-MID(A968,5,FIND(".",A968,1)-5),0)</f>
        <v>0</v>
      </c>
      <c r="D968">
        <f t="shared" si="51"/>
        <v>236</v>
      </c>
      <c r="E968" t="str">
        <f>SUBSTITUTE(IF(LEFT(A968,3)="Câu",MID(A968,FIND(".",A968,1)+2,LEN(A968)),""),CHAR(34),CHAR(92)&amp;CHAR(34))</f>
        <v>Khi lái xe ô tô qua đường sắt không có rào chắn, không có người điều khiển giao thông, người lái xe thực hiện thao tác: “giảm tốc độ, dừng lại trước vạch dừng, quan sát cả hai phía, nếu không có tàu đi tới, tăng ga nhẹ vượt qua đường sắt. Nếu thấy có tàu đi tới thì dừng lại trước vạch dừng, chỉ khi tàu đi qua mới được đi” để đảm bảo an toàn là đúng hay không?</v>
      </c>
      <c r="G968" t="str">
        <f>SUBSTITUTE(B969,CHAR(34),CHAR(92)&amp;CHAR(34))</f>
        <v>Không đúng.</v>
      </c>
      <c r="H968" t="str">
        <f>SUBSTITUTE(B970,CHAR(34),CHAR(92)&amp;CHAR(34))</f>
        <v xml:space="preserve"> Đúng.</v>
      </c>
      <c r="I968" t="str">
        <f>SUBSTITUTE(IF(LEFT(A971,3)="Câu","",B971),CHAR(34),CHAR(92)&amp;CHAR(34))</f>
        <v>Không cần thiết, vì nếu nhìn thấy tàu còn cách xa, người lái xe có thể tăng số cao, tăng ga để cho xe nhanh chóng vượt qua đường sắt.</v>
      </c>
      <c r="J968" t="str">
        <f>SUBSTITUTE(IF(OR(LEFT(A972,3)="Câu",I968=""),"",IF(B972=0,"",B972)),CHAR(34),CHAR(92)&amp;CHAR(34))</f>
        <v/>
      </c>
      <c r="K968" t="str">
        <f ca="1">SUBSTITUTE(SUBSTITUTE(SUBSTITUTE(SUBSTITUTE(IFERROR(VLOOKUP("Câu "&amp;D968&amp;".",dapan!$E:$J,6,0),""),"1","A"),"2","B"),"3","C"),"4","D")</f>
        <v>B</v>
      </c>
      <c r="P968">
        <f t="shared" si="53"/>
        <v>236</v>
      </c>
      <c r="Q968" t="str">
        <f t="shared" ca="1" si="54"/>
        <v>{"num":236,"id":236,"q":"Khi lái xe ô tô qua đường sắt không có rào chắn, không có người điều khiển giao thông, người lái xe thực hiện thao tác: “giảm tốc độ, dừng lại trước vạch dừng, quan sát cả hai phía, nếu không có tàu đi tới, tăng ga nhẹ vượt qua đường sắt. Nếu thấy có tàu đi tới thì dừng lại trước vạch dừng, chỉ khi tàu đi qua mới được đi” để đảm bảo an toàn là đúng hay không?","opts":{"A":"Không đúng.","B":" Đúng.","C":"Không cần thiết, vì nếu nhìn thấy tàu còn cách xa, người lái xe có thể tăng số cao, tăng ga để cho xe nhanh chóng vượt qua đường sắt."},"answer":"B"},</v>
      </c>
    </row>
    <row r="969" spans="1:17" hidden="1" x14ac:dyDescent="0.25">
      <c r="A969">
        <v>1</v>
      </c>
      <c r="B969" t="s">
        <v>830</v>
      </c>
      <c r="C969">
        <f>IFERROR(COUNTIFS($A$1:A969,"Câu "&amp;"*")-MID(A969,5,FIND(".",A969,1)-5),0)</f>
        <v>0</v>
      </c>
      <c r="D969" t="str">
        <f t="shared" si="51"/>
        <v/>
      </c>
      <c r="E969" t="str">
        <f>SUBSTITUTE(IF(LEFT(A969,3)="Câu",MID(A969,FIND(".",A969,1)+2,LEN(A969)),""),CHAR(34),CHAR(92)&amp;CHAR(34))</f>
        <v/>
      </c>
      <c r="G969" t="str">
        <f>SUBSTITUTE(B970,CHAR(34),CHAR(92)&amp;CHAR(34))</f>
        <v xml:space="preserve"> Đúng.</v>
      </c>
      <c r="H969" t="str">
        <f>SUBSTITUTE(B971,CHAR(34),CHAR(92)&amp;CHAR(34))</f>
        <v>Không cần thiết, vì nếu nhìn thấy tàu còn cách xa, người lái xe có thể tăng số cao, tăng ga để cho xe nhanh chóng vượt qua đường sắt.</v>
      </c>
      <c r="I969" t="str">
        <f>SUBSTITUTE(IF(LEFT(A972,3)="Câu","",B972),CHAR(34),CHAR(92)&amp;CHAR(34))</f>
        <v/>
      </c>
      <c r="J969" t="str">
        <f>SUBSTITUTE(IF(OR(LEFT(A973,3)="Câu",I969=""),"",IF(B973=0,"",B973)),CHAR(34),CHAR(92)&amp;CHAR(34))</f>
        <v/>
      </c>
      <c r="K969" t="str">
        <f>SUBSTITUTE(SUBSTITUTE(SUBSTITUTE(SUBSTITUTE(IFERROR(VLOOKUP("Câu "&amp;D969&amp;".",dapan!$E:$J,6,0),""),"1","A"),"2","B"),"3","C"),"4","D")</f>
        <v/>
      </c>
      <c r="P969" t="str">
        <f t="shared" si="53"/>
        <v/>
      </c>
      <c r="Q969" t="str">
        <f t="shared" si="54"/>
        <v/>
      </c>
    </row>
    <row r="970" spans="1:17" hidden="1" x14ac:dyDescent="0.25">
      <c r="A970">
        <v>2</v>
      </c>
      <c r="B970" t="s">
        <v>831</v>
      </c>
      <c r="C970">
        <f>IFERROR(COUNTIFS($A$1:A970,"Câu "&amp;"*")-MID(A970,5,FIND(".",A970,1)-5),0)</f>
        <v>0</v>
      </c>
      <c r="D970" t="str">
        <f t="shared" si="51"/>
        <v/>
      </c>
      <c r="E970" t="str">
        <f>SUBSTITUTE(IF(LEFT(A970,3)="Câu",MID(A970,FIND(".",A970,1)+2,LEN(A970)),""),CHAR(34),CHAR(92)&amp;CHAR(34))</f>
        <v/>
      </c>
      <c r="G970" t="str">
        <f>SUBSTITUTE(B971,CHAR(34),CHAR(92)&amp;CHAR(34))</f>
        <v>Không cần thiết, vì nếu nhìn thấy tàu còn cách xa, người lái xe có thể tăng số cao, tăng ga để cho xe nhanh chóng vượt qua đường sắt.</v>
      </c>
      <c r="H970" t="str">
        <f>SUBSTITUTE(B972,CHAR(34),CHAR(92)&amp;CHAR(34))</f>
        <v/>
      </c>
      <c r="I970" t="str">
        <f>SUBSTITUTE(IF(LEFT(A973,3)="Câu","",B973),CHAR(34),CHAR(92)&amp;CHAR(34))</f>
        <v xml:space="preserve"> Về số thấp, kết hợp phanh chân để giảm tốc độ.</v>
      </c>
      <c r="J970" t="str">
        <f>SUBSTITUTE(IF(OR(LEFT(A974,3)="Câu",I970=""),"",IF(B974=0,"",B974)),CHAR(34),CHAR(92)&amp;CHAR(34))</f>
        <v>Giữ nguyên tay số D, kết hợp phanh đỗ để giảm tốc độ.</v>
      </c>
      <c r="K970" t="str">
        <f>SUBSTITUTE(SUBSTITUTE(SUBSTITUTE(SUBSTITUTE(IFERROR(VLOOKUP("Câu "&amp;D970&amp;".",dapan!$E:$J,6,0),""),"1","A"),"2","B"),"3","C"),"4","D")</f>
        <v/>
      </c>
      <c r="P970" t="str">
        <f t="shared" si="53"/>
        <v/>
      </c>
      <c r="Q970" t="str">
        <f t="shared" si="54"/>
        <v/>
      </c>
    </row>
    <row r="971" spans="1:17" hidden="1" x14ac:dyDescent="0.25">
      <c r="A971">
        <v>3</v>
      </c>
      <c r="B971" t="s">
        <v>832</v>
      </c>
      <c r="C971">
        <f>IFERROR(COUNTIFS($A$1:A971,"Câu "&amp;"*")-MID(A971,5,FIND(".",A971,1)-5),0)</f>
        <v>0</v>
      </c>
      <c r="D971" t="str">
        <f t="shared" si="51"/>
        <v/>
      </c>
      <c r="E971" t="str">
        <f>SUBSTITUTE(IF(LEFT(A971,3)="Câu",MID(A971,FIND(".",A971,1)+2,LEN(A971)),""),CHAR(34),CHAR(92)&amp;CHAR(34))</f>
        <v/>
      </c>
      <c r="G971" t="str">
        <f>SUBSTITUTE(B972,CHAR(34),CHAR(92)&amp;CHAR(34))</f>
        <v/>
      </c>
      <c r="H971" t="str">
        <f>SUBSTITUTE(B973,CHAR(34),CHAR(92)&amp;CHAR(34))</f>
        <v xml:space="preserve"> Về số thấp, kết hợp phanh chân để giảm tốc độ.</v>
      </c>
      <c r="I971" t="str">
        <f>SUBSTITUTE(IF(LEFT(A974,3)="Câu","",B974),CHAR(34),CHAR(92)&amp;CHAR(34))</f>
        <v>Giữ nguyên tay số D, kết hợp phanh đỗ để giảm tốc độ.</v>
      </c>
      <c r="J971" t="str">
        <f>SUBSTITUTE(IF(OR(LEFT(A975,3)="Câu",I971=""),"",IF(B975=0,"",B975)),CHAR(34),CHAR(92)&amp;CHAR(34))</f>
        <v>Về số N (số 0), kết hợp phanh chân để giảm tốc độ.</v>
      </c>
      <c r="K971" t="str">
        <f>SUBSTITUTE(SUBSTITUTE(SUBSTITUTE(SUBSTITUTE(IFERROR(VLOOKUP("Câu "&amp;D971&amp;".",dapan!$E:$J,6,0),""),"1","A"),"2","B"),"3","C"),"4","D")</f>
        <v/>
      </c>
      <c r="P971" t="str">
        <f t="shared" si="53"/>
        <v/>
      </c>
      <c r="Q971" t="str">
        <f t="shared" si="54"/>
        <v/>
      </c>
    </row>
    <row r="972" spans="1:17" x14ac:dyDescent="0.25">
      <c r="A972" t="s">
        <v>833</v>
      </c>
      <c r="C972">
        <f>IFERROR(COUNTIFS($A$1:A972,"Câu "&amp;"*")-MID(A972,5,FIND(".",A972,1)-5),0)</f>
        <v>0</v>
      </c>
      <c r="D972">
        <f t="shared" si="51"/>
        <v>237</v>
      </c>
      <c r="E972" t="str">
        <f>SUBSTITUTE(IF(LEFT(A972,3)="Câu",MID(A972,FIND(".",A972,1)+2,LEN(A972)),""),CHAR(34),CHAR(92)&amp;CHAR(34))</f>
        <v>Khi điều khiển xe ô tô có hộp số tự động đi vào đường trơn trượt, lầy lội, người lái xe phải xử lý như thế nào để đảm bảo an toàn?</v>
      </c>
      <c r="G972" t="str">
        <f>SUBSTITUTE(B973,CHAR(34),CHAR(92)&amp;CHAR(34))</f>
        <v xml:space="preserve"> Về số thấp, kết hợp phanh chân để giảm tốc độ.</v>
      </c>
      <c r="H972" t="str">
        <f>SUBSTITUTE(B974,CHAR(34),CHAR(92)&amp;CHAR(34))</f>
        <v>Giữ nguyên tay số D, kết hợp phanh đỗ để giảm tốc độ.</v>
      </c>
      <c r="I972" t="str">
        <f>SUBSTITUTE(IF(LEFT(A975,3)="Câu","",B975),CHAR(34),CHAR(92)&amp;CHAR(34))</f>
        <v>Về số N (số 0), kết hợp phanh chân để giảm tốc độ.</v>
      </c>
      <c r="J972" t="str">
        <f>SUBSTITUTE(IF(OR(LEFT(A976,3)="Câu",I972=""),"",IF(B976=0,"",B976)),CHAR(34),CHAR(92)&amp;CHAR(34))</f>
        <v/>
      </c>
      <c r="K972" t="str">
        <f ca="1">SUBSTITUTE(SUBSTITUTE(SUBSTITUTE(SUBSTITUTE(IFERROR(VLOOKUP("Câu "&amp;D972&amp;".",dapan!$E:$J,6,0),""),"1","A"),"2","B"),"3","C"),"4","D")</f>
        <v>A</v>
      </c>
      <c r="P972">
        <f t="shared" si="53"/>
        <v>237</v>
      </c>
      <c r="Q972" t="str">
        <f t="shared" ca="1" si="54"/>
        <v>{"num":237,"id":237,"q":"Khi điều khiển xe ô tô có hộp số tự động đi vào đường trơn trượt, lầy lội, người lái xe phải xử lý như thế nào để đảm bảo an toàn?","opts":{"A":" Về số thấp, kết hợp phanh chân để giảm tốc độ.","B":"Giữ nguyên tay số D, kết hợp phanh đỗ để giảm tốc độ.","C":"Về số N (số 0), kết hợp phanh chân để giảm tốc độ."},"answer":"A"},</v>
      </c>
    </row>
    <row r="973" spans="1:17" hidden="1" x14ac:dyDescent="0.25">
      <c r="A973">
        <v>1</v>
      </c>
      <c r="B973" t="s">
        <v>834</v>
      </c>
      <c r="C973">
        <f>IFERROR(COUNTIFS($A$1:A973,"Câu "&amp;"*")-MID(A973,5,FIND(".",A973,1)-5),0)</f>
        <v>0</v>
      </c>
      <c r="D973" t="str">
        <f t="shared" si="51"/>
        <v/>
      </c>
      <c r="E973" t="str">
        <f>SUBSTITUTE(IF(LEFT(A973,3)="Câu",MID(A973,FIND(".",A973,1)+2,LEN(A973)),""),CHAR(34),CHAR(92)&amp;CHAR(34))</f>
        <v/>
      </c>
      <c r="G973" t="str">
        <f>SUBSTITUTE(B974,CHAR(34),CHAR(92)&amp;CHAR(34))</f>
        <v>Giữ nguyên tay số D, kết hợp phanh đỗ để giảm tốc độ.</v>
      </c>
      <c r="H973" t="str">
        <f>SUBSTITUTE(B975,CHAR(34),CHAR(92)&amp;CHAR(34))</f>
        <v>Về số N (số 0), kết hợp phanh chân để giảm tốc độ.</v>
      </c>
      <c r="I973" t="str">
        <f>SUBSTITUTE(IF(LEFT(A976,3)="Câu","",B976),CHAR(34),CHAR(92)&amp;CHAR(34))</f>
        <v/>
      </c>
      <c r="J973" t="str">
        <f>SUBSTITUTE(IF(OR(LEFT(A977,3)="Câu",I973=""),"",IF(B977=0,"",B977)),CHAR(34),CHAR(92)&amp;CHAR(34))</f>
        <v/>
      </c>
      <c r="K973" t="str">
        <f>SUBSTITUTE(SUBSTITUTE(SUBSTITUTE(SUBSTITUTE(IFERROR(VLOOKUP("Câu "&amp;D973&amp;".",dapan!$E:$J,6,0),""),"1","A"),"2","B"),"3","C"),"4","D")</f>
        <v/>
      </c>
      <c r="P973" t="str">
        <f t="shared" si="53"/>
        <v/>
      </c>
      <c r="Q973" t="str">
        <f t="shared" si="54"/>
        <v/>
      </c>
    </row>
    <row r="974" spans="1:17" hidden="1" x14ac:dyDescent="0.25">
      <c r="A974">
        <v>2</v>
      </c>
      <c r="B974" t="s">
        <v>835</v>
      </c>
      <c r="C974">
        <f>IFERROR(COUNTIFS($A$1:A974,"Câu "&amp;"*")-MID(A974,5,FIND(".",A974,1)-5),0)</f>
        <v>0</v>
      </c>
      <c r="D974" t="str">
        <f t="shared" si="51"/>
        <v/>
      </c>
      <c r="E974" t="str">
        <f>SUBSTITUTE(IF(LEFT(A974,3)="Câu",MID(A974,FIND(".",A974,1)+2,LEN(A974)),""),CHAR(34),CHAR(92)&amp;CHAR(34))</f>
        <v/>
      </c>
      <c r="G974" t="str">
        <f>SUBSTITUTE(B975,CHAR(34),CHAR(92)&amp;CHAR(34))</f>
        <v>Về số N (số 0), kết hợp phanh chân để giảm tốc độ.</v>
      </c>
      <c r="H974" t="str">
        <f>SUBSTITUTE(B976,CHAR(34),CHAR(92)&amp;CHAR(34))</f>
        <v/>
      </c>
      <c r="I974" t="str">
        <f>SUBSTITUTE(IF(LEFT(A977,3)="Câu","",B977),CHAR(34),CHAR(92)&amp;CHAR(34))</f>
        <v xml:space="preserve"> Vị trí N hoặc vị trí P hoặc số 0.</v>
      </c>
      <c r="J974" t="str">
        <f>SUBSTITUTE(IF(OR(LEFT(A978,3)="Câu",I974=""),"",IF(B978=0,"",B978)),CHAR(34),CHAR(92)&amp;CHAR(34))</f>
        <v>Vị trí D hoặc số 1.</v>
      </c>
      <c r="K974" t="str">
        <f>SUBSTITUTE(SUBSTITUTE(SUBSTITUTE(SUBSTITUTE(IFERROR(VLOOKUP("Câu "&amp;D974&amp;".",dapan!$E:$J,6,0),""),"1","A"),"2","B"),"3","C"),"4","D")</f>
        <v/>
      </c>
      <c r="P974" t="str">
        <f t="shared" si="53"/>
        <v/>
      </c>
      <c r="Q974" t="str">
        <f t="shared" si="54"/>
        <v/>
      </c>
    </row>
    <row r="975" spans="1:17" hidden="1" x14ac:dyDescent="0.25">
      <c r="A975">
        <v>3</v>
      </c>
      <c r="B975" t="s">
        <v>836</v>
      </c>
      <c r="C975">
        <f>IFERROR(COUNTIFS($A$1:A975,"Câu "&amp;"*")-MID(A975,5,FIND(".",A975,1)-5),0)</f>
        <v>0</v>
      </c>
      <c r="D975" t="str">
        <f t="shared" si="51"/>
        <v/>
      </c>
      <c r="E975" t="str">
        <f>SUBSTITUTE(IF(LEFT(A975,3)="Câu",MID(A975,FIND(".",A975,1)+2,LEN(A975)),""),CHAR(34),CHAR(92)&amp;CHAR(34))</f>
        <v/>
      </c>
      <c r="G975" t="str">
        <f>SUBSTITUTE(B976,CHAR(34),CHAR(92)&amp;CHAR(34))</f>
        <v/>
      </c>
      <c r="H975" t="str">
        <f>SUBSTITUTE(B977,CHAR(34),CHAR(92)&amp;CHAR(34))</f>
        <v xml:space="preserve"> Vị trí N hoặc vị trí P hoặc số 0.</v>
      </c>
      <c r="I975" t="str">
        <f>SUBSTITUTE(IF(LEFT(A978,3)="Câu","",B978),CHAR(34),CHAR(92)&amp;CHAR(34))</f>
        <v>Vị trí D hoặc số 1.</v>
      </c>
      <c r="J975" t="str">
        <f>SUBSTITUTE(IF(OR(LEFT(A979,3)="Câu",I975=""),"",IF(B979=0,"",B979)),CHAR(34),CHAR(92)&amp;CHAR(34))</f>
        <v>Vị trí R.</v>
      </c>
      <c r="K975" t="str">
        <f>SUBSTITUTE(SUBSTITUTE(SUBSTITUTE(SUBSTITUTE(IFERROR(VLOOKUP("Câu "&amp;D975&amp;".",dapan!$E:$J,6,0),""),"1","A"),"2","B"),"3","C"),"4","D")</f>
        <v/>
      </c>
      <c r="P975" t="str">
        <f t="shared" si="53"/>
        <v/>
      </c>
      <c r="Q975" t="str">
        <f t="shared" si="54"/>
        <v/>
      </c>
    </row>
    <row r="976" spans="1:17" x14ac:dyDescent="0.25">
      <c r="A976" t="s">
        <v>837</v>
      </c>
      <c r="C976">
        <f>IFERROR(COUNTIFS($A$1:A976,"Câu "&amp;"*")-MID(A976,5,FIND(".",A976,1)-5),0)</f>
        <v>0</v>
      </c>
      <c r="D976">
        <f t="shared" si="51"/>
        <v>238</v>
      </c>
      <c r="E976" t="str">
        <f>SUBSTITUTE(IF(LEFT(A976,3)="Câu",MID(A976,FIND(".",A976,1)+2,LEN(A976)),""),CHAR(34),CHAR(92)&amp;CHAR(34))</f>
        <v>Khi động cơ ô tô đã khởi động, muốn điều chỉnh ghế của người lái, người lái xe phải để cần số ở vị trí nào?</v>
      </c>
      <c r="G976" t="str">
        <f>SUBSTITUTE(B977,CHAR(34),CHAR(92)&amp;CHAR(34))</f>
        <v xml:space="preserve"> Vị trí N hoặc vị trí P hoặc số 0.</v>
      </c>
      <c r="H976" t="str">
        <f>SUBSTITUTE(B978,CHAR(34),CHAR(92)&amp;CHAR(34))</f>
        <v>Vị trí D hoặc số 1.</v>
      </c>
      <c r="I976" t="str">
        <f>SUBSTITUTE(IF(LEFT(A979,3)="Câu","",B979),CHAR(34),CHAR(92)&amp;CHAR(34))</f>
        <v>Vị trí R.</v>
      </c>
      <c r="J976" t="str">
        <f>SUBSTITUTE(IF(OR(LEFT(A980,3)="Câu",I976=""),"",IF(B980=0,"",B980)),CHAR(34),CHAR(92)&amp;CHAR(34))</f>
        <v/>
      </c>
      <c r="K976" t="str">
        <f ca="1">SUBSTITUTE(SUBSTITUTE(SUBSTITUTE(SUBSTITUTE(IFERROR(VLOOKUP("Câu "&amp;D976&amp;".",dapan!$E:$J,6,0),""),"1","A"),"2","B"),"3","C"),"4","D")</f>
        <v>A</v>
      </c>
      <c r="P976">
        <f t="shared" si="53"/>
        <v>238</v>
      </c>
      <c r="Q976" t="str">
        <f t="shared" ca="1" si="54"/>
        <v>{"num":238,"id":238,"q":"Khi động cơ ô tô đã khởi động, muốn điều chỉnh ghế của người lái, người lái xe phải để cần số ở vị trí nào?","opts":{"A":" Vị trí N hoặc vị trí P hoặc số 0.","B":"Vị trí D hoặc số 1.","C":"Vị trí R."},"answer":"A"},</v>
      </c>
    </row>
    <row r="977" spans="1:17" hidden="1" x14ac:dyDescent="0.25">
      <c r="A977">
        <v>1</v>
      </c>
      <c r="B977" t="s">
        <v>838</v>
      </c>
      <c r="C977">
        <f>IFERROR(COUNTIFS($A$1:A977,"Câu "&amp;"*")-MID(A977,5,FIND(".",A977,1)-5),0)</f>
        <v>0</v>
      </c>
      <c r="D977" t="str">
        <f t="shared" si="51"/>
        <v/>
      </c>
      <c r="E977" t="str">
        <f>SUBSTITUTE(IF(LEFT(A977,3)="Câu",MID(A977,FIND(".",A977,1)+2,LEN(A977)),""),CHAR(34),CHAR(92)&amp;CHAR(34))</f>
        <v/>
      </c>
      <c r="G977" t="str">
        <f>SUBSTITUTE(B978,CHAR(34),CHAR(92)&amp;CHAR(34))</f>
        <v>Vị trí D hoặc số 1.</v>
      </c>
      <c r="H977" t="str">
        <f>SUBSTITUTE(B979,CHAR(34),CHAR(92)&amp;CHAR(34))</f>
        <v>Vị trí R.</v>
      </c>
      <c r="I977" t="str">
        <f>SUBSTITUTE(IF(LEFT(A980,3)="Câu","",B980),CHAR(34),CHAR(92)&amp;CHAR(34))</f>
        <v/>
      </c>
      <c r="J977" t="str">
        <f>SUBSTITUTE(IF(OR(LEFT(A981,3)="Câu",I977=""),"",IF(B981=0,"",B981)),CHAR(34),CHAR(92)&amp;CHAR(34))</f>
        <v/>
      </c>
      <c r="K977" t="str">
        <f>SUBSTITUTE(SUBSTITUTE(SUBSTITUTE(SUBSTITUTE(IFERROR(VLOOKUP("Câu "&amp;D977&amp;".",dapan!$E:$J,6,0),""),"1","A"),"2","B"),"3","C"),"4","D")</f>
        <v/>
      </c>
      <c r="P977" t="str">
        <f t="shared" si="53"/>
        <v/>
      </c>
      <c r="Q977" t="str">
        <f t="shared" si="54"/>
        <v/>
      </c>
    </row>
    <row r="978" spans="1:17" hidden="1" x14ac:dyDescent="0.25">
      <c r="A978">
        <v>2</v>
      </c>
      <c r="B978" t="s">
        <v>839</v>
      </c>
      <c r="C978">
        <f>IFERROR(COUNTIFS($A$1:A978,"Câu "&amp;"*")-MID(A978,5,FIND(".",A978,1)-5),0)</f>
        <v>0</v>
      </c>
      <c r="D978" t="str">
        <f t="shared" si="51"/>
        <v/>
      </c>
      <c r="E978" t="str">
        <f>SUBSTITUTE(IF(LEFT(A978,3)="Câu",MID(A978,FIND(".",A978,1)+2,LEN(A978)),""),CHAR(34),CHAR(92)&amp;CHAR(34))</f>
        <v/>
      </c>
      <c r="G978" t="str">
        <f>SUBSTITUTE(B979,CHAR(34),CHAR(92)&amp;CHAR(34))</f>
        <v>Vị trí R.</v>
      </c>
      <c r="H978" t="str">
        <f>SUBSTITUTE(B980,CHAR(34),CHAR(92)&amp;CHAR(34))</f>
        <v/>
      </c>
      <c r="I978" t="str">
        <f>SUBSTITUTE(IF(LEFT(A981,3)="Câu","",B981),CHAR(34),CHAR(92)&amp;CHAR(34))</f>
        <v xml:space="preserve"> Không sử dụng chân trái; chân phải điều khiển bàn đạp phanh và bàn đạp ga.</v>
      </c>
      <c r="J978" t="str">
        <f>SUBSTITUTE(IF(OR(LEFT(A982,3)="Câu",I978=""),"",IF(B982=0,"",B982)),CHAR(34),CHAR(92)&amp;CHAR(34))</f>
        <v>Chân trái điều khiển bàn đạp phanh, chân phải điều khiển bàn đạp ga.</v>
      </c>
      <c r="K978" t="str">
        <f>SUBSTITUTE(SUBSTITUTE(SUBSTITUTE(SUBSTITUTE(IFERROR(VLOOKUP("Câu "&amp;D978&amp;".",dapan!$E:$J,6,0),""),"1","A"),"2","B"),"3","C"),"4","D")</f>
        <v/>
      </c>
      <c r="P978" t="str">
        <f t="shared" si="53"/>
        <v/>
      </c>
      <c r="Q978" t="str">
        <f t="shared" si="54"/>
        <v/>
      </c>
    </row>
    <row r="979" spans="1:17" hidden="1" x14ac:dyDescent="0.25">
      <c r="A979">
        <v>3</v>
      </c>
      <c r="B979" t="s">
        <v>840</v>
      </c>
      <c r="C979">
        <f>IFERROR(COUNTIFS($A$1:A979,"Câu "&amp;"*")-MID(A979,5,FIND(".",A979,1)-5),0)</f>
        <v>0</v>
      </c>
      <c r="D979" t="str">
        <f t="shared" si="51"/>
        <v/>
      </c>
      <c r="E979" t="str">
        <f>SUBSTITUTE(IF(LEFT(A979,3)="Câu",MID(A979,FIND(".",A979,1)+2,LEN(A979)),""),CHAR(34),CHAR(92)&amp;CHAR(34))</f>
        <v/>
      </c>
      <c r="G979" t="str">
        <f>SUBSTITUTE(B980,CHAR(34),CHAR(92)&amp;CHAR(34))</f>
        <v/>
      </c>
      <c r="H979" t="str">
        <f>SUBSTITUTE(B981,CHAR(34),CHAR(92)&amp;CHAR(34))</f>
        <v xml:space="preserve"> Không sử dụng chân trái; chân phải điều khiển bàn đạp phanh và bàn đạp ga.</v>
      </c>
      <c r="I979" t="str">
        <f>SUBSTITUTE(IF(LEFT(A982,3)="Câu","",B982),CHAR(34),CHAR(92)&amp;CHAR(34))</f>
        <v>Chân trái điều khiển bàn đạp phanh, chân phải điều khiển bàn đạp ga.</v>
      </c>
      <c r="J979" t="str">
        <f>SUBSTITUTE(IF(OR(LEFT(A983,3)="Câu",I979=""),"",IF(B983=0,"",B983)),CHAR(34),CHAR(92)&amp;CHAR(34))</f>
        <v>Không sử dụng chân phải; chân trái điều khiển bàn đạp phanh và bàn đạp ga.</v>
      </c>
      <c r="K979" t="str">
        <f>SUBSTITUTE(SUBSTITUTE(SUBSTITUTE(SUBSTITUTE(IFERROR(VLOOKUP("Câu "&amp;D979&amp;".",dapan!$E:$J,6,0),""),"1","A"),"2","B"),"3","C"),"4","D")</f>
        <v/>
      </c>
      <c r="P979" t="str">
        <f t="shared" si="53"/>
        <v/>
      </c>
      <c r="Q979" t="str">
        <f t="shared" si="54"/>
        <v/>
      </c>
    </row>
    <row r="980" spans="1:17" x14ac:dyDescent="0.25">
      <c r="A980" t="s">
        <v>841</v>
      </c>
      <c r="C980">
        <f>IFERROR(COUNTIFS($A$1:A980,"Câu "&amp;"*")-MID(A980,5,FIND(".",A980,1)-5),0)</f>
        <v>0</v>
      </c>
      <c r="D980">
        <f t="shared" si="51"/>
        <v>239</v>
      </c>
      <c r="E980" t="str">
        <f>SUBSTITUTE(IF(LEFT(A980,3)="Câu",MID(A980,FIND(".",A980,1)+2,LEN(A980)),""),CHAR(34),CHAR(92)&amp;CHAR(34))</f>
        <v>Khi điều khiển xe ô tô có hộp số tự động, người lái xe sử dụng chân như thế nào là đúng để bảo đảm an toàn?</v>
      </c>
      <c r="G980" t="str">
        <f>SUBSTITUTE(B981,CHAR(34),CHAR(92)&amp;CHAR(34))</f>
        <v xml:space="preserve"> Không sử dụng chân trái; chân phải điều khiển bàn đạp phanh và bàn đạp ga.</v>
      </c>
      <c r="H980" t="str">
        <f>SUBSTITUTE(B982,CHAR(34),CHAR(92)&amp;CHAR(34))</f>
        <v>Chân trái điều khiển bàn đạp phanh, chân phải điều khiển bàn đạp ga.</v>
      </c>
      <c r="I980" t="str">
        <f>SUBSTITUTE(IF(LEFT(A983,3)="Câu","",B983),CHAR(34),CHAR(92)&amp;CHAR(34))</f>
        <v>Không sử dụng chân phải; chân trái điều khiển bàn đạp phanh và bàn đạp ga.</v>
      </c>
      <c r="J980" t="str">
        <f>SUBSTITUTE(IF(OR(LEFT(A984,3)="Câu",I980=""),"",IF(B984=0,"",B984)),CHAR(34),CHAR(92)&amp;CHAR(34))</f>
        <v/>
      </c>
      <c r="K980" t="str">
        <f ca="1">SUBSTITUTE(SUBSTITUTE(SUBSTITUTE(SUBSTITUTE(IFERROR(VLOOKUP("Câu "&amp;D980&amp;".",dapan!$E:$J,6,0),""),"1","A"),"2","B"),"3","C"),"4","D")</f>
        <v>A</v>
      </c>
      <c r="P980">
        <f t="shared" si="53"/>
        <v>239</v>
      </c>
      <c r="Q980" t="str">
        <f t="shared" ca="1" si="54"/>
        <v>{"num":239,"id":239,"q":"Khi điều khiển xe ô tô có hộp số tự động, người lái xe sử dụng chân như thế nào là đúng để bảo đảm an toàn?","opts":{"A":" Không sử dụng chân trái; chân phải điều khiển bàn đạp phanh và bàn đạp ga.","B":"Chân trái điều khiển bàn đạp phanh, chân phải điều khiển bàn đạp ga.","C":"Không sử dụng chân phải; chân trái điều khiển bàn đạp phanh và bàn đạp ga."},"answer":"A"},</v>
      </c>
    </row>
    <row r="981" spans="1:17" hidden="1" x14ac:dyDescent="0.25">
      <c r="A981">
        <v>1</v>
      </c>
      <c r="B981" t="s">
        <v>842</v>
      </c>
      <c r="C981">
        <f>IFERROR(COUNTIFS($A$1:A981,"Câu "&amp;"*")-MID(A981,5,FIND(".",A981,1)-5),0)</f>
        <v>0</v>
      </c>
      <c r="D981" t="str">
        <f t="shared" si="51"/>
        <v/>
      </c>
      <c r="E981" t="str">
        <f>SUBSTITUTE(IF(LEFT(A981,3)="Câu",MID(A981,FIND(".",A981,1)+2,LEN(A981)),""),CHAR(34),CHAR(92)&amp;CHAR(34))</f>
        <v/>
      </c>
      <c r="G981" t="str">
        <f>SUBSTITUTE(B982,CHAR(34),CHAR(92)&amp;CHAR(34))</f>
        <v>Chân trái điều khiển bàn đạp phanh, chân phải điều khiển bàn đạp ga.</v>
      </c>
      <c r="H981" t="str">
        <f>SUBSTITUTE(B983,CHAR(34),CHAR(92)&amp;CHAR(34))</f>
        <v>Không sử dụng chân phải; chân trái điều khiển bàn đạp phanh và bàn đạp ga.</v>
      </c>
      <c r="I981" t="str">
        <f>SUBSTITUTE(IF(LEFT(A984,3)="Câu","",B984),CHAR(34),CHAR(92)&amp;CHAR(34))</f>
        <v/>
      </c>
      <c r="J981" t="str">
        <f>SUBSTITUTE(IF(OR(LEFT(A985,3)="Câu",I981=""),"",IF(B985=0,"",B985)),CHAR(34),CHAR(92)&amp;CHAR(34))</f>
        <v/>
      </c>
      <c r="K981" t="str">
        <f>SUBSTITUTE(SUBSTITUTE(SUBSTITUTE(SUBSTITUTE(IFERROR(VLOOKUP("Câu "&amp;D981&amp;".",dapan!$E:$J,6,0),""),"1","A"),"2","B"),"3","C"),"4","D")</f>
        <v/>
      </c>
      <c r="P981" t="str">
        <f t="shared" si="53"/>
        <v/>
      </c>
      <c r="Q981" t="str">
        <f t="shared" si="54"/>
        <v/>
      </c>
    </row>
    <row r="982" spans="1:17" hidden="1" x14ac:dyDescent="0.25">
      <c r="A982">
        <v>2</v>
      </c>
      <c r="B982" t="s">
        <v>843</v>
      </c>
      <c r="C982">
        <f>IFERROR(COUNTIFS($A$1:A982,"Câu "&amp;"*")-MID(A982,5,FIND(".",A982,1)-5),0)</f>
        <v>0</v>
      </c>
      <c r="D982" t="str">
        <f t="shared" si="51"/>
        <v/>
      </c>
      <c r="E982" t="str">
        <f>SUBSTITUTE(IF(LEFT(A982,3)="Câu",MID(A982,FIND(".",A982,1)+2,LEN(A982)),""),CHAR(34),CHAR(92)&amp;CHAR(34))</f>
        <v/>
      </c>
      <c r="G982" t="str">
        <f>SUBSTITUTE(B983,CHAR(34),CHAR(92)&amp;CHAR(34))</f>
        <v>Không sử dụng chân phải; chân trái điều khiển bàn đạp phanh và bàn đạp ga.</v>
      </c>
      <c r="H982" t="str">
        <f>SUBSTITUTE(B984,CHAR(34),CHAR(92)&amp;CHAR(34))</f>
        <v/>
      </c>
      <c r="I982" t="str">
        <f>SUBSTITUTE(IF(LEFT(A985,3)="Câu","",B985),CHAR(34),CHAR(92)&amp;CHAR(34))</f>
        <v>Tăng tốc độ, chạy gần xe trước, nhìn đèn hậu để định hướng.</v>
      </c>
      <c r="J982" t="str">
        <f>SUBSTITUTE(IF(OR(LEFT(A986,3)="Câu",I982=""),"",IF(B986=0,"",B986)),CHAR(34),CHAR(92)&amp;CHAR(34))</f>
        <v xml:space="preserve"> Giảm tốc độ, chạy cách xa xe trước với khoảng cách an toàn, bật đèn sương mù và đèn chiếu gần.</v>
      </c>
      <c r="K982" t="str">
        <f>SUBSTITUTE(SUBSTITUTE(SUBSTITUTE(SUBSTITUTE(IFERROR(VLOOKUP("Câu "&amp;D982&amp;".",dapan!$E:$J,6,0),""),"1","A"),"2","B"),"3","C"),"4","D")</f>
        <v/>
      </c>
      <c r="P982" t="str">
        <f t="shared" si="53"/>
        <v/>
      </c>
      <c r="Q982" t="str">
        <f t="shared" si="54"/>
        <v/>
      </c>
    </row>
    <row r="983" spans="1:17" hidden="1" x14ac:dyDescent="0.25">
      <c r="A983">
        <v>3</v>
      </c>
      <c r="B983" t="s">
        <v>1763</v>
      </c>
      <c r="C983">
        <f>IFERROR(COUNTIFS($A$1:A983,"Câu "&amp;"*")-MID(A983,5,FIND(".",A983,1)-5),0)</f>
        <v>0</v>
      </c>
      <c r="D983" t="str">
        <f t="shared" si="51"/>
        <v/>
      </c>
      <c r="E983" t="str">
        <f>SUBSTITUTE(IF(LEFT(A983,3)="Câu",MID(A983,FIND(".",A983,1)+2,LEN(A983)),""),CHAR(34),CHAR(92)&amp;CHAR(34))</f>
        <v/>
      </c>
      <c r="G983" t="str">
        <f>SUBSTITUTE(B984,CHAR(34),CHAR(92)&amp;CHAR(34))</f>
        <v/>
      </c>
      <c r="H983" t="str">
        <f>SUBSTITUTE(B985,CHAR(34),CHAR(92)&amp;CHAR(34))</f>
        <v>Tăng tốc độ, chạy gần xe trước, nhìn đèn hậu để định hướng.</v>
      </c>
      <c r="I983" t="str">
        <f>SUBSTITUTE(IF(LEFT(A986,3)="Câu","",B986),CHAR(34),CHAR(92)&amp;CHAR(34))</f>
        <v xml:space="preserve"> Giảm tốc độ, chạy cách xa xe trước với khoảng cách an toàn, bật đèn sương mù và đèn chiếu gần.</v>
      </c>
      <c r="J983" t="str">
        <f>SUBSTITUTE(IF(OR(LEFT(A987,3)="Câu",I983=""),"",IF(B987=0,"",B987)),CHAR(34),CHAR(92)&amp;CHAR(34))</f>
        <v>Tăng tốc độ, bật đèn pha vượt qua xe chạy trước.</v>
      </c>
      <c r="K983" t="str">
        <f>SUBSTITUTE(SUBSTITUTE(SUBSTITUTE(SUBSTITUTE(IFERROR(VLOOKUP("Câu "&amp;D983&amp;".",dapan!$E:$J,6,0),""),"1","A"),"2","B"),"3","C"),"4","D")</f>
        <v/>
      </c>
      <c r="P983" t="str">
        <f t="shared" si="53"/>
        <v/>
      </c>
      <c r="Q983" t="str">
        <f t="shared" si="54"/>
        <v/>
      </c>
    </row>
    <row r="984" spans="1:17" x14ac:dyDescent="0.25">
      <c r="A984" t="s">
        <v>1764</v>
      </c>
      <c r="C984">
        <f>IFERROR(COUNTIFS($A$1:A984,"Câu "&amp;"*")-MID(A984,5,FIND(".",A984,1)-5),0)</f>
        <v>0</v>
      </c>
      <c r="D984">
        <f t="shared" si="51"/>
        <v>240</v>
      </c>
      <c r="E984" t="str">
        <f>SUBSTITUTE(IF(LEFT(A984,3)="Câu",MID(A984,FIND(".",A984,1)+2,LEN(A984)),""),CHAR(34),CHAR(92)&amp;CHAR(34))</f>
        <v>Khi tầm nhìn bị hạn chế bởi sương mù hoặc mưa to, người lái xe phải thực hiện các thao tác nào để bảo đảm an toàn?</v>
      </c>
      <c r="G984" t="str">
        <f>SUBSTITUTE(B985,CHAR(34),CHAR(92)&amp;CHAR(34))</f>
        <v>Tăng tốc độ, chạy gần xe trước, nhìn đèn hậu để định hướng.</v>
      </c>
      <c r="H984" t="str">
        <f>SUBSTITUTE(B986,CHAR(34),CHAR(92)&amp;CHAR(34))</f>
        <v xml:space="preserve"> Giảm tốc độ, chạy cách xa xe trước với khoảng cách an toàn, bật đèn sương mù và đèn chiếu gần.</v>
      </c>
      <c r="I984" t="str">
        <f>SUBSTITUTE(IF(LEFT(A987,3)="Câu","",B987),CHAR(34),CHAR(92)&amp;CHAR(34))</f>
        <v>Tăng tốc độ, bật đèn pha vượt qua xe chạy trước.</v>
      </c>
      <c r="J984" t="str">
        <f>SUBSTITUTE(IF(OR(LEFT(A988,3)="Câu",I984=""),"",IF(B988=0,"",B988)),CHAR(34),CHAR(92)&amp;CHAR(34))</f>
        <v/>
      </c>
      <c r="K984" t="str">
        <f ca="1">SUBSTITUTE(SUBSTITUTE(SUBSTITUTE(SUBSTITUTE(IFERROR(VLOOKUP("Câu "&amp;D984&amp;".",dapan!$E:$J,6,0),""),"1","A"),"2","B"),"3","C"),"4","D")</f>
        <v>B</v>
      </c>
      <c r="P984">
        <f t="shared" si="53"/>
        <v>240</v>
      </c>
      <c r="Q984" t="str">
        <f t="shared" ca="1" si="54"/>
        <v>{"num":240,"id":240,"q":"Khi tầm nhìn bị hạn chế bởi sương mù hoặc mưa to, người lái xe phải thực hiện các thao tác nào để bảo đảm an toàn?","opts":{"A":"Tăng tốc độ, chạy gần xe trước, nhìn đèn hậu để định hướng.","B":" Giảm tốc độ, chạy cách xa xe trước với khoảng cách an toàn, bật đèn sương mù và đèn chiếu gần.","C":"Tăng tốc độ, bật đèn pha vượt qua xe chạy trước."},"answer":"B"},</v>
      </c>
    </row>
    <row r="985" spans="1:17" hidden="1" x14ac:dyDescent="0.25">
      <c r="A985">
        <v>1</v>
      </c>
      <c r="B985" t="s">
        <v>844</v>
      </c>
      <c r="C985">
        <f>IFERROR(COUNTIFS($A$1:A985,"Câu "&amp;"*")-MID(A985,5,FIND(".",A985,1)-5),0)</f>
        <v>0</v>
      </c>
      <c r="D985" t="str">
        <f t="shared" ref="D985:D1048" si="55">IF(LEFT(A985,3)="Câu",VALUE(MID(A985,5,FIND(".",A985,1)-5)),"")</f>
        <v/>
      </c>
      <c r="E985" t="str">
        <f>SUBSTITUTE(IF(LEFT(A985,3)="Câu",MID(A985,FIND(".",A985,1)+2,LEN(A985)),""),CHAR(34),CHAR(92)&amp;CHAR(34))</f>
        <v/>
      </c>
      <c r="G985" t="str">
        <f>SUBSTITUTE(B986,CHAR(34),CHAR(92)&amp;CHAR(34))</f>
        <v xml:space="preserve"> Giảm tốc độ, chạy cách xa xe trước với khoảng cách an toàn, bật đèn sương mù và đèn chiếu gần.</v>
      </c>
      <c r="H985" t="str">
        <f>SUBSTITUTE(B987,CHAR(34),CHAR(92)&amp;CHAR(34))</f>
        <v>Tăng tốc độ, bật đèn pha vượt qua xe chạy trước.</v>
      </c>
      <c r="I985" t="str">
        <f>SUBSTITUTE(IF(LEFT(A988,3)="Câu","",B988),CHAR(34),CHAR(92)&amp;CHAR(34))</f>
        <v/>
      </c>
      <c r="J985" t="str">
        <f>SUBSTITUTE(IF(OR(LEFT(A989,3)="Câu",I985=""),"",IF(B989=0,"",B989)),CHAR(34),CHAR(92)&amp;CHAR(34))</f>
        <v/>
      </c>
      <c r="K985" t="str">
        <f>SUBSTITUTE(SUBSTITUTE(SUBSTITUTE(SUBSTITUTE(IFERROR(VLOOKUP("Câu "&amp;D985&amp;".",dapan!$E:$J,6,0),""),"1","A"),"2","B"),"3","C"),"4","D")</f>
        <v/>
      </c>
      <c r="P985" t="str">
        <f t="shared" si="53"/>
        <v/>
      </c>
      <c r="Q985" t="str">
        <f t="shared" si="54"/>
        <v/>
      </c>
    </row>
    <row r="986" spans="1:17" hidden="1" x14ac:dyDescent="0.25">
      <c r="A986">
        <v>2</v>
      </c>
      <c r="B986" t="s">
        <v>845</v>
      </c>
      <c r="C986">
        <f>IFERROR(COUNTIFS($A$1:A986,"Câu "&amp;"*")-MID(A986,5,FIND(".",A986,1)-5),0)</f>
        <v>0</v>
      </c>
      <c r="D986" t="str">
        <f t="shared" si="55"/>
        <v/>
      </c>
      <c r="E986" t="str">
        <f>SUBSTITUTE(IF(LEFT(A986,3)="Câu",MID(A986,FIND(".",A986,1)+2,LEN(A986)),""),CHAR(34),CHAR(92)&amp;CHAR(34))</f>
        <v/>
      </c>
      <c r="G986" t="str">
        <f>SUBSTITUTE(B987,CHAR(34),CHAR(92)&amp;CHAR(34))</f>
        <v>Tăng tốc độ, bật đèn pha vượt qua xe chạy trước.</v>
      </c>
      <c r="H986" t="str">
        <f>SUBSTITUTE(B988,CHAR(34),CHAR(92)&amp;CHAR(34))</f>
        <v/>
      </c>
      <c r="I986" t="str">
        <f>SUBSTITUTE(IF(LEFT(A989,3)="Câu","",B989),CHAR(34),CHAR(92)&amp;CHAR(34))</f>
        <v xml:space="preserve"> Giảm tốc độ, giữ vững tay lái, nhìn chếch sang lề đường bên phải.</v>
      </c>
      <c r="J986" t="str">
        <f>SUBSTITUTE(IF(OR(LEFT(A990,3)="Câu",I986=""),"",IF(B990=0,"",B990)),CHAR(34),CHAR(92)&amp;CHAR(34))</f>
        <v>Bật đèn pha chiếu xa và giữ nguyên tốc độ.</v>
      </c>
      <c r="K986" t="str">
        <f>SUBSTITUTE(SUBSTITUTE(SUBSTITUTE(SUBSTITUTE(IFERROR(VLOOKUP("Câu "&amp;D986&amp;".",dapan!$E:$J,6,0),""),"1","A"),"2","B"),"3","C"),"4","D")</f>
        <v/>
      </c>
      <c r="P986" t="str">
        <f t="shared" si="53"/>
        <v/>
      </c>
      <c r="Q986" t="str">
        <f t="shared" si="54"/>
        <v/>
      </c>
    </row>
    <row r="987" spans="1:17" hidden="1" x14ac:dyDescent="0.25">
      <c r="A987">
        <v>3</v>
      </c>
      <c r="B987" t="s">
        <v>846</v>
      </c>
      <c r="C987">
        <f>IFERROR(COUNTIFS($A$1:A987,"Câu "&amp;"*")-MID(A987,5,FIND(".",A987,1)-5),0)</f>
        <v>0</v>
      </c>
      <c r="D987" t="str">
        <f t="shared" si="55"/>
        <v/>
      </c>
      <c r="E987" t="str">
        <f>SUBSTITUTE(IF(LEFT(A987,3)="Câu",MID(A987,FIND(".",A987,1)+2,LEN(A987)),""),CHAR(34),CHAR(92)&amp;CHAR(34))</f>
        <v/>
      </c>
      <c r="G987" t="str">
        <f>SUBSTITUTE(B988,CHAR(34),CHAR(92)&amp;CHAR(34))</f>
        <v/>
      </c>
      <c r="H987" t="str">
        <f>SUBSTITUTE(B989,CHAR(34),CHAR(92)&amp;CHAR(34))</f>
        <v xml:space="preserve"> Giảm tốc độ, giữ vững tay lái, nhìn chếch sang lề đường bên phải.</v>
      </c>
      <c r="I987" t="str">
        <f>SUBSTITUTE(IF(LEFT(A990,3)="Câu","",B990),CHAR(34),CHAR(92)&amp;CHAR(34))</f>
        <v>Bật đèn pha chiếu xa và giữ nguyên tốc độ.</v>
      </c>
      <c r="J987" t="str">
        <f>SUBSTITUTE(IF(OR(LEFT(A991,3)="Câu",I987=""),"",IF(B991=0,"",B991)),CHAR(34),CHAR(92)&amp;CHAR(34))</f>
        <v>Tăng tốc độ, bật đèn pha đối diện xe phía trước.</v>
      </c>
      <c r="K987" t="str">
        <f>SUBSTITUTE(SUBSTITUTE(SUBSTITUTE(SUBSTITUTE(IFERROR(VLOOKUP("Câu "&amp;D987&amp;".",dapan!$E:$J,6,0),""),"1","A"),"2","B"),"3","C"),"4","D")</f>
        <v/>
      </c>
      <c r="P987" t="str">
        <f t="shared" si="53"/>
        <v/>
      </c>
      <c r="Q987" t="str">
        <f t="shared" si="54"/>
        <v/>
      </c>
    </row>
    <row r="988" spans="1:17" x14ac:dyDescent="0.25">
      <c r="A988" t="s">
        <v>847</v>
      </c>
      <c r="C988">
        <f>IFERROR(COUNTIFS($A$1:A988,"Câu "&amp;"*")-MID(A988,5,FIND(".",A988,1)-5),0)</f>
        <v>0</v>
      </c>
      <c r="D988">
        <f t="shared" si="55"/>
        <v>241</v>
      </c>
      <c r="E988" t="str">
        <f>SUBSTITUTE(IF(LEFT(A988,3)="Câu",MID(A988,FIND(".",A988,1)+2,LEN(A988)),""),CHAR(34),CHAR(92)&amp;CHAR(34))</f>
        <v>Khi đèn pha của xe đi ngược chiều gây chói mắt, làm giảm khả năng quan sát trên đường, người lái xe xử lý như thế nào dưới đây để bảo đảm an toàn?</v>
      </c>
      <c r="G988" t="str">
        <f>SUBSTITUTE(B989,CHAR(34),CHAR(92)&amp;CHAR(34))</f>
        <v xml:space="preserve"> Giảm tốc độ, giữ vững tay lái, nhìn chếch sang lề đường bên phải.</v>
      </c>
      <c r="H988" t="str">
        <f>SUBSTITUTE(B990,CHAR(34),CHAR(92)&amp;CHAR(34))</f>
        <v>Bật đèn pha chiếu xa và giữ nguyên tốc độ.</v>
      </c>
      <c r="I988" t="str">
        <f>SUBSTITUTE(IF(LEFT(A991,3)="Câu","",B991),CHAR(34),CHAR(92)&amp;CHAR(34))</f>
        <v>Tăng tốc độ, bật đèn pha đối diện xe phía trước.</v>
      </c>
      <c r="J988" t="str">
        <f>SUBSTITUTE(IF(OR(LEFT(A992,3)="Câu",I988=""),"",IF(B992=0,"",B992)),CHAR(34),CHAR(92)&amp;CHAR(34))</f>
        <v/>
      </c>
      <c r="K988" t="str">
        <f ca="1">SUBSTITUTE(SUBSTITUTE(SUBSTITUTE(SUBSTITUTE(IFERROR(VLOOKUP("Câu "&amp;D988&amp;".",dapan!$E:$J,6,0),""),"1","A"),"2","B"),"3","C"),"4","D")</f>
        <v>A</v>
      </c>
      <c r="P988">
        <f t="shared" si="53"/>
        <v>241</v>
      </c>
      <c r="Q988" t="str">
        <f t="shared" ca="1" si="54"/>
        <v>{"num":241,"id":241,"q":"Khi đèn pha của xe đi ngược chiều gây chói mắt, làm giảm khả năng quan sát trên đường, người lái xe xử lý như thế nào dưới đây để bảo đảm an toàn?","opts":{"A":" Giảm tốc độ, giữ vững tay lái, nhìn chếch sang lề đường bên phải.","B":"Bật đèn pha chiếu xa và giữ nguyên tốc độ.","C":"Tăng tốc độ, bật đèn pha đối diện xe phía trước."},"answer":"A"},</v>
      </c>
    </row>
    <row r="989" spans="1:17" hidden="1" x14ac:dyDescent="0.25">
      <c r="A989">
        <v>1</v>
      </c>
      <c r="B989" t="s">
        <v>848</v>
      </c>
      <c r="C989">
        <f>IFERROR(COUNTIFS($A$1:A989,"Câu "&amp;"*")-MID(A989,5,FIND(".",A989,1)-5),0)</f>
        <v>0</v>
      </c>
      <c r="D989" t="str">
        <f t="shared" si="55"/>
        <v/>
      </c>
      <c r="E989" t="str">
        <f>SUBSTITUTE(IF(LEFT(A989,3)="Câu",MID(A989,FIND(".",A989,1)+2,LEN(A989)),""),CHAR(34),CHAR(92)&amp;CHAR(34))</f>
        <v/>
      </c>
      <c r="G989" t="str">
        <f>SUBSTITUTE(B990,CHAR(34),CHAR(92)&amp;CHAR(34))</f>
        <v>Bật đèn pha chiếu xa và giữ nguyên tốc độ.</v>
      </c>
      <c r="H989" t="str">
        <f>SUBSTITUTE(B991,CHAR(34),CHAR(92)&amp;CHAR(34))</f>
        <v>Tăng tốc độ, bật đèn pha đối diện xe phía trước.</v>
      </c>
      <c r="I989" t="str">
        <f>SUBSTITUTE(IF(LEFT(A992,3)="Câu","",B992),CHAR(34),CHAR(92)&amp;CHAR(34))</f>
        <v/>
      </c>
      <c r="J989" t="str">
        <f>SUBSTITUTE(IF(OR(LEFT(A993,3)="Câu",I989=""),"",IF(B993=0,"",B993)),CHAR(34),CHAR(92)&amp;CHAR(34))</f>
        <v/>
      </c>
      <c r="K989" t="str">
        <f>SUBSTITUTE(SUBSTITUTE(SUBSTITUTE(SUBSTITUTE(IFERROR(VLOOKUP("Câu "&amp;D989&amp;".",dapan!$E:$J,6,0),""),"1","A"),"2","B"),"3","C"),"4","D")</f>
        <v/>
      </c>
      <c r="P989" t="str">
        <f t="shared" si="53"/>
        <v/>
      </c>
      <c r="Q989" t="str">
        <f t="shared" si="54"/>
        <v/>
      </c>
    </row>
    <row r="990" spans="1:17" hidden="1" x14ac:dyDescent="0.25">
      <c r="A990">
        <v>2</v>
      </c>
      <c r="B990" t="s">
        <v>849</v>
      </c>
      <c r="C990">
        <f>IFERROR(COUNTIFS($A$1:A990,"Câu "&amp;"*")-MID(A990,5,FIND(".",A990,1)-5),0)</f>
        <v>0</v>
      </c>
      <c r="D990" t="str">
        <f t="shared" si="55"/>
        <v/>
      </c>
      <c r="E990" t="str">
        <f>SUBSTITUTE(IF(LEFT(A990,3)="Câu",MID(A990,FIND(".",A990,1)+2,LEN(A990)),""),CHAR(34),CHAR(92)&amp;CHAR(34))</f>
        <v/>
      </c>
      <c r="G990" t="str">
        <f>SUBSTITUTE(B991,CHAR(34),CHAR(92)&amp;CHAR(34))</f>
        <v>Tăng tốc độ, bật đèn pha đối diện xe phía trước.</v>
      </c>
      <c r="H990" t="str">
        <f>SUBSTITUTE(B992,CHAR(34),CHAR(92)&amp;CHAR(34))</f>
        <v/>
      </c>
      <c r="I990" t="str">
        <f>SUBSTITUTE(IF(LEFT(A993,3)="Câu","",B993),CHAR(34),CHAR(92)&amp;CHAR(34))</f>
        <v>Sử dụng phanh trước.</v>
      </c>
      <c r="J990" t="str">
        <f>SUBSTITUTE(IF(OR(LEFT(A994,3)="Câu",I990=""),"",IF(B994=0,"",B994)),CHAR(34),CHAR(92)&amp;CHAR(34))</f>
        <v>Sử dụng phanh sau.</v>
      </c>
      <c r="K990" t="str">
        <f>SUBSTITUTE(SUBSTITUTE(SUBSTITUTE(SUBSTITUTE(IFERROR(VLOOKUP("Câu "&amp;D990&amp;".",dapan!$E:$J,6,0),""),"1","A"),"2","B"),"3","C"),"4","D")</f>
        <v/>
      </c>
      <c r="P990" t="str">
        <f t="shared" si="53"/>
        <v/>
      </c>
      <c r="Q990" t="str">
        <f t="shared" si="54"/>
        <v/>
      </c>
    </row>
    <row r="991" spans="1:17" hidden="1" x14ac:dyDescent="0.25">
      <c r="A991">
        <v>3</v>
      </c>
      <c r="B991" t="s">
        <v>850</v>
      </c>
      <c r="C991">
        <f>IFERROR(COUNTIFS($A$1:A991,"Câu "&amp;"*")-MID(A991,5,FIND(".",A991,1)-5),0)</f>
        <v>0</v>
      </c>
      <c r="D991" t="str">
        <f t="shared" si="55"/>
        <v/>
      </c>
      <c r="E991" t="str">
        <f>SUBSTITUTE(IF(LEFT(A991,3)="Câu",MID(A991,FIND(".",A991,1)+2,LEN(A991)),""),CHAR(34),CHAR(92)&amp;CHAR(34))</f>
        <v/>
      </c>
      <c r="G991" t="str">
        <f>SUBSTITUTE(B992,CHAR(34),CHAR(92)&amp;CHAR(34))</f>
        <v/>
      </c>
      <c r="H991" t="str">
        <f>SUBSTITUTE(B993,CHAR(34),CHAR(92)&amp;CHAR(34))</f>
        <v>Sử dụng phanh trước.</v>
      </c>
      <c r="I991" t="str">
        <f>SUBSTITUTE(IF(LEFT(A994,3)="Câu","",B994),CHAR(34),CHAR(92)&amp;CHAR(34))</f>
        <v>Sử dụng phanh sau.</v>
      </c>
      <c r="J991" t="str">
        <f>SUBSTITUTE(IF(OR(LEFT(A995,3)="Câu",I991=""),"",IF(B995=0,"",B995)),CHAR(34),CHAR(92)&amp;CHAR(34))</f>
        <v xml:space="preserve"> Giảm hết ga, sử dụng đồng thời cả phanh sau và phanh trước.</v>
      </c>
      <c r="K991" t="str">
        <f>SUBSTITUTE(SUBSTITUTE(SUBSTITUTE(SUBSTITUTE(IFERROR(VLOOKUP("Câu "&amp;D991&amp;".",dapan!$E:$J,6,0),""),"1","A"),"2","B"),"3","C"),"4","D")</f>
        <v/>
      </c>
      <c r="P991" t="str">
        <f t="shared" si="53"/>
        <v/>
      </c>
      <c r="Q991" t="str">
        <f t="shared" si="54"/>
        <v/>
      </c>
    </row>
    <row r="992" spans="1:17" x14ac:dyDescent="0.25">
      <c r="A992" t="s">
        <v>851</v>
      </c>
      <c r="C992">
        <f>IFERROR(COUNTIFS($A$1:A992,"Câu "&amp;"*")-MID(A992,5,FIND(".",A992,1)-5),0)</f>
        <v>0</v>
      </c>
      <c r="D992">
        <f t="shared" si="55"/>
        <v>242</v>
      </c>
      <c r="E992" t="str">
        <f>SUBSTITUTE(IF(LEFT(A992,3)="Câu",MID(A992,FIND(".",A992,1)+2,LEN(A992)),""),CHAR(34),CHAR(92)&amp;CHAR(34))</f>
        <v>Để đạt được hiệu quả phanh cao nhất, người lái xe mô tô phải sử dụng các kỹ năng như thế nào dưới đây?</v>
      </c>
      <c r="G992" t="str">
        <f>SUBSTITUTE(B993,CHAR(34),CHAR(92)&amp;CHAR(34))</f>
        <v>Sử dụng phanh trước.</v>
      </c>
      <c r="H992" t="str">
        <f>SUBSTITUTE(B994,CHAR(34),CHAR(92)&amp;CHAR(34))</f>
        <v>Sử dụng phanh sau.</v>
      </c>
      <c r="I992" t="str">
        <f>SUBSTITUTE(IF(LEFT(A995,3)="Câu","",B995),CHAR(34),CHAR(92)&amp;CHAR(34))</f>
        <v xml:space="preserve"> Giảm hết ga, sử dụng đồng thời cả phanh sau và phanh trước.</v>
      </c>
      <c r="J992" t="str">
        <f>SUBSTITUTE(IF(OR(LEFT(A996,3)="Câu",I992=""),"",IF(B996=0,"",B996)),CHAR(34),CHAR(92)&amp;CHAR(34))</f>
        <v/>
      </c>
      <c r="K992" t="str">
        <f ca="1">SUBSTITUTE(SUBSTITUTE(SUBSTITUTE(SUBSTITUTE(IFERROR(VLOOKUP("Câu "&amp;D992&amp;".",dapan!$E:$J,6,0),""),"1","A"),"2","B"),"3","C"),"4","D")</f>
        <v>C</v>
      </c>
      <c r="P992">
        <f t="shared" si="53"/>
        <v>242</v>
      </c>
      <c r="Q992" t="str">
        <f t="shared" ca="1" si="54"/>
        <v>{"num":242,"id":242,"q":"Để đạt được hiệu quả phanh cao nhất, người lái xe mô tô phải sử dụng các kỹ năng như thế nào dưới đây?","opts":{"A":"Sử dụng phanh trước.","B":"Sử dụng phanh sau.","C":" Giảm hết ga, sử dụng đồng thời cả phanh sau và phanh trước."},"answer":"C"},</v>
      </c>
    </row>
    <row r="993" spans="1:17" hidden="1" x14ac:dyDescent="0.25">
      <c r="A993">
        <v>1</v>
      </c>
      <c r="B993" t="s">
        <v>852</v>
      </c>
      <c r="C993">
        <f>IFERROR(COUNTIFS($A$1:A993,"Câu "&amp;"*")-MID(A993,5,FIND(".",A993,1)-5),0)</f>
        <v>0</v>
      </c>
      <c r="D993" t="str">
        <f t="shared" si="55"/>
        <v/>
      </c>
      <c r="E993" t="str">
        <f>SUBSTITUTE(IF(LEFT(A993,3)="Câu",MID(A993,FIND(".",A993,1)+2,LEN(A993)),""),CHAR(34),CHAR(92)&amp;CHAR(34))</f>
        <v/>
      </c>
      <c r="G993" t="str">
        <f>SUBSTITUTE(B994,CHAR(34),CHAR(92)&amp;CHAR(34))</f>
        <v>Sử dụng phanh sau.</v>
      </c>
      <c r="H993" t="str">
        <f>SUBSTITUTE(B995,CHAR(34),CHAR(92)&amp;CHAR(34))</f>
        <v xml:space="preserve"> Giảm hết ga, sử dụng đồng thời cả phanh sau và phanh trước.</v>
      </c>
      <c r="I993" t="str">
        <f>SUBSTITUTE(IF(LEFT(A996,3)="Câu","",B996),CHAR(34),CHAR(92)&amp;CHAR(34))</f>
        <v/>
      </c>
      <c r="J993" t="str">
        <f>SUBSTITUTE(IF(OR(LEFT(A997,3)="Câu",I993=""),"",IF(B997=0,"",B997)),CHAR(34),CHAR(92)&amp;CHAR(34))</f>
        <v/>
      </c>
      <c r="K993" t="str">
        <f>SUBSTITUTE(SUBSTITUTE(SUBSTITUTE(SUBSTITUTE(IFERROR(VLOOKUP("Câu "&amp;D993&amp;".",dapan!$E:$J,6,0),""),"1","A"),"2","B"),"3","C"),"4","D")</f>
        <v/>
      </c>
      <c r="P993" t="str">
        <f t="shared" si="53"/>
        <v/>
      </c>
      <c r="Q993" t="str">
        <f t="shared" si="54"/>
        <v/>
      </c>
    </row>
    <row r="994" spans="1:17" hidden="1" x14ac:dyDescent="0.25">
      <c r="A994">
        <v>2</v>
      </c>
      <c r="B994" t="s">
        <v>853</v>
      </c>
      <c r="C994">
        <f>IFERROR(COUNTIFS($A$1:A994,"Câu "&amp;"*")-MID(A994,5,FIND(".",A994,1)-5),0)</f>
        <v>0</v>
      </c>
      <c r="D994" t="str">
        <f t="shared" si="55"/>
        <v/>
      </c>
      <c r="E994" t="str">
        <f>SUBSTITUTE(IF(LEFT(A994,3)="Câu",MID(A994,FIND(".",A994,1)+2,LEN(A994)),""),CHAR(34),CHAR(92)&amp;CHAR(34))</f>
        <v/>
      </c>
      <c r="G994" t="str">
        <f>SUBSTITUTE(B995,CHAR(34),CHAR(92)&amp;CHAR(34))</f>
        <v xml:space="preserve"> Giảm hết ga, sử dụng đồng thời cả phanh sau và phanh trước.</v>
      </c>
      <c r="H994" t="str">
        <f>SUBSTITUTE(B996,CHAR(34),CHAR(92)&amp;CHAR(34))</f>
        <v/>
      </c>
      <c r="I994" t="str">
        <f>SUBSTITUTE(IF(LEFT(A997,3)="Câu","",B997),CHAR(34),CHAR(92)&amp;CHAR(34))</f>
        <v xml:space="preserve"> Giảm tốc độ, về số thấp và giữ đều ga.</v>
      </c>
      <c r="J994" t="str">
        <f>SUBSTITUTE(IF(OR(LEFT(A998,3)="Câu",I994=""),"",IF(B998=0,"",B998)),CHAR(34),CHAR(92)&amp;CHAR(34))</f>
        <v>Tăng tốc độ cho xe lướt qua nhanh.</v>
      </c>
      <c r="K994" t="str">
        <f>SUBSTITUTE(SUBSTITUTE(SUBSTITUTE(SUBSTITUTE(IFERROR(VLOOKUP("Câu "&amp;D994&amp;".",dapan!$E:$J,6,0),""),"1","A"),"2","B"),"3","C"),"4","D")</f>
        <v/>
      </c>
      <c r="P994" t="str">
        <f t="shared" si="53"/>
        <v/>
      </c>
      <c r="Q994" t="str">
        <f t="shared" si="54"/>
        <v/>
      </c>
    </row>
    <row r="995" spans="1:17" hidden="1" x14ac:dyDescent="0.25">
      <c r="A995">
        <v>3</v>
      </c>
      <c r="B995" t="s">
        <v>854</v>
      </c>
      <c r="C995">
        <f>IFERROR(COUNTIFS($A$1:A995,"Câu "&amp;"*")-MID(A995,5,FIND(".",A995,1)-5),0)</f>
        <v>0</v>
      </c>
      <c r="D995" t="str">
        <f t="shared" si="55"/>
        <v/>
      </c>
      <c r="E995" t="str">
        <f>SUBSTITUTE(IF(LEFT(A995,3)="Câu",MID(A995,FIND(".",A995,1)+2,LEN(A995)),""),CHAR(34),CHAR(92)&amp;CHAR(34))</f>
        <v/>
      </c>
      <c r="G995" t="str">
        <f>SUBSTITUTE(B996,CHAR(34),CHAR(92)&amp;CHAR(34))</f>
        <v/>
      </c>
      <c r="H995" t="str">
        <f>SUBSTITUTE(B997,CHAR(34),CHAR(92)&amp;CHAR(34))</f>
        <v xml:space="preserve"> Giảm tốc độ, về số thấp và giữ đều ga.</v>
      </c>
      <c r="I995" t="str">
        <f>SUBSTITUTE(IF(LEFT(A998,3)="Câu","",B998),CHAR(34),CHAR(92)&amp;CHAR(34))</f>
        <v>Tăng tốc độ cho xe lướt qua nhanh.</v>
      </c>
      <c r="J995" t="str">
        <f>SUBSTITUTE(IF(OR(LEFT(A999,3)="Câu",I995=""),"",IF(B999=0,"",B999)),CHAR(34),CHAR(92)&amp;CHAR(34))</f>
        <v>Tăng tốc độ, đánh lái liên tục để tránh \"ổ gà\".</v>
      </c>
      <c r="K995" t="str">
        <f>SUBSTITUTE(SUBSTITUTE(SUBSTITUTE(SUBSTITUTE(IFERROR(VLOOKUP("Câu "&amp;D995&amp;".",dapan!$E:$J,6,0),""),"1","A"),"2","B"),"3","C"),"4","D")</f>
        <v/>
      </c>
      <c r="P995" t="str">
        <f t="shared" si="53"/>
        <v/>
      </c>
      <c r="Q995" t="str">
        <f t="shared" si="54"/>
        <v/>
      </c>
    </row>
    <row r="996" spans="1:17" x14ac:dyDescent="0.25">
      <c r="A996" t="s">
        <v>855</v>
      </c>
      <c r="C996">
        <f>IFERROR(COUNTIFS($A$1:A996,"Câu "&amp;"*")-MID(A996,5,FIND(".",A996,1)-5),0)</f>
        <v>0</v>
      </c>
      <c r="D996">
        <f t="shared" si="55"/>
        <v>243</v>
      </c>
      <c r="E996" t="str">
        <f>SUBSTITUTE(IF(LEFT(A996,3)="Câu",MID(A996,FIND(".",A996,1)+2,LEN(A996)),""),CHAR(34),CHAR(92)&amp;CHAR(34))</f>
        <v>Khi lái xe ô tô trên mặt đường có nhiều \"ổ gà\", người lái xe phải thực hiện thao tác như thế nào để bảo đảm an toàn?</v>
      </c>
      <c r="G996" t="str">
        <f>SUBSTITUTE(B997,CHAR(34),CHAR(92)&amp;CHAR(34))</f>
        <v xml:space="preserve"> Giảm tốc độ, về số thấp và giữ đều ga.</v>
      </c>
      <c r="H996" t="str">
        <f>SUBSTITUTE(B998,CHAR(34),CHAR(92)&amp;CHAR(34))</f>
        <v>Tăng tốc độ cho xe lướt qua nhanh.</v>
      </c>
      <c r="I996" t="str">
        <f>SUBSTITUTE(IF(LEFT(A999,3)="Câu","",B999),CHAR(34),CHAR(92)&amp;CHAR(34))</f>
        <v>Tăng tốc độ, đánh lái liên tục để tránh \"ổ gà\".</v>
      </c>
      <c r="J996" t="str">
        <f>SUBSTITUTE(IF(OR(LEFT(A1000,3)="Câu",I996=""),"",IF(B1000=0,"",B1000)),CHAR(34),CHAR(92)&amp;CHAR(34))</f>
        <v/>
      </c>
      <c r="K996" t="str">
        <f ca="1">SUBSTITUTE(SUBSTITUTE(SUBSTITUTE(SUBSTITUTE(IFERROR(VLOOKUP("Câu "&amp;D996&amp;".",dapan!$E:$J,6,0),""),"1","A"),"2","B"),"3","C"),"4","D")</f>
        <v>A</v>
      </c>
      <c r="P996">
        <f t="shared" si="53"/>
        <v>243</v>
      </c>
      <c r="Q996" t="str">
        <f t="shared" ca="1" si="54"/>
        <v>{"num":243,"id":243,"q":"Khi lái xe ô tô trên mặt đường có nhiều \"ổ gà\", người lái xe phải thực hiện thao tác như thế nào để bảo đảm an toàn?","opts":{"A":" Giảm tốc độ, về số thấp và giữ đều ga.","B":"Tăng tốc độ cho xe lướt qua nhanh.","C":"Tăng tốc độ, đánh lái liên tục để tránh \"ổ gà\"."},"answer":"A"},</v>
      </c>
    </row>
    <row r="997" spans="1:17" hidden="1" x14ac:dyDescent="0.25">
      <c r="A997">
        <v>1</v>
      </c>
      <c r="B997" t="s">
        <v>856</v>
      </c>
      <c r="C997">
        <f>IFERROR(COUNTIFS($A$1:A997,"Câu "&amp;"*")-MID(A997,5,FIND(".",A997,1)-5),0)</f>
        <v>0</v>
      </c>
      <c r="D997" t="str">
        <f t="shared" si="55"/>
        <v/>
      </c>
      <c r="E997" t="str">
        <f>SUBSTITUTE(IF(LEFT(A997,3)="Câu",MID(A997,FIND(".",A997,1)+2,LEN(A997)),""),CHAR(34),CHAR(92)&amp;CHAR(34))</f>
        <v/>
      </c>
      <c r="G997" t="str">
        <f>SUBSTITUTE(B998,CHAR(34),CHAR(92)&amp;CHAR(34))</f>
        <v>Tăng tốc độ cho xe lướt qua nhanh.</v>
      </c>
      <c r="H997" t="str">
        <f>SUBSTITUTE(B999,CHAR(34),CHAR(92)&amp;CHAR(34))</f>
        <v>Tăng tốc độ, đánh lái liên tục để tránh \"ổ gà\".</v>
      </c>
      <c r="I997" t="str">
        <f>SUBSTITUTE(IF(LEFT(A1000,3)="Câu","",B1000),CHAR(34),CHAR(92)&amp;CHAR(34))</f>
        <v/>
      </c>
      <c r="J997" t="str">
        <f>SUBSTITUTE(IF(OR(LEFT(A1001,3)="Câu",I997=""),"",IF(B1001=0,"",B1001)),CHAR(34),CHAR(92)&amp;CHAR(34))</f>
        <v/>
      </c>
      <c r="K997" t="str">
        <f>SUBSTITUTE(SUBSTITUTE(SUBSTITUTE(SUBSTITUTE(IFERROR(VLOOKUP("Câu "&amp;D997&amp;".",dapan!$E:$J,6,0),""),"1","A"),"2","B"),"3","C"),"4","D")</f>
        <v/>
      </c>
      <c r="P997" t="str">
        <f t="shared" si="53"/>
        <v/>
      </c>
      <c r="Q997" t="str">
        <f t="shared" si="54"/>
        <v/>
      </c>
    </row>
    <row r="998" spans="1:17" hidden="1" x14ac:dyDescent="0.25">
      <c r="A998">
        <v>2</v>
      </c>
      <c r="B998" t="s">
        <v>857</v>
      </c>
      <c r="C998">
        <f>IFERROR(COUNTIFS($A$1:A998,"Câu "&amp;"*")-MID(A998,5,FIND(".",A998,1)-5),0)</f>
        <v>0</v>
      </c>
      <c r="D998" t="str">
        <f t="shared" si="55"/>
        <v/>
      </c>
      <c r="E998" t="str">
        <f>SUBSTITUTE(IF(LEFT(A998,3)="Câu",MID(A998,FIND(".",A998,1)+2,LEN(A998)),""),CHAR(34),CHAR(92)&amp;CHAR(34))</f>
        <v/>
      </c>
      <c r="G998" t="str">
        <f>SUBSTITUTE(B999,CHAR(34),CHAR(92)&amp;CHAR(34))</f>
        <v>Tăng tốc độ, đánh lái liên tục để tránh \"ổ gà\".</v>
      </c>
      <c r="H998" t="str">
        <f>SUBSTITUTE(B1000,CHAR(34),CHAR(92)&amp;CHAR(34))</f>
        <v/>
      </c>
      <c r="I998" t="str">
        <f>SUBSTITUTE(IF(LEFT(A1001,3)="Câu","",B1001),CHAR(34),CHAR(92)&amp;CHAR(34))</f>
        <v xml:space="preserve"> Bật đèn chiếu gần và đèn vàng (nếu có), điều khiển gạt nước, điều khiển ô tô đi với tốc độ chậm để có thể quan sát được; tìm chỗ an toàn dừng xe, bật đèn dừng khẩn cấp báo hiệu cho các xe khác biết.</v>
      </c>
      <c r="J998" t="str">
        <f>SUBSTITUTE(IF(OR(LEFT(A1002,3)="Câu",I998=""),"",IF(B1002=0,"",B1002)),CHAR(34),CHAR(92)&amp;CHAR(34))</f>
        <v>Bật đèn chiếu xa và đèn vàng, điều khiển gạt nước, tăng tốc độ điều khiển ô tô qua khỏi khu vực mưa hoặc sương mù.</v>
      </c>
      <c r="K998" t="str">
        <f>SUBSTITUTE(SUBSTITUTE(SUBSTITUTE(SUBSTITUTE(IFERROR(VLOOKUP("Câu "&amp;D998&amp;".",dapan!$E:$J,6,0),""),"1","A"),"2","B"),"3","C"),"4","D")</f>
        <v/>
      </c>
      <c r="P998" t="str">
        <f t="shared" si="53"/>
        <v/>
      </c>
      <c r="Q998" t="str">
        <f t="shared" si="54"/>
        <v/>
      </c>
    </row>
    <row r="999" spans="1:17" hidden="1" x14ac:dyDescent="0.25">
      <c r="A999">
        <v>3</v>
      </c>
      <c r="B999" t="s">
        <v>858</v>
      </c>
      <c r="C999">
        <f>IFERROR(COUNTIFS($A$1:A999,"Câu "&amp;"*")-MID(A999,5,FIND(".",A999,1)-5),0)</f>
        <v>0</v>
      </c>
      <c r="D999" t="str">
        <f t="shared" si="55"/>
        <v/>
      </c>
      <c r="E999" t="str">
        <f>SUBSTITUTE(IF(LEFT(A999,3)="Câu",MID(A999,FIND(".",A999,1)+2,LEN(A999)),""),CHAR(34),CHAR(92)&amp;CHAR(34))</f>
        <v/>
      </c>
      <c r="G999" t="str">
        <f>SUBSTITUTE(B1000,CHAR(34),CHAR(92)&amp;CHAR(34))</f>
        <v/>
      </c>
      <c r="H999" t="str">
        <f>SUBSTITUTE(B1001,CHAR(34),CHAR(92)&amp;CHAR(34))</f>
        <v xml:space="preserve"> Bật đèn chiếu gần và đèn vàng (nếu có), điều khiển gạt nước, điều khiển ô tô đi với tốc độ chậm để có thể quan sát được; tìm chỗ an toàn dừng xe, bật đèn dừng khẩn cấp báo hiệu cho các xe khác biết.</v>
      </c>
      <c r="I999" t="str">
        <f>SUBSTITUTE(IF(LEFT(A1002,3)="Câu","",B1002),CHAR(34),CHAR(92)&amp;CHAR(34))</f>
        <v>Bật đèn chiếu xa và đèn vàng, điều khiển gạt nước, tăng tốc độ điều khiển ô tô qua khỏi khu vực mưa hoặc sương mù.</v>
      </c>
      <c r="J999" t="str">
        <f>SUBSTITUTE(IF(OR(LEFT(A1003,3)="Câu",I999=""),"",IF(B1003=0,"",B1003)),CHAR(34),CHAR(92)&amp;CHAR(34))</f>
        <v>Tăng tốc độ, bật đèn pha vượt qua xe chạy phía trước.</v>
      </c>
      <c r="K999" t="str">
        <f>SUBSTITUTE(SUBSTITUTE(SUBSTITUTE(SUBSTITUTE(IFERROR(VLOOKUP("Câu "&amp;D999&amp;".",dapan!$E:$J,6,0),""),"1","A"),"2","B"),"3","C"),"4","D")</f>
        <v/>
      </c>
      <c r="P999" t="str">
        <f t="shared" si="53"/>
        <v/>
      </c>
      <c r="Q999" t="str">
        <f t="shared" si="54"/>
        <v/>
      </c>
    </row>
    <row r="1000" spans="1:17" x14ac:dyDescent="0.25">
      <c r="A1000" t="s">
        <v>859</v>
      </c>
      <c r="C1000">
        <f>IFERROR(COUNTIFS($A$1:A1000,"Câu "&amp;"*")-MID(A1000,5,FIND(".",A1000,1)-5),0)</f>
        <v>0</v>
      </c>
      <c r="D1000">
        <f t="shared" si="55"/>
        <v>244</v>
      </c>
      <c r="E1000" t="str">
        <f>SUBSTITUTE(IF(LEFT(A1000,3)="Câu",MID(A1000,FIND(".",A1000,1)+2,LEN(A1000)),""),CHAR(34),CHAR(92)&amp;CHAR(34))</f>
        <v>Khi điều khiển xe ô tô gặp mưa to hoặc sương mù, người lái xe phải làm gì để bảo đảm an toàn?</v>
      </c>
      <c r="G1000" t="str">
        <f>SUBSTITUTE(B1001,CHAR(34),CHAR(92)&amp;CHAR(34))</f>
        <v xml:space="preserve"> Bật đèn chiếu gần và đèn vàng (nếu có), điều khiển gạt nước, điều khiển ô tô đi với tốc độ chậm để có thể quan sát được; tìm chỗ an toàn dừng xe, bật đèn dừng khẩn cấp báo hiệu cho các xe khác biết.</v>
      </c>
      <c r="H1000" t="str">
        <f>SUBSTITUTE(B1002,CHAR(34),CHAR(92)&amp;CHAR(34))</f>
        <v>Bật đèn chiếu xa và đèn vàng, điều khiển gạt nước, tăng tốc độ điều khiển ô tô qua khỏi khu vực mưa hoặc sương mù.</v>
      </c>
      <c r="I1000" t="str">
        <f>SUBSTITUTE(IF(LEFT(A1003,3)="Câu","",B1003),CHAR(34),CHAR(92)&amp;CHAR(34))</f>
        <v>Tăng tốc độ, bật đèn pha vượt qua xe chạy phía trước.</v>
      </c>
      <c r="J1000" t="str">
        <f>SUBSTITUTE(IF(OR(LEFT(A1004,3)="Câu",I1000=""),"",IF(B1004=0,"",B1004)),CHAR(34),CHAR(92)&amp;CHAR(34))</f>
        <v/>
      </c>
      <c r="K1000" t="str">
        <f ca="1">SUBSTITUTE(SUBSTITUTE(SUBSTITUTE(SUBSTITUTE(IFERROR(VLOOKUP("Câu "&amp;D1000&amp;".",dapan!$E:$J,6,0),""),"1","A"),"2","B"),"3","C"),"4","D")</f>
        <v>A</v>
      </c>
      <c r="P1000">
        <f t="shared" si="53"/>
        <v>244</v>
      </c>
      <c r="Q1000" t="str">
        <f t="shared" ca="1" si="54"/>
        <v>{"num":244,"id":244,"q":"Khi điều khiển xe ô tô gặp mưa to hoặc sương mù, người lái xe phải làm gì để bảo đảm an toàn?","opts":{"A":" Bật đèn chiếu gần và đèn vàng (nếu có), điều khiển gạt nước, điều khiển ô tô đi với tốc độ chậm để có thể quan sát được; tìm chỗ an toàn dừng xe, bật đèn dừng khẩn cấp báo hiệu cho các xe khác biết.","B":"Bật đèn chiếu xa và đèn vàng, điều khiển gạt nước, tăng tốc độ điều khiển ô tô qua khỏi khu vực mưa hoặc sương mù.","C":"Tăng tốc độ, bật đèn pha vượt qua xe chạy phía trước."},"answer":"A"},</v>
      </c>
    </row>
    <row r="1001" spans="1:17" hidden="1" x14ac:dyDescent="0.25">
      <c r="A1001">
        <v>1</v>
      </c>
      <c r="B1001" t="s">
        <v>860</v>
      </c>
      <c r="C1001">
        <f>IFERROR(COUNTIFS($A$1:A1001,"Câu "&amp;"*")-MID(A1001,5,FIND(".",A1001,1)-5),0)</f>
        <v>0</v>
      </c>
      <c r="D1001" t="str">
        <f t="shared" si="55"/>
        <v/>
      </c>
      <c r="E1001" t="str">
        <f>SUBSTITUTE(IF(LEFT(A1001,3)="Câu",MID(A1001,FIND(".",A1001,1)+2,LEN(A1001)),""),CHAR(34),CHAR(92)&amp;CHAR(34))</f>
        <v/>
      </c>
      <c r="G1001" t="str">
        <f>SUBSTITUTE(B1002,CHAR(34),CHAR(92)&amp;CHAR(34))</f>
        <v>Bật đèn chiếu xa và đèn vàng, điều khiển gạt nước, tăng tốc độ điều khiển ô tô qua khỏi khu vực mưa hoặc sương mù.</v>
      </c>
      <c r="H1001" t="str">
        <f>SUBSTITUTE(B1003,CHAR(34),CHAR(92)&amp;CHAR(34))</f>
        <v>Tăng tốc độ, bật đèn pha vượt qua xe chạy phía trước.</v>
      </c>
      <c r="I1001" t="str">
        <f>SUBSTITUTE(IF(LEFT(A1004,3)="Câu","",B1004),CHAR(34),CHAR(92)&amp;CHAR(34))</f>
        <v/>
      </c>
      <c r="J1001" t="str">
        <f>SUBSTITUTE(IF(OR(LEFT(A1005,3)="Câu",I1001=""),"",IF(B1005=0,"",B1005)),CHAR(34),CHAR(92)&amp;CHAR(34))</f>
        <v/>
      </c>
      <c r="K1001" t="str">
        <f>SUBSTITUTE(SUBSTITUTE(SUBSTITUTE(SUBSTITUTE(IFERROR(VLOOKUP("Câu "&amp;D1001&amp;".",dapan!$E:$J,6,0),""),"1","A"),"2","B"),"3","C"),"4","D")</f>
        <v/>
      </c>
      <c r="P1001" t="str">
        <f t="shared" si="53"/>
        <v/>
      </c>
      <c r="Q1001" t="str">
        <f t="shared" si="54"/>
        <v/>
      </c>
    </row>
    <row r="1002" spans="1:17" hidden="1" x14ac:dyDescent="0.25">
      <c r="A1002">
        <v>2</v>
      </c>
      <c r="B1002" t="s">
        <v>861</v>
      </c>
      <c r="C1002">
        <f>IFERROR(COUNTIFS($A$1:A1002,"Câu "&amp;"*")-MID(A1002,5,FIND(".",A1002,1)-5),0)</f>
        <v>0</v>
      </c>
      <c r="D1002" t="str">
        <f t="shared" si="55"/>
        <v/>
      </c>
      <c r="E1002" t="str">
        <f>SUBSTITUTE(IF(LEFT(A1002,3)="Câu",MID(A1002,FIND(".",A1002,1)+2,LEN(A1002)),""),CHAR(34),CHAR(92)&amp;CHAR(34))</f>
        <v/>
      </c>
      <c r="G1002" t="str">
        <f>SUBSTITUTE(B1003,CHAR(34),CHAR(92)&amp;CHAR(34))</f>
        <v>Tăng tốc độ, bật đèn pha vượt qua xe chạy phía trước.</v>
      </c>
      <c r="H1002" t="str">
        <f>SUBSTITUTE(B1004,CHAR(34),CHAR(92)&amp;CHAR(34))</f>
        <v/>
      </c>
      <c r="I1002" t="str">
        <f>SUBSTITUTE(IF(LEFT(A1005,3)="Câu","",B1005),CHAR(34),CHAR(92)&amp;CHAR(34))</f>
        <v xml:space="preserve"> Giảm tốc độ, tăng cường quan sát, không nên phanh gấp, không nên tăng ga hay đánh vô lăng đột ngột, bật đèn chiếu gần, mở chế độ gạt nước ở chế độ phù hợp để đảm bảo quan sát.</v>
      </c>
      <c r="J1002" t="str">
        <f>SUBSTITUTE(IF(OR(LEFT(A1006,3)="Câu",I1002=""),"",IF(B1006=0,"",B1006)),CHAR(34),CHAR(92)&amp;CHAR(34))</f>
        <v>Phanh gấp khi xe đi vào vũng nước và tăng ga ngay sau khi ra khỏi vũng nước.</v>
      </c>
      <c r="K1002" t="str">
        <f>SUBSTITUTE(SUBSTITUTE(SUBSTITUTE(SUBSTITUTE(IFERROR(VLOOKUP("Câu "&amp;D1002&amp;".",dapan!$E:$J,6,0),""),"1","A"),"2","B"),"3","C"),"4","D")</f>
        <v/>
      </c>
      <c r="P1002" t="str">
        <f t="shared" si="53"/>
        <v/>
      </c>
      <c r="Q1002" t="str">
        <f t="shared" si="54"/>
        <v/>
      </c>
    </row>
    <row r="1003" spans="1:17" hidden="1" x14ac:dyDescent="0.25">
      <c r="A1003">
        <v>3</v>
      </c>
      <c r="B1003" t="s">
        <v>862</v>
      </c>
      <c r="C1003">
        <f>IFERROR(COUNTIFS($A$1:A1003,"Câu "&amp;"*")-MID(A1003,5,FIND(".",A1003,1)-5),0)</f>
        <v>0</v>
      </c>
      <c r="D1003" t="str">
        <f t="shared" si="55"/>
        <v/>
      </c>
      <c r="E1003" t="str">
        <f>SUBSTITUTE(IF(LEFT(A1003,3)="Câu",MID(A1003,FIND(".",A1003,1)+2,LEN(A1003)),""),CHAR(34),CHAR(92)&amp;CHAR(34))</f>
        <v/>
      </c>
      <c r="G1003" t="str">
        <f>SUBSTITUTE(B1004,CHAR(34),CHAR(92)&amp;CHAR(34))</f>
        <v/>
      </c>
      <c r="H1003" t="str">
        <f>SUBSTITUTE(B1005,CHAR(34),CHAR(92)&amp;CHAR(34))</f>
        <v xml:space="preserve"> Giảm tốc độ, tăng cường quan sát, không nên phanh gấp, không nên tăng ga hay đánh vô lăng đột ngột, bật đèn chiếu gần, mở chế độ gạt nước ở chế độ phù hợp để đảm bảo quan sát.</v>
      </c>
      <c r="I1003" t="str">
        <f>SUBSTITUTE(IF(LEFT(A1006,3)="Câu","",B1006),CHAR(34),CHAR(92)&amp;CHAR(34))</f>
        <v>Phanh gấp khi xe đi vào vũng nước và tăng ga ngay sau khi ra khỏi vũng nước.</v>
      </c>
      <c r="J1003" t="str">
        <f>SUBSTITUTE(IF(OR(LEFT(A1007,3)="Câu",I1003=""),"",IF(B1007=0,"",B1007)),CHAR(34),CHAR(92)&amp;CHAR(34))</f>
        <v>Bật đèn chiếu xa, tăng tốc độ điều khiển ô tô qua khỏi khu vực mưa.</v>
      </c>
      <c r="K1003" t="str">
        <f>SUBSTITUTE(SUBSTITUTE(SUBSTITUTE(SUBSTITUTE(IFERROR(VLOOKUP("Câu "&amp;D1003&amp;".",dapan!$E:$J,6,0),""),"1","A"),"2","B"),"3","C"),"4","D")</f>
        <v/>
      </c>
      <c r="P1003" t="str">
        <f t="shared" si="53"/>
        <v/>
      </c>
      <c r="Q1003" t="str">
        <f t="shared" si="54"/>
        <v/>
      </c>
    </row>
    <row r="1004" spans="1:17" x14ac:dyDescent="0.25">
      <c r="A1004" t="s">
        <v>863</v>
      </c>
      <c r="C1004">
        <f>IFERROR(COUNTIFS($A$1:A1004,"Câu "&amp;"*")-MID(A1004,5,FIND(".",A1004,1)-5),0)</f>
        <v>0</v>
      </c>
      <c r="D1004">
        <f t="shared" si="55"/>
        <v>245</v>
      </c>
      <c r="E1004" t="str">
        <f>SUBSTITUTE(IF(LEFT(A1004,3)="Câu",MID(A1004,FIND(".",A1004,1)+2,LEN(A1004)),""),CHAR(34),CHAR(92)&amp;CHAR(34))</f>
        <v>Điều khiển xe ô tô trong trời mưa, người lái xe phải xử lý như thế nào để bảo đảm an toàn?</v>
      </c>
      <c r="G1004" t="str">
        <f>SUBSTITUTE(B1005,CHAR(34),CHAR(92)&amp;CHAR(34))</f>
        <v xml:space="preserve"> Giảm tốc độ, tăng cường quan sát, không nên phanh gấp, không nên tăng ga hay đánh vô lăng đột ngột, bật đèn chiếu gần, mở chế độ gạt nước ở chế độ phù hợp để đảm bảo quan sát.</v>
      </c>
      <c r="H1004" t="str">
        <f>SUBSTITUTE(B1006,CHAR(34),CHAR(92)&amp;CHAR(34))</f>
        <v>Phanh gấp khi xe đi vào vũng nước và tăng ga ngay sau khi ra khỏi vũng nước.</v>
      </c>
      <c r="I1004" t="str">
        <f>SUBSTITUTE(IF(LEFT(A1007,3)="Câu","",B1007),CHAR(34),CHAR(92)&amp;CHAR(34))</f>
        <v>Bật đèn chiếu xa, tăng tốc độ điều khiển ô tô qua khỏi khu vực mưa.</v>
      </c>
      <c r="J1004" t="str">
        <f>SUBSTITUTE(IF(OR(LEFT(A1008,3)="Câu",I1004=""),"",IF(B1008=0,"",B1008)),CHAR(34),CHAR(92)&amp;CHAR(34))</f>
        <v/>
      </c>
      <c r="K1004" t="str">
        <f ca="1">SUBSTITUTE(SUBSTITUTE(SUBSTITUTE(SUBSTITUTE(IFERROR(VLOOKUP("Câu "&amp;D1004&amp;".",dapan!$E:$J,6,0),""),"1","A"),"2","B"),"3","C"),"4","D")</f>
        <v>A</v>
      </c>
      <c r="P1004">
        <f t="shared" si="53"/>
        <v>245</v>
      </c>
      <c r="Q1004" t="str">
        <f t="shared" ca="1" si="54"/>
        <v>{"num":245,"id":245,"q":"Điều khiển xe ô tô trong trời mưa, người lái xe phải xử lý như thế nào để bảo đảm an toàn?","opts":{"A":" Giảm tốc độ, tăng cường quan sát, không nên phanh gấp, không nên tăng ga hay đánh vô lăng đột ngột, bật đèn chiếu gần, mở chế độ gạt nước ở chế độ phù hợp để đảm bảo quan sát.","B":"Phanh gấp khi xe đi vào vũng nước và tăng ga ngay sau khi ra khỏi vũng nước.","C":"Bật đèn chiếu xa, tăng tốc độ điều khiển ô tô qua khỏi khu vực mưa."},"answer":"A"},</v>
      </c>
    </row>
    <row r="1005" spans="1:17" hidden="1" x14ac:dyDescent="0.25">
      <c r="A1005">
        <v>1</v>
      </c>
      <c r="B1005" t="s">
        <v>864</v>
      </c>
      <c r="C1005">
        <f>IFERROR(COUNTIFS($A$1:A1005,"Câu "&amp;"*")-MID(A1005,5,FIND(".",A1005,1)-5),0)</f>
        <v>0</v>
      </c>
      <c r="D1005" t="str">
        <f t="shared" si="55"/>
        <v/>
      </c>
      <c r="E1005" t="str">
        <f>SUBSTITUTE(IF(LEFT(A1005,3)="Câu",MID(A1005,FIND(".",A1005,1)+2,LEN(A1005)),""),CHAR(34),CHAR(92)&amp;CHAR(34))</f>
        <v/>
      </c>
      <c r="G1005" t="str">
        <f>SUBSTITUTE(B1006,CHAR(34),CHAR(92)&amp;CHAR(34))</f>
        <v>Phanh gấp khi xe đi vào vũng nước và tăng ga ngay sau khi ra khỏi vũng nước.</v>
      </c>
      <c r="H1005" t="str">
        <f>SUBSTITUTE(B1007,CHAR(34),CHAR(92)&amp;CHAR(34))</f>
        <v>Bật đèn chiếu xa, tăng tốc độ điều khiển ô tô qua khỏi khu vực mưa.</v>
      </c>
      <c r="I1005" t="str">
        <f>SUBSTITUTE(IF(LEFT(A1008,3)="Câu","",B1008),CHAR(34),CHAR(92)&amp;CHAR(34))</f>
        <v/>
      </c>
      <c r="J1005" t="str">
        <f>SUBSTITUTE(IF(OR(LEFT(A1009,3)="Câu",I1005=""),"",IF(B1009=0,"",B1009)),CHAR(34),CHAR(92)&amp;CHAR(34))</f>
        <v/>
      </c>
      <c r="K1005" t="str">
        <f>SUBSTITUTE(SUBSTITUTE(SUBSTITUTE(SUBSTITUTE(IFERROR(VLOOKUP("Câu "&amp;D1005&amp;".",dapan!$E:$J,6,0),""),"1","A"),"2","B"),"3","C"),"4","D")</f>
        <v/>
      </c>
      <c r="P1005" t="str">
        <f t="shared" si="53"/>
        <v/>
      </c>
      <c r="Q1005" t="str">
        <f t="shared" si="54"/>
        <v/>
      </c>
    </row>
    <row r="1006" spans="1:17" hidden="1" x14ac:dyDescent="0.25">
      <c r="A1006">
        <v>2</v>
      </c>
      <c r="B1006" t="s">
        <v>865</v>
      </c>
      <c r="C1006">
        <f>IFERROR(COUNTIFS($A$1:A1006,"Câu "&amp;"*")-MID(A1006,5,FIND(".",A1006,1)-5),0)</f>
        <v>0</v>
      </c>
      <c r="D1006" t="str">
        <f t="shared" si="55"/>
        <v/>
      </c>
      <c r="E1006" t="str">
        <f>SUBSTITUTE(IF(LEFT(A1006,3)="Câu",MID(A1006,FIND(".",A1006,1)+2,LEN(A1006)),""),CHAR(34),CHAR(92)&amp;CHAR(34))</f>
        <v/>
      </c>
      <c r="G1006" t="str">
        <f>SUBSTITUTE(B1007,CHAR(34),CHAR(92)&amp;CHAR(34))</f>
        <v>Bật đèn chiếu xa, tăng tốc độ điều khiển ô tô qua khỏi khu vực mưa.</v>
      </c>
      <c r="H1006" t="str">
        <f>SUBSTITUTE(B1008,CHAR(34),CHAR(92)&amp;CHAR(34))</f>
        <v/>
      </c>
      <c r="I1006" t="str">
        <f>SUBSTITUTE(IF(LEFT(A1009,3)="Câu","",B1009),CHAR(34),CHAR(92)&amp;CHAR(34))</f>
        <v xml:space="preserve"> Quan sát bên trái, bên phải, phía sau xe, có tín hiệu cần thiết và lùi xe với tốc độ phù hợp.</v>
      </c>
      <c r="J1006" t="str">
        <f>SUBSTITUTE(IF(OR(LEFT(A1010,3)="Câu",I1006=""),"",IF(B1010=0,"",B1010)),CHAR(34),CHAR(92)&amp;CHAR(34))</f>
        <v>Quan sát phía trước xe và lùi xe với tốc độ nhanh.</v>
      </c>
      <c r="K1006" t="str">
        <f>SUBSTITUTE(SUBSTITUTE(SUBSTITUTE(SUBSTITUTE(IFERROR(VLOOKUP("Câu "&amp;D1006&amp;".",dapan!$E:$J,6,0),""),"1","A"),"2","B"),"3","C"),"4","D")</f>
        <v/>
      </c>
      <c r="P1006" t="str">
        <f t="shared" si="53"/>
        <v/>
      </c>
      <c r="Q1006" t="str">
        <f t="shared" si="54"/>
        <v/>
      </c>
    </row>
    <row r="1007" spans="1:17" hidden="1" x14ac:dyDescent="0.25">
      <c r="A1007">
        <v>3</v>
      </c>
      <c r="B1007" t="s">
        <v>866</v>
      </c>
      <c r="C1007">
        <f>IFERROR(COUNTIFS($A$1:A1007,"Câu "&amp;"*")-MID(A1007,5,FIND(".",A1007,1)-5),0)</f>
        <v>0</v>
      </c>
      <c r="D1007" t="str">
        <f t="shared" si="55"/>
        <v/>
      </c>
      <c r="E1007" t="str">
        <f>SUBSTITUTE(IF(LEFT(A1007,3)="Câu",MID(A1007,FIND(".",A1007,1)+2,LEN(A1007)),""),CHAR(34),CHAR(92)&amp;CHAR(34))</f>
        <v/>
      </c>
      <c r="G1007" t="str">
        <f>SUBSTITUTE(B1008,CHAR(34),CHAR(92)&amp;CHAR(34))</f>
        <v/>
      </c>
      <c r="H1007" t="str">
        <f>SUBSTITUTE(B1009,CHAR(34),CHAR(92)&amp;CHAR(34))</f>
        <v xml:space="preserve"> Quan sát bên trái, bên phải, phía sau xe, có tín hiệu cần thiết và lùi xe với tốc độ phù hợp.</v>
      </c>
      <c r="I1007" t="str">
        <f>SUBSTITUTE(IF(LEFT(A1010,3)="Câu","",B1010),CHAR(34),CHAR(92)&amp;CHAR(34))</f>
        <v>Quan sát phía trước xe và lùi xe với tốc độ nhanh.</v>
      </c>
      <c r="J1007" t="str">
        <f>SUBSTITUTE(IF(OR(LEFT(A1011,3)="Câu",I1007=""),"",IF(B1011=0,"",B1011)),CHAR(34),CHAR(92)&amp;CHAR(34))</f>
        <v>Quan sát bên trái và phía trước của xe và lùi xe với tốc độ nhanh.</v>
      </c>
      <c r="K1007" t="str">
        <f>SUBSTITUTE(SUBSTITUTE(SUBSTITUTE(SUBSTITUTE(IFERROR(VLOOKUP("Câu "&amp;D1007&amp;".",dapan!$E:$J,6,0),""),"1","A"),"2","B"),"3","C"),"4","D")</f>
        <v/>
      </c>
      <c r="P1007" t="str">
        <f t="shared" si="53"/>
        <v/>
      </c>
      <c r="Q1007" t="str">
        <f t="shared" si="54"/>
        <v/>
      </c>
    </row>
    <row r="1008" spans="1:17" x14ac:dyDescent="0.25">
      <c r="A1008" t="s">
        <v>867</v>
      </c>
      <c r="C1008">
        <f>IFERROR(COUNTIFS($A$1:A1008,"Câu "&amp;"*")-MID(A1008,5,FIND(".",A1008,1)-5),0)</f>
        <v>0</v>
      </c>
      <c r="D1008">
        <f t="shared" si="55"/>
        <v>246</v>
      </c>
      <c r="E1008" t="str">
        <f>SUBSTITUTE(IF(LEFT(A1008,3)="Câu",MID(A1008,FIND(".",A1008,1)+2,LEN(A1008)),""),CHAR(34),CHAR(92)&amp;CHAR(34))</f>
        <v>Khi lùi xe, người lái xe phải xử lý như thế nào để bảo đảm an toàn giao thông?</v>
      </c>
      <c r="G1008" t="str">
        <f>SUBSTITUTE(B1009,CHAR(34),CHAR(92)&amp;CHAR(34))</f>
        <v xml:space="preserve"> Quan sát bên trái, bên phải, phía sau xe, có tín hiệu cần thiết và lùi xe với tốc độ phù hợp.</v>
      </c>
      <c r="H1008" t="str">
        <f>SUBSTITUTE(B1010,CHAR(34),CHAR(92)&amp;CHAR(34))</f>
        <v>Quan sát phía trước xe và lùi xe với tốc độ nhanh.</v>
      </c>
      <c r="I1008" t="str">
        <f>SUBSTITUTE(IF(LEFT(A1011,3)="Câu","",B1011),CHAR(34),CHAR(92)&amp;CHAR(34))</f>
        <v>Quan sát bên trái và phía trước của xe và lùi xe với tốc độ nhanh.</v>
      </c>
      <c r="J1008" t="str">
        <f>SUBSTITUTE(IF(OR(LEFT(A1012,3)="Câu",I1008=""),"",IF(B1012=0,"",B1012)),CHAR(34),CHAR(92)&amp;CHAR(34))</f>
        <v/>
      </c>
      <c r="K1008" t="str">
        <f ca="1">SUBSTITUTE(SUBSTITUTE(SUBSTITUTE(SUBSTITUTE(IFERROR(VLOOKUP("Câu "&amp;D1008&amp;".",dapan!$E:$J,6,0),""),"1","A"),"2","B"),"3","C"),"4","D")</f>
        <v>A</v>
      </c>
      <c r="P1008">
        <f t="shared" si="53"/>
        <v>246</v>
      </c>
      <c r="Q1008" t="str">
        <f t="shared" ca="1" si="54"/>
        <v>{"num":246,"id":246,"q":"Khi lùi xe, người lái xe phải xử lý như thế nào để bảo đảm an toàn giao thông?","opts":{"A":" Quan sát bên trái, bên phải, phía sau xe, có tín hiệu cần thiết và lùi xe với tốc độ phù hợp.","B":"Quan sát phía trước xe và lùi xe với tốc độ nhanh.","C":"Quan sát bên trái và phía trước của xe và lùi xe với tốc độ nhanh."},"answer":"A"},</v>
      </c>
    </row>
    <row r="1009" spans="1:17" hidden="1" x14ac:dyDescent="0.25">
      <c r="A1009">
        <v>1</v>
      </c>
      <c r="B1009" t="s">
        <v>868</v>
      </c>
      <c r="C1009">
        <f>IFERROR(COUNTIFS($A$1:A1009,"Câu "&amp;"*")-MID(A1009,5,FIND(".",A1009,1)-5),0)</f>
        <v>0</v>
      </c>
      <c r="D1009" t="str">
        <f t="shared" si="55"/>
        <v/>
      </c>
      <c r="E1009" t="str">
        <f>SUBSTITUTE(IF(LEFT(A1009,3)="Câu",MID(A1009,FIND(".",A1009,1)+2,LEN(A1009)),""),CHAR(34),CHAR(92)&amp;CHAR(34))</f>
        <v/>
      </c>
      <c r="G1009" t="str">
        <f>SUBSTITUTE(B1010,CHAR(34),CHAR(92)&amp;CHAR(34))</f>
        <v>Quan sát phía trước xe và lùi xe với tốc độ nhanh.</v>
      </c>
      <c r="H1009" t="str">
        <f>SUBSTITUTE(B1011,CHAR(34),CHAR(92)&amp;CHAR(34))</f>
        <v>Quan sát bên trái và phía trước của xe và lùi xe với tốc độ nhanh.</v>
      </c>
      <c r="I1009" t="str">
        <f>SUBSTITUTE(IF(LEFT(A1012,3)="Câu","",B1012),CHAR(34),CHAR(92)&amp;CHAR(34))</f>
        <v/>
      </c>
      <c r="J1009" t="str">
        <f>SUBSTITUTE(IF(OR(LEFT(A1013,3)="Câu",I1009=""),"",IF(B1013=0,"",B1013)),CHAR(34),CHAR(92)&amp;CHAR(34))</f>
        <v/>
      </c>
      <c r="K1009" t="str">
        <f>SUBSTITUTE(SUBSTITUTE(SUBSTITUTE(SUBSTITUTE(IFERROR(VLOOKUP("Câu "&amp;D1009&amp;".",dapan!$E:$J,6,0),""),"1","A"),"2","B"),"3","C"),"4","D")</f>
        <v/>
      </c>
      <c r="P1009" t="str">
        <f t="shared" si="53"/>
        <v/>
      </c>
      <c r="Q1009" t="str">
        <f t="shared" si="54"/>
        <v/>
      </c>
    </row>
    <row r="1010" spans="1:17" hidden="1" x14ac:dyDescent="0.25">
      <c r="A1010">
        <v>2</v>
      </c>
      <c r="B1010" t="s">
        <v>869</v>
      </c>
      <c r="C1010">
        <f>IFERROR(COUNTIFS($A$1:A1010,"Câu "&amp;"*")-MID(A1010,5,FIND(".",A1010,1)-5),0)</f>
        <v>0</v>
      </c>
      <c r="D1010" t="str">
        <f t="shared" si="55"/>
        <v/>
      </c>
      <c r="E1010" t="str">
        <f>SUBSTITUTE(IF(LEFT(A1010,3)="Câu",MID(A1010,FIND(".",A1010,1)+2,LEN(A1010)),""),CHAR(34),CHAR(92)&amp;CHAR(34))</f>
        <v/>
      </c>
      <c r="G1010" t="str">
        <f>SUBSTITUTE(B1011,CHAR(34),CHAR(92)&amp;CHAR(34))</f>
        <v>Quan sát bên trái và phía trước của xe và lùi xe với tốc độ nhanh.</v>
      </c>
      <c r="H1010" t="str">
        <f>SUBSTITUTE(B1012,CHAR(34),CHAR(92)&amp;CHAR(34))</f>
        <v/>
      </c>
      <c r="I1010" t="str">
        <f>SUBSTITUTE(IF(LEFT(A1013,3)="Câu","",B1013),CHAR(34),CHAR(92)&amp;CHAR(34))</f>
        <v>Giảm tốc độ đến mức an toàn, quan sát, nhường đường cho người đi bộ, giữ khoảng cách an toàn với các xe phía trước.</v>
      </c>
      <c r="J1010" t="str">
        <f>SUBSTITUTE(IF(OR(LEFT(A1014,3)="Câu",I1010=""),"",IF(B1014=0,"",B1014)),CHAR(34),CHAR(92)&amp;CHAR(34))</f>
        <v>Đi đúng làn đường quy định, chỉ được chuyển làn đường ở nơi cho phép, nhưng phải quan sát.</v>
      </c>
      <c r="K1010" t="str">
        <f>SUBSTITUTE(SUBSTITUTE(SUBSTITUTE(SUBSTITUTE(IFERROR(VLOOKUP("Câu "&amp;D1010&amp;".",dapan!$E:$J,6,0),""),"1","A"),"2","B"),"3","C"),"4","D")</f>
        <v/>
      </c>
      <c r="P1010" t="str">
        <f t="shared" si="53"/>
        <v/>
      </c>
      <c r="Q1010" t="str">
        <f t="shared" si="54"/>
        <v/>
      </c>
    </row>
    <row r="1011" spans="1:17" hidden="1" x14ac:dyDescent="0.25">
      <c r="A1011">
        <v>3</v>
      </c>
      <c r="B1011" t="s">
        <v>870</v>
      </c>
      <c r="C1011">
        <f>IFERROR(COUNTIFS($A$1:A1011,"Câu "&amp;"*")-MID(A1011,5,FIND(".",A1011,1)-5),0)</f>
        <v>0</v>
      </c>
      <c r="D1011" t="str">
        <f t="shared" si="55"/>
        <v/>
      </c>
      <c r="E1011" t="str">
        <f>SUBSTITUTE(IF(LEFT(A1011,3)="Câu",MID(A1011,FIND(".",A1011,1)+2,LEN(A1011)),""),CHAR(34),CHAR(92)&amp;CHAR(34))</f>
        <v/>
      </c>
      <c r="G1011" t="str">
        <f>SUBSTITUTE(B1012,CHAR(34),CHAR(92)&amp;CHAR(34))</f>
        <v/>
      </c>
      <c r="H1011" t="str">
        <f>SUBSTITUTE(B1013,CHAR(34),CHAR(92)&amp;CHAR(34))</f>
        <v>Giảm tốc độ đến mức an toàn, quan sát, nhường đường cho người đi bộ, giữ khoảng cách an toàn với các xe phía trước.</v>
      </c>
      <c r="I1011" t="str">
        <f>SUBSTITUTE(IF(LEFT(A1014,3)="Câu","",B1014),CHAR(34),CHAR(92)&amp;CHAR(34))</f>
        <v>Đi đúng làn đường quy định, chỉ được chuyển làn đường ở nơi cho phép, nhưng phải quan sát.</v>
      </c>
      <c r="J1011" t="str">
        <f>SUBSTITUTE(IF(OR(LEFT(A1015,3)="Câu",I1011=""),"",IF(B1015=0,"",B1015)),CHAR(34),CHAR(92)&amp;CHAR(34))</f>
        <v xml:space="preserve"> Cả hai ý trên.</v>
      </c>
      <c r="K1011" t="str">
        <f>SUBSTITUTE(SUBSTITUTE(SUBSTITUTE(SUBSTITUTE(IFERROR(VLOOKUP("Câu "&amp;D1011&amp;".",dapan!$E:$J,6,0),""),"1","A"),"2","B"),"3","C"),"4","D")</f>
        <v/>
      </c>
      <c r="P1011" t="str">
        <f t="shared" si="53"/>
        <v/>
      </c>
      <c r="Q1011" t="str">
        <f t="shared" si="54"/>
        <v/>
      </c>
    </row>
    <row r="1012" spans="1:17" x14ac:dyDescent="0.25">
      <c r="A1012" t="s">
        <v>871</v>
      </c>
      <c r="C1012">
        <f>IFERROR(COUNTIFS($A$1:A1012,"Câu "&amp;"*")-MID(A1012,5,FIND(".",A1012,1)-5),0)</f>
        <v>0</v>
      </c>
      <c r="D1012">
        <f t="shared" si="55"/>
        <v>247</v>
      </c>
      <c r="E1012" t="str">
        <f>SUBSTITUTE(IF(LEFT(A1012,3)="Câu",MID(A1012,FIND(".",A1012,1)+2,LEN(A1012)),""),CHAR(34),CHAR(92)&amp;CHAR(34))</f>
        <v>Điều khiển xe ô tô trong khu vực đông dân cư cần lưu ý điều gì dưới đây?</v>
      </c>
      <c r="G1012" t="str">
        <f>SUBSTITUTE(B1013,CHAR(34),CHAR(92)&amp;CHAR(34))</f>
        <v>Giảm tốc độ đến mức an toàn, quan sát, nhường đường cho người đi bộ, giữ khoảng cách an toàn với các xe phía trước.</v>
      </c>
      <c r="H1012" t="str">
        <f>SUBSTITUTE(B1014,CHAR(34),CHAR(92)&amp;CHAR(34))</f>
        <v>Đi đúng làn đường quy định, chỉ được chuyển làn đường ở nơi cho phép, nhưng phải quan sát.</v>
      </c>
      <c r="I1012" t="str">
        <f>SUBSTITUTE(IF(LEFT(A1015,3)="Câu","",B1015),CHAR(34),CHAR(92)&amp;CHAR(34))</f>
        <v xml:space="preserve"> Cả hai ý trên.</v>
      </c>
      <c r="J1012" t="str">
        <f>SUBSTITUTE(IF(OR(LEFT(A1016,3)="Câu",I1012=""),"",IF(B1016=0,"",B1016)),CHAR(34),CHAR(92)&amp;CHAR(34))</f>
        <v/>
      </c>
      <c r="K1012" t="str">
        <f ca="1">SUBSTITUTE(SUBSTITUTE(SUBSTITUTE(SUBSTITUTE(IFERROR(VLOOKUP("Câu "&amp;D1012&amp;".",dapan!$E:$J,6,0),""),"1","A"),"2","B"),"3","C"),"4","D")</f>
        <v>C</v>
      </c>
      <c r="P1012">
        <f t="shared" si="53"/>
        <v>247</v>
      </c>
      <c r="Q1012" t="str">
        <f t="shared" ca="1" si="54"/>
        <v>{"num":247,"id":247,"q":"Điều khiển xe ô tô trong khu vực đông dân cư cần lưu ý điều gì dưới đây?","opts":{"A":"Giảm tốc độ đến mức an toàn, quan sát, nhường đường cho người đi bộ, giữ khoảng cách an toàn với các xe phía trước.","B":"Đi đúng làn đường quy định, chỉ được chuyển làn đường ở nơi cho phép, nhưng phải quan sát.","C":" Cả hai ý trên."},"answer":"C"},</v>
      </c>
    </row>
    <row r="1013" spans="1:17" hidden="1" x14ac:dyDescent="0.25">
      <c r="A1013">
        <v>1</v>
      </c>
      <c r="B1013" t="s">
        <v>872</v>
      </c>
      <c r="C1013">
        <f>IFERROR(COUNTIFS($A$1:A1013,"Câu "&amp;"*")-MID(A1013,5,FIND(".",A1013,1)-5),0)</f>
        <v>0</v>
      </c>
      <c r="D1013" t="str">
        <f t="shared" si="55"/>
        <v/>
      </c>
      <c r="E1013" t="str">
        <f>SUBSTITUTE(IF(LEFT(A1013,3)="Câu",MID(A1013,FIND(".",A1013,1)+2,LEN(A1013)),""),CHAR(34),CHAR(92)&amp;CHAR(34))</f>
        <v/>
      </c>
      <c r="G1013" t="str">
        <f>SUBSTITUTE(B1014,CHAR(34),CHAR(92)&amp;CHAR(34))</f>
        <v>Đi đúng làn đường quy định, chỉ được chuyển làn đường ở nơi cho phép, nhưng phải quan sát.</v>
      </c>
      <c r="H1013" t="str">
        <f>SUBSTITUTE(B1015,CHAR(34),CHAR(92)&amp;CHAR(34))</f>
        <v xml:space="preserve"> Cả hai ý trên.</v>
      </c>
      <c r="I1013" t="str">
        <f>SUBSTITUTE(IF(LEFT(A1016,3)="Câu","",B1016),CHAR(34),CHAR(92)&amp;CHAR(34))</f>
        <v/>
      </c>
      <c r="J1013" t="str">
        <f>SUBSTITUTE(IF(OR(LEFT(A1017,3)="Câu",I1013=""),"",IF(B1017=0,"",B1017)),CHAR(34),CHAR(92)&amp;CHAR(34))</f>
        <v/>
      </c>
      <c r="K1013" t="str">
        <f>SUBSTITUTE(SUBSTITUTE(SUBSTITUTE(SUBSTITUTE(IFERROR(VLOOKUP("Câu "&amp;D1013&amp;".",dapan!$E:$J,6,0),""),"1","A"),"2","B"),"3","C"),"4","D")</f>
        <v/>
      </c>
      <c r="P1013" t="str">
        <f t="shared" si="53"/>
        <v/>
      </c>
      <c r="Q1013" t="str">
        <f t="shared" si="54"/>
        <v/>
      </c>
    </row>
    <row r="1014" spans="1:17" hidden="1" x14ac:dyDescent="0.25">
      <c r="A1014">
        <v>2</v>
      </c>
      <c r="B1014" t="s">
        <v>873</v>
      </c>
      <c r="C1014">
        <f>IFERROR(COUNTIFS($A$1:A1014,"Câu "&amp;"*")-MID(A1014,5,FIND(".",A1014,1)-5),0)</f>
        <v>0</v>
      </c>
      <c r="D1014" t="str">
        <f t="shared" si="55"/>
        <v/>
      </c>
      <c r="E1014" t="str">
        <f>SUBSTITUTE(IF(LEFT(A1014,3)="Câu",MID(A1014,FIND(".",A1014,1)+2,LEN(A1014)),""),CHAR(34),CHAR(92)&amp;CHAR(34))</f>
        <v/>
      </c>
      <c r="G1014" t="str">
        <f>SUBSTITUTE(B1015,CHAR(34),CHAR(92)&amp;CHAR(34))</f>
        <v xml:space="preserve"> Cả hai ý trên.</v>
      </c>
      <c r="H1014" t="str">
        <f>SUBSTITUTE(B1016,CHAR(34),CHAR(92)&amp;CHAR(34))</f>
        <v/>
      </c>
      <c r="I1014" t="str">
        <f>SUBSTITUTE(IF(LEFT(A1017,3)="Câu","",B1017),CHAR(34),CHAR(92)&amp;CHAR(34))</f>
        <v xml:space="preserve"> Quan sát, phát tín hiệu, nhường đường cho các xe đang chạy trên đường cao tốc, khi đủ điều kiện an toàn thì tăng tốc độ cho xe nhập vào làn đường cao tốc, nếu có làn đường tăng tốc thì phải cho xe chạy trên làn đường đó trước khi cho xe nhập vào làn của đường cao tốc.</v>
      </c>
      <c r="J1014" t="str">
        <f>SUBSTITUTE(IF(OR(LEFT(A1018,3)="Câu",I1014=""),"",IF(B1018=0,"",B1018)),CHAR(34),CHAR(92)&amp;CHAR(34))</f>
        <v>Phát tín hiệu, quan sát các xe đang chạy phía trước, nếu bảo đảm các điều kiện an toàn thì tăng tốc độ cho xe nhập ngay vào làn đường cao tốc.</v>
      </c>
      <c r="K1014" t="str">
        <f>SUBSTITUTE(SUBSTITUTE(SUBSTITUTE(SUBSTITUTE(IFERROR(VLOOKUP("Câu "&amp;D1014&amp;".",dapan!$E:$J,6,0),""),"1","A"),"2","B"),"3","C"),"4","D")</f>
        <v/>
      </c>
      <c r="P1014" t="str">
        <f t="shared" si="53"/>
        <v/>
      </c>
      <c r="Q1014" t="str">
        <f t="shared" si="54"/>
        <v/>
      </c>
    </row>
    <row r="1015" spans="1:17" hidden="1" x14ac:dyDescent="0.25">
      <c r="A1015">
        <v>3</v>
      </c>
      <c r="B1015" t="s">
        <v>32</v>
      </c>
      <c r="C1015">
        <f>IFERROR(COUNTIFS($A$1:A1015,"Câu "&amp;"*")-MID(A1015,5,FIND(".",A1015,1)-5),0)</f>
        <v>0</v>
      </c>
      <c r="D1015" t="str">
        <f t="shared" si="55"/>
        <v/>
      </c>
      <c r="E1015" t="str">
        <f>SUBSTITUTE(IF(LEFT(A1015,3)="Câu",MID(A1015,FIND(".",A1015,1)+2,LEN(A1015)),""),CHAR(34),CHAR(92)&amp;CHAR(34))</f>
        <v/>
      </c>
      <c r="G1015" t="str">
        <f>SUBSTITUTE(B1016,CHAR(34),CHAR(92)&amp;CHAR(34))</f>
        <v/>
      </c>
      <c r="H1015" t="str">
        <f>SUBSTITUTE(B1017,CHAR(34),CHAR(92)&amp;CHAR(34))</f>
        <v xml:space="preserve"> Quan sát, phát tín hiệu, nhường đường cho các xe đang chạy trên đường cao tốc, khi đủ điều kiện an toàn thì tăng tốc độ cho xe nhập vào làn đường cao tốc, nếu có làn đường tăng tốc thì phải cho xe chạy trên làn đường đó trước khi cho xe nhập vào làn của đường cao tốc.</v>
      </c>
      <c r="I1015" t="str">
        <f>SUBSTITUTE(IF(LEFT(A1018,3)="Câu","",B1018),CHAR(34),CHAR(92)&amp;CHAR(34))</f>
        <v>Phát tín hiệu, quan sát các xe đang chạy phía trước, nếu bảo đảm các điều kiện an toàn thì tăng tốc độ cho xe nhập ngay vào làn đường cao tốc.</v>
      </c>
      <c r="J1015" t="str">
        <f>SUBSTITUTE(IF(OR(LEFT(A1019,3)="Câu",I1015=""),"",IF(B1019=0,"",B1019)),CHAR(34),CHAR(92)&amp;CHAR(34))</f>
        <v>Phát tín hiệu và lái xe nhập vào làn đường tăng tốc, quan sát các xe phía sau đang chạy trên đường cao tốc, khi đủ điều kiện an toàn thì giảm tốc độ, từ từ cho xe nhập vào làn đường cao tốc.</v>
      </c>
      <c r="K1015" t="str">
        <f>SUBSTITUTE(SUBSTITUTE(SUBSTITUTE(SUBSTITUTE(IFERROR(VLOOKUP("Câu "&amp;D1015&amp;".",dapan!$E:$J,6,0),""),"1","A"),"2","B"),"3","C"),"4","D")</f>
        <v/>
      </c>
      <c r="P1015" t="str">
        <f t="shared" si="53"/>
        <v/>
      </c>
      <c r="Q1015" t="str">
        <f t="shared" si="54"/>
        <v/>
      </c>
    </row>
    <row r="1016" spans="1:17" x14ac:dyDescent="0.25">
      <c r="A1016" t="s">
        <v>874</v>
      </c>
      <c r="C1016">
        <f>IFERROR(COUNTIFS($A$1:A1016,"Câu "&amp;"*")-MID(A1016,5,FIND(".",A1016,1)-5),0)</f>
        <v>0</v>
      </c>
      <c r="D1016">
        <f t="shared" si="55"/>
        <v>248</v>
      </c>
      <c r="E1016" t="str">
        <f>SUBSTITUTE(IF(LEFT(A1016,3)="Câu",MID(A1016,FIND(".",A1016,1)+2,LEN(A1016)),""),CHAR(34),CHAR(92)&amp;CHAR(34))</f>
        <v>Khi điều khiển xe ô tô nhập vào đường cao tốc người lái xe cần thực hiện như thế nào dưới đây để bảo đảm an toàn giao thông?</v>
      </c>
      <c r="G1016" t="str">
        <f>SUBSTITUTE(B1017,CHAR(34),CHAR(92)&amp;CHAR(34))</f>
        <v xml:space="preserve"> Quan sát, phát tín hiệu, nhường đường cho các xe đang chạy trên đường cao tốc, khi đủ điều kiện an toàn thì tăng tốc độ cho xe nhập vào làn đường cao tốc, nếu có làn đường tăng tốc thì phải cho xe chạy trên làn đường đó trước khi cho xe nhập vào làn của đường cao tốc.</v>
      </c>
      <c r="H1016" t="str">
        <f>SUBSTITUTE(B1018,CHAR(34),CHAR(92)&amp;CHAR(34))</f>
        <v>Phát tín hiệu, quan sát các xe đang chạy phía trước, nếu bảo đảm các điều kiện an toàn thì tăng tốc độ cho xe nhập ngay vào làn đường cao tốc.</v>
      </c>
      <c r="I1016" t="str">
        <f>SUBSTITUTE(IF(LEFT(A1019,3)="Câu","",B1019),CHAR(34),CHAR(92)&amp;CHAR(34))</f>
        <v>Phát tín hiệu và lái xe nhập vào làn đường tăng tốc, quan sát các xe phía sau đang chạy trên đường cao tốc, khi đủ điều kiện an toàn thì giảm tốc độ, từ từ cho xe nhập vào làn đường cao tốc.</v>
      </c>
      <c r="J1016" t="str">
        <f>SUBSTITUTE(IF(OR(LEFT(A1020,3)="Câu",I1016=""),"",IF(B1020=0,"",B1020)),CHAR(34),CHAR(92)&amp;CHAR(34))</f>
        <v/>
      </c>
      <c r="K1016" t="str">
        <f ca="1">SUBSTITUTE(SUBSTITUTE(SUBSTITUTE(SUBSTITUTE(IFERROR(VLOOKUP("Câu "&amp;D1016&amp;".",dapan!$E:$J,6,0),""),"1","A"),"2","B"),"3","C"),"4","D")</f>
        <v>A</v>
      </c>
      <c r="P1016">
        <f t="shared" si="53"/>
        <v>248</v>
      </c>
      <c r="Q1016" t="str">
        <f t="shared" ca="1" si="54"/>
        <v>{"num":248,"id":248,"q":"Khi điều khiển xe ô tô nhập vào đường cao tốc người lái xe cần thực hiện như thế nào dưới đây để bảo đảm an toàn giao thông?","opts":{"A":" Quan sát, phát tín hiệu, nhường đường cho các xe đang chạy trên đường cao tốc, khi đủ điều kiện an toàn thì tăng tốc độ cho xe nhập vào làn đường cao tốc, nếu có làn đường tăng tốc thì phải cho xe chạy trên làn đường đó trước khi cho xe nhập vào làn của đường cao tốc.","B":"Phát tín hiệu, quan sát các xe đang chạy phía trước, nếu bảo đảm các điều kiện an toàn thì tăng tốc độ cho xe nhập ngay vào làn đường cao tốc.","C":"Phát tín hiệu và lái xe nhập vào làn đường tăng tốc, quan sát các xe phía sau đang chạy trên đường cao tốc, khi đủ điều kiện an toàn thì giảm tốc độ, từ từ cho xe nhập vào làn đường cao tốc."},"answer":"A"},</v>
      </c>
    </row>
    <row r="1017" spans="1:17" hidden="1" x14ac:dyDescent="0.25">
      <c r="A1017">
        <v>1</v>
      </c>
      <c r="B1017" t="s">
        <v>875</v>
      </c>
      <c r="C1017">
        <f>IFERROR(COUNTIFS($A$1:A1017,"Câu "&amp;"*")-MID(A1017,5,FIND(".",A1017,1)-5),0)</f>
        <v>0</v>
      </c>
      <c r="D1017" t="str">
        <f t="shared" si="55"/>
        <v/>
      </c>
      <c r="E1017" t="str">
        <f>SUBSTITUTE(IF(LEFT(A1017,3)="Câu",MID(A1017,FIND(".",A1017,1)+2,LEN(A1017)),""),CHAR(34),CHAR(92)&amp;CHAR(34))</f>
        <v/>
      </c>
      <c r="G1017" t="str">
        <f>SUBSTITUTE(B1018,CHAR(34),CHAR(92)&amp;CHAR(34))</f>
        <v>Phát tín hiệu, quan sát các xe đang chạy phía trước, nếu bảo đảm các điều kiện an toàn thì tăng tốc độ cho xe nhập ngay vào làn đường cao tốc.</v>
      </c>
      <c r="H1017" t="str">
        <f>SUBSTITUTE(B1019,CHAR(34),CHAR(92)&amp;CHAR(34))</f>
        <v>Phát tín hiệu và lái xe nhập vào làn đường tăng tốc, quan sát các xe phía sau đang chạy trên đường cao tốc, khi đủ điều kiện an toàn thì giảm tốc độ, từ từ cho xe nhập vào làn đường cao tốc.</v>
      </c>
      <c r="I1017" t="str">
        <f>SUBSTITUTE(IF(LEFT(A1020,3)="Câu","",B1020),CHAR(34),CHAR(92)&amp;CHAR(34))</f>
        <v/>
      </c>
      <c r="J1017" t="str">
        <f>SUBSTITUTE(IF(OR(LEFT(A1021,3)="Câu",I1017=""),"",IF(B1021=0,"",B1021)),CHAR(34),CHAR(92)&amp;CHAR(34))</f>
        <v/>
      </c>
      <c r="K1017" t="str">
        <f>SUBSTITUTE(SUBSTITUTE(SUBSTITUTE(SUBSTITUTE(IFERROR(VLOOKUP("Câu "&amp;D1017&amp;".",dapan!$E:$J,6,0),""),"1","A"),"2","B"),"3","C"),"4","D")</f>
        <v/>
      </c>
      <c r="P1017" t="str">
        <f t="shared" si="53"/>
        <v/>
      </c>
      <c r="Q1017" t="str">
        <f t="shared" si="54"/>
        <v/>
      </c>
    </row>
    <row r="1018" spans="1:17" hidden="1" x14ac:dyDescent="0.25">
      <c r="A1018">
        <v>2</v>
      </c>
      <c r="B1018" t="s">
        <v>876</v>
      </c>
      <c r="C1018">
        <f>IFERROR(COUNTIFS($A$1:A1018,"Câu "&amp;"*")-MID(A1018,5,FIND(".",A1018,1)-5),0)</f>
        <v>0</v>
      </c>
      <c r="D1018" t="str">
        <f t="shared" si="55"/>
        <v/>
      </c>
      <c r="E1018" t="str">
        <f>SUBSTITUTE(IF(LEFT(A1018,3)="Câu",MID(A1018,FIND(".",A1018,1)+2,LEN(A1018)),""),CHAR(34),CHAR(92)&amp;CHAR(34))</f>
        <v/>
      </c>
      <c r="G1018" t="str">
        <f>SUBSTITUTE(B1019,CHAR(34),CHAR(92)&amp;CHAR(34))</f>
        <v>Phát tín hiệu và lái xe nhập vào làn đường tăng tốc, quan sát các xe phía sau đang chạy trên đường cao tốc, khi đủ điều kiện an toàn thì giảm tốc độ, từ từ cho xe nhập vào làn đường cao tốc.</v>
      </c>
      <c r="H1018" t="str">
        <f>SUBSTITUTE(B1020,CHAR(34),CHAR(92)&amp;CHAR(34))</f>
        <v/>
      </c>
      <c r="I1018" t="str">
        <f>SUBSTITUTE(IF(LEFT(A1021,3)="Câu","",B1021),CHAR(34),CHAR(92)&amp;CHAR(34))</f>
        <v xml:space="preserve"> Quan sát phía trước để tìm biển báo chỉ dẫn \"lối ra đường cao tốc\", kiểm tra tình trạng giao thông phía sau và bên phải, nếu bảo đảm điều kiện an toàn thì phát tín hiệu và điều khiển xe chuyển dần sang làn bên phải, nếu có làn đường giảm tốc thì phải cho xe di chuyển trên làn đường đó trước khi ra khỏi đường cao tốc.</v>
      </c>
      <c r="J1018" t="str">
        <f>SUBSTITUTE(IF(OR(LEFT(A1022,3)="Câu",I1018=""),"",IF(B1022=0,"",B1022)),CHAR(34),CHAR(92)&amp;CHAR(34))</f>
        <v>Quan sát phía trước để tìm biển báo chỉ dẫn \"lối ra đường cao tốc\", trường hợp vượt qua \"lối ra đường cao tốc\" thì phát tín hiệu, di chuyển sang làn đường giảm tốc và lùi xe quay trở lại.</v>
      </c>
      <c r="K1018" t="str">
        <f>SUBSTITUTE(SUBSTITUTE(SUBSTITUTE(SUBSTITUTE(IFERROR(VLOOKUP("Câu "&amp;D1018&amp;".",dapan!$E:$J,6,0),""),"1","A"),"2","B"),"3","C"),"4","D")</f>
        <v/>
      </c>
      <c r="P1018" t="str">
        <f t="shared" si="53"/>
        <v/>
      </c>
      <c r="Q1018" t="str">
        <f t="shared" si="54"/>
        <v/>
      </c>
    </row>
    <row r="1019" spans="1:17" hidden="1" x14ac:dyDescent="0.25">
      <c r="A1019">
        <v>3</v>
      </c>
      <c r="B1019" t="s">
        <v>877</v>
      </c>
      <c r="C1019">
        <f>IFERROR(COUNTIFS($A$1:A1019,"Câu "&amp;"*")-MID(A1019,5,FIND(".",A1019,1)-5),0)</f>
        <v>0</v>
      </c>
      <c r="D1019" t="str">
        <f t="shared" si="55"/>
        <v/>
      </c>
      <c r="E1019" t="str">
        <f>SUBSTITUTE(IF(LEFT(A1019,3)="Câu",MID(A1019,FIND(".",A1019,1)+2,LEN(A1019)),""),CHAR(34),CHAR(92)&amp;CHAR(34))</f>
        <v/>
      </c>
      <c r="G1019" t="str">
        <f>SUBSTITUTE(B1020,CHAR(34),CHAR(92)&amp;CHAR(34))</f>
        <v/>
      </c>
      <c r="H1019" t="str">
        <f>SUBSTITUTE(B1021,CHAR(34),CHAR(92)&amp;CHAR(34))</f>
        <v xml:space="preserve"> Quan sát phía trước để tìm biển báo chỉ dẫn \"lối ra đường cao tốc\", kiểm tra tình trạng giao thông phía sau và bên phải, nếu bảo đảm điều kiện an toàn thì phát tín hiệu và điều khiển xe chuyển dần sang làn bên phải, nếu có làn đường giảm tốc thì phải cho xe di chuyển trên làn đường đó trước khi ra khỏi đường cao tốc.</v>
      </c>
      <c r="I1019" t="str">
        <f>SUBSTITUTE(IF(LEFT(A1022,3)="Câu","",B1022),CHAR(34),CHAR(92)&amp;CHAR(34))</f>
        <v>Quan sát phía trước để tìm biển báo chỉ dẫn \"lối ra đường cao tốc\", trường hợp vượt qua \"lối ra đường cao tốc\" thì phát tín hiệu, di chuyển sang làn đường giảm tốc và lùi xe quay trở lại.</v>
      </c>
      <c r="J1019" t="str">
        <f>SUBSTITUTE(IF(OR(LEFT(A1023,3)="Câu",I1019=""),"",IF(B1023=0,"",B1023)),CHAR(34),CHAR(92)&amp;CHAR(34))</f>
        <v/>
      </c>
      <c r="K1019" t="str">
        <f>SUBSTITUTE(SUBSTITUTE(SUBSTITUTE(SUBSTITUTE(IFERROR(VLOOKUP("Câu "&amp;D1019&amp;".",dapan!$E:$J,6,0),""),"1","A"),"2","B"),"3","C"),"4","D")</f>
        <v/>
      </c>
      <c r="P1019" t="str">
        <f t="shared" si="53"/>
        <v/>
      </c>
      <c r="Q1019" t="str">
        <f t="shared" si="54"/>
        <v/>
      </c>
    </row>
    <row r="1020" spans="1:17" x14ac:dyDescent="0.25">
      <c r="A1020" t="s">
        <v>878</v>
      </c>
      <c r="C1020">
        <f>IFERROR(COUNTIFS($A$1:A1020,"Câu "&amp;"*")-MID(A1020,5,FIND(".",A1020,1)-5),0)</f>
        <v>0</v>
      </c>
      <c r="D1020">
        <f t="shared" si="55"/>
        <v>249</v>
      </c>
      <c r="E1020" t="str">
        <f>SUBSTITUTE(IF(LEFT(A1020,3)="Câu",MID(A1020,FIND(".",A1020,1)+2,LEN(A1020)),""),CHAR(34),CHAR(92)&amp;CHAR(34))</f>
        <v>Khi điều khiển xe ô tô ra khỏi đường cao tốc người lái xe cần thực hiện như thế nào dưới đây để bảo đảm an toàn giao thông?</v>
      </c>
      <c r="G1020" t="str">
        <f>SUBSTITUTE(B1021,CHAR(34),CHAR(92)&amp;CHAR(34))</f>
        <v xml:space="preserve"> Quan sát phía trước để tìm biển báo chỉ dẫn \"lối ra đường cao tốc\", kiểm tra tình trạng giao thông phía sau và bên phải, nếu bảo đảm điều kiện an toàn thì phát tín hiệu và điều khiển xe chuyển dần sang làn bên phải, nếu có làn đường giảm tốc thì phải cho xe di chuyển trên làn đường đó trước khi ra khỏi đường cao tốc.</v>
      </c>
      <c r="H1020" t="str">
        <f>SUBSTITUTE(B1022,CHAR(34),CHAR(92)&amp;CHAR(34))</f>
        <v>Quan sát phía trước để tìm biển báo chỉ dẫn \"lối ra đường cao tốc\", trường hợp vượt qua \"lối ra đường cao tốc\" thì phát tín hiệu, di chuyển sang làn đường giảm tốc và lùi xe quay trở lại.</v>
      </c>
      <c r="I1020" t="str">
        <f>SUBSTITUTE(IF(LEFT(A1023,3)="Câu","",B1023),CHAR(34),CHAR(92)&amp;CHAR(34))</f>
        <v/>
      </c>
      <c r="J1020" t="str">
        <f>SUBSTITUTE(IF(OR(LEFT(A1024,3)="Câu",I1020=""),"",IF(B1024=0,"",B1024)),CHAR(34),CHAR(92)&amp;CHAR(34))</f>
        <v/>
      </c>
      <c r="K1020" t="str">
        <f ca="1">SUBSTITUTE(SUBSTITUTE(SUBSTITUTE(SUBSTITUTE(IFERROR(VLOOKUP("Câu "&amp;D1020&amp;".",dapan!$E:$J,6,0),""),"1","A"),"2","B"),"3","C"),"4","D")</f>
        <v>A</v>
      </c>
      <c r="P1020">
        <f t="shared" si="53"/>
        <v>249</v>
      </c>
      <c r="Q1020" t="str">
        <f t="shared" ca="1" si="54"/>
        <v>{"num":249,"id":249,"q":"Khi điều khiển xe ô tô ra khỏi đường cao tốc người lái xe cần thực hiện như thế nào dưới đây để bảo đảm an toàn giao thông?","opts":{"A":" Quan sát phía trước để tìm biển báo chỉ dẫn \"lối ra đường cao tốc\", kiểm tra tình trạng giao thông phía sau và bên phải, nếu bảo đảm điều kiện an toàn thì phát tín hiệu và điều khiển xe chuyển dần sang làn bên phải, nếu có làn đường giảm tốc thì phải cho xe di chuyển trên làn đường đó trước khi ra khỏi đường cao tốc.","B":"Quan sát phía trước để tìm biển báo chỉ dẫn \"lối ra đường cao tốc\", trường hợp vượt qua \"lối ra đường cao tốc\" thì phát tín hiệu, di chuyển sang làn đường giảm tốc và lùi xe quay trở lại."},"answer":"A"},</v>
      </c>
    </row>
    <row r="1021" spans="1:17" hidden="1" x14ac:dyDescent="0.25">
      <c r="A1021">
        <v>1</v>
      </c>
      <c r="B1021" t="s">
        <v>879</v>
      </c>
      <c r="C1021">
        <f>IFERROR(COUNTIFS($A$1:A1021,"Câu "&amp;"*")-MID(A1021,5,FIND(".",A1021,1)-5),0)</f>
        <v>0</v>
      </c>
      <c r="D1021" t="str">
        <f t="shared" si="55"/>
        <v/>
      </c>
      <c r="E1021" t="str">
        <f>SUBSTITUTE(IF(LEFT(A1021,3)="Câu",MID(A1021,FIND(".",A1021,1)+2,LEN(A1021)),""),CHAR(34),CHAR(92)&amp;CHAR(34))</f>
        <v/>
      </c>
      <c r="G1021" t="str">
        <f>SUBSTITUTE(B1022,CHAR(34),CHAR(92)&amp;CHAR(34))</f>
        <v>Quan sát phía trước để tìm biển báo chỉ dẫn \"lối ra đường cao tốc\", trường hợp vượt qua \"lối ra đường cao tốc\" thì phát tín hiệu, di chuyển sang làn đường giảm tốc và lùi xe quay trở lại.</v>
      </c>
      <c r="H1021" t="str">
        <f>SUBSTITUTE(B1023,CHAR(34),CHAR(92)&amp;CHAR(34))</f>
        <v/>
      </c>
      <c r="I1021" t="str">
        <f>SUBSTITUTE(IF(LEFT(A1024,3)="Câu","",B1024),CHAR(34),CHAR(92)&amp;CHAR(34))</f>
        <v xml:space="preserve"> Xe gặp sự cố, tai nạn hoặc trường hợp khẩn cấp không thể di chuyển bình thường.</v>
      </c>
      <c r="J1021" t="str">
        <f>SUBSTITUTE(IF(OR(LEFT(A1025,3)="Câu",I1021=""),"",IF(B1025=0,"",B1025)),CHAR(34),CHAR(92)&amp;CHAR(34))</f>
        <v>Để nghỉ ngơi, đi vệ sinh, chụp ảnh, làm việc riêng...</v>
      </c>
      <c r="K1021" t="str">
        <f>SUBSTITUTE(SUBSTITUTE(SUBSTITUTE(SUBSTITUTE(IFERROR(VLOOKUP("Câu "&amp;D1021&amp;".",dapan!$E:$J,6,0),""),"1","A"),"2","B"),"3","C"),"4","D")</f>
        <v/>
      </c>
      <c r="P1021" t="str">
        <f t="shared" si="53"/>
        <v/>
      </c>
      <c r="Q1021" t="str">
        <f t="shared" si="54"/>
        <v/>
      </c>
    </row>
    <row r="1022" spans="1:17" hidden="1" x14ac:dyDescent="0.25">
      <c r="A1022">
        <v>2</v>
      </c>
      <c r="B1022" t="s">
        <v>880</v>
      </c>
      <c r="C1022">
        <f>IFERROR(COUNTIFS($A$1:A1022,"Câu "&amp;"*")-MID(A1022,5,FIND(".",A1022,1)-5),0)</f>
        <v>0</v>
      </c>
      <c r="D1022" t="str">
        <f t="shared" si="55"/>
        <v/>
      </c>
      <c r="E1022" t="str">
        <f>SUBSTITUTE(IF(LEFT(A1022,3)="Câu",MID(A1022,FIND(".",A1022,1)+2,LEN(A1022)),""),CHAR(34),CHAR(92)&amp;CHAR(34))</f>
        <v/>
      </c>
      <c r="G1022" t="str">
        <f>SUBSTITUTE(B1023,CHAR(34),CHAR(92)&amp;CHAR(34))</f>
        <v/>
      </c>
      <c r="H1022" t="str">
        <f>SUBSTITUTE(B1024,CHAR(34),CHAR(92)&amp;CHAR(34))</f>
        <v xml:space="preserve"> Xe gặp sự cố, tai nạn hoặc trường hợp khẩn cấp không thể di chuyển bình thường.</v>
      </c>
      <c r="I1022" t="str">
        <f>SUBSTITUTE(IF(LEFT(A1025,3)="Câu","",B1025),CHAR(34),CHAR(92)&amp;CHAR(34))</f>
        <v>Để nghỉ ngơi, đi vệ sinh, chụp ảnh, làm việc riêng...</v>
      </c>
      <c r="J1022" t="str">
        <f>SUBSTITUTE(IF(OR(LEFT(A1026,3)="Câu",I1022=""),"",IF(B1026=0,"",B1026)),CHAR(34),CHAR(92)&amp;CHAR(34))</f>
        <v>Cả hai ý trên.</v>
      </c>
      <c r="K1022" t="str">
        <f>SUBSTITUTE(SUBSTITUTE(SUBSTITUTE(SUBSTITUTE(IFERROR(VLOOKUP("Câu "&amp;D1022&amp;".",dapan!$E:$J,6,0),""),"1","A"),"2","B"),"3","C"),"4","D")</f>
        <v/>
      </c>
      <c r="P1022" t="str">
        <f t="shared" si="53"/>
        <v/>
      </c>
      <c r="Q1022" t="str">
        <f t="shared" si="54"/>
        <v/>
      </c>
    </row>
    <row r="1023" spans="1:17" x14ac:dyDescent="0.25">
      <c r="A1023" t="s">
        <v>881</v>
      </c>
      <c r="C1023">
        <f>IFERROR(COUNTIFS($A$1:A1023,"Câu "&amp;"*")-MID(A1023,5,FIND(".",A1023,1)-5),0)</f>
        <v>0</v>
      </c>
      <c r="D1023">
        <f t="shared" si="55"/>
        <v>250</v>
      </c>
      <c r="E1023" t="str">
        <f>SUBSTITUTE(IF(LEFT(A1023,3)="Câu",MID(A1023,FIND(".",A1023,1)+2,LEN(A1023)),""),CHAR(34),CHAR(92)&amp;CHAR(34))</f>
        <v>Người lái xe được dừng xe, đỗ xe trên làn dừng khẩn cấp của đường cao tốc trong trường hợp nào dưới đây?</v>
      </c>
      <c r="G1023" t="str">
        <f>SUBSTITUTE(B1024,CHAR(34),CHAR(92)&amp;CHAR(34))</f>
        <v xml:space="preserve"> Xe gặp sự cố, tai nạn hoặc trường hợp khẩn cấp không thể di chuyển bình thường.</v>
      </c>
      <c r="H1023" t="str">
        <f>SUBSTITUTE(B1025,CHAR(34),CHAR(92)&amp;CHAR(34))</f>
        <v>Để nghỉ ngơi, đi vệ sinh, chụp ảnh, làm việc riêng...</v>
      </c>
      <c r="I1023" t="str">
        <f>SUBSTITUTE(IF(LEFT(A1026,3)="Câu","",B1026),CHAR(34),CHAR(92)&amp;CHAR(34))</f>
        <v>Cả hai ý trên.</v>
      </c>
      <c r="J1023" t="str">
        <f>SUBSTITUTE(IF(OR(LEFT(A1027,3)="Câu",I1023=""),"",IF(B1027=0,"",B1027)),CHAR(34),CHAR(92)&amp;CHAR(34))</f>
        <v/>
      </c>
      <c r="K1023" t="str">
        <f ca="1">SUBSTITUTE(SUBSTITUTE(SUBSTITUTE(SUBSTITUTE(IFERROR(VLOOKUP("Câu "&amp;D1023&amp;".",dapan!$E:$J,6,0),""),"1","A"),"2","B"),"3","C"),"4","D")</f>
        <v>A</v>
      </c>
      <c r="P1023">
        <f t="shared" si="53"/>
        <v>250</v>
      </c>
      <c r="Q1023" t="str">
        <f t="shared" ca="1" si="54"/>
        <v>{"num":250,"id":250,"q":"Người lái xe được dừng xe, đỗ xe trên làn dừng khẩn cấp của đường cao tốc trong trường hợp nào dưới đây?","opts":{"A":" Xe gặp sự cố, tai nạn hoặc trường hợp khẩn cấp không thể di chuyển bình thường.","B":"Để nghỉ ngơi, đi vệ sinh, chụp ảnh, làm việc riêng...","C":"Cả hai ý trên."},"answer":"A"},</v>
      </c>
    </row>
    <row r="1024" spans="1:17" hidden="1" x14ac:dyDescent="0.25">
      <c r="A1024">
        <v>1</v>
      </c>
      <c r="B1024" t="s">
        <v>882</v>
      </c>
      <c r="C1024">
        <f>IFERROR(COUNTIFS($A$1:A1024,"Câu "&amp;"*")-MID(A1024,5,FIND(".",A1024,1)-5),0)</f>
        <v>0</v>
      </c>
      <c r="D1024" t="str">
        <f t="shared" si="55"/>
        <v/>
      </c>
      <c r="E1024" t="str">
        <f>SUBSTITUTE(IF(LEFT(A1024,3)="Câu",MID(A1024,FIND(".",A1024,1)+2,LEN(A1024)),""),CHAR(34),CHAR(92)&amp;CHAR(34))</f>
        <v/>
      </c>
      <c r="G1024" t="str">
        <f>SUBSTITUTE(B1025,CHAR(34),CHAR(92)&amp;CHAR(34))</f>
        <v>Để nghỉ ngơi, đi vệ sinh, chụp ảnh, làm việc riêng...</v>
      </c>
      <c r="H1024" t="str">
        <f>SUBSTITUTE(B1026,CHAR(34),CHAR(92)&amp;CHAR(34))</f>
        <v>Cả hai ý trên.</v>
      </c>
      <c r="I1024" t="str">
        <f>SUBSTITUTE(IF(LEFT(A1027,3)="Câu","",B1027),CHAR(34),CHAR(92)&amp;CHAR(34))</f>
        <v/>
      </c>
      <c r="J1024" t="str">
        <f>SUBSTITUTE(IF(OR(LEFT(A1028,3)="Câu",I1024=""),"",IF(B1028=0,"",B1028)),CHAR(34),CHAR(92)&amp;CHAR(34))</f>
        <v/>
      </c>
      <c r="K1024" t="str">
        <f>SUBSTITUTE(SUBSTITUTE(SUBSTITUTE(SUBSTITUTE(IFERROR(VLOOKUP("Câu "&amp;D1024&amp;".",dapan!$E:$J,6,0),""),"1","A"),"2","B"),"3","C"),"4","D")</f>
        <v/>
      </c>
      <c r="P1024" t="str">
        <f t="shared" si="53"/>
        <v/>
      </c>
      <c r="Q1024" t="str">
        <f t="shared" si="54"/>
        <v/>
      </c>
    </row>
    <row r="1025" spans="1:17" hidden="1" x14ac:dyDescent="0.25">
      <c r="A1025">
        <v>2</v>
      </c>
      <c r="B1025" t="s">
        <v>883</v>
      </c>
      <c r="C1025">
        <f>IFERROR(COUNTIFS($A$1:A1025,"Câu "&amp;"*")-MID(A1025,5,FIND(".",A1025,1)-5),0)</f>
        <v>0</v>
      </c>
      <c r="D1025" t="str">
        <f t="shared" si="55"/>
        <v/>
      </c>
      <c r="E1025" t="str">
        <f>SUBSTITUTE(IF(LEFT(A1025,3)="Câu",MID(A1025,FIND(".",A1025,1)+2,LEN(A1025)),""),CHAR(34),CHAR(92)&amp;CHAR(34))</f>
        <v/>
      </c>
      <c r="G1025" t="str">
        <f>SUBSTITUTE(B1026,CHAR(34),CHAR(92)&amp;CHAR(34))</f>
        <v>Cả hai ý trên.</v>
      </c>
      <c r="H1025" t="str">
        <f>SUBSTITUTE(B1027,CHAR(34),CHAR(92)&amp;CHAR(34))</f>
        <v/>
      </c>
      <c r="I1025" t="str">
        <f>SUBSTITUTE(IF(LEFT(A1028,3)="Câu","",B1028),CHAR(34),CHAR(92)&amp;CHAR(34))</f>
        <v>Giữ khoảng cách an toàn, tránh đi vào vị trí điểm mù của xe kéo rơ moóc, bật xi nhan trái đồng thời kết hợp đèn, còi xin vượt.</v>
      </c>
      <c r="J1025" t="str">
        <f>SUBSTITUTE(IF(OR(LEFT(A1029,3)="Câu",I1025=""),"",IF(B1029=0,"",B1029)),CHAR(34),CHAR(92)&amp;CHAR(34))</f>
        <v>Khi xe kéo rơ moóc đã có tín hiệu cho vượt (không có chướng ngại vật phía trước và xe đi ngược chiều), thấy đủ điều kiện an toàn thì vượt dứt khoát, không di chuyển song song bên cạnh xe kéo rơ moóc.</v>
      </c>
      <c r="K1025" t="str">
        <f>SUBSTITUTE(SUBSTITUTE(SUBSTITUTE(SUBSTITUTE(IFERROR(VLOOKUP("Câu "&amp;D1025&amp;".",dapan!$E:$J,6,0),""),"1","A"),"2","B"),"3","C"),"4","D")</f>
        <v/>
      </c>
      <c r="P1025" t="str">
        <f t="shared" si="53"/>
        <v/>
      </c>
      <c r="Q1025" t="str">
        <f t="shared" si="54"/>
        <v/>
      </c>
    </row>
    <row r="1026" spans="1:17" hidden="1" x14ac:dyDescent="0.25">
      <c r="A1026">
        <v>3</v>
      </c>
      <c r="B1026" t="s">
        <v>18</v>
      </c>
      <c r="C1026">
        <f>IFERROR(COUNTIFS($A$1:A1026,"Câu "&amp;"*")-MID(A1026,5,FIND(".",A1026,1)-5),0)</f>
        <v>0</v>
      </c>
      <c r="D1026" t="str">
        <f t="shared" si="55"/>
        <v/>
      </c>
      <c r="E1026" t="str">
        <f>SUBSTITUTE(IF(LEFT(A1026,3)="Câu",MID(A1026,FIND(".",A1026,1)+2,LEN(A1026)),""),CHAR(34),CHAR(92)&amp;CHAR(34))</f>
        <v/>
      </c>
      <c r="G1026" t="str">
        <f>SUBSTITUTE(B1027,CHAR(34),CHAR(92)&amp;CHAR(34))</f>
        <v/>
      </c>
      <c r="H1026" t="str">
        <f>SUBSTITUTE(B1028,CHAR(34),CHAR(92)&amp;CHAR(34))</f>
        <v>Giữ khoảng cách an toàn, tránh đi vào vị trí điểm mù của xe kéo rơ moóc, bật xi nhan trái đồng thời kết hợp đèn, còi xin vượt.</v>
      </c>
      <c r="I1026" t="str">
        <f>SUBSTITUTE(IF(LEFT(A1029,3)="Câu","",B1029),CHAR(34),CHAR(92)&amp;CHAR(34))</f>
        <v>Khi xe kéo rơ moóc đã có tín hiệu cho vượt (không có chướng ngại vật phía trước và xe đi ngược chiều), thấy đủ điều kiện an toàn thì vượt dứt khoát, không di chuyển song song bên cạnh xe kéo rơ moóc.</v>
      </c>
      <c r="J1026" t="str">
        <f>SUBSTITUTE(IF(OR(LEFT(A1030,3)="Câu",I1026=""),"",IF(B1030=0,"",B1030)),CHAR(34),CHAR(92)&amp;CHAR(34))</f>
        <v>Khi vượt qua, phải quan sát gương chiếu hậu bên phải nếu có khoảng trống an toàn mới được cho xe chạy vào làn của mình, tắt xi nhan và tiếp tục hành trình.</v>
      </c>
      <c r="K1026" t="str">
        <f>SUBSTITUTE(SUBSTITUTE(SUBSTITUTE(SUBSTITUTE(IFERROR(VLOOKUP("Câu "&amp;D1026&amp;".",dapan!$E:$J,6,0),""),"1","A"),"2","B"),"3","C"),"4","D")</f>
        <v/>
      </c>
      <c r="P1026" t="str">
        <f t="shared" si="53"/>
        <v/>
      </c>
      <c r="Q1026" t="str">
        <f t="shared" si="54"/>
        <v/>
      </c>
    </row>
    <row r="1027" spans="1:17" x14ac:dyDescent="0.25">
      <c r="A1027" t="s">
        <v>884</v>
      </c>
      <c r="C1027">
        <f>IFERROR(COUNTIFS($A$1:A1027,"Câu "&amp;"*")-MID(A1027,5,FIND(".",A1027,1)-5),0)</f>
        <v>0</v>
      </c>
      <c r="D1027">
        <f t="shared" si="55"/>
        <v>251</v>
      </c>
      <c r="E1027" t="str">
        <f>SUBSTITUTE(IF(LEFT(A1027,3)="Câu",MID(A1027,FIND(".",A1027,1)+2,LEN(A1027)),""),CHAR(34),CHAR(92)&amp;CHAR(34))</f>
        <v>Trên đường đôi muốn vượt xe kéo rơ moóc phía trước, người lái xe phải xử lý như thế nào?</v>
      </c>
      <c r="G1027" t="str">
        <f>SUBSTITUTE(B1028,CHAR(34),CHAR(92)&amp;CHAR(34))</f>
        <v>Giữ khoảng cách an toàn, tránh đi vào vị trí điểm mù của xe kéo rơ moóc, bật xi nhan trái đồng thời kết hợp đèn, còi xin vượt.</v>
      </c>
      <c r="H1027" t="str">
        <f>SUBSTITUTE(B1029,CHAR(34),CHAR(92)&amp;CHAR(34))</f>
        <v>Khi xe kéo rơ moóc đã có tín hiệu cho vượt (không có chướng ngại vật phía trước và xe đi ngược chiều), thấy đủ điều kiện an toàn thì vượt dứt khoát, không di chuyển song song bên cạnh xe kéo rơ moóc.</v>
      </c>
      <c r="I1027" t="str">
        <f>SUBSTITUTE(IF(LEFT(A1030,3)="Câu","",B1030),CHAR(34),CHAR(92)&amp;CHAR(34))</f>
        <v>Khi vượt qua, phải quan sát gương chiếu hậu bên phải nếu có khoảng trống an toàn mới được cho xe chạy vào làn của mình, tắt xi nhan và tiếp tục hành trình.</v>
      </c>
      <c r="J1027" t="str">
        <f>SUBSTITUTE(IF(OR(LEFT(A1031,3)="Câu",I1027=""),"",IF(B1031=0,"",B1031)),CHAR(34),CHAR(92)&amp;CHAR(34))</f>
        <v xml:space="preserve"> Cả ba ý trên.</v>
      </c>
      <c r="K1027" t="str">
        <f ca="1">SUBSTITUTE(SUBSTITUTE(SUBSTITUTE(SUBSTITUTE(IFERROR(VLOOKUP("Câu "&amp;D1027&amp;".",dapan!$E:$J,6,0),""),"1","A"),"2","B"),"3","C"),"4","D")</f>
        <v>D</v>
      </c>
      <c r="P1027">
        <f t="shared" ref="P1027:P1090" si="56">D1027</f>
        <v>251</v>
      </c>
      <c r="Q1027" t="str">
        <f t="shared" ref="Q1027:Q1090" ca="1" si="57">IF(D1027="","",CHAR(123)&amp;CHAR(34)&amp;"num"&amp;CHAR(34)&amp;":"&amp;P1027&amp;","&amp;CHAR(34)&amp;"id"&amp;CHAR(34)&amp;":"&amp;D1027&amp;","
&amp;CHAR(34)&amp;"q"&amp;CHAR(34)&amp;":"&amp;CHAR(34)&amp;E1027&amp;CHAR(34)&amp;","
&amp;IF(F1027="","",CHAR(34)&amp;"img"&amp;CHAR(34)&amp;":"&amp;CHAR(34)&amp;F1027&amp;CHAR(34)&amp;",")
&amp;CHAR(34)&amp;"opts"&amp;CHAR(34)&amp;":"&amp;CHAR(123)&amp;CHAR(34)&amp;"A"&amp;CHAR(34)&amp;":"&amp;CHAR(34)&amp;G1027&amp;CHAR(34)&amp;","&amp;CHAR(34)&amp;"B"&amp;CHAR(34)&amp;":"&amp;CHAR(34)&amp;H1027&amp;CHAR(34)
&amp;IF(I1027="","",","&amp;CHAR(34)&amp;"C"&amp;CHAR(34)&amp;":"&amp;CHAR(34)&amp;I1027&amp;CHAR(34))&amp;IF(J1027="","",","&amp;CHAR(34)&amp;"D"&amp;CHAR(34)&amp;":"&amp;CHAR(34)&amp;J1027&amp;CHAR(34))&amp;CHAR(125)&amp;","
&amp;CHAR(34)&amp;"answer"&amp;CHAR(34)&amp;":"&amp;CHAR(34)&amp;K1027&amp;CHAR(34)
&amp;IF(L1027="","",","&amp;CHAR(34)&amp;"danger"&amp;CHAR(34)&amp;":"&amp;CHAR(34)&amp;"true"&amp;CHAR(34))
&amp;IF(M1027="","",","&amp;CHAR(34)&amp;"explain"&amp;CHAR(34)&amp;":"&amp;CHAR(34)&amp;M1027&amp;CHAR(34))
&amp;IF(N1027="","",","&amp;CHAR(34)&amp;"explainImg"&amp;CHAR(34)&amp;":"&amp;CHAR(34)&amp;N1027&amp;CHAR(34))
&amp;IF(O1027="","",","&amp;CHAR(34)&amp;"shuffle"&amp;CHAR(34)&amp;":"&amp;CHAR(34)&amp;"false"&amp;CHAR(34))&amp;CHAR(125)&amp;",")</f>
        <v>{"num":251,"id":251,"q":"Trên đường đôi muốn vượt xe kéo rơ moóc phía trước, người lái xe phải xử lý như thế nào?","opts":{"A":"Giữ khoảng cách an toàn, tránh đi vào vị trí điểm mù của xe kéo rơ moóc, bật xi nhan trái đồng thời kết hợp đèn, còi xin vượt.","B":"Khi xe kéo rơ moóc đã có tín hiệu cho vượt (không có chướng ngại vật phía trước và xe đi ngược chiều), thấy đủ điều kiện an toàn thì vượt dứt khoát, không di chuyển song song bên cạnh xe kéo rơ moóc.","C":"Khi vượt qua, phải quan sát gương chiếu hậu bên phải nếu có khoảng trống an toàn mới được cho xe chạy vào làn của mình, tắt xi nhan và tiếp tục hành trình.","D":" Cả ba ý trên."},"answer":"D"},</v>
      </c>
    </row>
    <row r="1028" spans="1:17" hidden="1" x14ac:dyDescent="0.25">
      <c r="A1028">
        <v>1</v>
      </c>
      <c r="B1028" t="s">
        <v>885</v>
      </c>
      <c r="C1028">
        <f>IFERROR(COUNTIFS($A$1:A1028,"Câu "&amp;"*")-MID(A1028,5,FIND(".",A1028,1)-5),0)</f>
        <v>0</v>
      </c>
      <c r="D1028" t="str">
        <f t="shared" si="55"/>
        <v/>
      </c>
      <c r="E1028" t="str">
        <f>SUBSTITUTE(IF(LEFT(A1028,3)="Câu",MID(A1028,FIND(".",A1028,1)+2,LEN(A1028)),""),CHAR(34),CHAR(92)&amp;CHAR(34))</f>
        <v/>
      </c>
      <c r="G1028" t="str">
        <f>SUBSTITUTE(B1029,CHAR(34),CHAR(92)&amp;CHAR(34))</f>
        <v>Khi xe kéo rơ moóc đã có tín hiệu cho vượt (không có chướng ngại vật phía trước và xe đi ngược chiều), thấy đủ điều kiện an toàn thì vượt dứt khoát, không di chuyển song song bên cạnh xe kéo rơ moóc.</v>
      </c>
      <c r="H1028" t="str">
        <f>SUBSTITUTE(B1030,CHAR(34),CHAR(92)&amp;CHAR(34))</f>
        <v>Khi vượt qua, phải quan sát gương chiếu hậu bên phải nếu có khoảng trống an toàn mới được cho xe chạy vào làn của mình, tắt xi nhan và tiếp tục hành trình.</v>
      </c>
      <c r="I1028" t="str">
        <f>SUBSTITUTE(IF(LEFT(A1031,3)="Câu","",B1031),CHAR(34),CHAR(92)&amp;CHAR(34))</f>
        <v xml:space="preserve"> Cả ba ý trên.</v>
      </c>
      <c r="J1028" t="str">
        <f>SUBSTITUTE(IF(OR(LEFT(A1032,3)="Câu",I1028=""),"",IF(B1032=0,"",B1032)),CHAR(34),CHAR(92)&amp;CHAR(34))</f>
        <v/>
      </c>
      <c r="K1028" t="str">
        <f>SUBSTITUTE(SUBSTITUTE(SUBSTITUTE(SUBSTITUTE(IFERROR(VLOOKUP("Câu "&amp;D1028&amp;".",dapan!$E:$J,6,0),""),"1","A"),"2","B"),"3","C"),"4","D")</f>
        <v/>
      </c>
      <c r="P1028" t="str">
        <f t="shared" si="56"/>
        <v/>
      </c>
      <c r="Q1028" t="str">
        <f t="shared" si="57"/>
        <v/>
      </c>
    </row>
    <row r="1029" spans="1:17" hidden="1" x14ac:dyDescent="0.25">
      <c r="A1029">
        <v>2</v>
      </c>
      <c r="B1029" t="s">
        <v>886</v>
      </c>
      <c r="C1029">
        <f>IFERROR(COUNTIFS($A$1:A1029,"Câu "&amp;"*")-MID(A1029,5,FIND(".",A1029,1)-5),0)</f>
        <v>0</v>
      </c>
      <c r="D1029" t="str">
        <f t="shared" si="55"/>
        <v/>
      </c>
      <c r="E1029" t="str">
        <f>SUBSTITUTE(IF(LEFT(A1029,3)="Câu",MID(A1029,FIND(".",A1029,1)+2,LEN(A1029)),""),CHAR(34),CHAR(92)&amp;CHAR(34))</f>
        <v/>
      </c>
      <c r="G1029" t="str">
        <f>SUBSTITUTE(B1030,CHAR(34),CHAR(92)&amp;CHAR(34))</f>
        <v>Khi vượt qua, phải quan sát gương chiếu hậu bên phải nếu có khoảng trống an toàn mới được cho xe chạy vào làn của mình, tắt xi nhan và tiếp tục hành trình.</v>
      </c>
      <c r="H1029" t="str">
        <f>SUBSTITUTE(B1031,CHAR(34),CHAR(92)&amp;CHAR(34))</f>
        <v xml:space="preserve"> Cả ba ý trên.</v>
      </c>
      <c r="I1029" t="str">
        <f>SUBSTITUTE(IF(LEFT(A1032,3)="Câu","",B1032),CHAR(34),CHAR(92)&amp;CHAR(34))</f>
        <v/>
      </c>
      <c r="J1029" t="str">
        <f>SUBSTITUTE(IF(OR(LEFT(A1033,3)="Câu",I1029=""),"",IF(B1033=0,"",B1033)),CHAR(34),CHAR(92)&amp;CHAR(34))</f>
        <v/>
      </c>
      <c r="K1029" t="str">
        <f>SUBSTITUTE(SUBSTITUTE(SUBSTITUTE(SUBSTITUTE(IFERROR(VLOOKUP("Câu "&amp;D1029&amp;".",dapan!$E:$J,6,0),""),"1","A"),"2","B"),"3","C"),"4","D")</f>
        <v/>
      </c>
      <c r="P1029" t="str">
        <f t="shared" si="56"/>
        <v/>
      </c>
      <c r="Q1029" t="str">
        <f t="shared" si="57"/>
        <v/>
      </c>
    </row>
    <row r="1030" spans="1:17" hidden="1" x14ac:dyDescent="0.25">
      <c r="A1030">
        <v>3</v>
      </c>
      <c r="B1030" t="s">
        <v>887</v>
      </c>
      <c r="C1030">
        <f>IFERROR(COUNTIFS($A$1:A1030,"Câu "&amp;"*")-MID(A1030,5,FIND(".",A1030,1)-5),0)</f>
        <v>0</v>
      </c>
      <c r="D1030" t="str">
        <f t="shared" si="55"/>
        <v/>
      </c>
      <c r="E1030" t="str">
        <f>SUBSTITUTE(IF(LEFT(A1030,3)="Câu",MID(A1030,FIND(".",A1030,1)+2,LEN(A1030)),""),CHAR(34),CHAR(92)&amp;CHAR(34))</f>
        <v/>
      </c>
      <c r="G1030" t="str">
        <f>SUBSTITUTE(B1031,CHAR(34),CHAR(92)&amp;CHAR(34))</f>
        <v xml:space="preserve"> Cả ba ý trên.</v>
      </c>
      <c r="H1030" t="str">
        <f>SUBSTITUTE(B1032,CHAR(34),CHAR(92)&amp;CHAR(34))</f>
        <v/>
      </c>
      <c r="I1030" t="str">
        <f>SUBSTITUTE(IF(LEFT(A1033,3)="Câu","",B1033),CHAR(34),CHAR(92)&amp;CHAR(34))</f>
        <v xml:space="preserve"> Nhả bàn đạp ga, về số thấp, đạp phanh chân với mức độ phù hợp để giảm tốc độ.</v>
      </c>
      <c r="J1030" t="str">
        <f>SUBSTITUTE(IF(OR(LEFT(A1034,3)="Câu",I1030=""),"",IF(B1034=0,"",B1034)),CHAR(34),CHAR(92)&amp;CHAR(34))</f>
        <v>Nhả bàn đạp ga, về số N đạp phanh chân và kéo phanh tay để giảm tốc độ.</v>
      </c>
      <c r="K1030" t="str">
        <f>SUBSTITUTE(SUBSTITUTE(SUBSTITUTE(SUBSTITUTE(IFERROR(VLOOKUP("Câu "&amp;D1030&amp;".",dapan!$E:$J,6,0),""),"1","A"),"2","B"),"3","C"),"4","D")</f>
        <v/>
      </c>
      <c r="P1030" t="str">
        <f t="shared" si="56"/>
        <v/>
      </c>
      <c r="Q1030" t="str">
        <f t="shared" si="57"/>
        <v/>
      </c>
    </row>
    <row r="1031" spans="1:17" hidden="1" x14ac:dyDescent="0.25">
      <c r="A1031">
        <v>4</v>
      </c>
      <c r="B1031" t="s">
        <v>89</v>
      </c>
      <c r="C1031">
        <f>IFERROR(COUNTIFS($A$1:A1031,"Câu "&amp;"*")-MID(A1031,5,FIND(".",A1031,1)-5),0)</f>
        <v>0</v>
      </c>
      <c r="D1031" t="str">
        <f t="shared" si="55"/>
        <v/>
      </c>
      <c r="E1031" t="str">
        <f>SUBSTITUTE(IF(LEFT(A1031,3)="Câu",MID(A1031,FIND(".",A1031,1)+2,LEN(A1031)),""),CHAR(34),CHAR(92)&amp;CHAR(34))</f>
        <v/>
      </c>
      <c r="G1031" t="str">
        <f>SUBSTITUTE(B1032,CHAR(34),CHAR(92)&amp;CHAR(34))</f>
        <v/>
      </c>
      <c r="H1031" t="str">
        <f>SUBSTITUTE(B1033,CHAR(34),CHAR(92)&amp;CHAR(34))</f>
        <v xml:space="preserve"> Nhả bàn đạp ga, về số thấp, đạp phanh chân với mức độ phù hợp để giảm tốc độ.</v>
      </c>
      <c r="I1031" t="str">
        <f>SUBSTITUTE(IF(LEFT(A1034,3)="Câu","",B1034),CHAR(34),CHAR(92)&amp;CHAR(34))</f>
        <v>Nhả bàn đạp ga, về số N đạp phanh chân và kéo phanh tay để giảm tốc độ.</v>
      </c>
      <c r="J1031" t="str">
        <f>SUBSTITUTE(IF(OR(LEFT(A1035,3)="Câu",I1031=""),"",IF(B1035=0,"",B1035)),CHAR(34),CHAR(92)&amp;CHAR(34))</f>
        <v/>
      </c>
      <c r="K1031" t="str">
        <f>SUBSTITUTE(SUBSTITUTE(SUBSTITUTE(SUBSTITUTE(IFERROR(VLOOKUP("Câu "&amp;D1031&amp;".",dapan!$E:$J,6,0),""),"1","A"),"2","B"),"3","C"),"4","D")</f>
        <v/>
      </c>
      <c r="P1031" t="str">
        <f t="shared" si="56"/>
        <v/>
      </c>
      <c r="Q1031" t="str">
        <f t="shared" si="57"/>
        <v/>
      </c>
    </row>
    <row r="1032" spans="1:17" x14ac:dyDescent="0.25">
      <c r="A1032" t="s">
        <v>888</v>
      </c>
      <c r="C1032">
        <f>IFERROR(COUNTIFS($A$1:A1032,"Câu "&amp;"*")-MID(A1032,5,FIND(".",A1032,1)-5),0)</f>
        <v>0</v>
      </c>
      <c r="D1032">
        <f t="shared" si="55"/>
        <v>252</v>
      </c>
      <c r="E1032" t="str">
        <f>SUBSTITUTE(IF(LEFT(A1032,3)="Câu",MID(A1032,FIND(".",A1032,1)+2,LEN(A1032)),""),CHAR(34),CHAR(92)&amp;CHAR(34))</f>
        <v>Khi điều khiển xe ô tô xuống đường dốc dài, độ dốc cao, người lái xe số tự động cần thực hiện các thao tác nào dưới đây để bảo đảm an toàn?</v>
      </c>
      <c r="G1032" t="str">
        <f>SUBSTITUTE(B1033,CHAR(34),CHAR(92)&amp;CHAR(34))</f>
        <v xml:space="preserve"> Nhả bàn đạp ga, về số thấp, đạp phanh chân với mức độ phù hợp để giảm tốc độ.</v>
      </c>
      <c r="H1032" t="str">
        <f>SUBSTITUTE(B1034,CHAR(34),CHAR(92)&amp;CHAR(34))</f>
        <v>Nhả bàn đạp ga, về số N đạp phanh chân và kéo phanh tay để giảm tốc độ.</v>
      </c>
      <c r="I1032" t="str">
        <f>SUBSTITUTE(IF(LEFT(A1035,3)="Câu","",B1035),CHAR(34),CHAR(92)&amp;CHAR(34))</f>
        <v/>
      </c>
      <c r="J1032" t="str">
        <f>SUBSTITUTE(IF(OR(LEFT(A1036,3)="Câu",I1032=""),"",IF(B1036=0,"",B1036)),CHAR(34),CHAR(92)&amp;CHAR(34))</f>
        <v/>
      </c>
      <c r="K1032" t="str">
        <f ca="1">SUBSTITUTE(SUBSTITUTE(SUBSTITUTE(SUBSTITUTE(IFERROR(VLOOKUP("Câu "&amp;D1032&amp;".",dapan!$E:$J,6,0),""),"1","A"),"2","B"),"3","C"),"4","D")</f>
        <v>A</v>
      </c>
      <c r="P1032">
        <f t="shared" si="56"/>
        <v>252</v>
      </c>
      <c r="Q1032" t="str">
        <f t="shared" ca="1" si="57"/>
        <v>{"num":252,"id":252,"q":"Khi điều khiển xe ô tô xuống đường dốc dài, độ dốc cao, người lái xe số tự động cần thực hiện các thao tác nào dưới đây để bảo đảm an toàn?","opts":{"A":" Nhả bàn đạp ga, về số thấp, đạp phanh chân với mức độ phù hợp để giảm tốc độ.","B":"Nhả bàn đạp ga, về số N đạp phanh chân và kéo phanh tay để giảm tốc độ."},"answer":"A"},</v>
      </c>
    </row>
    <row r="1033" spans="1:17" hidden="1" x14ac:dyDescent="0.25">
      <c r="A1033">
        <v>1</v>
      </c>
      <c r="B1033" t="s">
        <v>889</v>
      </c>
      <c r="C1033">
        <f>IFERROR(COUNTIFS($A$1:A1033,"Câu "&amp;"*")-MID(A1033,5,FIND(".",A1033,1)-5),0)</f>
        <v>0</v>
      </c>
      <c r="D1033" t="str">
        <f t="shared" si="55"/>
        <v/>
      </c>
      <c r="E1033" t="str">
        <f>SUBSTITUTE(IF(LEFT(A1033,3)="Câu",MID(A1033,FIND(".",A1033,1)+2,LEN(A1033)),""),CHAR(34),CHAR(92)&amp;CHAR(34))</f>
        <v/>
      </c>
      <c r="G1033" t="str">
        <f>SUBSTITUTE(B1034,CHAR(34),CHAR(92)&amp;CHAR(34))</f>
        <v>Nhả bàn đạp ga, về số N đạp phanh chân và kéo phanh tay để giảm tốc độ.</v>
      </c>
      <c r="H1033" t="str">
        <f>SUBSTITUTE(B1035,CHAR(34),CHAR(92)&amp;CHAR(34))</f>
        <v/>
      </c>
      <c r="I1033" t="str">
        <f>SUBSTITUTE(IF(LEFT(A1036,3)="Câu","",B1036),CHAR(34),CHAR(92)&amp;CHAR(34))</f>
        <v xml:space="preserve"> Quan sát, giảm tốc độ, phát tín hiệu, nhường đường cho xe trên đường chính từ bất kỳ hướng nào tới.</v>
      </c>
      <c r="J1033" t="str">
        <f>SUBSTITUTE(IF(OR(LEFT(A1037,3)="Câu",I1033=""),"",IF(B1037=0,"",B1037)),CHAR(34),CHAR(92)&amp;CHAR(34))</f>
        <v>Nháy đèn, bấm còi để xe đi trên đường chính biết và tăng tốc độ cho xe đi ra đường chính.</v>
      </c>
      <c r="K1033" t="str">
        <f>SUBSTITUTE(SUBSTITUTE(SUBSTITUTE(SUBSTITUTE(IFERROR(VLOOKUP("Câu "&amp;D1033&amp;".",dapan!$E:$J,6,0),""),"1","A"),"2","B"),"3","C"),"4","D")</f>
        <v/>
      </c>
      <c r="P1033" t="str">
        <f t="shared" si="56"/>
        <v/>
      </c>
      <c r="Q1033" t="str">
        <f t="shared" si="57"/>
        <v/>
      </c>
    </row>
    <row r="1034" spans="1:17" hidden="1" x14ac:dyDescent="0.25">
      <c r="A1034">
        <v>2</v>
      </c>
      <c r="B1034" t="s">
        <v>890</v>
      </c>
      <c r="C1034">
        <f>IFERROR(COUNTIFS($A$1:A1034,"Câu "&amp;"*")-MID(A1034,5,FIND(".",A1034,1)-5),0)</f>
        <v>0</v>
      </c>
      <c r="D1034" t="str">
        <f t="shared" si="55"/>
        <v/>
      </c>
      <c r="E1034" t="str">
        <f>SUBSTITUTE(IF(LEFT(A1034,3)="Câu",MID(A1034,FIND(".",A1034,1)+2,LEN(A1034)),""),CHAR(34),CHAR(92)&amp;CHAR(34))</f>
        <v/>
      </c>
      <c r="G1034" t="str">
        <f>SUBSTITUTE(B1035,CHAR(34),CHAR(92)&amp;CHAR(34))</f>
        <v/>
      </c>
      <c r="H1034" t="str">
        <f>SUBSTITUTE(B1036,CHAR(34),CHAR(92)&amp;CHAR(34))</f>
        <v xml:space="preserve"> Quan sát, giảm tốc độ, phát tín hiệu, nhường đường cho xe trên đường chính từ bất kỳ hướng nào tới.</v>
      </c>
      <c r="I1034" t="str">
        <f>SUBSTITUTE(IF(LEFT(A1037,3)="Câu","",B1037),CHAR(34),CHAR(92)&amp;CHAR(34))</f>
        <v>Nháy đèn, bấm còi để xe đi trên đường chính biết và tăng tốc độ cho xe đi ra đường chính.</v>
      </c>
      <c r="J1034" t="str">
        <f>SUBSTITUTE(IF(OR(LEFT(A1038,3)="Câu",I1034=""),"",IF(B1038=0,"",B1038)),CHAR(34),CHAR(92)&amp;CHAR(34))</f>
        <v>Quan sát xe đang đi trên đường chính, nếu là xe có kích thước lớn hơn thì nhường đường, xe có kích thước nhỏ hơn thì tăng tốc độ cho xe đi ra đường chính.</v>
      </c>
      <c r="K1034" t="str">
        <f>SUBSTITUTE(SUBSTITUTE(SUBSTITUTE(SUBSTITUTE(IFERROR(VLOOKUP("Câu "&amp;D1034&amp;".",dapan!$E:$J,6,0),""),"1","A"),"2","B"),"3","C"),"4","D")</f>
        <v/>
      </c>
      <c r="P1034" t="str">
        <f t="shared" si="56"/>
        <v/>
      </c>
      <c r="Q1034" t="str">
        <f t="shared" si="57"/>
        <v/>
      </c>
    </row>
    <row r="1035" spans="1:17" x14ac:dyDescent="0.25">
      <c r="A1035" t="s">
        <v>891</v>
      </c>
      <c r="C1035">
        <f>IFERROR(COUNTIFS($A$1:A1035,"Câu "&amp;"*")-MID(A1035,5,FIND(".",A1035,1)-5),0)</f>
        <v>0</v>
      </c>
      <c r="D1035">
        <f t="shared" si="55"/>
        <v>253</v>
      </c>
      <c r="E1035" t="str">
        <f>SUBSTITUTE(IF(LEFT(A1035,3)="Câu",MID(A1035,FIND(".",A1035,1)+2,LEN(A1035)),""),CHAR(34),CHAR(92)&amp;CHAR(34))</f>
        <v>Khi đi từ đường nhánh ra đường chính, người lái xe phải xử lý như thế nào là đúng?</v>
      </c>
      <c r="G1035" t="str">
        <f>SUBSTITUTE(B1036,CHAR(34),CHAR(92)&amp;CHAR(34))</f>
        <v xml:space="preserve"> Quan sát, giảm tốc độ, phát tín hiệu, nhường đường cho xe trên đường chính từ bất kỳ hướng nào tới.</v>
      </c>
      <c r="H1035" t="str">
        <f>SUBSTITUTE(B1037,CHAR(34),CHAR(92)&amp;CHAR(34))</f>
        <v>Nháy đèn, bấm còi để xe đi trên đường chính biết và tăng tốc độ cho xe đi ra đường chính.</v>
      </c>
      <c r="I1035" t="str">
        <f>SUBSTITUTE(IF(LEFT(A1038,3)="Câu","",B1038),CHAR(34),CHAR(92)&amp;CHAR(34))</f>
        <v>Quan sát xe đang đi trên đường chính, nếu là xe có kích thước lớn hơn thì nhường đường, xe có kích thước nhỏ hơn thì tăng tốc độ cho xe đi ra đường chính.</v>
      </c>
      <c r="J1035" t="str">
        <f>SUBSTITUTE(IF(OR(LEFT(A1039,3)="Câu",I1035=""),"",IF(B1039=0,"",B1039)),CHAR(34),CHAR(92)&amp;CHAR(34))</f>
        <v/>
      </c>
      <c r="K1035" t="str">
        <f ca="1">SUBSTITUTE(SUBSTITUTE(SUBSTITUTE(SUBSTITUTE(IFERROR(VLOOKUP("Câu "&amp;D1035&amp;".",dapan!$E:$J,6,0),""),"1","A"),"2","B"),"3","C"),"4","D")</f>
        <v>A</v>
      </c>
      <c r="P1035">
        <f t="shared" si="56"/>
        <v>253</v>
      </c>
      <c r="Q1035" t="str">
        <f t="shared" ca="1" si="57"/>
        <v>{"num":253,"id":253,"q":"Khi đi từ đường nhánh ra đường chính, người lái xe phải xử lý như thế nào là đúng?","opts":{"A":" Quan sát, giảm tốc độ, phát tín hiệu, nhường đường cho xe trên đường chính từ bất kỳ hướng nào tới.","B":"Nháy đèn, bấm còi để xe đi trên đường chính biết và tăng tốc độ cho xe đi ra đường chính.","C":"Quan sát xe đang đi trên đường chính, nếu là xe có kích thước lớn hơn thì nhường đường, xe có kích thước nhỏ hơn thì tăng tốc độ cho xe đi ra đường chính."},"answer":"A"},</v>
      </c>
    </row>
    <row r="1036" spans="1:17" hidden="1" x14ac:dyDescent="0.25">
      <c r="A1036">
        <v>1</v>
      </c>
      <c r="B1036" t="s">
        <v>892</v>
      </c>
      <c r="C1036">
        <f>IFERROR(COUNTIFS($A$1:A1036,"Câu "&amp;"*")-MID(A1036,5,FIND(".",A1036,1)-5),0)</f>
        <v>0</v>
      </c>
      <c r="D1036" t="str">
        <f t="shared" si="55"/>
        <v/>
      </c>
      <c r="E1036" t="str">
        <f>SUBSTITUTE(IF(LEFT(A1036,3)="Câu",MID(A1036,FIND(".",A1036,1)+2,LEN(A1036)),""),CHAR(34),CHAR(92)&amp;CHAR(34))</f>
        <v/>
      </c>
      <c r="G1036" t="str">
        <f>SUBSTITUTE(B1037,CHAR(34),CHAR(92)&amp;CHAR(34))</f>
        <v>Nháy đèn, bấm còi để xe đi trên đường chính biết và tăng tốc độ cho xe đi ra đường chính.</v>
      </c>
      <c r="H1036" t="str">
        <f>SUBSTITUTE(B1038,CHAR(34),CHAR(92)&amp;CHAR(34))</f>
        <v>Quan sát xe đang đi trên đường chính, nếu là xe có kích thước lớn hơn thì nhường đường, xe có kích thước nhỏ hơn thì tăng tốc độ cho xe đi ra đường chính.</v>
      </c>
      <c r="I1036" t="str">
        <f>SUBSTITUTE(IF(LEFT(A1039,3)="Câu","",B1039),CHAR(34),CHAR(92)&amp;CHAR(34))</f>
        <v/>
      </c>
      <c r="J1036" t="str">
        <f>SUBSTITUTE(IF(OR(LEFT(A1040,3)="Câu",I1036=""),"",IF(B1040=0,"",B1040)),CHAR(34),CHAR(92)&amp;CHAR(34))</f>
        <v/>
      </c>
      <c r="K1036" t="str">
        <f>SUBSTITUTE(SUBSTITUTE(SUBSTITUTE(SUBSTITUTE(IFERROR(VLOOKUP("Câu "&amp;D1036&amp;".",dapan!$E:$J,6,0),""),"1","A"),"2","B"),"3","C"),"4","D")</f>
        <v/>
      </c>
      <c r="P1036" t="str">
        <f t="shared" si="56"/>
        <v/>
      </c>
      <c r="Q1036" t="str">
        <f t="shared" si="57"/>
        <v/>
      </c>
    </row>
    <row r="1037" spans="1:17" hidden="1" x14ac:dyDescent="0.25">
      <c r="A1037">
        <v>2</v>
      </c>
      <c r="B1037" t="s">
        <v>893</v>
      </c>
      <c r="C1037">
        <f>IFERROR(COUNTIFS($A$1:A1037,"Câu "&amp;"*")-MID(A1037,5,FIND(".",A1037,1)-5),0)</f>
        <v>0</v>
      </c>
      <c r="D1037" t="str">
        <f t="shared" si="55"/>
        <v/>
      </c>
      <c r="E1037" t="str">
        <f>SUBSTITUTE(IF(LEFT(A1037,3)="Câu",MID(A1037,FIND(".",A1037,1)+2,LEN(A1037)),""),CHAR(34),CHAR(92)&amp;CHAR(34))</f>
        <v/>
      </c>
      <c r="G1037" t="str">
        <f>SUBSTITUTE(B1038,CHAR(34),CHAR(92)&amp;CHAR(34))</f>
        <v>Quan sát xe đang đi trên đường chính, nếu là xe có kích thước lớn hơn thì nhường đường, xe có kích thước nhỏ hơn thì tăng tốc độ cho xe đi ra đường chính.</v>
      </c>
      <c r="H1037" t="str">
        <f>SUBSTITUTE(B1039,CHAR(34),CHAR(92)&amp;CHAR(34))</f>
        <v/>
      </c>
      <c r="I1037" t="str">
        <f>SUBSTITUTE(IF(LEFT(A1040,3)="Câu","",B1040),CHAR(34),CHAR(92)&amp;CHAR(34))</f>
        <v>Giảm tốc độ để bảo đảm an toàn với xe phía trước và sử dụng điện thoại để liên lạc.</v>
      </c>
      <c r="J1037" t="str">
        <f>SUBSTITUTE(IF(OR(LEFT(A1041,3)="Câu",I1037=""),"",IF(B1041=0,"",B1041)),CHAR(34),CHAR(92)&amp;CHAR(34))</f>
        <v xml:space="preserve"> Giảm tốc độ để dừng xe ở nơi cho phép sau đó sử dụng điện thoại để liên lạc.</v>
      </c>
      <c r="K1037" t="str">
        <f>SUBSTITUTE(SUBSTITUTE(SUBSTITUTE(SUBSTITUTE(IFERROR(VLOOKUP("Câu "&amp;D1037&amp;".",dapan!$E:$J,6,0),""),"1","A"),"2","B"),"3","C"),"4","D")</f>
        <v/>
      </c>
      <c r="P1037" t="str">
        <f t="shared" si="56"/>
        <v/>
      </c>
      <c r="Q1037" t="str">
        <f t="shared" si="57"/>
        <v/>
      </c>
    </row>
    <row r="1038" spans="1:17" hidden="1" x14ac:dyDescent="0.25">
      <c r="A1038">
        <v>3</v>
      </c>
      <c r="B1038" t="s">
        <v>1765</v>
      </c>
      <c r="C1038">
        <f>IFERROR(COUNTIFS($A$1:A1038,"Câu "&amp;"*")-MID(A1038,5,FIND(".",A1038,1)-5),0)</f>
        <v>0</v>
      </c>
      <c r="D1038" t="str">
        <f t="shared" si="55"/>
        <v/>
      </c>
      <c r="E1038" t="str">
        <f>SUBSTITUTE(IF(LEFT(A1038,3)="Câu",MID(A1038,FIND(".",A1038,1)+2,LEN(A1038)),""),CHAR(34),CHAR(92)&amp;CHAR(34))</f>
        <v/>
      </c>
      <c r="G1038" t="str">
        <f>SUBSTITUTE(B1039,CHAR(34),CHAR(92)&amp;CHAR(34))</f>
        <v/>
      </c>
      <c r="H1038" t="str">
        <f>SUBSTITUTE(B1040,CHAR(34),CHAR(92)&amp;CHAR(34))</f>
        <v>Giảm tốc độ để bảo đảm an toàn với xe phía trước và sử dụng điện thoại để liên lạc.</v>
      </c>
      <c r="I1038" t="str">
        <f>SUBSTITUTE(IF(LEFT(A1041,3)="Câu","",B1041),CHAR(34),CHAR(92)&amp;CHAR(34))</f>
        <v xml:space="preserve"> Giảm tốc độ để dừng xe ở nơi cho phép sau đó sử dụng điện thoại để liên lạc.</v>
      </c>
      <c r="J1038" t="str">
        <f>SUBSTITUTE(IF(OR(LEFT(A1042,3)="Câu",I1038=""),"",IF(B1042=0,"",B1042)),CHAR(34),CHAR(92)&amp;CHAR(34))</f>
        <v>Tăng tốc độ để cách xa xe phía sau và sử dụng điện thoại để liên lạc.</v>
      </c>
      <c r="K1038" t="str">
        <f>SUBSTITUTE(SUBSTITUTE(SUBSTITUTE(SUBSTITUTE(IFERROR(VLOOKUP("Câu "&amp;D1038&amp;".",dapan!$E:$J,6,0),""),"1","A"),"2","B"),"3","C"),"4","D")</f>
        <v/>
      </c>
      <c r="P1038" t="str">
        <f t="shared" si="56"/>
        <v/>
      </c>
      <c r="Q1038" t="str">
        <f t="shared" si="57"/>
        <v/>
      </c>
    </row>
    <row r="1039" spans="1:17" x14ac:dyDescent="0.25">
      <c r="A1039" t="s">
        <v>1766</v>
      </c>
      <c r="C1039">
        <f>IFERROR(COUNTIFS($A$1:A1039,"Câu "&amp;"*")-MID(A1039,5,FIND(".",A1039,1)-5),0)</f>
        <v>0</v>
      </c>
      <c r="D1039">
        <f t="shared" si="55"/>
        <v>254</v>
      </c>
      <c r="E1039" t="str">
        <f>SUBSTITUTE(IF(LEFT(A1039,3)="Câu",MID(A1039,FIND(".",A1039,1)+2,LEN(A1039)),""),CHAR(34),CHAR(92)&amp;CHAR(34))</f>
        <v>Khi đang lái xe mô tô hoặc ô tô, nếu có nhu cầu sử dụng điện thoại để nhắn tin hoặc gọi điện, người lái xe phải thực hiện như thế nào trong các tình huống nêu dưới đây?</v>
      </c>
      <c r="G1039" t="str">
        <f>SUBSTITUTE(B1040,CHAR(34),CHAR(92)&amp;CHAR(34))</f>
        <v>Giảm tốc độ để bảo đảm an toàn với xe phía trước và sử dụng điện thoại để liên lạc.</v>
      </c>
      <c r="H1039" t="str">
        <f>SUBSTITUTE(B1041,CHAR(34),CHAR(92)&amp;CHAR(34))</f>
        <v xml:space="preserve"> Giảm tốc độ để dừng xe ở nơi cho phép sau đó sử dụng điện thoại để liên lạc.</v>
      </c>
      <c r="I1039" t="str">
        <f>SUBSTITUTE(IF(LEFT(A1042,3)="Câu","",B1042),CHAR(34),CHAR(92)&amp;CHAR(34))</f>
        <v>Tăng tốc độ để cách xa xe phía sau và sử dụng điện thoại để liên lạc.</v>
      </c>
      <c r="J1039" t="str">
        <f>SUBSTITUTE(IF(OR(LEFT(A1043,3)="Câu",I1039=""),"",IF(B1043=0,"",B1043)),CHAR(34),CHAR(92)&amp;CHAR(34))</f>
        <v/>
      </c>
      <c r="K1039" t="str">
        <f ca="1">SUBSTITUTE(SUBSTITUTE(SUBSTITUTE(SUBSTITUTE(IFERROR(VLOOKUP("Câu "&amp;D1039&amp;".",dapan!$E:$J,6,0),""),"1","A"),"2","B"),"3","C"),"4","D")</f>
        <v>B</v>
      </c>
      <c r="P1039">
        <f t="shared" si="56"/>
        <v>254</v>
      </c>
      <c r="Q1039" t="str">
        <f t="shared" ca="1" si="57"/>
        <v>{"num":254,"id":254,"q":"Khi đang lái xe mô tô hoặc ô tô, nếu có nhu cầu sử dụng điện thoại để nhắn tin hoặc gọi điện, người lái xe phải thực hiện như thế nào trong các tình huống nêu dưới đây?","opts":{"A":"Giảm tốc độ để bảo đảm an toàn với xe phía trước và sử dụng điện thoại để liên lạc.","B":" Giảm tốc độ để dừng xe ở nơi cho phép sau đó sử dụng điện thoại để liên lạc.","C":"Tăng tốc độ để cách xa xe phía sau và sử dụng điện thoại để liên lạc."},"answer":"B"},</v>
      </c>
    </row>
    <row r="1040" spans="1:17" hidden="1" x14ac:dyDescent="0.25">
      <c r="A1040">
        <v>1</v>
      </c>
      <c r="B1040" t="s">
        <v>894</v>
      </c>
      <c r="C1040">
        <f>IFERROR(COUNTIFS($A$1:A1040,"Câu "&amp;"*")-MID(A1040,5,FIND(".",A1040,1)-5),0)</f>
        <v>0</v>
      </c>
      <c r="D1040" t="str">
        <f t="shared" si="55"/>
        <v/>
      </c>
      <c r="E1040" t="str">
        <f>SUBSTITUTE(IF(LEFT(A1040,3)="Câu",MID(A1040,FIND(".",A1040,1)+2,LEN(A1040)),""),CHAR(34),CHAR(92)&amp;CHAR(34))</f>
        <v/>
      </c>
      <c r="G1040" t="str">
        <f>SUBSTITUTE(B1041,CHAR(34),CHAR(92)&amp;CHAR(34))</f>
        <v xml:space="preserve"> Giảm tốc độ để dừng xe ở nơi cho phép sau đó sử dụng điện thoại để liên lạc.</v>
      </c>
      <c r="H1040" t="str">
        <f>SUBSTITUTE(B1042,CHAR(34),CHAR(92)&amp;CHAR(34))</f>
        <v>Tăng tốc độ để cách xa xe phía sau và sử dụng điện thoại để liên lạc.</v>
      </c>
      <c r="I1040" t="str">
        <f>SUBSTITUTE(IF(LEFT(A1043,3)="Câu","",B1043),CHAR(34),CHAR(92)&amp;CHAR(34))</f>
        <v/>
      </c>
      <c r="J1040" t="str">
        <f>SUBSTITUTE(IF(OR(LEFT(A1044,3)="Câu",I1040=""),"",IF(B1044=0,"",B1044)),CHAR(34),CHAR(92)&amp;CHAR(34))</f>
        <v/>
      </c>
      <c r="K1040" t="str">
        <f>SUBSTITUTE(SUBSTITUTE(SUBSTITUTE(SUBSTITUTE(IFERROR(VLOOKUP("Câu "&amp;D1040&amp;".",dapan!$E:$J,6,0),""),"1","A"),"2","B"),"3","C"),"4","D")</f>
        <v/>
      </c>
      <c r="P1040" t="str">
        <f t="shared" si="56"/>
        <v/>
      </c>
      <c r="Q1040" t="str">
        <f t="shared" si="57"/>
        <v/>
      </c>
    </row>
    <row r="1041" spans="1:17" hidden="1" x14ac:dyDescent="0.25">
      <c r="A1041">
        <v>2</v>
      </c>
      <c r="B1041" t="s">
        <v>895</v>
      </c>
      <c r="C1041">
        <f>IFERROR(COUNTIFS($A$1:A1041,"Câu "&amp;"*")-MID(A1041,5,FIND(".",A1041,1)-5),0)</f>
        <v>0</v>
      </c>
      <c r="D1041" t="str">
        <f t="shared" si="55"/>
        <v/>
      </c>
      <c r="E1041" t="str">
        <f>SUBSTITUTE(IF(LEFT(A1041,3)="Câu",MID(A1041,FIND(".",A1041,1)+2,LEN(A1041)),""),CHAR(34),CHAR(92)&amp;CHAR(34))</f>
        <v/>
      </c>
      <c r="G1041" t="str">
        <f>SUBSTITUTE(B1042,CHAR(34),CHAR(92)&amp;CHAR(34))</f>
        <v>Tăng tốc độ để cách xa xe phía sau và sử dụng điện thoại để liên lạc.</v>
      </c>
      <c r="H1041" t="str">
        <f>SUBSTITUTE(B1043,CHAR(34),CHAR(92)&amp;CHAR(34))</f>
        <v/>
      </c>
      <c r="I1041" t="str">
        <f>SUBSTITUTE(IF(LEFT(A1044,3)="Câu","",B1044),CHAR(34),CHAR(92)&amp;CHAR(34))</f>
        <v>Sử dụng còi.</v>
      </c>
      <c r="J1041" t="str">
        <f>SUBSTITUTE(IF(OR(LEFT(A1045,3)="Câu",I1041=""),"",IF(B1045=0,"",B1045)),CHAR(34),CHAR(92)&amp;CHAR(34))</f>
        <v>Phanh đồng thời cả phanh trước và phanh sau.</v>
      </c>
      <c r="K1041" t="str">
        <f>SUBSTITUTE(SUBSTITUTE(SUBSTITUTE(SUBSTITUTE(IFERROR(VLOOKUP("Câu "&amp;D1041&amp;".",dapan!$E:$J,6,0),""),"1","A"),"2","B"),"3","C"),"4","D")</f>
        <v/>
      </c>
      <c r="P1041" t="str">
        <f t="shared" si="56"/>
        <v/>
      </c>
      <c r="Q1041" t="str">
        <f t="shared" si="57"/>
        <v/>
      </c>
    </row>
    <row r="1042" spans="1:17" hidden="1" x14ac:dyDescent="0.25">
      <c r="A1042">
        <v>3</v>
      </c>
      <c r="B1042" t="s">
        <v>896</v>
      </c>
      <c r="C1042">
        <f>IFERROR(COUNTIFS($A$1:A1042,"Câu "&amp;"*")-MID(A1042,5,FIND(".",A1042,1)-5),0)</f>
        <v>0</v>
      </c>
      <c r="D1042" t="str">
        <f t="shared" si="55"/>
        <v/>
      </c>
      <c r="E1042" t="str">
        <f>SUBSTITUTE(IF(LEFT(A1042,3)="Câu",MID(A1042,FIND(".",A1042,1)+2,LEN(A1042)),""),CHAR(34),CHAR(92)&amp;CHAR(34))</f>
        <v/>
      </c>
      <c r="G1042" t="str">
        <f>SUBSTITUTE(B1043,CHAR(34),CHAR(92)&amp;CHAR(34))</f>
        <v/>
      </c>
      <c r="H1042" t="str">
        <f>SUBSTITUTE(B1044,CHAR(34),CHAR(92)&amp;CHAR(34))</f>
        <v>Sử dụng còi.</v>
      </c>
      <c r="I1042" t="str">
        <f>SUBSTITUTE(IF(LEFT(A1045,3)="Câu","",B1045),CHAR(34),CHAR(92)&amp;CHAR(34))</f>
        <v>Phanh đồng thời cả phanh trước và phanh sau.</v>
      </c>
      <c r="J1042" t="str">
        <f>SUBSTITUTE(IF(OR(LEFT(A1046,3)="Câu",I1042=""),"",IF(B1046=0,"",B1046)),CHAR(34),CHAR(92)&amp;CHAR(34))</f>
        <v xml:space="preserve"> Chỉ sử dụng phanh trước.</v>
      </c>
      <c r="K1042" t="str">
        <f>SUBSTITUTE(SUBSTITUTE(SUBSTITUTE(SUBSTITUTE(IFERROR(VLOOKUP("Câu "&amp;D1042&amp;".",dapan!$E:$J,6,0),""),"1","A"),"2","B"),"3","C"),"4","D")</f>
        <v/>
      </c>
      <c r="P1042" t="str">
        <f t="shared" si="56"/>
        <v/>
      </c>
      <c r="Q1042" t="str">
        <f t="shared" si="57"/>
        <v/>
      </c>
    </row>
    <row r="1043" spans="1:17" x14ac:dyDescent="0.25">
      <c r="A1043" t="s">
        <v>897</v>
      </c>
      <c r="C1043">
        <f>IFERROR(COUNTIFS($A$1:A1043,"Câu "&amp;"*")-MID(A1043,5,FIND(".",A1043,1)-5),0)</f>
        <v>0</v>
      </c>
      <c r="D1043">
        <f t="shared" si="55"/>
        <v>255</v>
      </c>
      <c r="E1043" t="str">
        <f>SUBSTITUTE(IF(LEFT(A1043,3)="Câu",MID(A1043,FIND(".",A1043,1)+2,LEN(A1043)),""),CHAR(34),CHAR(92)&amp;CHAR(34))</f>
        <v>Những thói quen nào dưới đây khi điều khiển xe mô tô tay ga tham gia giao thông dễ gây tai nạn nguy hiểm?</v>
      </c>
      <c r="G1043" t="str">
        <f>SUBSTITUTE(B1044,CHAR(34),CHAR(92)&amp;CHAR(34))</f>
        <v>Sử dụng còi.</v>
      </c>
      <c r="H1043" t="str">
        <f>SUBSTITUTE(B1045,CHAR(34),CHAR(92)&amp;CHAR(34))</f>
        <v>Phanh đồng thời cả phanh trước và phanh sau.</v>
      </c>
      <c r="I1043" t="str">
        <f>SUBSTITUTE(IF(LEFT(A1046,3)="Câu","",B1046),CHAR(34),CHAR(92)&amp;CHAR(34))</f>
        <v xml:space="preserve"> Chỉ sử dụng phanh trước.</v>
      </c>
      <c r="J1043" t="str">
        <f>SUBSTITUTE(IF(OR(LEFT(A1047,3)="Câu",I1043=""),"",IF(B1047=0,"",B1047)),CHAR(34),CHAR(92)&amp;CHAR(34))</f>
        <v/>
      </c>
      <c r="K1043" t="str">
        <f ca="1">SUBSTITUTE(SUBSTITUTE(SUBSTITUTE(SUBSTITUTE(IFERROR(VLOOKUP("Câu "&amp;D1043&amp;".",dapan!$E:$J,6,0),""),"1","A"),"2","B"),"3","C"),"4","D")</f>
        <v>C</v>
      </c>
      <c r="P1043">
        <f t="shared" si="56"/>
        <v>255</v>
      </c>
      <c r="Q1043" t="str">
        <f t="shared" ca="1" si="57"/>
        <v>{"num":255,"id":255,"q":"Những thói quen nào dưới đây khi điều khiển xe mô tô tay ga tham gia giao thông dễ gây tai nạn nguy hiểm?","opts":{"A":"Sử dụng còi.","B":"Phanh đồng thời cả phanh trước và phanh sau.","C":" Chỉ sử dụng phanh trước."},"answer":"C"},</v>
      </c>
    </row>
    <row r="1044" spans="1:17" hidden="1" x14ac:dyDescent="0.25">
      <c r="A1044">
        <v>1</v>
      </c>
      <c r="B1044" t="s">
        <v>898</v>
      </c>
      <c r="C1044">
        <f>IFERROR(COUNTIFS($A$1:A1044,"Câu "&amp;"*")-MID(A1044,5,FIND(".",A1044,1)-5),0)</f>
        <v>0</v>
      </c>
      <c r="D1044" t="str">
        <f t="shared" si="55"/>
        <v/>
      </c>
      <c r="E1044" t="str">
        <f>SUBSTITUTE(IF(LEFT(A1044,3)="Câu",MID(A1044,FIND(".",A1044,1)+2,LEN(A1044)),""),CHAR(34),CHAR(92)&amp;CHAR(34))</f>
        <v/>
      </c>
      <c r="G1044" t="str">
        <f>SUBSTITUTE(B1045,CHAR(34),CHAR(92)&amp;CHAR(34))</f>
        <v>Phanh đồng thời cả phanh trước và phanh sau.</v>
      </c>
      <c r="H1044" t="str">
        <f>SUBSTITUTE(B1046,CHAR(34),CHAR(92)&amp;CHAR(34))</f>
        <v xml:space="preserve"> Chỉ sử dụng phanh trước.</v>
      </c>
      <c r="I1044" t="str">
        <f>SUBSTITUTE(IF(LEFT(A1047,3)="Câu","",B1047),CHAR(34),CHAR(92)&amp;CHAR(34))</f>
        <v/>
      </c>
      <c r="J1044" t="str">
        <f>SUBSTITUTE(IF(OR(LEFT(A1048,3)="Câu",I1044=""),"",IF(B1048=0,"",B1048)),CHAR(34),CHAR(92)&amp;CHAR(34))</f>
        <v/>
      </c>
      <c r="K1044" t="str">
        <f>SUBSTITUTE(SUBSTITUTE(SUBSTITUTE(SUBSTITUTE(IFERROR(VLOOKUP("Câu "&amp;D1044&amp;".",dapan!$E:$J,6,0),""),"1","A"),"2","B"),"3","C"),"4","D")</f>
        <v/>
      </c>
      <c r="P1044" t="str">
        <f t="shared" si="56"/>
        <v/>
      </c>
      <c r="Q1044" t="str">
        <f t="shared" si="57"/>
        <v/>
      </c>
    </row>
    <row r="1045" spans="1:17" hidden="1" x14ac:dyDescent="0.25">
      <c r="A1045">
        <v>2</v>
      </c>
      <c r="B1045" t="s">
        <v>899</v>
      </c>
      <c r="C1045">
        <f>IFERROR(COUNTIFS($A$1:A1045,"Câu "&amp;"*")-MID(A1045,5,FIND(".",A1045,1)-5),0)</f>
        <v>0</v>
      </c>
      <c r="D1045" t="str">
        <f t="shared" si="55"/>
        <v/>
      </c>
      <c r="E1045" t="str">
        <f>SUBSTITUTE(IF(LEFT(A1045,3)="Câu",MID(A1045,FIND(".",A1045,1)+2,LEN(A1045)),""),CHAR(34),CHAR(92)&amp;CHAR(34))</f>
        <v/>
      </c>
      <c r="G1045" t="str">
        <f>SUBSTITUTE(B1046,CHAR(34),CHAR(92)&amp;CHAR(34))</f>
        <v xml:space="preserve"> Chỉ sử dụng phanh trước.</v>
      </c>
      <c r="H1045" t="str">
        <f>SUBSTITUTE(B1047,CHAR(34),CHAR(92)&amp;CHAR(34))</f>
        <v/>
      </c>
      <c r="I1045" t="str">
        <f>SUBSTITUTE(IF(LEFT(A1048,3)="Câu","",B1048),CHAR(34),CHAR(92)&amp;CHAR(34))</f>
        <v xml:space="preserve"> Quan sát phía trước, phía sau và bên phía mở cửa để phát hiện các phương tiện đang di chuyển tới gần, khi đủ điều kiện an toàn, mở hé cửa, sau đó mở ở mức cần thiết để xuống xe.</v>
      </c>
      <c r="J1045" t="str">
        <f>SUBSTITUTE(IF(OR(LEFT(A1049,3)="Câu",I1045=""),"",IF(B1049=0,"",B1049)),CHAR(34),CHAR(92)&amp;CHAR(34))</f>
        <v>Quan sát tình hình giao thông phía trước, không cần quan sát phía sau và bên mở cửa; mở cánh cửa hết hành trình và nhanh chóng ra khỏi xe ô tô.</v>
      </c>
      <c r="K1045" t="str">
        <f>SUBSTITUTE(SUBSTITUTE(SUBSTITUTE(SUBSTITUTE(IFERROR(VLOOKUP("Câu "&amp;D1045&amp;".",dapan!$E:$J,6,0),""),"1","A"),"2","B"),"3","C"),"4","D")</f>
        <v/>
      </c>
      <c r="P1045" t="str">
        <f t="shared" si="56"/>
        <v/>
      </c>
      <c r="Q1045" t="str">
        <f t="shared" si="57"/>
        <v/>
      </c>
    </row>
    <row r="1046" spans="1:17" hidden="1" x14ac:dyDescent="0.25">
      <c r="A1046">
        <v>3</v>
      </c>
      <c r="B1046" t="s">
        <v>900</v>
      </c>
      <c r="C1046">
        <f>IFERROR(COUNTIFS($A$1:A1046,"Câu "&amp;"*")-MID(A1046,5,FIND(".",A1046,1)-5),0)</f>
        <v>0</v>
      </c>
      <c r="D1046" t="str">
        <f t="shared" si="55"/>
        <v/>
      </c>
      <c r="E1046" t="str">
        <f>SUBSTITUTE(IF(LEFT(A1046,3)="Câu",MID(A1046,FIND(".",A1046,1)+2,LEN(A1046)),""),CHAR(34),CHAR(92)&amp;CHAR(34))</f>
        <v/>
      </c>
      <c r="G1046" t="str">
        <f>SUBSTITUTE(B1047,CHAR(34),CHAR(92)&amp;CHAR(34))</f>
        <v/>
      </c>
      <c r="H1046" t="str">
        <f>SUBSTITUTE(B1048,CHAR(34),CHAR(92)&amp;CHAR(34))</f>
        <v xml:space="preserve"> Quan sát phía trước, phía sau và bên phía mở cửa để phát hiện các phương tiện đang di chuyển tới gần, khi đủ điều kiện an toàn, mở hé cửa, sau đó mở ở mức cần thiết để xuống xe.</v>
      </c>
      <c r="I1046" t="str">
        <f>SUBSTITUTE(IF(LEFT(A1049,3)="Câu","",B1049),CHAR(34),CHAR(92)&amp;CHAR(34))</f>
        <v>Quan sát tình hình giao thông phía trước, không cần quan sát phía sau và bên mở cửa; mở cánh cửa hết hành trình và nhanh chóng ra khỏi xe ô tô.</v>
      </c>
      <c r="J1046" t="str">
        <f>SUBSTITUTE(IF(OR(LEFT(A1050,3)="Câu",I1046=""),"",IF(B1050=0,"",B1050)),CHAR(34),CHAR(92)&amp;CHAR(34))</f>
        <v/>
      </c>
      <c r="K1046" t="str">
        <f>SUBSTITUTE(SUBSTITUTE(SUBSTITUTE(SUBSTITUTE(IFERROR(VLOOKUP("Câu "&amp;D1046&amp;".",dapan!$E:$J,6,0),""),"1","A"),"2","B"),"3","C"),"4","D")</f>
        <v/>
      </c>
      <c r="P1046" t="str">
        <f t="shared" si="56"/>
        <v/>
      </c>
      <c r="Q1046" t="str">
        <f t="shared" si="57"/>
        <v/>
      </c>
    </row>
    <row r="1047" spans="1:17" x14ac:dyDescent="0.25">
      <c r="A1047" t="s">
        <v>901</v>
      </c>
      <c r="C1047">
        <f>IFERROR(COUNTIFS($A$1:A1047,"Câu "&amp;"*")-MID(A1047,5,FIND(".",A1047,1)-5),0)</f>
        <v>0</v>
      </c>
      <c r="D1047">
        <f t="shared" si="55"/>
        <v>256</v>
      </c>
      <c r="E1047" t="str">
        <f>SUBSTITUTE(IF(LEFT(A1047,3)="Câu",MID(A1047,FIND(".",A1047,1)+2,LEN(A1047)),""),CHAR(34),CHAR(92)&amp;CHAR(34))</f>
        <v>Người ngồi trên xe ô tô cần thực hiện những thao tác mở cửa như thế nào dưới đây để xuống xe để bảo đảm an toàn?</v>
      </c>
      <c r="G1047" t="str">
        <f>SUBSTITUTE(B1048,CHAR(34),CHAR(92)&amp;CHAR(34))</f>
        <v xml:space="preserve"> Quan sát phía trước, phía sau và bên phía mở cửa để phát hiện các phương tiện đang di chuyển tới gần, khi đủ điều kiện an toàn, mở hé cửa, sau đó mở ở mức cần thiết để xuống xe.</v>
      </c>
      <c r="H1047" t="str">
        <f>SUBSTITUTE(B1049,CHAR(34),CHAR(92)&amp;CHAR(34))</f>
        <v>Quan sát tình hình giao thông phía trước, không cần quan sát phía sau và bên mở cửa; mở cánh cửa hết hành trình và nhanh chóng ra khỏi xe ô tô.</v>
      </c>
      <c r="I1047" t="str">
        <f>SUBSTITUTE(IF(LEFT(A1050,3)="Câu","",B1050),CHAR(34),CHAR(92)&amp;CHAR(34))</f>
        <v/>
      </c>
      <c r="J1047" t="str">
        <f>SUBSTITUTE(IF(OR(LEFT(A1051,3)="Câu",I1047=""),"",IF(B1051=0,"",B1051)),CHAR(34),CHAR(92)&amp;CHAR(34))</f>
        <v/>
      </c>
      <c r="K1047" t="str">
        <f ca="1">SUBSTITUTE(SUBSTITUTE(SUBSTITUTE(SUBSTITUTE(IFERROR(VLOOKUP("Câu "&amp;D1047&amp;".",dapan!$E:$J,6,0),""),"1","A"),"2","B"),"3","C"),"4","D")</f>
        <v>A</v>
      </c>
      <c r="P1047">
        <f t="shared" si="56"/>
        <v>256</v>
      </c>
      <c r="Q1047" t="str">
        <f t="shared" ca="1" si="57"/>
        <v>{"num":256,"id":256,"q":"Người ngồi trên xe ô tô cần thực hiện những thao tác mở cửa như thế nào dưới đây để xuống xe để bảo đảm an toàn?","opts":{"A":" Quan sát phía trước, phía sau và bên phía mở cửa để phát hiện các phương tiện đang di chuyển tới gần, khi đủ điều kiện an toàn, mở hé cửa, sau đó mở ở mức cần thiết để xuống xe.","B":"Quan sát tình hình giao thông phía trước, không cần quan sát phía sau và bên mở cửa; mở cánh cửa hết hành trình và nhanh chóng ra khỏi xe ô tô."},"answer":"A"},</v>
      </c>
    </row>
    <row r="1048" spans="1:17" hidden="1" x14ac:dyDescent="0.25">
      <c r="A1048">
        <v>1</v>
      </c>
      <c r="B1048" t="s">
        <v>902</v>
      </c>
      <c r="C1048">
        <f>IFERROR(COUNTIFS($A$1:A1048,"Câu "&amp;"*")-MID(A1048,5,FIND(".",A1048,1)-5),0)</f>
        <v>0</v>
      </c>
      <c r="D1048" t="str">
        <f t="shared" si="55"/>
        <v/>
      </c>
      <c r="E1048" t="str">
        <f>SUBSTITUTE(IF(LEFT(A1048,3)="Câu",MID(A1048,FIND(".",A1048,1)+2,LEN(A1048)),""),CHAR(34),CHAR(92)&amp;CHAR(34))</f>
        <v/>
      </c>
      <c r="G1048" t="str">
        <f>SUBSTITUTE(B1049,CHAR(34),CHAR(92)&amp;CHAR(34))</f>
        <v>Quan sát tình hình giao thông phía trước, không cần quan sát phía sau và bên mở cửa; mở cánh cửa hết hành trình và nhanh chóng ra khỏi xe ô tô.</v>
      </c>
      <c r="H1048" t="str">
        <f>SUBSTITUTE(B1050,CHAR(34),CHAR(92)&amp;CHAR(34))</f>
        <v/>
      </c>
      <c r="I1048" t="str">
        <f>SUBSTITUTE(IF(LEFT(A1051,3)="Câu","",B1051),CHAR(34),CHAR(92)&amp;CHAR(34))</f>
        <v>Bật tín hiệu báo rẽ trước khi quay đầu, từ từ giảm tốc độ đến mức có thể dừng lại.</v>
      </c>
      <c r="J1048" t="str">
        <f>SUBSTITUTE(IF(OR(LEFT(A1052,3)="Câu",I1048=""),"",IF(B1052=0,"",B1052)),CHAR(34),CHAR(92)&amp;CHAR(34))</f>
        <v>Chỉ quay đầu xe tại những nơi được phép quay đầu.</v>
      </c>
      <c r="K1048" t="str">
        <f>SUBSTITUTE(SUBSTITUTE(SUBSTITUTE(SUBSTITUTE(IFERROR(VLOOKUP("Câu "&amp;D1048&amp;".",dapan!$E:$J,6,0),""),"1","A"),"2","B"),"3","C"),"4","D")</f>
        <v/>
      </c>
      <c r="P1048" t="str">
        <f t="shared" si="56"/>
        <v/>
      </c>
      <c r="Q1048" t="str">
        <f t="shared" si="57"/>
        <v/>
      </c>
    </row>
    <row r="1049" spans="1:17" hidden="1" x14ac:dyDescent="0.25">
      <c r="A1049">
        <v>2</v>
      </c>
      <c r="B1049" t="s">
        <v>903</v>
      </c>
      <c r="C1049">
        <f>IFERROR(COUNTIFS($A$1:A1049,"Câu "&amp;"*")-MID(A1049,5,FIND(".",A1049,1)-5),0)</f>
        <v>0</v>
      </c>
      <c r="D1049" t="str">
        <f t="shared" ref="D1049:D1112" si="58">IF(LEFT(A1049,3)="Câu",VALUE(MID(A1049,5,FIND(".",A1049,1)-5)),"")</f>
        <v/>
      </c>
      <c r="E1049" t="str">
        <f>SUBSTITUTE(IF(LEFT(A1049,3)="Câu",MID(A1049,FIND(".",A1049,1)+2,LEN(A1049)),""),CHAR(34),CHAR(92)&amp;CHAR(34))</f>
        <v/>
      </c>
      <c r="G1049" t="str">
        <f>SUBSTITUTE(B1050,CHAR(34),CHAR(92)&amp;CHAR(34))</f>
        <v/>
      </c>
      <c r="H1049" t="str">
        <f>SUBSTITUTE(B1051,CHAR(34),CHAR(92)&amp;CHAR(34))</f>
        <v>Bật tín hiệu báo rẽ trước khi quay đầu, từ từ giảm tốc độ đến mức có thể dừng lại.</v>
      </c>
      <c r="I1049" t="str">
        <f>SUBSTITUTE(IF(LEFT(A1052,3)="Câu","",B1052),CHAR(34),CHAR(92)&amp;CHAR(34))</f>
        <v>Chỉ quay đầu xe tại những nơi được phép quay đầu.</v>
      </c>
      <c r="J1049" t="str">
        <f>SUBSTITUTE(IF(OR(LEFT(A1053,3)="Câu",I1049=""),"",IF(B1053=0,"",B1053)),CHAR(34),CHAR(92)&amp;CHAR(34))</f>
        <v>Quan sát an toàn các phương tiện tới từ phía trước, phía sau, hai bên đồng thời nhường đường cho xe từ bên phải và phía trước đi tới.</v>
      </c>
      <c r="K1049" t="str">
        <f>SUBSTITUTE(SUBSTITUTE(SUBSTITUTE(SUBSTITUTE(IFERROR(VLOOKUP("Câu "&amp;D1049&amp;".",dapan!$E:$J,6,0),""),"1","A"),"2","B"),"3","C"),"4","D")</f>
        <v/>
      </c>
      <c r="P1049" t="str">
        <f t="shared" si="56"/>
        <v/>
      </c>
      <c r="Q1049" t="str">
        <f t="shared" si="57"/>
        <v/>
      </c>
    </row>
    <row r="1050" spans="1:17" x14ac:dyDescent="0.25">
      <c r="A1050" t="s">
        <v>904</v>
      </c>
      <c r="C1050">
        <f>IFERROR(COUNTIFS($A$1:A1050,"Câu "&amp;"*")-MID(A1050,5,FIND(".",A1050,1)-5),0)</f>
        <v>0</v>
      </c>
      <c r="D1050">
        <f t="shared" si="58"/>
        <v>257</v>
      </c>
      <c r="E1050" t="str">
        <f>SUBSTITUTE(IF(LEFT(A1050,3)="Câu",MID(A1050,FIND(".",A1050,1)+2,LEN(A1050)),""),CHAR(34),CHAR(92)&amp;CHAR(34))</f>
        <v>Khi điều khiển xe mô tô quay đầu, người lái xe cần thực hiện như thế nào để bảo đảm an toàn?</v>
      </c>
      <c r="G1050" t="str">
        <f>SUBSTITUTE(B1051,CHAR(34),CHAR(92)&amp;CHAR(34))</f>
        <v>Bật tín hiệu báo rẽ trước khi quay đầu, từ từ giảm tốc độ đến mức có thể dừng lại.</v>
      </c>
      <c r="H1050" t="str">
        <f>SUBSTITUTE(B1052,CHAR(34),CHAR(92)&amp;CHAR(34))</f>
        <v>Chỉ quay đầu xe tại những nơi được phép quay đầu.</v>
      </c>
      <c r="I1050" t="str">
        <f>SUBSTITUTE(IF(LEFT(A1053,3)="Câu","",B1053),CHAR(34),CHAR(92)&amp;CHAR(34))</f>
        <v>Quan sát an toàn các phương tiện tới từ phía trước, phía sau, hai bên đồng thời nhường đường cho xe từ bên phải và phía trước đi tới.</v>
      </c>
      <c r="J1050" t="str">
        <f>SUBSTITUTE(IF(OR(LEFT(A1054,3)="Câu",I1050=""),"",IF(B1054=0,"",B1054)),CHAR(34),CHAR(92)&amp;CHAR(34))</f>
        <v xml:space="preserve"> Cả ba ý trên.</v>
      </c>
      <c r="K1050" t="str">
        <f ca="1">SUBSTITUTE(SUBSTITUTE(SUBSTITUTE(SUBSTITUTE(IFERROR(VLOOKUP("Câu "&amp;D1050&amp;".",dapan!$E:$J,6,0),""),"1","A"),"2","B"),"3","C"),"4","D")</f>
        <v>D</v>
      </c>
      <c r="P1050">
        <f t="shared" si="56"/>
        <v>257</v>
      </c>
      <c r="Q1050" t="str">
        <f t="shared" ca="1" si="57"/>
        <v>{"num":257,"id":257,"q":"Khi điều khiển xe mô tô quay đầu, người lái xe cần thực hiện như thế nào để bảo đảm an toàn?","opts":{"A":"Bật tín hiệu báo rẽ trước khi quay đầu, từ từ giảm tốc độ đến mức có thể dừng lại.","B":"Chỉ quay đầu xe tại những nơi được phép quay đầu.","C":"Quan sát an toàn các phương tiện tới từ phía trước, phía sau, hai bên đồng thời nhường đường cho xe từ bên phải và phía trước đi tới.","D":" Cả ba ý trên."},"answer":"D"},</v>
      </c>
    </row>
    <row r="1051" spans="1:17" hidden="1" x14ac:dyDescent="0.25">
      <c r="A1051">
        <v>1</v>
      </c>
      <c r="B1051" t="s">
        <v>905</v>
      </c>
      <c r="C1051">
        <f>IFERROR(COUNTIFS($A$1:A1051,"Câu "&amp;"*")-MID(A1051,5,FIND(".",A1051,1)-5),0)</f>
        <v>0</v>
      </c>
      <c r="D1051" t="str">
        <f t="shared" si="58"/>
        <v/>
      </c>
      <c r="E1051" t="str">
        <f>SUBSTITUTE(IF(LEFT(A1051,3)="Câu",MID(A1051,FIND(".",A1051,1)+2,LEN(A1051)),""),CHAR(34),CHAR(92)&amp;CHAR(34))</f>
        <v/>
      </c>
      <c r="G1051" t="str">
        <f>SUBSTITUTE(B1052,CHAR(34),CHAR(92)&amp;CHAR(34))</f>
        <v>Chỉ quay đầu xe tại những nơi được phép quay đầu.</v>
      </c>
      <c r="H1051" t="str">
        <f>SUBSTITUTE(B1053,CHAR(34),CHAR(92)&amp;CHAR(34))</f>
        <v>Quan sát an toàn các phương tiện tới từ phía trước, phía sau, hai bên đồng thời nhường đường cho xe từ bên phải và phía trước đi tới.</v>
      </c>
      <c r="I1051" t="str">
        <f>SUBSTITUTE(IF(LEFT(A1054,3)="Câu","",B1054),CHAR(34),CHAR(92)&amp;CHAR(34))</f>
        <v xml:space="preserve"> Cả ba ý trên.</v>
      </c>
      <c r="J1051" t="str">
        <f>SUBSTITUTE(IF(OR(LEFT(A1055,3)="Câu",I1051=""),"",IF(B1055=0,"",B1055)),CHAR(34),CHAR(92)&amp;CHAR(34))</f>
        <v/>
      </c>
      <c r="K1051" t="str">
        <f>SUBSTITUTE(SUBSTITUTE(SUBSTITUTE(SUBSTITUTE(IFERROR(VLOOKUP("Câu "&amp;D1051&amp;".",dapan!$E:$J,6,0),""),"1","A"),"2","B"),"3","C"),"4","D")</f>
        <v/>
      </c>
      <c r="P1051" t="str">
        <f t="shared" si="56"/>
        <v/>
      </c>
      <c r="Q1051" t="str">
        <f t="shared" si="57"/>
        <v/>
      </c>
    </row>
    <row r="1052" spans="1:17" hidden="1" x14ac:dyDescent="0.25">
      <c r="A1052">
        <v>2</v>
      </c>
      <c r="B1052" t="s">
        <v>906</v>
      </c>
      <c r="C1052">
        <f>IFERROR(COUNTIFS($A$1:A1052,"Câu "&amp;"*")-MID(A1052,5,FIND(".",A1052,1)-5),0)</f>
        <v>0</v>
      </c>
      <c r="D1052" t="str">
        <f t="shared" si="58"/>
        <v/>
      </c>
      <c r="E1052" t="str">
        <f>SUBSTITUTE(IF(LEFT(A1052,3)="Câu",MID(A1052,FIND(".",A1052,1)+2,LEN(A1052)),""),CHAR(34),CHAR(92)&amp;CHAR(34))</f>
        <v/>
      </c>
      <c r="G1052" t="str">
        <f>SUBSTITUTE(B1053,CHAR(34),CHAR(92)&amp;CHAR(34))</f>
        <v>Quan sát an toàn các phương tiện tới từ phía trước, phía sau, hai bên đồng thời nhường đường cho xe từ bên phải và phía trước đi tới.</v>
      </c>
      <c r="H1052" t="str">
        <f>SUBSTITUTE(B1054,CHAR(34),CHAR(92)&amp;CHAR(34))</f>
        <v xml:space="preserve"> Cả ba ý trên.</v>
      </c>
      <c r="I1052" t="str">
        <f>SUBSTITUTE(IF(LEFT(A1055,3)="Câu","",B1055),CHAR(34),CHAR(92)&amp;CHAR(34))</f>
        <v/>
      </c>
      <c r="J1052" t="str">
        <f>SUBSTITUTE(IF(OR(LEFT(A1056,3)="Câu",I1052=""),"",IF(B1056=0,"",B1056)),CHAR(34),CHAR(92)&amp;CHAR(34))</f>
        <v/>
      </c>
      <c r="K1052" t="str">
        <f>SUBSTITUTE(SUBSTITUTE(SUBSTITUTE(SUBSTITUTE(IFERROR(VLOOKUP("Câu "&amp;D1052&amp;".",dapan!$E:$J,6,0),""),"1","A"),"2","B"),"3","C"),"4","D")</f>
        <v/>
      </c>
      <c r="P1052" t="str">
        <f t="shared" si="56"/>
        <v/>
      </c>
      <c r="Q1052" t="str">
        <f t="shared" si="57"/>
        <v/>
      </c>
    </row>
    <row r="1053" spans="1:17" hidden="1" x14ac:dyDescent="0.25">
      <c r="A1053">
        <v>3</v>
      </c>
      <c r="B1053" t="s">
        <v>907</v>
      </c>
      <c r="C1053">
        <f>IFERROR(COUNTIFS($A$1:A1053,"Câu "&amp;"*")-MID(A1053,5,FIND(".",A1053,1)-5),0)</f>
        <v>0</v>
      </c>
      <c r="D1053" t="str">
        <f t="shared" si="58"/>
        <v/>
      </c>
      <c r="E1053" t="str">
        <f>SUBSTITUTE(IF(LEFT(A1053,3)="Câu",MID(A1053,FIND(".",A1053,1)+2,LEN(A1053)),""),CHAR(34),CHAR(92)&amp;CHAR(34))</f>
        <v/>
      </c>
      <c r="G1053" t="str">
        <f>SUBSTITUTE(B1054,CHAR(34),CHAR(92)&amp;CHAR(34))</f>
        <v xml:space="preserve"> Cả ba ý trên.</v>
      </c>
      <c r="H1053" t="str">
        <f>SUBSTITUTE(B1055,CHAR(34),CHAR(92)&amp;CHAR(34))</f>
        <v/>
      </c>
      <c r="I1053" t="str">
        <f>SUBSTITUTE(IF(LEFT(A1056,3)="Câu","",B1056),CHAR(34),CHAR(92)&amp;CHAR(34))</f>
        <v>Để điều khiển xe chạy về phía trước.</v>
      </c>
      <c r="J1053" t="str">
        <f>SUBSTITUTE(IF(OR(LEFT(A1057,3)="Câu",I1053=""),"",IF(B1057=0,"",B1057)),CHAR(34),CHAR(92)&amp;CHAR(34))</f>
        <v>Để điều tiết công suất động cơ qua đó điều khiển tốc độ của xe.</v>
      </c>
      <c r="K1053" t="str">
        <f>SUBSTITUTE(SUBSTITUTE(SUBSTITUTE(SUBSTITUTE(IFERROR(VLOOKUP("Câu "&amp;D1053&amp;".",dapan!$E:$J,6,0),""),"1","A"),"2","B"),"3","C"),"4","D")</f>
        <v/>
      </c>
      <c r="P1053" t="str">
        <f t="shared" si="56"/>
        <v/>
      </c>
      <c r="Q1053" t="str">
        <f t="shared" si="57"/>
        <v/>
      </c>
    </row>
    <row r="1054" spans="1:17" hidden="1" x14ac:dyDescent="0.25">
      <c r="A1054">
        <v>4</v>
      </c>
      <c r="B1054" t="s">
        <v>89</v>
      </c>
      <c r="C1054">
        <f>IFERROR(COUNTIFS($A$1:A1054,"Câu "&amp;"*")-MID(A1054,5,FIND(".",A1054,1)-5),0)</f>
        <v>0</v>
      </c>
      <c r="D1054" t="str">
        <f t="shared" si="58"/>
        <v/>
      </c>
      <c r="E1054" t="str">
        <f>SUBSTITUTE(IF(LEFT(A1054,3)="Câu",MID(A1054,FIND(".",A1054,1)+2,LEN(A1054)),""),CHAR(34),CHAR(92)&amp;CHAR(34))</f>
        <v/>
      </c>
      <c r="G1054" t="str">
        <f>SUBSTITUTE(B1055,CHAR(34),CHAR(92)&amp;CHAR(34))</f>
        <v/>
      </c>
      <c r="H1054" t="str">
        <f>SUBSTITUTE(B1056,CHAR(34),CHAR(92)&amp;CHAR(34))</f>
        <v>Để điều khiển xe chạy về phía trước.</v>
      </c>
      <c r="I1054" t="str">
        <f>SUBSTITUTE(IF(LEFT(A1057,3)="Câu","",B1057),CHAR(34),CHAR(92)&amp;CHAR(34))</f>
        <v>Để điều tiết công suất động cơ qua đó điều khiển tốc độ của xe.</v>
      </c>
      <c r="J1054" t="str">
        <f>SUBSTITUTE(IF(OR(LEFT(A1058,3)="Câu",I1054=""),"",IF(B1058=0,"",B1058)),CHAR(34),CHAR(92)&amp;CHAR(34))</f>
        <v>Để điều khiển xe chạy lùi.</v>
      </c>
      <c r="K1054" t="str">
        <f>SUBSTITUTE(SUBSTITUTE(SUBSTITUTE(SUBSTITUTE(IFERROR(VLOOKUP("Câu "&amp;D1054&amp;".",dapan!$E:$J,6,0),""),"1","A"),"2","B"),"3","C"),"4","D")</f>
        <v/>
      </c>
      <c r="P1054" t="str">
        <f t="shared" si="56"/>
        <v/>
      </c>
      <c r="Q1054" t="str">
        <f t="shared" si="57"/>
        <v/>
      </c>
    </row>
    <row r="1055" spans="1:17" x14ac:dyDescent="0.25">
      <c r="A1055" t="s">
        <v>908</v>
      </c>
      <c r="C1055">
        <f>IFERROR(COUNTIFS($A$1:A1055,"Câu "&amp;"*")-MID(A1055,5,FIND(".",A1055,1)-5),0)</f>
        <v>0</v>
      </c>
      <c r="D1055">
        <f t="shared" si="58"/>
        <v>258</v>
      </c>
      <c r="E1055" t="str">
        <f>SUBSTITUTE(IF(LEFT(A1055,3)="Câu",MID(A1055,FIND(".",A1055,1)+2,LEN(A1055)),""),CHAR(34),CHAR(92)&amp;CHAR(34))</f>
        <v>Tay ga trên xe mô tô hai bánh có tác dụng gì dưới đây?</v>
      </c>
      <c r="G1055" t="str">
        <f>SUBSTITUTE(B1056,CHAR(34),CHAR(92)&amp;CHAR(34))</f>
        <v>Để điều khiển xe chạy về phía trước.</v>
      </c>
      <c r="H1055" t="str">
        <f>SUBSTITUTE(B1057,CHAR(34),CHAR(92)&amp;CHAR(34))</f>
        <v>Để điều tiết công suất động cơ qua đó điều khiển tốc độ của xe.</v>
      </c>
      <c r="I1055" t="str">
        <f>SUBSTITUTE(IF(LEFT(A1058,3)="Câu","",B1058),CHAR(34),CHAR(92)&amp;CHAR(34))</f>
        <v>Để điều khiển xe chạy lùi.</v>
      </c>
      <c r="J1055" t="str">
        <f>SUBSTITUTE(IF(OR(LEFT(A1059,3)="Câu",I1055=""),"",IF(B1059=0,"",B1059)),CHAR(34),CHAR(92)&amp;CHAR(34))</f>
        <v xml:space="preserve"> Ý 1 và ý 2.</v>
      </c>
      <c r="K1055" t="str">
        <f ca="1">SUBSTITUTE(SUBSTITUTE(SUBSTITUTE(SUBSTITUTE(IFERROR(VLOOKUP("Câu "&amp;D1055&amp;".",dapan!$E:$J,6,0),""),"1","A"),"2","B"),"3","C"),"4","D")</f>
        <v>D</v>
      </c>
      <c r="P1055">
        <f t="shared" si="56"/>
        <v>258</v>
      </c>
      <c r="Q1055" t="str">
        <f t="shared" ca="1" si="57"/>
        <v>{"num":258,"id":258,"q":"Tay ga trên xe mô tô hai bánh có tác dụng gì dưới đây?","opts":{"A":"Để điều khiển xe chạy về phía trước.","B":"Để điều tiết công suất động cơ qua đó điều khiển tốc độ của xe.","C":"Để điều khiển xe chạy lùi.","D":" Ý 1 và ý 2."},"answer":"D"},</v>
      </c>
    </row>
    <row r="1056" spans="1:17" hidden="1" x14ac:dyDescent="0.25">
      <c r="A1056">
        <v>1</v>
      </c>
      <c r="B1056" t="s">
        <v>909</v>
      </c>
      <c r="C1056">
        <f>IFERROR(COUNTIFS($A$1:A1056,"Câu "&amp;"*")-MID(A1056,5,FIND(".",A1056,1)-5),0)</f>
        <v>0</v>
      </c>
      <c r="D1056" t="str">
        <f t="shared" si="58"/>
        <v/>
      </c>
      <c r="E1056" t="str">
        <f>SUBSTITUTE(IF(LEFT(A1056,3)="Câu",MID(A1056,FIND(".",A1056,1)+2,LEN(A1056)),""),CHAR(34),CHAR(92)&amp;CHAR(34))</f>
        <v/>
      </c>
      <c r="G1056" t="str">
        <f>SUBSTITUTE(B1057,CHAR(34),CHAR(92)&amp;CHAR(34))</f>
        <v>Để điều tiết công suất động cơ qua đó điều khiển tốc độ của xe.</v>
      </c>
      <c r="H1056" t="str">
        <f>SUBSTITUTE(B1058,CHAR(34),CHAR(92)&amp;CHAR(34))</f>
        <v>Để điều khiển xe chạy lùi.</v>
      </c>
      <c r="I1056" t="str">
        <f>SUBSTITUTE(IF(LEFT(A1059,3)="Câu","",B1059),CHAR(34),CHAR(92)&amp;CHAR(34))</f>
        <v xml:space="preserve"> Ý 1 và ý 2.</v>
      </c>
      <c r="J1056" t="str">
        <f>SUBSTITUTE(IF(OR(LEFT(A1060,3)="Câu",I1056=""),"",IF(B1060=0,"",B1060)),CHAR(34),CHAR(92)&amp;CHAR(34))</f>
        <v/>
      </c>
      <c r="K1056" t="str">
        <f>SUBSTITUTE(SUBSTITUTE(SUBSTITUTE(SUBSTITUTE(IFERROR(VLOOKUP("Câu "&amp;D1056&amp;".",dapan!$E:$J,6,0),""),"1","A"),"2","B"),"3","C"),"4","D")</f>
        <v/>
      </c>
      <c r="P1056" t="str">
        <f t="shared" si="56"/>
        <v/>
      </c>
      <c r="Q1056" t="str">
        <f t="shared" si="57"/>
        <v/>
      </c>
    </row>
    <row r="1057" spans="1:17" hidden="1" x14ac:dyDescent="0.25">
      <c r="A1057">
        <v>2</v>
      </c>
      <c r="B1057" t="s">
        <v>910</v>
      </c>
      <c r="C1057">
        <f>IFERROR(COUNTIFS($A$1:A1057,"Câu "&amp;"*")-MID(A1057,5,FIND(".",A1057,1)-5),0)</f>
        <v>0</v>
      </c>
      <c r="D1057" t="str">
        <f t="shared" si="58"/>
        <v/>
      </c>
      <c r="E1057" t="str">
        <f>SUBSTITUTE(IF(LEFT(A1057,3)="Câu",MID(A1057,FIND(".",A1057,1)+2,LEN(A1057)),""),CHAR(34),CHAR(92)&amp;CHAR(34))</f>
        <v/>
      </c>
      <c r="G1057" t="str">
        <f>SUBSTITUTE(B1058,CHAR(34),CHAR(92)&amp;CHAR(34))</f>
        <v>Để điều khiển xe chạy lùi.</v>
      </c>
      <c r="H1057" t="str">
        <f>SUBSTITUTE(B1059,CHAR(34),CHAR(92)&amp;CHAR(34))</f>
        <v xml:space="preserve"> Ý 1 và ý 2.</v>
      </c>
      <c r="I1057" t="str">
        <f>SUBSTITUTE(IF(LEFT(A1060,3)="Câu","",B1060),CHAR(34),CHAR(92)&amp;CHAR(34))</f>
        <v/>
      </c>
      <c r="J1057" t="str">
        <f>SUBSTITUTE(IF(OR(LEFT(A1061,3)="Câu",I1057=""),"",IF(B1061=0,"",B1061)),CHAR(34),CHAR(92)&amp;CHAR(34))</f>
        <v/>
      </c>
      <c r="K1057" t="str">
        <f>SUBSTITUTE(SUBSTITUTE(SUBSTITUTE(SUBSTITUTE(IFERROR(VLOOKUP("Câu "&amp;D1057&amp;".",dapan!$E:$J,6,0),""),"1","A"),"2","B"),"3","C"),"4","D")</f>
        <v/>
      </c>
      <c r="P1057" t="str">
        <f t="shared" si="56"/>
        <v/>
      </c>
      <c r="Q1057" t="str">
        <f t="shared" si="57"/>
        <v/>
      </c>
    </row>
    <row r="1058" spans="1:17" hidden="1" x14ac:dyDescent="0.25">
      <c r="A1058">
        <v>3</v>
      </c>
      <c r="B1058" t="s">
        <v>911</v>
      </c>
      <c r="C1058">
        <f>IFERROR(COUNTIFS($A$1:A1058,"Câu "&amp;"*")-MID(A1058,5,FIND(".",A1058,1)-5),0)</f>
        <v>0</v>
      </c>
      <c r="D1058" t="str">
        <f t="shared" si="58"/>
        <v/>
      </c>
      <c r="E1058" t="str">
        <f>SUBSTITUTE(IF(LEFT(A1058,3)="Câu",MID(A1058,FIND(".",A1058,1)+2,LEN(A1058)),""),CHAR(34),CHAR(92)&amp;CHAR(34))</f>
        <v/>
      </c>
      <c r="G1058" t="str">
        <f>SUBSTITUTE(B1059,CHAR(34),CHAR(92)&amp;CHAR(34))</f>
        <v xml:space="preserve"> Ý 1 và ý 2.</v>
      </c>
      <c r="H1058" t="str">
        <f>SUBSTITUTE(B1060,CHAR(34),CHAR(92)&amp;CHAR(34))</f>
        <v/>
      </c>
      <c r="I1058" t="str">
        <f>SUBSTITUTE(IF(LEFT(A1061,3)="Câu","",B1061),CHAR(34),CHAR(92)&amp;CHAR(34))</f>
        <v>Để quan sát an toàn phía bên trái khi chuẩn bị rẽ trái.</v>
      </c>
      <c r="J1058" t="str">
        <f>SUBSTITUTE(IF(OR(LEFT(A1062,3)="Câu",I1058=""),"",IF(B1062=0,"",B1062)),CHAR(34),CHAR(92)&amp;CHAR(34))</f>
        <v>Để quan sát an toàn phía bên phải khi chuẩn bị rẽ phải.</v>
      </c>
      <c r="K1058" t="str">
        <f>SUBSTITUTE(SUBSTITUTE(SUBSTITUTE(SUBSTITUTE(IFERROR(VLOOKUP("Câu "&amp;D1058&amp;".",dapan!$E:$J,6,0),""),"1","A"),"2","B"),"3","C"),"4","D")</f>
        <v/>
      </c>
      <c r="P1058" t="str">
        <f t="shared" si="56"/>
        <v/>
      </c>
      <c r="Q1058" t="str">
        <f t="shared" si="57"/>
        <v/>
      </c>
    </row>
    <row r="1059" spans="1:17" hidden="1" x14ac:dyDescent="0.25">
      <c r="A1059">
        <v>4</v>
      </c>
      <c r="B1059" t="s">
        <v>239</v>
      </c>
      <c r="C1059">
        <f>IFERROR(COUNTIFS($A$1:A1059,"Câu "&amp;"*")-MID(A1059,5,FIND(".",A1059,1)-5),0)</f>
        <v>0</v>
      </c>
      <c r="D1059" t="str">
        <f t="shared" si="58"/>
        <v/>
      </c>
      <c r="E1059" t="str">
        <f>SUBSTITUTE(IF(LEFT(A1059,3)="Câu",MID(A1059,FIND(".",A1059,1)+2,LEN(A1059)),""),CHAR(34),CHAR(92)&amp;CHAR(34))</f>
        <v/>
      </c>
      <c r="G1059" t="str">
        <f>SUBSTITUTE(B1060,CHAR(34),CHAR(92)&amp;CHAR(34))</f>
        <v/>
      </c>
      <c r="H1059" t="str">
        <f>SUBSTITUTE(B1061,CHAR(34),CHAR(92)&amp;CHAR(34))</f>
        <v>Để quan sát an toàn phía bên trái khi chuẩn bị rẽ trái.</v>
      </c>
      <c r="I1059" t="str">
        <f>SUBSTITUTE(IF(LEFT(A1062,3)="Câu","",B1062),CHAR(34),CHAR(92)&amp;CHAR(34))</f>
        <v>Để quan sát an toàn phía bên phải khi chuẩn bị rẽ phải.</v>
      </c>
      <c r="J1059" t="str">
        <f>SUBSTITUTE(IF(OR(LEFT(A1063,3)="Câu",I1059=""),"",IF(B1063=0,"",B1063)),CHAR(34),CHAR(92)&amp;CHAR(34))</f>
        <v xml:space="preserve"> Để quan sát an toàn phía sau của bên trái và bên phải trước khi chuyển hướng.</v>
      </c>
      <c r="K1059" t="str">
        <f>SUBSTITUTE(SUBSTITUTE(SUBSTITUTE(SUBSTITUTE(IFERROR(VLOOKUP("Câu "&amp;D1059&amp;".",dapan!$E:$J,6,0),""),"1","A"),"2","B"),"3","C"),"4","D")</f>
        <v/>
      </c>
      <c r="P1059" t="str">
        <f t="shared" si="56"/>
        <v/>
      </c>
      <c r="Q1059" t="str">
        <f t="shared" si="57"/>
        <v/>
      </c>
    </row>
    <row r="1060" spans="1:17" x14ac:dyDescent="0.25">
      <c r="A1060" t="s">
        <v>912</v>
      </c>
      <c r="C1060">
        <f>IFERROR(COUNTIFS($A$1:A1060,"Câu "&amp;"*")-MID(A1060,5,FIND(".",A1060,1)-5),0)</f>
        <v>0</v>
      </c>
      <c r="D1060">
        <f t="shared" si="58"/>
        <v>259</v>
      </c>
      <c r="E1060" t="str">
        <f>SUBSTITUTE(IF(LEFT(A1060,3)="Câu",MID(A1060,FIND(".",A1060,1)+2,LEN(A1060)),""),CHAR(34),CHAR(92)&amp;CHAR(34))</f>
        <v>Gương chiếu hậu của xe mô tô hai bánh có tác dụng gì dưới đây?</v>
      </c>
      <c r="G1060" t="str">
        <f>SUBSTITUTE(B1061,CHAR(34),CHAR(92)&amp;CHAR(34))</f>
        <v>Để quan sát an toàn phía bên trái khi chuẩn bị rẽ trái.</v>
      </c>
      <c r="H1060" t="str">
        <f>SUBSTITUTE(B1062,CHAR(34),CHAR(92)&amp;CHAR(34))</f>
        <v>Để quan sát an toàn phía bên phải khi chuẩn bị rẽ phải.</v>
      </c>
      <c r="I1060" t="str">
        <f>SUBSTITUTE(IF(LEFT(A1063,3)="Câu","",B1063),CHAR(34),CHAR(92)&amp;CHAR(34))</f>
        <v xml:space="preserve"> Để quan sát an toàn phía sau của bên trái và bên phải trước khi chuyển hướng.</v>
      </c>
      <c r="J1060" t="str">
        <f>SUBSTITUTE(IF(OR(LEFT(A1064,3)="Câu",I1060=""),"",IF(B1064=0,"",B1064)),CHAR(34),CHAR(92)&amp;CHAR(34))</f>
        <v>Để quan sát an toàn phía trước cả bên trái và bên phải trước khi chuyển hướng.</v>
      </c>
      <c r="K1060" t="str">
        <f ca="1">SUBSTITUTE(SUBSTITUTE(SUBSTITUTE(SUBSTITUTE(IFERROR(VLOOKUP("Câu "&amp;D1060&amp;".",dapan!$E:$J,6,0),""),"1","A"),"2","B"),"3","C"),"4","D")</f>
        <v>C</v>
      </c>
      <c r="P1060">
        <f t="shared" si="56"/>
        <v>259</v>
      </c>
      <c r="Q1060" t="str">
        <f t="shared" ca="1" si="57"/>
        <v>{"num":259,"id":259,"q":"Gương chiếu hậu của xe mô tô hai bánh có tác dụng gì dưới đây?","opts":{"A":"Để quan sát an toàn phía bên trái khi chuẩn bị rẽ trái.","B":"Để quan sát an toàn phía bên phải khi chuẩn bị rẽ phải.","C":" Để quan sát an toàn phía sau của bên trái và bên phải trước khi chuyển hướng.","D":"Để quan sát an toàn phía trước cả bên trái và bên phải trước khi chuyển hướng."},"answer":"C"},</v>
      </c>
    </row>
    <row r="1061" spans="1:17" hidden="1" x14ac:dyDescent="0.25">
      <c r="A1061">
        <v>1</v>
      </c>
      <c r="B1061" t="s">
        <v>913</v>
      </c>
      <c r="C1061">
        <f>IFERROR(COUNTIFS($A$1:A1061,"Câu "&amp;"*")-MID(A1061,5,FIND(".",A1061,1)-5),0)</f>
        <v>0</v>
      </c>
      <c r="D1061" t="str">
        <f t="shared" si="58"/>
        <v/>
      </c>
      <c r="E1061" t="str">
        <f>SUBSTITUTE(IF(LEFT(A1061,3)="Câu",MID(A1061,FIND(".",A1061,1)+2,LEN(A1061)),""),CHAR(34),CHAR(92)&amp;CHAR(34))</f>
        <v/>
      </c>
      <c r="G1061" t="str">
        <f>SUBSTITUTE(B1062,CHAR(34),CHAR(92)&amp;CHAR(34))</f>
        <v>Để quan sát an toàn phía bên phải khi chuẩn bị rẽ phải.</v>
      </c>
      <c r="H1061" t="str">
        <f>SUBSTITUTE(B1063,CHAR(34),CHAR(92)&amp;CHAR(34))</f>
        <v xml:space="preserve"> Để quan sát an toàn phía sau của bên trái và bên phải trước khi chuyển hướng.</v>
      </c>
      <c r="I1061" t="str">
        <f>SUBSTITUTE(IF(LEFT(A1064,3)="Câu","",B1064),CHAR(34),CHAR(92)&amp;CHAR(34))</f>
        <v>Để quan sát an toàn phía trước cả bên trái và bên phải trước khi chuyển hướng.</v>
      </c>
      <c r="J1061" t="str">
        <f>SUBSTITUTE(IF(OR(LEFT(A1065,3)="Câu",I1061=""),"",IF(B1065=0,"",B1065)),CHAR(34),CHAR(92)&amp;CHAR(34))</f>
        <v/>
      </c>
      <c r="K1061" t="str">
        <f>SUBSTITUTE(SUBSTITUTE(SUBSTITUTE(SUBSTITUTE(IFERROR(VLOOKUP("Câu "&amp;D1061&amp;".",dapan!$E:$J,6,0),""),"1","A"),"2","B"),"3","C"),"4","D")</f>
        <v/>
      </c>
      <c r="P1061" t="str">
        <f t="shared" si="56"/>
        <v/>
      </c>
      <c r="Q1061" t="str">
        <f t="shared" si="57"/>
        <v/>
      </c>
    </row>
    <row r="1062" spans="1:17" hidden="1" x14ac:dyDescent="0.25">
      <c r="A1062">
        <v>2</v>
      </c>
      <c r="B1062" t="s">
        <v>914</v>
      </c>
      <c r="C1062">
        <f>IFERROR(COUNTIFS($A$1:A1062,"Câu "&amp;"*")-MID(A1062,5,FIND(".",A1062,1)-5),0)</f>
        <v>0</v>
      </c>
      <c r="D1062" t="str">
        <f t="shared" si="58"/>
        <v/>
      </c>
      <c r="E1062" t="str">
        <f>SUBSTITUTE(IF(LEFT(A1062,3)="Câu",MID(A1062,FIND(".",A1062,1)+2,LEN(A1062)),""),CHAR(34),CHAR(92)&amp;CHAR(34))</f>
        <v/>
      </c>
      <c r="G1062" t="str">
        <f>SUBSTITUTE(B1063,CHAR(34),CHAR(92)&amp;CHAR(34))</f>
        <v xml:space="preserve"> Để quan sát an toàn phía sau của bên trái và bên phải trước khi chuyển hướng.</v>
      </c>
      <c r="H1062" t="str">
        <f>SUBSTITUTE(B1064,CHAR(34),CHAR(92)&amp;CHAR(34))</f>
        <v>Để quan sát an toàn phía trước cả bên trái và bên phải trước khi chuyển hướng.</v>
      </c>
      <c r="I1062" t="str">
        <f>SUBSTITUTE(IF(LEFT(A1065,3)="Câu","",B1065),CHAR(34),CHAR(92)&amp;CHAR(34))</f>
        <v/>
      </c>
      <c r="J1062" t="str">
        <f>SUBSTITUTE(IF(OR(LEFT(A1066,3)="Câu",I1062=""),"",IF(B1066=0,"",B1066)),CHAR(34),CHAR(92)&amp;CHAR(34))</f>
        <v/>
      </c>
      <c r="K1062" t="str">
        <f>SUBSTITUTE(SUBSTITUTE(SUBSTITUTE(SUBSTITUTE(IFERROR(VLOOKUP("Câu "&amp;D1062&amp;".",dapan!$E:$J,6,0),""),"1","A"),"2","B"),"3","C"),"4","D")</f>
        <v/>
      </c>
      <c r="P1062" t="str">
        <f t="shared" si="56"/>
        <v/>
      </c>
      <c r="Q1062" t="str">
        <f t="shared" si="57"/>
        <v/>
      </c>
    </row>
    <row r="1063" spans="1:17" hidden="1" x14ac:dyDescent="0.25">
      <c r="A1063">
        <v>3</v>
      </c>
      <c r="B1063" t="s">
        <v>915</v>
      </c>
      <c r="C1063">
        <f>IFERROR(COUNTIFS($A$1:A1063,"Câu "&amp;"*")-MID(A1063,5,FIND(".",A1063,1)-5),0)</f>
        <v>0</v>
      </c>
      <c r="D1063" t="str">
        <f t="shared" si="58"/>
        <v/>
      </c>
      <c r="E1063" t="str">
        <f>SUBSTITUTE(IF(LEFT(A1063,3)="Câu",MID(A1063,FIND(".",A1063,1)+2,LEN(A1063)),""),CHAR(34),CHAR(92)&amp;CHAR(34))</f>
        <v/>
      </c>
      <c r="G1063" t="str">
        <f>SUBSTITUTE(B1064,CHAR(34),CHAR(92)&amp;CHAR(34))</f>
        <v>Để quan sát an toàn phía trước cả bên trái và bên phải trước khi chuyển hướng.</v>
      </c>
      <c r="H1063" t="str">
        <f>SUBSTITUTE(B1065,CHAR(34),CHAR(92)&amp;CHAR(34))</f>
        <v/>
      </c>
      <c r="I1063" t="str">
        <f>SUBSTITUTE(IF(LEFT(A1066,3)="Câu","",B1066),CHAR(34),CHAR(92)&amp;CHAR(34))</f>
        <v>Tăng ga thật mạnh, giảm ga từ từ.</v>
      </c>
      <c r="J1063" t="str">
        <f>SUBSTITUTE(IF(OR(LEFT(A1067,3)="Câu",I1063=""),"",IF(B1067=0,"",B1067)),CHAR(34),CHAR(92)&amp;CHAR(34))</f>
        <v>Tăng ga thật mạnh, giảm ga thật nhanh.</v>
      </c>
      <c r="K1063" t="str">
        <f>SUBSTITUTE(SUBSTITUTE(SUBSTITUTE(SUBSTITUTE(IFERROR(VLOOKUP("Câu "&amp;D1063&amp;".",dapan!$E:$J,6,0),""),"1","A"),"2","B"),"3","C"),"4","D")</f>
        <v/>
      </c>
      <c r="P1063" t="str">
        <f t="shared" si="56"/>
        <v/>
      </c>
      <c r="Q1063" t="str">
        <f t="shared" si="57"/>
        <v/>
      </c>
    </row>
    <row r="1064" spans="1:17" hidden="1" x14ac:dyDescent="0.25">
      <c r="A1064">
        <v>4</v>
      </c>
      <c r="B1064" t="s">
        <v>1767</v>
      </c>
      <c r="C1064">
        <f>IFERROR(COUNTIFS($A$1:A1064,"Câu "&amp;"*")-MID(A1064,5,FIND(".",A1064,1)-5),0)</f>
        <v>0</v>
      </c>
      <c r="D1064" t="str">
        <f t="shared" si="58"/>
        <v/>
      </c>
      <c r="E1064" t="str">
        <f>SUBSTITUTE(IF(LEFT(A1064,3)="Câu",MID(A1064,FIND(".",A1064,1)+2,LEN(A1064)),""),CHAR(34),CHAR(92)&amp;CHAR(34))</f>
        <v/>
      </c>
      <c r="G1064" t="str">
        <f>SUBSTITUTE(B1065,CHAR(34),CHAR(92)&amp;CHAR(34))</f>
        <v/>
      </c>
      <c r="H1064" t="str">
        <f>SUBSTITUTE(B1066,CHAR(34),CHAR(92)&amp;CHAR(34))</f>
        <v>Tăng ga thật mạnh, giảm ga từ từ.</v>
      </c>
      <c r="I1064" t="str">
        <f>SUBSTITUTE(IF(LEFT(A1067,3)="Câu","",B1067),CHAR(34),CHAR(92)&amp;CHAR(34))</f>
        <v>Tăng ga thật mạnh, giảm ga thật nhanh.</v>
      </c>
      <c r="J1064" t="str">
        <f>SUBSTITUTE(IF(OR(LEFT(A1068,3)="Câu",I1064=""),"",IF(B1068=0,"",B1068)),CHAR(34),CHAR(92)&amp;CHAR(34))</f>
        <v xml:space="preserve"> Tăng ga từ từ, giảm ga thật nhanh.</v>
      </c>
      <c r="K1064" t="str">
        <f>SUBSTITUTE(SUBSTITUTE(SUBSTITUTE(SUBSTITUTE(IFERROR(VLOOKUP("Câu "&amp;D1064&amp;".",dapan!$E:$J,6,0),""),"1","A"),"2","B"),"3","C"),"4","D")</f>
        <v/>
      </c>
      <c r="P1064" t="str">
        <f t="shared" si="56"/>
        <v/>
      </c>
      <c r="Q1064" t="str">
        <f t="shared" si="57"/>
        <v/>
      </c>
    </row>
    <row r="1065" spans="1:17" x14ac:dyDescent="0.25">
      <c r="A1065" t="s">
        <v>1768</v>
      </c>
      <c r="C1065">
        <f>IFERROR(COUNTIFS($A$1:A1065,"Câu "&amp;"*")-MID(A1065,5,FIND(".",A1065,1)-5),0)</f>
        <v>0</v>
      </c>
      <c r="D1065">
        <f t="shared" si="58"/>
        <v>260</v>
      </c>
      <c r="E1065" t="str">
        <f>SUBSTITUTE(IF(LEFT(A1065,3)="Câu",MID(A1065,FIND(".",A1065,1)+2,LEN(A1065)),""),CHAR(34),CHAR(92)&amp;CHAR(34))</f>
        <v>Để bảo đảm an toàn khi tham gia giao thông, người lái xe mô tô hai bánh cần điều khiển tay ga như thế nào?</v>
      </c>
      <c r="G1065" t="str">
        <f>SUBSTITUTE(B1066,CHAR(34),CHAR(92)&amp;CHAR(34))</f>
        <v>Tăng ga thật mạnh, giảm ga từ từ.</v>
      </c>
      <c r="H1065" t="str">
        <f>SUBSTITUTE(B1067,CHAR(34),CHAR(92)&amp;CHAR(34))</f>
        <v>Tăng ga thật mạnh, giảm ga thật nhanh.</v>
      </c>
      <c r="I1065" t="str">
        <f>SUBSTITUTE(IF(LEFT(A1068,3)="Câu","",B1068),CHAR(34),CHAR(92)&amp;CHAR(34))</f>
        <v xml:space="preserve"> Tăng ga từ từ, giảm ga thật nhanh.</v>
      </c>
      <c r="J1065" t="str">
        <f>SUBSTITUTE(IF(OR(LEFT(A1069,3)="Câu",I1065=""),"",IF(B1069=0,"",B1069)),CHAR(34),CHAR(92)&amp;CHAR(34))</f>
        <v>Tăng ga từ từ, giảm ga từ từ.</v>
      </c>
      <c r="K1065" t="str">
        <f ca="1">SUBSTITUTE(SUBSTITUTE(SUBSTITUTE(SUBSTITUTE(IFERROR(VLOOKUP("Câu "&amp;D1065&amp;".",dapan!$E:$J,6,0),""),"1","A"),"2","B"),"3","C"),"4","D")</f>
        <v>C</v>
      </c>
      <c r="P1065">
        <f t="shared" si="56"/>
        <v>260</v>
      </c>
      <c r="Q1065" t="str">
        <f t="shared" ca="1" si="57"/>
        <v>{"num":260,"id":260,"q":"Để bảo đảm an toàn khi tham gia giao thông, người lái xe mô tô hai bánh cần điều khiển tay ga như thế nào?","opts":{"A":"Tăng ga thật mạnh, giảm ga từ từ.","B":"Tăng ga thật mạnh, giảm ga thật nhanh.","C":" Tăng ga từ từ, giảm ga thật nhanh.","D":"Tăng ga từ từ, giảm ga từ từ."},"answer":"C"},</v>
      </c>
    </row>
    <row r="1066" spans="1:17" hidden="1" x14ac:dyDescent="0.25">
      <c r="A1066">
        <v>1</v>
      </c>
      <c r="B1066" t="s">
        <v>916</v>
      </c>
      <c r="C1066">
        <f>IFERROR(COUNTIFS($A$1:A1066,"Câu "&amp;"*")-MID(A1066,5,FIND(".",A1066,1)-5),0)</f>
        <v>0</v>
      </c>
      <c r="D1066" t="str">
        <f t="shared" si="58"/>
        <v/>
      </c>
      <c r="E1066" t="str">
        <f>SUBSTITUTE(IF(LEFT(A1066,3)="Câu",MID(A1066,FIND(".",A1066,1)+2,LEN(A1066)),""),CHAR(34),CHAR(92)&amp;CHAR(34))</f>
        <v/>
      </c>
      <c r="G1066" t="str">
        <f>SUBSTITUTE(B1067,CHAR(34),CHAR(92)&amp;CHAR(34))</f>
        <v>Tăng ga thật mạnh, giảm ga thật nhanh.</v>
      </c>
      <c r="H1066" t="str">
        <f>SUBSTITUTE(B1068,CHAR(34),CHAR(92)&amp;CHAR(34))</f>
        <v xml:space="preserve"> Tăng ga từ từ, giảm ga thật nhanh.</v>
      </c>
      <c r="I1066" t="str">
        <f>SUBSTITUTE(IF(LEFT(A1069,3)="Câu","",B1069),CHAR(34),CHAR(92)&amp;CHAR(34))</f>
        <v>Tăng ga từ từ, giảm ga từ từ.</v>
      </c>
      <c r="J1066" t="str">
        <f>SUBSTITUTE(IF(OR(LEFT(A1070,3)="Câu",I1066=""),"",IF(B1070=0,"",B1070)),CHAR(34),CHAR(92)&amp;CHAR(34))</f>
        <v/>
      </c>
      <c r="K1066" t="str">
        <f>SUBSTITUTE(SUBSTITUTE(SUBSTITUTE(SUBSTITUTE(IFERROR(VLOOKUP("Câu "&amp;D1066&amp;".",dapan!$E:$J,6,0),""),"1","A"),"2","B"),"3","C"),"4","D")</f>
        <v/>
      </c>
      <c r="P1066" t="str">
        <f t="shared" si="56"/>
        <v/>
      </c>
      <c r="Q1066" t="str">
        <f t="shared" si="57"/>
        <v/>
      </c>
    </row>
    <row r="1067" spans="1:17" hidden="1" x14ac:dyDescent="0.25">
      <c r="A1067">
        <v>2</v>
      </c>
      <c r="B1067" t="s">
        <v>917</v>
      </c>
      <c r="C1067">
        <f>IFERROR(COUNTIFS($A$1:A1067,"Câu "&amp;"*")-MID(A1067,5,FIND(".",A1067,1)-5),0)</f>
        <v>0</v>
      </c>
      <c r="D1067" t="str">
        <f t="shared" si="58"/>
        <v/>
      </c>
      <c r="E1067" t="str">
        <f>SUBSTITUTE(IF(LEFT(A1067,3)="Câu",MID(A1067,FIND(".",A1067,1)+2,LEN(A1067)),""),CHAR(34),CHAR(92)&amp;CHAR(34))</f>
        <v/>
      </c>
      <c r="G1067" t="str">
        <f>SUBSTITUTE(B1068,CHAR(34),CHAR(92)&amp;CHAR(34))</f>
        <v xml:space="preserve"> Tăng ga từ từ, giảm ga thật nhanh.</v>
      </c>
      <c r="H1067" t="str">
        <f>SUBSTITUTE(B1069,CHAR(34),CHAR(92)&amp;CHAR(34))</f>
        <v>Tăng ga từ từ, giảm ga từ từ.</v>
      </c>
      <c r="I1067" t="str">
        <f>SUBSTITUTE(IF(LEFT(A1070,3)="Câu","",B1070),CHAR(34),CHAR(92)&amp;CHAR(34))</f>
        <v/>
      </c>
      <c r="J1067" t="str">
        <f>SUBSTITUTE(IF(OR(LEFT(A1071,3)="Câu",I1067=""),"",IF(B1071=0,"",B1071)),CHAR(34),CHAR(92)&amp;CHAR(34))</f>
        <v/>
      </c>
      <c r="K1067" t="str">
        <f>SUBSTITUTE(SUBSTITUTE(SUBSTITUTE(SUBSTITUTE(IFERROR(VLOOKUP("Câu "&amp;D1067&amp;".",dapan!$E:$J,6,0),""),"1","A"),"2","B"),"3","C"),"4","D")</f>
        <v/>
      </c>
      <c r="P1067" t="str">
        <f t="shared" si="56"/>
        <v/>
      </c>
      <c r="Q1067" t="str">
        <f t="shared" si="57"/>
        <v/>
      </c>
    </row>
    <row r="1068" spans="1:17" hidden="1" x14ac:dyDescent="0.25">
      <c r="A1068">
        <v>3</v>
      </c>
      <c r="B1068" t="s">
        <v>918</v>
      </c>
      <c r="C1068">
        <f>IFERROR(COUNTIFS($A$1:A1068,"Câu "&amp;"*")-MID(A1068,5,FIND(".",A1068,1)-5),0)</f>
        <v>0</v>
      </c>
      <c r="D1068" t="str">
        <f t="shared" si="58"/>
        <v/>
      </c>
      <c r="E1068" t="str">
        <f>SUBSTITUTE(IF(LEFT(A1068,3)="Câu",MID(A1068,FIND(".",A1068,1)+2,LEN(A1068)),""),CHAR(34),CHAR(92)&amp;CHAR(34))</f>
        <v/>
      </c>
      <c r="G1068" t="str">
        <f>SUBSTITUTE(B1069,CHAR(34),CHAR(92)&amp;CHAR(34))</f>
        <v>Tăng ga từ từ, giảm ga từ từ.</v>
      </c>
      <c r="H1068" t="str">
        <f>SUBSTITUTE(B1070,CHAR(34),CHAR(92)&amp;CHAR(34))</f>
        <v/>
      </c>
      <c r="I1068" t="str">
        <f>SUBSTITUTE(IF(LEFT(A1071,3)="Câu","",B1071),CHAR(34),CHAR(92)&amp;CHAR(34))</f>
        <v>Đi ở tốc độ thấp, quan sát liên tục khoảng cách từ 05 m đến 10 m phía trước để điều chỉnh sớm hướng di chuyển.</v>
      </c>
      <c r="J1068" t="str">
        <f>SUBSTITUTE(IF(OR(LEFT(A1072,3)="Câu",I1068=""),"",IF(B1072=0,"",B1072)),CHAR(34),CHAR(92)&amp;CHAR(34))</f>
        <v>Trong quá trình di chuyển không nên dùng phanh trước tránh làm khóa bánh dẫn hướng.</v>
      </c>
      <c r="K1068" t="str">
        <f>SUBSTITUTE(SUBSTITUTE(SUBSTITUTE(SUBSTITUTE(IFERROR(VLOOKUP("Câu "&amp;D1068&amp;".",dapan!$E:$J,6,0),""),"1","A"),"2","B"),"3","C"),"4","D")</f>
        <v/>
      </c>
      <c r="P1068" t="str">
        <f t="shared" si="56"/>
        <v/>
      </c>
      <c r="Q1068" t="str">
        <f t="shared" si="57"/>
        <v/>
      </c>
    </row>
    <row r="1069" spans="1:17" hidden="1" x14ac:dyDescent="0.25">
      <c r="A1069">
        <v>4</v>
      </c>
      <c r="B1069" t="s">
        <v>919</v>
      </c>
      <c r="C1069">
        <f>IFERROR(COUNTIFS($A$1:A1069,"Câu "&amp;"*")-MID(A1069,5,FIND(".",A1069,1)-5),0)</f>
        <v>0</v>
      </c>
      <c r="D1069" t="str">
        <f t="shared" si="58"/>
        <v/>
      </c>
      <c r="E1069" t="str">
        <f>SUBSTITUTE(IF(LEFT(A1069,3)="Câu",MID(A1069,FIND(".",A1069,1)+2,LEN(A1069)),""),CHAR(34),CHAR(92)&amp;CHAR(34))</f>
        <v/>
      </c>
      <c r="G1069" t="str">
        <f>SUBSTITUTE(B1070,CHAR(34),CHAR(92)&amp;CHAR(34))</f>
        <v/>
      </c>
      <c r="H1069" t="str">
        <f>SUBSTITUTE(B1071,CHAR(34),CHAR(92)&amp;CHAR(34))</f>
        <v>Đi ở tốc độ thấp, quan sát liên tục khoảng cách từ 05 m đến 10 m phía trước để điều chỉnh sớm hướng di chuyển.</v>
      </c>
      <c r="I1069" t="str">
        <f>SUBSTITUTE(IF(LEFT(A1072,3)="Câu","",B1072),CHAR(34),CHAR(92)&amp;CHAR(34))</f>
        <v>Trong quá trình di chuyển không nên dùng phanh trước tránh làm khóa bánh dẫn hướng.</v>
      </c>
      <c r="J1069" t="str">
        <f>SUBSTITUTE(IF(OR(LEFT(A1073,3)="Câu",I1069=""),"",IF(B1073=0,"",B1073)),CHAR(34),CHAR(92)&amp;CHAR(34))</f>
        <v>Không được lắc người sang trái hoặc phải nhiều, trọng tâm cơ thể cần trùng với trọng tâm của xe.</v>
      </c>
      <c r="K1069" t="str">
        <f>SUBSTITUTE(SUBSTITUTE(SUBSTITUTE(SUBSTITUTE(IFERROR(VLOOKUP("Câu "&amp;D1069&amp;".",dapan!$E:$J,6,0),""),"1","A"),"2","B"),"3","C"),"4","D")</f>
        <v/>
      </c>
      <c r="P1069" t="str">
        <f t="shared" si="56"/>
        <v/>
      </c>
      <c r="Q1069" t="str">
        <f t="shared" si="57"/>
        <v/>
      </c>
    </row>
    <row r="1070" spans="1:17" x14ac:dyDescent="0.25">
      <c r="A1070" t="s">
        <v>920</v>
      </c>
      <c r="C1070">
        <f>IFERROR(COUNTIFS($A$1:A1070,"Câu "&amp;"*")-MID(A1070,5,FIND(".",A1070,1)-5),0)</f>
        <v>0</v>
      </c>
      <c r="D1070">
        <f t="shared" si="58"/>
        <v>261</v>
      </c>
      <c r="E1070" t="str">
        <f>SUBSTITUTE(IF(LEFT(A1070,3)="Câu",MID(A1070,FIND(".",A1070,1)+2,LEN(A1070)),""),CHAR(34),CHAR(92)&amp;CHAR(34))</f>
        <v>Để tránh đổ, ngã khi điều khiển xe mô tô hai bánh ở nơi đường xấu, nhỏ và hẹp, người lái xe cần xử lý như thế nào?</v>
      </c>
      <c r="G1070" t="str">
        <f>SUBSTITUTE(B1071,CHAR(34),CHAR(92)&amp;CHAR(34))</f>
        <v>Đi ở tốc độ thấp, quan sát liên tục khoảng cách từ 05 m đến 10 m phía trước để điều chỉnh sớm hướng di chuyển.</v>
      </c>
      <c r="H1070" t="str">
        <f>SUBSTITUTE(B1072,CHAR(34),CHAR(92)&amp;CHAR(34))</f>
        <v>Trong quá trình di chuyển không nên dùng phanh trước tránh làm khóa bánh dẫn hướng.</v>
      </c>
      <c r="I1070" t="str">
        <f>SUBSTITUTE(IF(LEFT(A1073,3)="Câu","",B1073),CHAR(34),CHAR(92)&amp;CHAR(34))</f>
        <v>Không được lắc người sang trái hoặc phải nhiều, trọng tâm cơ thể cần trùng với trọng tâm của xe.</v>
      </c>
      <c r="J1070" t="str">
        <f>SUBSTITUTE(IF(OR(LEFT(A1074,3)="Câu",I1070=""),"",IF(B1074=0,"",B1074)),CHAR(34),CHAR(92)&amp;CHAR(34))</f>
        <v xml:space="preserve"> Cả ba ý trên.</v>
      </c>
      <c r="K1070" t="str">
        <f ca="1">SUBSTITUTE(SUBSTITUTE(SUBSTITUTE(SUBSTITUTE(IFERROR(VLOOKUP("Câu "&amp;D1070&amp;".",dapan!$E:$J,6,0),""),"1","A"),"2","B"),"3","C"),"4","D")</f>
        <v>D</v>
      </c>
      <c r="P1070">
        <f t="shared" si="56"/>
        <v>261</v>
      </c>
      <c r="Q1070" t="str">
        <f t="shared" ca="1" si="57"/>
        <v>{"num":261,"id":261,"q":"Để tránh đổ, ngã khi điều khiển xe mô tô hai bánh ở nơi đường xấu, nhỏ và hẹp, người lái xe cần xử lý như thế nào?","opts":{"A":"Đi ở tốc độ thấp, quan sát liên tục khoảng cách từ 05 m đến 10 m phía trước để điều chỉnh sớm hướng di chuyển.","B":"Trong quá trình di chuyển không nên dùng phanh trước tránh làm khóa bánh dẫn hướng.","C":"Không được lắc người sang trái hoặc phải nhiều, trọng tâm cơ thể cần trùng với trọng tâm của xe.","D":" Cả ba ý trên."},"answer":"D"},</v>
      </c>
    </row>
    <row r="1071" spans="1:17" hidden="1" x14ac:dyDescent="0.25">
      <c r="A1071">
        <v>1</v>
      </c>
      <c r="B1071" t="s">
        <v>921</v>
      </c>
      <c r="C1071">
        <f>IFERROR(COUNTIFS($A$1:A1071,"Câu "&amp;"*")-MID(A1071,5,FIND(".",A1071,1)-5),0)</f>
        <v>0</v>
      </c>
      <c r="D1071" t="str">
        <f t="shared" si="58"/>
        <v/>
      </c>
      <c r="E1071" t="str">
        <f>SUBSTITUTE(IF(LEFT(A1071,3)="Câu",MID(A1071,FIND(".",A1071,1)+2,LEN(A1071)),""),CHAR(34),CHAR(92)&amp;CHAR(34))</f>
        <v/>
      </c>
      <c r="G1071" t="str">
        <f>SUBSTITUTE(B1072,CHAR(34),CHAR(92)&amp;CHAR(34))</f>
        <v>Trong quá trình di chuyển không nên dùng phanh trước tránh làm khóa bánh dẫn hướng.</v>
      </c>
      <c r="H1071" t="str">
        <f>SUBSTITUTE(B1073,CHAR(34),CHAR(92)&amp;CHAR(34))</f>
        <v>Không được lắc người sang trái hoặc phải nhiều, trọng tâm cơ thể cần trùng với trọng tâm của xe.</v>
      </c>
      <c r="I1071" t="str">
        <f>SUBSTITUTE(IF(LEFT(A1074,3)="Câu","",B1074),CHAR(34),CHAR(92)&amp;CHAR(34))</f>
        <v xml:space="preserve"> Cả ba ý trên.</v>
      </c>
      <c r="J1071" t="str">
        <f>SUBSTITUTE(IF(OR(LEFT(A1075,3)="Câu",I1071=""),"",IF(B1075=0,"",B1075)),CHAR(34),CHAR(92)&amp;CHAR(34))</f>
        <v/>
      </c>
      <c r="K1071" t="str">
        <f>SUBSTITUTE(SUBSTITUTE(SUBSTITUTE(SUBSTITUTE(IFERROR(VLOOKUP("Câu "&amp;D1071&amp;".",dapan!$E:$J,6,0),""),"1","A"),"2","B"),"3","C"),"4","D")</f>
        <v/>
      </c>
      <c r="P1071" t="str">
        <f t="shared" si="56"/>
        <v/>
      </c>
      <c r="Q1071" t="str">
        <f t="shared" si="57"/>
        <v/>
      </c>
    </row>
    <row r="1072" spans="1:17" hidden="1" x14ac:dyDescent="0.25">
      <c r="A1072">
        <v>2</v>
      </c>
      <c r="B1072" t="s">
        <v>922</v>
      </c>
      <c r="C1072">
        <f>IFERROR(COUNTIFS($A$1:A1072,"Câu "&amp;"*")-MID(A1072,5,FIND(".",A1072,1)-5),0)</f>
        <v>0</v>
      </c>
      <c r="D1072" t="str">
        <f t="shared" si="58"/>
        <v/>
      </c>
      <c r="E1072" t="str">
        <f>SUBSTITUTE(IF(LEFT(A1072,3)="Câu",MID(A1072,FIND(".",A1072,1)+2,LEN(A1072)),""),CHAR(34),CHAR(92)&amp;CHAR(34))</f>
        <v/>
      </c>
      <c r="G1072" t="str">
        <f>SUBSTITUTE(B1073,CHAR(34),CHAR(92)&amp;CHAR(34))</f>
        <v>Không được lắc người sang trái hoặc phải nhiều, trọng tâm cơ thể cần trùng với trọng tâm của xe.</v>
      </c>
      <c r="H1072" t="str">
        <f>SUBSTITUTE(B1074,CHAR(34),CHAR(92)&amp;CHAR(34))</f>
        <v xml:space="preserve"> Cả ba ý trên.</v>
      </c>
      <c r="I1072" t="str">
        <f>SUBSTITUTE(IF(LEFT(A1075,3)="Câu","",B1075),CHAR(34),CHAR(92)&amp;CHAR(34))</f>
        <v/>
      </c>
      <c r="J1072" t="str">
        <f>SUBSTITUTE(IF(OR(LEFT(A1076,3)="Câu",I1072=""),"",IF(B1076=0,"",B1076)),CHAR(34),CHAR(92)&amp;CHAR(34))</f>
        <v/>
      </c>
      <c r="K1072" t="str">
        <f>SUBSTITUTE(SUBSTITUTE(SUBSTITUTE(SUBSTITUTE(IFERROR(VLOOKUP("Câu "&amp;D1072&amp;".",dapan!$E:$J,6,0),""),"1","A"),"2","B"),"3","C"),"4","D")</f>
        <v/>
      </c>
      <c r="P1072" t="str">
        <f t="shared" si="56"/>
        <v/>
      </c>
      <c r="Q1072" t="str">
        <f t="shared" si="57"/>
        <v/>
      </c>
    </row>
    <row r="1073" spans="1:17" hidden="1" x14ac:dyDescent="0.25">
      <c r="A1073">
        <v>3</v>
      </c>
      <c r="B1073" t="s">
        <v>923</v>
      </c>
      <c r="C1073">
        <f>IFERROR(COUNTIFS($A$1:A1073,"Câu "&amp;"*")-MID(A1073,5,FIND(".",A1073,1)-5),0)</f>
        <v>0</v>
      </c>
      <c r="D1073" t="str">
        <f t="shared" si="58"/>
        <v/>
      </c>
      <c r="E1073" t="str">
        <f>SUBSTITUTE(IF(LEFT(A1073,3)="Câu",MID(A1073,FIND(".",A1073,1)+2,LEN(A1073)),""),CHAR(34),CHAR(92)&amp;CHAR(34))</f>
        <v/>
      </c>
      <c r="G1073" t="str">
        <f>SUBSTITUTE(B1074,CHAR(34),CHAR(92)&amp;CHAR(34))</f>
        <v xml:space="preserve"> Cả ba ý trên.</v>
      </c>
      <c r="H1073" t="str">
        <f>SUBSTITUTE(B1075,CHAR(34),CHAR(92)&amp;CHAR(34))</f>
        <v/>
      </c>
      <c r="I1073" t="str">
        <f>SUBSTITUTE(IF(LEFT(A1076,3)="Câu","",B1076),CHAR(34),CHAR(92)&amp;CHAR(34))</f>
        <v>Kiểm tra hệ thống an toàn, pin của xe trước khi xuất phát.</v>
      </c>
      <c r="J1073" t="str">
        <f>SUBSTITUTE(IF(OR(LEFT(A1077,3)="Câu",I1073=""),"",IF(B1077=0,"",B1077)),CHAR(34),CHAR(92)&amp;CHAR(34))</f>
        <v>Nhả chân ga để phanh tái sinh hoạt động.</v>
      </c>
      <c r="K1073" t="str">
        <f>SUBSTITUTE(SUBSTITUTE(SUBSTITUTE(SUBSTITUTE(IFERROR(VLOOKUP("Câu "&amp;D1073&amp;".",dapan!$E:$J,6,0),""),"1","A"),"2","B"),"3","C"),"4","D")</f>
        <v/>
      </c>
      <c r="P1073" t="str">
        <f t="shared" si="56"/>
        <v/>
      </c>
      <c r="Q1073" t="str">
        <f t="shared" si="57"/>
        <v/>
      </c>
    </row>
    <row r="1074" spans="1:17" hidden="1" x14ac:dyDescent="0.25">
      <c r="A1074">
        <v>4</v>
      </c>
      <c r="B1074" t="s">
        <v>89</v>
      </c>
      <c r="C1074">
        <f>IFERROR(COUNTIFS($A$1:A1074,"Câu "&amp;"*")-MID(A1074,5,FIND(".",A1074,1)-5),0)</f>
        <v>0</v>
      </c>
      <c r="D1074" t="str">
        <f t="shared" si="58"/>
        <v/>
      </c>
      <c r="E1074" t="str">
        <f>SUBSTITUTE(IF(LEFT(A1074,3)="Câu",MID(A1074,FIND(".",A1074,1)+2,LEN(A1074)),""),CHAR(34),CHAR(92)&amp;CHAR(34))</f>
        <v/>
      </c>
      <c r="G1074" t="str">
        <f>SUBSTITUTE(B1075,CHAR(34),CHAR(92)&amp;CHAR(34))</f>
        <v/>
      </c>
      <c r="H1074" t="str">
        <f>SUBSTITUTE(B1076,CHAR(34),CHAR(92)&amp;CHAR(34))</f>
        <v>Kiểm tra hệ thống an toàn, pin của xe trước khi xuất phát.</v>
      </c>
      <c r="I1074" t="str">
        <f>SUBSTITUTE(IF(LEFT(A1077,3)="Câu","",B1077),CHAR(34),CHAR(92)&amp;CHAR(34))</f>
        <v>Nhả chân ga để phanh tái sinh hoạt động.</v>
      </c>
      <c r="J1074" t="str">
        <f>SUBSTITUTE(IF(OR(LEFT(A1078,3)="Câu",I1074=""),"",IF(B1078=0,"",B1078)),CHAR(34),CHAR(92)&amp;CHAR(34))</f>
        <v>Rà phanh chân để kịp thời xử lý tình huống khẩn cấp.</v>
      </c>
      <c r="K1074" t="str">
        <f>SUBSTITUTE(SUBSTITUTE(SUBSTITUTE(SUBSTITUTE(IFERROR(VLOOKUP("Câu "&amp;D1074&amp;".",dapan!$E:$J,6,0),""),"1","A"),"2","B"),"3","C"),"4","D")</f>
        <v/>
      </c>
      <c r="P1074" t="str">
        <f t="shared" si="56"/>
        <v/>
      </c>
      <c r="Q1074" t="str">
        <f t="shared" si="57"/>
        <v/>
      </c>
    </row>
    <row r="1075" spans="1:17" x14ac:dyDescent="0.25">
      <c r="A1075" t="s">
        <v>924</v>
      </c>
      <c r="C1075">
        <f>IFERROR(COUNTIFS($A$1:A1075,"Câu "&amp;"*")-MID(A1075,5,FIND(".",A1075,1)-5),0)</f>
        <v>0</v>
      </c>
      <c r="D1075">
        <f t="shared" si="58"/>
        <v>262</v>
      </c>
      <c r="E1075" t="str">
        <f>SUBSTITUTE(IF(LEFT(A1075,3)="Câu",MID(A1075,FIND(".",A1075,1)+2,LEN(A1075)),""),CHAR(34),CHAR(92)&amp;CHAR(34))</f>
        <v>Khi lái xe ô tô điện xuống dốc dài, đổ đèo, người lái xe cần chú ý những vấn đề gì để bảo đảm an toàn?</v>
      </c>
      <c r="G1075" t="str">
        <f>SUBSTITUTE(B1076,CHAR(34),CHAR(92)&amp;CHAR(34))</f>
        <v>Kiểm tra hệ thống an toàn, pin của xe trước khi xuất phát.</v>
      </c>
      <c r="H1075" t="str">
        <f>SUBSTITUTE(B1077,CHAR(34),CHAR(92)&amp;CHAR(34))</f>
        <v>Nhả chân ga để phanh tái sinh hoạt động.</v>
      </c>
      <c r="I1075" t="str">
        <f>SUBSTITUTE(IF(LEFT(A1078,3)="Câu","",B1078),CHAR(34),CHAR(92)&amp;CHAR(34))</f>
        <v>Rà phanh chân để kịp thời xử lý tình huống khẩn cấp.</v>
      </c>
      <c r="J1075" t="str">
        <f>SUBSTITUTE(IF(OR(LEFT(A1079,3)="Câu",I1075=""),"",IF(B1079=0,"",B1079)),CHAR(34),CHAR(92)&amp;CHAR(34))</f>
        <v xml:space="preserve"> Cả ba ý trên.</v>
      </c>
      <c r="K1075" t="str">
        <f ca="1">SUBSTITUTE(SUBSTITUTE(SUBSTITUTE(SUBSTITUTE(IFERROR(VLOOKUP("Câu "&amp;D1075&amp;".",dapan!$E:$J,6,0),""),"1","A"),"2","B"),"3","C"),"4","D")</f>
        <v>D</v>
      </c>
      <c r="P1075">
        <f t="shared" si="56"/>
        <v>262</v>
      </c>
      <c r="Q1075" t="str">
        <f t="shared" ca="1" si="57"/>
        <v>{"num":262,"id":262,"q":"Khi lái xe ô tô điện xuống dốc dài, đổ đèo, người lái xe cần chú ý những vấn đề gì để bảo đảm an toàn?","opts":{"A":"Kiểm tra hệ thống an toàn, pin của xe trước khi xuất phát.","B":"Nhả chân ga để phanh tái sinh hoạt động.","C":"Rà phanh chân để kịp thời xử lý tình huống khẩn cấp.","D":" Cả ba ý trên."},"answer":"D"},</v>
      </c>
    </row>
    <row r="1076" spans="1:17" hidden="1" x14ac:dyDescent="0.25">
      <c r="A1076">
        <v>1</v>
      </c>
      <c r="B1076" t="s">
        <v>925</v>
      </c>
      <c r="C1076">
        <f>IFERROR(COUNTIFS($A$1:A1076,"Câu "&amp;"*")-MID(A1076,5,FIND(".",A1076,1)-5),0)</f>
        <v>0</v>
      </c>
      <c r="D1076" t="str">
        <f t="shared" si="58"/>
        <v/>
      </c>
      <c r="E1076" t="str">
        <f>SUBSTITUTE(IF(LEFT(A1076,3)="Câu",MID(A1076,FIND(".",A1076,1)+2,LEN(A1076)),""),CHAR(34),CHAR(92)&amp;CHAR(34))</f>
        <v/>
      </c>
      <c r="G1076" t="str">
        <f>SUBSTITUTE(B1077,CHAR(34),CHAR(92)&amp;CHAR(34))</f>
        <v>Nhả chân ga để phanh tái sinh hoạt động.</v>
      </c>
      <c r="H1076" t="str">
        <f>SUBSTITUTE(B1078,CHAR(34),CHAR(92)&amp;CHAR(34))</f>
        <v>Rà phanh chân để kịp thời xử lý tình huống khẩn cấp.</v>
      </c>
      <c r="I1076" t="str">
        <f>SUBSTITUTE(IF(LEFT(A1079,3)="Câu","",B1079),CHAR(34),CHAR(92)&amp;CHAR(34))</f>
        <v xml:space="preserve"> Cả ba ý trên.</v>
      </c>
      <c r="J1076" t="str">
        <f>SUBSTITUTE(IF(OR(LEFT(A1080,3)="Câu",I1076=""),"",IF(B1080=0,"",B1080)),CHAR(34),CHAR(92)&amp;CHAR(34))</f>
        <v/>
      </c>
      <c r="K1076" t="str">
        <f>SUBSTITUTE(SUBSTITUTE(SUBSTITUTE(SUBSTITUTE(IFERROR(VLOOKUP("Câu "&amp;D1076&amp;".",dapan!$E:$J,6,0),""),"1","A"),"2","B"),"3","C"),"4","D")</f>
        <v/>
      </c>
      <c r="P1076" t="str">
        <f t="shared" si="56"/>
        <v/>
      </c>
      <c r="Q1076" t="str">
        <f t="shared" si="57"/>
        <v/>
      </c>
    </row>
    <row r="1077" spans="1:17" hidden="1" x14ac:dyDescent="0.25">
      <c r="A1077">
        <v>2</v>
      </c>
      <c r="B1077" t="s">
        <v>926</v>
      </c>
      <c r="C1077">
        <f>IFERROR(COUNTIFS($A$1:A1077,"Câu "&amp;"*")-MID(A1077,5,FIND(".",A1077,1)-5),0)</f>
        <v>0</v>
      </c>
      <c r="D1077" t="str">
        <f t="shared" si="58"/>
        <v/>
      </c>
      <c r="E1077" t="str">
        <f>SUBSTITUTE(IF(LEFT(A1077,3)="Câu",MID(A1077,FIND(".",A1077,1)+2,LEN(A1077)),""),CHAR(34),CHAR(92)&amp;CHAR(34))</f>
        <v/>
      </c>
      <c r="G1077" t="str">
        <f>SUBSTITUTE(B1078,CHAR(34),CHAR(92)&amp;CHAR(34))</f>
        <v>Rà phanh chân để kịp thời xử lý tình huống khẩn cấp.</v>
      </c>
      <c r="H1077" t="str">
        <f>SUBSTITUTE(B1079,CHAR(34),CHAR(92)&amp;CHAR(34))</f>
        <v xml:space="preserve"> Cả ba ý trên.</v>
      </c>
      <c r="I1077" t="str">
        <f>SUBSTITUTE(IF(LEFT(A1080,3)="Câu","",B1080),CHAR(34),CHAR(92)&amp;CHAR(34))</f>
        <v/>
      </c>
      <c r="J1077" t="str">
        <f>SUBSTITUTE(IF(OR(LEFT(A1081,3)="Câu",I1077=""),"",IF(B1081=0,"",B1081)),CHAR(34),CHAR(92)&amp;CHAR(34))</f>
        <v/>
      </c>
      <c r="K1077" t="str">
        <f>SUBSTITUTE(SUBSTITUTE(SUBSTITUTE(SUBSTITUTE(IFERROR(VLOOKUP("Câu "&amp;D1077&amp;".",dapan!$E:$J,6,0),""),"1","A"),"2","B"),"3","C"),"4","D")</f>
        <v/>
      </c>
      <c r="P1077" t="str">
        <f t="shared" si="56"/>
        <v/>
      </c>
      <c r="Q1077" t="str">
        <f t="shared" si="57"/>
        <v/>
      </c>
    </row>
    <row r="1078" spans="1:17" hidden="1" x14ac:dyDescent="0.25">
      <c r="A1078">
        <v>3</v>
      </c>
      <c r="B1078" t="s">
        <v>927</v>
      </c>
      <c r="C1078">
        <f>IFERROR(COUNTIFS($A$1:A1078,"Câu "&amp;"*")-MID(A1078,5,FIND(".",A1078,1)-5),0)</f>
        <v>0</v>
      </c>
      <c r="D1078" t="str">
        <f t="shared" si="58"/>
        <v/>
      </c>
      <c r="E1078" t="str">
        <f>SUBSTITUTE(IF(LEFT(A1078,3)="Câu",MID(A1078,FIND(".",A1078,1)+2,LEN(A1078)),""),CHAR(34),CHAR(92)&amp;CHAR(34))</f>
        <v/>
      </c>
      <c r="G1078" t="str">
        <f>SUBSTITUTE(B1079,CHAR(34),CHAR(92)&amp;CHAR(34))</f>
        <v xml:space="preserve"> Cả ba ý trên.</v>
      </c>
      <c r="H1078" t="str">
        <f>SUBSTITUTE(B1080,CHAR(34),CHAR(92)&amp;CHAR(34))</f>
        <v/>
      </c>
      <c r="I1078" t="str">
        <f>SUBSTITUTE(IF(LEFT(A1081,3)="Câu","",B1081),CHAR(34),CHAR(92)&amp;CHAR(34))</f>
        <v>Người lái xe phải tìm hiểu khả năng chìm trong nước của xe để xác định cung đường di chuyển.</v>
      </c>
      <c r="J1078" t="str">
        <f>SUBSTITUTE(IF(OR(LEFT(A1082,3)="Câu",I1078=""),"",IF(B1082=0,"",B1082)),CHAR(34),CHAR(92)&amp;CHAR(34))</f>
        <v>Giữ vững tay lái, đi đều ga, tránh không để xe chết máy giữa dòng, không nên dừng xe trên đường ngập nước.</v>
      </c>
      <c r="K1078" t="str">
        <f>SUBSTITUTE(SUBSTITUTE(SUBSTITUTE(SUBSTITUTE(IFERROR(VLOOKUP("Câu "&amp;D1078&amp;".",dapan!$E:$J,6,0),""),"1","A"),"2","B"),"3","C"),"4","D")</f>
        <v/>
      </c>
      <c r="P1078" t="str">
        <f t="shared" si="56"/>
        <v/>
      </c>
      <c r="Q1078" t="str">
        <f t="shared" si="57"/>
        <v/>
      </c>
    </row>
    <row r="1079" spans="1:17" hidden="1" x14ac:dyDescent="0.25">
      <c r="A1079">
        <v>4</v>
      </c>
      <c r="B1079" t="s">
        <v>89</v>
      </c>
      <c r="C1079">
        <f>IFERROR(COUNTIFS($A$1:A1079,"Câu "&amp;"*")-MID(A1079,5,FIND(".",A1079,1)-5),0)</f>
        <v>0</v>
      </c>
      <c r="D1079" t="str">
        <f t="shared" si="58"/>
        <v/>
      </c>
      <c r="E1079" t="str">
        <f>SUBSTITUTE(IF(LEFT(A1079,3)="Câu",MID(A1079,FIND(".",A1079,1)+2,LEN(A1079)),""),CHAR(34),CHAR(92)&amp;CHAR(34))</f>
        <v/>
      </c>
      <c r="G1079" t="str">
        <f>SUBSTITUTE(B1080,CHAR(34),CHAR(92)&amp;CHAR(34))</f>
        <v/>
      </c>
      <c r="H1079" t="str">
        <f>SUBSTITUTE(B1081,CHAR(34),CHAR(92)&amp;CHAR(34))</f>
        <v>Người lái xe phải tìm hiểu khả năng chìm trong nước của xe để xác định cung đường di chuyển.</v>
      </c>
      <c r="I1079" t="str">
        <f>SUBSTITUTE(IF(LEFT(A1082,3)="Câu","",B1082),CHAR(34),CHAR(92)&amp;CHAR(34))</f>
        <v>Giữ vững tay lái, đi đều ga, tránh không để xe chết máy giữa dòng, không nên dừng xe trên đường ngập nước.</v>
      </c>
      <c r="J1079" t="str">
        <f>SUBSTITUTE(IF(OR(LEFT(A1083,3)="Câu",I1079=""),"",IF(B1083=0,"",B1083)),CHAR(34),CHAR(92)&amp;CHAR(34))</f>
        <v>Lái xe tốc độ chậm, không tạo sóng và giữ khoảng cách an toàn với các phương tiện xung quanh, nhất là người đi bộ.</v>
      </c>
      <c r="K1079" t="str">
        <f>SUBSTITUTE(SUBSTITUTE(SUBSTITUTE(SUBSTITUTE(IFERROR(VLOOKUP("Câu "&amp;D1079&amp;".",dapan!$E:$J,6,0),""),"1","A"),"2","B"),"3","C"),"4","D")</f>
        <v/>
      </c>
      <c r="P1079" t="str">
        <f t="shared" si="56"/>
        <v/>
      </c>
      <c r="Q1079" t="str">
        <f t="shared" si="57"/>
        <v/>
      </c>
    </row>
    <row r="1080" spans="1:17" x14ac:dyDescent="0.25">
      <c r="A1080" t="s">
        <v>928</v>
      </c>
      <c r="C1080">
        <f>IFERROR(COUNTIFS($A$1:A1080,"Câu "&amp;"*")-MID(A1080,5,FIND(".",A1080,1)-5),0)</f>
        <v>0</v>
      </c>
      <c r="D1080">
        <f t="shared" si="58"/>
        <v>263</v>
      </c>
      <c r="E1080" t="str">
        <f>SUBSTITUTE(IF(LEFT(A1080,3)="Câu",MID(A1080,FIND(".",A1080,1)+2,LEN(A1080)),""),CHAR(34),CHAR(92)&amp;CHAR(34))</f>
        <v>Khi lái xe ô tô điện qua khu vực ngập nước, người lái xe cần phải chú ý những vấn đề gì?</v>
      </c>
      <c r="G1080" t="str">
        <f>SUBSTITUTE(B1081,CHAR(34),CHAR(92)&amp;CHAR(34))</f>
        <v>Người lái xe phải tìm hiểu khả năng chìm trong nước của xe để xác định cung đường di chuyển.</v>
      </c>
      <c r="H1080" t="str">
        <f>SUBSTITUTE(B1082,CHAR(34),CHAR(92)&amp;CHAR(34))</f>
        <v>Giữ vững tay lái, đi đều ga, tránh không để xe chết máy giữa dòng, không nên dừng xe trên đường ngập nước.</v>
      </c>
      <c r="I1080" t="str">
        <f>SUBSTITUTE(IF(LEFT(A1083,3)="Câu","",B1083),CHAR(34),CHAR(92)&amp;CHAR(34))</f>
        <v>Lái xe tốc độ chậm, không tạo sóng và giữ khoảng cách an toàn với các phương tiện xung quanh, nhất là người đi bộ.</v>
      </c>
      <c r="J1080" t="str">
        <f>SUBSTITUTE(IF(OR(LEFT(A1084,3)="Câu",I1080=""),"",IF(B1084=0,"",B1084)),CHAR(34),CHAR(92)&amp;CHAR(34))</f>
        <v xml:space="preserve"> Cả ba ý trên.</v>
      </c>
      <c r="K1080" t="str">
        <f ca="1">SUBSTITUTE(SUBSTITUTE(SUBSTITUTE(SUBSTITUTE(IFERROR(VLOOKUP("Câu "&amp;D1080&amp;".",dapan!$E:$J,6,0),""),"1","A"),"2","B"),"3","C"),"4","D")</f>
        <v>D</v>
      </c>
      <c r="P1080">
        <f t="shared" si="56"/>
        <v>263</v>
      </c>
      <c r="Q1080" t="str">
        <f t="shared" ca="1" si="57"/>
        <v>{"num":263,"id":263,"q":"Khi lái xe ô tô điện qua khu vực ngập nước, người lái xe cần phải chú ý những vấn đề gì?","opts":{"A":"Người lái xe phải tìm hiểu khả năng chìm trong nước của xe để xác định cung đường di chuyển.","B":"Giữ vững tay lái, đi đều ga, tránh không để xe chết máy giữa dòng, không nên dừng xe trên đường ngập nước.","C":"Lái xe tốc độ chậm, không tạo sóng và giữ khoảng cách an toàn với các phương tiện xung quanh, nhất là người đi bộ.","D":" Cả ba ý trên."},"answer":"D"},</v>
      </c>
    </row>
    <row r="1081" spans="1:17" hidden="1" x14ac:dyDescent="0.25">
      <c r="A1081">
        <v>1</v>
      </c>
      <c r="B1081" t="s">
        <v>929</v>
      </c>
      <c r="C1081">
        <f>IFERROR(COUNTIFS($A$1:A1081,"Câu "&amp;"*")-MID(A1081,5,FIND(".",A1081,1)-5),0)</f>
        <v>0</v>
      </c>
      <c r="D1081" t="str">
        <f t="shared" si="58"/>
        <v/>
      </c>
      <c r="E1081" t="str">
        <f>SUBSTITUTE(IF(LEFT(A1081,3)="Câu",MID(A1081,FIND(".",A1081,1)+2,LEN(A1081)),""),CHAR(34),CHAR(92)&amp;CHAR(34))</f>
        <v/>
      </c>
      <c r="G1081" t="str">
        <f>SUBSTITUTE(B1082,CHAR(34),CHAR(92)&amp;CHAR(34))</f>
        <v>Giữ vững tay lái, đi đều ga, tránh không để xe chết máy giữa dòng, không nên dừng xe trên đường ngập nước.</v>
      </c>
      <c r="H1081" t="str">
        <f>SUBSTITUTE(B1083,CHAR(34),CHAR(92)&amp;CHAR(34))</f>
        <v>Lái xe tốc độ chậm, không tạo sóng và giữ khoảng cách an toàn với các phương tiện xung quanh, nhất là người đi bộ.</v>
      </c>
      <c r="I1081" t="str">
        <f>SUBSTITUTE(IF(LEFT(A1084,3)="Câu","",B1084),CHAR(34),CHAR(92)&amp;CHAR(34))</f>
        <v xml:space="preserve"> Cả ba ý trên.</v>
      </c>
      <c r="J1081" t="str">
        <f>SUBSTITUTE(IF(OR(LEFT(A1085,3)="Câu",I1081=""),"",IF(B1085=0,"",B1085)),CHAR(34),CHAR(92)&amp;CHAR(34))</f>
        <v/>
      </c>
      <c r="K1081" t="str">
        <f>SUBSTITUTE(SUBSTITUTE(SUBSTITUTE(SUBSTITUTE(IFERROR(VLOOKUP("Câu "&amp;D1081&amp;".",dapan!$E:$J,6,0),""),"1","A"),"2","B"),"3","C"),"4","D")</f>
        <v/>
      </c>
      <c r="P1081" t="str">
        <f t="shared" si="56"/>
        <v/>
      </c>
      <c r="Q1081" t="str">
        <f t="shared" si="57"/>
        <v/>
      </c>
    </row>
    <row r="1082" spans="1:17" hidden="1" x14ac:dyDescent="0.25">
      <c r="A1082">
        <v>2</v>
      </c>
      <c r="B1082" t="s">
        <v>930</v>
      </c>
      <c r="C1082">
        <f>IFERROR(COUNTIFS($A$1:A1082,"Câu "&amp;"*")-MID(A1082,5,FIND(".",A1082,1)-5),0)</f>
        <v>0</v>
      </c>
      <c r="D1082" t="str">
        <f t="shared" si="58"/>
        <v/>
      </c>
      <c r="E1082" t="str">
        <f>SUBSTITUTE(IF(LEFT(A1082,3)="Câu",MID(A1082,FIND(".",A1082,1)+2,LEN(A1082)),""),CHAR(34),CHAR(92)&amp;CHAR(34))</f>
        <v/>
      </c>
      <c r="G1082" t="str">
        <f>SUBSTITUTE(B1083,CHAR(34),CHAR(92)&amp;CHAR(34))</f>
        <v>Lái xe tốc độ chậm, không tạo sóng và giữ khoảng cách an toàn với các phương tiện xung quanh, nhất là người đi bộ.</v>
      </c>
      <c r="H1082" t="str">
        <f>SUBSTITUTE(B1084,CHAR(34),CHAR(92)&amp;CHAR(34))</f>
        <v xml:space="preserve"> Cả ba ý trên.</v>
      </c>
      <c r="I1082" t="str">
        <f>SUBSTITUTE(IF(LEFT(A1085,3)="Câu","",B1085),CHAR(34),CHAR(92)&amp;CHAR(34))</f>
        <v/>
      </c>
      <c r="J1082" t="str">
        <f>SUBSTITUTE(IF(OR(LEFT(A1086,3)="Câu",I1082=""),"",IF(B1086=0,"",B1086)),CHAR(34),CHAR(92)&amp;CHAR(34))</f>
        <v/>
      </c>
      <c r="K1082" t="str">
        <f>SUBSTITUTE(SUBSTITUTE(SUBSTITUTE(SUBSTITUTE(IFERROR(VLOOKUP("Câu "&amp;D1082&amp;".",dapan!$E:$J,6,0),""),"1","A"),"2","B"),"3","C"),"4","D")</f>
        <v/>
      </c>
      <c r="P1082" t="str">
        <f t="shared" si="56"/>
        <v/>
      </c>
      <c r="Q1082" t="str">
        <f t="shared" si="57"/>
        <v/>
      </c>
    </row>
    <row r="1083" spans="1:17" hidden="1" x14ac:dyDescent="0.25">
      <c r="A1083">
        <v>3</v>
      </c>
      <c r="B1083" t="s">
        <v>931</v>
      </c>
      <c r="C1083">
        <f>IFERROR(COUNTIFS($A$1:A1083,"Câu "&amp;"*")-MID(A1083,5,FIND(".",A1083,1)-5),0)</f>
        <v>0</v>
      </c>
      <c r="D1083" t="str">
        <f t="shared" si="58"/>
        <v/>
      </c>
      <c r="E1083" t="str">
        <f>SUBSTITUTE(IF(LEFT(A1083,3)="Câu",MID(A1083,FIND(".",A1083,1)+2,LEN(A1083)),""),CHAR(34),CHAR(92)&amp;CHAR(34))</f>
        <v/>
      </c>
      <c r="G1083" t="str">
        <f>SUBSTITUTE(B1084,CHAR(34),CHAR(92)&amp;CHAR(34))</f>
        <v xml:space="preserve"> Cả ba ý trên.</v>
      </c>
      <c r="H1083" t="str">
        <f>SUBSTITUTE(B1085,CHAR(34),CHAR(92)&amp;CHAR(34))</f>
        <v/>
      </c>
      <c r="I1083" t="str">
        <f>SUBSTITUTE(IF(LEFT(A1086,3)="Câu","",B1086),CHAR(34),CHAR(92)&amp;CHAR(34))</f>
        <v/>
      </c>
      <c r="J1083" t="str">
        <f>SUBSTITUTE(IF(OR(LEFT(A1087,3)="Câu",I1083=""),"",IF(B1087=0,"",B1087)),CHAR(34),CHAR(92)&amp;CHAR(34))</f>
        <v/>
      </c>
      <c r="K1083" t="str">
        <f>SUBSTITUTE(SUBSTITUTE(SUBSTITUTE(SUBSTITUTE(IFERROR(VLOOKUP("Câu "&amp;D1083&amp;".",dapan!$E:$J,6,0),""),"1","A"),"2","B"),"3","C"),"4","D")</f>
        <v/>
      </c>
      <c r="P1083" t="str">
        <f t="shared" si="56"/>
        <v/>
      </c>
      <c r="Q1083" t="str">
        <f t="shared" si="57"/>
        <v/>
      </c>
    </row>
    <row r="1084" spans="1:17" hidden="1" x14ac:dyDescent="0.25">
      <c r="A1084">
        <v>4</v>
      </c>
      <c r="B1084" t="s">
        <v>89</v>
      </c>
      <c r="C1084">
        <f>IFERROR(COUNTIFS($A$1:A1084,"Câu "&amp;"*")-MID(A1084,5,FIND(".",A1084,1)-5),0)</f>
        <v>0</v>
      </c>
      <c r="D1084" t="str">
        <f t="shared" si="58"/>
        <v/>
      </c>
      <c r="E1084" t="str">
        <f>SUBSTITUTE(IF(LEFT(A1084,3)="Câu",MID(A1084,FIND(".",A1084,1)+2,LEN(A1084)),""),CHAR(34),CHAR(92)&amp;CHAR(34))</f>
        <v/>
      </c>
      <c r="G1084" t="str">
        <f>SUBSTITUTE(B1085,CHAR(34),CHAR(92)&amp;CHAR(34))</f>
        <v/>
      </c>
      <c r="H1084" t="str">
        <f>SUBSTITUTE(B1086,CHAR(34),CHAR(92)&amp;CHAR(34))</f>
        <v/>
      </c>
      <c r="I1084" t="str">
        <f>SUBSTITUTE(IF(LEFT(A1087,3)="Câu","",B1087),CHAR(34),CHAR(92)&amp;CHAR(34))</f>
        <v>Kiểm tra que thăm dầu trên các-te. Quan sát vệt dầu trên que thăm, mức dầu này phải nằm ở mức tối đa được thể hiện trên que thăm.</v>
      </c>
      <c r="J1084" t="str">
        <f>SUBSTITUTE(IF(OR(LEFT(A1088,3)="Câu",I1084=""),"",IF(B1088=0,"",B1088)),CHAR(34),CHAR(92)&amp;CHAR(34))</f>
        <v>Rút que thăm dầu trên các-te. Quan sát vệt dầu trên que thăm, mức dầu này phải nằm ở mức tối thiểu được thể hiện trên que thăm.</v>
      </c>
      <c r="K1084" t="str">
        <f>SUBSTITUTE(SUBSTITUTE(SUBSTITUTE(SUBSTITUTE(IFERROR(VLOOKUP("Câu "&amp;D1084&amp;".",dapan!$E:$J,6,0),""),"1","A"),"2","B"),"3","C"),"4","D")</f>
        <v/>
      </c>
      <c r="P1084" t="str">
        <f t="shared" si="56"/>
        <v/>
      </c>
      <c r="Q1084" t="str">
        <f t="shared" si="57"/>
        <v/>
      </c>
    </row>
    <row r="1085" spans="1:17" hidden="1" x14ac:dyDescent="0.25">
      <c r="A1085" t="s">
        <v>932</v>
      </c>
      <c r="C1085">
        <f>IFERROR(COUNTIFS($A$1:A1085,"Câu "&amp;"*")-MID(A1085,5,FIND(".",A1085,1)-5),0)</f>
        <v>0</v>
      </c>
      <c r="D1085" t="str">
        <f t="shared" si="58"/>
        <v/>
      </c>
      <c r="E1085" t="str">
        <f>SUBSTITUTE(IF(LEFT(A1085,3)="Câu",MID(A1085,FIND(".",A1085,1)+2,LEN(A1085)),""),CHAR(34),CHAR(92)&amp;CHAR(34))</f>
        <v/>
      </c>
      <c r="G1085" t="str">
        <f>SUBSTITUTE(B1086,CHAR(34),CHAR(92)&amp;CHAR(34))</f>
        <v/>
      </c>
      <c r="H1085" t="str">
        <f>SUBSTITUTE(B1087,CHAR(34),CHAR(92)&amp;CHAR(34))</f>
        <v>Kiểm tra que thăm dầu trên các-te. Quan sát vệt dầu trên que thăm, mức dầu này phải nằm ở mức tối đa được thể hiện trên que thăm.</v>
      </c>
      <c r="I1085" t="str">
        <f>SUBSTITUTE(IF(LEFT(A1088,3)="Câu","",B1088),CHAR(34),CHAR(92)&amp;CHAR(34))</f>
        <v>Rút que thăm dầu trên các-te. Quan sát vệt dầu trên que thăm, mức dầu này phải nằm ở mức tối thiểu được thể hiện trên que thăm.</v>
      </c>
      <c r="J1085" t="str">
        <f>SUBSTITUTE(IF(OR(LEFT(A1089,3)="Câu",I1085=""),"",IF(B1089=0,"",B1089)),CHAR(34),CHAR(92)&amp;CHAR(34))</f>
        <v xml:space="preserve"> Rút que thăm dầu trên các-te, lau sạch que thăm sau đó cắm vào các-te và rút ra quan sát vệt dầu trên que thăm, mức dầu phải nằm trong khoảng vạch mức tối thiểu và tối đa được thể hiện trên que thăm.</v>
      </c>
      <c r="K1085" t="str">
        <f>SUBSTITUTE(SUBSTITUTE(SUBSTITUTE(SUBSTITUTE(IFERROR(VLOOKUP("Câu "&amp;D1085&amp;".",dapan!$E:$J,6,0),""),"1","A"),"2","B"),"3","C"),"4","D")</f>
        <v/>
      </c>
      <c r="P1085" t="str">
        <f t="shared" si="56"/>
        <v/>
      </c>
      <c r="Q1085" t="str">
        <f t="shared" si="57"/>
        <v/>
      </c>
    </row>
    <row r="1086" spans="1:17" x14ac:dyDescent="0.25">
      <c r="A1086" t="s">
        <v>933</v>
      </c>
      <c r="C1086">
        <f>IFERROR(COUNTIFS($A$1:A1086,"Câu "&amp;"*")-MID(A1086,5,FIND(".",A1086,1)-5),0)</f>
        <v>0</v>
      </c>
      <c r="D1086">
        <f t="shared" si="58"/>
        <v>264</v>
      </c>
      <c r="E1086" t="str">
        <f>SUBSTITUTE(IF(LEFT(A1086,3)="Câu",MID(A1086,FIND(".",A1086,1)+2,LEN(A1086)),""),CHAR(34),CHAR(92)&amp;CHAR(34))</f>
        <v>Phương pháp kiểm tra mức dầu bôi trơn động cơ nào dưới đây là đúng?</v>
      </c>
      <c r="G1086" t="str">
        <f>SUBSTITUTE(B1087,CHAR(34),CHAR(92)&amp;CHAR(34))</f>
        <v>Kiểm tra que thăm dầu trên các-te. Quan sát vệt dầu trên que thăm, mức dầu này phải nằm ở mức tối đa được thể hiện trên que thăm.</v>
      </c>
      <c r="H1086" t="str">
        <f>SUBSTITUTE(B1088,CHAR(34),CHAR(92)&amp;CHAR(34))</f>
        <v>Rút que thăm dầu trên các-te. Quan sát vệt dầu trên que thăm, mức dầu này phải nằm ở mức tối thiểu được thể hiện trên que thăm.</v>
      </c>
      <c r="I1086" t="str">
        <f>SUBSTITUTE(IF(LEFT(A1089,3)="Câu","",B1089),CHAR(34),CHAR(92)&amp;CHAR(34))</f>
        <v xml:space="preserve"> Rút que thăm dầu trên các-te, lau sạch que thăm sau đó cắm vào các-te và rút ra quan sát vệt dầu trên que thăm, mức dầu phải nằm trong khoảng vạch mức tối thiểu và tối đa được thể hiện trên que thăm.</v>
      </c>
      <c r="J1086" t="str">
        <f>SUBSTITUTE(IF(OR(LEFT(A1090,3)="Câu",I1086=""),"",IF(B1090=0,"",B1090)),CHAR(34),CHAR(92)&amp;CHAR(34))</f>
        <v/>
      </c>
      <c r="K1086" t="str">
        <f ca="1">SUBSTITUTE(SUBSTITUTE(SUBSTITUTE(SUBSTITUTE(IFERROR(VLOOKUP("Câu "&amp;D1086&amp;".",dapan!$E:$J,6,0),""),"1","A"),"2","B"),"3","C"),"4","D")</f>
        <v>C</v>
      </c>
      <c r="P1086">
        <f t="shared" si="56"/>
        <v>264</v>
      </c>
      <c r="Q1086" t="str">
        <f t="shared" ca="1" si="57"/>
        <v>{"num":264,"id":264,"q":"Phương pháp kiểm tra mức dầu bôi trơn động cơ nào dưới đây là đúng?","opts":{"A":"Kiểm tra que thăm dầu trên các-te. Quan sát vệt dầu trên que thăm, mức dầu này phải nằm ở mức tối đa được thể hiện trên que thăm.","B":"Rút que thăm dầu trên các-te. Quan sát vệt dầu trên que thăm, mức dầu này phải nằm ở mức tối thiểu được thể hiện trên que thăm.","C":" Rút que thăm dầu trên các-te, lau sạch que thăm sau đó cắm vào các-te và rút ra quan sát vệt dầu trên que thăm, mức dầu phải nằm trong khoảng vạch mức tối thiểu và tối đa được thể hiện trên que thăm."},"answer":"C"},</v>
      </c>
    </row>
    <row r="1087" spans="1:17" hidden="1" x14ac:dyDescent="0.25">
      <c r="A1087">
        <v>1</v>
      </c>
      <c r="B1087" t="s">
        <v>934</v>
      </c>
      <c r="C1087">
        <f>IFERROR(COUNTIFS($A$1:A1087,"Câu "&amp;"*")-MID(A1087,5,FIND(".",A1087,1)-5),0)</f>
        <v>0</v>
      </c>
      <c r="D1087" t="str">
        <f t="shared" si="58"/>
        <v/>
      </c>
      <c r="E1087" t="str">
        <f>SUBSTITUTE(IF(LEFT(A1087,3)="Câu",MID(A1087,FIND(".",A1087,1)+2,LEN(A1087)),""),CHAR(34),CHAR(92)&amp;CHAR(34))</f>
        <v/>
      </c>
      <c r="G1087" t="str">
        <f>SUBSTITUTE(B1088,CHAR(34),CHAR(92)&amp;CHAR(34))</f>
        <v>Rút que thăm dầu trên các-te. Quan sát vệt dầu trên que thăm, mức dầu này phải nằm ở mức tối thiểu được thể hiện trên que thăm.</v>
      </c>
      <c r="H1087" t="str">
        <f>SUBSTITUTE(B1089,CHAR(34),CHAR(92)&amp;CHAR(34))</f>
        <v xml:space="preserve"> Rút que thăm dầu trên các-te, lau sạch que thăm sau đó cắm vào các-te và rút ra quan sát vệt dầu trên que thăm, mức dầu phải nằm trong khoảng vạch mức tối thiểu và tối đa được thể hiện trên que thăm.</v>
      </c>
      <c r="I1087" t="str">
        <f>SUBSTITUTE(IF(LEFT(A1090,3)="Câu","",B1090),CHAR(34),CHAR(92)&amp;CHAR(34))</f>
        <v/>
      </c>
      <c r="J1087" t="str">
        <f>SUBSTITUTE(IF(OR(LEFT(A1091,3)="Câu",I1087=""),"",IF(B1091=0,"",B1091)),CHAR(34),CHAR(92)&amp;CHAR(34))</f>
        <v/>
      </c>
      <c r="K1087" t="str">
        <f>SUBSTITUTE(SUBSTITUTE(SUBSTITUTE(SUBSTITUTE(IFERROR(VLOOKUP("Câu "&amp;D1087&amp;".",dapan!$E:$J,6,0),""),"1","A"),"2","B"),"3","C"),"4","D")</f>
        <v/>
      </c>
      <c r="P1087" t="str">
        <f t="shared" si="56"/>
        <v/>
      </c>
      <c r="Q1087" t="str">
        <f t="shared" si="57"/>
        <v/>
      </c>
    </row>
    <row r="1088" spans="1:17" hidden="1" x14ac:dyDescent="0.25">
      <c r="A1088">
        <v>2</v>
      </c>
      <c r="B1088" t="s">
        <v>935</v>
      </c>
      <c r="C1088">
        <f>IFERROR(COUNTIFS($A$1:A1088,"Câu "&amp;"*")-MID(A1088,5,FIND(".",A1088,1)-5),0)</f>
        <v>0</v>
      </c>
      <c r="D1088" t="str">
        <f t="shared" si="58"/>
        <v/>
      </c>
      <c r="E1088" t="str">
        <f>SUBSTITUTE(IF(LEFT(A1088,3)="Câu",MID(A1088,FIND(".",A1088,1)+2,LEN(A1088)),""),CHAR(34),CHAR(92)&amp;CHAR(34))</f>
        <v/>
      </c>
      <c r="G1088" t="str">
        <f>SUBSTITUTE(B1089,CHAR(34),CHAR(92)&amp;CHAR(34))</f>
        <v xml:space="preserve"> Rút que thăm dầu trên các-te, lau sạch que thăm sau đó cắm vào các-te và rút ra quan sát vệt dầu trên que thăm, mức dầu phải nằm trong khoảng vạch mức tối thiểu và tối đa được thể hiện trên que thăm.</v>
      </c>
      <c r="H1088" t="str">
        <f>SUBSTITUTE(B1090,CHAR(34),CHAR(92)&amp;CHAR(34))</f>
        <v/>
      </c>
      <c r="I1088" t="str">
        <f>SUBSTITUTE(IF(LEFT(A1091,3)="Câu","",B1091),CHAR(34),CHAR(92)&amp;CHAR(34))</f>
        <v>Kính chắn gió, kính cửa phải là loại kính an toàn, bảo đảm tầm nhìn cho người điều khiển; có đủ hệ thống hãm và hệ thống chuyển hướng có hiệu lực, tay lái xe ô tô ở bên trái của xe, có còi với âm lượng đúng quy chuẩn kỹ thuật.</v>
      </c>
      <c r="J1088" t="str">
        <f>SUBSTITUTE(IF(OR(LEFT(A1092,3)="Câu",I1088=""),"",IF(B1092=0,"",B1092)),CHAR(34),CHAR(92)&amp;CHAR(34))</f>
        <v>Có đủ đèn chiếu sáng gần và xa, đèn soi biển số, đèn báo hãm, đèn tín hiệu; có đủ bộ phận giảm thanh, giảm khói, các kết cấu phải đủ độ bền và bảo đảm tính năng vận hành ổn định.</v>
      </c>
      <c r="K1088" t="str">
        <f>SUBSTITUTE(SUBSTITUTE(SUBSTITUTE(SUBSTITUTE(IFERROR(VLOOKUP("Câu "&amp;D1088&amp;".",dapan!$E:$J,6,0),""),"1","A"),"2","B"),"3","C"),"4","D")</f>
        <v/>
      </c>
      <c r="P1088" t="str">
        <f t="shared" si="56"/>
        <v/>
      </c>
      <c r="Q1088" t="str">
        <f t="shared" si="57"/>
        <v/>
      </c>
    </row>
    <row r="1089" spans="1:17" hidden="1" x14ac:dyDescent="0.25">
      <c r="A1089">
        <v>3</v>
      </c>
      <c r="B1089" t="s">
        <v>936</v>
      </c>
      <c r="C1089">
        <f>IFERROR(COUNTIFS($A$1:A1089,"Câu "&amp;"*")-MID(A1089,5,FIND(".",A1089,1)-5),0)</f>
        <v>0</v>
      </c>
      <c r="D1089" t="str">
        <f t="shared" si="58"/>
        <v/>
      </c>
      <c r="E1089" t="str">
        <f>SUBSTITUTE(IF(LEFT(A1089,3)="Câu",MID(A1089,FIND(".",A1089,1)+2,LEN(A1089)),""),CHAR(34),CHAR(92)&amp;CHAR(34))</f>
        <v/>
      </c>
      <c r="G1089" t="str">
        <f>SUBSTITUTE(B1090,CHAR(34),CHAR(92)&amp;CHAR(34))</f>
        <v/>
      </c>
      <c r="H1089" t="str">
        <f>SUBSTITUTE(B1091,CHAR(34),CHAR(92)&amp;CHAR(34))</f>
        <v>Kính chắn gió, kính cửa phải là loại kính an toàn, bảo đảm tầm nhìn cho người điều khiển; có đủ hệ thống hãm và hệ thống chuyển hướng có hiệu lực, tay lái xe ô tô ở bên trái của xe, có còi với âm lượng đúng quy chuẩn kỹ thuật.</v>
      </c>
      <c r="I1089" t="str">
        <f>SUBSTITUTE(IF(LEFT(A1092,3)="Câu","",B1092),CHAR(34),CHAR(92)&amp;CHAR(34))</f>
        <v>Có đủ đèn chiếu sáng gần và xa, đèn soi biển số, đèn báo hãm, đèn tín hiệu; có đủ bộ phận giảm thanh, giảm khói, các kết cấu phải đủ độ bền và bảo đảm tính năng vận hành ổn định.</v>
      </c>
      <c r="J1089" t="str">
        <f>SUBSTITUTE(IF(OR(LEFT(A1093,3)="Câu",I1089=""),"",IF(B1093=0,"",B1093)),CHAR(34),CHAR(92)&amp;CHAR(34))</f>
        <v xml:space="preserve"> Cả hai ý trên.</v>
      </c>
      <c r="K1089" t="str">
        <f>SUBSTITUTE(SUBSTITUTE(SUBSTITUTE(SUBSTITUTE(IFERROR(VLOOKUP("Câu "&amp;D1089&amp;".",dapan!$E:$J,6,0),""),"1","A"),"2","B"),"3","C"),"4","D")</f>
        <v/>
      </c>
      <c r="P1089" t="str">
        <f t="shared" si="56"/>
        <v/>
      </c>
      <c r="Q1089" t="str">
        <f t="shared" si="57"/>
        <v/>
      </c>
    </row>
    <row r="1090" spans="1:17" x14ac:dyDescent="0.25">
      <c r="A1090" t="s">
        <v>937</v>
      </c>
      <c r="C1090">
        <f>IFERROR(COUNTIFS($A$1:A1090,"Câu "&amp;"*")-MID(A1090,5,FIND(".",A1090,1)-5),0)</f>
        <v>0</v>
      </c>
      <c r="D1090">
        <f t="shared" si="58"/>
        <v>265</v>
      </c>
      <c r="E1090" t="str">
        <f>SUBSTITUTE(IF(LEFT(A1090,3)="Câu",MID(A1090,FIND(".",A1090,1)+2,LEN(A1090)),""),CHAR(34),CHAR(92)&amp;CHAR(34))</f>
        <v>Xe ô tô tham gia giao thông đường bộ phải bảo đảm các quy định về chất lượng, an toàn kỹ thuật và bảo vệ môi trường nào dưới đây?</v>
      </c>
      <c r="G1090" t="str">
        <f>SUBSTITUTE(B1091,CHAR(34),CHAR(92)&amp;CHAR(34))</f>
        <v>Kính chắn gió, kính cửa phải là loại kính an toàn, bảo đảm tầm nhìn cho người điều khiển; có đủ hệ thống hãm và hệ thống chuyển hướng có hiệu lực, tay lái xe ô tô ở bên trái của xe, có còi với âm lượng đúng quy chuẩn kỹ thuật.</v>
      </c>
      <c r="H1090" t="str">
        <f>SUBSTITUTE(B1092,CHAR(34),CHAR(92)&amp;CHAR(34))</f>
        <v>Có đủ đèn chiếu sáng gần và xa, đèn soi biển số, đèn báo hãm, đèn tín hiệu; có đủ bộ phận giảm thanh, giảm khói, các kết cấu phải đủ độ bền và bảo đảm tính năng vận hành ổn định.</v>
      </c>
      <c r="I1090" t="str">
        <f>SUBSTITUTE(IF(LEFT(A1093,3)="Câu","",B1093),CHAR(34),CHAR(92)&amp;CHAR(34))</f>
        <v xml:space="preserve"> Cả hai ý trên.</v>
      </c>
      <c r="J1090" t="str">
        <f>SUBSTITUTE(IF(OR(LEFT(A1094,3)="Câu",I1090=""),"",IF(B1094=0,"",B1094)),CHAR(34),CHAR(92)&amp;CHAR(34))</f>
        <v/>
      </c>
      <c r="K1090" t="str">
        <f ca="1">SUBSTITUTE(SUBSTITUTE(SUBSTITUTE(SUBSTITUTE(IFERROR(VLOOKUP("Câu "&amp;D1090&amp;".",dapan!$E:$J,6,0),""),"1","A"),"2","B"),"3","C"),"4","D")</f>
        <v>C</v>
      </c>
      <c r="P1090">
        <f t="shared" si="56"/>
        <v>265</v>
      </c>
      <c r="Q1090" t="str">
        <f t="shared" ca="1" si="57"/>
        <v>{"num":265,"id":265,"q":"Xe ô tô tham gia giao thông đường bộ phải bảo đảm các quy định về chất lượng, an toàn kỹ thuật và bảo vệ môi trường nào dưới đây?","opts":{"A":"Kính chắn gió, kính cửa phải là loại kính an toàn, bảo đảm tầm nhìn cho người điều khiển; có đủ hệ thống hãm và hệ thống chuyển hướng có hiệu lực, tay lái xe ô tô ở bên trái của xe, có còi với âm lượng đúng quy chuẩn kỹ thuật.","B":"Có đủ đèn chiếu sáng gần và xa, đèn soi biển số, đèn báo hãm, đèn tín hiệu; có đủ bộ phận giảm thanh, giảm khói, các kết cấu phải đủ độ bền và bảo đảm tính năng vận hành ổn định.","C":" Cả hai ý trên."},"answer":"C"},</v>
      </c>
    </row>
    <row r="1091" spans="1:17" hidden="1" x14ac:dyDescent="0.25">
      <c r="A1091">
        <v>1</v>
      </c>
      <c r="B1091" t="s">
        <v>938</v>
      </c>
      <c r="C1091">
        <f>IFERROR(COUNTIFS($A$1:A1091,"Câu "&amp;"*")-MID(A1091,5,FIND(".",A1091,1)-5),0)</f>
        <v>0</v>
      </c>
      <c r="D1091" t="str">
        <f t="shared" si="58"/>
        <v/>
      </c>
      <c r="E1091" t="str">
        <f>SUBSTITUTE(IF(LEFT(A1091,3)="Câu",MID(A1091,FIND(".",A1091,1)+2,LEN(A1091)),""),CHAR(34),CHAR(92)&amp;CHAR(34))</f>
        <v/>
      </c>
      <c r="G1091" t="str">
        <f>SUBSTITUTE(B1092,CHAR(34),CHAR(92)&amp;CHAR(34))</f>
        <v>Có đủ đèn chiếu sáng gần và xa, đèn soi biển số, đèn báo hãm, đèn tín hiệu; có đủ bộ phận giảm thanh, giảm khói, các kết cấu phải đủ độ bền và bảo đảm tính năng vận hành ổn định.</v>
      </c>
      <c r="H1091" t="str">
        <f>SUBSTITUTE(B1093,CHAR(34),CHAR(92)&amp;CHAR(34))</f>
        <v xml:space="preserve"> Cả hai ý trên.</v>
      </c>
      <c r="I1091" t="str">
        <f>SUBSTITUTE(IF(LEFT(A1094,3)="Câu","",B1094),CHAR(34),CHAR(92)&amp;CHAR(34))</f>
        <v/>
      </c>
      <c r="J1091" t="str">
        <f>SUBSTITUTE(IF(OR(LEFT(A1095,3)="Câu",I1091=""),"",IF(B1095=0,"",B1095)),CHAR(34),CHAR(92)&amp;CHAR(34))</f>
        <v/>
      </c>
      <c r="K1091" t="str">
        <f>SUBSTITUTE(SUBSTITUTE(SUBSTITUTE(SUBSTITUTE(IFERROR(VLOOKUP("Câu "&amp;D1091&amp;".",dapan!$E:$J,6,0),""),"1","A"),"2","B"),"3","C"),"4","D")</f>
        <v/>
      </c>
      <c r="P1091" t="str">
        <f t="shared" ref="P1091:P1154" si="59">D1091</f>
        <v/>
      </c>
      <c r="Q1091" t="str">
        <f t="shared" ref="Q1091:Q1154" si="60">IF(D1091="","",CHAR(123)&amp;CHAR(34)&amp;"num"&amp;CHAR(34)&amp;":"&amp;P1091&amp;","&amp;CHAR(34)&amp;"id"&amp;CHAR(34)&amp;":"&amp;D1091&amp;","
&amp;CHAR(34)&amp;"q"&amp;CHAR(34)&amp;":"&amp;CHAR(34)&amp;E1091&amp;CHAR(34)&amp;","
&amp;IF(F1091="","",CHAR(34)&amp;"img"&amp;CHAR(34)&amp;":"&amp;CHAR(34)&amp;F1091&amp;CHAR(34)&amp;",")
&amp;CHAR(34)&amp;"opts"&amp;CHAR(34)&amp;":"&amp;CHAR(123)&amp;CHAR(34)&amp;"A"&amp;CHAR(34)&amp;":"&amp;CHAR(34)&amp;G1091&amp;CHAR(34)&amp;","&amp;CHAR(34)&amp;"B"&amp;CHAR(34)&amp;":"&amp;CHAR(34)&amp;H1091&amp;CHAR(34)
&amp;IF(I1091="","",","&amp;CHAR(34)&amp;"C"&amp;CHAR(34)&amp;":"&amp;CHAR(34)&amp;I1091&amp;CHAR(34))&amp;IF(J1091="","",","&amp;CHAR(34)&amp;"D"&amp;CHAR(34)&amp;":"&amp;CHAR(34)&amp;J1091&amp;CHAR(34))&amp;CHAR(125)&amp;","
&amp;CHAR(34)&amp;"answer"&amp;CHAR(34)&amp;":"&amp;CHAR(34)&amp;K1091&amp;CHAR(34)
&amp;IF(L1091="","",","&amp;CHAR(34)&amp;"danger"&amp;CHAR(34)&amp;":"&amp;CHAR(34)&amp;"true"&amp;CHAR(34))
&amp;IF(M1091="","",","&amp;CHAR(34)&amp;"explain"&amp;CHAR(34)&amp;":"&amp;CHAR(34)&amp;M1091&amp;CHAR(34))
&amp;IF(N1091="","",","&amp;CHAR(34)&amp;"explainImg"&amp;CHAR(34)&amp;":"&amp;CHAR(34)&amp;N1091&amp;CHAR(34))
&amp;IF(O1091="","",","&amp;CHAR(34)&amp;"shuffle"&amp;CHAR(34)&amp;":"&amp;CHAR(34)&amp;"false"&amp;CHAR(34))&amp;CHAR(125)&amp;",")</f>
        <v/>
      </c>
    </row>
    <row r="1092" spans="1:17" hidden="1" x14ac:dyDescent="0.25">
      <c r="A1092">
        <v>2</v>
      </c>
      <c r="B1092" t="s">
        <v>939</v>
      </c>
      <c r="C1092">
        <f>IFERROR(COUNTIFS($A$1:A1092,"Câu "&amp;"*")-MID(A1092,5,FIND(".",A1092,1)-5),0)</f>
        <v>0</v>
      </c>
      <c r="D1092" t="str">
        <f t="shared" si="58"/>
        <v/>
      </c>
      <c r="E1092" t="str">
        <f>SUBSTITUTE(IF(LEFT(A1092,3)="Câu",MID(A1092,FIND(".",A1092,1)+2,LEN(A1092)),""),CHAR(34),CHAR(92)&amp;CHAR(34))</f>
        <v/>
      </c>
      <c r="G1092" t="str">
        <f>SUBSTITUTE(B1093,CHAR(34),CHAR(92)&amp;CHAR(34))</f>
        <v xml:space="preserve"> Cả hai ý trên.</v>
      </c>
      <c r="H1092" t="str">
        <f>SUBSTITUTE(B1094,CHAR(34),CHAR(92)&amp;CHAR(34))</f>
        <v/>
      </c>
      <c r="I1092" t="str">
        <f>SUBSTITUTE(IF(LEFT(A1095,3)="Câu","",B1095),CHAR(34),CHAR(92)&amp;CHAR(34))</f>
        <v>Không bắt buộc.</v>
      </c>
      <c r="J1092" t="str">
        <f>SUBSTITUTE(IF(OR(LEFT(A1096,3)="Câu",I1092=""),"",IF(B1096=0,"",B1096)),CHAR(34),CHAR(92)&amp;CHAR(34))</f>
        <v xml:space="preserve"> Bắt buộc.</v>
      </c>
      <c r="K1092" t="str">
        <f>SUBSTITUTE(SUBSTITUTE(SUBSTITUTE(SUBSTITUTE(IFERROR(VLOOKUP("Câu "&amp;D1092&amp;".",dapan!$E:$J,6,0),""),"1","A"),"2","B"),"3","C"),"4","D")</f>
        <v/>
      </c>
      <c r="P1092" t="str">
        <f t="shared" si="59"/>
        <v/>
      </c>
      <c r="Q1092" t="str">
        <f t="shared" si="60"/>
        <v/>
      </c>
    </row>
    <row r="1093" spans="1:17" hidden="1" x14ac:dyDescent="0.25">
      <c r="A1093">
        <v>3</v>
      </c>
      <c r="B1093" t="s">
        <v>32</v>
      </c>
      <c r="C1093">
        <f>IFERROR(COUNTIFS($A$1:A1093,"Câu "&amp;"*")-MID(A1093,5,FIND(".",A1093,1)-5),0)</f>
        <v>0</v>
      </c>
      <c r="D1093" t="str">
        <f t="shared" si="58"/>
        <v/>
      </c>
      <c r="E1093" t="str">
        <f>SUBSTITUTE(IF(LEFT(A1093,3)="Câu",MID(A1093,FIND(".",A1093,1)+2,LEN(A1093)),""),CHAR(34),CHAR(92)&amp;CHAR(34))</f>
        <v/>
      </c>
      <c r="G1093" t="str">
        <f>SUBSTITUTE(B1094,CHAR(34),CHAR(92)&amp;CHAR(34))</f>
        <v/>
      </c>
      <c r="H1093" t="str">
        <f>SUBSTITUTE(B1095,CHAR(34),CHAR(92)&amp;CHAR(34))</f>
        <v>Không bắt buộc.</v>
      </c>
      <c r="I1093" t="str">
        <f>SUBSTITUTE(IF(LEFT(A1096,3)="Câu","",B1096),CHAR(34),CHAR(92)&amp;CHAR(34))</f>
        <v xml:space="preserve"> Bắt buộc.</v>
      </c>
      <c r="J1093" t="str">
        <f>SUBSTITUTE(IF(OR(LEFT(A1097,3)="Câu",I1093=""),"",IF(B1097=0,"",B1097)),CHAR(34),CHAR(92)&amp;CHAR(34))</f>
        <v>Tùy từng trường hợp.</v>
      </c>
      <c r="K1093" t="str">
        <f>SUBSTITUTE(SUBSTITUTE(SUBSTITUTE(SUBSTITUTE(IFERROR(VLOOKUP("Câu "&amp;D1093&amp;".",dapan!$E:$J,6,0),""),"1","A"),"2","B"),"3","C"),"4","D")</f>
        <v/>
      </c>
      <c r="P1093" t="str">
        <f t="shared" si="59"/>
        <v/>
      </c>
      <c r="Q1093" t="str">
        <f t="shared" si="60"/>
        <v/>
      </c>
    </row>
    <row r="1094" spans="1:17" x14ac:dyDescent="0.25">
      <c r="A1094" t="s">
        <v>940</v>
      </c>
      <c r="C1094">
        <f>IFERROR(COUNTIFS($A$1:A1094,"Câu "&amp;"*")-MID(A1094,5,FIND(".",A1094,1)-5),0)</f>
        <v>0</v>
      </c>
      <c r="D1094">
        <f t="shared" si="58"/>
        <v>266</v>
      </c>
      <c r="E1094" t="str">
        <f>SUBSTITUTE(IF(LEFT(A1094,3)="Câu",MID(A1094,FIND(".",A1094,1)+2,LEN(A1094)),""),CHAR(34),CHAR(92)&amp;CHAR(34))</f>
        <v>Xe mô tô và xe ô tô tham gia giao thông trên đường bộ có bắt buộc phải đủ bộ phận giảm thanh không?</v>
      </c>
      <c r="G1094" t="str">
        <f>SUBSTITUTE(B1095,CHAR(34),CHAR(92)&amp;CHAR(34))</f>
        <v>Không bắt buộc.</v>
      </c>
      <c r="H1094" t="str">
        <f>SUBSTITUTE(B1096,CHAR(34),CHAR(92)&amp;CHAR(34))</f>
        <v xml:space="preserve"> Bắt buộc.</v>
      </c>
      <c r="I1094" t="str">
        <f>SUBSTITUTE(IF(LEFT(A1097,3)="Câu","",B1097),CHAR(34),CHAR(92)&amp;CHAR(34))</f>
        <v>Tùy từng trường hợp.</v>
      </c>
      <c r="J1094" t="str">
        <f>SUBSTITUTE(IF(OR(LEFT(A1098,3)="Câu",I1094=""),"",IF(B1098=0,"",B1098)),CHAR(34),CHAR(92)&amp;CHAR(34))</f>
        <v/>
      </c>
      <c r="K1094" t="str">
        <f ca="1">SUBSTITUTE(SUBSTITUTE(SUBSTITUTE(SUBSTITUTE(IFERROR(VLOOKUP("Câu "&amp;D1094&amp;".",dapan!$E:$J,6,0),""),"1","A"),"2","B"),"3","C"),"4","D")</f>
        <v>B</v>
      </c>
      <c r="P1094">
        <f t="shared" si="59"/>
        <v>266</v>
      </c>
      <c r="Q1094" t="str">
        <f t="shared" ca="1" si="60"/>
        <v>{"num":266,"id":266,"q":"Xe mô tô và xe ô tô tham gia giao thông trên đường bộ có bắt buộc phải đủ bộ phận giảm thanh không?","opts":{"A":"Không bắt buộc.","B":" Bắt buộc.","C":"Tùy từng trường hợp."},"answer":"B"},</v>
      </c>
    </row>
    <row r="1095" spans="1:17" hidden="1" x14ac:dyDescent="0.25">
      <c r="A1095">
        <v>1</v>
      </c>
      <c r="B1095" t="s">
        <v>941</v>
      </c>
      <c r="C1095">
        <f>IFERROR(COUNTIFS($A$1:A1095,"Câu "&amp;"*")-MID(A1095,5,FIND(".",A1095,1)-5),0)</f>
        <v>0</v>
      </c>
      <c r="D1095" t="str">
        <f t="shared" si="58"/>
        <v/>
      </c>
      <c r="E1095" t="str">
        <f>SUBSTITUTE(IF(LEFT(A1095,3)="Câu",MID(A1095,FIND(".",A1095,1)+2,LEN(A1095)),""),CHAR(34),CHAR(92)&amp;CHAR(34))</f>
        <v/>
      </c>
      <c r="G1095" t="str">
        <f>SUBSTITUTE(B1096,CHAR(34),CHAR(92)&amp;CHAR(34))</f>
        <v xml:space="preserve"> Bắt buộc.</v>
      </c>
      <c r="H1095" t="str">
        <f>SUBSTITUTE(B1097,CHAR(34),CHAR(92)&amp;CHAR(34))</f>
        <v>Tùy từng trường hợp.</v>
      </c>
      <c r="I1095" t="str">
        <f>SUBSTITUTE(IF(LEFT(A1098,3)="Câu","",B1098),CHAR(34),CHAR(92)&amp;CHAR(34))</f>
        <v/>
      </c>
      <c r="J1095" t="str">
        <f>SUBSTITUTE(IF(OR(LEFT(A1099,3)="Câu",I1095=""),"",IF(B1099=0,"",B1099)),CHAR(34),CHAR(92)&amp;CHAR(34))</f>
        <v/>
      </c>
      <c r="K1095" t="str">
        <f>SUBSTITUTE(SUBSTITUTE(SUBSTITUTE(SUBSTITUTE(IFERROR(VLOOKUP("Câu "&amp;D1095&amp;".",dapan!$E:$J,6,0),""),"1","A"),"2","B"),"3","C"),"4","D")</f>
        <v/>
      </c>
      <c r="P1095" t="str">
        <f t="shared" si="59"/>
        <v/>
      </c>
      <c r="Q1095" t="str">
        <f t="shared" si="60"/>
        <v/>
      </c>
    </row>
    <row r="1096" spans="1:17" hidden="1" x14ac:dyDescent="0.25">
      <c r="A1096">
        <v>2</v>
      </c>
      <c r="B1096" t="s">
        <v>942</v>
      </c>
      <c r="C1096">
        <f>IFERROR(COUNTIFS($A$1:A1096,"Câu "&amp;"*")-MID(A1096,5,FIND(".",A1096,1)-5),0)</f>
        <v>0</v>
      </c>
      <c r="D1096" t="str">
        <f t="shared" si="58"/>
        <v/>
      </c>
      <c r="E1096" t="str">
        <f>SUBSTITUTE(IF(LEFT(A1096,3)="Câu",MID(A1096,FIND(".",A1096,1)+2,LEN(A1096)),""),CHAR(34),CHAR(92)&amp;CHAR(34))</f>
        <v/>
      </c>
      <c r="G1096" t="str">
        <f>SUBSTITUTE(B1097,CHAR(34),CHAR(92)&amp;CHAR(34))</f>
        <v>Tùy từng trường hợp.</v>
      </c>
      <c r="H1096" t="str">
        <f>SUBSTITUTE(B1098,CHAR(34),CHAR(92)&amp;CHAR(34))</f>
        <v/>
      </c>
      <c r="I1096" t="str">
        <f>SUBSTITUTE(IF(LEFT(A1099,3)="Câu","",B1099),CHAR(34),CHAR(92)&amp;CHAR(34))</f>
        <v>Đèn chiếu sáng gần và xa.</v>
      </c>
      <c r="J1096" t="str">
        <f>SUBSTITUTE(IF(OR(LEFT(A1100,3)="Câu",I1096=""),"",IF(B1100=0,"",B1100)),CHAR(34),CHAR(92)&amp;CHAR(34))</f>
        <v>Đèn soi biển số, đèn báo hãm và đèn tín hiệu.</v>
      </c>
      <c r="K1096" t="str">
        <f>SUBSTITUTE(SUBSTITUTE(SUBSTITUTE(SUBSTITUTE(IFERROR(VLOOKUP("Câu "&amp;D1096&amp;".",dapan!$E:$J,6,0),""),"1","A"),"2","B"),"3","C"),"4","D")</f>
        <v/>
      </c>
      <c r="P1096" t="str">
        <f t="shared" si="59"/>
        <v/>
      </c>
      <c r="Q1096" t="str">
        <f t="shared" si="60"/>
        <v/>
      </c>
    </row>
    <row r="1097" spans="1:17" hidden="1" x14ac:dyDescent="0.25">
      <c r="A1097">
        <v>3</v>
      </c>
      <c r="B1097" t="s">
        <v>943</v>
      </c>
      <c r="C1097">
        <f>IFERROR(COUNTIFS($A$1:A1097,"Câu "&amp;"*")-MID(A1097,5,FIND(".",A1097,1)-5),0)</f>
        <v>0</v>
      </c>
      <c r="D1097" t="str">
        <f t="shared" si="58"/>
        <v/>
      </c>
      <c r="E1097" t="str">
        <f>SUBSTITUTE(IF(LEFT(A1097,3)="Câu",MID(A1097,FIND(".",A1097,1)+2,LEN(A1097)),""),CHAR(34),CHAR(92)&amp;CHAR(34))</f>
        <v/>
      </c>
      <c r="G1097" t="str">
        <f>SUBSTITUTE(B1098,CHAR(34),CHAR(92)&amp;CHAR(34))</f>
        <v/>
      </c>
      <c r="H1097" t="str">
        <f>SUBSTITUTE(B1099,CHAR(34),CHAR(92)&amp;CHAR(34))</f>
        <v>Đèn chiếu sáng gần và xa.</v>
      </c>
      <c r="I1097" t="str">
        <f>SUBSTITUTE(IF(LEFT(A1100,3)="Câu","",B1100),CHAR(34),CHAR(92)&amp;CHAR(34))</f>
        <v>Đèn soi biển số, đèn báo hãm và đèn tín hiệu.</v>
      </c>
      <c r="J1097" t="str">
        <f>SUBSTITUTE(IF(OR(LEFT(A1101,3)="Câu",I1097=""),"",IF(B1101=0,"",B1101)),CHAR(34),CHAR(92)&amp;CHAR(34))</f>
        <v>Dàn đèn pha trên nóc xe.</v>
      </c>
      <c r="K1097" t="str">
        <f>SUBSTITUTE(SUBSTITUTE(SUBSTITUTE(SUBSTITUTE(IFERROR(VLOOKUP("Câu "&amp;D1097&amp;".",dapan!$E:$J,6,0),""),"1","A"),"2","B"),"3","C"),"4","D")</f>
        <v/>
      </c>
      <c r="P1097" t="str">
        <f t="shared" si="59"/>
        <v/>
      </c>
      <c r="Q1097" t="str">
        <f t="shared" si="60"/>
        <v/>
      </c>
    </row>
    <row r="1098" spans="1:17" x14ac:dyDescent="0.25">
      <c r="A1098" t="s">
        <v>944</v>
      </c>
      <c r="C1098">
        <f>IFERROR(COUNTIFS($A$1:A1098,"Câu "&amp;"*")-MID(A1098,5,FIND(".",A1098,1)-5),0)</f>
        <v>0</v>
      </c>
      <c r="D1098">
        <f t="shared" si="58"/>
        <v>267</v>
      </c>
      <c r="E1098" t="str">
        <f>SUBSTITUTE(IF(LEFT(A1098,3)="Câu",MID(A1098,FIND(".",A1098,1)+2,LEN(A1098)),""),CHAR(34),CHAR(92)&amp;CHAR(34))</f>
        <v>Xe ô tô tham gia giao thông trên đường bộ phải có đủ các loại đèn nào dưới đây?</v>
      </c>
      <c r="G1098" t="str">
        <f>SUBSTITUTE(B1099,CHAR(34),CHAR(92)&amp;CHAR(34))</f>
        <v>Đèn chiếu sáng gần và xa.</v>
      </c>
      <c r="H1098" t="str">
        <f>SUBSTITUTE(B1100,CHAR(34),CHAR(92)&amp;CHAR(34))</f>
        <v>Đèn soi biển số, đèn báo hãm và đèn tín hiệu.</v>
      </c>
      <c r="I1098" t="str">
        <f>SUBSTITUTE(IF(LEFT(A1101,3)="Câu","",B1101),CHAR(34),CHAR(92)&amp;CHAR(34))</f>
        <v>Dàn đèn pha trên nóc xe.</v>
      </c>
      <c r="J1098" t="str">
        <f>SUBSTITUTE(IF(OR(LEFT(A1102,3)="Câu",I1098=""),"",IF(B1102=0,"",B1102)),CHAR(34),CHAR(92)&amp;CHAR(34))</f>
        <v xml:space="preserve"> Ý 1 và ý 2.</v>
      </c>
      <c r="K1098" t="str">
        <f ca="1">SUBSTITUTE(SUBSTITUTE(SUBSTITUTE(SUBSTITUTE(IFERROR(VLOOKUP("Câu "&amp;D1098&amp;".",dapan!$E:$J,6,0),""),"1","A"),"2","B"),"3","C"),"4","D")</f>
        <v>D</v>
      </c>
      <c r="P1098">
        <f t="shared" si="59"/>
        <v>267</v>
      </c>
      <c r="Q1098" t="str">
        <f t="shared" ca="1" si="60"/>
        <v>{"num":267,"id":267,"q":"Xe ô tô tham gia giao thông trên đường bộ phải có đủ các loại đèn nào dưới đây?","opts":{"A":"Đèn chiếu sáng gần và xa.","B":"Đèn soi biển số, đèn báo hãm và đèn tín hiệu.","C":"Dàn đèn pha trên nóc xe.","D":" Ý 1 và ý 2."},"answer":"D"},</v>
      </c>
    </row>
    <row r="1099" spans="1:17" hidden="1" x14ac:dyDescent="0.25">
      <c r="A1099">
        <v>1</v>
      </c>
      <c r="B1099" t="s">
        <v>945</v>
      </c>
      <c r="C1099">
        <f>IFERROR(COUNTIFS($A$1:A1099,"Câu "&amp;"*")-MID(A1099,5,FIND(".",A1099,1)-5),0)</f>
        <v>0</v>
      </c>
      <c r="D1099" t="str">
        <f t="shared" si="58"/>
        <v/>
      </c>
      <c r="E1099" t="str">
        <f>SUBSTITUTE(IF(LEFT(A1099,3)="Câu",MID(A1099,FIND(".",A1099,1)+2,LEN(A1099)),""),CHAR(34),CHAR(92)&amp;CHAR(34))</f>
        <v/>
      </c>
      <c r="G1099" t="str">
        <f>SUBSTITUTE(B1100,CHAR(34),CHAR(92)&amp;CHAR(34))</f>
        <v>Đèn soi biển số, đèn báo hãm và đèn tín hiệu.</v>
      </c>
      <c r="H1099" t="str">
        <f>SUBSTITUTE(B1101,CHAR(34),CHAR(92)&amp;CHAR(34))</f>
        <v>Dàn đèn pha trên nóc xe.</v>
      </c>
      <c r="I1099" t="str">
        <f>SUBSTITUTE(IF(LEFT(A1102,3)="Câu","",B1102),CHAR(34),CHAR(92)&amp;CHAR(34))</f>
        <v xml:space="preserve"> Ý 1 và ý 2.</v>
      </c>
      <c r="J1099" t="str">
        <f>SUBSTITUTE(IF(OR(LEFT(A1103,3)="Câu",I1099=""),"",IF(B1103=0,"",B1103)),CHAR(34),CHAR(92)&amp;CHAR(34))</f>
        <v/>
      </c>
      <c r="K1099" t="str">
        <f>SUBSTITUTE(SUBSTITUTE(SUBSTITUTE(SUBSTITUTE(IFERROR(VLOOKUP("Câu "&amp;D1099&amp;".",dapan!$E:$J,6,0),""),"1","A"),"2","B"),"3","C"),"4","D")</f>
        <v/>
      </c>
      <c r="P1099" t="str">
        <f t="shared" si="59"/>
        <v/>
      </c>
      <c r="Q1099" t="str">
        <f t="shared" si="60"/>
        <v/>
      </c>
    </row>
    <row r="1100" spans="1:17" hidden="1" x14ac:dyDescent="0.25">
      <c r="A1100">
        <v>2</v>
      </c>
      <c r="B1100" t="s">
        <v>946</v>
      </c>
      <c r="C1100">
        <f>IFERROR(COUNTIFS($A$1:A1100,"Câu "&amp;"*")-MID(A1100,5,FIND(".",A1100,1)-5),0)</f>
        <v>0</v>
      </c>
      <c r="D1100" t="str">
        <f t="shared" si="58"/>
        <v/>
      </c>
      <c r="E1100" t="str">
        <f>SUBSTITUTE(IF(LEFT(A1100,3)="Câu",MID(A1100,FIND(".",A1100,1)+2,LEN(A1100)),""),CHAR(34),CHAR(92)&amp;CHAR(34))</f>
        <v/>
      </c>
      <c r="G1100" t="str">
        <f>SUBSTITUTE(B1101,CHAR(34),CHAR(92)&amp;CHAR(34))</f>
        <v>Dàn đèn pha trên nóc xe.</v>
      </c>
      <c r="H1100" t="str">
        <f>SUBSTITUTE(B1102,CHAR(34),CHAR(92)&amp;CHAR(34))</f>
        <v xml:space="preserve"> Ý 1 và ý 2.</v>
      </c>
      <c r="I1100" t="str">
        <f>SUBSTITUTE(IF(LEFT(A1103,3)="Câu","",B1103),CHAR(34),CHAR(92)&amp;CHAR(34))</f>
        <v/>
      </c>
      <c r="J1100" t="str">
        <f>SUBSTITUTE(IF(OR(LEFT(A1104,3)="Câu",I1100=""),"",IF(B1104=0,"",B1104)),CHAR(34),CHAR(92)&amp;CHAR(34))</f>
        <v/>
      </c>
      <c r="K1100" t="str">
        <f>SUBSTITUTE(SUBSTITUTE(SUBSTITUTE(SUBSTITUTE(IFERROR(VLOOKUP("Câu "&amp;D1100&amp;".",dapan!$E:$J,6,0),""),"1","A"),"2","B"),"3","C"),"4","D")</f>
        <v/>
      </c>
      <c r="P1100" t="str">
        <f t="shared" si="59"/>
        <v/>
      </c>
      <c r="Q1100" t="str">
        <f t="shared" si="60"/>
        <v/>
      </c>
    </row>
    <row r="1101" spans="1:17" hidden="1" x14ac:dyDescent="0.25">
      <c r="A1101">
        <v>3</v>
      </c>
      <c r="B1101" t="s">
        <v>947</v>
      </c>
      <c r="C1101">
        <f>IFERROR(COUNTIFS($A$1:A1101,"Câu "&amp;"*")-MID(A1101,5,FIND(".",A1101,1)-5),0)</f>
        <v>0</v>
      </c>
      <c r="D1101" t="str">
        <f t="shared" si="58"/>
        <v/>
      </c>
      <c r="E1101" t="str">
        <f>SUBSTITUTE(IF(LEFT(A1101,3)="Câu",MID(A1101,FIND(".",A1101,1)+2,LEN(A1101)),""),CHAR(34),CHAR(92)&amp;CHAR(34))</f>
        <v/>
      </c>
      <c r="G1101" t="str">
        <f>SUBSTITUTE(B1102,CHAR(34),CHAR(92)&amp;CHAR(34))</f>
        <v xml:space="preserve"> Ý 1 và ý 2.</v>
      </c>
      <c r="H1101" t="str">
        <f>SUBSTITUTE(B1103,CHAR(34),CHAR(92)&amp;CHAR(34))</f>
        <v/>
      </c>
      <c r="I1101" t="str">
        <f>SUBSTITUTE(IF(LEFT(A1104,3)="Câu","",B1104),CHAR(34),CHAR(92)&amp;CHAR(34))</f>
        <v xml:space="preserve"> Là loại kính an toàn, kính nhiều lớp, đúng quy cách, không rạn nứt, bảo đảm hình ảnh quan sát rõ ràng, không bị méo mó.</v>
      </c>
      <c r="J1101" t="str">
        <f>SUBSTITUTE(IF(OR(LEFT(A1105,3)="Câu",I1101=""),"",IF(B1105=0,"",B1105)),CHAR(34),CHAR(92)&amp;CHAR(34))</f>
        <v>Là loại kính trong suốt, không rạn nứt, bảo đảm tầm nhìn cho người điều khiển về phía trước mặt và hai bên.</v>
      </c>
      <c r="K1101" t="str">
        <f>SUBSTITUTE(SUBSTITUTE(SUBSTITUTE(SUBSTITUTE(IFERROR(VLOOKUP("Câu "&amp;D1101&amp;".",dapan!$E:$J,6,0),""),"1","A"),"2","B"),"3","C"),"4","D")</f>
        <v/>
      </c>
      <c r="P1101" t="str">
        <f t="shared" si="59"/>
        <v/>
      </c>
      <c r="Q1101" t="str">
        <f t="shared" si="60"/>
        <v/>
      </c>
    </row>
    <row r="1102" spans="1:17" hidden="1" x14ac:dyDescent="0.25">
      <c r="A1102">
        <v>4</v>
      </c>
      <c r="B1102" t="s">
        <v>239</v>
      </c>
      <c r="C1102">
        <f>IFERROR(COUNTIFS($A$1:A1102,"Câu "&amp;"*")-MID(A1102,5,FIND(".",A1102,1)-5),0)</f>
        <v>0</v>
      </c>
      <c r="D1102" t="str">
        <f t="shared" si="58"/>
        <v/>
      </c>
      <c r="E1102" t="str">
        <f>SUBSTITUTE(IF(LEFT(A1102,3)="Câu",MID(A1102,FIND(".",A1102,1)+2,LEN(A1102)),""),CHAR(34),CHAR(92)&amp;CHAR(34))</f>
        <v/>
      </c>
      <c r="G1102" t="str">
        <f>SUBSTITUTE(B1103,CHAR(34),CHAR(92)&amp;CHAR(34))</f>
        <v/>
      </c>
      <c r="H1102" t="str">
        <f>SUBSTITUTE(B1104,CHAR(34),CHAR(92)&amp;CHAR(34))</f>
        <v xml:space="preserve"> Là loại kính an toàn, kính nhiều lớp, đúng quy cách, không rạn nứt, bảo đảm hình ảnh quan sát rõ ràng, không bị méo mó.</v>
      </c>
      <c r="I1102" t="str">
        <f>SUBSTITUTE(IF(LEFT(A1105,3)="Câu","",B1105),CHAR(34),CHAR(92)&amp;CHAR(34))</f>
        <v>Là loại kính trong suốt, không rạn nứt, bảo đảm tầm nhìn cho người điều khiển về phía trước mặt và hai bên.</v>
      </c>
      <c r="J1102" t="str">
        <f>SUBSTITUTE(IF(OR(LEFT(A1106,3)="Câu",I1102=""),"",IF(B1106=0,"",B1106)),CHAR(34),CHAR(92)&amp;CHAR(34))</f>
        <v/>
      </c>
      <c r="K1102" t="str">
        <f>SUBSTITUTE(SUBSTITUTE(SUBSTITUTE(SUBSTITUTE(IFERROR(VLOOKUP("Câu "&amp;D1102&amp;".",dapan!$E:$J,6,0),""),"1","A"),"2","B"),"3","C"),"4","D")</f>
        <v/>
      </c>
      <c r="P1102" t="str">
        <f t="shared" si="59"/>
        <v/>
      </c>
      <c r="Q1102" t="str">
        <f t="shared" si="60"/>
        <v/>
      </c>
    </row>
    <row r="1103" spans="1:17" x14ac:dyDescent="0.25">
      <c r="A1103" t="s">
        <v>948</v>
      </c>
      <c r="C1103">
        <f>IFERROR(COUNTIFS($A$1:A1103,"Câu "&amp;"*")-MID(A1103,5,FIND(".",A1103,1)-5),0)</f>
        <v>0</v>
      </c>
      <c r="D1103">
        <f t="shared" si="58"/>
        <v>268</v>
      </c>
      <c r="E1103" t="str">
        <f>SUBSTITUTE(IF(LEFT(A1103,3)="Câu",MID(A1103,FIND(".",A1103,1)+2,LEN(A1103)),""),CHAR(34),CHAR(92)&amp;CHAR(34))</f>
        <v>Kính chắn gió của xe ô tô phải bảo đảm yêu cầu nào dưới đây?</v>
      </c>
      <c r="G1103" t="str">
        <f>SUBSTITUTE(B1104,CHAR(34),CHAR(92)&amp;CHAR(34))</f>
        <v xml:space="preserve"> Là loại kính an toàn, kính nhiều lớp, đúng quy cách, không rạn nứt, bảo đảm hình ảnh quan sát rõ ràng, không bị méo mó.</v>
      </c>
      <c r="H1103" t="str">
        <f>SUBSTITUTE(B1105,CHAR(34),CHAR(92)&amp;CHAR(34))</f>
        <v>Là loại kính trong suốt, không rạn nứt, bảo đảm tầm nhìn cho người điều khiển về phía trước mặt và hai bên.</v>
      </c>
      <c r="I1103" t="str">
        <f>SUBSTITUTE(IF(LEFT(A1106,3)="Câu","",B1106),CHAR(34),CHAR(92)&amp;CHAR(34))</f>
        <v/>
      </c>
      <c r="J1103" t="str">
        <f>SUBSTITUTE(IF(OR(LEFT(A1107,3)="Câu",I1103=""),"",IF(B1107=0,"",B1107)),CHAR(34),CHAR(92)&amp;CHAR(34))</f>
        <v/>
      </c>
      <c r="K1103" t="str">
        <f ca="1">SUBSTITUTE(SUBSTITUTE(SUBSTITUTE(SUBSTITUTE(IFERROR(VLOOKUP("Câu "&amp;D1103&amp;".",dapan!$E:$J,6,0),""),"1","A"),"2","B"),"3","C"),"4","D")</f>
        <v>A</v>
      </c>
      <c r="P1103">
        <f t="shared" si="59"/>
        <v>268</v>
      </c>
      <c r="Q1103" t="str">
        <f t="shared" ca="1" si="60"/>
        <v>{"num":268,"id":268,"q":"Kính chắn gió của xe ô tô phải bảo đảm yêu cầu nào dưới đây?","opts":{"A":" Là loại kính an toàn, kính nhiều lớp, đúng quy cách, không rạn nứt, bảo đảm hình ảnh quan sát rõ ràng, không bị méo mó.","B":"Là loại kính trong suốt, không rạn nứt, bảo đảm tầm nhìn cho người điều khiển về phía trước mặt và hai bên."},"answer":"A"},</v>
      </c>
    </row>
    <row r="1104" spans="1:17" hidden="1" x14ac:dyDescent="0.25">
      <c r="A1104">
        <v>1</v>
      </c>
      <c r="B1104" t="s">
        <v>949</v>
      </c>
      <c r="C1104">
        <f>IFERROR(COUNTIFS($A$1:A1104,"Câu "&amp;"*")-MID(A1104,5,FIND(".",A1104,1)-5),0)</f>
        <v>0</v>
      </c>
      <c r="D1104" t="str">
        <f t="shared" si="58"/>
        <v/>
      </c>
      <c r="E1104" t="str">
        <f>SUBSTITUTE(IF(LEFT(A1104,3)="Câu",MID(A1104,FIND(".",A1104,1)+2,LEN(A1104)),""),CHAR(34),CHAR(92)&amp;CHAR(34))</f>
        <v/>
      </c>
      <c r="G1104" t="str">
        <f>SUBSTITUTE(B1105,CHAR(34),CHAR(92)&amp;CHAR(34))</f>
        <v>Là loại kính trong suốt, không rạn nứt, bảo đảm tầm nhìn cho người điều khiển về phía trước mặt và hai bên.</v>
      </c>
      <c r="H1104" t="str">
        <f>SUBSTITUTE(B1106,CHAR(34),CHAR(92)&amp;CHAR(34))</f>
        <v/>
      </c>
      <c r="I1104" t="str">
        <f>SUBSTITUTE(IF(LEFT(A1107,3)="Câu","",B1107),CHAR(34),CHAR(92)&amp;CHAR(34))</f>
        <v>Bánh xe phải có kết cấu chắc chắn, lắp đặt đúng quy cách của nhà sản xuât.</v>
      </c>
      <c r="J1104" t="str">
        <f>SUBSTITUTE(IF(OR(LEFT(A1108,3)="Câu",I1104=""),"",IF(B1108=0,"",B1108)),CHAR(34),CHAR(92)&amp;CHAR(34))</f>
        <v>Lốp phải đủ số lượng, đủ áp suất, không phồng rộp, đúng cỡ lốp của nhà sản xuất hoặc tài liệu kỹ thuật quy định; lốp trên cùng một trục của xe sử dụng trong điều kiện hoạt động bình thường phải cùng kiểu loại.</v>
      </c>
      <c r="K1104" t="str">
        <f>SUBSTITUTE(SUBSTITUTE(SUBSTITUTE(SUBSTITUTE(IFERROR(VLOOKUP("Câu "&amp;D1104&amp;".",dapan!$E:$J,6,0),""),"1","A"),"2","B"),"3","C"),"4","D")</f>
        <v/>
      </c>
      <c r="P1104" t="str">
        <f t="shared" si="59"/>
        <v/>
      </c>
      <c r="Q1104" t="str">
        <f t="shared" si="60"/>
        <v/>
      </c>
    </row>
    <row r="1105" spans="1:17" hidden="1" x14ac:dyDescent="0.25">
      <c r="A1105">
        <v>2</v>
      </c>
      <c r="B1105" t="s">
        <v>950</v>
      </c>
      <c r="C1105">
        <f>IFERROR(COUNTIFS($A$1:A1105,"Câu "&amp;"*")-MID(A1105,5,FIND(".",A1105,1)-5),0)</f>
        <v>0</v>
      </c>
      <c r="D1105" t="str">
        <f t="shared" si="58"/>
        <v/>
      </c>
      <c r="E1105" t="str">
        <f>SUBSTITUTE(IF(LEFT(A1105,3)="Câu",MID(A1105,FIND(".",A1105,1)+2,LEN(A1105)),""),CHAR(34),CHAR(92)&amp;CHAR(34))</f>
        <v/>
      </c>
      <c r="G1105" t="str">
        <f>SUBSTITUTE(B1106,CHAR(34),CHAR(92)&amp;CHAR(34))</f>
        <v/>
      </c>
      <c r="H1105" t="str">
        <f>SUBSTITUTE(B1107,CHAR(34),CHAR(92)&amp;CHAR(34))</f>
        <v>Bánh xe phải có kết cấu chắc chắn, lắp đặt đúng quy cách của nhà sản xuât.</v>
      </c>
      <c r="I1105" t="str">
        <f>SUBSTITUTE(IF(LEFT(A1108,3)="Câu","",B1108),CHAR(34),CHAR(92)&amp;CHAR(34))</f>
        <v>Lốp phải đủ số lượng, đủ áp suất, không phồng rộp, đúng cỡ lốp của nhà sản xuất hoặc tài liệu kỹ thuật quy định; lốp trên cùng một trục của xe sử dụng trong điều kiện hoạt động bình thường phải cùng kiểu loại.</v>
      </c>
      <c r="J1105" t="str">
        <f>SUBSTITUTE(IF(OR(LEFT(A1109,3)="Câu",I1105=""),"",IF(B1109=0,"",B1109)),CHAR(34),CHAR(92)&amp;CHAR(34))</f>
        <v xml:space="preserve"> Cả hai ý trên.</v>
      </c>
      <c r="K1105" t="str">
        <f>SUBSTITUTE(SUBSTITUTE(SUBSTITUTE(SUBSTITUTE(IFERROR(VLOOKUP("Câu "&amp;D1105&amp;".",dapan!$E:$J,6,0),""),"1","A"),"2","B"),"3","C"),"4","D")</f>
        <v/>
      </c>
      <c r="P1105" t="str">
        <f t="shared" si="59"/>
        <v/>
      </c>
      <c r="Q1105" t="str">
        <f t="shared" si="60"/>
        <v/>
      </c>
    </row>
    <row r="1106" spans="1:17" x14ac:dyDescent="0.25">
      <c r="A1106" t="s">
        <v>1752</v>
      </c>
      <c r="C1106">
        <f>IFERROR(COUNTIFS($A$1:A1106,"Câu "&amp;"*")-MID(A1106,5,FIND(".",A1106,1)-5),0)</f>
        <v>0</v>
      </c>
      <c r="D1106">
        <f t="shared" si="58"/>
        <v>269</v>
      </c>
      <c r="E1106" t="str">
        <f>SUBSTITUTE(IF(LEFT(A1106,3)="Câu",MID(A1106,FIND(".",A1106,1)+2,LEN(A1106)),""),CHAR(34),CHAR(92)&amp;CHAR(34))</f>
        <v>Bánh xe, lốp lắp cho xe ô tô phải bảo đảm an toàn kỹ thuật như thế nào dưới đây?</v>
      </c>
      <c r="G1106" t="str">
        <f>SUBSTITUTE(B1107,CHAR(34),CHAR(92)&amp;CHAR(34))</f>
        <v>Bánh xe phải có kết cấu chắc chắn, lắp đặt đúng quy cách của nhà sản xuât.</v>
      </c>
      <c r="H1106" t="str">
        <f>SUBSTITUTE(B1108,CHAR(34),CHAR(92)&amp;CHAR(34))</f>
        <v>Lốp phải đủ số lượng, đủ áp suất, không phồng rộp, đúng cỡ lốp của nhà sản xuất hoặc tài liệu kỹ thuật quy định; lốp trên cùng một trục của xe sử dụng trong điều kiện hoạt động bình thường phải cùng kiểu loại.</v>
      </c>
      <c r="I1106" t="str">
        <f>SUBSTITUTE(IF(LEFT(A1109,3)="Câu","",B1109),CHAR(34),CHAR(92)&amp;CHAR(34))</f>
        <v xml:space="preserve"> Cả hai ý trên.</v>
      </c>
      <c r="J1106" t="str">
        <f>SUBSTITUTE(IF(OR(LEFT(A1110,3)="Câu",I1106=""),"",IF(B1110=0,"",B1110)),CHAR(34),CHAR(92)&amp;CHAR(34))</f>
        <v/>
      </c>
      <c r="K1106" t="str">
        <f ca="1">SUBSTITUTE(SUBSTITUTE(SUBSTITUTE(SUBSTITUTE(IFERROR(VLOOKUP("Câu "&amp;D1106&amp;".",dapan!$E:$J,6,0),""),"1","A"),"2","B"),"3","C"),"4","D")</f>
        <v>C</v>
      </c>
      <c r="P1106">
        <f t="shared" si="59"/>
        <v>269</v>
      </c>
      <c r="Q1106" t="str">
        <f t="shared" ca="1" si="60"/>
        <v>{"num":269,"id":269,"q":"Bánh xe, lốp lắp cho xe ô tô phải bảo đảm an toàn kỹ thuật như thế nào dưới đây?","opts":{"A":"Bánh xe phải có kết cấu chắc chắn, lắp đặt đúng quy cách của nhà sản xuât.","B":"Lốp phải đủ số lượng, đủ áp suất, không phồng rộp, đúng cỡ lốp của nhà sản xuất hoặc tài liệu kỹ thuật quy định; lốp trên cùng một trục của xe sử dụng trong điều kiện hoạt động bình thường phải cùng kiểu loại.","C":" Cả hai ý trên."},"answer":"C"},</v>
      </c>
    </row>
    <row r="1107" spans="1:17" hidden="1" x14ac:dyDescent="0.25">
      <c r="A1107">
        <v>1</v>
      </c>
      <c r="B1107" t="s">
        <v>953</v>
      </c>
      <c r="C1107">
        <f>IFERROR(COUNTIFS($A$1:A1107,"Câu "&amp;"*")-MID(A1107,5,FIND(".",A1107,1)-5),0)</f>
        <v>0</v>
      </c>
      <c r="D1107" t="str">
        <f t="shared" si="58"/>
        <v/>
      </c>
      <c r="E1107" t="str">
        <f>SUBSTITUTE(IF(LEFT(A1107,3)="Câu",MID(A1107,FIND(".",A1107,1)+2,LEN(A1107)),""),CHAR(34),CHAR(92)&amp;CHAR(34))</f>
        <v/>
      </c>
      <c r="G1107" t="str">
        <f>SUBSTITUTE(B1108,CHAR(34),CHAR(92)&amp;CHAR(34))</f>
        <v>Lốp phải đủ số lượng, đủ áp suất, không phồng rộp, đúng cỡ lốp của nhà sản xuất hoặc tài liệu kỹ thuật quy định; lốp trên cùng một trục của xe sử dụng trong điều kiện hoạt động bình thường phải cùng kiểu loại.</v>
      </c>
      <c r="H1107" t="str">
        <f>SUBSTITUTE(B1109,CHAR(34),CHAR(92)&amp;CHAR(34))</f>
        <v xml:space="preserve"> Cả hai ý trên.</v>
      </c>
      <c r="I1107" t="str">
        <f>SUBSTITUTE(IF(LEFT(A1110,3)="Câu","",B1110),CHAR(34),CHAR(92)&amp;CHAR(34))</f>
        <v/>
      </c>
      <c r="J1107" t="str">
        <f>SUBSTITUTE(IF(OR(LEFT(A1111,3)="Câu",I1107=""),"",IF(B1111=0,"",B1111)),CHAR(34),CHAR(92)&amp;CHAR(34))</f>
        <v/>
      </c>
      <c r="K1107" t="str">
        <f>SUBSTITUTE(SUBSTITUTE(SUBSTITUTE(SUBSTITUTE(IFERROR(VLOOKUP("Câu "&amp;D1107&amp;".",dapan!$E:$J,6,0),""),"1","A"),"2","B"),"3","C"),"4","D")</f>
        <v/>
      </c>
      <c r="P1107" t="str">
        <f t="shared" si="59"/>
        <v/>
      </c>
      <c r="Q1107" t="str">
        <f t="shared" si="60"/>
        <v/>
      </c>
    </row>
    <row r="1108" spans="1:17" hidden="1" x14ac:dyDescent="0.25">
      <c r="A1108">
        <v>2</v>
      </c>
      <c r="B1108" t="s">
        <v>954</v>
      </c>
      <c r="C1108">
        <f>IFERROR(COUNTIFS($A$1:A1108,"Câu "&amp;"*")-MID(A1108,5,FIND(".",A1108,1)-5),0)</f>
        <v>0</v>
      </c>
      <c r="D1108" t="str">
        <f t="shared" si="58"/>
        <v/>
      </c>
      <c r="E1108" t="str">
        <f>SUBSTITUTE(IF(LEFT(A1108,3)="Câu",MID(A1108,FIND(".",A1108,1)+2,LEN(A1108)),""),CHAR(34),CHAR(92)&amp;CHAR(34))</f>
        <v/>
      </c>
      <c r="G1108" t="str">
        <f>SUBSTITUTE(B1109,CHAR(34),CHAR(92)&amp;CHAR(34))</f>
        <v xml:space="preserve"> Cả hai ý trên.</v>
      </c>
      <c r="H1108" t="str">
        <f>SUBSTITUTE(B1110,CHAR(34),CHAR(92)&amp;CHAR(34))</f>
        <v/>
      </c>
      <c r="I1108" t="str">
        <f>SUBSTITUTE(IF(LEFT(A1111,3)="Câu","",B1111),CHAR(34),CHAR(92)&amp;CHAR(34))</f>
        <v>Bảo đảm cho xe chuyển hướng chính xác, điều khiển nhẹ nhàng, an toàn ở mọi vận tốc và tải trọng trong phạm vi tính năng kỹ thuật cho phép của xe.</v>
      </c>
      <c r="J1108" t="str">
        <f>SUBSTITUTE(IF(OR(LEFT(A1112,3)="Câu",I1108=""),"",IF(B1112=0,"",B1112)),CHAR(34),CHAR(92)&amp;CHAR(34))</f>
        <v>Khi hoạt động các cơ cấu chuyển động của hệ thống lái không được va chạm với bất kỳ bộ phận nào của xe; khi quay vô lăng lái về bên phải và bên trái thì không được có sự khác biệt đáng kể về lực tác động lên vành tay lái.</v>
      </c>
      <c r="K1108" t="str">
        <f>SUBSTITUTE(SUBSTITUTE(SUBSTITUTE(SUBSTITUTE(IFERROR(VLOOKUP("Câu "&amp;D1108&amp;".",dapan!$E:$J,6,0),""),"1","A"),"2","B"),"3","C"),"4","D")</f>
        <v/>
      </c>
      <c r="P1108" t="str">
        <f t="shared" si="59"/>
        <v/>
      </c>
      <c r="Q1108" t="str">
        <f t="shared" si="60"/>
        <v/>
      </c>
    </row>
    <row r="1109" spans="1:17" hidden="1" x14ac:dyDescent="0.25">
      <c r="A1109">
        <v>3</v>
      </c>
      <c r="B1109" t="s">
        <v>32</v>
      </c>
      <c r="C1109">
        <f>IFERROR(COUNTIFS($A$1:A1109,"Câu "&amp;"*")-MID(A1109,5,FIND(".",A1109,1)-5),0)</f>
        <v>0</v>
      </c>
      <c r="D1109" t="str">
        <f t="shared" si="58"/>
        <v/>
      </c>
      <c r="E1109" t="str">
        <f>SUBSTITUTE(IF(LEFT(A1109,3)="Câu",MID(A1109,FIND(".",A1109,1)+2,LEN(A1109)),""),CHAR(34),CHAR(92)&amp;CHAR(34))</f>
        <v/>
      </c>
      <c r="G1109" t="str">
        <f>SUBSTITUTE(B1110,CHAR(34),CHAR(92)&amp;CHAR(34))</f>
        <v/>
      </c>
      <c r="H1109" t="str">
        <f>SUBSTITUTE(B1111,CHAR(34),CHAR(92)&amp;CHAR(34))</f>
        <v>Bảo đảm cho xe chuyển hướng chính xác, điều khiển nhẹ nhàng, an toàn ở mọi vận tốc và tải trọng trong phạm vi tính năng kỹ thuật cho phép của xe.</v>
      </c>
      <c r="I1109" t="str">
        <f>SUBSTITUTE(IF(LEFT(A1112,3)="Câu","",B1112),CHAR(34),CHAR(92)&amp;CHAR(34))</f>
        <v>Khi hoạt động các cơ cấu chuyển động của hệ thống lái không được va chạm với bất kỳ bộ phận nào của xe; khi quay vô lăng lái về bên phải và bên trái thì không được có sự khác biệt đáng kể về lực tác động lên vành tay lái.</v>
      </c>
      <c r="J1109" t="str">
        <f>SUBSTITUTE(IF(OR(LEFT(A1113,3)="Câu",I1109=""),"",IF(B1113=0,"",B1113)),CHAR(34),CHAR(92)&amp;CHAR(34))</f>
        <v xml:space="preserve"> Cả hai ý trên.</v>
      </c>
      <c r="K1109" t="str">
        <f>SUBSTITUTE(SUBSTITUTE(SUBSTITUTE(SUBSTITUTE(IFERROR(VLOOKUP("Câu "&amp;D1109&amp;".",dapan!$E:$J,6,0),""),"1","A"),"2","B"),"3","C"),"4","D")</f>
        <v/>
      </c>
      <c r="P1109" t="str">
        <f t="shared" si="59"/>
        <v/>
      </c>
      <c r="Q1109" t="str">
        <f t="shared" si="60"/>
        <v/>
      </c>
    </row>
    <row r="1110" spans="1:17" x14ac:dyDescent="0.25">
      <c r="A1110" t="s">
        <v>955</v>
      </c>
      <c r="C1110">
        <f>IFERROR(COUNTIFS($A$1:A1110,"Câu "&amp;"*")-MID(A1110,5,FIND(".",A1110,1)-5),0)</f>
        <v>0</v>
      </c>
      <c r="D1110">
        <f t="shared" si="58"/>
        <v>270</v>
      </c>
      <c r="E1110" t="str">
        <f>SUBSTITUTE(IF(LEFT(A1110,3)="Câu",MID(A1110,FIND(".",A1110,1)+2,LEN(A1110)),""),CHAR(34),CHAR(92)&amp;CHAR(34))</f>
        <v>Hệ thống lái trên xe ô tô phải bảo đảm yêu cầu nào dưới đây?</v>
      </c>
      <c r="G1110" t="str">
        <f>SUBSTITUTE(B1111,CHAR(34),CHAR(92)&amp;CHAR(34))</f>
        <v>Bảo đảm cho xe chuyển hướng chính xác, điều khiển nhẹ nhàng, an toàn ở mọi vận tốc và tải trọng trong phạm vi tính năng kỹ thuật cho phép của xe.</v>
      </c>
      <c r="H1110" t="str">
        <f>SUBSTITUTE(B1112,CHAR(34),CHAR(92)&amp;CHAR(34))</f>
        <v>Khi hoạt động các cơ cấu chuyển động của hệ thống lái không được va chạm với bất kỳ bộ phận nào của xe; khi quay vô lăng lái về bên phải và bên trái thì không được có sự khác biệt đáng kể về lực tác động lên vành tay lái.</v>
      </c>
      <c r="I1110" t="str">
        <f>SUBSTITUTE(IF(LEFT(A1113,3)="Câu","",B1113),CHAR(34),CHAR(92)&amp;CHAR(34))</f>
        <v xml:space="preserve"> Cả hai ý trên.</v>
      </c>
      <c r="J1110" t="str">
        <f>SUBSTITUTE(IF(OR(LEFT(A1114,3)="Câu",I1110=""),"",IF(B1114=0,"",B1114)),CHAR(34),CHAR(92)&amp;CHAR(34))</f>
        <v/>
      </c>
      <c r="K1110" t="str">
        <f ca="1">SUBSTITUTE(SUBSTITUTE(SUBSTITUTE(SUBSTITUTE(IFERROR(VLOOKUP("Câu "&amp;D1110&amp;".",dapan!$E:$J,6,0),""),"1","A"),"2","B"),"3","C"),"4","D")</f>
        <v>C</v>
      </c>
      <c r="P1110">
        <f t="shared" si="59"/>
        <v>270</v>
      </c>
      <c r="Q1110" t="str">
        <f t="shared" ca="1" si="60"/>
        <v>{"num":270,"id":270,"q":"Hệ thống lái trên xe ô tô phải bảo đảm yêu cầu nào dưới đây?","opts":{"A":"Bảo đảm cho xe chuyển hướng chính xác, điều khiển nhẹ nhàng, an toàn ở mọi vận tốc và tải trọng trong phạm vi tính năng kỹ thuật cho phép của xe.","B":"Khi hoạt động các cơ cấu chuyển động của hệ thống lái không được va chạm với bất kỳ bộ phận nào của xe; khi quay vô lăng lái về bên phải và bên trái thì không được có sự khác biệt đáng kể về lực tác động lên vành tay lái.","C":" Cả hai ý trên."},"answer":"C"},</v>
      </c>
    </row>
    <row r="1111" spans="1:17" hidden="1" x14ac:dyDescent="0.25">
      <c r="A1111">
        <v>1</v>
      </c>
      <c r="B1111" t="s">
        <v>956</v>
      </c>
      <c r="C1111">
        <f>IFERROR(COUNTIFS($A$1:A1111,"Câu "&amp;"*")-MID(A1111,5,FIND(".",A1111,1)-5),0)</f>
        <v>0</v>
      </c>
      <c r="D1111" t="str">
        <f t="shared" si="58"/>
        <v/>
      </c>
      <c r="E1111" t="str">
        <f>SUBSTITUTE(IF(LEFT(A1111,3)="Câu",MID(A1111,FIND(".",A1111,1)+2,LEN(A1111)),""),CHAR(34),CHAR(92)&amp;CHAR(34))</f>
        <v/>
      </c>
      <c r="G1111" t="str">
        <f>SUBSTITUTE(B1112,CHAR(34),CHAR(92)&amp;CHAR(34))</f>
        <v>Khi hoạt động các cơ cấu chuyển động của hệ thống lái không được va chạm với bất kỳ bộ phận nào của xe; khi quay vô lăng lái về bên phải và bên trái thì không được có sự khác biệt đáng kể về lực tác động lên vành tay lái.</v>
      </c>
      <c r="H1111" t="str">
        <f>SUBSTITUTE(B1113,CHAR(34),CHAR(92)&amp;CHAR(34))</f>
        <v xml:space="preserve"> Cả hai ý trên.</v>
      </c>
      <c r="I1111" t="str">
        <f>SUBSTITUTE(IF(LEFT(A1114,3)="Câu","",B1114),CHAR(34),CHAR(92)&amp;CHAR(34))</f>
        <v/>
      </c>
      <c r="J1111" t="str">
        <f>SUBSTITUTE(IF(OR(LEFT(A1115,3)="Câu",I1111=""),"",IF(B1115=0,"",B1115)),CHAR(34),CHAR(92)&amp;CHAR(34))</f>
        <v/>
      </c>
      <c r="K1111" t="str">
        <f>SUBSTITUTE(SUBSTITUTE(SUBSTITUTE(SUBSTITUTE(IFERROR(VLOOKUP("Câu "&amp;D1111&amp;".",dapan!$E:$J,6,0),""),"1","A"),"2","B"),"3","C"),"4","D")</f>
        <v/>
      </c>
      <c r="P1111" t="str">
        <f t="shared" si="59"/>
        <v/>
      </c>
      <c r="Q1111" t="str">
        <f t="shared" si="60"/>
        <v/>
      </c>
    </row>
    <row r="1112" spans="1:17" hidden="1" x14ac:dyDescent="0.25">
      <c r="A1112">
        <v>2</v>
      </c>
      <c r="B1112" t="s">
        <v>957</v>
      </c>
      <c r="C1112">
        <f>IFERROR(COUNTIFS($A$1:A1112,"Câu "&amp;"*")-MID(A1112,5,FIND(".",A1112,1)-5),0)</f>
        <v>0</v>
      </c>
      <c r="D1112" t="str">
        <f t="shared" si="58"/>
        <v/>
      </c>
      <c r="E1112" t="str">
        <f>SUBSTITUTE(IF(LEFT(A1112,3)="Câu",MID(A1112,FIND(".",A1112,1)+2,LEN(A1112)),""),CHAR(34),CHAR(92)&amp;CHAR(34))</f>
        <v/>
      </c>
      <c r="G1112" t="str">
        <f>SUBSTITUTE(B1113,CHAR(34),CHAR(92)&amp;CHAR(34))</f>
        <v xml:space="preserve"> Cả hai ý trên.</v>
      </c>
      <c r="H1112" t="str">
        <f>SUBSTITUTE(B1114,CHAR(34),CHAR(92)&amp;CHAR(34))</f>
        <v/>
      </c>
      <c r="I1112" t="str">
        <f>SUBSTITUTE(IF(LEFT(A1115,3)="Câu","",B1115),CHAR(34),CHAR(92)&amp;CHAR(34))</f>
        <v>Bảo dưỡng ô tô thường xuyên làm cho ô tô luôn luôn có tính năng kỹ thuật tốt, giảm cường độ hao mòn của các chi tiết, kéo dài tuổi thọ của xe.</v>
      </c>
      <c r="J1112" t="str">
        <f>SUBSTITUTE(IF(OR(LEFT(A1116,3)="Câu",I1112=""),"",IF(B1116=0,"",B1116)),CHAR(34),CHAR(92)&amp;CHAR(34))</f>
        <v>Ngăn ngừa và phát hiện kịp thời các hư hỏng và sai lệch kỹ thuật để khắc phục, giữ gìn được hình thức bên ngoài.</v>
      </c>
      <c r="K1112" t="str">
        <f>SUBSTITUTE(SUBSTITUTE(SUBSTITUTE(SUBSTITUTE(IFERROR(VLOOKUP("Câu "&amp;D1112&amp;".",dapan!$E:$J,6,0),""),"1","A"),"2","B"),"3","C"),"4","D")</f>
        <v/>
      </c>
      <c r="P1112" t="str">
        <f t="shared" si="59"/>
        <v/>
      </c>
      <c r="Q1112" t="str">
        <f t="shared" si="60"/>
        <v/>
      </c>
    </row>
    <row r="1113" spans="1:17" hidden="1" x14ac:dyDescent="0.25">
      <c r="A1113">
        <v>3</v>
      </c>
      <c r="B1113" t="s">
        <v>32</v>
      </c>
      <c r="C1113">
        <f>IFERROR(COUNTIFS($A$1:A1113,"Câu "&amp;"*")-MID(A1113,5,FIND(".",A1113,1)-5),0)</f>
        <v>0</v>
      </c>
      <c r="D1113" t="str">
        <f t="shared" ref="D1113:D1176" si="61">IF(LEFT(A1113,3)="Câu",VALUE(MID(A1113,5,FIND(".",A1113,1)-5)),"")</f>
        <v/>
      </c>
      <c r="E1113" t="str">
        <f>SUBSTITUTE(IF(LEFT(A1113,3)="Câu",MID(A1113,FIND(".",A1113,1)+2,LEN(A1113)),""),CHAR(34),CHAR(92)&amp;CHAR(34))</f>
        <v/>
      </c>
      <c r="G1113" t="str">
        <f>SUBSTITUTE(B1114,CHAR(34),CHAR(92)&amp;CHAR(34))</f>
        <v/>
      </c>
      <c r="H1113" t="str">
        <f>SUBSTITUTE(B1115,CHAR(34),CHAR(92)&amp;CHAR(34))</f>
        <v>Bảo dưỡng ô tô thường xuyên làm cho ô tô luôn luôn có tính năng kỹ thuật tốt, giảm cường độ hao mòn của các chi tiết, kéo dài tuổi thọ của xe.</v>
      </c>
      <c r="I1113" t="str">
        <f>SUBSTITUTE(IF(LEFT(A1116,3)="Câu","",B1116),CHAR(34),CHAR(92)&amp;CHAR(34))</f>
        <v>Ngăn ngừa và phát hiện kịp thời các hư hỏng và sai lệch kỹ thuật để khắc phục, giữ gìn được hình thức bên ngoài.</v>
      </c>
      <c r="J1113" t="str">
        <f>SUBSTITUTE(IF(OR(LEFT(A1117,3)="Câu",I1113=""),"",IF(B1117=0,"",B1117)),CHAR(34),CHAR(92)&amp;CHAR(34))</f>
        <v xml:space="preserve"> Cả hai ý trên.</v>
      </c>
      <c r="K1113" t="str">
        <f>SUBSTITUTE(SUBSTITUTE(SUBSTITUTE(SUBSTITUTE(IFERROR(VLOOKUP("Câu "&amp;D1113&amp;".",dapan!$E:$J,6,0),""),"1","A"),"2","B"),"3","C"),"4","D")</f>
        <v/>
      </c>
      <c r="P1113" t="str">
        <f t="shared" si="59"/>
        <v/>
      </c>
      <c r="Q1113" t="str">
        <f t="shared" si="60"/>
        <v/>
      </c>
    </row>
    <row r="1114" spans="1:17" x14ac:dyDescent="0.25">
      <c r="A1114" t="s">
        <v>958</v>
      </c>
      <c r="C1114">
        <f>IFERROR(COUNTIFS($A$1:A1114,"Câu "&amp;"*")-MID(A1114,5,FIND(".",A1114,1)-5),0)</f>
        <v>0</v>
      </c>
      <c r="D1114">
        <f t="shared" si="61"/>
        <v>271</v>
      </c>
      <c r="E1114" t="str">
        <f>SUBSTITUTE(IF(LEFT(A1114,3)="Câu",MID(A1114,FIND(".",A1114,1)+2,LEN(A1114)),""),CHAR(34),CHAR(92)&amp;CHAR(34))</f>
        <v>Mục đích của bảo dưỡng thường xuyên đối với xe ô tô có tác dụng gì dưới đây?</v>
      </c>
      <c r="G1114" t="str">
        <f>SUBSTITUTE(B1115,CHAR(34),CHAR(92)&amp;CHAR(34))</f>
        <v>Bảo dưỡng ô tô thường xuyên làm cho ô tô luôn luôn có tính năng kỹ thuật tốt, giảm cường độ hao mòn của các chi tiết, kéo dài tuổi thọ của xe.</v>
      </c>
      <c r="H1114" t="str">
        <f>SUBSTITUTE(B1116,CHAR(34),CHAR(92)&amp;CHAR(34))</f>
        <v>Ngăn ngừa và phát hiện kịp thời các hư hỏng và sai lệch kỹ thuật để khắc phục, giữ gìn được hình thức bên ngoài.</v>
      </c>
      <c r="I1114" t="str">
        <f>SUBSTITUTE(IF(LEFT(A1117,3)="Câu","",B1117),CHAR(34),CHAR(92)&amp;CHAR(34))</f>
        <v xml:space="preserve"> Cả hai ý trên.</v>
      </c>
      <c r="J1114" t="str">
        <f>SUBSTITUTE(IF(OR(LEFT(A1118,3)="Câu",I1114=""),"",IF(B1118=0,"",B1118)),CHAR(34),CHAR(92)&amp;CHAR(34))</f>
        <v/>
      </c>
      <c r="K1114" t="str">
        <f ca="1">SUBSTITUTE(SUBSTITUTE(SUBSTITUTE(SUBSTITUTE(IFERROR(VLOOKUP("Câu "&amp;D1114&amp;".",dapan!$E:$J,6,0),""),"1","A"),"2","B"),"3","C"),"4","D")</f>
        <v>C</v>
      </c>
      <c r="P1114">
        <f t="shared" si="59"/>
        <v>271</v>
      </c>
      <c r="Q1114" t="str">
        <f t="shared" ca="1" si="60"/>
        <v>{"num":271,"id":271,"q":"Mục đích của bảo dưỡng thường xuyên đối với xe ô tô có tác dụng gì dưới đây?","opts":{"A":"Bảo dưỡng ô tô thường xuyên làm cho ô tô luôn luôn có tính năng kỹ thuật tốt, giảm cường độ hao mòn của các chi tiết, kéo dài tuổi thọ của xe.","B":"Ngăn ngừa và phát hiện kịp thời các hư hỏng và sai lệch kỹ thuật để khắc phục, giữ gìn được hình thức bên ngoài.","C":" Cả hai ý trên."},"answer":"C"},</v>
      </c>
    </row>
    <row r="1115" spans="1:17" hidden="1" x14ac:dyDescent="0.25">
      <c r="A1115">
        <v>1</v>
      </c>
      <c r="B1115" t="s">
        <v>959</v>
      </c>
      <c r="C1115">
        <f>IFERROR(COUNTIFS($A$1:A1115,"Câu "&amp;"*")-MID(A1115,5,FIND(".",A1115,1)-5),0)</f>
        <v>0</v>
      </c>
      <c r="D1115" t="str">
        <f t="shared" si="61"/>
        <v/>
      </c>
      <c r="E1115" t="str">
        <f>SUBSTITUTE(IF(LEFT(A1115,3)="Câu",MID(A1115,FIND(".",A1115,1)+2,LEN(A1115)),""),CHAR(34),CHAR(92)&amp;CHAR(34))</f>
        <v/>
      </c>
      <c r="G1115" t="str">
        <f>SUBSTITUTE(B1116,CHAR(34),CHAR(92)&amp;CHAR(34))</f>
        <v>Ngăn ngừa và phát hiện kịp thời các hư hỏng và sai lệch kỹ thuật để khắc phục, giữ gìn được hình thức bên ngoài.</v>
      </c>
      <c r="H1115" t="str">
        <f>SUBSTITUTE(B1117,CHAR(34),CHAR(92)&amp;CHAR(34))</f>
        <v xml:space="preserve"> Cả hai ý trên.</v>
      </c>
      <c r="I1115" t="str">
        <f>SUBSTITUTE(IF(LEFT(A1118,3)="Câu","",B1118),CHAR(34),CHAR(92)&amp;CHAR(34))</f>
        <v/>
      </c>
      <c r="J1115" t="str">
        <f>SUBSTITUTE(IF(OR(LEFT(A1119,3)="Câu",I1115=""),"",IF(B1119=0,"",B1119)),CHAR(34),CHAR(92)&amp;CHAR(34))</f>
        <v/>
      </c>
      <c r="K1115" t="str">
        <f>SUBSTITUTE(SUBSTITUTE(SUBSTITUTE(SUBSTITUTE(IFERROR(VLOOKUP("Câu "&amp;D1115&amp;".",dapan!$E:$J,6,0),""),"1","A"),"2","B"),"3","C"),"4","D")</f>
        <v/>
      </c>
      <c r="P1115" t="str">
        <f t="shared" si="59"/>
        <v/>
      </c>
      <c r="Q1115" t="str">
        <f t="shared" si="60"/>
        <v/>
      </c>
    </row>
    <row r="1116" spans="1:17" hidden="1" x14ac:dyDescent="0.25">
      <c r="A1116">
        <v>2</v>
      </c>
      <c r="B1116" t="s">
        <v>960</v>
      </c>
      <c r="C1116">
        <f>IFERROR(COUNTIFS($A$1:A1116,"Câu "&amp;"*")-MID(A1116,5,FIND(".",A1116,1)-5),0)</f>
        <v>0</v>
      </c>
      <c r="D1116" t="str">
        <f t="shared" si="61"/>
        <v/>
      </c>
      <c r="E1116" t="str">
        <f>SUBSTITUTE(IF(LEFT(A1116,3)="Câu",MID(A1116,FIND(".",A1116,1)+2,LEN(A1116)),""),CHAR(34),CHAR(92)&amp;CHAR(34))</f>
        <v/>
      </c>
      <c r="G1116" t="str">
        <f>SUBSTITUTE(B1117,CHAR(34),CHAR(92)&amp;CHAR(34))</f>
        <v xml:space="preserve"> Cả hai ý trên.</v>
      </c>
      <c r="H1116" t="str">
        <f>SUBSTITUTE(B1118,CHAR(34),CHAR(92)&amp;CHAR(34))</f>
        <v/>
      </c>
      <c r="I1116" t="str">
        <f>SUBSTITUTE(IF(LEFT(A1119,3)="Câu","",B1119),CHAR(34),CHAR(92)&amp;CHAR(34))</f>
        <v xml:space="preserve"> Hết nhiên liệu, lõi lọc nhiên liệu bị tắc, lọc khí bị tắc, nhiên liệu lẫn không khí, tạp chất.</v>
      </c>
      <c r="J1116" t="str">
        <f>SUBSTITUTE(IF(OR(LEFT(A1120,3)="Câu",I1116=""),"",IF(B1120=0,"",B1120)),CHAR(34),CHAR(92)&amp;CHAR(34))</f>
        <v>Hết nhiên liệu, lõi lọc nhiên liệu bị tắc, lọc khí bị tắc, nhiên liệu lẫn không khí, không có tia lửa điện.</v>
      </c>
      <c r="K1116" t="str">
        <f>SUBSTITUTE(SUBSTITUTE(SUBSTITUTE(SUBSTITUTE(IFERROR(VLOOKUP("Câu "&amp;D1116&amp;".",dapan!$E:$J,6,0),""),"1","A"),"2","B"),"3","C"),"4","D")</f>
        <v/>
      </c>
      <c r="P1116" t="str">
        <f t="shared" si="59"/>
        <v/>
      </c>
      <c r="Q1116" t="str">
        <f t="shared" si="60"/>
        <v/>
      </c>
    </row>
    <row r="1117" spans="1:17" hidden="1" x14ac:dyDescent="0.25">
      <c r="A1117">
        <v>3</v>
      </c>
      <c r="B1117" t="s">
        <v>32</v>
      </c>
      <c r="C1117">
        <f>IFERROR(COUNTIFS($A$1:A1117,"Câu "&amp;"*")-MID(A1117,5,FIND(".",A1117,1)-5),0)</f>
        <v>0</v>
      </c>
      <c r="D1117" t="str">
        <f t="shared" si="61"/>
        <v/>
      </c>
      <c r="E1117" t="str">
        <f>SUBSTITUTE(IF(LEFT(A1117,3)="Câu",MID(A1117,FIND(".",A1117,1)+2,LEN(A1117)),""),CHAR(34),CHAR(92)&amp;CHAR(34))</f>
        <v/>
      </c>
      <c r="G1117" t="str">
        <f>SUBSTITUTE(B1118,CHAR(34),CHAR(92)&amp;CHAR(34))</f>
        <v/>
      </c>
      <c r="H1117" t="str">
        <f>SUBSTITUTE(B1119,CHAR(34),CHAR(92)&amp;CHAR(34))</f>
        <v xml:space="preserve"> Hết nhiên liệu, lõi lọc nhiên liệu bị tắc, lọc khí bị tắc, nhiên liệu lẫn không khí, tạp chất.</v>
      </c>
      <c r="I1117" t="str">
        <f>SUBSTITUTE(IF(LEFT(A1120,3)="Câu","",B1120),CHAR(34),CHAR(92)&amp;CHAR(34))</f>
        <v>Hết nhiên liệu, lõi lọc nhiên liệu bị tắc, lọc khí bị tắc, nhiên liệu lẫn không khí, không có tia lửa điện.</v>
      </c>
      <c r="J1117" t="str">
        <f>SUBSTITUTE(IF(OR(LEFT(A1121,3)="Câu",I1117=""),"",IF(B1121=0,"",B1121)),CHAR(34),CHAR(92)&amp;CHAR(34))</f>
        <v>Hết nhiên liệu, lõi lọc nhiên liệu bị tắc, lọc khí bị tắc, nhiên liệu lẫn không khí và nước, không có tia lửa điện.</v>
      </c>
      <c r="K1117" t="str">
        <f>SUBSTITUTE(SUBSTITUTE(SUBSTITUTE(SUBSTITUTE(IFERROR(VLOOKUP("Câu "&amp;D1117&amp;".",dapan!$E:$J,6,0),""),"1","A"),"2","B"),"3","C"),"4","D")</f>
        <v/>
      </c>
      <c r="P1117" t="str">
        <f t="shared" si="59"/>
        <v/>
      </c>
      <c r="Q1117" t="str">
        <f t="shared" si="60"/>
        <v/>
      </c>
    </row>
    <row r="1118" spans="1:17" x14ac:dyDescent="0.25">
      <c r="A1118" t="s">
        <v>961</v>
      </c>
      <c r="C1118">
        <f>IFERROR(COUNTIFS($A$1:A1118,"Câu "&amp;"*")-MID(A1118,5,FIND(".",A1118,1)-5),0)</f>
        <v>0</v>
      </c>
      <c r="D1118">
        <f t="shared" si="61"/>
        <v>272</v>
      </c>
      <c r="E1118" t="str">
        <f>SUBSTITUTE(IF(LEFT(A1118,3)="Câu",MID(A1118,FIND(".",A1118,1)+2,LEN(A1118)),""),CHAR(34),CHAR(92)&amp;CHAR(34))</f>
        <v>Trong các nguyên nhân nêu dưới đây, nguyên nhân nào làm động cơ diesel không nổ?</v>
      </c>
      <c r="G1118" t="str">
        <f>SUBSTITUTE(B1119,CHAR(34),CHAR(92)&amp;CHAR(34))</f>
        <v xml:space="preserve"> Hết nhiên liệu, lõi lọc nhiên liệu bị tắc, lọc khí bị tắc, nhiên liệu lẫn không khí, tạp chất.</v>
      </c>
      <c r="H1118" t="str">
        <f>SUBSTITUTE(B1120,CHAR(34),CHAR(92)&amp;CHAR(34))</f>
        <v>Hết nhiên liệu, lõi lọc nhiên liệu bị tắc, lọc khí bị tắc, nhiên liệu lẫn không khí, không có tia lửa điện.</v>
      </c>
      <c r="I1118" t="str">
        <f>SUBSTITUTE(IF(LEFT(A1121,3)="Câu","",B1121),CHAR(34),CHAR(92)&amp;CHAR(34))</f>
        <v>Hết nhiên liệu, lõi lọc nhiên liệu bị tắc, lọc khí bị tắc, nhiên liệu lẫn không khí và nước, không có tia lửa điện.</v>
      </c>
      <c r="J1118" t="str">
        <f>SUBSTITUTE(IF(OR(LEFT(A1122,3)="Câu",I1118=""),"",IF(B1122=0,"",B1122)),CHAR(34),CHAR(92)&amp;CHAR(34))</f>
        <v/>
      </c>
      <c r="K1118" t="str">
        <f ca="1">SUBSTITUTE(SUBSTITUTE(SUBSTITUTE(SUBSTITUTE(IFERROR(VLOOKUP("Câu "&amp;D1118&amp;".",dapan!$E:$J,6,0),""),"1","A"),"2","B"),"3","C"),"4","D")</f>
        <v>A</v>
      </c>
      <c r="P1118">
        <f t="shared" si="59"/>
        <v>272</v>
      </c>
      <c r="Q1118" t="str">
        <f t="shared" ca="1" si="60"/>
        <v>{"num":272,"id":272,"q":"Trong các nguyên nhân nêu dưới đây, nguyên nhân nào làm động cơ diesel không nổ?","opts":{"A":" Hết nhiên liệu, lõi lọc nhiên liệu bị tắc, lọc khí bị tắc, nhiên liệu lẫn không khí, tạp chất.","B":"Hết nhiên liệu, lõi lọc nhiên liệu bị tắc, lọc khí bị tắc, nhiên liệu lẫn không khí, không có tia lửa điện.","C":"Hết nhiên liệu, lõi lọc nhiên liệu bị tắc, lọc khí bị tắc, nhiên liệu lẫn không khí và nước, không có tia lửa điện."},"answer":"A"},</v>
      </c>
    </row>
    <row r="1119" spans="1:17" hidden="1" x14ac:dyDescent="0.25">
      <c r="A1119">
        <v>1</v>
      </c>
      <c r="B1119" t="s">
        <v>962</v>
      </c>
      <c r="C1119">
        <f>IFERROR(COUNTIFS($A$1:A1119,"Câu "&amp;"*")-MID(A1119,5,FIND(".",A1119,1)-5),0)</f>
        <v>0</v>
      </c>
      <c r="D1119" t="str">
        <f t="shared" si="61"/>
        <v/>
      </c>
      <c r="E1119" t="str">
        <f>SUBSTITUTE(IF(LEFT(A1119,3)="Câu",MID(A1119,FIND(".",A1119,1)+2,LEN(A1119)),""),CHAR(34),CHAR(92)&amp;CHAR(34))</f>
        <v/>
      </c>
      <c r="G1119" t="str">
        <f>SUBSTITUTE(B1120,CHAR(34),CHAR(92)&amp;CHAR(34))</f>
        <v>Hết nhiên liệu, lõi lọc nhiên liệu bị tắc, lọc khí bị tắc, nhiên liệu lẫn không khí, không có tia lửa điện.</v>
      </c>
      <c r="H1119" t="str">
        <f>SUBSTITUTE(B1121,CHAR(34),CHAR(92)&amp;CHAR(34))</f>
        <v>Hết nhiên liệu, lõi lọc nhiên liệu bị tắc, lọc khí bị tắc, nhiên liệu lẫn không khí và nước, không có tia lửa điện.</v>
      </c>
      <c r="I1119" t="str">
        <f>SUBSTITUTE(IF(LEFT(A1122,3)="Câu","",B1122),CHAR(34),CHAR(92)&amp;CHAR(34))</f>
        <v/>
      </c>
      <c r="J1119" t="str">
        <f>SUBSTITUTE(IF(OR(LEFT(A1123,3)="Câu",I1119=""),"",IF(B1123=0,"",B1123)),CHAR(34),CHAR(92)&amp;CHAR(34))</f>
        <v/>
      </c>
      <c r="K1119" t="str">
        <f>SUBSTITUTE(SUBSTITUTE(SUBSTITUTE(SUBSTITUTE(IFERROR(VLOOKUP("Câu "&amp;D1119&amp;".",dapan!$E:$J,6,0),""),"1","A"),"2","B"),"3","C"),"4","D")</f>
        <v/>
      </c>
      <c r="P1119" t="str">
        <f t="shared" si="59"/>
        <v/>
      </c>
      <c r="Q1119" t="str">
        <f t="shared" si="60"/>
        <v/>
      </c>
    </row>
    <row r="1120" spans="1:17" hidden="1" x14ac:dyDescent="0.25">
      <c r="A1120">
        <v>2</v>
      </c>
      <c r="B1120" t="s">
        <v>963</v>
      </c>
      <c r="C1120">
        <f>IFERROR(COUNTIFS($A$1:A1120,"Câu "&amp;"*")-MID(A1120,5,FIND(".",A1120,1)-5),0)</f>
        <v>0</v>
      </c>
      <c r="D1120" t="str">
        <f t="shared" si="61"/>
        <v/>
      </c>
      <c r="E1120" t="str">
        <f>SUBSTITUTE(IF(LEFT(A1120,3)="Câu",MID(A1120,FIND(".",A1120,1)+2,LEN(A1120)),""),CHAR(34),CHAR(92)&amp;CHAR(34))</f>
        <v/>
      </c>
      <c r="G1120" t="str">
        <f>SUBSTITUTE(B1121,CHAR(34),CHAR(92)&amp;CHAR(34))</f>
        <v>Hết nhiên liệu, lõi lọc nhiên liệu bị tắc, lọc khí bị tắc, nhiên liệu lẫn không khí và nước, không có tia lửa điện.</v>
      </c>
      <c r="H1120" t="str">
        <f>SUBSTITUTE(B1122,CHAR(34),CHAR(92)&amp;CHAR(34))</f>
        <v/>
      </c>
      <c r="I1120" t="str">
        <f>SUBSTITUTE(IF(LEFT(A1123,3)="Câu","",B1123),CHAR(34),CHAR(92)&amp;CHAR(34))</f>
        <v>Ống xả không được đặt ở vị trí có thể gây cháy xe hoặc ảnh hưởng đến người ngồi trên xe và gây cản trở hoạt động của hệ thống khác.</v>
      </c>
      <c r="J1120" t="str">
        <f>SUBSTITUTE(IF(OR(LEFT(A1124,3)="Câu",I1120=""),"",IF(B1124=0,"",B1124)),CHAR(34),CHAR(92)&amp;CHAR(34))</f>
        <v>Miệng thoát khí thải của ống xả không được hướng về phía trước và không được hướng về bên phải theo chiều tiến của xe.</v>
      </c>
      <c r="K1120" t="str">
        <f>SUBSTITUTE(SUBSTITUTE(SUBSTITUTE(SUBSTITUTE(IFERROR(VLOOKUP("Câu "&amp;D1120&amp;".",dapan!$E:$J,6,0),""),"1","A"),"2","B"),"3","C"),"4","D")</f>
        <v/>
      </c>
      <c r="P1120" t="str">
        <f t="shared" si="59"/>
        <v/>
      </c>
      <c r="Q1120" t="str">
        <f t="shared" si="60"/>
        <v/>
      </c>
    </row>
    <row r="1121" spans="1:17" hidden="1" x14ac:dyDescent="0.25">
      <c r="A1121">
        <v>3</v>
      </c>
      <c r="B1121" t="s">
        <v>964</v>
      </c>
      <c r="C1121">
        <f>IFERROR(COUNTIFS($A$1:A1121,"Câu "&amp;"*")-MID(A1121,5,FIND(".",A1121,1)-5),0)</f>
        <v>0</v>
      </c>
      <c r="D1121" t="str">
        <f t="shared" si="61"/>
        <v/>
      </c>
      <c r="E1121" t="str">
        <f>SUBSTITUTE(IF(LEFT(A1121,3)="Câu",MID(A1121,FIND(".",A1121,1)+2,LEN(A1121)),""),CHAR(34),CHAR(92)&amp;CHAR(34))</f>
        <v/>
      </c>
      <c r="G1121" t="str">
        <f>SUBSTITUTE(B1122,CHAR(34),CHAR(92)&amp;CHAR(34))</f>
        <v/>
      </c>
      <c r="H1121" t="str">
        <f>SUBSTITUTE(B1123,CHAR(34),CHAR(92)&amp;CHAR(34))</f>
        <v>Ống xả không được đặt ở vị trí có thể gây cháy xe hoặc ảnh hưởng đến người ngồi trên xe và gây cản trở hoạt động của hệ thống khác.</v>
      </c>
      <c r="I1121" t="str">
        <f>SUBSTITUTE(IF(LEFT(A1124,3)="Câu","",B1124),CHAR(34),CHAR(92)&amp;CHAR(34))</f>
        <v>Miệng thoát khí thải của ống xả không được hướng về phía trước và không được hướng về bên phải theo chiều tiến của xe.</v>
      </c>
      <c r="J1121" t="str">
        <f>SUBSTITUTE(IF(OR(LEFT(A1125,3)="Câu",I1121=""),"",IF(B1125=0,"",B1125)),CHAR(34),CHAR(92)&amp;CHAR(34))</f>
        <v xml:space="preserve"> Cả hai ý trên.</v>
      </c>
      <c r="K1121" t="str">
        <f>SUBSTITUTE(SUBSTITUTE(SUBSTITUTE(SUBSTITUTE(IFERROR(VLOOKUP("Câu "&amp;D1121&amp;".",dapan!$E:$J,6,0),""),"1","A"),"2","B"),"3","C"),"4","D")</f>
        <v/>
      </c>
      <c r="P1121" t="str">
        <f t="shared" si="59"/>
        <v/>
      </c>
      <c r="Q1121" t="str">
        <f t="shared" si="60"/>
        <v/>
      </c>
    </row>
    <row r="1122" spans="1:17" x14ac:dyDescent="0.25">
      <c r="A1122" t="s">
        <v>965</v>
      </c>
      <c r="C1122">
        <f>IFERROR(COUNTIFS($A$1:A1122,"Câu "&amp;"*")-MID(A1122,5,FIND(".",A1122,1)-5),0)</f>
        <v>0</v>
      </c>
      <c r="D1122">
        <f t="shared" si="61"/>
        <v>273</v>
      </c>
      <c r="E1122" t="str">
        <f>SUBSTITUTE(IF(LEFT(A1122,3)="Câu",MID(A1122,FIND(".",A1122,1)+2,LEN(A1122)),""),CHAR(34),CHAR(92)&amp;CHAR(34))</f>
        <v>Ống xả lắp trên xe ô tô phải bảo đảm yêu cầu an toàn kỹthuật nào dưới đây?</v>
      </c>
      <c r="G1122" t="str">
        <f>SUBSTITUTE(B1123,CHAR(34),CHAR(92)&amp;CHAR(34))</f>
        <v>Ống xả không được đặt ở vị trí có thể gây cháy xe hoặc ảnh hưởng đến người ngồi trên xe và gây cản trở hoạt động của hệ thống khác.</v>
      </c>
      <c r="H1122" t="str">
        <f>SUBSTITUTE(B1124,CHAR(34),CHAR(92)&amp;CHAR(34))</f>
        <v>Miệng thoát khí thải của ống xả không được hướng về phía trước và không được hướng về bên phải theo chiều tiến của xe.</v>
      </c>
      <c r="I1122" t="str">
        <f>SUBSTITUTE(IF(LEFT(A1125,3)="Câu","",B1125),CHAR(34),CHAR(92)&amp;CHAR(34))</f>
        <v xml:space="preserve"> Cả hai ý trên.</v>
      </c>
      <c r="J1122" t="str">
        <f>SUBSTITUTE(IF(OR(LEFT(A1126,3)="Câu",I1122=""),"",IF(B1126=0,"",B1126)),CHAR(34),CHAR(92)&amp;CHAR(34))</f>
        <v/>
      </c>
      <c r="K1122" t="str">
        <f ca="1">SUBSTITUTE(SUBSTITUTE(SUBSTITUTE(SUBSTITUTE(IFERROR(VLOOKUP("Câu "&amp;D1122&amp;".",dapan!$E:$J,6,0),""),"1","A"),"2","B"),"3","C"),"4","D")</f>
        <v>C</v>
      </c>
      <c r="P1122">
        <f t="shared" si="59"/>
        <v>273</v>
      </c>
      <c r="Q1122" t="str">
        <f t="shared" ca="1" si="60"/>
        <v>{"num":273,"id":273,"q":"Ống xả lắp trên xe ô tô phải bảo đảm yêu cầu an toàn kỹthuật nào dưới đây?","opts":{"A":"Ống xả không được đặt ở vị trí có thể gây cháy xe hoặc ảnh hưởng đến người ngồi trên xe và gây cản trở hoạt động của hệ thống khác.","B":"Miệng thoát khí thải của ống xả không được hướng về phía trước và không được hướng về bên phải theo chiều tiến của xe.","C":" Cả hai ý trên."},"answer":"C"},</v>
      </c>
    </row>
    <row r="1123" spans="1:17" hidden="1" x14ac:dyDescent="0.25">
      <c r="A1123">
        <v>1</v>
      </c>
      <c r="B1123" t="s">
        <v>966</v>
      </c>
      <c r="C1123">
        <f>IFERROR(COUNTIFS($A$1:A1123,"Câu "&amp;"*")-MID(A1123,5,FIND(".",A1123,1)-5),0)</f>
        <v>0</v>
      </c>
      <c r="D1123" t="str">
        <f t="shared" si="61"/>
        <v/>
      </c>
      <c r="E1123" t="str">
        <f>SUBSTITUTE(IF(LEFT(A1123,3)="Câu",MID(A1123,FIND(".",A1123,1)+2,LEN(A1123)),""),CHAR(34),CHAR(92)&amp;CHAR(34))</f>
        <v/>
      </c>
      <c r="G1123" t="str">
        <f>SUBSTITUTE(B1124,CHAR(34),CHAR(92)&amp;CHAR(34))</f>
        <v>Miệng thoát khí thải của ống xả không được hướng về phía trước và không được hướng về bên phải theo chiều tiến của xe.</v>
      </c>
      <c r="H1123" t="str">
        <f>SUBSTITUTE(B1125,CHAR(34),CHAR(92)&amp;CHAR(34))</f>
        <v xml:space="preserve"> Cả hai ý trên.</v>
      </c>
      <c r="I1123" t="str">
        <f>SUBSTITUTE(IF(LEFT(A1126,3)="Câu","",B1126),CHAR(34),CHAR(92)&amp;CHAR(34))</f>
        <v/>
      </c>
      <c r="J1123" t="str">
        <f>SUBSTITUTE(IF(OR(LEFT(A1127,3)="Câu",I1123=""),"",IF(B1127=0,"",B1127)),CHAR(34),CHAR(92)&amp;CHAR(34))</f>
        <v/>
      </c>
      <c r="K1123" t="str">
        <f>SUBSTITUTE(SUBSTITUTE(SUBSTITUTE(SUBSTITUTE(IFERROR(VLOOKUP("Câu "&amp;D1123&amp;".",dapan!$E:$J,6,0),""),"1","A"),"2","B"),"3","C"),"4","D")</f>
        <v/>
      </c>
      <c r="P1123" t="str">
        <f t="shared" si="59"/>
        <v/>
      </c>
      <c r="Q1123" t="str">
        <f t="shared" si="60"/>
        <v/>
      </c>
    </row>
    <row r="1124" spans="1:17" hidden="1" x14ac:dyDescent="0.25">
      <c r="A1124">
        <v>2</v>
      </c>
      <c r="B1124" t="s">
        <v>967</v>
      </c>
      <c r="C1124">
        <f>IFERROR(COUNTIFS($A$1:A1124,"Câu "&amp;"*")-MID(A1124,5,FIND(".",A1124,1)-5),0)</f>
        <v>0</v>
      </c>
      <c r="D1124" t="str">
        <f t="shared" si="61"/>
        <v/>
      </c>
      <c r="E1124" t="str">
        <f>SUBSTITUTE(IF(LEFT(A1124,3)="Câu",MID(A1124,FIND(".",A1124,1)+2,LEN(A1124)),""),CHAR(34),CHAR(92)&amp;CHAR(34))</f>
        <v/>
      </c>
      <c r="G1124" t="str">
        <f>SUBSTITUTE(B1125,CHAR(34),CHAR(92)&amp;CHAR(34))</f>
        <v xml:space="preserve"> Cả hai ý trên.</v>
      </c>
      <c r="H1124" t="str">
        <f>SUBSTITUTE(B1126,CHAR(34),CHAR(92)&amp;CHAR(34))</f>
        <v/>
      </c>
      <c r="I1124" t="str">
        <f>SUBSTITUTE(IF(LEFT(A1127,3)="Câu","",B1127),CHAR(34),CHAR(92)&amp;CHAR(34))</f>
        <v xml:space="preserve"> Đủ số lượng, lắp đặt chắc chắn không bị rách, đứt, khóa cài đóng, mở nhẹ nhàng, không tự mở, không bị kẹt; kéo ra thu vào dễ dàng, cơ cấu hãm giữ chặt dây khi giật dây đột ngột.</v>
      </c>
      <c r="J1124" t="str">
        <f>SUBSTITUTE(IF(OR(LEFT(A1128,3)="Câu",I1124=""),"",IF(B1128=0,"",B1128)),CHAR(34),CHAR(92)&amp;CHAR(34))</f>
        <v>Đủ số lượng, lắp đặt chắc chắn không bị rách, đứt, khóa cài đóng, mở nhẹ nhàng, không tự mở, không bị kẹt; kéo ra thu vào dễ dàng, cơ cấu hãm mở ra khi giật dây đột ngột.</v>
      </c>
      <c r="K1124" t="str">
        <f>SUBSTITUTE(SUBSTITUTE(SUBSTITUTE(SUBSTITUTE(IFERROR(VLOOKUP("Câu "&amp;D1124&amp;".",dapan!$E:$J,6,0),""),"1","A"),"2","B"),"3","C"),"4","D")</f>
        <v/>
      </c>
      <c r="P1124" t="str">
        <f t="shared" si="59"/>
        <v/>
      </c>
      <c r="Q1124" t="str">
        <f t="shared" si="60"/>
        <v/>
      </c>
    </row>
    <row r="1125" spans="1:17" hidden="1" x14ac:dyDescent="0.25">
      <c r="A1125">
        <v>3</v>
      </c>
      <c r="B1125" t="s">
        <v>32</v>
      </c>
      <c r="C1125">
        <f>IFERROR(COUNTIFS($A$1:A1125,"Câu "&amp;"*")-MID(A1125,5,FIND(".",A1125,1)-5),0)</f>
        <v>0</v>
      </c>
      <c r="D1125" t="str">
        <f t="shared" si="61"/>
        <v/>
      </c>
      <c r="E1125" t="str">
        <f>SUBSTITUTE(IF(LEFT(A1125,3)="Câu",MID(A1125,FIND(".",A1125,1)+2,LEN(A1125)),""),CHAR(34),CHAR(92)&amp;CHAR(34))</f>
        <v/>
      </c>
      <c r="G1125" t="str">
        <f>SUBSTITUTE(B1126,CHAR(34),CHAR(92)&amp;CHAR(34))</f>
        <v/>
      </c>
      <c r="H1125" t="str">
        <f>SUBSTITUTE(B1127,CHAR(34),CHAR(92)&amp;CHAR(34))</f>
        <v xml:space="preserve"> Đủ số lượng, lắp đặt chắc chắn không bị rách, đứt, khóa cài đóng, mở nhẹ nhàng, không tự mở, không bị kẹt; kéo ra thu vào dễ dàng, cơ cấu hãm giữ chặt dây khi giật dây đột ngột.</v>
      </c>
      <c r="I1125" t="str">
        <f>SUBSTITUTE(IF(LEFT(A1128,3)="Câu","",B1128),CHAR(34),CHAR(92)&amp;CHAR(34))</f>
        <v>Đủ số lượng, lắp đặt chắc chắn không bị rách, đứt, khóa cài đóng, mở nhẹ nhàng, không tự mở, không bị kẹt; kéo ra thu vào dễ dàng, cơ cấu hãm mở ra khi giật dây đột ngột.</v>
      </c>
      <c r="J1125" t="str">
        <f>SUBSTITUTE(IF(OR(LEFT(A1129,3)="Câu",I1125=""),"",IF(B1129=0,"",B1129)),CHAR(34),CHAR(92)&amp;CHAR(34))</f>
        <v>Cả hai ý trên.</v>
      </c>
      <c r="K1125" t="str">
        <f>SUBSTITUTE(SUBSTITUTE(SUBSTITUTE(SUBSTITUTE(IFERROR(VLOOKUP("Câu "&amp;D1125&amp;".",dapan!$E:$J,6,0),""),"1","A"),"2","B"),"3","C"),"4","D")</f>
        <v/>
      </c>
      <c r="P1125" t="str">
        <f t="shared" si="59"/>
        <v/>
      </c>
      <c r="Q1125" t="str">
        <f t="shared" si="60"/>
        <v/>
      </c>
    </row>
    <row r="1126" spans="1:17" x14ac:dyDescent="0.25">
      <c r="A1126" t="s">
        <v>968</v>
      </c>
      <c r="C1126">
        <f>IFERROR(COUNTIFS($A$1:A1126,"Câu "&amp;"*")-MID(A1126,5,FIND(".",A1126,1)-5),0)</f>
        <v>0</v>
      </c>
      <c r="D1126">
        <f t="shared" si="61"/>
        <v>274</v>
      </c>
      <c r="E1126" t="str">
        <f>SUBSTITUTE(IF(LEFT(A1126,3)="Câu",MID(A1126,FIND(".",A1126,1)+2,LEN(A1126)),""),CHAR(34),CHAR(92)&amp;CHAR(34))</f>
        <v>Dây đai an toàn lắp trên xe ô tô phải bảo đảm yêu cầu an toàn kỹ thuật nào dưới đây?</v>
      </c>
      <c r="G1126" t="str">
        <f>SUBSTITUTE(B1127,CHAR(34),CHAR(92)&amp;CHAR(34))</f>
        <v xml:space="preserve"> Đủ số lượng, lắp đặt chắc chắn không bị rách, đứt, khóa cài đóng, mở nhẹ nhàng, không tự mở, không bị kẹt; kéo ra thu vào dễ dàng, cơ cấu hãm giữ chặt dây khi giật dây đột ngột.</v>
      </c>
      <c r="H1126" t="str">
        <f>SUBSTITUTE(B1128,CHAR(34),CHAR(92)&amp;CHAR(34))</f>
        <v>Đủ số lượng, lắp đặt chắc chắn không bị rách, đứt, khóa cài đóng, mở nhẹ nhàng, không tự mở, không bị kẹt; kéo ra thu vào dễ dàng, cơ cấu hãm mở ra khi giật dây đột ngột.</v>
      </c>
      <c r="I1126" t="str">
        <f>SUBSTITUTE(IF(LEFT(A1129,3)="Câu","",B1129),CHAR(34),CHAR(92)&amp;CHAR(34))</f>
        <v>Cả hai ý trên.</v>
      </c>
      <c r="J1126" t="str">
        <f>SUBSTITUTE(IF(OR(LEFT(A1130,3)="Câu",I1126=""),"",IF(B1130=0,"",B1130)),CHAR(34),CHAR(92)&amp;CHAR(34))</f>
        <v/>
      </c>
      <c r="K1126" t="str">
        <f ca="1">SUBSTITUTE(SUBSTITUTE(SUBSTITUTE(SUBSTITUTE(IFERROR(VLOOKUP("Câu "&amp;D1126&amp;".",dapan!$E:$J,6,0),""),"1","A"),"2","B"),"3","C"),"4","D")</f>
        <v>A</v>
      </c>
      <c r="P1126">
        <f t="shared" si="59"/>
        <v>274</v>
      </c>
      <c r="Q1126" t="str">
        <f t="shared" ca="1" si="60"/>
        <v>{"num":274,"id":274,"q":"Dây đai an toàn lắp trên xe ô tô phải bảo đảm yêu cầu an toàn kỹ thuật nào dưới đây?","opts":{"A":" Đủ số lượng, lắp đặt chắc chắn không bị rách, đứt, khóa cài đóng, mở nhẹ nhàng, không tự mở, không bị kẹt; kéo ra thu vào dễ dàng, cơ cấu hãm giữ chặt dây khi giật dây đột ngột.","B":"Đủ số lượng, lắp đặt chắc chắn không bị rách, đứt, khóa cài đóng, mở nhẹ nhàng, không tự mở, không bị kẹt; kéo ra thu vào dễ dàng, cơ cấu hãm mở ra khi giật dây đột ngột.","C":"Cả hai ý trên."},"answer":"A"},</v>
      </c>
    </row>
    <row r="1127" spans="1:17" hidden="1" x14ac:dyDescent="0.25">
      <c r="A1127">
        <v>1</v>
      </c>
      <c r="B1127" t="s">
        <v>969</v>
      </c>
      <c r="C1127">
        <f>IFERROR(COUNTIFS($A$1:A1127,"Câu "&amp;"*")-MID(A1127,5,FIND(".",A1127,1)-5),0)</f>
        <v>0</v>
      </c>
      <c r="D1127" t="str">
        <f t="shared" si="61"/>
        <v/>
      </c>
      <c r="E1127" t="str">
        <f>SUBSTITUTE(IF(LEFT(A1127,3)="Câu",MID(A1127,FIND(".",A1127,1)+2,LEN(A1127)),""),CHAR(34),CHAR(92)&amp;CHAR(34))</f>
        <v/>
      </c>
      <c r="G1127" t="str">
        <f>SUBSTITUTE(B1128,CHAR(34),CHAR(92)&amp;CHAR(34))</f>
        <v>Đủ số lượng, lắp đặt chắc chắn không bị rách, đứt, khóa cài đóng, mở nhẹ nhàng, không tự mở, không bị kẹt; kéo ra thu vào dễ dàng, cơ cấu hãm mở ra khi giật dây đột ngột.</v>
      </c>
      <c r="H1127" t="str">
        <f>SUBSTITUTE(B1129,CHAR(34),CHAR(92)&amp;CHAR(34))</f>
        <v>Cả hai ý trên.</v>
      </c>
      <c r="I1127" t="str">
        <f>SUBSTITUTE(IF(LEFT(A1130,3)="Câu","",B1130),CHAR(34),CHAR(92)&amp;CHAR(34))</f>
        <v/>
      </c>
      <c r="J1127" t="str">
        <f>SUBSTITUTE(IF(OR(LEFT(A1131,3)="Câu",I1127=""),"",IF(B1131=0,"",B1131)),CHAR(34),CHAR(92)&amp;CHAR(34))</f>
        <v/>
      </c>
      <c r="K1127" t="str">
        <f>SUBSTITUTE(SUBSTITUTE(SUBSTITUTE(SUBSTITUTE(IFERROR(VLOOKUP("Câu "&amp;D1127&amp;".",dapan!$E:$J,6,0),""),"1","A"),"2","B"),"3","C"),"4","D")</f>
        <v/>
      </c>
      <c r="P1127" t="str">
        <f t="shared" si="59"/>
        <v/>
      </c>
      <c r="Q1127" t="str">
        <f t="shared" si="60"/>
        <v/>
      </c>
    </row>
    <row r="1128" spans="1:17" hidden="1" x14ac:dyDescent="0.25">
      <c r="A1128">
        <v>2</v>
      </c>
      <c r="B1128" t="s">
        <v>970</v>
      </c>
      <c r="C1128">
        <f>IFERROR(COUNTIFS($A$1:A1128,"Câu "&amp;"*")-MID(A1128,5,FIND(".",A1128,1)-5),0)</f>
        <v>0</v>
      </c>
      <c r="D1128" t="str">
        <f t="shared" si="61"/>
        <v/>
      </c>
      <c r="E1128" t="str">
        <f>SUBSTITUTE(IF(LEFT(A1128,3)="Câu",MID(A1128,FIND(".",A1128,1)+2,LEN(A1128)),""),CHAR(34),CHAR(92)&amp;CHAR(34))</f>
        <v/>
      </c>
      <c r="G1128" t="str">
        <f>SUBSTITUTE(B1129,CHAR(34),CHAR(92)&amp;CHAR(34))</f>
        <v>Cả hai ý trên.</v>
      </c>
      <c r="H1128" t="str">
        <f>SUBSTITUTE(B1130,CHAR(34),CHAR(92)&amp;CHAR(34))</f>
        <v/>
      </c>
      <c r="I1128" t="str">
        <f>SUBSTITUTE(IF(LEFT(A1131,3)="Câu","",B1131),CHAR(34),CHAR(92)&amp;CHAR(34))</f>
        <v>Là loại động cơ: để hoàn thành một chu trình công tác của động cơ, pít tông thực hiện 2 (hai) hành trình, trong đó có một lần sinh công.</v>
      </c>
      <c r="J1128" t="str">
        <f>SUBSTITUTE(IF(OR(LEFT(A1132,3)="Câu",I1128=""),"",IF(B1132=0,"",B1132)),CHAR(34),CHAR(92)&amp;CHAR(34))</f>
        <v xml:space="preserve"> Là loại động cơ: để hoàn thành một chu trình công tác của động cơ, pít tông thực hiện 4 (bốn) hành trình, trong đó có một lần sinh công.</v>
      </c>
      <c r="K1128" t="str">
        <f>SUBSTITUTE(SUBSTITUTE(SUBSTITUTE(SUBSTITUTE(IFERROR(VLOOKUP("Câu "&amp;D1128&amp;".",dapan!$E:$J,6,0),""),"1","A"),"2","B"),"3","C"),"4","D")</f>
        <v/>
      </c>
      <c r="P1128" t="str">
        <f t="shared" si="59"/>
        <v/>
      </c>
      <c r="Q1128" t="str">
        <f t="shared" si="60"/>
        <v/>
      </c>
    </row>
    <row r="1129" spans="1:17" hidden="1" x14ac:dyDescent="0.25">
      <c r="A1129">
        <v>3</v>
      </c>
      <c r="B1129" t="s">
        <v>18</v>
      </c>
      <c r="C1129">
        <f>IFERROR(COUNTIFS($A$1:A1129,"Câu "&amp;"*")-MID(A1129,5,FIND(".",A1129,1)-5),0)</f>
        <v>0</v>
      </c>
      <c r="D1129" t="str">
        <f t="shared" si="61"/>
        <v/>
      </c>
      <c r="E1129" t="str">
        <f>SUBSTITUTE(IF(LEFT(A1129,3)="Câu",MID(A1129,FIND(".",A1129,1)+2,LEN(A1129)),""),CHAR(34),CHAR(92)&amp;CHAR(34))</f>
        <v/>
      </c>
      <c r="G1129" t="str">
        <f>SUBSTITUTE(B1130,CHAR(34),CHAR(92)&amp;CHAR(34))</f>
        <v/>
      </c>
      <c r="H1129" t="str">
        <f>SUBSTITUTE(B1131,CHAR(34),CHAR(92)&amp;CHAR(34))</f>
        <v>Là loại động cơ: để hoàn thành một chu trình công tác của động cơ, pít tông thực hiện 2 (hai) hành trình, trong đó có một lần sinh công.</v>
      </c>
      <c r="I1129" t="str">
        <f>SUBSTITUTE(IF(LEFT(A1132,3)="Câu","",B1132),CHAR(34),CHAR(92)&amp;CHAR(34))</f>
        <v xml:space="preserve"> Là loại động cơ: để hoàn thành một chu trình công tác của động cơ, pít tông thực hiện 4 (bốn) hành trình, trong đó có một lần sinh công.</v>
      </c>
      <c r="J1129" t="str">
        <f>SUBSTITUTE(IF(OR(LEFT(A1133,3)="Câu",I1129=""),"",IF(B1133=0,"",B1133)),CHAR(34),CHAR(92)&amp;CHAR(34))</f>
        <v/>
      </c>
      <c r="K1129" t="str">
        <f>SUBSTITUTE(SUBSTITUTE(SUBSTITUTE(SUBSTITUTE(IFERROR(VLOOKUP("Câu "&amp;D1129&amp;".",dapan!$E:$J,6,0),""),"1","A"),"2","B"),"3","C"),"4","D")</f>
        <v/>
      </c>
      <c r="P1129" t="str">
        <f t="shared" si="59"/>
        <v/>
      </c>
      <c r="Q1129" t="str">
        <f t="shared" si="60"/>
        <v/>
      </c>
    </row>
    <row r="1130" spans="1:17" x14ac:dyDescent="0.25">
      <c r="A1130" t="s">
        <v>971</v>
      </c>
      <c r="C1130">
        <f>IFERROR(COUNTIFS($A$1:A1130,"Câu "&amp;"*")-MID(A1130,5,FIND(".",A1130,1)-5),0)</f>
        <v>0</v>
      </c>
      <c r="D1130">
        <f t="shared" si="61"/>
        <v>275</v>
      </c>
      <c r="E1130" t="str">
        <f>SUBSTITUTE(IF(LEFT(A1130,3)="Câu",MID(A1130,FIND(".",A1130,1)+2,LEN(A1130)),""),CHAR(34),CHAR(92)&amp;CHAR(34))</f>
        <v>Thế nào là động cơ 4 kỳ?</v>
      </c>
      <c r="G1130" t="str">
        <f>SUBSTITUTE(B1131,CHAR(34),CHAR(92)&amp;CHAR(34))</f>
        <v>Là loại động cơ: để hoàn thành một chu trình công tác của động cơ, pít tông thực hiện 2 (hai) hành trình, trong đó có một lần sinh công.</v>
      </c>
      <c r="H1130" t="str">
        <f>SUBSTITUTE(B1132,CHAR(34),CHAR(92)&amp;CHAR(34))</f>
        <v xml:space="preserve"> Là loại động cơ: để hoàn thành một chu trình công tác của động cơ, pít tông thực hiện 4 (bốn) hành trình, trong đó có một lần sinh công.</v>
      </c>
      <c r="I1130" t="str">
        <f>SUBSTITUTE(IF(LEFT(A1133,3)="Câu","",B1133),CHAR(34),CHAR(92)&amp;CHAR(34))</f>
        <v/>
      </c>
      <c r="J1130" t="str">
        <f>SUBSTITUTE(IF(OR(LEFT(A1134,3)="Câu",I1130=""),"",IF(B1134=0,"",B1134)),CHAR(34),CHAR(92)&amp;CHAR(34))</f>
        <v/>
      </c>
      <c r="K1130" t="str">
        <f ca="1">SUBSTITUTE(SUBSTITUTE(SUBSTITUTE(SUBSTITUTE(IFERROR(VLOOKUP("Câu "&amp;D1130&amp;".",dapan!$E:$J,6,0),""),"1","A"),"2","B"),"3","C"),"4","D")</f>
        <v>B</v>
      </c>
      <c r="P1130">
        <f t="shared" si="59"/>
        <v>275</v>
      </c>
      <c r="Q1130" t="str">
        <f t="shared" ca="1" si="60"/>
        <v>{"num":275,"id":275,"q":"Thế nào là động cơ 4 kỳ?","opts":{"A":"Là loại động cơ: để hoàn thành một chu trình công tác của động cơ, pít tông thực hiện 2 (hai) hành trình, trong đó có một lần sinh công.","B":" Là loại động cơ: để hoàn thành một chu trình công tác của động cơ, pít tông thực hiện 4 (bốn) hành trình, trong đó có một lần sinh công."},"answer":"B"},</v>
      </c>
    </row>
    <row r="1131" spans="1:17" hidden="1" x14ac:dyDescent="0.25">
      <c r="A1131">
        <v>1</v>
      </c>
      <c r="B1131" t="s">
        <v>972</v>
      </c>
      <c r="C1131">
        <f>IFERROR(COUNTIFS($A$1:A1131,"Câu "&amp;"*")-MID(A1131,5,FIND(".",A1131,1)-5),0)</f>
        <v>0</v>
      </c>
      <c r="D1131" t="str">
        <f t="shared" si="61"/>
        <v/>
      </c>
      <c r="E1131" t="str">
        <f>SUBSTITUTE(IF(LEFT(A1131,3)="Câu",MID(A1131,FIND(".",A1131,1)+2,LEN(A1131)),""),CHAR(34),CHAR(92)&amp;CHAR(34))</f>
        <v/>
      </c>
      <c r="G1131" t="str">
        <f>SUBSTITUTE(B1132,CHAR(34),CHAR(92)&amp;CHAR(34))</f>
        <v xml:space="preserve"> Là loại động cơ: để hoàn thành một chu trình công tác của động cơ, pít tông thực hiện 4 (bốn) hành trình, trong đó có một lần sinh công.</v>
      </c>
      <c r="H1131" t="str">
        <f>SUBSTITUTE(B1133,CHAR(34),CHAR(92)&amp;CHAR(34))</f>
        <v/>
      </c>
      <c r="I1131" t="str">
        <f>SUBSTITUTE(IF(LEFT(A1134,3)="Câu","",B1134),CHAR(34),CHAR(92)&amp;CHAR(34))</f>
        <v xml:space="preserve"> Cung cấp một lượng dầu bôi trơn đủ và sạch dưới áp suất nhất định đi bôi trơn cho các chi tiết của động cơ để giảm ma sát, giảm mài mòn, làm kín, làm sạch, làm mát và chống gỉ.</v>
      </c>
      <c r="J1131" t="str">
        <f>SUBSTITUTE(IF(OR(LEFT(A1135,3)="Câu",I1131=""),"",IF(B1135=0,"",B1135)),CHAR(34),CHAR(92)&amp;CHAR(34))</f>
        <v>Cung cấp một lượng nhiên liệu đầy đủ và sạch để cho động cơ ô tô hoạt động.</v>
      </c>
      <c r="K1131" t="str">
        <f>SUBSTITUTE(SUBSTITUTE(SUBSTITUTE(SUBSTITUTE(IFERROR(VLOOKUP("Câu "&amp;D1131&amp;".",dapan!$E:$J,6,0),""),"1","A"),"2","B"),"3","C"),"4","D")</f>
        <v/>
      </c>
      <c r="P1131" t="str">
        <f t="shared" si="59"/>
        <v/>
      </c>
      <c r="Q1131" t="str">
        <f t="shared" si="60"/>
        <v/>
      </c>
    </row>
    <row r="1132" spans="1:17" hidden="1" x14ac:dyDescent="0.25">
      <c r="A1132">
        <v>2</v>
      </c>
      <c r="B1132" t="s">
        <v>973</v>
      </c>
      <c r="C1132">
        <f>IFERROR(COUNTIFS($A$1:A1132,"Câu "&amp;"*")-MID(A1132,5,FIND(".",A1132,1)-5),0)</f>
        <v>0</v>
      </c>
      <c r="D1132" t="str">
        <f t="shared" si="61"/>
        <v/>
      </c>
      <c r="E1132" t="str">
        <f>SUBSTITUTE(IF(LEFT(A1132,3)="Câu",MID(A1132,FIND(".",A1132,1)+2,LEN(A1132)),""),CHAR(34),CHAR(92)&amp;CHAR(34))</f>
        <v/>
      </c>
      <c r="G1132" t="str">
        <f>SUBSTITUTE(B1133,CHAR(34),CHAR(92)&amp;CHAR(34))</f>
        <v/>
      </c>
      <c r="H1132" t="str">
        <f>SUBSTITUTE(B1134,CHAR(34),CHAR(92)&amp;CHAR(34))</f>
        <v xml:space="preserve"> Cung cấp một lượng dầu bôi trơn đủ và sạch dưới áp suất nhất định đi bôi trơn cho các chi tiết của động cơ để giảm ma sát, giảm mài mòn, làm kín, làm sạch, làm mát và chống gỉ.</v>
      </c>
      <c r="I1132" t="str">
        <f>SUBSTITUTE(IF(LEFT(A1135,3)="Câu","",B1135),CHAR(34),CHAR(92)&amp;CHAR(34))</f>
        <v>Cung cấp một lượng nhiên liệu đầy đủ và sạch để cho động cơ ô tô hoạt động.</v>
      </c>
      <c r="J1132" t="str">
        <f>SUBSTITUTE(IF(OR(LEFT(A1136,3)="Câu",I1132=""),"",IF(B1136=0,"",B1136)),CHAR(34),CHAR(92)&amp;CHAR(34))</f>
        <v>Cả hai ý trên.</v>
      </c>
      <c r="K1132" t="str">
        <f>SUBSTITUTE(SUBSTITUTE(SUBSTITUTE(SUBSTITUTE(IFERROR(VLOOKUP("Câu "&amp;D1132&amp;".",dapan!$E:$J,6,0),""),"1","A"),"2","B"),"3","C"),"4","D")</f>
        <v/>
      </c>
      <c r="P1132" t="str">
        <f t="shared" si="59"/>
        <v/>
      </c>
      <c r="Q1132" t="str">
        <f t="shared" si="60"/>
        <v/>
      </c>
    </row>
    <row r="1133" spans="1:17" x14ac:dyDescent="0.25">
      <c r="A1133" t="s">
        <v>974</v>
      </c>
      <c r="C1133">
        <f>IFERROR(COUNTIFS($A$1:A1133,"Câu "&amp;"*")-MID(A1133,5,FIND(".",A1133,1)-5),0)</f>
        <v>0</v>
      </c>
      <c r="D1133">
        <f t="shared" si="61"/>
        <v>276</v>
      </c>
      <c r="E1133" t="str">
        <f>SUBSTITUTE(IF(LEFT(A1133,3)="Câu",MID(A1133,FIND(".",A1133,1)+2,LEN(A1133)),""),CHAR(34),CHAR(92)&amp;CHAR(34))</f>
        <v>Công dụng của hệ thống bôi trơn đối với động cơ ô tô?</v>
      </c>
      <c r="G1133" t="str">
        <f>SUBSTITUTE(B1134,CHAR(34),CHAR(92)&amp;CHAR(34))</f>
        <v xml:space="preserve"> Cung cấp một lượng dầu bôi trơn đủ và sạch dưới áp suất nhất định đi bôi trơn cho các chi tiết của động cơ để giảm ma sát, giảm mài mòn, làm kín, làm sạch, làm mát và chống gỉ.</v>
      </c>
      <c r="H1133" t="str">
        <f>SUBSTITUTE(B1135,CHAR(34),CHAR(92)&amp;CHAR(34))</f>
        <v>Cung cấp một lượng nhiên liệu đầy đủ và sạch để cho động cơ ô tô hoạt động.</v>
      </c>
      <c r="I1133" t="str">
        <f>SUBSTITUTE(IF(LEFT(A1136,3)="Câu","",B1136),CHAR(34),CHAR(92)&amp;CHAR(34))</f>
        <v>Cả hai ý trên.</v>
      </c>
      <c r="J1133" t="str">
        <f>SUBSTITUTE(IF(OR(LEFT(A1137,3)="Câu",I1133=""),"",IF(B1137=0,"",B1137)),CHAR(34),CHAR(92)&amp;CHAR(34))</f>
        <v/>
      </c>
      <c r="K1133" t="str">
        <f ca="1">SUBSTITUTE(SUBSTITUTE(SUBSTITUTE(SUBSTITUTE(IFERROR(VLOOKUP("Câu "&amp;D1133&amp;".",dapan!$E:$J,6,0),""),"1","A"),"2","B"),"3","C"),"4","D")</f>
        <v>A</v>
      </c>
      <c r="P1133">
        <f t="shared" si="59"/>
        <v>276</v>
      </c>
      <c r="Q1133" t="str">
        <f t="shared" ca="1" si="60"/>
        <v>{"num":276,"id":276,"q":"Công dụng của hệ thống bôi trơn đối với động cơ ô tô?","opts":{"A":" Cung cấp một lượng dầu bôi trơn đủ và sạch dưới áp suất nhất định đi bôi trơn cho các chi tiết của động cơ để giảm ma sát, giảm mài mòn, làm kín, làm sạch, làm mát và chống gỉ.","B":"Cung cấp một lượng nhiên liệu đầy đủ và sạch để cho động cơ ô tô hoạt động.","C":"Cả hai ý trên."},"answer":"A"},</v>
      </c>
    </row>
    <row r="1134" spans="1:17" hidden="1" x14ac:dyDescent="0.25">
      <c r="A1134">
        <v>1</v>
      </c>
      <c r="B1134" t="s">
        <v>975</v>
      </c>
      <c r="C1134">
        <f>IFERROR(COUNTIFS($A$1:A1134,"Câu "&amp;"*")-MID(A1134,5,FIND(".",A1134,1)-5),0)</f>
        <v>0</v>
      </c>
      <c r="D1134" t="str">
        <f t="shared" si="61"/>
        <v/>
      </c>
      <c r="E1134" t="str">
        <f>SUBSTITUTE(IF(LEFT(A1134,3)="Câu",MID(A1134,FIND(".",A1134,1)+2,LEN(A1134)),""),CHAR(34),CHAR(92)&amp;CHAR(34))</f>
        <v/>
      </c>
      <c r="G1134" t="str">
        <f>SUBSTITUTE(B1135,CHAR(34),CHAR(92)&amp;CHAR(34))</f>
        <v>Cung cấp một lượng nhiên liệu đầy đủ và sạch để cho động cơ ô tô hoạt động.</v>
      </c>
      <c r="H1134" t="str">
        <f>SUBSTITUTE(B1136,CHAR(34),CHAR(92)&amp;CHAR(34))</f>
        <v>Cả hai ý trên.</v>
      </c>
      <c r="I1134" t="str">
        <f>SUBSTITUTE(IF(LEFT(A1137,3)="Câu","",B1137),CHAR(34),CHAR(92)&amp;CHAR(34))</f>
        <v/>
      </c>
      <c r="J1134" t="str">
        <f>SUBSTITUTE(IF(OR(LEFT(A1138,3)="Câu",I1134=""),"",IF(B1138=0,"",B1138)),CHAR(34),CHAR(92)&amp;CHAR(34))</f>
        <v/>
      </c>
      <c r="K1134" t="str">
        <f>SUBSTITUTE(SUBSTITUTE(SUBSTITUTE(SUBSTITUTE(IFERROR(VLOOKUP("Câu "&amp;D1134&amp;".",dapan!$E:$J,6,0),""),"1","A"),"2","B"),"3","C"),"4","D")</f>
        <v/>
      </c>
      <c r="P1134" t="str">
        <f t="shared" si="59"/>
        <v/>
      </c>
      <c r="Q1134" t="str">
        <f t="shared" si="60"/>
        <v/>
      </c>
    </row>
    <row r="1135" spans="1:17" hidden="1" x14ac:dyDescent="0.25">
      <c r="A1135">
        <v>2</v>
      </c>
      <c r="B1135" t="s">
        <v>976</v>
      </c>
      <c r="C1135">
        <f>IFERROR(COUNTIFS($A$1:A1135,"Câu "&amp;"*")-MID(A1135,5,FIND(".",A1135,1)-5),0)</f>
        <v>0</v>
      </c>
      <c r="D1135" t="str">
        <f t="shared" si="61"/>
        <v/>
      </c>
      <c r="E1135" t="str">
        <f>SUBSTITUTE(IF(LEFT(A1135,3)="Câu",MID(A1135,FIND(".",A1135,1)+2,LEN(A1135)),""),CHAR(34),CHAR(92)&amp;CHAR(34))</f>
        <v/>
      </c>
      <c r="G1135" t="str">
        <f>SUBSTITUTE(B1136,CHAR(34),CHAR(92)&amp;CHAR(34))</f>
        <v>Cả hai ý trên.</v>
      </c>
      <c r="H1135" t="str">
        <f>SUBSTITUTE(B1137,CHAR(34),CHAR(92)&amp;CHAR(34))</f>
        <v/>
      </c>
      <c r="I1135" t="str">
        <f>SUBSTITUTE(IF(LEFT(A1138,3)="Câu","",B1138),CHAR(34),CHAR(92)&amp;CHAR(34))</f>
        <v>15 năm.</v>
      </c>
      <c r="J1135" t="str">
        <f>SUBSTITUTE(IF(OR(LEFT(A1139,3)="Câu",I1135=""),"",IF(B1139=0,"",B1139)),CHAR(34),CHAR(92)&amp;CHAR(34))</f>
        <v>20 năm.</v>
      </c>
      <c r="K1135" t="str">
        <f>SUBSTITUTE(SUBSTITUTE(SUBSTITUTE(SUBSTITUTE(IFERROR(VLOOKUP("Câu "&amp;D1135&amp;".",dapan!$E:$J,6,0),""),"1","A"),"2","B"),"3","C"),"4","D")</f>
        <v/>
      </c>
      <c r="P1135" t="str">
        <f t="shared" si="59"/>
        <v/>
      </c>
      <c r="Q1135" t="str">
        <f t="shared" si="60"/>
        <v/>
      </c>
    </row>
    <row r="1136" spans="1:17" hidden="1" x14ac:dyDescent="0.25">
      <c r="A1136">
        <v>3</v>
      </c>
      <c r="B1136" t="s">
        <v>18</v>
      </c>
      <c r="C1136">
        <f>IFERROR(COUNTIFS($A$1:A1136,"Câu "&amp;"*")-MID(A1136,5,FIND(".",A1136,1)-5),0)</f>
        <v>0</v>
      </c>
      <c r="D1136" t="str">
        <f t="shared" si="61"/>
        <v/>
      </c>
      <c r="E1136" t="str">
        <f>SUBSTITUTE(IF(LEFT(A1136,3)="Câu",MID(A1136,FIND(".",A1136,1)+2,LEN(A1136)),""),CHAR(34),CHAR(92)&amp;CHAR(34))</f>
        <v/>
      </c>
      <c r="G1136" t="str">
        <f>SUBSTITUTE(B1137,CHAR(34),CHAR(92)&amp;CHAR(34))</f>
        <v/>
      </c>
      <c r="H1136" t="str">
        <f>SUBSTITUTE(B1138,CHAR(34),CHAR(92)&amp;CHAR(34))</f>
        <v>15 năm.</v>
      </c>
      <c r="I1136" t="str">
        <f>SUBSTITUTE(IF(LEFT(A1139,3)="Câu","",B1139),CHAR(34),CHAR(92)&amp;CHAR(34))</f>
        <v>20 năm.</v>
      </c>
      <c r="J1136" t="str">
        <f>SUBSTITUTE(IF(OR(LEFT(A1140,3)="Câu",I1136=""),"",IF(B1140=0,"",B1140)),CHAR(34),CHAR(92)&amp;CHAR(34))</f>
        <v xml:space="preserve"> 25 năm.</v>
      </c>
      <c r="K1136" t="str">
        <f>SUBSTITUTE(SUBSTITUTE(SUBSTITUTE(SUBSTITUTE(IFERROR(VLOOKUP("Câu "&amp;D1136&amp;".",dapan!$E:$J,6,0),""),"1","A"),"2","B"),"3","C"),"4","D")</f>
        <v/>
      </c>
      <c r="P1136" t="str">
        <f t="shared" si="59"/>
        <v/>
      </c>
      <c r="Q1136" t="str">
        <f t="shared" si="60"/>
        <v/>
      </c>
    </row>
    <row r="1137" spans="1:17" x14ac:dyDescent="0.25">
      <c r="A1137" t="s">
        <v>977</v>
      </c>
      <c r="C1137">
        <f>IFERROR(COUNTIFS($A$1:A1137,"Câu "&amp;"*")-MID(A1137,5,FIND(".",A1137,1)-5),0)</f>
        <v>0</v>
      </c>
      <c r="D1137">
        <f t="shared" si="61"/>
        <v>277</v>
      </c>
      <c r="E1137" t="str">
        <f>SUBSTITUTE(IF(LEFT(A1137,3)="Câu",MID(A1137,FIND(".",A1137,1)+2,LEN(A1137)),""),CHAR(34),CHAR(92)&amp;CHAR(34))</f>
        <v>Niên hạn sử dụng của xe ô tô tải (tính bắt đầu từ năm sản xuất) không quá bao nhiêu năm?</v>
      </c>
      <c r="G1137" t="str">
        <f>SUBSTITUTE(B1138,CHAR(34),CHAR(92)&amp;CHAR(34))</f>
        <v>15 năm.</v>
      </c>
      <c r="H1137" t="str">
        <f>SUBSTITUTE(B1139,CHAR(34),CHAR(92)&amp;CHAR(34))</f>
        <v>20 năm.</v>
      </c>
      <c r="I1137" t="str">
        <f>SUBSTITUTE(IF(LEFT(A1140,3)="Câu","",B1140),CHAR(34),CHAR(92)&amp;CHAR(34))</f>
        <v xml:space="preserve"> 25 năm.</v>
      </c>
      <c r="J1137" t="str">
        <f>SUBSTITUTE(IF(OR(LEFT(A1141,3)="Câu",I1137=""),"",IF(B1141=0,"",B1141)),CHAR(34),CHAR(92)&amp;CHAR(34))</f>
        <v/>
      </c>
      <c r="K1137" t="str">
        <f ca="1">SUBSTITUTE(SUBSTITUTE(SUBSTITUTE(SUBSTITUTE(IFERROR(VLOOKUP("Câu "&amp;D1137&amp;".",dapan!$E:$J,6,0),""),"1","A"),"2","B"),"3","C"),"4","D")</f>
        <v>C</v>
      </c>
      <c r="P1137">
        <f t="shared" si="59"/>
        <v>277</v>
      </c>
      <c r="Q1137" t="str">
        <f t="shared" ca="1" si="60"/>
        <v>{"num":277,"id":277,"q":"Niên hạn sử dụng của xe ô tô tải (tính bắt đầu từ năm sản xuất) không quá bao nhiêu năm?","opts":{"A":"15 năm.","B":"20 năm.","C":" 25 năm."},"answer":"C"},</v>
      </c>
    </row>
    <row r="1138" spans="1:17" hidden="1" x14ac:dyDescent="0.25">
      <c r="A1138">
        <v>1</v>
      </c>
      <c r="B1138" t="s">
        <v>978</v>
      </c>
      <c r="C1138">
        <f>IFERROR(COUNTIFS($A$1:A1138,"Câu "&amp;"*")-MID(A1138,5,FIND(".",A1138,1)-5),0)</f>
        <v>0</v>
      </c>
      <c r="D1138" t="str">
        <f t="shared" si="61"/>
        <v/>
      </c>
      <c r="E1138" t="str">
        <f>SUBSTITUTE(IF(LEFT(A1138,3)="Câu",MID(A1138,FIND(".",A1138,1)+2,LEN(A1138)),""),CHAR(34),CHAR(92)&amp;CHAR(34))</f>
        <v/>
      </c>
      <c r="G1138" t="str">
        <f>SUBSTITUTE(B1139,CHAR(34),CHAR(92)&amp;CHAR(34))</f>
        <v>20 năm.</v>
      </c>
      <c r="H1138" t="str">
        <f>SUBSTITUTE(B1140,CHAR(34),CHAR(92)&amp;CHAR(34))</f>
        <v xml:space="preserve"> 25 năm.</v>
      </c>
      <c r="I1138" t="str">
        <f>SUBSTITUTE(IF(LEFT(A1141,3)="Câu","",B1141),CHAR(34),CHAR(92)&amp;CHAR(34))</f>
        <v/>
      </c>
      <c r="J1138" t="str">
        <f>SUBSTITUTE(IF(OR(LEFT(A1142,3)="Câu",I1138=""),"",IF(B1142=0,"",B1142)),CHAR(34),CHAR(92)&amp;CHAR(34))</f>
        <v/>
      </c>
      <c r="K1138" t="str">
        <f>SUBSTITUTE(SUBSTITUTE(SUBSTITUTE(SUBSTITUTE(IFERROR(VLOOKUP("Câu "&amp;D1138&amp;".",dapan!$E:$J,6,0),""),"1","A"),"2","B"),"3","C"),"4","D")</f>
        <v/>
      </c>
      <c r="P1138" t="str">
        <f t="shared" si="59"/>
        <v/>
      </c>
      <c r="Q1138" t="str">
        <f t="shared" si="60"/>
        <v/>
      </c>
    </row>
    <row r="1139" spans="1:17" hidden="1" x14ac:dyDescent="0.25">
      <c r="A1139">
        <v>2</v>
      </c>
      <c r="B1139" t="s">
        <v>979</v>
      </c>
      <c r="C1139">
        <f>IFERROR(COUNTIFS($A$1:A1139,"Câu "&amp;"*")-MID(A1139,5,FIND(".",A1139,1)-5),0)</f>
        <v>0</v>
      </c>
      <c r="D1139" t="str">
        <f t="shared" si="61"/>
        <v/>
      </c>
      <c r="E1139" t="str">
        <f>SUBSTITUTE(IF(LEFT(A1139,3)="Câu",MID(A1139,FIND(".",A1139,1)+2,LEN(A1139)),""),CHAR(34),CHAR(92)&amp;CHAR(34))</f>
        <v/>
      </c>
      <c r="G1139" t="str">
        <f>SUBSTITUTE(B1140,CHAR(34),CHAR(92)&amp;CHAR(34))</f>
        <v xml:space="preserve"> 25 năm.</v>
      </c>
      <c r="H1139" t="str">
        <f>SUBSTITUTE(B1141,CHAR(34),CHAR(92)&amp;CHAR(34))</f>
        <v/>
      </c>
      <c r="I1139" t="str">
        <f>SUBSTITUTE(IF(LEFT(A1142,3)="Câu","",B1142),CHAR(34),CHAR(92)&amp;CHAR(34))</f>
        <v>5 năm.</v>
      </c>
      <c r="J1139" t="str">
        <f>SUBSTITUTE(IF(OR(LEFT(A1143,3)="Câu",I1139=""),"",IF(B1143=0,"",B1143)),CHAR(34),CHAR(92)&amp;CHAR(34))</f>
        <v xml:space="preserve"> 20 năm.</v>
      </c>
      <c r="K1139" t="str">
        <f>SUBSTITUTE(SUBSTITUTE(SUBSTITUTE(SUBSTITUTE(IFERROR(VLOOKUP("Câu "&amp;D1139&amp;".",dapan!$E:$J,6,0),""),"1","A"),"2","B"),"3","C"),"4","D")</f>
        <v/>
      </c>
      <c r="P1139" t="str">
        <f t="shared" si="59"/>
        <v/>
      </c>
      <c r="Q1139" t="str">
        <f t="shared" si="60"/>
        <v/>
      </c>
    </row>
    <row r="1140" spans="1:17" hidden="1" x14ac:dyDescent="0.25">
      <c r="A1140">
        <v>3</v>
      </c>
      <c r="B1140" t="s">
        <v>980</v>
      </c>
      <c r="C1140">
        <f>IFERROR(COUNTIFS($A$1:A1140,"Câu "&amp;"*")-MID(A1140,5,FIND(".",A1140,1)-5),0)</f>
        <v>0</v>
      </c>
      <c r="D1140" t="str">
        <f t="shared" si="61"/>
        <v/>
      </c>
      <c r="E1140" t="str">
        <f>SUBSTITUTE(IF(LEFT(A1140,3)="Câu",MID(A1140,FIND(".",A1140,1)+2,LEN(A1140)),""),CHAR(34),CHAR(92)&amp;CHAR(34))</f>
        <v/>
      </c>
      <c r="G1140" t="str">
        <f>SUBSTITUTE(B1141,CHAR(34),CHAR(92)&amp;CHAR(34))</f>
        <v/>
      </c>
      <c r="H1140" t="str">
        <f>SUBSTITUTE(B1142,CHAR(34),CHAR(92)&amp;CHAR(34))</f>
        <v>5 năm.</v>
      </c>
      <c r="I1140" t="str">
        <f>SUBSTITUTE(IF(LEFT(A1143,3)="Câu","",B1143),CHAR(34),CHAR(92)&amp;CHAR(34))</f>
        <v xml:space="preserve"> 20 năm.</v>
      </c>
      <c r="J1140" t="str">
        <f>SUBSTITUTE(IF(OR(LEFT(A1144,3)="Câu",I1140=""),"",IF(B1144=0,"",B1144)),CHAR(34),CHAR(92)&amp;CHAR(34))</f>
        <v>25 năm.</v>
      </c>
      <c r="K1140" t="str">
        <f>SUBSTITUTE(SUBSTITUTE(SUBSTITUTE(SUBSTITUTE(IFERROR(VLOOKUP("Câu "&amp;D1140&amp;".",dapan!$E:$J,6,0),""),"1","A"),"2","B"),"3","C"),"4","D")</f>
        <v/>
      </c>
      <c r="P1140" t="str">
        <f t="shared" si="59"/>
        <v/>
      </c>
      <c r="Q1140" t="str">
        <f t="shared" si="60"/>
        <v/>
      </c>
    </row>
    <row r="1141" spans="1:17" x14ac:dyDescent="0.25">
      <c r="A1141" t="s">
        <v>981</v>
      </c>
      <c r="C1141">
        <f>IFERROR(COUNTIFS($A$1:A1141,"Câu "&amp;"*")-MID(A1141,5,FIND(".",A1141,1)-5),0)</f>
        <v>0</v>
      </c>
      <c r="D1141">
        <f t="shared" si="61"/>
        <v>278</v>
      </c>
      <c r="E1141" t="str">
        <f>SUBSTITUTE(IF(LEFT(A1141,3)="Câu",MID(A1141,FIND(".",A1141,1)+2,LEN(A1141)),""),CHAR(34),CHAR(92)&amp;CHAR(34))</f>
        <v>Niên hạn sử dụng của xe ô tô chở người trên 8 chỗ ngồi (không kể chỗ của người lái xe) tính bắt đầu từ năm sản xuất không quá bao nhiêu năm?</v>
      </c>
      <c r="G1141" t="str">
        <f>SUBSTITUTE(B1142,CHAR(34),CHAR(92)&amp;CHAR(34))</f>
        <v>5 năm.</v>
      </c>
      <c r="H1141" t="str">
        <f>SUBSTITUTE(B1143,CHAR(34),CHAR(92)&amp;CHAR(34))</f>
        <v xml:space="preserve"> 20 năm.</v>
      </c>
      <c r="I1141" t="str">
        <f>SUBSTITUTE(IF(LEFT(A1144,3)="Câu","",B1144),CHAR(34),CHAR(92)&amp;CHAR(34))</f>
        <v>25 năm.</v>
      </c>
      <c r="J1141" t="str">
        <f>SUBSTITUTE(IF(OR(LEFT(A1145,3)="Câu",I1141=""),"",IF(B1145=0,"",B1145)),CHAR(34),CHAR(92)&amp;CHAR(34))</f>
        <v/>
      </c>
      <c r="K1141" t="str">
        <f ca="1">SUBSTITUTE(SUBSTITUTE(SUBSTITUTE(SUBSTITUTE(IFERROR(VLOOKUP("Câu "&amp;D1141&amp;".",dapan!$E:$J,6,0),""),"1","A"),"2","B"),"3","C"),"4","D")</f>
        <v>B</v>
      </c>
      <c r="P1141">
        <f t="shared" si="59"/>
        <v>278</v>
      </c>
      <c r="Q1141" t="str">
        <f t="shared" ca="1" si="60"/>
        <v>{"num":278,"id":278,"q":"Niên hạn sử dụng của xe ô tô chở người trên 8 chỗ ngồi (không kể chỗ của người lái xe) tính bắt đầu từ năm sản xuất không quá bao nhiêu năm?","opts":{"A":"5 năm.","B":" 20 năm.","C":"25 năm."},"answer":"B"},</v>
      </c>
    </row>
    <row r="1142" spans="1:17" hidden="1" x14ac:dyDescent="0.25">
      <c r="A1142">
        <v>1</v>
      </c>
      <c r="B1142" t="s">
        <v>982</v>
      </c>
      <c r="C1142">
        <f>IFERROR(COUNTIFS($A$1:A1142,"Câu "&amp;"*")-MID(A1142,5,FIND(".",A1142,1)-5),0)</f>
        <v>0</v>
      </c>
      <c r="D1142" t="str">
        <f t="shared" si="61"/>
        <v/>
      </c>
      <c r="E1142" t="str">
        <f>SUBSTITUTE(IF(LEFT(A1142,3)="Câu",MID(A1142,FIND(".",A1142,1)+2,LEN(A1142)),""),CHAR(34),CHAR(92)&amp;CHAR(34))</f>
        <v/>
      </c>
      <c r="G1142" t="str">
        <f>SUBSTITUTE(B1143,CHAR(34),CHAR(92)&amp;CHAR(34))</f>
        <v xml:space="preserve"> 20 năm.</v>
      </c>
      <c r="H1142" t="str">
        <f>SUBSTITUTE(B1144,CHAR(34),CHAR(92)&amp;CHAR(34))</f>
        <v>25 năm.</v>
      </c>
      <c r="I1142" t="str">
        <f>SUBSTITUTE(IF(LEFT(A1145,3)="Câu","",B1145),CHAR(34),CHAR(92)&amp;CHAR(34))</f>
        <v/>
      </c>
      <c r="J1142" t="str">
        <f>SUBSTITUTE(IF(OR(LEFT(A1146,3)="Câu",I1142=""),"",IF(B1146=0,"",B1146)),CHAR(34),CHAR(92)&amp;CHAR(34))</f>
        <v/>
      </c>
      <c r="K1142" t="str">
        <f>SUBSTITUTE(SUBSTITUTE(SUBSTITUTE(SUBSTITUTE(IFERROR(VLOOKUP("Câu "&amp;D1142&amp;".",dapan!$E:$J,6,0),""),"1","A"),"2","B"),"3","C"),"4","D")</f>
        <v/>
      </c>
      <c r="P1142" t="str">
        <f t="shared" si="59"/>
        <v/>
      </c>
      <c r="Q1142" t="str">
        <f t="shared" si="60"/>
        <v/>
      </c>
    </row>
    <row r="1143" spans="1:17" hidden="1" x14ac:dyDescent="0.25">
      <c r="A1143">
        <v>2</v>
      </c>
      <c r="B1143" t="s">
        <v>983</v>
      </c>
      <c r="C1143">
        <f>IFERROR(COUNTIFS($A$1:A1143,"Câu "&amp;"*")-MID(A1143,5,FIND(".",A1143,1)-5),0)</f>
        <v>0</v>
      </c>
      <c r="D1143" t="str">
        <f t="shared" si="61"/>
        <v/>
      </c>
      <c r="E1143" t="str">
        <f>SUBSTITUTE(IF(LEFT(A1143,3)="Câu",MID(A1143,FIND(".",A1143,1)+2,LEN(A1143)),""),CHAR(34),CHAR(92)&amp;CHAR(34))</f>
        <v/>
      </c>
      <c r="G1143" t="str">
        <f>SUBSTITUTE(B1144,CHAR(34),CHAR(92)&amp;CHAR(34))</f>
        <v>25 năm.</v>
      </c>
      <c r="H1143" t="str">
        <f>SUBSTITUTE(B1145,CHAR(34),CHAR(92)&amp;CHAR(34))</f>
        <v/>
      </c>
      <c r="I1143" t="str">
        <f>SUBSTITUTE(IF(LEFT(A1146,3)="Câu","",B1146),CHAR(34),CHAR(92)&amp;CHAR(34))</f>
        <v xml:space="preserve"> Khi làm việc, nhiệt năng được biến đổi thành cơ năng làm trục khủy động cơ quay, truyền lực đến các bánh xe chủ động tạo ra chuyển động tịnh tiến cho xe ô tô.</v>
      </c>
      <c r="J1143" t="str">
        <f>SUBSTITUTE(IF(OR(LEFT(A1147,3)="Câu",I1143=""),"",IF(B1147=0,"",B1147)),CHAR(34),CHAR(92)&amp;CHAR(34))</f>
        <v>Khi làm việc, cơ năng được biến đổi thành nhiệt năng và truyền đến các bánh xe chủ động tạo ra chuyển động tịnh tiến cho xe ô tô.</v>
      </c>
      <c r="K1143" t="str">
        <f>SUBSTITUTE(SUBSTITUTE(SUBSTITUTE(SUBSTITUTE(IFERROR(VLOOKUP("Câu "&amp;D1143&amp;".",dapan!$E:$J,6,0),""),"1","A"),"2","B"),"3","C"),"4","D")</f>
        <v/>
      </c>
      <c r="P1143" t="str">
        <f t="shared" si="59"/>
        <v/>
      </c>
      <c r="Q1143" t="str">
        <f t="shared" si="60"/>
        <v/>
      </c>
    </row>
    <row r="1144" spans="1:17" hidden="1" x14ac:dyDescent="0.25">
      <c r="A1144">
        <v>3</v>
      </c>
      <c r="B1144" t="s">
        <v>984</v>
      </c>
      <c r="C1144">
        <f>IFERROR(COUNTIFS($A$1:A1144,"Câu "&amp;"*")-MID(A1144,5,FIND(".",A1144,1)-5),0)</f>
        <v>0</v>
      </c>
      <c r="D1144" t="str">
        <f t="shared" si="61"/>
        <v/>
      </c>
      <c r="E1144" t="str">
        <f>SUBSTITUTE(IF(LEFT(A1144,3)="Câu",MID(A1144,FIND(".",A1144,1)+2,LEN(A1144)),""),CHAR(34),CHAR(92)&amp;CHAR(34))</f>
        <v/>
      </c>
      <c r="G1144" t="str">
        <f>SUBSTITUTE(B1145,CHAR(34),CHAR(92)&amp;CHAR(34))</f>
        <v/>
      </c>
      <c r="H1144" t="str">
        <f>SUBSTITUTE(B1146,CHAR(34),CHAR(92)&amp;CHAR(34))</f>
        <v xml:space="preserve"> Khi làm việc, nhiệt năng được biến đổi thành cơ năng làm trục khủy động cơ quay, truyền lực đến các bánh xe chủ động tạo ra chuyển động tịnh tiến cho xe ô tô.</v>
      </c>
      <c r="I1144" t="str">
        <f>SUBSTITUTE(IF(LEFT(A1147,3)="Câu","",B1147),CHAR(34),CHAR(92)&amp;CHAR(34))</f>
        <v>Khi làm việc, cơ năng được biến đổi thành nhiệt năng và truyền đến các bánh xe chủ động tạo ra chuyển động tịnh tiến cho xe ô tô.</v>
      </c>
      <c r="J1144" t="str">
        <f>SUBSTITUTE(IF(OR(LEFT(A1148,3)="Câu",I1144=""),"",IF(B1148=0,"",B1148)),CHAR(34),CHAR(92)&amp;CHAR(34))</f>
        <v>Cả hai ý trên.</v>
      </c>
      <c r="K1144" t="str">
        <f>SUBSTITUTE(SUBSTITUTE(SUBSTITUTE(SUBSTITUTE(IFERROR(VLOOKUP("Câu "&amp;D1144&amp;".",dapan!$E:$J,6,0),""),"1","A"),"2","B"),"3","C"),"4","D")</f>
        <v/>
      </c>
      <c r="P1144" t="str">
        <f t="shared" si="59"/>
        <v/>
      </c>
      <c r="Q1144" t="str">
        <f t="shared" si="60"/>
        <v/>
      </c>
    </row>
    <row r="1145" spans="1:17" x14ac:dyDescent="0.25">
      <c r="A1145" t="s">
        <v>985</v>
      </c>
      <c r="C1145">
        <f>IFERROR(COUNTIFS($A$1:A1145,"Câu "&amp;"*")-MID(A1145,5,FIND(".",A1145,1)-5),0)</f>
        <v>0</v>
      </c>
      <c r="D1145">
        <f t="shared" si="61"/>
        <v>279</v>
      </c>
      <c r="E1145" t="str">
        <f>SUBSTITUTE(IF(LEFT(A1145,3)="Câu",MID(A1145,FIND(".",A1145,1)+2,LEN(A1145)),""),CHAR(34),CHAR(92)&amp;CHAR(34))</f>
        <v>Hãy nêu công dụng của động cơ xe ô tô?</v>
      </c>
      <c r="G1145" t="str">
        <f>SUBSTITUTE(B1146,CHAR(34),CHAR(92)&amp;CHAR(34))</f>
        <v xml:space="preserve"> Khi làm việc, nhiệt năng được biến đổi thành cơ năng làm trục khủy động cơ quay, truyền lực đến các bánh xe chủ động tạo ra chuyển động tịnh tiến cho xe ô tô.</v>
      </c>
      <c r="H1145" t="str">
        <f>SUBSTITUTE(B1147,CHAR(34),CHAR(92)&amp;CHAR(34))</f>
        <v>Khi làm việc, cơ năng được biến đổi thành nhiệt năng và truyền đến các bánh xe chủ động tạo ra chuyển động tịnh tiến cho xe ô tô.</v>
      </c>
      <c r="I1145" t="str">
        <f>SUBSTITUTE(IF(LEFT(A1148,3)="Câu","",B1148),CHAR(34),CHAR(92)&amp;CHAR(34))</f>
        <v>Cả hai ý trên.</v>
      </c>
      <c r="J1145" t="str">
        <f>SUBSTITUTE(IF(OR(LEFT(A1149,3)="Câu",I1145=""),"",IF(B1149=0,"",B1149)),CHAR(34),CHAR(92)&amp;CHAR(34))</f>
        <v/>
      </c>
      <c r="K1145" t="str">
        <f ca="1">SUBSTITUTE(SUBSTITUTE(SUBSTITUTE(SUBSTITUTE(IFERROR(VLOOKUP("Câu "&amp;D1145&amp;".",dapan!$E:$J,6,0),""),"1","A"),"2","B"),"3","C"),"4","D")</f>
        <v>A</v>
      </c>
      <c r="P1145">
        <f t="shared" si="59"/>
        <v>279</v>
      </c>
      <c r="Q1145" t="str">
        <f t="shared" ca="1" si="60"/>
        <v>{"num":279,"id":279,"q":"Hãy nêu công dụng của động cơ xe ô tô?","opts":{"A":" Khi làm việc, nhiệt năng được biến đổi thành cơ năng làm trục khủy động cơ quay, truyền lực đến các bánh xe chủ động tạo ra chuyển động tịnh tiến cho xe ô tô.","B":"Khi làm việc, cơ năng được biến đổi thành nhiệt năng và truyền đến các bánh xe chủ động tạo ra chuyển động tịnh tiến cho xe ô tô.","C":"Cả hai ý trên."},"answer":"A"},</v>
      </c>
    </row>
    <row r="1146" spans="1:17" hidden="1" x14ac:dyDescent="0.25">
      <c r="A1146">
        <v>1</v>
      </c>
      <c r="B1146" t="s">
        <v>986</v>
      </c>
      <c r="C1146">
        <f>IFERROR(COUNTIFS($A$1:A1146,"Câu "&amp;"*")-MID(A1146,5,FIND(".",A1146,1)-5),0)</f>
        <v>0</v>
      </c>
      <c r="D1146" t="str">
        <f t="shared" si="61"/>
        <v/>
      </c>
      <c r="E1146" t="str">
        <f>SUBSTITUTE(IF(LEFT(A1146,3)="Câu",MID(A1146,FIND(".",A1146,1)+2,LEN(A1146)),""),CHAR(34),CHAR(92)&amp;CHAR(34))</f>
        <v/>
      </c>
      <c r="G1146" t="str">
        <f>SUBSTITUTE(B1147,CHAR(34),CHAR(92)&amp;CHAR(34))</f>
        <v>Khi làm việc, cơ năng được biến đổi thành nhiệt năng và truyền đến các bánh xe chủ động tạo ra chuyển động tịnh tiến cho xe ô tô.</v>
      </c>
      <c r="H1146" t="str">
        <f>SUBSTITUTE(B1148,CHAR(34),CHAR(92)&amp;CHAR(34))</f>
        <v>Cả hai ý trên.</v>
      </c>
      <c r="I1146" t="str">
        <f>SUBSTITUTE(IF(LEFT(A1149,3)="Câu","",B1149),CHAR(34),CHAR(92)&amp;CHAR(34))</f>
        <v/>
      </c>
      <c r="J1146" t="str">
        <f>SUBSTITUTE(IF(OR(LEFT(A1150,3)="Câu",I1146=""),"",IF(B1150=0,"",B1150)),CHAR(34),CHAR(92)&amp;CHAR(34))</f>
        <v/>
      </c>
      <c r="K1146" t="str">
        <f>SUBSTITUTE(SUBSTITUTE(SUBSTITUTE(SUBSTITUTE(IFERROR(VLOOKUP("Câu "&amp;D1146&amp;".",dapan!$E:$J,6,0),""),"1","A"),"2","B"),"3","C"),"4","D")</f>
        <v/>
      </c>
      <c r="P1146" t="str">
        <f t="shared" si="59"/>
        <v/>
      </c>
      <c r="Q1146" t="str">
        <f t="shared" si="60"/>
        <v/>
      </c>
    </row>
    <row r="1147" spans="1:17" hidden="1" x14ac:dyDescent="0.25">
      <c r="A1147">
        <v>2</v>
      </c>
      <c r="B1147" t="s">
        <v>987</v>
      </c>
      <c r="C1147">
        <f>IFERROR(COUNTIFS($A$1:A1147,"Câu "&amp;"*")-MID(A1147,5,FIND(".",A1147,1)-5),0)</f>
        <v>0</v>
      </c>
      <c r="D1147" t="str">
        <f t="shared" si="61"/>
        <v/>
      </c>
      <c r="E1147" t="str">
        <f>SUBSTITUTE(IF(LEFT(A1147,3)="Câu",MID(A1147,FIND(".",A1147,1)+2,LEN(A1147)),""),CHAR(34),CHAR(92)&amp;CHAR(34))</f>
        <v/>
      </c>
      <c r="G1147" t="str">
        <f>SUBSTITUTE(B1148,CHAR(34),CHAR(92)&amp;CHAR(34))</f>
        <v>Cả hai ý trên.</v>
      </c>
      <c r="H1147" t="str">
        <f>SUBSTITUTE(B1149,CHAR(34),CHAR(92)&amp;CHAR(34))</f>
        <v/>
      </c>
      <c r="I1147" t="str">
        <f>SUBSTITUTE(IF(LEFT(A1150,3)="Câu","",B1150),CHAR(34),CHAR(92)&amp;CHAR(34))</f>
        <v xml:space="preserve"> Dùng để truyền mô men quay từ động cơ tới các bánh xe chủ động của xe ô tô.</v>
      </c>
      <c r="J1147" t="str">
        <f>SUBSTITUTE(IF(OR(LEFT(A1151,3)="Câu",I1147=""),"",IF(B1151=0,"",B1151)),CHAR(34),CHAR(92)&amp;CHAR(34))</f>
        <v>Dùng để thay đổi hướng chuyển động hoặc giữ cho xe ô tô chuyển động ổn định theo hướng xác định.</v>
      </c>
      <c r="K1147" t="str">
        <f>SUBSTITUTE(SUBSTITUTE(SUBSTITUTE(SUBSTITUTE(IFERROR(VLOOKUP("Câu "&amp;D1147&amp;".",dapan!$E:$J,6,0),""),"1","A"),"2","B"),"3","C"),"4","D")</f>
        <v/>
      </c>
      <c r="P1147" t="str">
        <f t="shared" si="59"/>
        <v/>
      </c>
      <c r="Q1147" t="str">
        <f t="shared" si="60"/>
        <v/>
      </c>
    </row>
    <row r="1148" spans="1:17" hidden="1" x14ac:dyDescent="0.25">
      <c r="A1148">
        <v>3</v>
      </c>
      <c r="B1148" t="s">
        <v>18</v>
      </c>
      <c r="C1148">
        <f>IFERROR(COUNTIFS($A$1:A1148,"Câu "&amp;"*")-MID(A1148,5,FIND(".",A1148,1)-5),0)</f>
        <v>0</v>
      </c>
      <c r="D1148" t="str">
        <f t="shared" si="61"/>
        <v/>
      </c>
      <c r="E1148" t="str">
        <f>SUBSTITUTE(IF(LEFT(A1148,3)="Câu",MID(A1148,FIND(".",A1148,1)+2,LEN(A1148)),""),CHAR(34),CHAR(92)&amp;CHAR(34))</f>
        <v/>
      </c>
      <c r="G1148" t="str">
        <f>SUBSTITUTE(B1149,CHAR(34),CHAR(92)&amp;CHAR(34))</f>
        <v/>
      </c>
      <c r="H1148" t="str">
        <f>SUBSTITUTE(B1150,CHAR(34),CHAR(92)&amp;CHAR(34))</f>
        <v xml:space="preserve"> Dùng để truyền mô men quay từ động cơ tới các bánh xe chủ động của xe ô tô.</v>
      </c>
      <c r="I1148" t="str">
        <f>SUBSTITUTE(IF(LEFT(A1151,3)="Câu","",B1151),CHAR(34),CHAR(92)&amp;CHAR(34))</f>
        <v>Dùng để thay đổi hướng chuyển động hoặc giữ cho xe ô tô chuyển động ổn định theo hướng xác định.</v>
      </c>
      <c r="J1148" t="str">
        <f>SUBSTITUTE(IF(OR(LEFT(A1152,3)="Câu",I1148=""),"",IF(B1152=0,"",B1152)),CHAR(34),CHAR(92)&amp;CHAR(34))</f>
        <v>Dùng để làm giảm tốc độ, dừng chuyển động của xe ô tô.</v>
      </c>
      <c r="K1148" t="str">
        <f>SUBSTITUTE(SUBSTITUTE(SUBSTITUTE(SUBSTITUTE(IFERROR(VLOOKUP("Câu "&amp;D1148&amp;".",dapan!$E:$J,6,0),""),"1","A"),"2","B"),"3","C"),"4","D")</f>
        <v/>
      </c>
      <c r="P1148" t="str">
        <f t="shared" si="59"/>
        <v/>
      </c>
      <c r="Q1148" t="str">
        <f t="shared" si="60"/>
        <v/>
      </c>
    </row>
    <row r="1149" spans="1:17" x14ac:dyDescent="0.25">
      <c r="A1149" t="s">
        <v>988</v>
      </c>
      <c r="C1149">
        <f>IFERROR(COUNTIFS($A$1:A1149,"Câu "&amp;"*")-MID(A1149,5,FIND(".",A1149,1)-5),0)</f>
        <v>0</v>
      </c>
      <c r="D1149">
        <f t="shared" si="61"/>
        <v>280</v>
      </c>
      <c r="E1149" t="str">
        <f>SUBSTITUTE(IF(LEFT(A1149,3)="Câu",MID(A1149,FIND(".",A1149,1)+2,LEN(A1149)),""),CHAR(34),CHAR(92)&amp;CHAR(34))</f>
        <v>Hãy nêu công dụng hệ thống truyền lực của xe ô tô?</v>
      </c>
      <c r="G1149" t="str">
        <f>SUBSTITUTE(B1150,CHAR(34),CHAR(92)&amp;CHAR(34))</f>
        <v xml:space="preserve"> Dùng để truyền mô men quay từ động cơ tới các bánh xe chủ động của xe ô tô.</v>
      </c>
      <c r="H1149" t="str">
        <f>SUBSTITUTE(B1151,CHAR(34),CHAR(92)&amp;CHAR(34))</f>
        <v>Dùng để thay đổi hướng chuyển động hoặc giữ cho xe ô tô chuyển động ổn định theo hướng xác định.</v>
      </c>
      <c r="I1149" t="str">
        <f>SUBSTITUTE(IF(LEFT(A1152,3)="Câu","",B1152),CHAR(34),CHAR(92)&amp;CHAR(34))</f>
        <v>Dùng để làm giảm tốc độ, dừng chuyển động của xe ô tô.</v>
      </c>
      <c r="J1149" t="str">
        <f>SUBSTITUTE(IF(OR(LEFT(A1153,3)="Câu",I1149=""),"",IF(B1153=0,"",B1153)),CHAR(34),CHAR(92)&amp;CHAR(34))</f>
        <v/>
      </c>
      <c r="K1149" t="str">
        <f ca="1">SUBSTITUTE(SUBSTITUTE(SUBSTITUTE(SUBSTITUTE(IFERROR(VLOOKUP("Câu "&amp;D1149&amp;".",dapan!$E:$J,6,0),""),"1","A"),"2","B"),"3","C"),"4","D")</f>
        <v>A</v>
      </c>
      <c r="P1149">
        <f t="shared" si="59"/>
        <v>280</v>
      </c>
      <c r="Q1149" t="str">
        <f t="shared" ca="1" si="60"/>
        <v>{"num":280,"id":280,"q":"Hãy nêu công dụng hệ thống truyền lực của xe ô tô?","opts":{"A":" Dùng để truyền mô men quay từ động cơ tới các bánh xe chủ động của xe ô tô.","B":"Dùng để thay đổi hướng chuyển động hoặc giữ cho xe ô tô chuyển động ổn định theo hướng xác định.","C":"Dùng để làm giảm tốc độ, dừng chuyển động của xe ô tô."},"answer":"A"},</v>
      </c>
    </row>
    <row r="1150" spans="1:17" hidden="1" x14ac:dyDescent="0.25">
      <c r="A1150">
        <v>1</v>
      </c>
      <c r="B1150" t="s">
        <v>989</v>
      </c>
      <c r="C1150">
        <f>IFERROR(COUNTIFS($A$1:A1150,"Câu "&amp;"*")-MID(A1150,5,FIND(".",A1150,1)-5),0)</f>
        <v>0</v>
      </c>
      <c r="D1150" t="str">
        <f t="shared" si="61"/>
        <v/>
      </c>
      <c r="E1150" t="str">
        <f>SUBSTITUTE(IF(LEFT(A1150,3)="Câu",MID(A1150,FIND(".",A1150,1)+2,LEN(A1150)),""),CHAR(34),CHAR(92)&amp;CHAR(34))</f>
        <v/>
      </c>
      <c r="G1150" t="str">
        <f>SUBSTITUTE(B1151,CHAR(34),CHAR(92)&amp;CHAR(34))</f>
        <v>Dùng để thay đổi hướng chuyển động hoặc giữ cho xe ô tô chuyển động ổn định theo hướng xác định.</v>
      </c>
      <c r="H1150" t="str">
        <f>SUBSTITUTE(B1152,CHAR(34),CHAR(92)&amp;CHAR(34))</f>
        <v>Dùng để làm giảm tốc độ, dừng chuyển động của xe ô tô.</v>
      </c>
      <c r="I1150" t="str">
        <f>SUBSTITUTE(IF(LEFT(A1153,3)="Câu","",B1153),CHAR(34),CHAR(92)&amp;CHAR(34))</f>
        <v/>
      </c>
      <c r="J1150" t="str">
        <f>SUBSTITUTE(IF(OR(LEFT(A1154,3)="Câu",I1150=""),"",IF(B1154=0,"",B1154)),CHAR(34),CHAR(92)&amp;CHAR(34))</f>
        <v/>
      </c>
      <c r="K1150" t="str">
        <f>SUBSTITUTE(SUBSTITUTE(SUBSTITUTE(SUBSTITUTE(IFERROR(VLOOKUP("Câu "&amp;D1150&amp;".",dapan!$E:$J,6,0),""),"1","A"),"2","B"),"3","C"),"4","D")</f>
        <v/>
      </c>
      <c r="P1150" t="str">
        <f t="shared" si="59"/>
        <v/>
      </c>
      <c r="Q1150" t="str">
        <f t="shared" si="60"/>
        <v/>
      </c>
    </row>
    <row r="1151" spans="1:17" hidden="1" x14ac:dyDescent="0.25">
      <c r="A1151">
        <v>2</v>
      </c>
      <c r="B1151" t="s">
        <v>990</v>
      </c>
      <c r="C1151">
        <f>IFERROR(COUNTIFS($A$1:A1151,"Câu "&amp;"*")-MID(A1151,5,FIND(".",A1151,1)-5),0)</f>
        <v>0</v>
      </c>
      <c r="D1151" t="str">
        <f t="shared" si="61"/>
        <v/>
      </c>
      <c r="E1151" t="str">
        <f>SUBSTITUTE(IF(LEFT(A1151,3)="Câu",MID(A1151,FIND(".",A1151,1)+2,LEN(A1151)),""),CHAR(34),CHAR(92)&amp;CHAR(34))</f>
        <v/>
      </c>
      <c r="G1151" t="str">
        <f>SUBSTITUTE(B1152,CHAR(34),CHAR(92)&amp;CHAR(34))</f>
        <v>Dùng để làm giảm tốc độ, dừng chuyển động của xe ô tô.</v>
      </c>
      <c r="H1151" t="str">
        <f>SUBSTITUTE(B1153,CHAR(34),CHAR(92)&amp;CHAR(34))</f>
        <v/>
      </c>
      <c r="I1151" t="str">
        <f>SUBSTITUTE(IF(LEFT(A1154,3)="Câu","",B1154),CHAR(34),CHAR(92)&amp;CHAR(34))</f>
        <v>Dùng để truyền mô men xoắn giữa các trục không cùng nằm trên một đường thẳng và góc lệch trục luôn thay đổi trong quá trình xe ô tô chuyển động.</v>
      </c>
      <c r="J1151" t="str">
        <f>SUBSTITUTE(IF(OR(LEFT(A1155,3)="Câu",I1151=""),"",IF(B1155=0,"",B1155)),CHAR(34),CHAR(92)&amp;CHAR(34))</f>
        <v xml:space="preserve"> Dùng để truyền hoặc ngắt truyền động từ động cơ đến hộp số của xe ô tô.</v>
      </c>
      <c r="K1151" t="str">
        <f>SUBSTITUTE(SUBSTITUTE(SUBSTITUTE(SUBSTITUTE(IFERROR(VLOOKUP("Câu "&amp;D1151&amp;".",dapan!$E:$J,6,0),""),"1","A"),"2","B"),"3","C"),"4","D")</f>
        <v/>
      </c>
      <c r="P1151" t="str">
        <f t="shared" si="59"/>
        <v/>
      </c>
      <c r="Q1151" t="str">
        <f t="shared" si="60"/>
        <v/>
      </c>
    </row>
    <row r="1152" spans="1:17" hidden="1" x14ac:dyDescent="0.25">
      <c r="A1152">
        <v>3</v>
      </c>
      <c r="B1152" t="s">
        <v>991</v>
      </c>
      <c r="C1152">
        <f>IFERROR(COUNTIFS($A$1:A1152,"Câu "&amp;"*")-MID(A1152,5,FIND(".",A1152,1)-5),0)</f>
        <v>0</v>
      </c>
      <c r="D1152" t="str">
        <f t="shared" si="61"/>
        <v/>
      </c>
      <c r="E1152" t="str">
        <f>SUBSTITUTE(IF(LEFT(A1152,3)="Câu",MID(A1152,FIND(".",A1152,1)+2,LEN(A1152)),""),CHAR(34),CHAR(92)&amp;CHAR(34))</f>
        <v/>
      </c>
      <c r="G1152" t="str">
        <f>SUBSTITUTE(B1153,CHAR(34),CHAR(92)&amp;CHAR(34))</f>
        <v/>
      </c>
      <c r="H1152" t="str">
        <f>SUBSTITUTE(B1154,CHAR(34),CHAR(92)&amp;CHAR(34))</f>
        <v>Dùng để truyền mô men xoắn giữa các trục không cùng nằm trên một đường thẳng và góc lệch trục luôn thay đổi trong quá trình xe ô tô chuyển động.</v>
      </c>
      <c r="I1152" t="str">
        <f>SUBSTITUTE(IF(LEFT(A1155,3)="Câu","",B1155),CHAR(34),CHAR(92)&amp;CHAR(34))</f>
        <v xml:space="preserve"> Dùng để truyền hoặc ngắt truyền động từ động cơ đến hộp số của xe ô tô.</v>
      </c>
      <c r="J1152" t="str">
        <f>SUBSTITUTE(IF(OR(LEFT(A1156,3)="Câu",I1152=""),"",IF(B1156=0,"",B1156)),CHAR(34),CHAR(92)&amp;CHAR(34))</f>
        <v>Dùng để truyền truyền động từ hộp số đến bánh xe chủ động của ô tô.</v>
      </c>
      <c r="K1152" t="str">
        <f>SUBSTITUTE(SUBSTITUTE(SUBSTITUTE(SUBSTITUTE(IFERROR(VLOOKUP("Câu "&amp;D1152&amp;".",dapan!$E:$J,6,0),""),"1","A"),"2","B"),"3","C"),"4","D")</f>
        <v/>
      </c>
      <c r="P1152" t="str">
        <f t="shared" si="59"/>
        <v/>
      </c>
      <c r="Q1152" t="str">
        <f t="shared" si="60"/>
        <v/>
      </c>
    </row>
    <row r="1153" spans="1:17" x14ac:dyDescent="0.25">
      <c r="A1153" t="s">
        <v>992</v>
      </c>
      <c r="C1153">
        <f>IFERROR(COUNTIFS($A$1:A1153,"Câu "&amp;"*")-MID(A1153,5,FIND(".",A1153,1)-5),0)</f>
        <v>0</v>
      </c>
      <c r="D1153">
        <f t="shared" si="61"/>
        <v>281</v>
      </c>
      <c r="E1153" t="str">
        <f>SUBSTITUTE(IF(LEFT(A1153,3)="Câu",MID(A1153,FIND(".",A1153,1)+2,LEN(A1153)),""),CHAR(34),CHAR(92)&amp;CHAR(34))</f>
        <v>Hãy nêu công dụng ly hợp (côn) của xe ô tô?</v>
      </c>
      <c r="G1153" t="str">
        <f>SUBSTITUTE(B1154,CHAR(34),CHAR(92)&amp;CHAR(34))</f>
        <v>Dùng để truyền mô men xoắn giữa các trục không cùng nằm trên một đường thẳng và góc lệch trục luôn thay đổi trong quá trình xe ô tô chuyển động.</v>
      </c>
      <c r="H1153" t="str">
        <f>SUBSTITUTE(B1155,CHAR(34),CHAR(92)&amp;CHAR(34))</f>
        <v xml:space="preserve"> Dùng để truyền hoặc ngắt truyền động từ động cơ đến hộp số của xe ô tô.</v>
      </c>
      <c r="I1153" t="str">
        <f>SUBSTITUTE(IF(LEFT(A1156,3)="Câu","",B1156),CHAR(34),CHAR(92)&amp;CHAR(34))</f>
        <v>Dùng để truyền truyền động từ hộp số đến bánh xe chủ động của ô tô.</v>
      </c>
      <c r="J1153" t="str">
        <f>SUBSTITUTE(IF(OR(LEFT(A1157,3)="Câu",I1153=""),"",IF(B1157=0,"",B1157)),CHAR(34),CHAR(92)&amp;CHAR(34))</f>
        <v/>
      </c>
      <c r="K1153" t="str">
        <f ca="1">SUBSTITUTE(SUBSTITUTE(SUBSTITUTE(SUBSTITUTE(IFERROR(VLOOKUP("Câu "&amp;D1153&amp;".",dapan!$E:$J,6,0),""),"1","A"),"2","B"),"3","C"),"4","D")</f>
        <v>B</v>
      </c>
      <c r="P1153">
        <f t="shared" si="59"/>
        <v>281</v>
      </c>
      <c r="Q1153" t="str">
        <f t="shared" ca="1" si="60"/>
        <v>{"num":281,"id":281,"q":"Hãy nêu công dụng ly hợp (côn) của xe ô tô?","opts":{"A":"Dùng để truyền mô men xoắn giữa các trục không cùng nằm trên một đường thẳng và góc lệch trục luôn thay đổi trong quá trình xe ô tô chuyển động.","B":" Dùng để truyền hoặc ngắt truyền động từ động cơ đến hộp số của xe ô tô.","C":"Dùng để truyền truyền động từ hộp số đến bánh xe chủ động của ô tô."},"answer":"B"},</v>
      </c>
    </row>
    <row r="1154" spans="1:17" hidden="1" x14ac:dyDescent="0.25">
      <c r="A1154">
        <v>1</v>
      </c>
      <c r="B1154" t="s">
        <v>993</v>
      </c>
      <c r="C1154">
        <f>IFERROR(COUNTIFS($A$1:A1154,"Câu "&amp;"*")-MID(A1154,5,FIND(".",A1154,1)-5),0)</f>
        <v>0</v>
      </c>
      <c r="D1154" t="str">
        <f t="shared" si="61"/>
        <v/>
      </c>
      <c r="E1154" t="str">
        <f>SUBSTITUTE(IF(LEFT(A1154,3)="Câu",MID(A1154,FIND(".",A1154,1)+2,LEN(A1154)),""),CHAR(34),CHAR(92)&amp;CHAR(34))</f>
        <v/>
      </c>
      <c r="G1154" t="str">
        <f>SUBSTITUTE(B1155,CHAR(34),CHAR(92)&amp;CHAR(34))</f>
        <v xml:space="preserve"> Dùng để truyền hoặc ngắt truyền động từ động cơ đến hộp số của xe ô tô.</v>
      </c>
      <c r="H1154" t="str">
        <f>SUBSTITUTE(B1156,CHAR(34),CHAR(92)&amp;CHAR(34))</f>
        <v>Dùng để truyền truyền động từ hộp số đến bánh xe chủ động của ô tô.</v>
      </c>
      <c r="I1154" t="str">
        <f>SUBSTITUTE(IF(LEFT(A1157,3)="Câu","",B1157),CHAR(34),CHAR(92)&amp;CHAR(34))</f>
        <v/>
      </c>
      <c r="J1154" t="str">
        <f>SUBSTITUTE(IF(OR(LEFT(A1158,3)="Câu",I1154=""),"",IF(B1158=0,"",B1158)),CHAR(34),CHAR(92)&amp;CHAR(34))</f>
        <v/>
      </c>
      <c r="K1154" t="str">
        <f>SUBSTITUTE(SUBSTITUTE(SUBSTITUTE(SUBSTITUTE(IFERROR(VLOOKUP("Câu "&amp;D1154&amp;".",dapan!$E:$J,6,0),""),"1","A"),"2","B"),"3","C"),"4","D")</f>
        <v/>
      </c>
      <c r="P1154" t="str">
        <f t="shared" si="59"/>
        <v/>
      </c>
      <c r="Q1154" t="str">
        <f t="shared" si="60"/>
        <v/>
      </c>
    </row>
    <row r="1155" spans="1:17" hidden="1" x14ac:dyDescent="0.25">
      <c r="A1155">
        <v>2</v>
      </c>
      <c r="B1155" t="s">
        <v>994</v>
      </c>
      <c r="C1155">
        <f>IFERROR(COUNTIFS($A$1:A1155,"Câu "&amp;"*")-MID(A1155,5,FIND(".",A1155,1)-5),0)</f>
        <v>0</v>
      </c>
      <c r="D1155" t="str">
        <f t="shared" si="61"/>
        <v/>
      </c>
      <c r="E1155" t="str">
        <f>SUBSTITUTE(IF(LEFT(A1155,3)="Câu",MID(A1155,FIND(".",A1155,1)+2,LEN(A1155)),""),CHAR(34),CHAR(92)&amp;CHAR(34))</f>
        <v/>
      </c>
      <c r="G1155" t="str">
        <f>SUBSTITUTE(B1156,CHAR(34),CHAR(92)&amp;CHAR(34))</f>
        <v>Dùng để truyền truyền động từ hộp số đến bánh xe chủ động của ô tô.</v>
      </c>
      <c r="H1155" t="str">
        <f>SUBSTITUTE(B1157,CHAR(34),CHAR(92)&amp;CHAR(34))</f>
        <v/>
      </c>
      <c r="I1155" t="str">
        <f>SUBSTITUTE(IF(LEFT(A1158,3)="Câu","",B1158),CHAR(34),CHAR(92)&amp;CHAR(34))</f>
        <v>Truyền và tăng mô men xoắn giữa các trục vuông góc nhau, bảo đảm cho các bánh xe chủ động quay với tốc độ khác nhau khi sức cản chuyển động ở bánh xe hai bên không bằng nhau.</v>
      </c>
      <c r="J1155" t="str">
        <f>SUBSTITUTE(IF(OR(LEFT(A1159,3)="Câu",I1155=""),"",IF(B1159=0,"",B1159)),CHAR(34),CHAR(92)&amp;CHAR(34))</f>
        <v>Truyền và thay đổi mô men xoắn giữa các trục không cùng nằm trên một đường thẳng và góc lệch trục luôn thay đổi trong quá trình ô tô chuyển động, chuyển số êm dịu, dễ điều khiển.</v>
      </c>
      <c r="K1155" t="str">
        <f>SUBSTITUTE(SUBSTITUTE(SUBSTITUTE(SUBSTITUTE(IFERROR(VLOOKUP("Câu "&amp;D1155&amp;".",dapan!$E:$J,6,0),""),"1","A"),"2","B"),"3","C"),"4","D")</f>
        <v/>
      </c>
      <c r="P1155" t="str">
        <f t="shared" ref="P1155:P1218" si="62">D1155</f>
        <v/>
      </c>
      <c r="Q1155" t="str">
        <f t="shared" ref="Q1155:Q1218" si="63">IF(D1155="","",CHAR(123)&amp;CHAR(34)&amp;"num"&amp;CHAR(34)&amp;":"&amp;P1155&amp;","&amp;CHAR(34)&amp;"id"&amp;CHAR(34)&amp;":"&amp;D1155&amp;","
&amp;CHAR(34)&amp;"q"&amp;CHAR(34)&amp;":"&amp;CHAR(34)&amp;E1155&amp;CHAR(34)&amp;","
&amp;IF(F1155="","",CHAR(34)&amp;"img"&amp;CHAR(34)&amp;":"&amp;CHAR(34)&amp;F1155&amp;CHAR(34)&amp;",")
&amp;CHAR(34)&amp;"opts"&amp;CHAR(34)&amp;":"&amp;CHAR(123)&amp;CHAR(34)&amp;"A"&amp;CHAR(34)&amp;":"&amp;CHAR(34)&amp;G1155&amp;CHAR(34)&amp;","&amp;CHAR(34)&amp;"B"&amp;CHAR(34)&amp;":"&amp;CHAR(34)&amp;H1155&amp;CHAR(34)
&amp;IF(I1155="","",","&amp;CHAR(34)&amp;"C"&amp;CHAR(34)&amp;":"&amp;CHAR(34)&amp;I1155&amp;CHAR(34))&amp;IF(J1155="","",","&amp;CHAR(34)&amp;"D"&amp;CHAR(34)&amp;":"&amp;CHAR(34)&amp;J1155&amp;CHAR(34))&amp;CHAR(125)&amp;","
&amp;CHAR(34)&amp;"answer"&amp;CHAR(34)&amp;":"&amp;CHAR(34)&amp;K1155&amp;CHAR(34)
&amp;IF(L1155="","",","&amp;CHAR(34)&amp;"danger"&amp;CHAR(34)&amp;":"&amp;CHAR(34)&amp;"true"&amp;CHAR(34))
&amp;IF(M1155="","",","&amp;CHAR(34)&amp;"explain"&amp;CHAR(34)&amp;":"&amp;CHAR(34)&amp;M1155&amp;CHAR(34))
&amp;IF(N1155="","",","&amp;CHAR(34)&amp;"explainImg"&amp;CHAR(34)&amp;":"&amp;CHAR(34)&amp;N1155&amp;CHAR(34))
&amp;IF(O1155="","",","&amp;CHAR(34)&amp;"shuffle"&amp;CHAR(34)&amp;":"&amp;CHAR(34)&amp;"false"&amp;CHAR(34))&amp;CHAR(125)&amp;",")</f>
        <v/>
      </c>
    </row>
    <row r="1156" spans="1:17" hidden="1" x14ac:dyDescent="0.25">
      <c r="A1156">
        <v>3</v>
      </c>
      <c r="B1156" t="s">
        <v>995</v>
      </c>
      <c r="C1156">
        <f>IFERROR(COUNTIFS($A$1:A1156,"Câu "&amp;"*")-MID(A1156,5,FIND(".",A1156,1)-5),0)</f>
        <v>0</v>
      </c>
      <c r="D1156" t="str">
        <f t="shared" si="61"/>
        <v/>
      </c>
      <c r="E1156" t="str">
        <f>SUBSTITUTE(IF(LEFT(A1156,3)="Câu",MID(A1156,FIND(".",A1156,1)+2,LEN(A1156)),""),CHAR(34),CHAR(92)&amp;CHAR(34))</f>
        <v/>
      </c>
      <c r="G1156" t="str">
        <f>SUBSTITUTE(B1157,CHAR(34),CHAR(92)&amp;CHAR(34))</f>
        <v/>
      </c>
      <c r="H1156" t="str">
        <f>SUBSTITUTE(B1158,CHAR(34),CHAR(92)&amp;CHAR(34))</f>
        <v>Truyền và tăng mô men xoắn giữa các trục vuông góc nhau, bảo đảm cho các bánh xe chủ động quay với tốc độ khác nhau khi sức cản chuyển động ở bánh xe hai bên không bằng nhau.</v>
      </c>
      <c r="I1156" t="str">
        <f>SUBSTITUTE(IF(LEFT(A1159,3)="Câu","",B1159),CHAR(34),CHAR(92)&amp;CHAR(34))</f>
        <v>Truyền và thay đổi mô men xoắn giữa các trục không cùng nằm trên một đường thẳng và góc lệch trục luôn thay đổi trong quá trình ô tô chuyển động, chuyển số êm dịu, dễ điều khiển.</v>
      </c>
      <c r="J1156" t="str">
        <f>SUBSTITUTE(IF(OR(LEFT(A1160,3)="Câu",I1156=""),"",IF(B1160=0,"",B1160)),CHAR(34),CHAR(92)&amp;CHAR(34))</f>
        <v xml:space="preserve"> Truyền và thay đổi mô men từ động cơ đến bánh xe chủ động, cắt truyền động từ động cơ đến bánh xe chủ động, bảo đảm cho xe ô tô chuyển động lùi.</v>
      </c>
      <c r="K1156" t="str">
        <f>SUBSTITUTE(SUBSTITUTE(SUBSTITUTE(SUBSTITUTE(IFERROR(VLOOKUP("Câu "&amp;D1156&amp;".",dapan!$E:$J,6,0),""),"1","A"),"2","B"),"3","C"),"4","D")</f>
        <v/>
      </c>
      <c r="P1156" t="str">
        <f t="shared" si="62"/>
        <v/>
      </c>
      <c r="Q1156" t="str">
        <f t="shared" si="63"/>
        <v/>
      </c>
    </row>
    <row r="1157" spans="1:17" x14ac:dyDescent="0.25">
      <c r="A1157" t="s">
        <v>996</v>
      </c>
      <c r="C1157">
        <f>IFERROR(COUNTIFS($A$1:A1157,"Câu "&amp;"*")-MID(A1157,5,FIND(".",A1157,1)-5),0)</f>
        <v>0</v>
      </c>
      <c r="D1157">
        <f t="shared" si="61"/>
        <v>282</v>
      </c>
      <c r="E1157" t="str">
        <f>SUBSTITUTE(IF(LEFT(A1157,3)="Câu",MID(A1157,FIND(".",A1157,1)+2,LEN(A1157)),""),CHAR(34),CHAR(92)&amp;CHAR(34))</f>
        <v>Hãy nêu công dụng hộp số của xe ô tô?</v>
      </c>
      <c r="G1157" t="str">
        <f>SUBSTITUTE(B1158,CHAR(34),CHAR(92)&amp;CHAR(34))</f>
        <v>Truyền và tăng mô men xoắn giữa các trục vuông góc nhau, bảo đảm cho các bánh xe chủ động quay với tốc độ khác nhau khi sức cản chuyển động ở bánh xe hai bên không bằng nhau.</v>
      </c>
      <c r="H1157" t="str">
        <f>SUBSTITUTE(B1159,CHAR(34),CHAR(92)&amp;CHAR(34))</f>
        <v>Truyền và thay đổi mô men xoắn giữa các trục không cùng nằm trên một đường thẳng và góc lệch trục luôn thay đổi trong quá trình ô tô chuyển động, chuyển số êm dịu, dễ điều khiển.</v>
      </c>
      <c r="I1157" t="str">
        <f>SUBSTITUTE(IF(LEFT(A1160,3)="Câu","",B1160),CHAR(34),CHAR(92)&amp;CHAR(34))</f>
        <v xml:space="preserve"> Truyền và thay đổi mô men từ động cơ đến bánh xe chủ động, cắt truyền động từ động cơ đến bánh xe chủ động, bảo đảm cho xe ô tô chuyển động lùi.</v>
      </c>
      <c r="J1157" t="str">
        <f>SUBSTITUTE(IF(OR(LEFT(A1161,3)="Câu",I1157=""),"",IF(B1161=0,"",B1161)),CHAR(34),CHAR(92)&amp;CHAR(34))</f>
        <v/>
      </c>
      <c r="K1157" t="str">
        <f ca="1">SUBSTITUTE(SUBSTITUTE(SUBSTITUTE(SUBSTITUTE(IFERROR(VLOOKUP("Câu "&amp;D1157&amp;".",dapan!$E:$J,6,0),""),"1","A"),"2","B"),"3","C"),"4","D")</f>
        <v>C</v>
      </c>
      <c r="P1157">
        <f t="shared" si="62"/>
        <v>282</v>
      </c>
      <c r="Q1157" t="str">
        <f t="shared" ca="1" si="63"/>
        <v>{"num":282,"id":282,"q":"Hãy nêu công dụng hộp số của xe ô tô?","opts":{"A":"Truyền và tăng mô men xoắn giữa các trục vuông góc nhau, bảo đảm cho các bánh xe chủ động quay với tốc độ khác nhau khi sức cản chuyển động ở bánh xe hai bên không bằng nhau.","B":"Truyền và thay đổi mô men xoắn giữa các trục không cùng nằm trên một đường thẳng và góc lệch trục luôn thay đổi trong quá trình ô tô chuyển động, chuyển số êm dịu, dễ điều khiển.","C":" Truyền và thay đổi mô men từ động cơ đến bánh xe chủ động, cắt truyền động từ động cơ đến bánh xe chủ động, bảo đảm cho xe ô tô chuyển động lùi."},"answer":"C"},</v>
      </c>
    </row>
    <row r="1158" spans="1:17" hidden="1" x14ac:dyDescent="0.25">
      <c r="A1158">
        <v>1</v>
      </c>
      <c r="B1158" t="s">
        <v>997</v>
      </c>
      <c r="C1158">
        <f>IFERROR(COUNTIFS($A$1:A1158,"Câu "&amp;"*")-MID(A1158,5,FIND(".",A1158,1)-5),0)</f>
        <v>0</v>
      </c>
      <c r="D1158" t="str">
        <f t="shared" si="61"/>
        <v/>
      </c>
      <c r="E1158" t="str">
        <f>SUBSTITUTE(IF(LEFT(A1158,3)="Câu",MID(A1158,FIND(".",A1158,1)+2,LEN(A1158)),""),CHAR(34),CHAR(92)&amp;CHAR(34))</f>
        <v/>
      </c>
      <c r="G1158" t="str">
        <f>SUBSTITUTE(B1159,CHAR(34),CHAR(92)&amp;CHAR(34))</f>
        <v>Truyền và thay đổi mô men xoắn giữa các trục không cùng nằm trên một đường thẳng và góc lệch trục luôn thay đổi trong quá trình ô tô chuyển động, chuyển số êm dịu, dễ điều khiển.</v>
      </c>
      <c r="H1158" t="str">
        <f>SUBSTITUTE(B1160,CHAR(34),CHAR(92)&amp;CHAR(34))</f>
        <v xml:space="preserve"> Truyền và thay đổi mô men từ động cơ đến bánh xe chủ động, cắt truyền động từ động cơ đến bánh xe chủ động, bảo đảm cho xe ô tô chuyển động lùi.</v>
      </c>
      <c r="I1158" t="str">
        <f>SUBSTITUTE(IF(LEFT(A1161,3)="Câu","",B1161),CHAR(34),CHAR(92)&amp;CHAR(34))</f>
        <v/>
      </c>
      <c r="J1158" t="str">
        <f>SUBSTITUTE(IF(OR(LEFT(A1162,3)="Câu",I1158=""),"",IF(B1162=0,"",B1162)),CHAR(34),CHAR(92)&amp;CHAR(34))</f>
        <v/>
      </c>
      <c r="K1158" t="str">
        <f>SUBSTITUTE(SUBSTITUTE(SUBSTITUTE(SUBSTITUTE(IFERROR(VLOOKUP("Câu "&amp;D1158&amp;".",dapan!$E:$J,6,0),""),"1","A"),"2","B"),"3","C"),"4","D")</f>
        <v/>
      </c>
      <c r="P1158" t="str">
        <f t="shared" si="62"/>
        <v/>
      </c>
      <c r="Q1158" t="str">
        <f t="shared" si="63"/>
        <v/>
      </c>
    </row>
    <row r="1159" spans="1:17" hidden="1" x14ac:dyDescent="0.25">
      <c r="A1159">
        <v>2</v>
      </c>
      <c r="B1159" t="s">
        <v>998</v>
      </c>
      <c r="C1159">
        <f>IFERROR(COUNTIFS($A$1:A1159,"Câu "&amp;"*")-MID(A1159,5,FIND(".",A1159,1)-5),0)</f>
        <v>0</v>
      </c>
      <c r="D1159" t="str">
        <f t="shared" si="61"/>
        <v/>
      </c>
      <c r="E1159" t="str">
        <f>SUBSTITUTE(IF(LEFT(A1159,3)="Câu",MID(A1159,FIND(".",A1159,1)+2,LEN(A1159)),""),CHAR(34),CHAR(92)&amp;CHAR(34))</f>
        <v/>
      </c>
      <c r="G1159" t="str">
        <f>SUBSTITUTE(B1160,CHAR(34),CHAR(92)&amp;CHAR(34))</f>
        <v xml:space="preserve"> Truyền và thay đổi mô men từ động cơ đến bánh xe chủ động, cắt truyền động từ động cơ đến bánh xe chủ động, bảo đảm cho xe ô tô chuyển động lùi.</v>
      </c>
      <c r="H1159" t="str">
        <f>SUBSTITUTE(B1161,CHAR(34),CHAR(92)&amp;CHAR(34))</f>
        <v/>
      </c>
      <c r="I1159" t="str">
        <f>SUBSTITUTE(IF(LEFT(A1162,3)="Câu","",B1162),CHAR(34),CHAR(92)&amp;CHAR(34))</f>
        <v>Dùng để thay đổi mô men từ động cơ tới các bánh xe chủ động khi xe ô tô chuyển động theo hướng xác định.</v>
      </c>
      <c r="J1159" t="str">
        <f>SUBSTITUTE(IF(OR(LEFT(A1163,3)="Câu",I1159=""),"",IF(B1163=0,"",B1163)),CHAR(34),CHAR(92)&amp;CHAR(34))</f>
        <v>Dùng để thay đổi mô men giữa các trục vuông góc nhau khi xe ô tô chuyển động theo hướng xác định.</v>
      </c>
      <c r="K1159" t="str">
        <f>SUBSTITUTE(SUBSTITUTE(SUBSTITUTE(SUBSTITUTE(IFERROR(VLOOKUP("Câu "&amp;D1159&amp;".",dapan!$E:$J,6,0),""),"1","A"),"2","B"),"3","C"),"4","D")</f>
        <v/>
      </c>
      <c r="P1159" t="str">
        <f t="shared" si="62"/>
        <v/>
      </c>
      <c r="Q1159" t="str">
        <f t="shared" si="63"/>
        <v/>
      </c>
    </row>
    <row r="1160" spans="1:17" hidden="1" x14ac:dyDescent="0.25">
      <c r="A1160">
        <v>3</v>
      </c>
      <c r="B1160" t="s">
        <v>999</v>
      </c>
      <c r="C1160">
        <f>IFERROR(COUNTIFS($A$1:A1160,"Câu "&amp;"*")-MID(A1160,5,FIND(".",A1160,1)-5),0)</f>
        <v>0</v>
      </c>
      <c r="D1160" t="str">
        <f t="shared" si="61"/>
        <v/>
      </c>
      <c r="E1160" t="str">
        <f>SUBSTITUTE(IF(LEFT(A1160,3)="Câu",MID(A1160,FIND(".",A1160,1)+2,LEN(A1160)),""),CHAR(34),CHAR(92)&amp;CHAR(34))</f>
        <v/>
      </c>
      <c r="G1160" t="str">
        <f>SUBSTITUTE(B1161,CHAR(34),CHAR(92)&amp;CHAR(34))</f>
        <v/>
      </c>
      <c r="H1160" t="str">
        <f>SUBSTITUTE(B1162,CHAR(34),CHAR(92)&amp;CHAR(34))</f>
        <v>Dùng để thay đổi mô men từ động cơ tới các bánh xe chủ động khi xe ô tô chuyển động theo hướng xác định.</v>
      </c>
      <c r="I1160" t="str">
        <f>SUBSTITUTE(IF(LEFT(A1163,3)="Câu","",B1163),CHAR(34),CHAR(92)&amp;CHAR(34))</f>
        <v>Dùng để thay đổi mô men giữa các trục vuông góc nhau khi xe ô tô chuyển động theo hướng xác định.</v>
      </c>
      <c r="J1160" t="str">
        <f>SUBSTITUTE(IF(OR(LEFT(A1164,3)="Câu",I1160=""),"",IF(B1164=0,"",B1164)),CHAR(34),CHAR(92)&amp;CHAR(34))</f>
        <v xml:space="preserve"> Dùng để thay đổi hướng chuyển động hoặc giữ cho xe ô tô chuyển động ổn định theo hướng xác định.</v>
      </c>
      <c r="K1160" t="str">
        <f>SUBSTITUTE(SUBSTITUTE(SUBSTITUTE(SUBSTITUTE(IFERROR(VLOOKUP("Câu "&amp;D1160&amp;".",dapan!$E:$J,6,0),""),"1","A"),"2","B"),"3","C"),"4","D")</f>
        <v/>
      </c>
      <c r="P1160" t="str">
        <f t="shared" si="62"/>
        <v/>
      </c>
      <c r="Q1160" t="str">
        <f t="shared" si="63"/>
        <v/>
      </c>
    </row>
    <row r="1161" spans="1:17" x14ac:dyDescent="0.25">
      <c r="A1161" t="s">
        <v>1000</v>
      </c>
      <c r="C1161">
        <f>IFERROR(COUNTIFS($A$1:A1161,"Câu "&amp;"*")-MID(A1161,5,FIND(".",A1161,1)-5),0)</f>
        <v>0</v>
      </c>
      <c r="D1161">
        <f t="shared" si="61"/>
        <v>283</v>
      </c>
      <c r="E1161" t="str">
        <f>SUBSTITUTE(IF(LEFT(A1161,3)="Câu",MID(A1161,FIND(".",A1161,1)+2,LEN(A1161)),""),CHAR(34),CHAR(92)&amp;CHAR(34))</f>
        <v>Hãy nêu công dụng hệ thống lái của xe ô tô?</v>
      </c>
      <c r="G1161" t="str">
        <f>SUBSTITUTE(B1162,CHAR(34),CHAR(92)&amp;CHAR(34))</f>
        <v>Dùng để thay đổi mô men từ động cơ tới các bánh xe chủ động khi xe ô tô chuyển động theo hướng xác định.</v>
      </c>
      <c r="H1161" t="str">
        <f>SUBSTITUTE(B1163,CHAR(34),CHAR(92)&amp;CHAR(34))</f>
        <v>Dùng để thay đổi mô men giữa các trục vuông góc nhau khi xe ô tô chuyển động theo hướng xác định.</v>
      </c>
      <c r="I1161" t="str">
        <f>SUBSTITUTE(IF(LEFT(A1164,3)="Câu","",B1164),CHAR(34),CHAR(92)&amp;CHAR(34))</f>
        <v xml:space="preserve"> Dùng để thay đổi hướng chuyển động hoặc giữ cho xe ô tô chuyển động ổn định theo hướng xác định.</v>
      </c>
      <c r="J1161" t="str">
        <f>SUBSTITUTE(IF(OR(LEFT(A1165,3)="Câu",I1161=""),"",IF(B1165=0,"",B1165)),CHAR(34),CHAR(92)&amp;CHAR(34))</f>
        <v/>
      </c>
      <c r="K1161" t="str">
        <f ca="1">SUBSTITUTE(SUBSTITUTE(SUBSTITUTE(SUBSTITUTE(IFERROR(VLOOKUP("Câu "&amp;D1161&amp;".",dapan!$E:$J,6,0),""),"1","A"),"2","B"),"3","C"),"4","D")</f>
        <v>C</v>
      </c>
      <c r="P1161">
        <f t="shared" si="62"/>
        <v>283</v>
      </c>
      <c r="Q1161" t="str">
        <f t="shared" ca="1" si="63"/>
        <v>{"num":283,"id":283,"q":"Hãy nêu công dụng hệ thống lái của xe ô tô?","opts":{"A":"Dùng để thay đổi mô men từ động cơ tới các bánh xe chủ động khi xe ô tô chuyển động theo hướng xác định.","B":"Dùng để thay đổi mô men giữa các trục vuông góc nhau khi xe ô tô chuyển động theo hướng xác định.","C":" Dùng để thay đổi hướng chuyển động hoặc giữ cho xe ô tô chuyển động ổn định theo hướng xác định."},"answer":"C"},</v>
      </c>
    </row>
    <row r="1162" spans="1:17" hidden="1" x14ac:dyDescent="0.25">
      <c r="A1162">
        <v>1</v>
      </c>
      <c r="B1162" t="s">
        <v>1001</v>
      </c>
      <c r="C1162">
        <f>IFERROR(COUNTIFS($A$1:A1162,"Câu "&amp;"*")-MID(A1162,5,FIND(".",A1162,1)-5),0)</f>
        <v>0</v>
      </c>
      <c r="D1162" t="str">
        <f t="shared" si="61"/>
        <v/>
      </c>
      <c r="E1162" t="str">
        <f>SUBSTITUTE(IF(LEFT(A1162,3)="Câu",MID(A1162,FIND(".",A1162,1)+2,LEN(A1162)),""),CHAR(34),CHAR(92)&amp;CHAR(34))</f>
        <v/>
      </c>
      <c r="G1162" t="str">
        <f>SUBSTITUTE(B1163,CHAR(34),CHAR(92)&amp;CHAR(34))</f>
        <v>Dùng để thay đổi mô men giữa các trục vuông góc nhau khi xe ô tô chuyển động theo hướng xác định.</v>
      </c>
      <c r="H1162" t="str">
        <f>SUBSTITUTE(B1164,CHAR(34),CHAR(92)&amp;CHAR(34))</f>
        <v xml:space="preserve"> Dùng để thay đổi hướng chuyển động hoặc giữ cho xe ô tô chuyển động ổn định theo hướng xác định.</v>
      </c>
      <c r="I1162" t="str">
        <f>SUBSTITUTE(IF(LEFT(A1165,3)="Câu","",B1165),CHAR(34),CHAR(92)&amp;CHAR(34))</f>
        <v/>
      </c>
      <c r="J1162" t="str">
        <f>SUBSTITUTE(IF(OR(LEFT(A1166,3)="Câu",I1162=""),"",IF(B1166=0,"",B1166)),CHAR(34),CHAR(92)&amp;CHAR(34))</f>
        <v/>
      </c>
      <c r="K1162" t="str">
        <f>SUBSTITUTE(SUBSTITUTE(SUBSTITUTE(SUBSTITUTE(IFERROR(VLOOKUP("Câu "&amp;D1162&amp;".",dapan!$E:$J,6,0),""),"1","A"),"2","B"),"3","C"),"4","D")</f>
        <v/>
      </c>
      <c r="P1162" t="str">
        <f t="shared" si="62"/>
        <v/>
      </c>
      <c r="Q1162" t="str">
        <f t="shared" si="63"/>
        <v/>
      </c>
    </row>
    <row r="1163" spans="1:17" hidden="1" x14ac:dyDescent="0.25">
      <c r="A1163">
        <v>2</v>
      </c>
      <c r="B1163" t="s">
        <v>1002</v>
      </c>
      <c r="C1163">
        <f>IFERROR(COUNTIFS($A$1:A1163,"Câu "&amp;"*")-MID(A1163,5,FIND(".",A1163,1)-5),0)</f>
        <v>0</v>
      </c>
      <c r="D1163" t="str">
        <f t="shared" si="61"/>
        <v/>
      </c>
      <c r="E1163" t="str">
        <f>SUBSTITUTE(IF(LEFT(A1163,3)="Câu",MID(A1163,FIND(".",A1163,1)+2,LEN(A1163)),""),CHAR(34),CHAR(92)&amp;CHAR(34))</f>
        <v/>
      </c>
      <c r="G1163" t="str">
        <f>SUBSTITUTE(B1164,CHAR(34),CHAR(92)&amp;CHAR(34))</f>
        <v xml:space="preserve"> Dùng để thay đổi hướng chuyển động hoặc giữ cho xe ô tô chuyển động ổn định theo hướng xác định.</v>
      </c>
      <c r="H1163" t="str">
        <f>SUBSTITUTE(B1165,CHAR(34),CHAR(92)&amp;CHAR(34))</f>
        <v/>
      </c>
      <c r="I1163" t="str">
        <f>SUBSTITUTE(IF(LEFT(A1166,3)="Câu","",B1166),CHAR(34),CHAR(92)&amp;CHAR(34))</f>
        <v xml:space="preserve"> Dùng để giảm tốc độ, dừng chuyển động của xe ô tô và giữ cho xe ô tô đứng yên trên dốc.</v>
      </c>
      <c r="J1163" t="str">
        <f>SUBSTITUTE(IF(OR(LEFT(A1167,3)="Câu",I1163=""),"",IF(B1167=0,"",B1167)),CHAR(34),CHAR(92)&amp;CHAR(34))</f>
        <v>Dùng để thay đổi hướng chuyển động hoặc giữ cho xe ô tô chuyển động ổn định theo hướng xác định.</v>
      </c>
      <c r="K1163" t="str">
        <f>SUBSTITUTE(SUBSTITUTE(SUBSTITUTE(SUBSTITUTE(IFERROR(VLOOKUP("Câu "&amp;D1163&amp;".",dapan!$E:$J,6,0),""),"1","A"),"2","B"),"3","C"),"4","D")</f>
        <v/>
      </c>
      <c r="P1163" t="str">
        <f t="shared" si="62"/>
        <v/>
      </c>
      <c r="Q1163" t="str">
        <f t="shared" si="63"/>
        <v/>
      </c>
    </row>
    <row r="1164" spans="1:17" hidden="1" x14ac:dyDescent="0.25">
      <c r="A1164">
        <v>3</v>
      </c>
      <c r="B1164" t="s">
        <v>1003</v>
      </c>
      <c r="C1164">
        <f>IFERROR(COUNTIFS($A$1:A1164,"Câu "&amp;"*")-MID(A1164,5,FIND(".",A1164,1)-5),0)</f>
        <v>0</v>
      </c>
      <c r="D1164" t="str">
        <f t="shared" si="61"/>
        <v/>
      </c>
      <c r="E1164" t="str">
        <f>SUBSTITUTE(IF(LEFT(A1164,3)="Câu",MID(A1164,FIND(".",A1164,1)+2,LEN(A1164)),""),CHAR(34),CHAR(92)&amp;CHAR(34))</f>
        <v/>
      </c>
      <c r="G1164" t="str">
        <f>SUBSTITUTE(B1165,CHAR(34),CHAR(92)&amp;CHAR(34))</f>
        <v/>
      </c>
      <c r="H1164" t="str">
        <f>SUBSTITUTE(B1166,CHAR(34),CHAR(92)&amp;CHAR(34))</f>
        <v xml:space="preserve"> Dùng để giảm tốc độ, dừng chuyển động của xe ô tô và giữ cho xe ô tô đứng yên trên dốc.</v>
      </c>
      <c r="I1164" t="str">
        <f>SUBSTITUTE(IF(LEFT(A1167,3)="Câu","",B1167),CHAR(34),CHAR(92)&amp;CHAR(34))</f>
        <v>Dùng để thay đổi hướng chuyển động hoặc giữ cho xe ô tô chuyển động ổn định theo hướng xác định.</v>
      </c>
      <c r="J1164" t="str">
        <f>SUBSTITUTE(IF(OR(LEFT(A1168,3)="Câu",I1164=""),"",IF(B1168=0,"",B1168)),CHAR(34),CHAR(92)&amp;CHAR(34))</f>
        <v>Dùng để truyền hoặc ngắt truyền động từ động cơ đến bánh xe chủ động của xe ô tô.</v>
      </c>
      <c r="K1164" t="str">
        <f>SUBSTITUTE(SUBSTITUTE(SUBSTITUTE(SUBSTITUTE(IFERROR(VLOOKUP("Câu "&amp;D1164&amp;".",dapan!$E:$J,6,0),""),"1","A"),"2","B"),"3","C"),"4","D")</f>
        <v/>
      </c>
      <c r="P1164" t="str">
        <f t="shared" si="62"/>
        <v/>
      </c>
      <c r="Q1164" t="str">
        <f t="shared" si="63"/>
        <v/>
      </c>
    </row>
    <row r="1165" spans="1:17" x14ac:dyDescent="0.25">
      <c r="A1165" t="s">
        <v>1004</v>
      </c>
      <c r="C1165">
        <f>IFERROR(COUNTIFS($A$1:A1165,"Câu "&amp;"*")-MID(A1165,5,FIND(".",A1165,1)-5),0)</f>
        <v>0</v>
      </c>
      <c r="D1165">
        <f t="shared" si="61"/>
        <v>284</v>
      </c>
      <c r="E1165" t="str">
        <f>SUBSTITUTE(IF(LEFT(A1165,3)="Câu",MID(A1165,FIND(".",A1165,1)+2,LEN(A1165)),""),CHAR(34),CHAR(92)&amp;CHAR(34))</f>
        <v>Hãy nêu công dụng hệ thống phanh của xe ô tô?</v>
      </c>
      <c r="G1165" t="str">
        <f>SUBSTITUTE(B1166,CHAR(34),CHAR(92)&amp;CHAR(34))</f>
        <v xml:space="preserve"> Dùng để giảm tốc độ, dừng chuyển động của xe ô tô và giữ cho xe ô tô đứng yên trên dốc.</v>
      </c>
      <c r="H1165" t="str">
        <f>SUBSTITUTE(B1167,CHAR(34),CHAR(92)&amp;CHAR(34))</f>
        <v>Dùng để thay đổi hướng chuyển động hoặc giữ cho xe ô tô chuyển động ổn định theo hướng xác định.</v>
      </c>
      <c r="I1165" t="str">
        <f>SUBSTITUTE(IF(LEFT(A1168,3)="Câu","",B1168),CHAR(34),CHAR(92)&amp;CHAR(34))</f>
        <v>Dùng để truyền hoặc ngắt truyền động từ động cơ đến bánh xe chủ động của xe ô tô.</v>
      </c>
      <c r="J1165" t="str">
        <f>SUBSTITUTE(IF(OR(LEFT(A1169,3)="Câu",I1165=""),"",IF(B1169=0,"",B1169)),CHAR(34),CHAR(92)&amp;CHAR(34))</f>
        <v/>
      </c>
      <c r="K1165" t="str">
        <f ca="1">SUBSTITUTE(SUBSTITUTE(SUBSTITUTE(SUBSTITUTE(IFERROR(VLOOKUP("Câu "&amp;D1165&amp;".",dapan!$E:$J,6,0),""),"1","A"),"2","B"),"3","C"),"4","D")</f>
        <v>A</v>
      </c>
      <c r="P1165">
        <f t="shared" si="62"/>
        <v>284</v>
      </c>
      <c r="Q1165" t="str">
        <f t="shared" ca="1" si="63"/>
        <v>{"num":284,"id":284,"q":"Hãy nêu công dụng hệ thống phanh của xe ô tô?","opts":{"A":" Dùng để giảm tốc độ, dừng chuyển động của xe ô tô và giữ cho xe ô tô đứng yên trên dốc.","B":"Dùng để thay đổi hướng chuyển động hoặc giữ cho xe ô tô chuyển động ổn định theo hướng xác định.","C":"Dùng để truyền hoặc ngắt truyền động từ động cơ đến bánh xe chủ động của xe ô tô."},"answer":"A"},</v>
      </c>
    </row>
    <row r="1166" spans="1:17" hidden="1" x14ac:dyDescent="0.25">
      <c r="A1166">
        <v>1</v>
      </c>
      <c r="B1166" t="s">
        <v>1005</v>
      </c>
      <c r="C1166">
        <f>IFERROR(COUNTIFS($A$1:A1166,"Câu "&amp;"*")-MID(A1166,5,FIND(".",A1166,1)-5),0)</f>
        <v>0</v>
      </c>
      <c r="D1166" t="str">
        <f t="shared" si="61"/>
        <v/>
      </c>
      <c r="E1166" t="str">
        <f>SUBSTITUTE(IF(LEFT(A1166,3)="Câu",MID(A1166,FIND(".",A1166,1)+2,LEN(A1166)),""),CHAR(34),CHAR(92)&amp;CHAR(34))</f>
        <v/>
      </c>
      <c r="G1166" t="str">
        <f>SUBSTITUTE(B1167,CHAR(34),CHAR(92)&amp;CHAR(34))</f>
        <v>Dùng để thay đổi hướng chuyển động hoặc giữ cho xe ô tô chuyển động ổn định theo hướng xác định.</v>
      </c>
      <c r="H1166" t="str">
        <f>SUBSTITUTE(B1168,CHAR(34),CHAR(92)&amp;CHAR(34))</f>
        <v>Dùng để truyền hoặc ngắt truyền động từ động cơ đến bánh xe chủ động của xe ô tô.</v>
      </c>
      <c r="I1166" t="str">
        <f>SUBSTITUTE(IF(LEFT(A1169,3)="Câu","",B1169),CHAR(34),CHAR(92)&amp;CHAR(34))</f>
        <v/>
      </c>
      <c r="J1166" t="str">
        <f>SUBSTITUTE(IF(OR(LEFT(A1170,3)="Câu",I1166=""),"",IF(B1170=0,"",B1170)),CHAR(34),CHAR(92)&amp;CHAR(34))</f>
        <v/>
      </c>
      <c r="K1166" t="str">
        <f>SUBSTITUTE(SUBSTITUTE(SUBSTITUTE(SUBSTITUTE(IFERROR(VLOOKUP("Câu "&amp;D1166&amp;".",dapan!$E:$J,6,0),""),"1","A"),"2","B"),"3","C"),"4","D")</f>
        <v/>
      </c>
      <c r="P1166" t="str">
        <f t="shared" si="62"/>
        <v/>
      </c>
      <c r="Q1166" t="str">
        <f t="shared" si="63"/>
        <v/>
      </c>
    </row>
    <row r="1167" spans="1:17" hidden="1" x14ac:dyDescent="0.25">
      <c r="A1167">
        <v>2</v>
      </c>
      <c r="B1167" t="s">
        <v>990</v>
      </c>
      <c r="C1167">
        <f>IFERROR(COUNTIFS($A$1:A1167,"Câu "&amp;"*")-MID(A1167,5,FIND(".",A1167,1)-5),0)</f>
        <v>0</v>
      </c>
      <c r="D1167" t="str">
        <f t="shared" si="61"/>
        <v/>
      </c>
      <c r="E1167" t="str">
        <f>SUBSTITUTE(IF(LEFT(A1167,3)="Câu",MID(A1167,FIND(".",A1167,1)+2,LEN(A1167)),""),CHAR(34),CHAR(92)&amp;CHAR(34))</f>
        <v/>
      </c>
      <c r="G1167" t="str">
        <f>SUBSTITUTE(B1168,CHAR(34),CHAR(92)&amp;CHAR(34))</f>
        <v>Dùng để truyền hoặc ngắt truyền động từ động cơ đến bánh xe chủ động của xe ô tô.</v>
      </c>
      <c r="H1167" t="str">
        <f>SUBSTITUTE(B1169,CHAR(34),CHAR(92)&amp;CHAR(34))</f>
        <v/>
      </c>
      <c r="I1167" t="str">
        <f>SUBSTITUTE(IF(LEFT(A1170,3)="Câu","",B1170),CHAR(34),CHAR(92)&amp;CHAR(34))</f>
        <v>Có tác dụng cảnh báo cho các xe phía sau biết xe đang giảm tốc để chủ động tránh hoặc giảm tốc để tránh va chạm.</v>
      </c>
      <c r="J1167" t="str">
        <f>SUBSTITUTE(IF(OR(LEFT(A1171,3)="Câu",I1167=""),"",IF(B1171=0,"",B1171)),CHAR(34),CHAR(92)&amp;CHAR(34))</f>
        <v>Có tác dụng định vị vào ban đêm với các xe từ phía sau tới để tránh va chạm.</v>
      </c>
      <c r="K1167" t="str">
        <f>SUBSTITUTE(SUBSTITUTE(SUBSTITUTE(SUBSTITUTE(IFERROR(VLOOKUP("Câu "&amp;D1167&amp;".",dapan!$E:$J,6,0),""),"1","A"),"2","B"),"3","C"),"4","D")</f>
        <v/>
      </c>
      <c r="P1167" t="str">
        <f t="shared" si="62"/>
        <v/>
      </c>
      <c r="Q1167" t="str">
        <f t="shared" si="63"/>
        <v/>
      </c>
    </row>
    <row r="1168" spans="1:17" hidden="1" x14ac:dyDescent="0.25">
      <c r="A1168">
        <v>3</v>
      </c>
      <c r="B1168" t="s">
        <v>1006</v>
      </c>
      <c r="C1168">
        <f>IFERROR(COUNTIFS($A$1:A1168,"Câu "&amp;"*")-MID(A1168,5,FIND(".",A1168,1)-5),0)</f>
        <v>0</v>
      </c>
      <c r="D1168" t="str">
        <f t="shared" si="61"/>
        <v/>
      </c>
      <c r="E1168" t="str">
        <f>SUBSTITUTE(IF(LEFT(A1168,3)="Câu",MID(A1168,FIND(".",A1168,1)+2,LEN(A1168)),""),CHAR(34),CHAR(92)&amp;CHAR(34))</f>
        <v/>
      </c>
      <c r="G1168" t="str">
        <f>SUBSTITUTE(B1169,CHAR(34),CHAR(92)&amp;CHAR(34))</f>
        <v/>
      </c>
      <c r="H1168" t="str">
        <f>SUBSTITUTE(B1170,CHAR(34),CHAR(92)&amp;CHAR(34))</f>
        <v>Có tác dụng cảnh báo cho các xe phía sau biết xe đang giảm tốc để chủ động tránh hoặc giảm tốc để tránh va chạm.</v>
      </c>
      <c r="I1168" t="str">
        <f>SUBSTITUTE(IF(LEFT(A1171,3)="Câu","",B1171),CHAR(34),CHAR(92)&amp;CHAR(34))</f>
        <v>Có tác dụng định vị vào ban đêm với các xe từ phía sau tới để tránh va chạm.</v>
      </c>
      <c r="J1168" t="str">
        <f>SUBSTITUTE(IF(OR(LEFT(A1172,3)="Câu",I1168=""),"",IF(B1172=0,"",B1172)),CHAR(34),CHAR(92)&amp;CHAR(34))</f>
        <v xml:space="preserve"> Cả hai ý trên.</v>
      </c>
      <c r="K1168" t="str">
        <f>SUBSTITUTE(SUBSTITUTE(SUBSTITUTE(SUBSTITUTE(IFERROR(VLOOKUP("Câu "&amp;D1168&amp;".",dapan!$E:$J,6,0),""),"1","A"),"2","B"),"3","C"),"4","D")</f>
        <v/>
      </c>
      <c r="P1168" t="str">
        <f t="shared" si="62"/>
        <v/>
      </c>
      <c r="Q1168" t="str">
        <f t="shared" si="63"/>
        <v/>
      </c>
    </row>
    <row r="1169" spans="1:17" x14ac:dyDescent="0.25">
      <c r="A1169" t="s">
        <v>1007</v>
      </c>
      <c r="C1169">
        <f>IFERROR(COUNTIFS($A$1:A1169,"Câu "&amp;"*")-MID(A1169,5,FIND(".",A1169,1)-5),0)</f>
        <v>0</v>
      </c>
      <c r="D1169">
        <f t="shared" si="61"/>
        <v>285</v>
      </c>
      <c r="E1169" t="str">
        <f>SUBSTITUTE(IF(LEFT(A1169,3)="Câu",MID(A1169,FIND(".",A1169,1)+2,LEN(A1169)),""),CHAR(34),CHAR(92)&amp;CHAR(34))</f>
        <v>Đèn phanh trên xe mô tô có tác dụng gì dưới đây?</v>
      </c>
      <c r="G1169" t="str">
        <f>SUBSTITUTE(B1170,CHAR(34),CHAR(92)&amp;CHAR(34))</f>
        <v>Có tác dụng cảnh báo cho các xe phía sau biết xe đang giảm tốc để chủ động tránh hoặc giảm tốc để tránh va chạm.</v>
      </c>
      <c r="H1169" t="str">
        <f>SUBSTITUTE(B1171,CHAR(34),CHAR(92)&amp;CHAR(34))</f>
        <v>Có tác dụng định vị vào ban đêm với các xe từ phía sau tới để tránh va chạm.</v>
      </c>
      <c r="I1169" t="str">
        <f>SUBSTITUTE(IF(LEFT(A1172,3)="Câu","",B1172),CHAR(34),CHAR(92)&amp;CHAR(34))</f>
        <v xml:space="preserve"> Cả hai ý trên.</v>
      </c>
      <c r="J1169" t="str">
        <f>SUBSTITUTE(IF(OR(LEFT(A1173,3)="Câu",I1169=""),"",IF(B1173=0,"",B1173)),CHAR(34),CHAR(92)&amp;CHAR(34))</f>
        <v/>
      </c>
      <c r="K1169" t="str">
        <f ca="1">SUBSTITUTE(SUBSTITUTE(SUBSTITUTE(SUBSTITUTE(IFERROR(VLOOKUP("Câu "&amp;D1169&amp;".",dapan!$E:$J,6,0),""),"1","A"),"2","B"),"3","C"),"4","D")</f>
        <v>C</v>
      </c>
      <c r="P1169">
        <f t="shared" si="62"/>
        <v>285</v>
      </c>
      <c r="Q1169" t="str">
        <f t="shared" ca="1" si="63"/>
        <v>{"num":285,"id":285,"q":"Đèn phanh trên xe mô tô có tác dụng gì dưới đây?","opts":{"A":"Có tác dụng cảnh báo cho các xe phía sau biết xe đang giảm tốc để chủ động tránh hoặc giảm tốc để tránh va chạm.","B":"Có tác dụng định vị vào ban đêm với các xe từ phía sau tới để tránh va chạm.","C":" Cả hai ý trên."},"answer":"C"},</v>
      </c>
    </row>
    <row r="1170" spans="1:17" hidden="1" x14ac:dyDescent="0.25">
      <c r="A1170">
        <v>1</v>
      </c>
      <c r="B1170" t="s">
        <v>1008</v>
      </c>
      <c r="C1170">
        <f>IFERROR(COUNTIFS($A$1:A1170,"Câu "&amp;"*")-MID(A1170,5,FIND(".",A1170,1)-5),0)</f>
        <v>0</v>
      </c>
      <c r="D1170" t="str">
        <f t="shared" si="61"/>
        <v/>
      </c>
      <c r="E1170" t="str">
        <f>SUBSTITUTE(IF(LEFT(A1170,3)="Câu",MID(A1170,FIND(".",A1170,1)+2,LEN(A1170)),""),CHAR(34),CHAR(92)&amp;CHAR(34))</f>
        <v/>
      </c>
      <c r="G1170" t="str">
        <f>SUBSTITUTE(B1171,CHAR(34),CHAR(92)&amp;CHAR(34))</f>
        <v>Có tác dụng định vị vào ban đêm với các xe từ phía sau tới để tránh va chạm.</v>
      </c>
      <c r="H1170" t="str">
        <f>SUBSTITUTE(B1172,CHAR(34),CHAR(92)&amp;CHAR(34))</f>
        <v xml:space="preserve"> Cả hai ý trên.</v>
      </c>
      <c r="I1170" t="str">
        <f>SUBSTITUTE(IF(LEFT(A1173,3)="Câu","",B1173),CHAR(34),CHAR(92)&amp;CHAR(34))</f>
        <v/>
      </c>
      <c r="J1170" t="str">
        <f>SUBSTITUTE(IF(OR(LEFT(A1174,3)="Câu",I1170=""),"",IF(B1174=0,"",B1174)),CHAR(34),CHAR(92)&amp;CHAR(34))</f>
        <v/>
      </c>
      <c r="K1170" t="str">
        <f>SUBSTITUTE(SUBSTITUTE(SUBSTITUTE(SUBSTITUTE(IFERROR(VLOOKUP("Câu "&amp;D1170&amp;".",dapan!$E:$J,6,0),""),"1","A"),"2","B"),"3","C"),"4","D")</f>
        <v/>
      </c>
      <c r="P1170" t="str">
        <f t="shared" si="62"/>
        <v/>
      </c>
      <c r="Q1170" t="str">
        <f t="shared" si="63"/>
        <v/>
      </c>
    </row>
    <row r="1171" spans="1:17" hidden="1" x14ac:dyDescent="0.25">
      <c r="A1171">
        <v>2</v>
      </c>
      <c r="B1171" t="s">
        <v>1009</v>
      </c>
      <c r="C1171">
        <f>IFERROR(COUNTIFS($A$1:A1171,"Câu "&amp;"*")-MID(A1171,5,FIND(".",A1171,1)-5),0)</f>
        <v>0</v>
      </c>
      <c r="D1171" t="str">
        <f t="shared" si="61"/>
        <v/>
      </c>
      <c r="E1171" t="str">
        <f>SUBSTITUTE(IF(LEFT(A1171,3)="Câu",MID(A1171,FIND(".",A1171,1)+2,LEN(A1171)),""),CHAR(34),CHAR(92)&amp;CHAR(34))</f>
        <v/>
      </c>
      <c r="G1171" t="str">
        <f>SUBSTITUTE(B1172,CHAR(34),CHAR(92)&amp;CHAR(34))</f>
        <v xml:space="preserve"> Cả hai ý trên.</v>
      </c>
      <c r="H1171" t="str">
        <f>SUBSTITUTE(B1173,CHAR(34),CHAR(92)&amp;CHAR(34))</f>
        <v/>
      </c>
      <c r="I1171" t="str">
        <f>SUBSTITUTE(IF(LEFT(A1174,3)="Câu","",B1174),CHAR(34),CHAR(92)&amp;CHAR(34))</f>
        <v xml:space="preserve"> Nhiệt độ nước làm mát động cơ quá ngưỡng cho phép.</v>
      </c>
      <c r="J1171" t="str">
        <f>SUBSTITUTE(IF(OR(LEFT(A1175,3)="Câu",I1171=""),"",IF(B1175=0,"",B1175)),CHAR(34),CHAR(92)&amp;CHAR(34))</f>
        <v>Áp suất lốp không đủ.</v>
      </c>
      <c r="K1171" t="str">
        <f>SUBSTITUTE(SUBSTITUTE(SUBSTITUTE(SUBSTITUTE(IFERROR(VLOOKUP("Câu "&amp;D1171&amp;".",dapan!$E:$J,6,0),""),"1","A"),"2","B"),"3","C"),"4","D")</f>
        <v/>
      </c>
      <c r="P1171" t="str">
        <f t="shared" si="62"/>
        <v/>
      </c>
      <c r="Q1171" t="str">
        <f t="shared" si="63"/>
        <v/>
      </c>
    </row>
    <row r="1172" spans="1:17" hidden="1" x14ac:dyDescent="0.25">
      <c r="A1172">
        <v>3</v>
      </c>
      <c r="B1172" t="s">
        <v>32</v>
      </c>
      <c r="C1172">
        <f>IFERROR(COUNTIFS($A$1:A1172,"Câu "&amp;"*")-MID(A1172,5,FIND(".",A1172,1)-5),0)</f>
        <v>0</v>
      </c>
      <c r="D1172" t="str">
        <f t="shared" si="61"/>
        <v/>
      </c>
      <c r="E1172" t="str">
        <f>SUBSTITUTE(IF(LEFT(A1172,3)="Câu",MID(A1172,FIND(".",A1172,1)+2,LEN(A1172)),""),CHAR(34),CHAR(92)&amp;CHAR(34))</f>
        <v/>
      </c>
      <c r="G1172" t="str">
        <f>SUBSTITUTE(B1173,CHAR(34),CHAR(92)&amp;CHAR(34))</f>
        <v/>
      </c>
      <c r="H1172" t="str">
        <f>SUBSTITUTE(B1174,CHAR(34),CHAR(92)&amp;CHAR(34))</f>
        <v xml:space="preserve"> Nhiệt độ nước làm mát động cơ quá ngưỡng cho phép.</v>
      </c>
      <c r="I1172" t="str">
        <f>SUBSTITUTE(IF(LEFT(A1175,3)="Câu","",B1175),CHAR(34),CHAR(92)&amp;CHAR(34))</f>
        <v>Áp suất lốp không đủ.</v>
      </c>
      <c r="J1172" t="str">
        <f>SUBSTITUTE(IF(OR(LEFT(A1176,3)="Câu",I1172=""),"",IF(B1176=0,"",B1176)),CHAR(34),CHAR(92)&amp;CHAR(34))</f>
        <v>Đang hãm phanh tay.</v>
      </c>
      <c r="K1172" t="str">
        <f>SUBSTITUTE(SUBSTITUTE(SUBSTITUTE(SUBSTITUTE(IFERROR(VLOOKUP("Câu "&amp;D1172&amp;".",dapan!$E:$J,6,0),""),"1","A"),"2","B"),"3","C"),"4","D")</f>
        <v/>
      </c>
      <c r="P1172" t="str">
        <f t="shared" si="62"/>
        <v/>
      </c>
      <c r="Q1172" t="str">
        <f t="shared" si="63"/>
        <v/>
      </c>
    </row>
    <row r="1173" spans="1:17" x14ac:dyDescent="0.25">
      <c r="A1173" t="s">
        <v>1010</v>
      </c>
      <c r="C1173">
        <f>IFERROR(COUNTIFS($A$1:A1173,"Câu "&amp;"*")-MID(A1173,5,FIND(".",A1173,1)-5),0)</f>
        <v>0</v>
      </c>
      <c r="D1173">
        <f t="shared" si="61"/>
        <v>286</v>
      </c>
      <c r="E1173" t="str">
        <f>SUBSTITUTE(IF(LEFT(A1173,3)="Câu",MID(A1173,FIND(".",A1173,1)+2,LEN(A1173)),""),CHAR(34),CHAR(92)&amp;CHAR(34))</f>
        <v>Khi động cơ ô tô đã khởi động, bảng đồng hồ xuất hiện ký hiệu như hình vẽ dưới đây, báo hiệu tình trạng như thế nào của xe ô tô?</v>
      </c>
      <c r="F1173" t="str">
        <f t="shared" ref="F1173:F1196" si="64">IF(D1173="","","q"&amp;TEXT(D1173,"000")&amp;".jpg")</f>
        <v>q286.jpg</v>
      </c>
      <c r="G1173" t="str">
        <f>SUBSTITUTE(B1174,CHAR(34),CHAR(92)&amp;CHAR(34))</f>
        <v xml:space="preserve"> Nhiệt độ nước làm mát động cơ quá ngưỡng cho phép.</v>
      </c>
      <c r="H1173" t="str">
        <f>SUBSTITUTE(B1175,CHAR(34),CHAR(92)&amp;CHAR(34))</f>
        <v>Áp suất lốp không đủ.</v>
      </c>
      <c r="I1173" t="str">
        <f>SUBSTITUTE(IF(LEFT(A1176,3)="Câu","",B1176),CHAR(34),CHAR(92)&amp;CHAR(34))</f>
        <v>Đang hãm phanh tay.</v>
      </c>
      <c r="J1173" t="str">
        <f>SUBSTITUTE(IF(OR(LEFT(A1177,3)="Câu",I1173=""),"",IF(B1177=0,"",B1177)),CHAR(34),CHAR(92)&amp;CHAR(34))</f>
        <v>Cần kiểm tra động cơ.</v>
      </c>
      <c r="K1173" t="str">
        <f ca="1">SUBSTITUTE(SUBSTITUTE(SUBSTITUTE(SUBSTITUTE(IFERROR(VLOOKUP("Câu "&amp;D1173&amp;".",dapan!$E:$J,6,0),""),"1","A"),"2","B"),"3","C"),"4","D")</f>
        <v>A</v>
      </c>
      <c r="P1173">
        <f t="shared" si="62"/>
        <v>286</v>
      </c>
      <c r="Q1173" t="str">
        <f t="shared" ca="1" si="63"/>
        <v>{"num":286,"id":286,"q":"Khi động cơ ô tô đã khởi động, bảng đồng hồ xuất hiện ký hiệu như hình vẽ dưới đây, báo hiệu tình trạng như thế nào của xe ô tô?","img":"q286.jpg","opts":{"A":" Nhiệt độ nước làm mát động cơ quá ngưỡng cho phép.","B":"Áp suất lốp không đủ.","C":"Đang hãm phanh tay.","D":"Cần kiểm tra động cơ."},"answer":"A"},</v>
      </c>
    </row>
    <row r="1174" spans="1:17" hidden="1" x14ac:dyDescent="0.25">
      <c r="A1174">
        <v>1</v>
      </c>
      <c r="B1174" t="s">
        <v>1011</v>
      </c>
      <c r="C1174">
        <f>IFERROR(COUNTIFS($A$1:A1174,"Câu "&amp;"*")-MID(A1174,5,FIND(".",A1174,1)-5),0)</f>
        <v>0</v>
      </c>
      <c r="D1174" t="str">
        <f t="shared" si="61"/>
        <v/>
      </c>
      <c r="E1174" t="str">
        <f>SUBSTITUTE(IF(LEFT(A1174,3)="Câu",MID(A1174,FIND(".",A1174,1)+2,LEN(A1174)),""),CHAR(34),CHAR(92)&amp;CHAR(34))</f>
        <v/>
      </c>
      <c r="F1174" t="str">
        <f t="shared" si="64"/>
        <v/>
      </c>
      <c r="G1174" t="str">
        <f>SUBSTITUTE(B1175,CHAR(34),CHAR(92)&amp;CHAR(34))</f>
        <v>Áp suất lốp không đủ.</v>
      </c>
      <c r="H1174" t="str">
        <f>SUBSTITUTE(B1176,CHAR(34),CHAR(92)&amp;CHAR(34))</f>
        <v>Đang hãm phanh tay.</v>
      </c>
      <c r="I1174" t="str">
        <f>SUBSTITUTE(IF(LEFT(A1177,3)="Câu","",B1177),CHAR(34),CHAR(92)&amp;CHAR(34))</f>
        <v>Cần kiểm tra động cơ.</v>
      </c>
      <c r="J1174" t="str">
        <f>SUBSTITUTE(IF(OR(LEFT(A1178,3)="Câu",I1174=""),"",IF(B1178=0,"",B1178)),CHAR(34),CHAR(92)&amp;CHAR(34))</f>
        <v/>
      </c>
      <c r="K1174" t="str">
        <f>SUBSTITUTE(SUBSTITUTE(SUBSTITUTE(SUBSTITUTE(IFERROR(VLOOKUP("Câu "&amp;D1174&amp;".",dapan!$E:$J,6,0),""),"1","A"),"2","B"),"3","C"),"4","D")</f>
        <v/>
      </c>
      <c r="P1174" t="str">
        <f t="shared" si="62"/>
        <v/>
      </c>
      <c r="Q1174" t="str">
        <f t="shared" si="63"/>
        <v/>
      </c>
    </row>
    <row r="1175" spans="1:17" hidden="1" x14ac:dyDescent="0.25">
      <c r="A1175">
        <v>2</v>
      </c>
      <c r="B1175" t="s">
        <v>813</v>
      </c>
      <c r="C1175">
        <f>IFERROR(COUNTIFS($A$1:A1175,"Câu "&amp;"*")-MID(A1175,5,FIND(".",A1175,1)-5),0)</f>
        <v>0</v>
      </c>
      <c r="D1175" t="str">
        <f t="shared" si="61"/>
        <v/>
      </c>
      <c r="E1175" t="str">
        <f>SUBSTITUTE(IF(LEFT(A1175,3)="Câu",MID(A1175,FIND(".",A1175,1)+2,LEN(A1175)),""),CHAR(34),CHAR(92)&amp;CHAR(34))</f>
        <v/>
      </c>
      <c r="F1175" t="str">
        <f t="shared" si="64"/>
        <v/>
      </c>
      <c r="G1175" t="str">
        <f>SUBSTITUTE(B1176,CHAR(34),CHAR(92)&amp;CHAR(34))</f>
        <v>Đang hãm phanh tay.</v>
      </c>
      <c r="H1175" t="str">
        <f>SUBSTITUTE(B1177,CHAR(34),CHAR(92)&amp;CHAR(34))</f>
        <v>Cần kiểm tra động cơ.</v>
      </c>
      <c r="I1175" t="str">
        <f>SUBSTITUTE(IF(LEFT(A1178,3)="Câu","",B1178),CHAR(34),CHAR(92)&amp;CHAR(34))</f>
        <v/>
      </c>
      <c r="J1175" t="str">
        <f>SUBSTITUTE(IF(OR(LEFT(A1179,3)="Câu",I1175=""),"",IF(B1179=0,"",B1179)),CHAR(34),CHAR(92)&amp;CHAR(34))</f>
        <v/>
      </c>
      <c r="K1175" t="str">
        <f>SUBSTITUTE(SUBSTITUTE(SUBSTITUTE(SUBSTITUTE(IFERROR(VLOOKUP("Câu "&amp;D1175&amp;".",dapan!$E:$J,6,0),""),"1","A"),"2","B"),"3","C"),"4","D")</f>
        <v/>
      </c>
      <c r="P1175" t="str">
        <f t="shared" si="62"/>
        <v/>
      </c>
      <c r="Q1175" t="str">
        <f t="shared" si="63"/>
        <v/>
      </c>
    </row>
    <row r="1176" spans="1:17" hidden="1" x14ac:dyDescent="0.25">
      <c r="A1176">
        <v>3</v>
      </c>
      <c r="B1176" t="s">
        <v>1012</v>
      </c>
      <c r="C1176">
        <f>IFERROR(COUNTIFS($A$1:A1176,"Câu "&amp;"*")-MID(A1176,5,FIND(".",A1176,1)-5),0)</f>
        <v>0</v>
      </c>
      <c r="D1176" t="str">
        <f t="shared" si="61"/>
        <v/>
      </c>
      <c r="E1176" t="str">
        <f>SUBSTITUTE(IF(LEFT(A1176,3)="Câu",MID(A1176,FIND(".",A1176,1)+2,LEN(A1176)),""),CHAR(34),CHAR(92)&amp;CHAR(34))</f>
        <v/>
      </c>
      <c r="F1176" t="str">
        <f t="shared" si="64"/>
        <v/>
      </c>
      <c r="G1176" t="str">
        <f>SUBSTITUTE(B1177,CHAR(34),CHAR(92)&amp;CHAR(34))</f>
        <v>Cần kiểm tra động cơ.</v>
      </c>
      <c r="H1176" t="str">
        <f>SUBSTITUTE(B1178,CHAR(34),CHAR(92)&amp;CHAR(34))</f>
        <v/>
      </c>
      <c r="I1176" t="str">
        <f>SUBSTITUTE(IF(LEFT(A1179,3)="Câu","",B1179),CHAR(34),CHAR(92)&amp;CHAR(34))</f>
        <v>Báo hiệu hệ thống chống bó cứng khi phanh bị lỗi.</v>
      </c>
      <c r="J1176" t="str">
        <f>SUBSTITUTE(IF(OR(LEFT(A1180,3)="Câu",I1176=""),"",IF(B1180=0,"",B1180)),CHAR(34),CHAR(92)&amp;CHAR(34))</f>
        <v>Áp suất lốp không đủ.</v>
      </c>
      <c r="K1176" t="str">
        <f>SUBSTITUTE(SUBSTITUTE(SUBSTITUTE(SUBSTITUTE(IFERROR(VLOOKUP("Câu "&amp;D1176&amp;".",dapan!$E:$J,6,0),""),"1","A"),"2","B"),"3","C"),"4","D")</f>
        <v/>
      </c>
      <c r="P1176" t="str">
        <f t="shared" si="62"/>
        <v/>
      </c>
      <c r="Q1176" t="str">
        <f t="shared" si="63"/>
        <v/>
      </c>
    </row>
    <row r="1177" spans="1:17" hidden="1" x14ac:dyDescent="0.25">
      <c r="A1177">
        <v>4</v>
      </c>
      <c r="B1177" t="s">
        <v>1013</v>
      </c>
      <c r="C1177">
        <f>IFERROR(COUNTIFS($A$1:A1177,"Câu "&amp;"*")-MID(A1177,5,FIND(".",A1177,1)-5),0)</f>
        <v>0</v>
      </c>
      <c r="D1177" t="str">
        <f t="shared" ref="D1177:D1240" si="65">IF(LEFT(A1177,3)="Câu",VALUE(MID(A1177,5,FIND(".",A1177,1)-5)),"")</f>
        <v/>
      </c>
      <c r="E1177" t="str">
        <f>SUBSTITUTE(IF(LEFT(A1177,3)="Câu",MID(A1177,FIND(".",A1177,1)+2,LEN(A1177)),""),CHAR(34),CHAR(92)&amp;CHAR(34))</f>
        <v/>
      </c>
      <c r="F1177" t="str">
        <f t="shared" si="64"/>
        <v/>
      </c>
      <c r="G1177" t="str">
        <f>SUBSTITUTE(B1178,CHAR(34),CHAR(92)&amp;CHAR(34))</f>
        <v/>
      </c>
      <c r="H1177" t="str">
        <f>SUBSTITUTE(B1179,CHAR(34),CHAR(92)&amp;CHAR(34))</f>
        <v>Báo hiệu hệ thống chống bó cứng khi phanh bị lỗi.</v>
      </c>
      <c r="I1177" t="str">
        <f>SUBSTITUTE(IF(LEFT(A1180,3)="Câu","",B1180),CHAR(34),CHAR(92)&amp;CHAR(34))</f>
        <v>Áp suất lốp không đủ.</v>
      </c>
      <c r="J1177" t="str">
        <f>SUBSTITUTE(IF(OR(LEFT(A1181,3)="Câu",I1177=""),"",IF(B1181=0,"",B1181)),CHAR(34),CHAR(92)&amp;CHAR(34))</f>
        <v>Đang hãm phanh tay.</v>
      </c>
      <c r="K1177" t="str">
        <f>SUBSTITUTE(SUBSTITUTE(SUBSTITUTE(SUBSTITUTE(IFERROR(VLOOKUP("Câu "&amp;D1177&amp;".",dapan!$E:$J,6,0),""),"1","A"),"2","B"),"3","C"),"4","D")</f>
        <v/>
      </c>
      <c r="P1177" t="str">
        <f t="shared" si="62"/>
        <v/>
      </c>
      <c r="Q1177" t="str">
        <f t="shared" si="63"/>
        <v/>
      </c>
    </row>
    <row r="1178" spans="1:17" x14ac:dyDescent="0.25">
      <c r="A1178" t="s">
        <v>1014</v>
      </c>
      <c r="C1178">
        <f>IFERROR(COUNTIFS($A$1:A1178,"Câu "&amp;"*")-MID(A1178,5,FIND(".",A1178,1)-5),0)</f>
        <v>0</v>
      </c>
      <c r="D1178">
        <f t="shared" si="65"/>
        <v>287</v>
      </c>
      <c r="E1178" t="str">
        <f>SUBSTITUTE(IF(LEFT(A1178,3)="Câu",MID(A1178,FIND(".",A1178,1)+2,LEN(A1178)),""),CHAR(34),CHAR(92)&amp;CHAR(34))</f>
        <v>Khi động cơ ô tô đã khởi động, bảng đồng hồ xuất hiện ký hiệu như hình vẽ dưới đây, báo hiệu tình trạng như thế nào của xe ô tô?</v>
      </c>
      <c r="F1178" t="str">
        <f t="shared" si="64"/>
        <v>q287.jpg</v>
      </c>
      <c r="G1178" t="str">
        <f>SUBSTITUTE(B1179,CHAR(34),CHAR(92)&amp;CHAR(34))</f>
        <v>Báo hiệu hệ thống chống bó cứng khi phanh bị lỗi.</v>
      </c>
      <c r="H1178" t="str">
        <f>SUBSTITUTE(B1180,CHAR(34),CHAR(92)&amp;CHAR(34))</f>
        <v>Áp suất lốp không đủ.</v>
      </c>
      <c r="I1178" t="str">
        <f>SUBSTITUTE(IF(LEFT(A1181,3)="Câu","",B1181),CHAR(34),CHAR(92)&amp;CHAR(34))</f>
        <v>Đang hãm phanh tay.</v>
      </c>
      <c r="J1178" t="str">
        <f>SUBSTITUTE(IF(OR(LEFT(A1182,3)="Câu",I1178=""),"",IF(B1182=0,"",B1182)),CHAR(34),CHAR(92)&amp;CHAR(34))</f>
        <v xml:space="preserve"> Cần kiểm tra động cơ.</v>
      </c>
      <c r="K1178" t="str">
        <f ca="1">SUBSTITUTE(SUBSTITUTE(SUBSTITUTE(SUBSTITUTE(IFERROR(VLOOKUP("Câu "&amp;D1178&amp;".",dapan!$E:$J,6,0),""),"1","A"),"2","B"),"3","C"),"4","D")</f>
        <v>D</v>
      </c>
      <c r="P1178">
        <f t="shared" si="62"/>
        <v>287</v>
      </c>
      <c r="Q1178" t="str">
        <f t="shared" ca="1" si="63"/>
        <v>{"num":287,"id":287,"q":"Khi động cơ ô tô đã khởi động, bảng đồng hồ xuất hiện ký hiệu như hình vẽ dưới đây, báo hiệu tình trạng như thế nào của xe ô tô?","img":"q287.jpg","opts":{"A":"Báo hiệu hệ thống chống bó cứng khi phanh bị lỗi.","B":"Áp suất lốp không đủ.","C":"Đang hãm phanh tay.","D":" Cần kiểm tra động cơ."},"answer":"D"},</v>
      </c>
    </row>
    <row r="1179" spans="1:17" hidden="1" x14ac:dyDescent="0.25">
      <c r="A1179">
        <v>1</v>
      </c>
      <c r="B1179" t="s">
        <v>1015</v>
      </c>
      <c r="C1179">
        <f>IFERROR(COUNTIFS($A$1:A1179,"Câu "&amp;"*")-MID(A1179,5,FIND(".",A1179,1)-5),0)</f>
        <v>0</v>
      </c>
      <c r="D1179" t="str">
        <f t="shared" si="65"/>
        <v/>
      </c>
      <c r="E1179" t="str">
        <f>SUBSTITUTE(IF(LEFT(A1179,3)="Câu",MID(A1179,FIND(".",A1179,1)+2,LEN(A1179)),""),CHAR(34),CHAR(92)&amp;CHAR(34))</f>
        <v/>
      </c>
      <c r="F1179" t="str">
        <f t="shared" si="64"/>
        <v/>
      </c>
      <c r="G1179" t="str">
        <f>SUBSTITUTE(B1180,CHAR(34),CHAR(92)&amp;CHAR(34))</f>
        <v>Áp suất lốp không đủ.</v>
      </c>
      <c r="H1179" t="str">
        <f>SUBSTITUTE(B1181,CHAR(34),CHAR(92)&amp;CHAR(34))</f>
        <v>Đang hãm phanh tay.</v>
      </c>
      <c r="I1179" t="str">
        <f>SUBSTITUTE(IF(LEFT(A1182,3)="Câu","",B1182),CHAR(34),CHAR(92)&amp;CHAR(34))</f>
        <v xml:space="preserve"> Cần kiểm tra động cơ.</v>
      </c>
      <c r="J1179" t="str">
        <f>SUBSTITUTE(IF(OR(LEFT(A1183,3)="Câu",I1179=""),"",IF(B1183=0,"",B1183)),CHAR(34),CHAR(92)&amp;CHAR(34))</f>
        <v/>
      </c>
      <c r="K1179" t="str">
        <f>SUBSTITUTE(SUBSTITUTE(SUBSTITUTE(SUBSTITUTE(IFERROR(VLOOKUP("Câu "&amp;D1179&amp;".",dapan!$E:$J,6,0),""),"1","A"),"2","B"),"3","C"),"4","D")</f>
        <v/>
      </c>
      <c r="P1179" t="str">
        <f t="shared" si="62"/>
        <v/>
      </c>
      <c r="Q1179" t="str">
        <f t="shared" si="63"/>
        <v/>
      </c>
    </row>
    <row r="1180" spans="1:17" hidden="1" x14ac:dyDescent="0.25">
      <c r="A1180">
        <v>2</v>
      </c>
      <c r="B1180" t="s">
        <v>813</v>
      </c>
      <c r="C1180">
        <f>IFERROR(COUNTIFS($A$1:A1180,"Câu "&amp;"*")-MID(A1180,5,FIND(".",A1180,1)-5),0)</f>
        <v>0</v>
      </c>
      <c r="D1180" t="str">
        <f t="shared" si="65"/>
        <v/>
      </c>
      <c r="E1180" t="str">
        <f>SUBSTITUTE(IF(LEFT(A1180,3)="Câu",MID(A1180,FIND(".",A1180,1)+2,LEN(A1180)),""),CHAR(34),CHAR(92)&amp;CHAR(34))</f>
        <v/>
      </c>
      <c r="F1180" t="str">
        <f t="shared" si="64"/>
        <v/>
      </c>
      <c r="G1180" t="str">
        <f>SUBSTITUTE(B1181,CHAR(34),CHAR(92)&amp;CHAR(34))</f>
        <v>Đang hãm phanh tay.</v>
      </c>
      <c r="H1180" t="str">
        <f>SUBSTITUTE(B1182,CHAR(34),CHAR(92)&amp;CHAR(34))</f>
        <v xml:space="preserve"> Cần kiểm tra động cơ.</v>
      </c>
      <c r="I1180" t="str">
        <f>SUBSTITUTE(IF(LEFT(A1183,3)="Câu","",B1183),CHAR(34),CHAR(92)&amp;CHAR(34))</f>
        <v/>
      </c>
      <c r="J1180" t="str">
        <f>SUBSTITUTE(IF(OR(LEFT(A1184,3)="Câu",I1180=""),"",IF(B1184=0,"",B1184)),CHAR(34),CHAR(92)&amp;CHAR(34))</f>
        <v/>
      </c>
      <c r="K1180" t="str">
        <f>SUBSTITUTE(SUBSTITUTE(SUBSTITUTE(SUBSTITUTE(IFERROR(VLOOKUP("Câu "&amp;D1180&amp;".",dapan!$E:$J,6,0),""),"1","A"),"2","B"),"3","C"),"4","D")</f>
        <v/>
      </c>
      <c r="P1180" t="str">
        <f t="shared" si="62"/>
        <v/>
      </c>
      <c r="Q1180" t="str">
        <f t="shared" si="63"/>
        <v/>
      </c>
    </row>
    <row r="1181" spans="1:17" hidden="1" x14ac:dyDescent="0.25">
      <c r="A1181">
        <v>3</v>
      </c>
      <c r="B1181" t="s">
        <v>1012</v>
      </c>
      <c r="C1181">
        <f>IFERROR(COUNTIFS($A$1:A1181,"Câu "&amp;"*")-MID(A1181,5,FIND(".",A1181,1)-5),0)</f>
        <v>0</v>
      </c>
      <c r="D1181" t="str">
        <f t="shared" si="65"/>
        <v/>
      </c>
      <c r="E1181" t="str">
        <f>SUBSTITUTE(IF(LEFT(A1181,3)="Câu",MID(A1181,FIND(".",A1181,1)+2,LEN(A1181)),""),CHAR(34),CHAR(92)&amp;CHAR(34))</f>
        <v/>
      </c>
      <c r="F1181" t="str">
        <f t="shared" si="64"/>
        <v/>
      </c>
      <c r="G1181" t="str">
        <f>SUBSTITUTE(B1182,CHAR(34),CHAR(92)&amp;CHAR(34))</f>
        <v xml:space="preserve"> Cần kiểm tra động cơ.</v>
      </c>
      <c r="H1181" t="str">
        <f>SUBSTITUTE(B1183,CHAR(34),CHAR(92)&amp;CHAR(34))</f>
        <v/>
      </c>
      <c r="I1181" t="str">
        <f>SUBSTITUTE(IF(LEFT(A1184,3)="Câu","",B1184),CHAR(34),CHAR(92)&amp;CHAR(34))</f>
        <v>Báo hiệu thiếu dầu phanh.</v>
      </c>
      <c r="J1181" t="str">
        <f>SUBSTITUTE(IF(OR(LEFT(A1185,3)="Câu",I1181=""),"",IF(B1185=0,"",B1185)),CHAR(34),CHAR(92)&amp;CHAR(34))</f>
        <v xml:space="preserve"> Áp suất lốp không đủ.</v>
      </c>
      <c r="K1181" t="str">
        <f>SUBSTITUTE(SUBSTITUTE(SUBSTITUTE(SUBSTITUTE(IFERROR(VLOOKUP("Câu "&amp;D1181&amp;".",dapan!$E:$J,6,0),""),"1","A"),"2","B"),"3","C"),"4","D")</f>
        <v/>
      </c>
      <c r="P1181" t="str">
        <f t="shared" si="62"/>
        <v/>
      </c>
      <c r="Q1181" t="str">
        <f t="shared" si="63"/>
        <v/>
      </c>
    </row>
    <row r="1182" spans="1:17" hidden="1" x14ac:dyDescent="0.25">
      <c r="A1182">
        <v>4</v>
      </c>
      <c r="B1182" t="s">
        <v>1016</v>
      </c>
      <c r="C1182">
        <f>IFERROR(COUNTIFS($A$1:A1182,"Câu "&amp;"*")-MID(A1182,5,FIND(".",A1182,1)-5),0)</f>
        <v>0</v>
      </c>
      <c r="D1182" t="str">
        <f t="shared" si="65"/>
        <v/>
      </c>
      <c r="E1182" t="str">
        <f>SUBSTITUTE(IF(LEFT(A1182,3)="Câu",MID(A1182,FIND(".",A1182,1)+2,LEN(A1182)),""),CHAR(34),CHAR(92)&amp;CHAR(34))</f>
        <v/>
      </c>
      <c r="F1182" t="str">
        <f t="shared" si="64"/>
        <v/>
      </c>
      <c r="G1182" t="str">
        <f>SUBSTITUTE(B1183,CHAR(34),CHAR(92)&amp;CHAR(34))</f>
        <v/>
      </c>
      <c r="H1182" t="str">
        <f>SUBSTITUTE(B1184,CHAR(34),CHAR(92)&amp;CHAR(34))</f>
        <v>Báo hiệu thiếu dầu phanh.</v>
      </c>
      <c r="I1182" t="str">
        <f>SUBSTITUTE(IF(LEFT(A1185,3)="Câu","",B1185),CHAR(34),CHAR(92)&amp;CHAR(34))</f>
        <v xml:space="preserve"> Áp suất lốp không đủ.</v>
      </c>
      <c r="J1182" t="str">
        <f>SUBSTITUTE(IF(OR(LEFT(A1186,3)="Câu",I1182=""),"",IF(B1186=0,"",B1186)),CHAR(34),CHAR(92)&amp;CHAR(34))</f>
        <v>Đang hãm phanh tay.</v>
      </c>
      <c r="K1182" t="str">
        <f>SUBSTITUTE(SUBSTITUTE(SUBSTITUTE(SUBSTITUTE(IFERROR(VLOOKUP("Câu "&amp;D1182&amp;".",dapan!$E:$J,6,0),""),"1","A"),"2","B"),"3","C"),"4","D")</f>
        <v/>
      </c>
      <c r="P1182" t="str">
        <f t="shared" si="62"/>
        <v/>
      </c>
      <c r="Q1182" t="str">
        <f t="shared" si="63"/>
        <v/>
      </c>
    </row>
    <row r="1183" spans="1:17" x14ac:dyDescent="0.25">
      <c r="A1183" t="s">
        <v>1017</v>
      </c>
      <c r="C1183">
        <f>IFERROR(COUNTIFS($A$1:A1183,"Câu "&amp;"*")-MID(A1183,5,FIND(".",A1183,1)-5),0)</f>
        <v>0</v>
      </c>
      <c r="D1183">
        <f t="shared" si="65"/>
        <v>288</v>
      </c>
      <c r="E1183" t="str">
        <f>SUBSTITUTE(IF(LEFT(A1183,3)="Câu",MID(A1183,FIND(".",A1183,1)+2,LEN(A1183)),""),CHAR(34),CHAR(92)&amp;CHAR(34))</f>
        <v>Khi động cơ ô tô đã khởi động, bảng đồng hồ xuất hiện ký hiệu như hình vẽ dưới đây, báo hiệu tình trạng như thế nào của xe ô tô?</v>
      </c>
      <c r="F1183" t="str">
        <f t="shared" si="64"/>
        <v>q288.jpg</v>
      </c>
      <c r="G1183" t="str">
        <f>SUBSTITUTE(B1184,CHAR(34),CHAR(92)&amp;CHAR(34))</f>
        <v>Báo hiệu thiếu dầu phanh.</v>
      </c>
      <c r="H1183" t="str">
        <f>SUBSTITUTE(B1185,CHAR(34),CHAR(92)&amp;CHAR(34))</f>
        <v xml:space="preserve"> Áp suất lốp không đủ.</v>
      </c>
      <c r="I1183" t="str">
        <f>SUBSTITUTE(IF(LEFT(A1186,3)="Câu","",B1186),CHAR(34),CHAR(92)&amp;CHAR(34))</f>
        <v>Đang hãm phanh tay.</v>
      </c>
      <c r="J1183" t="str">
        <f>SUBSTITUTE(IF(OR(LEFT(A1187,3)="Câu",I1183=""),"",IF(B1187=0,"",B1187)),CHAR(34),CHAR(92)&amp;CHAR(34))</f>
        <v>Sắp hết nhiên liệu.</v>
      </c>
      <c r="K1183" t="str">
        <f ca="1">SUBSTITUTE(SUBSTITUTE(SUBSTITUTE(SUBSTITUTE(IFERROR(VLOOKUP("Câu "&amp;D1183&amp;".",dapan!$E:$J,6,0),""),"1","A"),"2","B"),"3","C"),"4","D")</f>
        <v>B</v>
      </c>
      <c r="P1183">
        <f t="shared" si="62"/>
        <v>288</v>
      </c>
      <c r="Q1183" t="str">
        <f t="shared" ca="1" si="63"/>
        <v>{"num":288,"id":288,"q":"Khi động cơ ô tô đã khởi động, bảng đồng hồ xuất hiện ký hiệu như hình vẽ dưới đây, báo hiệu tình trạng như thế nào của xe ô tô?","img":"q288.jpg","opts":{"A":"Báo hiệu thiếu dầu phanh.","B":" Áp suất lốp không đủ.","C":"Đang hãm phanh tay.","D":"Sắp hết nhiên liệu."},"answer":"B"},</v>
      </c>
    </row>
    <row r="1184" spans="1:17" hidden="1" x14ac:dyDescent="0.25">
      <c r="A1184">
        <v>1</v>
      </c>
      <c r="B1184" t="s">
        <v>812</v>
      </c>
      <c r="C1184">
        <f>IFERROR(COUNTIFS($A$1:A1184,"Câu "&amp;"*")-MID(A1184,5,FIND(".",A1184,1)-5),0)</f>
        <v>0</v>
      </c>
      <c r="D1184" t="str">
        <f t="shared" si="65"/>
        <v/>
      </c>
      <c r="E1184" t="str">
        <f>SUBSTITUTE(IF(LEFT(A1184,3)="Câu",MID(A1184,FIND(".",A1184,1)+2,LEN(A1184)),""),CHAR(34),CHAR(92)&amp;CHAR(34))</f>
        <v/>
      </c>
      <c r="F1184" t="str">
        <f t="shared" si="64"/>
        <v/>
      </c>
      <c r="G1184" t="str">
        <f>SUBSTITUTE(B1185,CHAR(34),CHAR(92)&amp;CHAR(34))</f>
        <v xml:space="preserve"> Áp suất lốp không đủ.</v>
      </c>
      <c r="H1184" t="str">
        <f>SUBSTITUTE(B1186,CHAR(34),CHAR(92)&amp;CHAR(34))</f>
        <v>Đang hãm phanh tay.</v>
      </c>
      <c r="I1184" t="str">
        <f>SUBSTITUTE(IF(LEFT(A1187,3)="Câu","",B1187),CHAR(34),CHAR(92)&amp;CHAR(34))</f>
        <v>Sắp hết nhiên liệu.</v>
      </c>
      <c r="J1184" t="str">
        <f>SUBSTITUTE(IF(OR(LEFT(A1188,3)="Câu",I1184=""),"",IF(B1188=0,"",B1188)),CHAR(34),CHAR(92)&amp;CHAR(34))</f>
        <v/>
      </c>
      <c r="K1184" t="str">
        <f>SUBSTITUTE(SUBSTITUTE(SUBSTITUTE(SUBSTITUTE(IFERROR(VLOOKUP("Câu "&amp;D1184&amp;".",dapan!$E:$J,6,0),""),"1","A"),"2","B"),"3","C"),"4","D")</f>
        <v/>
      </c>
      <c r="P1184" t="str">
        <f t="shared" si="62"/>
        <v/>
      </c>
      <c r="Q1184" t="str">
        <f t="shared" si="63"/>
        <v/>
      </c>
    </row>
    <row r="1185" spans="1:17" hidden="1" x14ac:dyDescent="0.25">
      <c r="A1185">
        <v>2</v>
      </c>
      <c r="B1185" t="s">
        <v>1018</v>
      </c>
      <c r="C1185">
        <f>IFERROR(COUNTIFS($A$1:A1185,"Câu "&amp;"*")-MID(A1185,5,FIND(".",A1185,1)-5),0)</f>
        <v>0</v>
      </c>
      <c r="D1185" t="str">
        <f t="shared" si="65"/>
        <v/>
      </c>
      <c r="E1185" t="str">
        <f>SUBSTITUTE(IF(LEFT(A1185,3)="Câu",MID(A1185,FIND(".",A1185,1)+2,LEN(A1185)),""),CHAR(34),CHAR(92)&amp;CHAR(34))</f>
        <v/>
      </c>
      <c r="F1185" t="str">
        <f t="shared" si="64"/>
        <v/>
      </c>
      <c r="G1185" t="str">
        <f>SUBSTITUTE(B1186,CHAR(34),CHAR(92)&amp;CHAR(34))</f>
        <v>Đang hãm phanh tay.</v>
      </c>
      <c r="H1185" t="str">
        <f>SUBSTITUTE(B1187,CHAR(34),CHAR(92)&amp;CHAR(34))</f>
        <v>Sắp hết nhiên liệu.</v>
      </c>
      <c r="I1185" t="str">
        <f>SUBSTITUTE(IF(LEFT(A1188,3)="Câu","",B1188),CHAR(34),CHAR(92)&amp;CHAR(34))</f>
        <v/>
      </c>
      <c r="J1185" t="str">
        <f>SUBSTITUTE(IF(OR(LEFT(A1189,3)="Câu",I1185=""),"",IF(B1189=0,"",B1189)),CHAR(34),CHAR(92)&amp;CHAR(34))</f>
        <v/>
      </c>
      <c r="K1185" t="str">
        <f>SUBSTITUTE(SUBSTITUTE(SUBSTITUTE(SUBSTITUTE(IFERROR(VLOOKUP("Câu "&amp;D1185&amp;".",dapan!$E:$J,6,0),""),"1","A"),"2","B"),"3","C"),"4","D")</f>
        <v/>
      </c>
      <c r="P1185" t="str">
        <f t="shared" si="62"/>
        <v/>
      </c>
      <c r="Q1185" t="str">
        <f t="shared" si="63"/>
        <v/>
      </c>
    </row>
    <row r="1186" spans="1:17" hidden="1" x14ac:dyDescent="0.25">
      <c r="A1186">
        <v>3</v>
      </c>
      <c r="B1186" t="s">
        <v>1012</v>
      </c>
      <c r="C1186">
        <f>IFERROR(COUNTIFS($A$1:A1186,"Câu "&amp;"*")-MID(A1186,5,FIND(".",A1186,1)-5),0)</f>
        <v>0</v>
      </c>
      <c r="D1186" t="str">
        <f t="shared" si="65"/>
        <v/>
      </c>
      <c r="E1186" t="str">
        <f>SUBSTITUTE(IF(LEFT(A1186,3)="Câu",MID(A1186,FIND(".",A1186,1)+2,LEN(A1186)),""),CHAR(34),CHAR(92)&amp;CHAR(34))</f>
        <v/>
      </c>
      <c r="F1186" t="str">
        <f t="shared" si="64"/>
        <v/>
      </c>
      <c r="G1186" t="str">
        <f>SUBSTITUTE(B1187,CHAR(34),CHAR(92)&amp;CHAR(34))</f>
        <v>Sắp hết nhiên liệu.</v>
      </c>
      <c r="H1186" t="str">
        <f>SUBSTITUTE(B1188,CHAR(34),CHAR(92)&amp;CHAR(34))</f>
        <v/>
      </c>
      <c r="I1186" t="str">
        <f>SUBSTITUTE(IF(LEFT(A1189,3)="Câu","",B1189),CHAR(34),CHAR(92)&amp;CHAR(34))</f>
        <v xml:space="preserve"> Báo hiệu hệ thống chống bó cứng phanh bị lỗi.</v>
      </c>
      <c r="J1186" t="str">
        <f>SUBSTITUTE(IF(OR(LEFT(A1190,3)="Câu",I1186=""),"",IF(B1190=0,"",B1190)),CHAR(34),CHAR(92)&amp;CHAR(34))</f>
        <v>Áp suất lốp không đủ.</v>
      </c>
      <c r="K1186" t="str">
        <f>SUBSTITUTE(SUBSTITUTE(SUBSTITUTE(SUBSTITUTE(IFERROR(VLOOKUP("Câu "&amp;D1186&amp;".",dapan!$E:$J,6,0),""),"1","A"),"2","B"),"3","C"),"4","D")</f>
        <v/>
      </c>
      <c r="P1186" t="str">
        <f t="shared" si="62"/>
        <v/>
      </c>
      <c r="Q1186" t="str">
        <f t="shared" si="63"/>
        <v/>
      </c>
    </row>
    <row r="1187" spans="1:17" hidden="1" x14ac:dyDescent="0.25">
      <c r="A1187">
        <v>4</v>
      </c>
      <c r="B1187" t="s">
        <v>1019</v>
      </c>
      <c r="C1187">
        <f>IFERROR(COUNTIFS($A$1:A1187,"Câu "&amp;"*")-MID(A1187,5,FIND(".",A1187,1)-5),0)</f>
        <v>0</v>
      </c>
      <c r="D1187" t="str">
        <f t="shared" si="65"/>
        <v/>
      </c>
      <c r="E1187" t="str">
        <f>SUBSTITUTE(IF(LEFT(A1187,3)="Câu",MID(A1187,FIND(".",A1187,1)+2,LEN(A1187)),""),CHAR(34),CHAR(92)&amp;CHAR(34))</f>
        <v/>
      </c>
      <c r="F1187" t="str">
        <f t="shared" si="64"/>
        <v/>
      </c>
      <c r="G1187" t="str">
        <f>SUBSTITUTE(B1188,CHAR(34),CHAR(92)&amp;CHAR(34))</f>
        <v/>
      </c>
      <c r="H1187" t="str">
        <f>SUBSTITUTE(B1189,CHAR(34),CHAR(92)&amp;CHAR(34))</f>
        <v xml:space="preserve"> Báo hiệu hệ thống chống bó cứng phanh bị lỗi.</v>
      </c>
      <c r="I1187" t="str">
        <f>SUBSTITUTE(IF(LEFT(A1190,3)="Câu","",B1190),CHAR(34),CHAR(92)&amp;CHAR(34))</f>
        <v>Áp suất lốp không đủ.</v>
      </c>
      <c r="J1187" t="str">
        <f>SUBSTITUTE(IF(OR(LEFT(A1191,3)="Câu",I1187=""),"",IF(B1191=0,"",B1191)),CHAR(34),CHAR(92)&amp;CHAR(34))</f>
        <v>Đang hãm phanh tay.</v>
      </c>
      <c r="K1187" t="str">
        <f>SUBSTITUTE(SUBSTITUTE(SUBSTITUTE(SUBSTITUTE(IFERROR(VLOOKUP("Câu "&amp;D1187&amp;".",dapan!$E:$J,6,0),""),"1","A"),"2","B"),"3","C"),"4","D")</f>
        <v/>
      </c>
      <c r="P1187" t="str">
        <f t="shared" si="62"/>
        <v/>
      </c>
      <c r="Q1187" t="str">
        <f t="shared" si="63"/>
        <v/>
      </c>
    </row>
    <row r="1188" spans="1:17" x14ac:dyDescent="0.25">
      <c r="A1188" t="s">
        <v>1020</v>
      </c>
      <c r="C1188">
        <f>IFERROR(COUNTIFS($A$1:A1188,"Câu "&amp;"*")-MID(A1188,5,FIND(".",A1188,1)-5),0)</f>
        <v>0</v>
      </c>
      <c r="D1188">
        <f t="shared" si="65"/>
        <v>289</v>
      </c>
      <c r="E1188" t="str">
        <f>SUBSTITUTE(IF(LEFT(A1188,3)="Câu",MID(A1188,FIND(".",A1188,1)+2,LEN(A1188)),""),CHAR(34),CHAR(92)&amp;CHAR(34))</f>
        <v>Khi động cơ ô tô đã khởi động, bảng đồng hồ xuất hiện ký hiệu như hình vẽ dưới đây, báo hiệu tình trạng như thế nào của xe ô tô?</v>
      </c>
      <c r="F1188" t="str">
        <f t="shared" si="64"/>
        <v>q289.jpg</v>
      </c>
      <c r="G1188" t="str">
        <f>SUBSTITUTE(B1189,CHAR(34),CHAR(92)&amp;CHAR(34))</f>
        <v xml:space="preserve"> Báo hiệu hệ thống chống bó cứng phanh bị lỗi.</v>
      </c>
      <c r="H1188" t="str">
        <f>SUBSTITUTE(B1190,CHAR(34),CHAR(92)&amp;CHAR(34))</f>
        <v>Áp suất lốp không đủ.</v>
      </c>
      <c r="I1188" t="str">
        <f>SUBSTITUTE(IF(LEFT(A1191,3)="Câu","",B1191),CHAR(34),CHAR(92)&amp;CHAR(34))</f>
        <v>Đang hãm phanh tay.</v>
      </c>
      <c r="J1188" t="str">
        <f>SUBSTITUTE(IF(OR(LEFT(A1192,3)="Câu",I1188=""),"",IF(B1192=0,"",B1192)),CHAR(34),CHAR(92)&amp;CHAR(34))</f>
        <v>Sắp hết nhiên liệu.</v>
      </c>
      <c r="K1188" t="str">
        <f ca="1">SUBSTITUTE(SUBSTITUTE(SUBSTITUTE(SUBSTITUTE(IFERROR(VLOOKUP("Câu "&amp;D1188&amp;".",dapan!$E:$J,6,0),""),"1","A"),"2","B"),"3","C"),"4","D")</f>
        <v>A</v>
      </c>
      <c r="P1188">
        <f t="shared" si="62"/>
        <v>289</v>
      </c>
      <c r="Q1188" t="str">
        <f t="shared" ca="1" si="63"/>
        <v>{"num":289,"id":289,"q":"Khi động cơ ô tô đã khởi động, bảng đồng hồ xuất hiện ký hiệu như hình vẽ dưới đây, báo hiệu tình trạng như thế nào của xe ô tô?","img":"q289.jpg","opts":{"A":" Báo hiệu hệ thống chống bó cứng phanh bị lỗi.","B":"Áp suất lốp không đủ.","C":"Đang hãm phanh tay.","D":"Sắp hết nhiên liệu."},"answer":"A"},</v>
      </c>
    </row>
    <row r="1189" spans="1:17" hidden="1" x14ac:dyDescent="0.25">
      <c r="A1189">
        <v>1</v>
      </c>
      <c r="B1189" t="s">
        <v>1021</v>
      </c>
      <c r="C1189">
        <f>IFERROR(COUNTIFS($A$1:A1189,"Câu "&amp;"*")-MID(A1189,5,FIND(".",A1189,1)-5),0)</f>
        <v>0</v>
      </c>
      <c r="D1189" t="str">
        <f t="shared" si="65"/>
        <v/>
      </c>
      <c r="E1189" t="str">
        <f>SUBSTITUTE(IF(LEFT(A1189,3)="Câu",MID(A1189,FIND(".",A1189,1)+2,LEN(A1189)),""),CHAR(34),CHAR(92)&amp;CHAR(34))</f>
        <v/>
      </c>
      <c r="F1189" t="str">
        <f t="shared" si="64"/>
        <v/>
      </c>
      <c r="G1189" t="str">
        <f>SUBSTITUTE(B1190,CHAR(34),CHAR(92)&amp;CHAR(34))</f>
        <v>Áp suất lốp không đủ.</v>
      </c>
      <c r="H1189" t="str">
        <f>SUBSTITUTE(B1191,CHAR(34),CHAR(92)&amp;CHAR(34))</f>
        <v>Đang hãm phanh tay.</v>
      </c>
      <c r="I1189" t="str">
        <f>SUBSTITUTE(IF(LEFT(A1192,3)="Câu","",B1192),CHAR(34),CHAR(92)&amp;CHAR(34))</f>
        <v>Sắp hết nhiên liệu.</v>
      </c>
      <c r="J1189" t="str">
        <f>SUBSTITUTE(IF(OR(LEFT(A1193,3)="Câu",I1189=""),"",IF(B1193=0,"",B1193)),CHAR(34),CHAR(92)&amp;CHAR(34))</f>
        <v/>
      </c>
      <c r="K1189" t="str">
        <f>SUBSTITUTE(SUBSTITUTE(SUBSTITUTE(SUBSTITUTE(IFERROR(VLOOKUP("Câu "&amp;D1189&amp;".",dapan!$E:$J,6,0),""),"1","A"),"2","B"),"3","C"),"4","D")</f>
        <v/>
      </c>
      <c r="P1189" t="str">
        <f t="shared" si="62"/>
        <v/>
      </c>
      <c r="Q1189" t="str">
        <f t="shared" si="63"/>
        <v/>
      </c>
    </row>
    <row r="1190" spans="1:17" hidden="1" x14ac:dyDescent="0.25">
      <c r="A1190">
        <v>2</v>
      </c>
      <c r="B1190" t="s">
        <v>813</v>
      </c>
      <c r="C1190">
        <f>IFERROR(COUNTIFS($A$1:A1190,"Câu "&amp;"*")-MID(A1190,5,FIND(".",A1190,1)-5),0)</f>
        <v>0</v>
      </c>
      <c r="D1190" t="str">
        <f t="shared" si="65"/>
        <v/>
      </c>
      <c r="E1190" t="str">
        <f>SUBSTITUTE(IF(LEFT(A1190,3)="Câu",MID(A1190,FIND(".",A1190,1)+2,LEN(A1190)),""),CHAR(34),CHAR(92)&amp;CHAR(34))</f>
        <v/>
      </c>
      <c r="F1190" t="str">
        <f t="shared" si="64"/>
        <v/>
      </c>
      <c r="G1190" t="str">
        <f>SUBSTITUTE(B1191,CHAR(34),CHAR(92)&amp;CHAR(34))</f>
        <v>Đang hãm phanh tay.</v>
      </c>
      <c r="H1190" t="str">
        <f>SUBSTITUTE(B1192,CHAR(34),CHAR(92)&amp;CHAR(34))</f>
        <v>Sắp hết nhiên liệu.</v>
      </c>
      <c r="I1190" t="str">
        <f>SUBSTITUTE(IF(LEFT(A1193,3)="Câu","",B1193),CHAR(34),CHAR(92)&amp;CHAR(34))</f>
        <v/>
      </c>
      <c r="J1190" t="str">
        <f>SUBSTITUTE(IF(OR(LEFT(A1194,3)="Câu",I1190=""),"",IF(B1194=0,"",B1194)),CHAR(34),CHAR(92)&amp;CHAR(34))</f>
        <v/>
      </c>
      <c r="K1190" t="str">
        <f>SUBSTITUTE(SUBSTITUTE(SUBSTITUTE(SUBSTITUTE(IFERROR(VLOOKUP("Câu "&amp;D1190&amp;".",dapan!$E:$J,6,0),""),"1","A"),"2","B"),"3","C"),"4","D")</f>
        <v/>
      </c>
      <c r="P1190" t="str">
        <f t="shared" si="62"/>
        <v/>
      </c>
      <c r="Q1190" t="str">
        <f t="shared" si="63"/>
        <v/>
      </c>
    </row>
    <row r="1191" spans="1:17" hidden="1" x14ac:dyDescent="0.25">
      <c r="A1191">
        <v>3</v>
      </c>
      <c r="B1191" t="s">
        <v>1012</v>
      </c>
      <c r="C1191">
        <f>IFERROR(COUNTIFS($A$1:A1191,"Câu "&amp;"*")-MID(A1191,5,FIND(".",A1191,1)-5),0)</f>
        <v>0</v>
      </c>
      <c r="D1191" t="str">
        <f t="shared" si="65"/>
        <v/>
      </c>
      <c r="E1191" t="str">
        <f>SUBSTITUTE(IF(LEFT(A1191,3)="Câu",MID(A1191,FIND(".",A1191,1)+2,LEN(A1191)),""),CHAR(34),CHAR(92)&amp;CHAR(34))</f>
        <v/>
      </c>
      <c r="F1191" t="str">
        <f t="shared" si="64"/>
        <v/>
      </c>
      <c r="G1191" t="str">
        <f>SUBSTITUTE(B1192,CHAR(34),CHAR(92)&amp;CHAR(34))</f>
        <v>Sắp hết nhiên liệu.</v>
      </c>
      <c r="H1191" t="str">
        <f>SUBSTITUTE(B1193,CHAR(34),CHAR(92)&amp;CHAR(34))</f>
        <v/>
      </c>
      <c r="I1191" t="str">
        <f>SUBSTITUTE(IF(LEFT(A1194,3)="Câu","",B1194),CHAR(34),CHAR(92)&amp;CHAR(34))</f>
        <v xml:space="preserve"> Phải đạp hết hành trình bàn đạp chân phanh.</v>
      </c>
      <c r="J1191" t="str">
        <f>SUBSTITUTE(IF(OR(LEFT(A1195,3)="Câu",I1191=""),"",IF(B1195=0,"",B1195)),CHAR(34),CHAR(92)&amp;CHAR(34))</f>
        <v>Không cần đạp phanh.</v>
      </c>
      <c r="K1191" t="str">
        <f>SUBSTITUTE(SUBSTITUTE(SUBSTITUTE(SUBSTITUTE(IFERROR(VLOOKUP("Câu "&amp;D1191&amp;".",dapan!$E:$J,6,0),""),"1","A"),"2","B"),"3","C"),"4","D")</f>
        <v/>
      </c>
      <c r="P1191" t="str">
        <f t="shared" si="62"/>
        <v/>
      </c>
      <c r="Q1191" t="str">
        <f t="shared" si="63"/>
        <v/>
      </c>
    </row>
    <row r="1192" spans="1:17" hidden="1" x14ac:dyDescent="0.25">
      <c r="A1192">
        <v>4</v>
      </c>
      <c r="B1192" t="s">
        <v>1019</v>
      </c>
      <c r="C1192">
        <f>IFERROR(COUNTIFS($A$1:A1192,"Câu "&amp;"*")-MID(A1192,5,FIND(".",A1192,1)-5),0)</f>
        <v>0</v>
      </c>
      <c r="D1192" t="str">
        <f t="shared" si="65"/>
        <v/>
      </c>
      <c r="E1192" t="str">
        <f>SUBSTITUTE(IF(LEFT(A1192,3)="Câu",MID(A1192,FIND(".",A1192,1)+2,LEN(A1192)),""),CHAR(34),CHAR(92)&amp;CHAR(34))</f>
        <v/>
      </c>
      <c r="F1192" t="str">
        <f t="shared" si="64"/>
        <v/>
      </c>
      <c r="G1192" t="str">
        <f>SUBSTITUTE(B1193,CHAR(34),CHAR(92)&amp;CHAR(34))</f>
        <v/>
      </c>
      <c r="H1192" t="str">
        <f>SUBSTITUTE(B1194,CHAR(34),CHAR(92)&amp;CHAR(34))</f>
        <v xml:space="preserve"> Phải đạp hết hành trình bàn đạp chân phanh.</v>
      </c>
      <c r="I1192" t="str">
        <f>SUBSTITUTE(IF(LEFT(A1195,3)="Câu","",B1195),CHAR(34),CHAR(92)&amp;CHAR(34))</f>
        <v>Không cần đạp phanh.</v>
      </c>
      <c r="J1192" t="str">
        <f>SUBSTITUTE(IF(OR(LEFT(A1196,3)="Câu",I1192=""),"",IF(B1196=0,"",B1196)),CHAR(34),CHAR(92)&amp;CHAR(34))</f>
        <v>Tùy từng trường hợp.</v>
      </c>
      <c r="K1192" t="str">
        <f>SUBSTITUTE(SUBSTITUTE(SUBSTITUTE(SUBSTITUTE(IFERROR(VLOOKUP("Câu "&amp;D1192&amp;".",dapan!$E:$J,6,0),""),"1","A"),"2","B"),"3","C"),"4","D")</f>
        <v/>
      </c>
      <c r="P1192" t="str">
        <f t="shared" si="62"/>
        <v/>
      </c>
      <c r="Q1192" t="str">
        <f t="shared" si="63"/>
        <v/>
      </c>
    </row>
    <row r="1193" spans="1:17" x14ac:dyDescent="0.25">
      <c r="A1193" t="s">
        <v>1022</v>
      </c>
      <c r="C1193">
        <f>IFERROR(COUNTIFS($A$1:A1193,"Câu "&amp;"*")-MID(A1193,5,FIND(".",A1193,1)-5),0)</f>
        <v>0</v>
      </c>
      <c r="D1193">
        <f t="shared" si="65"/>
        <v>290</v>
      </c>
      <c r="E1193" t="str">
        <f>SUBSTITUTE(IF(LEFT(A1193,3)="Câu",MID(A1193,FIND(".",A1193,1)+2,LEN(A1193)),""),CHAR(34),CHAR(92)&amp;CHAR(34))</f>
        <v>Khi khởi động xe ô tô số tự động có trang bị chìa khóa thông minh có cần đạp hết hành trình bàn đạp chân phanh hay không?</v>
      </c>
      <c r="F1193" t="str">
        <f t="shared" si="64"/>
        <v>q290.jpg</v>
      </c>
      <c r="G1193" t="str">
        <f>SUBSTITUTE(B1194,CHAR(34),CHAR(92)&amp;CHAR(34))</f>
        <v xml:space="preserve"> Phải đạp hết hành trình bàn đạp chân phanh.</v>
      </c>
      <c r="H1193" t="str">
        <f>SUBSTITUTE(B1195,CHAR(34),CHAR(92)&amp;CHAR(34))</f>
        <v>Không cần đạp phanh.</v>
      </c>
      <c r="I1193" t="str">
        <f>SUBSTITUTE(IF(LEFT(A1196,3)="Câu","",B1196),CHAR(34),CHAR(92)&amp;CHAR(34))</f>
        <v>Tùy từng trường hợp.</v>
      </c>
      <c r="J1193" t="str">
        <f>SUBSTITUTE(IF(OR(LEFT(A1197,3)="Câu",I1193=""),"",IF(B1197=0,"",B1197)),CHAR(34),CHAR(92)&amp;CHAR(34))</f>
        <v/>
      </c>
      <c r="K1193" t="str">
        <f ca="1">SUBSTITUTE(SUBSTITUTE(SUBSTITUTE(SUBSTITUTE(IFERROR(VLOOKUP("Câu "&amp;D1193&amp;".",dapan!$E:$J,6,0),""),"1","A"),"2","B"),"3","C"),"4","D")</f>
        <v>A</v>
      </c>
      <c r="P1193">
        <f t="shared" si="62"/>
        <v>290</v>
      </c>
      <c r="Q1193" t="str">
        <f t="shared" ca="1" si="63"/>
        <v>{"num":290,"id":290,"q":"Khi khởi động xe ô tô số tự động có trang bị chìa khóa thông minh có cần đạp hết hành trình bàn đạp chân phanh hay không?","img":"q290.jpg","opts":{"A":" Phải đạp hết hành trình bàn đạp chân phanh.","B":"Không cần đạp phanh.","C":"Tùy từng trường hợp."},"answer":"A"},</v>
      </c>
    </row>
    <row r="1194" spans="1:17" hidden="1" x14ac:dyDescent="0.25">
      <c r="A1194">
        <v>1</v>
      </c>
      <c r="B1194" t="s">
        <v>1023</v>
      </c>
      <c r="C1194">
        <f>IFERROR(COUNTIFS($A$1:A1194,"Câu "&amp;"*")-MID(A1194,5,FIND(".",A1194,1)-5),0)</f>
        <v>0</v>
      </c>
      <c r="D1194" t="str">
        <f t="shared" si="65"/>
        <v/>
      </c>
      <c r="E1194" t="str">
        <f>SUBSTITUTE(IF(LEFT(A1194,3)="Câu",MID(A1194,FIND(".",A1194,1)+2,LEN(A1194)),""),CHAR(34),CHAR(92)&amp;CHAR(34))</f>
        <v/>
      </c>
      <c r="F1194" t="str">
        <f t="shared" si="64"/>
        <v/>
      </c>
      <c r="G1194" t="str">
        <f>SUBSTITUTE(B1195,CHAR(34),CHAR(92)&amp;CHAR(34))</f>
        <v>Không cần đạp phanh.</v>
      </c>
      <c r="H1194" t="str">
        <f>SUBSTITUTE(B1196,CHAR(34),CHAR(92)&amp;CHAR(34))</f>
        <v>Tùy từng trường hợp.</v>
      </c>
      <c r="I1194" t="str">
        <f>SUBSTITUTE(IF(LEFT(A1197,3)="Câu","",B1197),CHAR(34),CHAR(92)&amp;CHAR(34))</f>
        <v/>
      </c>
      <c r="J1194" t="str">
        <f>SUBSTITUTE(IF(OR(LEFT(A1198,3)="Câu",I1194=""),"",IF(B1198=0,"",B1198)),CHAR(34),CHAR(92)&amp;CHAR(34))</f>
        <v/>
      </c>
      <c r="K1194" t="str">
        <f>SUBSTITUTE(SUBSTITUTE(SUBSTITUTE(SUBSTITUTE(IFERROR(VLOOKUP("Câu "&amp;D1194&amp;".",dapan!$E:$J,6,0),""),"1","A"),"2","B"),"3","C"),"4","D")</f>
        <v/>
      </c>
      <c r="P1194" t="str">
        <f t="shared" si="62"/>
        <v/>
      </c>
      <c r="Q1194" t="str">
        <f t="shared" si="63"/>
        <v/>
      </c>
    </row>
    <row r="1195" spans="1:17" hidden="1" x14ac:dyDescent="0.25">
      <c r="A1195">
        <v>2</v>
      </c>
      <c r="B1195" t="s">
        <v>1024</v>
      </c>
      <c r="C1195">
        <f>IFERROR(COUNTIFS($A$1:A1195,"Câu "&amp;"*")-MID(A1195,5,FIND(".",A1195,1)-5),0)</f>
        <v>0</v>
      </c>
      <c r="D1195" t="str">
        <f t="shared" si="65"/>
        <v/>
      </c>
      <c r="E1195" t="str">
        <f>SUBSTITUTE(IF(LEFT(A1195,3)="Câu",MID(A1195,FIND(".",A1195,1)+2,LEN(A1195)),""),CHAR(34),CHAR(92)&amp;CHAR(34))</f>
        <v/>
      </c>
      <c r="F1195" t="str">
        <f t="shared" si="64"/>
        <v/>
      </c>
      <c r="G1195" t="str">
        <f>SUBSTITUTE(B1196,CHAR(34),CHAR(92)&amp;CHAR(34))</f>
        <v>Tùy từng trường hợp.</v>
      </c>
      <c r="H1195" t="str">
        <f>SUBSTITUTE(B1197,CHAR(34),CHAR(92)&amp;CHAR(34))</f>
        <v/>
      </c>
      <c r="I1195" t="str">
        <f>SUBSTITUTE(IF(LEFT(A1198,3)="Câu","",B1198),CHAR(34),CHAR(92)&amp;CHAR(34))</f>
        <v>Giúp người lái xe kịp thời tạo xung lực tối đa lên hệ thống phanh trong khoảnh khắc đầu tiên của tình huống khẩn cấp.</v>
      </c>
      <c r="J1195" t="str">
        <f>SUBSTITUTE(IF(OR(LEFT(A1199,3)="Câu",I1195=""),"",IF(B1199=0,"",B1199)),CHAR(34),CHAR(92)&amp;CHAR(34))</f>
        <v>Ổn định chuyển động của xe ô tô khi đi vào đường vòng.</v>
      </c>
      <c r="K1195" t="str">
        <f>SUBSTITUTE(SUBSTITUTE(SUBSTITUTE(SUBSTITUTE(IFERROR(VLOOKUP("Câu "&amp;D1195&amp;".",dapan!$E:$J,6,0),""),"1","A"),"2","B"),"3","C"),"4","D")</f>
        <v/>
      </c>
      <c r="P1195" t="str">
        <f t="shared" si="62"/>
        <v/>
      </c>
      <c r="Q1195" t="str">
        <f t="shared" si="63"/>
        <v/>
      </c>
    </row>
    <row r="1196" spans="1:17" hidden="1" x14ac:dyDescent="0.25">
      <c r="A1196">
        <v>3</v>
      </c>
      <c r="B1196" t="s">
        <v>943</v>
      </c>
      <c r="C1196">
        <f>IFERROR(COUNTIFS($A$1:A1196,"Câu "&amp;"*")-MID(A1196,5,FIND(".",A1196,1)-5),0)</f>
        <v>0</v>
      </c>
      <c r="D1196" t="str">
        <f t="shared" si="65"/>
        <v/>
      </c>
      <c r="E1196" t="str">
        <f>SUBSTITUTE(IF(LEFT(A1196,3)="Câu",MID(A1196,FIND(".",A1196,1)+2,LEN(A1196)),""),CHAR(34),CHAR(92)&amp;CHAR(34))</f>
        <v/>
      </c>
      <c r="F1196" t="str">
        <f t="shared" si="64"/>
        <v/>
      </c>
      <c r="G1196" t="str">
        <f>SUBSTITUTE(B1197,CHAR(34),CHAR(92)&amp;CHAR(34))</f>
        <v/>
      </c>
      <c r="H1196" t="str">
        <f>SUBSTITUTE(B1198,CHAR(34),CHAR(92)&amp;CHAR(34))</f>
        <v>Giúp người lái xe kịp thời tạo xung lực tối đa lên hệ thống phanh trong khoảnh khắc đầu tiên của tình huống khẩn cấp.</v>
      </c>
      <c r="I1196" t="str">
        <f>SUBSTITUTE(IF(LEFT(A1199,3)="Câu","",B1199),CHAR(34),CHAR(92)&amp;CHAR(34))</f>
        <v>Ổn định chuyển động của xe ô tô khi đi vào đường vòng.</v>
      </c>
      <c r="J1196" t="str">
        <f>SUBSTITUTE(IF(OR(LEFT(A1200,3)="Câu",I1196=""),"",IF(B1200=0,"",B1200)),CHAR(34),CHAR(92)&amp;CHAR(34))</f>
        <v>Hỗ trợ người lái xe khởi hành ngang dốc.</v>
      </c>
      <c r="K1196" t="str">
        <f>SUBSTITUTE(SUBSTITUTE(SUBSTITUTE(SUBSTITUTE(IFERROR(VLOOKUP("Câu "&amp;D1196&amp;".",dapan!$E:$J,6,0),""),"1","A"),"2","B"),"3","C"),"4","D")</f>
        <v/>
      </c>
      <c r="P1196" t="str">
        <f t="shared" si="62"/>
        <v/>
      </c>
      <c r="Q1196" t="str">
        <f t="shared" si="63"/>
        <v/>
      </c>
    </row>
    <row r="1197" spans="1:17" x14ac:dyDescent="0.25">
      <c r="A1197" t="s">
        <v>1025</v>
      </c>
      <c r="C1197">
        <f>IFERROR(COUNTIFS($A$1:A1197,"Câu "&amp;"*")-MID(A1197,5,FIND(".",A1197,1)-5),0)</f>
        <v>0</v>
      </c>
      <c r="D1197">
        <f t="shared" si="65"/>
        <v>291</v>
      </c>
      <c r="E1197" t="str">
        <f>SUBSTITUTE(IF(LEFT(A1197,3)="Câu",MID(A1197,FIND(".",A1197,1)+2,LEN(A1197)),""),CHAR(34),CHAR(92)&amp;CHAR(34))</f>
        <v>Ắc quy được trang bị trên xe ô tô có tác dụng gì dưới đây?</v>
      </c>
      <c r="G1197" t="str">
        <f>SUBSTITUTE(B1198,CHAR(34),CHAR(92)&amp;CHAR(34))</f>
        <v>Giúp người lái xe kịp thời tạo xung lực tối đa lên hệ thống phanh trong khoảnh khắc đầu tiên của tình huống khẩn cấp.</v>
      </c>
      <c r="H1197" t="str">
        <f>SUBSTITUTE(B1199,CHAR(34),CHAR(92)&amp;CHAR(34))</f>
        <v>Ổn định chuyển động của xe ô tô khi đi vào đường vòng.</v>
      </c>
      <c r="I1197" t="str">
        <f>SUBSTITUTE(IF(LEFT(A1200,3)="Câu","",B1200),CHAR(34),CHAR(92)&amp;CHAR(34))</f>
        <v>Hỗ trợ người lái xe khởi hành ngang dốc.</v>
      </c>
      <c r="J1197" t="str">
        <f>SUBSTITUTE(IF(OR(LEFT(A1201,3)="Câu",I1197=""),"",IF(B1201=0,"",B1201)),CHAR(34),CHAR(92)&amp;CHAR(34))</f>
        <v xml:space="preserve"> Để tích trữ điện năng, cung cấp cho các phụ tải khi máy phát chưa làm việc.</v>
      </c>
      <c r="K1197" t="str">
        <f ca="1">SUBSTITUTE(SUBSTITUTE(SUBSTITUTE(SUBSTITUTE(IFERROR(VLOOKUP("Câu "&amp;D1197&amp;".",dapan!$E:$J,6,0),""),"1","A"),"2","B"),"3","C"),"4","D")</f>
        <v>D</v>
      </c>
      <c r="P1197">
        <f t="shared" si="62"/>
        <v>291</v>
      </c>
      <c r="Q1197" t="str">
        <f t="shared" ca="1" si="63"/>
        <v>{"num":291,"id":291,"q":"Ắc quy được trang bị trên xe ô tô có tác dụng gì dưới đây?","opts":{"A":"Giúp người lái xe kịp thời tạo xung lực tối đa lên hệ thống phanh trong khoảnh khắc đầu tiên của tình huống khẩn cấp.","B":"Ổn định chuyển động của xe ô tô khi đi vào đường vòng.","C":"Hỗ trợ người lái xe khởi hành ngang dốc.","D":" Để tích trữ điện năng, cung cấp cho các phụ tải khi máy phát chưa làm việc."},"answer":"D"},</v>
      </c>
    </row>
    <row r="1198" spans="1:17" hidden="1" x14ac:dyDescent="0.25">
      <c r="A1198">
        <v>1</v>
      </c>
      <c r="B1198" t="s">
        <v>1026</v>
      </c>
      <c r="C1198">
        <f>IFERROR(COUNTIFS($A$1:A1198,"Câu "&amp;"*")-MID(A1198,5,FIND(".",A1198,1)-5),0)</f>
        <v>0</v>
      </c>
      <c r="D1198" t="str">
        <f t="shared" si="65"/>
        <v/>
      </c>
      <c r="E1198" t="str">
        <f>SUBSTITUTE(IF(LEFT(A1198,3)="Câu",MID(A1198,FIND(".",A1198,1)+2,LEN(A1198)),""),CHAR(34),CHAR(92)&amp;CHAR(34))</f>
        <v/>
      </c>
      <c r="G1198" t="str">
        <f>SUBSTITUTE(B1199,CHAR(34),CHAR(92)&amp;CHAR(34))</f>
        <v>Ổn định chuyển động của xe ô tô khi đi vào đường vòng.</v>
      </c>
      <c r="H1198" t="str">
        <f>SUBSTITUTE(B1200,CHAR(34),CHAR(92)&amp;CHAR(34))</f>
        <v>Hỗ trợ người lái xe khởi hành ngang dốc.</v>
      </c>
      <c r="I1198" t="str">
        <f>SUBSTITUTE(IF(LEFT(A1201,3)="Câu","",B1201),CHAR(34),CHAR(92)&amp;CHAR(34))</f>
        <v xml:space="preserve"> Để tích trữ điện năng, cung cấp cho các phụ tải khi máy phát chưa làm việc.</v>
      </c>
      <c r="J1198" t="str">
        <f>SUBSTITUTE(IF(OR(LEFT(A1202,3)="Câu",I1198=""),"",IF(B1202=0,"",B1202)),CHAR(34),CHAR(92)&amp;CHAR(34))</f>
        <v/>
      </c>
      <c r="K1198" t="str">
        <f>SUBSTITUTE(SUBSTITUTE(SUBSTITUTE(SUBSTITUTE(IFERROR(VLOOKUP("Câu "&amp;D1198&amp;".",dapan!$E:$J,6,0),""),"1","A"),"2","B"),"3","C"),"4","D")</f>
        <v/>
      </c>
      <c r="P1198" t="str">
        <f t="shared" si="62"/>
        <v/>
      </c>
      <c r="Q1198" t="str">
        <f t="shared" si="63"/>
        <v/>
      </c>
    </row>
    <row r="1199" spans="1:17" hidden="1" x14ac:dyDescent="0.25">
      <c r="A1199">
        <v>2</v>
      </c>
      <c r="B1199" t="s">
        <v>1027</v>
      </c>
      <c r="C1199">
        <f>IFERROR(COUNTIFS($A$1:A1199,"Câu "&amp;"*")-MID(A1199,5,FIND(".",A1199,1)-5),0)</f>
        <v>0</v>
      </c>
      <c r="D1199" t="str">
        <f t="shared" si="65"/>
        <v/>
      </c>
      <c r="E1199" t="str">
        <f>SUBSTITUTE(IF(LEFT(A1199,3)="Câu",MID(A1199,FIND(".",A1199,1)+2,LEN(A1199)),""),CHAR(34),CHAR(92)&amp;CHAR(34))</f>
        <v/>
      </c>
      <c r="G1199" t="str">
        <f>SUBSTITUTE(B1200,CHAR(34),CHAR(92)&amp;CHAR(34))</f>
        <v>Hỗ trợ người lái xe khởi hành ngang dốc.</v>
      </c>
      <c r="H1199" t="str">
        <f>SUBSTITUTE(B1201,CHAR(34),CHAR(92)&amp;CHAR(34))</f>
        <v xml:space="preserve"> Để tích trữ điện năng, cung cấp cho các phụ tải khi máy phát chưa làm việc.</v>
      </c>
      <c r="I1199" t="str">
        <f>SUBSTITUTE(IF(LEFT(A1202,3)="Câu","",B1202),CHAR(34),CHAR(92)&amp;CHAR(34))</f>
        <v/>
      </c>
      <c r="J1199" t="str">
        <f>SUBSTITUTE(IF(OR(LEFT(A1203,3)="Câu",I1199=""),"",IF(B1203=0,"",B1203)),CHAR(34),CHAR(92)&amp;CHAR(34))</f>
        <v/>
      </c>
      <c r="K1199" t="str">
        <f>SUBSTITUTE(SUBSTITUTE(SUBSTITUTE(SUBSTITUTE(IFERROR(VLOOKUP("Câu "&amp;D1199&amp;".",dapan!$E:$J,6,0),""),"1","A"),"2","B"),"3","C"),"4","D")</f>
        <v/>
      </c>
      <c r="P1199" t="str">
        <f t="shared" si="62"/>
        <v/>
      </c>
      <c r="Q1199" t="str">
        <f t="shared" si="63"/>
        <v/>
      </c>
    </row>
    <row r="1200" spans="1:17" hidden="1" x14ac:dyDescent="0.25">
      <c r="A1200">
        <v>3</v>
      </c>
      <c r="B1200" t="s">
        <v>1028</v>
      </c>
      <c r="C1200">
        <f>IFERROR(COUNTIFS($A$1:A1200,"Câu "&amp;"*")-MID(A1200,5,FIND(".",A1200,1)-5),0)</f>
        <v>0</v>
      </c>
      <c r="D1200" t="str">
        <f t="shared" si="65"/>
        <v/>
      </c>
      <c r="E1200" t="str">
        <f>SUBSTITUTE(IF(LEFT(A1200,3)="Câu",MID(A1200,FIND(".",A1200,1)+2,LEN(A1200)),""),CHAR(34),CHAR(92)&amp;CHAR(34))</f>
        <v/>
      </c>
      <c r="G1200" t="str">
        <f>SUBSTITUTE(B1201,CHAR(34),CHAR(92)&amp;CHAR(34))</f>
        <v xml:space="preserve"> Để tích trữ điện năng, cung cấp cho các phụ tải khi máy phát chưa làm việc.</v>
      </c>
      <c r="H1200" t="str">
        <f>SUBSTITUTE(B1202,CHAR(34),CHAR(92)&amp;CHAR(34))</f>
        <v/>
      </c>
      <c r="I1200" t="str">
        <f>SUBSTITUTE(IF(LEFT(A1203,3)="Câu","",B1203),CHAR(34),CHAR(92)&amp;CHAR(34))</f>
        <v xml:space="preserve"> Để phát điện năng cung cấp cho các phụ tải làm việc và nạp điện cho ắc quy.</v>
      </c>
      <c r="J1200" t="str">
        <f>SUBSTITUTE(IF(OR(LEFT(A1204,3)="Câu",I1200=""),"",IF(B1204=0,"",B1204)),CHAR(34),CHAR(92)&amp;CHAR(34))</f>
        <v>Ổn định chuyển động của xe ô tô khi đi vào đường vòng.</v>
      </c>
      <c r="K1200" t="str">
        <f>SUBSTITUTE(SUBSTITUTE(SUBSTITUTE(SUBSTITUTE(IFERROR(VLOOKUP("Câu "&amp;D1200&amp;".",dapan!$E:$J,6,0),""),"1","A"),"2","B"),"3","C"),"4","D")</f>
        <v/>
      </c>
      <c r="P1200" t="str">
        <f t="shared" si="62"/>
        <v/>
      </c>
      <c r="Q1200" t="str">
        <f t="shared" si="63"/>
        <v/>
      </c>
    </row>
    <row r="1201" spans="1:17" hidden="1" x14ac:dyDescent="0.25">
      <c r="A1201">
        <v>4</v>
      </c>
      <c r="B1201" t="s">
        <v>1029</v>
      </c>
      <c r="C1201">
        <f>IFERROR(COUNTIFS($A$1:A1201,"Câu "&amp;"*")-MID(A1201,5,FIND(".",A1201,1)-5),0)</f>
        <v>0</v>
      </c>
      <c r="D1201" t="str">
        <f t="shared" si="65"/>
        <v/>
      </c>
      <c r="E1201" t="str">
        <f>SUBSTITUTE(IF(LEFT(A1201,3)="Câu",MID(A1201,FIND(".",A1201,1)+2,LEN(A1201)),""),CHAR(34),CHAR(92)&amp;CHAR(34))</f>
        <v/>
      </c>
      <c r="G1201" t="str">
        <f>SUBSTITUTE(B1202,CHAR(34),CHAR(92)&amp;CHAR(34))</f>
        <v/>
      </c>
      <c r="H1201" t="str">
        <f>SUBSTITUTE(B1203,CHAR(34),CHAR(92)&amp;CHAR(34))</f>
        <v xml:space="preserve"> Để phát điện năng cung cấp cho các phụ tải làm việc và nạp điện cho ắc quy.</v>
      </c>
      <c r="I1201" t="str">
        <f>SUBSTITUTE(IF(LEFT(A1204,3)="Câu","",B1204),CHAR(34),CHAR(92)&amp;CHAR(34))</f>
        <v>Ổn định chuyển động của xe ô tô khi đi vào đường vòng.</v>
      </c>
      <c r="J1201" t="str">
        <f>SUBSTITUTE(IF(OR(LEFT(A1205,3)="Câu",I1201=""),"",IF(B1205=0,"",B1205)),CHAR(34),CHAR(92)&amp;CHAR(34))</f>
        <v>Hỗ trợ người lái xe khởi hành ngang dốc.</v>
      </c>
      <c r="K1201" t="str">
        <f>SUBSTITUTE(SUBSTITUTE(SUBSTITUTE(SUBSTITUTE(IFERROR(VLOOKUP("Câu "&amp;D1201&amp;".",dapan!$E:$J,6,0),""),"1","A"),"2","B"),"3","C"),"4","D")</f>
        <v/>
      </c>
      <c r="P1201" t="str">
        <f t="shared" si="62"/>
        <v/>
      </c>
      <c r="Q1201" t="str">
        <f t="shared" si="63"/>
        <v/>
      </c>
    </row>
    <row r="1202" spans="1:17" x14ac:dyDescent="0.25">
      <c r="A1202" t="s">
        <v>1030</v>
      </c>
      <c r="C1202">
        <f>IFERROR(COUNTIFS($A$1:A1202,"Câu "&amp;"*")-MID(A1202,5,FIND(".",A1202,1)-5),0)</f>
        <v>0</v>
      </c>
      <c r="D1202">
        <f t="shared" si="65"/>
        <v>292</v>
      </c>
      <c r="E1202" t="str">
        <f>SUBSTITUTE(IF(LEFT(A1202,3)="Câu",MID(A1202,FIND(".",A1202,1)+2,LEN(A1202)),""),CHAR(34),CHAR(92)&amp;CHAR(34))</f>
        <v>Máy phát điện được trang bị trên xe ô tô có tác dụng gì dưới đây?</v>
      </c>
      <c r="G1202" t="str">
        <f>SUBSTITUTE(B1203,CHAR(34),CHAR(92)&amp;CHAR(34))</f>
        <v xml:space="preserve"> Để phát điện năng cung cấp cho các phụ tải làm việc và nạp điện cho ắc quy.</v>
      </c>
      <c r="H1202" t="str">
        <f>SUBSTITUTE(B1204,CHAR(34),CHAR(92)&amp;CHAR(34))</f>
        <v>Ổn định chuyển động của xe ô tô khi đi vào đường vòng.</v>
      </c>
      <c r="I1202" t="str">
        <f>SUBSTITUTE(IF(LEFT(A1205,3)="Câu","",B1205),CHAR(34),CHAR(92)&amp;CHAR(34))</f>
        <v>Hỗ trợ người lái xe khởi hành ngang dốc.</v>
      </c>
      <c r="J1202" t="str">
        <f>SUBSTITUTE(IF(OR(LEFT(A1206,3)="Câu",I1202=""),"",IF(B1206=0,"",B1206)),CHAR(34),CHAR(92)&amp;CHAR(34))</f>
        <v>Để tích trữ điện năng và cung cấp điện cho các phụ tải làm việc.</v>
      </c>
      <c r="K1202" t="str">
        <f ca="1">SUBSTITUTE(SUBSTITUTE(SUBSTITUTE(SUBSTITUTE(IFERROR(VLOOKUP("Câu "&amp;D1202&amp;".",dapan!$E:$J,6,0),""),"1","A"),"2","B"),"3","C"),"4","D")</f>
        <v>A</v>
      </c>
      <c r="P1202">
        <f t="shared" si="62"/>
        <v>292</v>
      </c>
      <c r="Q1202" t="str">
        <f t="shared" ca="1" si="63"/>
        <v>{"num":292,"id":292,"q":"Máy phát điện được trang bị trên xe ô tô có tác dụng gì dưới đây?","opts":{"A":" Để phát điện năng cung cấp cho các phụ tải làm việc và nạp điện cho ắc quy.","B":"Ổn định chuyển động của xe ô tô khi đi vào đường vòng.","C":"Hỗ trợ người lái xe khởi hành ngang dốc.","D":"Để tích trữ điện năng và cung cấp điện cho các phụ tải làm việc."},"answer":"A"},</v>
      </c>
    </row>
    <row r="1203" spans="1:17" hidden="1" x14ac:dyDescent="0.25">
      <c r="A1203">
        <v>1</v>
      </c>
      <c r="B1203" t="s">
        <v>1031</v>
      </c>
      <c r="C1203">
        <f>IFERROR(COUNTIFS($A$1:A1203,"Câu "&amp;"*")-MID(A1203,5,FIND(".",A1203,1)-5),0)</f>
        <v>0</v>
      </c>
      <c r="D1203" t="str">
        <f t="shared" si="65"/>
        <v/>
      </c>
      <c r="E1203" t="str">
        <f>SUBSTITUTE(IF(LEFT(A1203,3)="Câu",MID(A1203,FIND(".",A1203,1)+2,LEN(A1203)),""),CHAR(34),CHAR(92)&amp;CHAR(34))</f>
        <v/>
      </c>
      <c r="G1203" t="str">
        <f>SUBSTITUTE(B1204,CHAR(34),CHAR(92)&amp;CHAR(34))</f>
        <v>Ổn định chuyển động của xe ô tô khi đi vào đường vòng.</v>
      </c>
      <c r="H1203" t="str">
        <f>SUBSTITUTE(B1205,CHAR(34),CHAR(92)&amp;CHAR(34))</f>
        <v>Hỗ trợ người lái xe khởi hành ngang dốc.</v>
      </c>
      <c r="I1203" t="str">
        <f>SUBSTITUTE(IF(LEFT(A1206,3)="Câu","",B1206),CHAR(34),CHAR(92)&amp;CHAR(34))</f>
        <v>Để tích trữ điện năng và cung cấp điện cho các phụ tải làm việc.</v>
      </c>
      <c r="J1203" t="str">
        <f>SUBSTITUTE(IF(OR(LEFT(A1207,3)="Câu",I1203=""),"",IF(B1207=0,"",B1207)),CHAR(34),CHAR(92)&amp;CHAR(34))</f>
        <v/>
      </c>
      <c r="K1203" t="str">
        <f>SUBSTITUTE(SUBSTITUTE(SUBSTITUTE(SUBSTITUTE(IFERROR(VLOOKUP("Câu "&amp;D1203&amp;".",dapan!$E:$J,6,0),""),"1","A"),"2","B"),"3","C"),"4","D")</f>
        <v/>
      </c>
      <c r="P1203" t="str">
        <f t="shared" si="62"/>
        <v/>
      </c>
      <c r="Q1203" t="str">
        <f t="shared" si="63"/>
        <v/>
      </c>
    </row>
    <row r="1204" spans="1:17" hidden="1" x14ac:dyDescent="0.25">
      <c r="A1204">
        <v>2</v>
      </c>
      <c r="B1204" t="s">
        <v>1027</v>
      </c>
      <c r="C1204">
        <f>IFERROR(COUNTIFS($A$1:A1204,"Câu "&amp;"*")-MID(A1204,5,FIND(".",A1204,1)-5),0)</f>
        <v>0</v>
      </c>
      <c r="D1204" t="str">
        <f t="shared" si="65"/>
        <v/>
      </c>
      <c r="E1204" t="str">
        <f>SUBSTITUTE(IF(LEFT(A1204,3)="Câu",MID(A1204,FIND(".",A1204,1)+2,LEN(A1204)),""),CHAR(34),CHAR(92)&amp;CHAR(34))</f>
        <v/>
      </c>
      <c r="G1204" t="str">
        <f>SUBSTITUTE(B1205,CHAR(34),CHAR(92)&amp;CHAR(34))</f>
        <v>Hỗ trợ người lái xe khởi hành ngang dốc.</v>
      </c>
      <c r="H1204" t="str">
        <f>SUBSTITUTE(B1206,CHAR(34),CHAR(92)&amp;CHAR(34))</f>
        <v>Để tích trữ điện năng và cung cấp điện cho các phụ tải làm việc.</v>
      </c>
      <c r="I1204" t="str">
        <f>SUBSTITUTE(IF(LEFT(A1207,3)="Câu","",B1207),CHAR(34),CHAR(92)&amp;CHAR(34))</f>
        <v/>
      </c>
      <c r="J1204" t="str">
        <f>SUBSTITUTE(IF(OR(LEFT(A1208,3)="Câu",I1204=""),"",IF(B1208=0,"",B1208)),CHAR(34),CHAR(92)&amp;CHAR(34))</f>
        <v/>
      </c>
      <c r="K1204" t="str">
        <f>SUBSTITUTE(SUBSTITUTE(SUBSTITUTE(SUBSTITUTE(IFERROR(VLOOKUP("Câu "&amp;D1204&amp;".",dapan!$E:$J,6,0),""),"1","A"),"2","B"),"3","C"),"4","D")</f>
        <v/>
      </c>
      <c r="P1204" t="str">
        <f t="shared" si="62"/>
        <v/>
      </c>
      <c r="Q1204" t="str">
        <f t="shared" si="63"/>
        <v/>
      </c>
    </row>
    <row r="1205" spans="1:17" hidden="1" x14ac:dyDescent="0.25">
      <c r="A1205">
        <v>3</v>
      </c>
      <c r="B1205" t="s">
        <v>1028</v>
      </c>
      <c r="C1205">
        <f>IFERROR(COUNTIFS($A$1:A1205,"Câu "&amp;"*")-MID(A1205,5,FIND(".",A1205,1)-5),0)</f>
        <v>0</v>
      </c>
      <c r="D1205" t="str">
        <f t="shared" si="65"/>
        <v/>
      </c>
      <c r="E1205" t="str">
        <f>SUBSTITUTE(IF(LEFT(A1205,3)="Câu",MID(A1205,FIND(".",A1205,1)+2,LEN(A1205)),""),CHAR(34),CHAR(92)&amp;CHAR(34))</f>
        <v/>
      </c>
      <c r="G1205" t="str">
        <f>SUBSTITUTE(B1206,CHAR(34),CHAR(92)&amp;CHAR(34))</f>
        <v>Để tích trữ điện năng và cung cấp điện cho các phụ tải làm việc.</v>
      </c>
      <c r="H1205" t="str">
        <f>SUBSTITUTE(B1207,CHAR(34),CHAR(92)&amp;CHAR(34))</f>
        <v/>
      </c>
      <c r="I1205" t="str">
        <f>SUBSTITUTE(IF(LEFT(A1208,3)="Câu","",B1208),CHAR(34),CHAR(92)&amp;CHAR(34))</f>
        <v>Ổn định chuyển động của xe ô tô khi đi vào đường vòng.</v>
      </c>
      <c r="J1205" t="str">
        <f>SUBSTITUTE(IF(OR(LEFT(A1209,3)="Câu",I1205=""),"",IF(B1209=0,"",B1209)),CHAR(34),CHAR(92)&amp;CHAR(34))</f>
        <v xml:space="preserve"> Giữ chặt người lái và hành khách trên ghế ngồi khi xe ô tô đột ngột dừng lại.</v>
      </c>
      <c r="K1205" t="str">
        <f>SUBSTITUTE(SUBSTITUTE(SUBSTITUTE(SUBSTITUTE(IFERROR(VLOOKUP("Câu "&amp;D1205&amp;".",dapan!$E:$J,6,0),""),"1","A"),"2","B"),"3","C"),"4","D")</f>
        <v/>
      </c>
      <c r="P1205" t="str">
        <f t="shared" si="62"/>
        <v/>
      </c>
      <c r="Q1205" t="str">
        <f t="shared" si="63"/>
        <v/>
      </c>
    </row>
    <row r="1206" spans="1:17" hidden="1" x14ac:dyDescent="0.25">
      <c r="A1206">
        <v>4</v>
      </c>
      <c r="B1206" t="s">
        <v>1032</v>
      </c>
      <c r="C1206">
        <f>IFERROR(COUNTIFS($A$1:A1206,"Câu "&amp;"*")-MID(A1206,5,FIND(".",A1206,1)-5),0)</f>
        <v>0</v>
      </c>
      <c r="D1206" t="str">
        <f t="shared" si="65"/>
        <v/>
      </c>
      <c r="E1206" t="str">
        <f>SUBSTITUTE(IF(LEFT(A1206,3)="Câu",MID(A1206,FIND(".",A1206,1)+2,LEN(A1206)),""),CHAR(34),CHAR(92)&amp;CHAR(34))</f>
        <v/>
      </c>
      <c r="G1206" t="str">
        <f>SUBSTITUTE(B1207,CHAR(34),CHAR(92)&amp;CHAR(34))</f>
        <v/>
      </c>
      <c r="H1206" t="str">
        <f>SUBSTITUTE(B1208,CHAR(34),CHAR(92)&amp;CHAR(34))</f>
        <v>Ổn định chuyển động của xe ô tô khi đi vào đường vòng.</v>
      </c>
      <c r="I1206" t="str">
        <f>SUBSTITUTE(IF(LEFT(A1209,3)="Câu","",B1209),CHAR(34),CHAR(92)&amp;CHAR(34))</f>
        <v xml:space="preserve"> Giữ chặt người lái và hành khách trên ghế ngồi khi xe ô tô đột ngột dừng lại.</v>
      </c>
      <c r="J1206" t="str">
        <f>SUBSTITUTE(IF(OR(LEFT(A1210,3)="Câu",I1206=""),"",IF(B1210=0,"",B1210)),CHAR(34),CHAR(92)&amp;CHAR(34))</f>
        <v/>
      </c>
      <c r="K1206" t="str">
        <f>SUBSTITUTE(SUBSTITUTE(SUBSTITUTE(SUBSTITUTE(IFERROR(VLOOKUP("Câu "&amp;D1206&amp;".",dapan!$E:$J,6,0),""),"1","A"),"2","B"),"3","C"),"4","D")</f>
        <v/>
      </c>
      <c r="P1206" t="str">
        <f t="shared" si="62"/>
        <v/>
      </c>
      <c r="Q1206" t="str">
        <f t="shared" si="63"/>
        <v/>
      </c>
    </row>
    <row r="1207" spans="1:17" x14ac:dyDescent="0.25">
      <c r="A1207" t="s">
        <v>1033</v>
      </c>
      <c r="C1207">
        <f>IFERROR(COUNTIFS($A$1:A1207,"Câu "&amp;"*")-MID(A1207,5,FIND(".",A1207,1)-5),0)</f>
        <v>0</v>
      </c>
      <c r="D1207">
        <f t="shared" si="65"/>
        <v>293</v>
      </c>
      <c r="E1207" t="str">
        <f>SUBSTITUTE(IF(LEFT(A1207,3)="Câu",MID(A1207,FIND(".",A1207,1)+2,LEN(A1207)),""),CHAR(34),CHAR(92)&amp;CHAR(34))</f>
        <v>Dây đai an toàn được trang bị trên xe ô tô có tác dụng gì dưới đây?</v>
      </c>
      <c r="G1207" t="str">
        <f>SUBSTITUTE(B1208,CHAR(34),CHAR(92)&amp;CHAR(34))</f>
        <v>Ổn định chuyển động của xe ô tô khi đi vào đường vòng.</v>
      </c>
      <c r="H1207" t="str">
        <f>SUBSTITUTE(B1209,CHAR(34),CHAR(92)&amp;CHAR(34))</f>
        <v xml:space="preserve"> Giữ chặt người lái và hành khách trên ghế ngồi khi xe ô tô đột ngột dừng lại.</v>
      </c>
      <c r="I1207" t="str">
        <f>SUBSTITUTE(IF(LEFT(A1210,3)="Câu","",B1210),CHAR(34),CHAR(92)&amp;CHAR(34))</f>
        <v/>
      </c>
      <c r="J1207" t="str">
        <f>SUBSTITUTE(IF(OR(LEFT(A1211,3)="Câu",I1207=""),"",IF(B1211=0,"",B1211)),CHAR(34),CHAR(92)&amp;CHAR(34))</f>
        <v/>
      </c>
      <c r="K1207" t="str">
        <f ca="1">SUBSTITUTE(SUBSTITUTE(SUBSTITUTE(SUBSTITUTE(IFERROR(VLOOKUP("Câu "&amp;D1207&amp;".",dapan!$E:$J,6,0),""),"1","A"),"2","B"),"3","C"),"4","D")</f>
        <v>B</v>
      </c>
      <c r="P1207">
        <f t="shared" si="62"/>
        <v>293</v>
      </c>
      <c r="Q1207" t="str">
        <f t="shared" ca="1" si="63"/>
        <v>{"num":293,"id":293,"q":"Dây đai an toàn được trang bị trên xe ô tô có tác dụng gì dưới đây?","opts":{"A":"Ổn định chuyển động của xe ô tô khi đi vào đường vòng.","B":" Giữ chặt người lái và hành khách trên ghế ngồi khi xe ô tô đột ngột dừng lại."},"answer":"B"},</v>
      </c>
    </row>
    <row r="1208" spans="1:17" hidden="1" x14ac:dyDescent="0.25">
      <c r="A1208">
        <v>1</v>
      </c>
      <c r="B1208" t="s">
        <v>1027</v>
      </c>
      <c r="C1208">
        <f>IFERROR(COUNTIFS($A$1:A1208,"Câu "&amp;"*")-MID(A1208,5,FIND(".",A1208,1)-5),0)</f>
        <v>0</v>
      </c>
      <c r="D1208" t="str">
        <f t="shared" si="65"/>
        <v/>
      </c>
      <c r="E1208" t="str">
        <f>SUBSTITUTE(IF(LEFT(A1208,3)="Câu",MID(A1208,FIND(".",A1208,1)+2,LEN(A1208)),""),CHAR(34),CHAR(92)&amp;CHAR(34))</f>
        <v/>
      </c>
      <c r="G1208" t="str">
        <f>SUBSTITUTE(B1209,CHAR(34),CHAR(92)&amp;CHAR(34))</f>
        <v xml:space="preserve"> Giữ chặt người lái và hành khách trên ghế ngồi khi xe ô tô đột ngột dừng lại.</v>
      </c>
      <c r="H1208" t="str">
        <f>SUBSTITUTE(B1210,CHAR(34),CHAR(92)&amp;CHAR(34))</f>
        <v/>
      </c>
      <c r="I1208" t="str">
        <f>SUBSTITUTE(IF(LEFT(A1211,3)="Câu","",B1211),CHAR(34),CHAR(92)&amp;CHAR(34))</f>
        <v>Giữ chặt người lái và hành khách trên ghế ngồi khi xe ô tô đột ngột dừng lại.</v>
      </c>
      <c r="J1208" t="str">
        <f>SUBSTITUTE(IF(OR(LEFT(A1212,3)="Câu",I1208=""),"",IF(B1212=0,"",B1212)),CHAR(34),CHAR(92)&amp;CHAR(34))</f>
        <v>Giảm khả năng va đập của một số bộ phận cơ thể quan trọng với các vật thể trong xe.</v>
      </c>
      <c r="K1208" t="str">
        <f>SUBSTITUTE(SUBSTITUTE(SUBSTITUTE(SUBSTITUTE(IFERROR(VLOOKUP("Câu "&amp;D1208&amp;".",dapan!$E:$J,6,0),""),"1","A"),"2","B"),"3","C"),"4","D")</f>
        <v/>
      </c>
      <c r="P1208" t="str">
        <f t="shared" si="62"/>
        <v/>
      </c>
      <c r="Q1208" t="str">
        <f t="shared" si="63"/>
        <v/>
      </c>
    </row>
    <row r="1209" spans="1:17" hidden="1" x14ac:dyDescent="0.25">
      <c r="A1209">
        <v>2</v>
      </c>
      <c r="B1209" t="s">
        <v>1034</v>
      </c>
      <c r="C1209">
        <f>IFERROR(COUNTIFS($A$1:A1209,"Câu "&amp;"*")-MID(A1209,5,FIND(".",A1209,1)-5),0)</f>
        <v>0</v>
      </c>
      <c r="D1209" t="str">
        <f t="shared" si="65"/>
        <v/>
      </c>
      <c r="E1209" t="str">
        <f>SUBSTITUTE(IF(LEFT(A1209,3)="Câu",MID(A1209,FIND(".",A1209,1)+2,LEN(A1209)),""),CHAR(34),CHAR(92)&amp;CHAR(34))</f>
        <v/>
      </c>
      <c r="G1209" t="str">
        <f>SUBSTITUTE(B1210,CHAR(34),CHAR(92)&amp;CHAR(34))</f>
        <v/>
      </c>
      <c r="H1209" t="str">
        <f>SUBSTITUTE(B1211,CHAR(34),CHAR(92)&amp;CHAR(34))</f>
        <v>Giữ chặt người lái và hành khách trên ghế ngồi khi xe ô tô đột ngột dừng lại.</v>
      </c>
      <c r="I1209" t="str">
        <f>SUBSTITUTE(IF(LEFT(A1212,3)="Câu","",B1212),CHAR(34),CHAR(92)&amp;CHAR(34))</f>
        <v>Giảm khả năng va đập của một số bộ phận cơ thể quan trọng với các vật thể trong xe.</v>
      </c>
      <c r="J1209" t="str">
        <f>SUBSTITUTE(IF(OR(LEFT(A1213,3)="Câu",I1209=""),"",IF(B1213=0,"",B1213)),CHAR(34),CHAR(92)&amp;CHAR(34))</f>
        <v>Hấp thụ một phần lực va đập lên người lái và hành khách.</v>
      </c>
      <c r="K1209" t="str">
        <f>SUBSTITUTE(SUBSTITUTE(SUBSTITUTE(SUBSTITUTE(IFERROR(VLOOKUP("Câu "&amp;D1209&amp;".",dapan!$E:$J,6,0),""),"1","A"),"2","B"),"3","C"),"4","D")</f>
        <v/>
      </c>
      <c r="P1209" t="str">
        <f t="shared" si="62"/>
        <v/>
      </c>
      <c r="Q1209" t="str">
        <f t="shared" si="63"/>
        <v/>
      </c>
    </row>
    <row r="1210" spans="1:17" x14ac:dyDescent="0.25">
      <c r="A1210" t="s">
        <v>1035</v>
      </c>
      <c r="C1210">
        <f>IFERROR(COUNTIFS($A$1:A1210,"Câu "&amp;"*")-MID(A1210,5,FIND(".",A1210,1)-5),0)</f>
        <v>0</v>
      </c>
      <c r="D1210">
        <f t="shared" si="65"/>
        <v>294</v>
      </c>
      <c r="E1210" t="str">
        <f>SUBSTITUTE(IF(LEFT(A1210,3)="Câu",MID(A1210,FIND(".",A1210,1)+2,LEN(A1210)),""),CHAR(34),CHAR(92)&amp;CHAR(34))</f>
        <v>Túi khí được trang bị trên xe ô tô có tác dụng gì dưới đây?</v>
      </c>
      <c r="G1210" t="str">
        <f>SUBSTITUTE(B1211,CHAR(34),CHAR(92)&amp;CHAR(34))</f>
        <v>Giữ chặt người lái và hành khách trên ghế ngồi khi xe ô tô đột ngột dừng lại.</v>
      </c>
      <c r="H1210" t="str">
        <f>SUBSTITUTE(B1212,CHAR(34),CHAR(92)&amp;CHAR(34))</f>
        <v>Giảm khả năng va đập của một số bộ phận cơ thể quan trọng với các vật thể trong xe.</v>
      </c>
      <c r="I1210" t="str">
        <f>SUBSTITUTE(IF(LEFT(A1213,3)="Câu","",B1213),CHAR(34),CHAR(92)&amp;CHAR(34))</f>
        <v>Hấp thụ một phần lực va đập lên người lái và hành khách.</v>
      </c>
      <c r="J1210" t="str">
        <f>SUBSTITUTE(IF(OR(LEFT(A1214,3)="Câu",I1210=""),"",IF(B1214=0,"",B1214)),CHAR(34),CHAR(92)&amp;CHAR(34))</f>
        <v xml:space="preserve"> Ý 2 và ý 3.</v>
      </c>
      <c r="K1210" t="str">
        <f ca="1">SUBSTITUTE(SUBSTITUTE(SUBSTITUTE(SUBSTITUTE(IFERROR(VLOOKUP("Câu "&amp;D1210&amp;".",dapan!$E:$J,6,0),""),"1","A"),"2","B"),"3","C"),"4","D")</f>
        <v>D</v>
      </c>
      <c r="P1210">
        <f t="shared" si="62"/>
        <v>294</v>
      </c>
      <c r="Q1210" t="str">
        <f t="shared" ca="1" si="63"/>
        <v>{"num":294,"id":294,"q":"Túi khí được trang bị trên xe ô tô có tác dụng gì dưới đây?","opts":{"A":"Giữ chặt người lái và hành khách trên ghế ngồi khi xe ô tô đột ngột dừng lại.","B":"Giảm khả năng va đập của một số bộ phận cơ thể quan trọng với các vật thể trong xe.","C":"Hấp thụ một phần lực va đập lên người lái và hành khách.","D":" Ý 2 và ý 3."},"answer":"D"},</v>
      </c>
    </row>
    <row r="1211" spans="1:17" hidden="1" x14ac:dyDescent="0.25">
      <c r="A1211">
        <v>1</v>
      </c>
      <c r="B1211" t="s">
        <v>1036</v>
      </c>
      <c r="C1211">
        <f>IFERROR(COUNTIFS($A$1:A1211,"Câu "&amp;"*")-MID(A1211,5,FIND(".",A1211,1)-5),0)</f>
        <v>0</v>
      </c>
      <c r="D1211" t="str">
        <f t="shared" si="65"/>
        <v/>
      </c>
      <c r="E1211" t="str">
        <f>SUBSTITUTE(IF(LEFT(A1211,3)="Câu",MID(A1211,FIND(".",A1211,1)+2,LEN(A1211)),""),CHAR(34),CHAR(92)&amp;CHAR(34))</f>
        <v/>
      </c>
      <c r="G1211" t="str">
        <f>SUBSTITUTE(B1212,CHAR(34),CHAR(92)&amp;CHAR(34))</f>
        <v>Giảm khả năng va đập của một số bộ phận cơ thể quan trọng với các vật thể trong xe.</v>
      </c>
      <c r="H1211" t="str">
        <f>SUBSTITUTE(B1213,CHAR(34),CHAR(92)&amp;CHAR(34))</f>
        <v>Hấp thụ một phần lực va đập lên người lái và hành khách.</v>
      </c>
      <c r="I1211" t="str">
        <f>SUBSTITUTE(IF(LEFT(A1214,3)="Câu","",B1214),CHAR(34),CHAR(92)&amp;CHAR(34))</f>
        <v xml:space="preserve"> Ý 2 và ý 3.</v>
      </c>
      <c r="J1211" t="str">
        <f>SUBSTITUTE(IF(OR(LEFT(A1215,3)="Câu",I1211=""),"",IF(B1215=0,"",B1215)),CHAR(34),CHAR(92)&amp;CHAR(34))</f>
        <v/>
      </c>
      <c r="K1211" t="str">
        <f>SUBSTITUTE(SUBSTITUTE(SUBSTITUTE(SUBSTITUTE(IFERROR(VLOOKUP("Câu "&amp;D1211&amp;".",dapan!$E:$J,6,0),""),"1","A"),"2","B"),"3","C"),"4","D")</f>
        <v/>
      </c>
      <c r="P1211" t="str">
        <f t="shared" si="62"/>
        <v/>
      </c>
      <c r="Q1211" t="str">
        <f t="shared" si="63"/>
        <v/>
      </c>
    </row>
    <row r="1212" spans="1:17" hidden="1" x14ac:dyDescent="0.25">
      <c r="A1212">
        <v>2</v>
      </c>
      <c r="B1212" t="s">
        <v>1037</v>
      </c>
      <c r="C1212">
        <f>IFERROR(COUNTIFS($A$1:A1212,"Câu "&amp;"*")-MID(A1212,5,FIND(".",A1212,1)-5),0)</f>
        <v>0</v>
      </c>
      <c r="D1212" t="str">
        <f t="shared" si="65"/>
        <v/>
      </c>
      <c r="E1212" t="str">
        <f>SUBSTITUTE(IF(LEFT(A1212,3)="Câu",MID(A1212,FIND(".",A1212,1)+2,LEN(A1212)),""),CHAR(34),CHAR(92)&amp;CHAR(34))</f>
        <v/>
      </c>
      <c r="G1212" t="str">
        <f>SUBSTITUTE(B1213,CHAR(34),CHAR(92)&amp;CHAR(34))</f>
        <v>Hấp thụ một phần lực va đập lên người lái và hành khách.</v>
      </c>
      <c r="H1212" t="str">
        <f>SUBSTITUTE(B1214,CHAR(34),CHAR(92)&amp;CHAR(34))</f>
        <v xml:space="preserve"> Ý 2 và ý 3.</v>
      </c>
      <c r="I1212" t="str">
        <f>SUBSTITUTE(IF(LEFT(A1215,3)="Câu","",B1215),CHAR(34),CHAR(92)&amp;CHAR(34))</f>
        <v/>
      </c>
      <c r="J1212" t="str">
        <f>SUBSTITUTE(IF(OR(LEFT(A1216,3)="Câu",I1212=""),"",IF(B1216=0,"",B1216)),CHAR(34),CHAR(92)&amp;CHAR(34))</f>
        <v/>
      </c>
      <c r="K1212" t="str">
        <f>SUBSTITUTE(SUBSTITUTE(SUBSTITUTE(SUBSTITUTE(IFERROR(VLOOKUP("Câu "&amp;D1212&amp;".",dapan!$E:$J,6,0),""),"1","A"),"2","B"),"3","C"),"4","D")</f>
        <v/>
      </c>
      <c r="P1212" t="str">
        <f t="shared" si="62"/>
        <v/>
      </c>
      <c r="Q1212" t="str">
        <f t="shared" si="63"/>
        <v/>
      </c>
    </row>
    <row r="1213" spans="1:17" hidden="1" x14ac:dyDescent="0.25">
      <c r="A1213">
        <v>3</v>
      </c>
      <c r="B1213" t="s">
        <v>1038</v>
      </c>
      <c r="C1213">
        <f>IFERROR(COUNTIFS($A$1:A1213,"Câu "&amp;"*")-MID(A1213,5,FIND(".",A1213,1)-5),0)</f>
        <v>0</v>
      </c>
      <c r="D1213" t="str">
        <f t="shared" si="65"/>
        <v/>
      </c>
      <c r="E1213" t="str">
        <f>SUBSTITUTE(IF(LEFT(A1213,3)="Câu",MID(A1213,FIND(".",A1213,1)+2,LEN(A1213)),""),CHAR(34),CHAR(92)&amp;CHAR(34))</f>
        <v/>
      </c>
      <c r="G1213" t="str">
        <f>SUBSTITUTE(B1214,CHAR(34),CHAR(92)&amp;CHAR(34))</f>
        <v xml:space="preserve"> Ý 2 và ý 3.</v>
      </c>
      <c r="H1213" t="str">
        <f>SUBSTITUTE(B1215,CHAR(34),CHAR(92)&amp;CHAR(34))</f>
        <v/>
      </c>
      <c r="I1213" t="str">
        <f>SUBSTITUTE(IF(LEFT(A1216,3)="Câu","",B1216),CHAR(34),CHAR(92)&amp;CHAR(34))</f>
        <v>Nhiệt độ nước làm mát động cơ quá ngưỡng cho phép.</v>
      </c>
      <c r="J1213" t="str">
        <f>SUBSTITUTE(IF(OR(LEFT(A1217,3)="Câu",I1213=""),"",IF(B1217=0,"",B1217)),CHAR(34),CHAR(92)&amp;CHAR(34))</f>
        <v>Áp suất lốp không đủ.</v>
      </c>
      <c r="K1213" t="str">
        <f>SUBSTITUTE(SUBSTITUTE(SUBSTITUTE(SUBSTITUTE(IFERROR(VLOOKUP("Câu "&amp;D1213&amp;".",dapan!$E:$J,6,0),""),"1","A"),"2","B"),"3","C"),"4","D")</f>
        <v/>
      </c>
      <c r="P1213" t="str">
        <f t="shared" si="62"/>
        <v/>
      </c>
      <c r="Q1213" t="str">
        <f t="shared" si="63"/>
        <v/>
      </c>
    </row>
    <row r="1214" spans="1:17" hidden="1" x14ac:dyDescent="0.25">
      <c r="A1214">
        <v>4</v>
      </c>
      <c r="B1214" t="s">
        <v>1039</v>
      </c>
      <c r="C1214">
        <f>IFERROR(COUNTIFS($A$1:A1214,"Câu "&amp;"*")-MID(A1214,5,FIND(".",A1214,1)-5),0)</f>
        <v>0</v>
      </c>
      <c r="D1214" t="str">
        <f t="shared" si="65"/>
        <v/>
      </c>
      <c r="E1214" t="str">
        <f>SUBSTITUTE(IF(LEFT(A1214,3)="Câu",MID(A1214,FIND(".",A1214,1)+2,LEN(A1214)),""),CHAR(34),CHAR(92)&amp;CHAR(34))</f>
        <v/>
      </c>
      <c r="G1214" t="str">
        <f>SUBSTITUTE(B1215,CHAR(34),CHAR(92)&amp;CHAR(34))</f>
        <v/>
      </c>
      <c r="H1214" t="str">
        <f>SUBSTITUTE(B1216,CHAR(34),CHAR(92)&amp;CHAR(34))</f>
        <v>Nhiệt độ nước làm mát động cơ quá ngưỡng cho phép.</v>
      </c>
      <c r="I1214" t="str">
        <f>SUBSTITUTE(IF(LEFT(A1217,3)="Câu","",B1217),CHAR(34),CHAR(92)&amp;CHAR(34))</f>
        <v>Áp suất lốp không đủ.</v>
      </c>
      <c r="J1214" t="str">
        <f>SUBSTITUTE(IF(OR(LEFT(A1218,3)="Câu",I1214=""),"",IF(B1218=0,"",B1218)),CHAR(34),CHAR(92)&amp;CHAR(34))</f>
        <v>Đang hãm phanh tay.</v>
      </c>
      <c r="K1214" t="str">
        <f>SUBSTITUTE(SUBSTITUTE(SUBSTITUTE(SUBSTITUTE(IFERROR(VLOOKUP("Câu "&amp;D1214&amp;".",dapan!$E:$J,6,0),""),"1","A"),"2","B"),"3","C"),"4","D")</f>
        <v/>
      </c>
      <c r="P1214" t="str">
        <f t="shared" si="62"/>
        <v/>
      </c>
      <c r="Q1214" t="str">
        <f t="shared" si="63"/>
        <v/>
      </c>
    </row>
    <row r="1215" spans="1:17" x14ac:dyDescent="0.25">
      <c r="A1215" t="s">
        <v>1040</v>
      </c>
      <c r="C1215">
        <f>IFERROR(COUNTIFS($A$1:A1215,"Câu "&amp;"*")-MID(A1215,5,FIND(".",A1215,1)-5),0)</f>
        <v>0</v>
      </c>
      <c r="D1215">
        <f t="shared" si="65"/>
        <v>295</v>
      </c>
      <c r="E1215" t="str">
        <f>SUBSTITUTE(IF(LEFT(A1215,3)="Câu",MID(A1215,FIND(".",A1215,1)+2,LEN(A1215)),""),CHAR(34),CHAR(92)&amp;CHAR(34))</f>
        <v>Khi động cơ ô tô đã khởi động, bảng đồng hồ xuất hiện ký hiệu như hình vẽ dưới đây không tắt trong thời gian dài, báo hiệu tình trạng như thế nào của xe ô tô?</v>
      </c>
      <c r="F1215" t="str">
        <f t="shared" ref="F1215:F1242" si="66">IF(D1215="","","q"&amp;TEXT(D1215,"000")&amp;".jpg")</f>
        <v>q295.jpg</v>
      </c>
      <c r="G1215" t="str">
        <f>SUBSTITUTE(B1216,CHAR(34),CHAR(92)&amp;CHAR(34))</f>
        <v>Nhiệt độ nước làm mát động cơ quá ngưỡng cho phép.</v>
      </c>
      <c r="H1215" t="str">
        <f>SUBSTITUTE(B1217,CHAR(34),CHAR(92)&amp;CHAR(34))</f>
        <v>Áp suất lốp không đủ.</v>
      </c>
      <c r="I1215" t="str">
        <f>SUBSTITUTE(IF(LEFT(A1218,3)="Câu","",B1218),CHAR(34),CHAR(92)&amp;CHAR(34))</f>
        <v>Đang hãm phanh tay.</v>
      </c>
      <c r="J1215" t="str">
        <f>SUBSTITUTE(IF(OR(LEFT(A1219,3)="Câu",I1215=""),"",IF(B1219=0,"",B1219)),CHAR(34),CHAR(92)&amp;CHAR(34))</f>
        <v xml:space="preserve"> Hệ thống lái gặp sự cố.</v>
      </c>
      <c r="K1215" t="str">
        <f ca="1">SUBSTITUTE(SUBSTITUTE(SUBSTITUTE(SUBSTITUTE(IFERROR(VLOOKUP("Câu "&amp;D1215&amp;".",dapan!$E:$J,6,0),""),"1","A"),"2","B"),"3","C"),"4","D")</f>
        <v>D</v>
      </c>
      <c r="P1215">
        <f t="shared" si="62"/>
        <v>295</v>
      </c>
      <c r="Q1215" t="str">
        <f t="shared" ca="1" si="63"/>
        <v>{"num":295,"id":295,"q":"Khi động cơ ô tô đã khởi động, bảng đồng hồ xuất hiện ký hiệu như hình vẽ dưới đây không tắt trong thời gian dài, báo hiệu tình trạng như thế nào của xe ô tô?","img":"q295.jpg","opts":{"A":"Nhiệt độ nước làm mát động cơ quá ngưỡng cho phép.","B":"Áp suất lốp không đủ.","C":"Đang hãm phanh tay.","D":" Hệ thống lái gặp sự cố."},"answer":"D"},</v>
      </c>
    </row>
    <row r="1216" spans="1:17" hidden="1" x14ac:dyDescent="0.25">
      <c r="A1216">
        <v>1</v>
      </c>
      <c r="B1216" t="s">
        <v>1041</v>
      </c>
      <c r="C1216">
        <f>IFERROR(COUNTIFS($A$1:A1216,"Câu "&amp;"*")-MID(A1216,5,FIND(".",A1216,1)-5),0)</f>
        <v>0</v>
      </c>
      <c r="D1216" t="str">
        <f t="shared" si="65"/>
        <v/>
      </c>
      <c r="E1216" t="str">
        <f>SUBSTITUTE(IF(LEFT(A1216,3)="Câu",MID(A1216,FIND(".",A1216,1)+2,LEN(A1216)),""),CHAR(34),CHAR(92)&amp;CHAR(34))</f>
        <v/>
      </c>
      <c r="F1216" t="str">
        <f t="shared" si="66"/>
        <v/>
      </c>
      <c r="G1216" t="str">
        <f>SUBSTITUTE(B1217,CHAR(34),CHAR(92)&amp;CHAR(34))</f>
        <v>Áp suất lốp không đủ.</v>
      </c>
      <c r="H1216" t="str">
        <f>SUBSTITUTE(B1218,CHAR(34),CHAR(92)&amp;CHAR(34))</f>
        <v>Đang hãm phanh tay.</v>
      </c>
      <c r="I1216" t="str">
        <f>SUBSTITUTE(IF(LEFT(A1219,3)="Câu","",B1219),CHAR(34),CHAR(92)&amp;CHAR(34))</f>
        <v xml:space="preserve"> Hệ thống lái gặp sự cố.</v>
      </c>
      <c r="J1216" t="str">
        <f>SUBSTITUTE(IF(OR(LEFT(A1220,3)="Câu",I1216=""),"",IF(B1220=0,"",B1220)),CHAR(34),CHAR(92)&amp;CHAR(34))</f>
        <v/>
      </c>
      <c r="K1216" t="str">
        <f>SUBSTITUTE(SUBSTITUTE(SUBSTITUTE(SUBSTITUTE(IFERROR(VLOOKUP("Câu "&amp;D1216&amp;".",dapan!$E:$J,6,0),""),"1","A"),"2","B"),"3","C"),"4","D")</f>
        <v/>
      </c>
      <c r="P1216" t="str">
        <f t="shared" si="62"/>
        <v/>
      </c>
      <c r="Q1216" t="str">
        <f t="shared" si="63"/>
        <v/>
      </c>
    </row>
    <row r="1217" spans="1:17" hidden="1" x14ac:dyDescent="0.25">
      <c r="A1217">
        <v>2</v>
      </c>
      <c r="B1217" t="s">
        <v>813</v>
      </c>
      <c r="C1217">
        <f>IFERROR(COUNTIFS($A$1:A1217,"Câu "&amp;"*")-MID(A1217,5,FIND(".",A1217,1)-5),0)</f>
        <v>0</v>
      </c>
      <c r="D1217" t="str">
        <f t="shared" si="65"/>
        <v/>
      </c>
      <c r="E1217" t="str">
        <f>SUBSTITUTE(IF(LEFT(A1217,3)="Câu",MID(A1217,FIND(".",A1217,1)+2,LEN(A1217)),""),CHAR(34),CHAR(92)&amp;CHAR(34))</f>
        <v/>
      </c>
      <c r="F1217" t="str">
        <f t="shared" si="66"/>
        <v/>
      </c>
      <c r="G1217" t="str">
        <f>SUBSTITUTE(B1218,CHAR(34),CHAR(92)&amp;CHAR(34))</f>
        <v>Đang hãm phanh tay.</v>
      </c>
      <c r="H1217" t="str">
        <f>SUBSTITUTE(B1219,CHAR(34),CHAR(92)&amp;CHAR(34))</f>
        <v xml:space="preserve"> Hệ thống lái gặp sự cố.</v>
      </c>
      <c r="I1217" t="str">
        <f>SUBSTITUTE(IF(LEFT(A1220,3)="Câu","",B1220),CHAR(34),CHAR(92)&amp;CHAR(34))</f>
        <v/>
      </c>
      <c r="J1217" t="str">
        <f>SUBSTITUTE(IF(OR(LEFT(A1221,3)="Câu",I1217=""),"",IF(B1221=0,"",B1221)),CHAR(34),CHAR(92)&amp;CHAR(34))</f>
        <v/>
      </c>
      <c r="K1217" t="str">
        <f>SUBSTITUTE(SUBSTITUTE(SUBSTITUTE(SUBSTITUTE(IFERROR(VLOOKUP("Câu "&amp;D1217&amp;".",dapan!$E:$J,6,0),""),"1","A"),"2","B"),"3","C"),"4","D")</f>
        <v/>
      </c>
      <c r="P1217" t="str">
        <f t="shared" si="62"/>
        <v/>
      </c>
      <c r="Q1217" t="str">
        <f t="shared" si="63"/>
        <v/>
      </c>
    </row>
    <row r="1218" spans="1:17" hidden="1" x14ac:dyDescent="0.25">
      <c r="A1218">
        <v>3</v>
      </c>
      <c r="B1218" t="s">
        <v>1012</v>
      </c>
      <c r="C1218">
        <f>IFERROR(COUNTIFS($A$1:A1218,"Câu "&amp;"*")-MID(A1218,5,FIND(".",A1218,1)-5),0)</f>
        <v>0</v>
      </c>
      <c r="D1218" t="str">
        <f t="shared" si="65"/>
        <v/>
      </c>
      <c r="E1218" t="str">
        <f>SUBSTITUTE(IF(LEFT(A1218,3)="Câu",MID(A1218,FIND(".",A1218,1)+2,LEN(A1218)),""),CHAR(34),CHAR(92)&amp;CHAR(34))</f>
        <v/>
      </c>
      <c r="F1218" t="str">
        <f t="shared" si="66"/>
        <v/>
      </c>
      <c r="G1218" t="str">
        <f>SUBSTITUTE(B1219,CHAR(34),CHAR(92)&amp;CHAR(34))</f>
        <v xml:space="preserve"> Hệ thống lái gặp sự cố.</v>
      </c>
      <c r="H1218" t="str">
        <f>SUBSTITUTE(B1220,CHAR(34),CHAR(92)&amp;CHAR(34))</f>
        <v/>
      </c>
      <c r="I1218" t="str">
        <f>SUBSTITUTE(IF(LEFT(A1221,3)="Câu","",B1221),CHAR(34),CHAR(92)&amp;CHAR(34))</f>
        <v xml:space="preserve"> Dùng để kích (hay nâng) xe ô tô.</v>
      </c>
      <c r="J1218" t="str">
        <f>SUBSTITUTE(IF(OR(LEFT(A1222,3)="Câu",I1218=""),"",IF(B1222=0,"",B1222)),CHAR(34),CHAR(92)&amp;CHAR(34))</f>
        <v>Vặn ốc lắp bánh xe.</v>
      </c>
      <c r="K1218" t="str">
        <f>SUBSTITUTE(SUBSTITUTE(SUBSTITUTE(SUBSTITUTE(IFERROR(VLOOKUP("Câu "&amp;D1218&amp;".",dapan!$E:$J,6,0),""),"1","A"),"2","B"),"3","C"),"4","D")</f>
        <v/>
      </c>
      <c r="P1218" t="str">
        <f t="shared" si="62"/>
        <v/>
      </c>
      <c r="Q1218" t="str">
        <f t="shared" si="63"/>
        <v/>
      </c>
    </row>
    <row r="1219" spans="1:17" hidden="1" x14ac:dyDescent="0.25">
      <c r="A1219">
        <v>4</v>
      </c>
      <c r="B1219" t="s">
        <v>1042</v>
      </c>
      <c r="C1219">
        <f>IFERROR(COUNTIFS($A$1:A1219,"Câu "&amp;"*")-MID(A1219,5,FIND(".",A1219,1)-5),0)</f>
        <v>0</v>
      </c>
      <c r="D1219" t="str">
        <f t="shared" si="65"/>
        <v/>
      </c>
      <c r="E1219" t="str">
        <f>SUBSTITUTE(IF(LEFT(A1219,3)="Câu",MID(A1219,FIND(".",A1219,1)+2,LEN(A1219)),""),CHAR(34),CHAR(92)&amp;CHAR(34))</f>
        <v/>
      </c>
      <c r="F1219" t="str">
        <f t="shared" si="66"/>
        <v/>
      </c>
      <c r="G1219" t="str">
        <f>SUBSTITUTE(B1220,CHAR(34),CHAR(92)&amp;CHAR(34))</f>
        <v/>
      </c>
      <c r="H1219" t="str">
        <f>SUBSTITUTE(B1221,CHAR(34),CHAR(92)&amp;CHAR(34))</f>
        <v xml:space="preserve"> Dùng để kích (hay nâng) xe ô tô.</v>
      </c>
      <c r="I1219" t="str">
        <f>SUBSTITUTE(IF(LEFT(A1222,3)="Câu","",B1222),CHAR(34),CHAR(92)&amp;CHAR(34))</f>
        <v>Vặn ốc lắp bánh xe.</v>
      </c>
      <c r="J1219" t="str">
        <f>SUBSTITUTE(IF(OR(LEFT(A1223,3)="Câu",I1219=""),"",IF(B1223=0,"",B1223)),CHAR(34),CHAR(92)&amp;CHAR(34))</f>
        <v>Ổn định chuyển động của xe ô tô khi đi vào đường vòng.</v>
      </c>
      <c r="K1219" t="str">
        <f>SUBSTITUTE(SUBSTITUTE(SUBSTITUTE(SUBSTITUTE(IFERROR(VLOOKUP("Câu "&amp;D1219&amp;".",dapan!$E:$J,6,0),""),"1","A"),"2","B"),"3","C"),"4","D")</f>
        <v/>
      </c>
      <c r="P1219" t="str">
        <f t="shared" ref="P1219:P1282" si="67">D1219</f>
        <v/>
      </c>
      <c r="Q1219" t="str">
        <f t="shared" ref="Q1219:Q1282" si="68">IF(D1219="","",CHAR(123)&amp;CHAR(34)&amp;"num"&amp;CHAR(34)&amp;":"&amp;P1219&amp;","&amp;CHAR(34)&amp;"id"&amp;CHAR(34)&amp;":"&amp;D1219&amp;","
&amp;CHAR(34)&amp;"q"&amp;CHAR(34)&amp;":"&amp;CHAR(34)&amp;E1219&amp;CHAR(34)&amp;","
&amp;IF(F1219="","",CHAR(34)&amp;"img"&amp;CHAR(34)&amp;":"&amp;CHAR(34)&amp;F1219&amp;CHAR(34)&amp;",")
&amp;CHAR(34)&amp;"opts"&amp;CHAR(34)&amp;":"&amp;CHAR(123)&amp;CHAR(34)&amp;"A"&amp;CHAR(34)&amp;":"&amp;CHAR(34)&amp;G1219&amp;CHAR(34)&amp;","&amp;CHAR(34)&amp;"B"&amp;CHAR(34)&amp;":"&amp;CHAR(34)&amp;H1219&amp;CHAR(34)
&amp;IF(I1219="","",","&amp;CHAR(34)&amp;"C"&amp;CHAR(34)&amp;":"&amp;CHAR(34)&amp;I1219&amp;CHAR(34))&amp;IF(J1219="","",","&amp;CHAR(34)&amp;"D"&amp;CHAR(34)&amp;":"&amp;CHAR(34)&amp;J1219&amp;CHAR(34))&amp;CHAR(125)&amp;","
&amp;CHAR(34)&amp;"answer"&amp;CHAR(34)&amp;":"&amp;CHAR(34)&amp;K1219&amp;CHAR(34)
&amp;IF(L1219="","",","&amp;CHAR(34)&amp;"danger"&amp;CHAR(34)&amp;":"&amp;CHAR(34)&amp;"true"&amp;CHAR(34))
&amp;IF(M1219="","",","&amp;CHAR(34)&amp;"explain"&amp;CHAR(34)&amp;":"&amp;CHAR(34)&amp;M1219&amp;CHAR(34))
&amp;IF(N1219="","",","&amp;CHAR(34)&amp;"explainImg"&amp;CHAR(34)&amp;":"&amp;CHAR(34)&amp;N1219&amp;CHAR(34))
&amp;IF(O1219="","",","&amp;CHAR(34)&amp;"shuffle"&amp;CHAR(34)&amp;":"&amp;CHAR(34)&amp;"false"&amp;CHAR(34))&amp;CHAR(125)&amp;",")</f>
        <v/>
      </c>
    </row>
    <row r="1220" spans="1:17" x14ac:dyDescent="0.25">
      <c r="A1220" t="s">
        <v>1043</v>
      </c>
      <c r="C1220">
        <f>IFERROR(COUNTIFS($A$1:A1220,"Câu "&amp;"*")-MID(A1220,5,FIND(".",A1220,1)-5),0)</f>
        <v>0</v>
      </c>
      <c r="D1220">
        <f t="shared" si="65"/>
        <v>296</v>
      </c>
      <c r="E1220" t="str">
        <f>SUBSTITUTE(IF(LEFT(A1220,3)="Câu",MID(A1220,FIND(".",A1220,1)+2,LEN(A1220)),""),CHAR(34),CHAR(92)&amp;CHAR(34))</f>
        <v>Trên xe ô tô có trang bị thiết bị như hình vẽ dưới đây có tác dụng gì?</v>
      </c>
      <c r="F1220" t="str">
        <f t="shared" si="66"/>
        <v>q296.jpg</v>
      </c>
      <c r="G1220" t="str">
        <f>SUBSTITUTE(B1221,CHAR(34),CHAR(92)&amp;CHAR(34))</f>
        <v xml:space="preserve"> Dùng để kích (hay nâng) xe ô tô.</v>
      </c>
      <c r="H1220" t="str">
        <f>SUBSTITUTE(B1222,CHAR(34),CHAR(92)&amp;CHAR(34))</f>
        <v>Vặn ốc lắp bánh xe.</v>
      </c>
      <c r="I1220" t="str">
        <f>SUBSTITUTE(IF(LEFT(A1223,3)="Câu","",B1223),CHAR(34),CHAR(92)&amp;CHAR(34))</f>
        <v>Ổn định chuyển động của xe ô tô khi đi vào đường vòng.</v>
      </c>
      <c r="J1220" t="str">
        <f>SUBSTITUTE(IF(OR(LEFT(A1224,3)="Câu",I1220=""),"",IF(B1224=0,"",B1224)),CHAR(34),CHAR(92)&amp;CHAR(34))</f>
        <v>Giữ chặt người lái và hành khách trên ghế ngồi khi xe ô tô đột ngột dừng lại.</v>
      </c>
      <c r="K1220" t="str">
        <f ca="1">SUBSTITUTE(SUBSTITUTE(SUBSTITUTE(SUBSTITUTE(IFERROR(VLOOKUP("Câu "&amp;D1220&amp;".",dapan!$E:$J,6,0),""),"1","A"),"2","B"),"3","C"),"4","D")</f>
        <v>A</v>
      </c>
      <c r="P1220">
        <f t="shared" si="67"/>
        <v>296</v>
      </c>
      <c r="Q1220" t="str">
        <f t="shared" ca="1" si="68"/>
        <v>{"num":296,"id":296,"q":"Trên xe ô tô có trang bị thiết bị như hình vẽ dưới đây có tác dụng gì?","img":"q296.jpg","opts":{"A":" Dùng để kích (hay nâng) xe ô tô.","B":"Vặn ốc lắp bánh xe.","C":"Ổn định chuyển động của xe ô tô khi đi vào đường vòng.","D":"Giữ chặt người lái và hành khách trên ghế ngồi khi xe ô tô đột ngột dừng lại."},"answer":"A"},</v>
      </c>
    </row>
    <row r="1221" spans="1:17" hidden="1" x14ac:dyDescent="0.25">
      <c r="A1221">
        <v>1</v>
      </c>
      <c r="B1221" t="s">
        <v>1044</v>
      </c>
      <c r="C1221">
        <f>IFERROR(COUNTIFS($A$1:A1221,"Câu "&amp;"*")-MID(A1221,5,FIND(".",A1221,1)-5),0)</f>
        <v>0</v>
      </c>
      <c r="D1221" t="str">
        <f t="shared" si="65"/>
        <v/>
      </c>
      <c r="E1221" t="str">
        <f>SUBSTITUTE(IF(LEFT(A1221,3)="Câu",MID(A1221,FIND(".",A1221,1)+2,LEN(A1221)),""),CHAR(34),CHAR(92)&amp;CHAR(34))</f>
        <v/>
      </c>
      <c r="F1221" t="str">
        <f t="shared" si="66"/>
        <v/>
      </c>
      <c r="G1221" t="str">
        <f>SUBSTITUTE(B1222,CHAR(34),CHAR(92)&amp;CHAR(34))</f>
        <v>Vặn ốc lắp bánh xe.</v>
      </c>
      <c r="H1221" t="str">
        <f>SUBSTITUTE(B1223,CHAR(34),CHAR(92)&amp;CHAR(34))</f>
        <v>Ổn định chuyển động của xe ô tô khi đi vào đường vòng.</v>
      </c>
      <c r="I1221" t="str">
        <f>SUBSTITUTE(IF(LEFT(A1224,3)="Câu","",B1224),CHAR(34),CHAR(92)&amp;CHAR(34))</f>
        <v>Giữ chặt người lái và hành khách trên ghế ngồi khi xe ô tô đột ngột dừng lại.</v>
      </c>
      <c r="J1221" t="str">
        <f>SUBSTITUTE(IF(OR(LEFT(A1225,3)="Câu",I1221=""),"",IF(B1225=0,"",B1225)),CHAR(34),CHAR(92)&amp;CHAR(34))</f>
        <v/>
      </c>
      <c r="K1221" t="str">
        <f>SUBSTITUTE(SUBSTITUTE(SUBSTITUTE(SUBSTITUTE(IFERROR(VLOOKUP("Câu "&amp;D1221&amp;".",dapan!$E:$J,6,0),""),"1","A"),"2","B"),"3","C"),"4","D")</f>
        <v/>
      </c>
      <c r="P1221" t="str">
        <f t="shared" si="67"/>
        <v/>
      </c>
      <c r="Q1221" t="str">
        <f t="shared" si="68"/>
        <v/>
      </c>
    </row>
    <row r="1222" spans="1:17" hidden="1" x14ac:dyDescent="0.25">
      <c r="A1222">
        <v>2</v>
      </c>
      <c r="B1222" t="s">
        <v>1045</v>
      </c>
      <c r="C1222">
        <f>IFERROR(COUNTIFS($A$1:A1222,"Câu "&amp;"*")-MID(A1222,5,FIND(".",A1222,1)-5),0)</f>
        <v>0</v>
      </c>
      <c r="D1222" t="str">
        <f t="shared" si="65"/>
        <v/>
      </c>
      <c r="E1222" t="str">
        <f>SUBSTITUTE(IF(LEFT(A1222,3)="Câu",MID(A1222,FIND(".",A1222,1)+2,LEN(A1222)),""),CHAR(34),CHAR(92)&amp;CHAR(34))</f>
        <v/>
      </c>
      <c r="F1222" t="str">
        <f t="shared" si="66"/>
        <v/>
      </c>
      <c r="G1222" t="str">
        <f>SUBSTITUTE(B1223,CHAR(34),CHAR(92)&amp;CHAR(34))</f>
        <v>Ổn định chuyển động của xe ô tô khi đi vào đường vòng.</v>
      </c>
      <c r="H1222" t="str">
        <f>SUBSTITUTE(B1224,CHAR(34),CHAR(92)&amp;CHAR(34))</f>
        <v>Giữ chặt người lái và hành khách trên ghế ngồi khi xe ô tô đột ngột dừng lại.</v>
      </c>
      <c r="I1222" t="str">
        <f>SUBSTITUTE(IF(LEFT(A1225,3)="Câu","",B1225),CHAR(34),CHAR(92)&amp;CHAR(34))</f>
        <v/>
      </c>
      <c r="J1222" t="str">
        <f>SUBSTITUTE(IF(OR(LEFT(A1226,3)="Câu",I1222=""),"",IF(B1226=0,"",B1226)),CHAR(34),CHAR(92)&amp;CHAR(34))</f>
        <v/>
      </c>
      <c r="K1222" t="str">
        <f>SUBSTITUTE(SUBSTITUTE(SUBSTITUTE(SUBSTITUTE(IFERROR(VLOOKUP("Câu "&amp;D1222&amp;".",dapan!$E:$J,6,0),""),"1","A"),"2","B"),"3","C"),"4","D")</f>
        <v/>
      </c>
      <c r="P1222" t="str">
        <f t="shared" si="67"/>
        <v/>
      </c>
      <c r="Q1222" t="str">
        <f t="shared" si="68"/>
        <v/>
      </c>
    </row>
    <row r="1223" spans="1:17" hidden="1" x14ac:dyDescent="0.25">
      <c r="A1223">
        <v>3</v>
      </c>
      <c r="B1223" t="s">
        <v>1027</v>
      </c>
      <c r="C1223">
        <f>IFERROR(COUNTIFS($A$1:A1223,"Câu "&amp;"*")-MID(A1223,5,FIND(".",A1223,1)-5),0)</f>
        <v>0</v>
      </c>
      <c r="D1223" t="str">
        <f t="shared" si="65"/>
        <v/>
      </c>
      <c r="E1223" t="str">
        <f>SUBSTITUTE(IF(LEFT(A1223,3)="Câu",MID(A1223,FIND(".",A1223,1)+2,LEN(A1223)),""),CHAR(34),CHAR(92)&amp;CHAR(34))</f>
        <v/>
      </c>
      <c r="F1223" t="str">
        <f t="shared" si="66"/>
        <v/>
      </c>
      <c r="G1223" t="str">
        <f>SUBSTITUTE(B1224,CHAR(34),CHAR(92)&amp;CHAR(34))</f>
        <v>Giữ chặt người lái và hành khách trên ghế ngồi khi xe ô tô đột ngột dừng lại.</v>
      </c>
      <c r="H1223" t="str">
        <f>SUBSTITUTE(B1225,CHAR(34),CHAR(92)&amp;CHAR(34))</f>
        <v/>
      </c>
      <c r="I1223" t="str">
        <f>SUBSTITUTE(IF(LEFT(A1226,3)="Câu","",B1226),CHAR(34),CHAR(92)&amp;CHAR(34))</f>
        <v>Thay lốp xe.</v>
      </c>
      <c r="J1223" t="str">
        <f>SUBSTITUTE(IF(OR(LEFT(A1227,3)="Câu",I1223=""),"",IF(B1227=0,"",B1227)),CHAR(34),CHAR(92)&amp;CHAR(34))</f>
        <v>Chữa cháy.</v>
      </c>
      <c r="K1223" t="str">
        <f>SUBSTITUTE(SUBSTITUTE(SUBSTITUTE(SUBSTITUTE(IFERROR(VLOOKUP("Câu "&amp;D1223&amp;".",dapan!$E:$J,6,0),""),"1","A"),"2","B"),"3","C"),"4","D")</f>
        <v/>
      </c>
      <c r="P1223" t="str">
        <f t="shared" si="67"/>
        <v/>
      </c>
      <c r="Q1223" t="str">
        <f t="shared" si="68"/>
        <v/>
      </c>
    </row>
    <row r="1224" spans="1:17" hidden="1" x14ac:dyDescent="0.25">
      <c r="A1224">
        <v>4</v>
      </c>
      <c r="B1224" t="s">
        <v>1036</v>
      </c>
      <c r="C1224">
        <f>IFERROR(COUNTIFS($A$1:A1224,"Câu "&amp;"*")-MID(A1224,5,FIND(".",A1224,1)-5),0)</f>
        <v>0</v>
      </c>
      <c r="D1224" t="str">
        <f t="shared" si="65"/>
        <v/>
      </c>
      <c r="E1224" t="str">
        <f>SUBSTITUTE(IF(LEFT(A1224,3)="Câu",MID(A1224,FIND(".",A1224,1)+2,LEN(A1224)),""),CHAR(34),CHAR(92)&amp;CHAR(34))</f>
        <v/>
      </c>
      <c r="F1224" t="str">
        <f t="shared" si="66"/>
        <v/>
      </c>
      <c r="G1224" t="str">
        <f>SUBSTITUTE(B1225,CHAR(34),CHAR(92)&amp;CHAR(34))</f>
        <v/>
      </c>
      <c r="H1224" t="str">
        <f>SUBSTITUTE(B1226,CHAR(34),CHAR(92)&amp;CHAR(34))</f>
        <v>Thay lốp xe.</v>
      </c>
      <c r="I1224" t="str">
        <f>SUBSTITUTE(IF(LEFT(A1227,3)="Câu","",B1227),CHAR(34),CHAR(92)&amp;CHAR(34))</f>
        <v>Chữa cháy.</v>
      </c>
      <c r="J1224" t="str">
        <f>SUBSTITUTE(IF(OR(LEFT(A1228,3)="Câu",I1224=""),"",IF(B1228=0,"",B1228)),CHAR(34),CHAR(92)&amp;CHAR(34))</f>
        <v xml:space="preserve"> Phá cửa kính xe ô tô trong các trường hợp khẩn cấp.</v>
      </c>
      <c r="K1224" t="str">
        <f>SUBSTITUTE(SUBSTITUTE(SUBSTITUTE(SUBSTITUTE(IFERROR(VLOOKUP("Câu "&amp;D1224&amp;".",dapan!$E:$J,6,0),""),"1","A"),"2","B"),"3","C"),"4","D")</f>
        <v/>
      </c>
      <c r="P1224" t="str">
        <f t="shared" si="67"/>
        <v/>
      </c>
      <c r="Q1224" t="str">
        <f t="shared" si="68"/>
        <v/>
      </c>
    </row>
    <row r="1225" spans="1:17" x14ac:dyDescent="0.25">
      <c r="A1225" t="s">
        <v>1046</v>
      </c>
      <c r="C1225">
        <f>IFERROR(COUNTIFS($A$1:A1225,"Câu "&amp;"*")-MID(A1225,5,FIND(".",A1225,1)-5),0)</f>
        <v>0</v>
      </c>
      <c r="D1225">
        <f t="shared" si="65"/>
        <v>297</v>
      </c>
      <c r="E1225" t="str">
        <f>SUBSTITUTE(IF(LEFT(A1225,3)="Câu",MID(A1225,FIND(".",A1225,1)+2,LEN(A1225)),""),CHAR(34),CHAR(92)&amp;CHAR(34))</f>
        <v>Trên xe ô tô có trang bị thiết bị như hình vẽ dưới đây, dùng để làm gì?</v>
      </c>
      <c r="F1225" t="str">
        <f t="shared" si="66"/>
        <v>q297.jpg</v>
      </c>
      <c r="G1225" t="str">
        <f>SUBSTITUTE(B1226,CHAR(34),CHAR(92)&amp;CHAR(34))</f>
        <v>Thay lốp xe.</v>
      </c>
      <c r="H1225" t="str">
        <f>SUBSTITUTE(B1227,CHAR(34),CHAR(92)&amp;CHAR(34))</f>
        <v>Chữa cháy.</v>
      </c>
      <c r="I1225" t="str">
        <f>SUBSTITUTE(IF(LEFT(A1228,3)="Câu","",B1228),CHAR(34),CHAR(92)&amp;CHAR(34))</f>
        <v xml:space="preserve"> Phá cửa kính xe ô tô trong các trường hợp khẩn cấp.</v>
      </c>
      <c r="J1225" t="str">
        <f>SUBSTITUTE(IF(OR(LEFT(A1229,3)="Câu",I1225=""),"",IF(B1229=0,"",B1229)),CHAR(34),CHAR(92)&amp;CHAR(34))</f>
        <v>Vặn ốc để tháo lắp bánh xe.</v>
      </c>
      <c r="K1225" t="str">
        <f ca="1">SUBSTITUTE(SUBSTITUTE(SUBSTITUTE(SUBSTITUTE(IFERROR(VLOOKUP("Câu "&amp;D1225&amp;".",dapan!$E:$J,6,0),""),"1","A"),"2","B"),"3","C"),"4","D")</f>
        <v>C</v>
      </c>
      <c r="P1225">
        <f t="shared" si="67"/>
        <v>297</v>
      </c>
      <c r="Q1225" t="str">
        <f t="shared" ca="1" si="68"/>
        <v>{"num":297,"id":297,"q":"Trên xe ô tô có trang bị thiết bị như hình vẽ dưới đây, dùng để làm gì?","img":"q297.jpg","opts":{"A":"Thay lốp xe.","B":"Chữa cháy.","C":" Phá cửa kính xe ô tô trong các trường hợp khẩn cấp.","D":"Vặn ốc để tháo lắp bánh xe."},"answer":"C"},</v>
      </c>
    </row>
    <row r="1226" spans="1:17" hidden="1" x14ac:dyDescent="0.25">
      <c r="A1226">
        <v>1</v>
      </c>
      <c r="B1226" t="s">
        <v>1047</v>
      </c>
      <c r="C1226">
        <f>IFERROR(COUNTIFS($A$1:A1226,"Câu "&amp;"*")-MID(A1226,5,FIND(".",A1226,1)-5),0)</f>
        <v>0</v>
      </c>
      <c r="D1226" t="str">
        <f t="shared" si="65"/>
        <v/>
      </c>
      <c r="E1226" t="str">
        <f>SUBSTITUTE(IF(LEFT(A1226,3)="Câu",MID(A1226,FIND(".",A1226,1)+2,LEN(A1226)),""),CHAR(34),CHAR(92)&amp;CHAR(34))</f>
        <v/>
      </c>
      <c r="F1226" t="str">
        <f t="shared" si="66"/>
        <v/>
      </c>
      <c r="G1226" t="str">
        <f>SUBSTITUTE(B1227,CHAR(34),CHAR(92)&amp;CHAR(34))</f>
        <v>Chữa cháy.</v>
      </c>
      <c r="H1226" t="str">
        <f>SUBSTITUTE(B1228,CHAR(34),CHAR(92)&amp;CHAR(34))</f>
        <v xml:space="preserve"> Phá cửa kính xe ô tô trong các trường hợp khẩn cấp.</v>
      </c>
      <c r="I1226" t="str">
        <f>SUBSTITUTE(IF(LEFT(A1229,3)="Câu","",B1229),CHAR(34),CHAR(92)&amp;CHAR(34))</f>
        <v>Vặn ốc để tháo lắp bánh xe.</v>
      </c>
      <c r="J1226" t="str">
        <f>SUBSTITUTE(IF(OR(LEFT(A1230,3)="Câu",I1226=""),"",IF(B1230=0,"",B1230)),CHAR(34),CHAR(92)&amp;CHAR(34))</f>
        <v/>
      </c>
      <c r="K1226" t="str">
        <f>SUBSTITUTE(SUBSTITUTE(SUBSTITUTE(SUBSTITUTE(IFERROR(VLOOKUP("Câu "&amp;D1226&amp;".",dapan!$E:$J,6,0),""),"1","A"),"2","B"),"3","C"),"4","D")</f>
        <v/>
      </c>
      <c r="P1226" t="str">
        <f t="shared" si="67"/>
        <v/>
      </c>
      <c r="Q1226" t="str">
        <f t="shared" si="68"/>
        <v/>
      </c>
    </row>
    <row r="1227" spans="1:17" hidden="1" x14ac:dyDescent="0.25">
      <c r="A1227">
        <v>2</v>
      </c>
      <c r="B1227" t="s">
        <v>1048</v>
      </c>
      <c r="C1227">
        <f>IFERROR(COUNTIFS($A$1:A1227,"Câu "&amp;"*")-MID(A1227,5,FIND(".",A1227,1)-5),0)</f>
        <v>0</v>
      </c>
      <c r="D1227" t="str">
        <f t="shared" si="65"/>
        <v/>
      </c>
      <c r="E1227" t="str">
        <f>SUBSTITUTE(IF(LEFT(A1227,3)="Câu",MID(A1227,FIND(".",A1227,1)+2,LEN(A1227)),""),CHAR(34),CHAR(92)&amp;CHAR(34))</f>
        <v/>
      </c>
      <c r="F1227" t="str">
        <f t="shared" si="66"/>
        <v/>
      </c>
      <c r="G1227" t="str">
        <f>SUBSTITUTE(B1228,CHAR(34),CHAR(92)&amp;CHAR(34))</f>
        <v xml:space="preserve"> Phá cửa kính xe ô tô trong các trường hợp khẩn cấp.</v>
      </c>
      <c r="H1227" t="str">
        <f>SUBSTITUTE(B1229,CHAR(34),CHAR(92)&amp;CHAR(34))</f>
        <v>Vặn ốc để tháo lắp bánh xe.</v>
      </c>
      <c r="I1227" t="str">
        <f>SUBSTITUTE(IF(LEFT(A1230,3)="Câu","",B1230),CHAR(34),CHAR(92)&amp;CHAR(34))</f>
        <v/>
      </c>
      <c r="J1227" t="str">
        <f>SUBSTITUTE(IF(OR(LEFT(A1231,3)="Câu",I1227=""),"",IF(B1231=0,"",B1231)),CHAR(34),CHAR(92)&amp;CHAR(34))</f>
        <v/>
      </c>
      <c r="K1227" t="str">
        <f>SUBSTITUTE(SUBSTITUTE(SUBSTITUTE(SUBSTITUTE(IFERROR(VLOOKUP("Câu "&amp;D1227&amp;".",dapan!$E:$J,6,0),""),"1","A"),"2","B"),"3","C"),"4","D")</f>
        <v/>
      </c>
      <c r="P1227" t="str">
        <f t="shared" si="67"/>
        <v/>
      </c>
      <c r="Q1227" t="str">
        <f t="shared" si="68"/>
        <v/>
      </c>
    </row>
    <row r="1228" spans="1:17" hidden="1" x14ac:dyDescent="0.25">
      <c r="A1228">
        <v>3</v>
      </c>
      <c r="B1228" t="s">
        <v>1049</v>
      </c>
      <c r="C1228">
        <f>IFERROR(COUNTIFS($A$1:A1228,"Câu "&amp;"*")-MID(A1228,5,FIND(".",A1228,1)-5),0)</f>
        <v>0</v>
      </c>
      <c r="D1228" t="str">
        <f t="shared" si="65"/>
        <v/>
      </c>
      <c r="E1228" t="str">
        <f>SUBSTITUTE(IF(LEFT(A1228,3)="Câu",MID(A1228,FIND(".",A1228,1)+2,LEN(A1228)),""),CHAR(34),CHAR(92)&amp;CHAR(34))</f>
        <v/>
      </c>
      <c r="F1228" t="str">
        <f t="shared" si="66"/>
        <v/>
      </c>
      <c r="G1228" t="str">
        <f>SUBSTITUTE(B1229,CHAR(34),CHAR(92)&amp;CHAR(34))</f>
        <v>Vặn ốc để tháo lắp bánh xe.</v>
      </c>
      <c r="H1228" t="str">
        <f>SUBSTITUTE(B1230,CHAR(34),CHAR(92)&amp;CHAR(34))</f>
        <v/>
      </c>
      <c r="I1228" t="str">
        <f>SUBSTITUTE(IF(LEFT(A1231,3)="Câu","",B1231),CHAR(34),CHAR(92)&amp;CHAR(34))</f>
        <v>Thay lốp xe.</v>
      </c>
      <c r="J1228" t="str">
        <f>SUBSTITUTE(IF(OR(LEFT(A1232,3)="Câu",I1228=""),"",IF(B1232=0,"",B1232)),CHAR(34),CHAR(92)&amp;CHAR(34))</f>
        <v xml:space="preserve"> Chữa cháy trong các trường hợp hỏa hoạn.</v>
      </c>
      <c r="K1228" t="str">
        <f>SUBSTITUTE(SUBSTITUTE(SUBSTITUTE(SUBSTITUTE(IFERROR(VLOOKUP("Câu "&amp;D1228&amp;".",dapan!$E:$J,6,0),""),"1","A"),"2","B"),"3","C"),"4","D")</f>
        <v/>
      </c>
      <c r="P1228" t="str">
        <f t="shared" si="67"/>
        <v/>
      </c>
      <c r="Q1228" t="str">
        <f t="shared" si="68"/>
        <v/>
      </c>
    </row>
    <row r="1229" spans="1:17" hidden="1" x14ac:dyDescent="0.25">
      <c r="A1229">
        <v>4</v>
      </c>
      <c r="B1229" t="s">
        <v>1050</v>
      </c>
      <c r="C1229">
        <f>IFERROR(COUNTIFS($A$1:A1229,"Câu "&amp;"*")-MID(A1229,5,FIND(".",A1229,1)-5),0)</f>
        <v>0</v>
      </c>
      <c r="D1229" t="str">
        <f t="shared" si="65"/>
        <v/>
      </c>
      <c r="E1229" t="str">
        <f>SUBSTITUTE(IF(LEFT(A1229,3)="Câu",MID(A1229,FIND(".",A1229,1)+2,LEN(A1229)),""),CHAR(34),CHAR(92)&amp;CHAR(34))</f>
        <v/>
      </c>
      <c r="F1229" t="str">
        <f t="shared" si="66"/>
        <v/>
      </c>
      <c r="G1229" t="str">
        <f>SUBSTITUTE(B1230,CHAR(34),CHAR(92)&amp;CHAR(34))</f>
        <v/>
      </c>
      <c r="H1229" t="str">
        <f>SUBSTITUTE(B1231,CHAR(34),CHAR(92)&amp;CHAR(34))</f>
        <v>Thay lốp xe.</v>
      </c>
      <c r="I1229" t="str">
        <f>SUBSTITUTE(IF(LEFT(A1232,3)="Câu","",B1232),CHAR(34),CHAR(92)&amp;CHAR(34))</f>
        <v xml:space="preserve"> Chữa cháy trong các trường hợp hỏa hoạn.</v>
      </c>
      <c r="J1229" t="str">
        <f>SUBSTITUTE(IF(OR(LEFT(A1233,3)="Câu",I1229=""),"",IF(B1233=0,"",B1233)),CHAR(34),CHAR(92)&amp;CHAR(34))</f>
        <v>Cầm máu cho người bị nạn.</v>
      </c>
      <c r="K1229" t="str">
        <f>SUBSTITUTE(SUBSTITUTE(SUBSTITUTE(SUBSTITUTE(IFERROR(VLOOKUP("Câu "&amp;D1229&amp;".",dapan!$E:$J,6,0),""),"1","A"),"2","B"),"3","C"),"4","D")</f>
        <v/>
      </c>
      <c r="P1229" t="str">
        <f t="shared" si="67"/>
        <v/>
      </c>
      <c r="Q1229" t="str">
        <f t="shared" si="68"/>
        <v/>
      </c>
    </row>
    <row r="1230" spans="1:17" x14ac:dyDescent="0.25">
      <c r="A1230" t="s">
        <v>1051</v>
      </c>
      <c r="C1230">
        <f>IFERROR(COUNTIFS($A$1:A1230,"Câu "&amp;"*")-MID(A1230,5,FIND(".",A1230,1)-5),0)</f>
        <v>0</v>
      </c>
      <c r="D1230">
        <f t="shared" si="65"/>
        <v>298</v>
      </c>
      <c r="E1230" t="str">
        <f>SUBSTITUTE(IF(LEFT(A1230,3)="Câu",MID(A1230,FIND(".",A1230,1)+2,LEN(A1230)),""),CHAR(34),CHAR(92)&amp;CHAR(34))</f>
        <v>Trên xe ô tô có trang bị thiết bị như hình vẽ dưới đây, dùng để làm gì?</v>
      </c>
      <c r="F1230" t="str">
        <f t="shared" si="66"/>
        <v>q298.jpg</v>
      </c>
      <c r="G1230" t="str">
        <f>SUBSTITUTE(B1231,CHAR(34),CHAR(92)&amp;CHAR(34))</f>
        <v>Thay lốp xe.</v>
      </c>
      <c r="H1230" t="str">
        <f>SUBSTITUTE(B1232,CHAR(34),CHAR(92)&amp;CHAR(34))</f>
        <v xml:space="preserve"> Chữa cháy trong các trường hợp hỏa hoạn.</v>
      </c>
      <c r="I1230" t="str">
        <f>SUBSTITUTE(IF(LEFT(A1233,3)="Câu","",B1233),CHAR(34),CHAR(92)&amp;CHAR(34))</f>
        <v>Cầm máu cho người bị nạn.</v>
      </c>
      <c r="J1230" t="str">
        <f>SUBSTITUTE(IF(OR(LEFT(A1234,3)="Câu",I1230=""),"",IF(B1234=0,"",B1234)),CHAR(34),CHAR(92)&amp;CHAR(34))</f>
        <v/>
      </c>
      <c r="K1230" t="str">
        <f ca="1">SUBSTITUTE(SUBSTITUTE(SUBSTITUTE(SUBSTITUTE(IFERROR(VLOOKUP("Câu "&amp;D1230&amp;".",dapan!$E:$J,6,0),""),"1","A"),"2","B"),"3","C"),"4","D")</f>
        <v>B</v>
      </c>
      <c r="P1230">
        <f t="shared" si="67"/>
        <v>298</v>
      </c>
      <c r="Q1230" t="str">
        <f t="shared" ca="1" si="68"/>
        <v>{"num":298,"id":298,"q":"Trên xe ô tô có trang bị thiết bị như hình vẽ dưới đây, dùng để làm gì?","img":"q298.jpg","opts":{"A":"Thay lốp xe.","B":" Chữa cháy trong các trường hợp hỏa hoạn.","C":"Cầm máu cho người bị nạn."},"answer":"B"},</v>
      </c>
    </row>
    <row r="1231" spans="1:17" hidden="1" x14ac:dyDescent="0.25">
      <c r="A1231">
        <v>1</v>
      </c>
      <c r="B1231" t="s">
        <v>1047</v>
      </c>
      <c r="C1231">
        <f>IFERROR(COUNTIFS($A$1:A1231,"Câu "&amp;"*")-MID(A1231,5,FIND(".",A1231,1)-5),0)</f>
        <v>0</v>
      </c>
      <c r="D1231" t="str">
        <f t="shared" si="65"/>
        <v/>
      </c>
      <c r="E1231" t="str">
        <f>SUBSTITUTE(IF(LEFT(A1231,3)="Câu",MID(A1231,FIND(".",A1231,1)+2,LEN(A1231)),""),CHAR(34),CHAR(92)&amp;CHAR(34))</f>
        <v/>
      </c>
      <c r="F1231" t="str">
        <f t="shared" si="66"/>
        <v/>
      </c>
      <c r="G1231" t="str">
        <f>SUBSTITUTE(B1232,CHAR(34),CHAR(92)&amp;CHAR(34))</f>
        <v xml:space="preserve"> Chữa cháy trong các trường hợp hỏa hoạn.</v>
      </c>
      <c r="H1231" t="str">
        <f>SUBSTITUTE(B1233,CHAR(34),CHAR(92)&amp;CHAR(34))</f>
        <v>Cầm máu cho người bị nạn.</v>
      </c>
      <c r="I1231" t="str">
        <f>SUBSTITUTE(IF(LEFT(A1234,3)="Câu","",B1234),CHAR(34),CHAR(92)&amp;CHAR(34))</f>
        <v/>
      </c>
      <c r="J1231" t="str">
        <f>SUBSTITUTE(IF(OR(LEFT(A1235,3)="Câu",I1231=""),"",IF(B1235=0,"",B1235)),CHAR(34),CHAR(92)&amp;CHAR(34))</f>
        <v/>
      </c>
      <c r="K1231" t="str">
        <f>SUBSTITUTE(SUBSTITUTE(SUBSTITUTE(SUBSTITUTE(IFERROR(VLOOKUP("Câu "&amp;D1231&amp;".",dapan!$E:$J,6,0),""),"1","A"),"2","B"),"3","C"),"4","D")</f>
        <v/>
      </c>
      <c r="P1231" t="str">
        <f t="shared" si="67"/>
        <v/>
      </c>
      <c r="Q1231" t="str">
        <f t="shared" si="68"/>
        <v/>
      </c>
    </row>
    <row r="1232" spans="1:17" hidden="1" x14ac:dyDescent="0.25">
      <c r="A1232">
        <v>2</v>
      </c>
      <c r="B1232" t="s">
        <v>1052</v>
      </c>
      <c r="C1232">
        <f>IFERROR(COUNTIFS($A$1:A1232,"Câu "&amp;"*")-MID(A1232,5,FIND(".",A1232,1)-5),0)</f>
        <v>0</v>
      </c>
      <c r="D1232" t="str">
        <f t="shared" si="65"/>
        <v/>
      </c>
      <c r="E1232" t="str">
        <f>SUBSTITUTE(IF(LEFT(A1232,3)="Câu",MID(A1232,FIND(".",A1232,1)+2,LEN(A1232)),""),CHAR(34),CHAR(92)&amp;CHAR(34))</f>
        <v/>
      </c>
      <c r="F1232" t="str">
        <f t="shared" si="66"/>
        <v/>
      </c>
      <c r="G1232" t="str">
        <f>SUBSTITUTE(B1233,CHAR(34),CHAR(92)&amp;CHAR(34))</f>
        <v>Cầm máu cho người bị nạn.</v>
      </c>
      <c r="H1232" t="str">
        <f>SUBSTITUTE(B1234,CHAR(34),CHAR(92)&amp;CHAR(34))</f>
        <v/>
      </c>
      <c r="I1232" t="str">
        <f>SUBSTITUTE(IF(LEFT(A1235,3)="Câu","",B1235),CHAR(34),CHAR(92)&amp;CHAR(34))</f>
        <v>Báo hiệu xin đường cho xe đi thẳng.</v>
      </c>
      <c r="J1232" t="str">
        <f>SUBSTITUTE(IF(OR(LEFT(A1236,3)="Câu",I1232=""),"",IF(B1236=0,"",B1236)),CHAR(34),CHAR(92)&amp;CHAR(34))</f>
        <v>Báo hiệu hệ thống phanh bị lỗi.</v>
      </c>
      <c r="K1232" t="str">
        <f>SUBSTITUTE(SUBSTITUTE(SUBSTITUTE(SUBSTITUTE(IFERROR(VLOOKUP("Câu "&amp;D1232&amp;".",dapan!$E:$J,6,0),""),"1","A"),"2","B"),"3","C"),"4","D")</f>
        <v/>
      </c>
      <c r="P1232" t="str">
        <f t="shared" si="67"/>
        <v/>
      </c>
      <c r="Q1232" t="str">
        <f t="shared" si="68"/>
        <v/>
      </c>
    </row>
    <row r="1233" spans="1:17" hidden="1" x14ac:dyDescent="0.25">
      <c r="A1233">
        <v>3</v>
      </c>
      <c r="B1233" t="s">
        <v>1053</v>
      </c>
      <c r="C1233">
        <f>IFERROR(COUNTIFS($A$1:A1233,"Câu "&amp;"*")-MID(A1233,5,FIND(".",A1233,1)-5),0)</f>
        <v>0</v>
      </c>
      <c r="D1233" t="str">
        <f t="shared" si="65"/>
        <v/>
      </c>
      <c r="E1233" t="str">
        <f>SUBSTITUTE(IF(LEFT(A1233,3)="Câu",MID(A1233,FIND(".",A1233,1)+2,LEN(A1233)),""),CHAR(34),CHAR(92)&amp;CHAR(34))</f>
        <v/>
      </c>
      <c r="F1233" t="str">
        <f t="shared" si="66"/>
        <v/>
      </c>
      <c r="G1233" t="str">
        <f>SUBSTITUTE(B1234,CHAR(34),CHAR(92)&amp;CHAR(34))</f>
        <v/>
      </c>
      <c r="H1233" t="str">
        <f>SUBSTITUTE(B1235,CHAR(34),CHAR(92)&amp;CHAR(34))</f>
        <v>Báo hiệu xin đường cho xe đi thẳng.</v>
      </c>
      <c r="I1233" t="str">
        <f>SUBSTITUTE(IF(LEFT(A1236,3)="Câu","",B1236),CHAR(34),CHAR(92)&amp;CHAR(34))</f>
        <v>Báo hiệu hệ thống phanh bị lỗi.</v>
      </c>
      <c r="J1233" t="str">
        <f>SUBSTITUTE(IF(OR(LEFT(A1237,3)="Câu",I1233=""),"",IF(B1237=0,"",B1237)),CHAR(34),CHAR(92)&amp;CHAR(34))</f>
        <v xml:space="preserve"> Báo hiệu xe đang ở tình huống nguy hiểm.</v>
      </c>
      <c r="K1233" t="str">
        <f>SUBSTITUTE(SUBSTITUTE(SUBSTITUTE(SUBSTITUTE(IFERROR(VLOOKUP("Câu "&amp;D1233&amp;".",dapan!$E:$J,6,0),""),"1","A"),"2","B"),"3","C"),"4","D")</f>
        <v/>
      </c>
      <c r="P1233" t="str">
        <f t="shared" si="67"/>
        <v/>
      </c>
      <c r="Q1233" t="str">
        <f t="shared" si="68"/>
        <v/>
      </c>
    </row>
    <row r="1234" spans="1:17" x14ac:dyDescent="0.25">
      <c r="A1234" t="s">
        <v>1054</v>
      </c>
      <c r="C1234">
        <f>IFERROR(COUNTIFS($A$1:A1234,"Câu "&amp;"*")-MID(A1234,5,FIND(".",A1234,1)-5),0)</f>
        <v>0</v>
      </c>
      <c r="D1234">
        <f t="shared" si="65"/>
        <v>299</v>
      </c>
      <c r="E1234" t="str">
        <f>SUBSTITUTE(IF(LEFT(A1234,3)="Câu",MID(A1234,FIND(".",A1234,1)+2,LEN(A1234)),""),CHAR(34),CHAR(92)&amp;CHAR(34))</f>
        <v>Nút bấm biểu tượng như hình vẽ trên xe ô tô có ý nghĩa như thế nào?</v>
      </c>
      <c r="F1234" t="str">
        <f t="shared" si="66"/>
        <v>q299.jpg</v>
      </c>
      <c r="G1234" t="str">
        <f>SUBSTITUTE(B1235,CHAR(34),CHAR(92)&amp;CHAR(34))</f>
        <v>Báo hiệu xin đường cho xe đi thẳng.</v>
      </c>
      <c r="H1234" t="str">
        <f>SUBSTITUTE(B1236,CHAR(34),CHAR(92)&amp;CHAR(34))</f>
        <v>Báo hiệu hệ thống phanh bị lỗi.</v>
      </c>
      <c r="I1234" t="str">
        <f>SUBSTITUTE(IF(LEFT(A1237,3)="Câu","",B1237),CHAR(34),CHAR(92)&amp;CHAR(34))</f>
        <v xml:space="preserve"> Báo hiệu xe đang ở tình huống nguy hiểm.</v>
      </c>
      <c r="J1234" t="str">
        <f>SUBSTITUTE(IF(OR(LEFT(A1238,3)="Câu",I1234=""),"",IF(B1238=0,"",B1238)),CHAR(34),CHAR(92)&amp;CHAR(34))</f>
        <v>Báo hiệu đến thời gian cần bảo dưỡng.</v>
      </c>
      <c r="K1234" t="str">
        <f ca="1">SUBSTITUTE(SUBSTITUTE(SUBSTITUTE(SUBSTITUTE(IFERROR(VLOOKUP("Câu "&amp;D1234&amp;".",dapan!$E:$J,6,0),""),"1","A"),"2","B"),"3","C"),"4","D")</f>
        <v>C</v>
      </c>
      <c r="P1234">
        <f t="shared" si="67"/>
        <v>299</v>
      </c>
      <c r="Q1234" t="str">
        <f t="shared" ca="1" si="68"/>
        <v>{"num":299,"id":299,"q":"Nút bấm biểu tượng như hình vẽ trên xe ô tô có ý nghĩa như thế nào?","img":"q299.jpg","opts":{"A":"Báo hiệu xin đường cho xe đi thẳng.","B":"Báo hiệu hệ thống phanh bị lỗi.","C":" Báo hiệu xe đang ở tình huống nguy hiểm.","D":"Báo hiệu đến thời gian cần bảo dưỡng."},"answer":"C"},</v>
      </c>
    </row>
    <row r="1235" spans="1:17" hidden="1" x14ac:dyDescent="0.25">
      <c r="A1235">
        <v>1</v>
      </c>
      <c r="B1235" t="s">
        <v>1055</v>
      </c>
      <c r="C1235">
        <f>IFERROR(COUNTIFS($A$1:A1235,"Câu "&amp;"*")-MID(A1235,5,FIND(".",A1235,1)-5),0)</f>
        <v>0</v>
      </c>
      <c r="D1235" t="str">
        <f t="shared" si="65"/>
        <v/>
      </c>
      <c r="E1235" t="str">
        <f>SUBSTITUTE(IF(LEFT(A1235,3)="Câu",MID(A1235,FIND(".",A1235,1)+2,LEN(A1235)),""),CHAR(34),CHAR(92)&amp;CHAR(34))</f>
        <v/>
      </c>
      <c r="F1235" t="str">
        <f t="shared" si="66"/>
        <v/>
      </c>
      <c r="G1235" t="str">
        <f>SUBSTITUTE(B1236,CHAR(34),CHAR(92)&amp;CHAR(34))</f>
        <v>Báo hiệu hệ thống phanh bị lỗi.</v>
      </c>
      <c r="H1235" t="str">
        <f>SUBSTITUTE(B1237,CHAR(34),CHAR(92)&amp;CHAR(34))</f>
        <v xml:space="preserve"> Báo hiệu xe đang ở tình huống nguy hiểm.</v>
      </c>
      <c r="I1235" t="str">
        <f>SUBSTITUTE(IF(LEFT(A1238,3)="Câu","",B1238),CHAR(34),CHAR(92)&amp;CHAR(34))</f>
        <v>Báo hiệu đến thời gian cần bảo dưỡng.</v>
      </c>
      <c r="J1235" t="str">
        <f>SUBSTITUTE(IF(OR(LEFT(A1239,3)="Câu",I1235=""),"",IF(B1239=0,"",B1239)),CHAR(34),CHAR(92)&amp;CHAR(34))</f>
        <v/>
      </c>
      <c r="K1235" t="str">
        <f>SUBSTITUTE(SUBSTITUTE(SUBSTITUTE(SUBSTITUTE(IFERROR(VLOOKUP("Câu "&amp;D1235&amp;".",dapan!$E:$J,6,0),""),"1","A"),"2","B"),"3","C"),"4","D")</f>
        <v/>
      </c>
      <c r="P1235" t="str">
        <f t="shared" si="67"/>
        <v/>
      </c>
      <c r="Q1235" t="str">
        <f t="shared" si="68"/>
        <v/>
      </c>
    </row>
    <row r="1236" spans="1:17" hidden="1" x14ac:dyDescent="0.25">
      <c r="A1236">
        <v>2</v>
      </c>
      <c r="B1236" t="s">
        <v>1056</v>
      </c>
      <c r="C1236">
        <f>IFERROR(COUNTIFS($A$1:A1236,"Câu "&amp;"*")-MID(A1236,5,FIND(".",A1236,1)-5),0)</f>
        <v>0</v>
      </c>
      <c r="D1236" t="str">
        <f t="shared" si="65"/>
        <v/>
      </c>
      <c r="E1236" t="str">
        <f>SUBSTITUTE(IF(LEFT(A1236,3)="Câu",MID(A1236,FIND(".",A1236,1)+2,LEN(A1236)),""),CHAR(34),CHAR(92)&amp;CHAR(34))</f>
        <v/>
      </c>
      <c r="F1236" t="str">
        <f t="shared" si="66"/>
        <v/>
      </c>
      <c r="G1236" t="str">
        <f>SUBSTITUTE(B1237,CHAR(34),CHAR(92)&amp;CHAR(34))</f>
        <v xml:space="preserve"> Báo hiệu xe đang ở tình huống nguy hiểm.</v>
      </c>
      <c r="H1236" t="str">
        <f>SUBSTITUTE(B1238,CHAR(34),CHAR(92)&amp;CHAR(34))</f>
        <v>Báo hiệu đến thời gian cần bảo dưỡng.</v>
      </c>
      <c r="I1236" t="str">
        <f>SUBSTITUTE(IF(LEFT(A1239,3)="Câu","",B1239),CHAR(34),CHAR(92)&amp;CHAR(34))</f>
        <v/>
      </c>
      <c r="J1236" t="str">
        <f>SUBSTITUTE(IF(OR(LEFT(A1240,3)="Câu",I1236=""),"",IF(B1240=0,"",B1240)),CHAR(34),CHAR(92)&amp;CHAR(34))</f>
        <v/>
      </c>
      <c r="K1236" t="str">
        <f>SUBSTITUTE(SUBSTITUTE(SUBSTITUTE(SUBSTITUTE(IFERROR(VLOOKUP("Câu "&amp;D1236&amp;".",dapan!$E:$J,6,0),""),"1","A"),"2","B"),"3","C"),"4","D")</f>
        <v/>
      </c>
      <c r="P1236" t="str">
        <f t="shared" si="67"/>
        <v/>
      </c>
      <c r="Q1236" t="str">
        <f t="shared" si="68"/>
        <v/>
      </c>
    </row>
    <row r="1237" spans="1:17" hidden="1" x14ac:dyDescent="0.25">
      <c r="A1237">
        <v>3</v>
      </c>
      <c r="B1237" t="s">
        <v>1057</v>
      </c>
      <c r="C1237">
        <f>IFERROR(COUNTIFS($A$1:A1237,"Câu "&amp;"*")-MID(A1237,5,FIND(".",A1237,1)-5),0)</f>
        <v>0</v>
      </c>
      <c r="D1237" t="str">
        <f t="shared" si="65"/>
        <v/>
      </c>
      <c r="E1237" t="str">
        <f>SUBSTITUTE(IF(LEFT(A1237,3)="Câu",MID(A1237,FIND(".",A1237,1)+2,LEN(A1237)),""),CHAR(34),CHAR(92)&amp;CHAR(34))</f>
        <v/>
      </c>
      <c r="F1237" t="str">
        <f t="shared" si="66"/>
        <v/>
      </c>
      <c r="G1237" t="str">
        <f>SUBSTITUTE(B1238,CHAR(34),CHAR(92)&amp;CHAR(34))</f>
        <v>Báo hiệu đến thời gian cần bảo dưỡng.</v>
      </c>
      <c r="H1237" t="str">
        <f>SUBSTITUTE(B1239,CHAR(34),CHAR(92)&amp;CHAR(34))</f>
        <v/>
      </c>
      <c r="I1237" t="str">
        <f>SUBSTITUTE(IF(LEFT(A1240,3)="Câu","",B1240),CHAR(34),CHAR(92)&amp;CHAR(34))</f>
        <v>Báo hiệu hệ thống túi khí đã bật.</v>
      </c>
      <c r="J1237" t="str">
        <f>SUBSTITUTE(IF(OR(LEFT(A1241,3)="Câu",I1237=""),"",IF(B1241=0,"",B1241)),CHAR(34),CHAR(92)&amp;CHAR(34))</f>
        <v>Báo hiệu đèn chiếu sáng xa đã bật.</v>
      </c>
      <c r="K1237" t="str">
        <f>SUBSTITUTE(SUBSTITUTE(SUBSTITUTE(SUBSTITUTE(IFERROR(VLOOKUP("Câu "&amp;D1237&amp;".",dapan!$E:$J,6,0),""),"1","A"),"2","B"),"3","C"),"4","D")</f>
        <v/>
      </c>
      <c r="P1237" t="str">
        <f t="shared" si="67"/>
        <v/>
      </c>
      <c r="Q1237" t="str">
        <f t="shared" si="68"/>
        <v/>
      </c>
    </row>
    <row r="1238" spans="1:17" hidden="1" x14ac:dyDescent="0.25">
      <c r="A1238">
        <v>4</v>
      </c>
      <c r="B1238" t="s">
        <v>1058</v>
      </c>
      <c r="C1238">
        <f>IFERROR(COUNTIFS($A$1:A1238,"Câu "&amp;"*")-MID(A1238,5,FIND(".",A1238,1)-5),0)</f>
        <v>0</v>
      </c>
      <c r="D1238" t="str">
        <f t="shared" si="65"/>
        <v/>
      </c>
      <c r="E1238" t="str">
        <f>SUBSTITUTE(IF(LEFT(A1238,3)="Câu",MID(A1238,FIND(".",A1238,1)+2,LEN(A1238)),""),CHAR(34),CHAR(92)&amp;CHAR(34))</f>
        <v/>
      </c>
      <c r="F1238" t="str">
        <f t="shared" si="66"/>
        <v/>
      </c>
      <c r="G1238" t="str">
        <f>SUBSTITUTE(B1239,CHAR(34),CHAR(92)&amp;CHAR(34))</f>
        <v/>
      </c>
      <c r="H1238" t="str">
        <f>SUBSTITUTE(B1240,CHAR(34),CHAR(92)&amp;CHAR(34))</f>
        <v>Báo hiệu hệ thống túi khí đã bật.</v>
      </c>
      <c r="I1238" t="str">
        <f>SUBSTITUTE(IF(LEFT(A1241,3)="Câu","",B1241),CHAR(34),CHAR(92)&amp;CHAR(34))</f>
        <v>Báo hiệu đèn chiếu sáng xa đã bật.</v>
      </c>
      <c r="J1238" t="str">
        <f>SUBSTITUTE(IF(OR(LEFT(A1242,3)="Câu",I1238=""),"",IF(B1242=0,"",B1242)),CHAR(34),CHAR(92)&amp;CHAR(34))</f>
        <v xml:space="preserve"> Báo hiệu chế độ lái tiết kiệm nhiên liệu đã bật.</v>
      </c>
      <c r="K1238" t="str">
        <f>SUBSTITUTE(SUBSTITUTE(SUBSTITUTE(SUBSTITUTE(IFERROR(VLOOKUP("Câu "&amp;D1238&amp;".",dapan!$E:$J,6,0),""),"1","A"),"2","B"),"3","C"),"4","D")</f>
        <v/>
      </c>
      <c r="P1238" t="str">
        <f t="shared" si="67"/>
        <v/>
      </c>
      <c r="Q1238" t="str">
        <f t="shared" si="68"/>
        <v/>
      </c>
    </row>
    <row r="1239" spans="1:17" x14ac:dyDescent="0.25">
      <c r="A1239" t="s">
        <v>1059</v>
      </c>
      <c r="C1239">
        <f>IFERROR(COUNTIFS($A$1:A1239,"Câu "&amp;"*")-MID(A1239,5,FIND(".",A1239,1)-5),0)</f>
        <v>0</v>
      </c>
      <c r="D1239">
        <f t="shared" si="65"/>
        <v>300</v>
      </c>
      <c r="E1239" t="str">
        <f>SUBSTITUTE(IF(LEFT(A1239,3)="Câu",MID(A1239,FIND(".",A1239,1)+2,LEN(A1239)),""),CHAR(34),CHAR(92)&amp;CHAR(34))</f>
        <v>Khi động cơ đã hoạt động, bảng đồng hồ xuất hiện biểu tượng hình vẽ dưới đây, báo hiệu tình trạng như thế nào của xe?</v>
      </c>
      <c r="F1239" t="str">
        <f t="shared" ref="F1239:F1302" si="69">IF(D1239="","","q"&amp;TEXT(D1239,"000")&amp;".jpg")</f>
        <v>q300.jpg</v>
      </c>
      <c r="G1239" t="str">
        <f>SUBSTITUTE(B1240,CHAR(34),CHAR(92)&amp;CHAR(34))</f>
        <v>Báo hiệu hệ thống túi khí đã bật.</v>
      </c>
      <c r="H1239" t="str">
        <f>SUBSTITUTE(B1241,CHAR(34),CHAR(92)&amp;CHAR(34))</f>
        <v>Báo hiệu đèn chiếu sáng xa đã bật.</v>
      </c>
      <c r="I1239" t="str">
        <f>SUBSTITUTE(IF(LEFT(A1242,3)="Câu","",B1242),CHAR(34),CHAR(92)&amp;CHAR(34))</f>
        <v xml:space="preserve"> Báo hiệu chế độ lái tiết kiệm nhiên liệu đã bật.</v>
      </c>
      <c r="J1239" t="str">
        <f>SUBSTITUTE(IF(OR(LEFT(A1243,3)="Câu",I1239=""),"",IF(B1243=0,"",B1243)),CHAR(34),CHAR(92)&amp;CHAR(34))</f>
        <v>Báo hiệu đèn cảnh báo khoảng cách đã bật.</v>
      </c>
      <c r="K1239" t="str">
        <f ca="1">SUBSTITUTE(SUBSTITUTE(SUBSTITUTE(SUBSTITUTE(IFERROR(VLOOKUP("Câu "&amp;D1239&amp;".",dapan!$E:$J,6,0),""),"1","A"),"2","B"),"3","C"),"4","D")</f>
        <v>C</v>
      </c>
      <c r="P1239">
        <f t="shared" si="67"/>
        <v>300</v>
      </c>
      <c r="Q1239" t="str">
        <f t="shared" ca="1" si="68"/>
        <v>{"num":300,"id":300,"q":"Khi động cơ đã hoạt động, bảng đồng hồ xuất hiện biểu tượng hình vẽ dưới đây, báo hiệu tình trạng như thế nào của xe?","img":"q300.jpg","opts":{"A":"Báo hiệu hệ thống túi khí đã bật.","B":"Báo hiệu đèn chiếu sáng xa đã bật.","C":" Báo hiệu chế độ lái tiết kiệm nhiên liệu đã bật.","D":"Báo hiệu đèn cảnh báo khoảng cách đã bật."},"answer":"C"},</v>
      </c>
    </row>
    <row r="1240" spans="1:17" hidden="1" x14ac:dyDescent="0.25">
      <c r="A1240">
        <v>1</v>
      </c>
      <c r="B1240" t="s">
        <v>1060</v>
      </c>
      <c r="C1240">
        <f>IFERROR(COUNTIFS($A$1:A1240,"Câu "&amp;"*")-MID(A1240,5,FIND(".",A1240,1)-5),0)</f>
        <v>0</v>
      </c>
      <c r="D1240" t="str">
        <f t="shared" si="65"/>
        <v/>
      </c>
      <c r="E1240" t="str">
        <f>SUBSTITUTE(IF(LEFT(A1240,3)="Câu",MID(A1240,FIND(".",A1240,1)+2,LEN(A1240)),""),CHAR(34),CHAR(92)&amp;CHAR(34))</f>
        <v/>
      </c>
      <c r="F1240" t="str">
        <f t="shared" si="66"/>
        <v/>
      </c>
      <c r="G1240" t="str">
        <f>SUBSTITUTE(B1241,CHAR(34),CHAR(92)&amp;CHAR(34))</f>
        <v>Báo hiệu đèn chiếu sáng xa đã bật.</v>
      </c>
      <c r="H1240" t="str">
        <f>SUBSTITUTE(B1242,CHAR(34),CHAR(92)&amp;CHAR(34))</f>
        <v xml:space="preserve"> Báo hiệu chế độ lái tiết kiệm nhiên liệu đã bật.</v>
      </c>
      <c r="I1240" t="str">
        <f>SUBSTITUTE(IF(LEFT(A1243,3)="Câu","",B1243),CHAR(34),CHAR(92)&amp;CHAR(34))</f>
        <v>Báo hiệu đèn cảnh báo khoảng cách đã bật.</v>
      </c>
      <c r="J1240" t="str">
        <f>SUBSTITUTE(IF(OR(LEFT(A1244,3)="Câu",I1240=""),"",IF(B1244=0,"",B1244)),CHAR(34),CHAR(92)&amp;CHAR(34))</f>
        <v/>
      </c>
      <c r="K1240" t="str">
        <f>SUBSTITUTE(SUBSTITUTE(SUBSTITUTE(SUBSTITUTE(IFERROR(VLOOKUP("Câu "&amp;D1240&amp;".",dapan!$E:$J,6,0),""),"1","A"),"2","B"),"3","C"),"4","D")</f>
        <v/>
      </c>
      <c r="P1240" t="str">
        <f t="shared" si="67"/>
        <v/>
      </c>
      <c r="Q1240" t="str">
        <f t="shared" si="68"/>
        <v/>
      </c>
    </row>
    <row r="1241" spans="1:17" hidden="1" x14ac:dyDescent="0.25">
      <c r="A1241">
        <v>2</v>
      </c>
      <c r="B1241" t="s">
        <v>1061</v>
      </c>
      <c r="C1241">
        <f>IFERROR(COUNTIFS($A$1:A1241,"Câu "&amp;"*")-MID(A1241,5,FIND(".",A1241,1)-5),0)</f>
        <v>0</v>
      </c>
      <c r="D1241" t="str">
        <f t="shared" ref="D1241:D1304" si="70">IF(LEFT(A1241,3)="Câu",VALUE(MID(A1241,5,FIND(".",A1241,1)-5)),"")</f>
        <v/>
      </c>
      <c r="E1241" t="str">
        <f>SUBSTITUTE(IF(LEFT(A1241,3)="Câu",MID(A1241,FIND(".",A1241,1)+2,LEN(A1241)),""),CHAR(34),CHAR(92)&amp;CHAR(34))</f>
        <v/>
      </c>
      <c r="F1241" t="str">
        <f t="shared" si="66"/>
        <v/>
      </c>
      <c r="G1241" t="str">
        <f>SUBSTITUTE(B1242,CHAR(34),CHAR(92)&amp;CHAR(34))</f>
        <v xml:space="preserve"> Báo hiệu chế độ lái tiết kiệm nhiên liệu đã bật.</v>
      </c>
      <c r="H1241" t="str">
        <f>SUBSTITUTE(B1243,CHAR(34),CHAR(92)&amp;CHAR(34))</f>
        <v>Báo hiệu đèn cảnh báo khoảng cách đã bật.</v>
      </c>
      <c r="I1241" t="str">
        <f>SUBSTITUTE(IF(LEFT(A1244,3)="Câu","",B1244),CHAR(34),CHAR(92)&amp;CHAR(34))</f>
        <v/>
      </c>
      <c r="J1241" t="str">
        <f>SUBSTITUTE(IF(OR(LEFT(A1245,3)="Câu",I1241=""),"",IF(B1245=0,"",B1245)),CHAR(34),CHAR(92)&amp;CHAR(34))</f>
        <v/>
      </c>
      <c r="K1241" t="str">
        <f>SUBSTITUTE(SUBSTITUTE(SUBSTITUTE(SUBSTITUTE(IFERROR(VLOOKUP("Câu "&amp;D1241&amp;".",dapan!$E:$J,6,0),""),"1","A"),"2","B"),"3","C"),"4","D")</f>
        <v/>
      </c>
      <c r="P1241" t="str">
        <f t="shared" si="67"/>
        <v/>
      </c>
      <c r="Q1241" t="str">
        <f t="shared" si="68"/>
        <v/>
      </c>
    </row>
    <row r="1242" spans="1:17" hidden="1" x14ac:dyDescent="0.25">
      <c r="A1242">
        <v>3</v>
      </c>
      <c r="B1242" t="s">
        <v>1062</v>
      </c>
      <c r="C1242">
        <f>IFERROR(COUNTIFS($A$1:A1242,"Câu "&amp;"*")-MID(A1242,5,FIND(".",A1242,1)-5),0)</f>
        <v>0</v>
      </c>
      <c r="D1242" t="str">
        <f t="shared" si="70"/>
        <v/>
      </c>
      <c r="E1242" t="str">
        <f>SUBSTITUTE(IF(LEFT(A1242,3)="Câu",MID(A1242,FIND(".",A1242,1)+2,LEN(A1242)),""),CHAR(34),CHAR(92)&amp;CHAR(34))</f>
        <v/>
      </c>
      <c r="F1242" t="str">
        <f t="shared" si="66"/>
        <v/>
      </c>
      <c r="G1242" t="str">
        <f>SUBSTITUTE(B1243,CHAR(34),CHAR(92)&amp;CHAR(34))</f>
        <v>Báo hiệu đèn cảnh báo khoảng cách đã bật.</v>
      </c>
      <c r="H1242" t="str">
        <f>SUBSTITUTE(B1244,CHAR(34),CHAR(92)&amp;CHAR(34))</f>
        <v/>
      </c>
      <c r="I1242" t="str">
        <f>SUBSTITUTE(IF(LEFT(A1245,3)="Câu","",B1245),CHAR(34),CHAR(92)&amp;CHAR(34))</f>
        <v/>
      </c>
      <c r="J1242" t="str">
        <f>SUBSTITUTE(IF(OR(LEFT(A1246,3)="Câu",I1242=""),"",IF(B1246=0,"",B1246)),CHAR(34),CHAR(92)&amp;CHAR(34))</f>
        <v/>
      </c>
      <c r="K1242" t="str">
        <f>SUBSTITUTE(SUBSTITUTE(SUBSTITUTE(SUBSTITUTE(IFERROR(VLOOKUP("Câu "&amp;D1242&amp;".",dapan!$E:$J,6,0),""),"1","A"),"2","B"),"3","C"),"4","D")</f>
        <v/>
      </c>
      <c r="P1242" t="str">
        <f t="shared" si="67"/>
        <v/>
      </c>
      <c r="Q1242" t="str">
        <f t="shared" si="68"/>
        <v/>
      </c>
    </row>
    <row r="1243" spans="1:17" hidden="1" x14ac:dyDescent="0.25">
      <c r="A1243">
        <v>4</v>
      </c>
      <c r="B1243" t="s">
        <v>1063</v>
      </c>
      <c r="C1243">
        <f>IFERROR(COUNTIFS($A$1:A1243,"Câu "&amp;"*")-MID(A1243,5,FIND(".",A1243,1)-5),0)</f>
        <v>0</v>
      </c>
      <c r="D1243" t="str">
        <f t="shared" si="70"/>
        <v/>
      </c>
      <c r="E1243" t="str">
        <f>SUBSTITUTE(IF(LEFT(A1243,3)="Câu",MID(A1243,FIND(".",A1243,1)+2,LEN(A1243)),""),CHAR(34),CHAR(92)&amp;CHAR(34))</f>
        <v/>
      </c>
      <c r="F1243" t="str">
        <f t="shared" si="69"/>
        <v/>
      </c>
      <c r="G1243" t="str">
        <f>SUBSTITUTE(B1244,CHAR(34),CHAR(92)&amp;CHAR(34))</f>
        <v/>
      </c>
      <c r="H1243" t="str">
        <f>SUBSTITUTE(B1245,CHAR(34),CHAR(92)&amp;CHAR(34))</f>
        <v/>
      </c>
      <c r="I1243" t="str">
        <f>SUBSTITUTE(IF(LEFT(A1246,3)="Câu","",B1246),CHAR(34),CHAR(92)&amp;CHAR(34))</f>
        <v xml:space="preserve"> Biển 1.</v>
      </c>
      <c r="J1243" t="str">
        <f>SUBSTITUTE(IF(OR(LEFT(A1247,3)="Câu",I1243=""),"",IF(B1247=0,"",B1247)),CHAR(34),CHAR(92)&amp;CHAR(34))</f>
        <v>Biển 2.</v>
      </c>
      <c r="K1243" t="str">
        <f>SUBSTITUTE(SUBSTITUTE(SUBSTITUTE(SUBSTITUTE(IFERROR(VLOOKUP("Câu "&amp;D1243&amp;".",dapan!$E:$J,6,0),""),"1","A"),"2","B"),"3","C"),"4","D")</f>
        <v/>
      </c>
      <c r="P1243" t="str">
        <f t="shared" si="67"/>
        <v/>
      </c>
      <c r="Q1243" t="str">
        <f t="shared" si="68"/>
        <v/>
      </c>
    </row>
    <row r="1244" spans="1:17" hidden="1" x14ac:dyDescent="0.25">
      <c r="A1244" t="s">
        <v>1064</v>
      </c>
      <c r="C1244">
        <f>IFERROR(COUNTIFS($A$1:A1244,"Câu "&amp;"*")-MID(A1244,5,FIND(".",A1244,1)-5),0)</f>
        <v>0</v>
      </c>
      <c r="D1244" t="str">
        <f t="shared" si="70"/>
        <v/>
      </c>
      <c r="E1244" t="str">
        <f>SUBSTITUTE(IF(LEFT(A1244,3)="Câu",MID(A1244,FIND(".",A1244,1)+2,LEN(A1244)),""),CHAR(34),CHAR(92)&amp;CHAR(34))</f>
        <v/>
      </c>
      <c r="F1244" t="str">
        <f t="shared" si="69"/>
        <v/>
      </c>
      <c r="G1244" t="str">
        <f>SUBSTITUTE(B1245,CHAR(34),CHAR(92)&amp;CHAR(34))</f>
        <v/>
      </c>
      <c r="H1244" t="str">
        <f>SUBSTITUTE(B1246,CHAR(34),CHAR(92)&amp;CHAR(34))</f>
        <v xml:space="preserve"> Biển 1.</v>
      </c>
      <c r="I1244" t="str">
        <f>SUBSTITUTE(IF(LEFT(A1247,3)="Câu","",B1247),CHAR(34),CHAR(92)&amp;CHAR(34))</f>
        <v>Biển 2.</v>
      </c>
      <c r="J1244" t="str">
        <f>SUBSTITUTE(IF(OR(LEFT(A1248,3)="Câu",I1244=""),"",IF(B1248=0,"",B1248)),CHAR(34),CHAR(92)&amp;CHAR(34))</f>
        <v>Biển 1 và biển 3.</v>
      </c>
      <c r="K1244" t="str">
        <f>SUBSTITUTE(SUBSTITUTE(SUBSTITUTE(SUBSTITUTE(IFERROR(VLOOKUP("Câu "&amp;D1244&amp;".",dapan!$E:$J,6,0),""),"1","A"),"2","B"),"3","C"),"4","D")</f>
        <v/>
      </c>
      <c r="P1244" t="str">
        <f t="shared" si="67"/>
        <v/>
      </c>
      <c r="Q1244" t="str">
        <f t="shared" si="68"/>
        <v/>
      </c>
    </row>
    <row r="1245" spans="1:17" x14ac:dyDescent="0.25">
      <c r="A1245" t="s">
        <v>1065</v>
      </c>
      <c r="C1245">
        <f>IFERROR(COUNTIFS($A$1:A1245,"Câu "&amp;"*")-MID(A1245,5,FIND(".",A1245,1)-5),0)</f>
        <v>0</v>
      </c>
      <c r="D1245">
        <f t="shared" si="70"/>
        <v>301</v>
      </c>
      <c r="E1245" t="str">
        <f>SUBSTITUTE(IF(LEFT(A1245,3)="Câu",MID(A1245,FIND(".",A1245,1)+2,LEN(A1245)),""),CHAR(34),CHAR(92)&amp;CHAR(34))</f>
        <v>Biển nào cấm các loại xe cơ giới đi vào, trừ xe máy hai bánh, xe gắn máy và các loại xe ưu tiên theo quy định?</v>
      </c>
      <c r="F1245" t="str">
        <f t="shared" si="69"/>
        <v>q301.jpg</v>
      </c>
      <c r="G1245" t="str">
        <f>SUBSTITUTE(B1246,CHAR(34),CHAR(92)&amp;CHAR(34))</f>
        <v xml:space="preserve"> Biển 1.</v>
      </c>
      <c r="H1245" t="str">
        <f>SUBSTITUTE(B1247,CHAR(34),CHAR(92)&amp;CHAR(34))</f>
        <v>Biển 2.</v>
      </c>
      <c r="I1245" t="str">
        <f>SUBSTITUTE(IF(LEFT(A1248,3)="Câu","",B1248),CHAR(34),CHAR(92)&amp;CHAR(34))</f>
        <v>Biển 1 và biển 3.</v>
      </c>
      <c r="J1245" t="str">
        <f>SUBSTITUTE(IF(OR(LEFT(A1249,3)="Câu",I1245=""),"",IF(B1249=0,"",B1249)),CHAR(34),CHAR(92)&amp;CHAR(34))</f>
        <v>Cả ba biển.</v>
      </c>
      <c r="K1245" t="str">
        <f ca="1">SUBSTITUTE(SUBSTITUTE(SUBSTITUTE(SUBSTITUTE(IFERROR(VLOOKUP("Câu "&amp;D1245&amp;".",dapan!$E:$J,6,0),""),"1","A"),"2","B"),"3","C"),"4","D")</f>
        <v>A</v>
      </c>
      <c r="P1245">
        <f t="shared" si="67"/>
        <v>301</v>
      </c>
      <c r="Q1245" t="str">
        <f t="shared" ca="1" si="68"/>
        <v>{"num":301,"id":301,"q":"Biển nào cấm các loại xe cơ giới đi vào, trừ xe máy hai bánh, xe gắn máy và các loại xe ưu tiên theo quy định?","img":"q301.jpg","opts":{"A":" Biển 1.","B":"Biển 2.","C":"Biển 1 và biển 3.","D":"Cả ba biển."},"answer":"A"},</v>
      </c>
    </row>
    <row r="1246" spans="1:17" hidden="1" x14ac:dyDescent="0.25">
      <c r="A1246">
        <v>1</v>
      </c>
      <c r="B1246" t="s">
        <v>1066</v>
      </c>
      <c r="C1246">
        <f>IFERROR(COUNTIFS($A$1:A1246,"Câu "&amp;"*")-MID(A1246,5,FIND(".",A1246,1)-5),0)</f>
        <v>0</v>
      </c>
      <c r="D1246" t="str">
        <f t="shared" si="70"/>
        <v/>
      </c>
      <c r="E1246" t="str">
        <f>SUBSTITUTE(IF(LEFT(A1246,3)="Câu",MID(A1246,FIND(".",A1246,1)+2,LEN(A1246)),""),CHAR(34),CHAR(92)&amp;CHAR(34))</f>
        <v/>
      </c>
      <c r="F1246" t="str">
        <f t="shared" si="69"/>
        <v/>
      </c>
      <c r="G1246" t="str">
        <f>SUBSTITUTE(B1247,CHAR(34),CHAR(92)&amp;CHAR(34))</f>
        <v>Biển 2.</v>
      </c>
      <c r="H1246" t="str">
        <f>SUBSTITUTE(B1248,CHAR(34),CHAR(92)&amp;CHAR(34))</f>
        <v>Biển 1 và biển 3.</v>
      </c>
      <c r="I1246" t="str">
        <f>SUBSTITUTE(IF(LEFT(A1249,3)="Câu","",B1249),CHAR(34),CHAR(92)&amp;CHAR(34))</f>
        <v>Cả ba biển.</v>
      </c>
      <c r="J1246" t="str">
        <f>SUBSTITUTE(IF(OR(LEFT(A1250,3)="Câu",I1246=""),"",IF(B1250=0,"",B1250)),CHAR(34),CHAR(92)&amp;CHAR(34))</f>
        <v/>
      </c>
      <c r="K1246" t="str">
        <f>SUBSTITUTE(SUBSTITUTE(SUBSTITUTE(SUBSTITUTE(IFERROR(VLOOKUP("Câu "&amp;D1246&amp;".",dapan!$E:$J,6,0),""),"1","A"),"2","B"),"3","C"),"4","D")</f>
        <v/>
      </c>
      <c r="P1246" t="str">
        <f t="shared" si="67"/>
        <v/>
      </c>
      <c r="Q1246" t="str">
        <f t="shared" si="68"/>
        <v/>
      </c>
    </row>
    <row r="1247" spans="1:17" hidden="1" x14ac:dyDescent="0.25">
      <c r="A1247">
        <v>2</v>
      </c>
      <c r="B1247" t="s">
        <v>1068</v>
      </c>
      <c r="C1247">
        <f>IFERROR(COUNTIFS($A$1:A1247,"Câu "&amp;"*")-MID(A1247,5,FIND(".",A1247,1)-5),0)</f>
        <v>0</v>
      </c>
      <c r="D1247" t="str">
        <f t="shared" si="70"/>
        <v/>
      </c>
      <c r="E1247" t="str">
        <f>SUBSTITUTE(IF(LEFT(A1247,3)="Câu",MID(A1247,FIND(".",A1247,1)+2,LEN(A1247)),""),CHAR(34),CHAR(92)&amp;CHAR(34))</f>
        <v/>
      </c>
      <c r="F1247" t="str">
        <f t="shared" si="69"/>
        <v/>
      </c>
      <c r="G1247" t="str">
        <f>SUBSTITUTE(B1248,CHAR(34),CHAR(92)&amp;CHAR(34))</f>
        <v>Biển 1 và biển 3.</v>
      </c>
      <c r="H1247" t="str">
        <f>SUBSTITUTE(B1249,CHAR(34),CHAR(92)&amp;CHAR(34))</f>
        <v>Cả ba biển.</v>
      </c>
      <c r="I1247" t="str">
        <f>SUBSTITUTE(IF(LEFT(A1250,3)="Câu","",B1250),CHAR(34),CHAR(92)&amp;CHAR(34))</f>
        <v/>
      </c>
      <c r="J1247" t="str">
        <f>SUBSTITUTE(IF(OR(LEFT(A1251,3)="Câu",I1247=""),"",IF(B1251=0,"",B1251)),CHAR(34),CHAR(92)&amp;CHAR(34))</f>
        <v/>
      </c>
      <c r="K1247" t="str">
        <f>SUBSTITUTE(SUBSTITUTE(SUBSTITUTE(SUBSTITUTE(IFERROR(VLOOKUP("Câu "&amp;D1247&amp;".",dapan!$E:$J,6,0),""),"1","A"),"2","B"),"3","C"),"4","D")</f>
        <v/>
      </c>
      <c r="P1247" t="str">
        <f t="shared" si="67"/>
        <v/>
      </c>
      <c r="Q1247" t="str">
        <f t="shared" si="68"/>
        <v/>
      </c>
    </row>
    <row r="1248" spans="1:17" hidden="1" x14ac:dyDescent="0.25">
      <c r="A1248">
        <v>3</v>
      </c>
      <c r="B1248" t="s">
        <v>1077</v>
      </c>
      <c r="C1248">
        <f>IFERROR(COUNTIFS($A$1:A1248,"Câu "&amp;"*")-MID(A1248,5,FIND(".",A1248,1)-5),0)</f>
        <v>0</v>
      </c>
      <c r="D1248" t="str">
        <f t="shared" si="70"/>
        <v/>
      </c>
      <c r="E1248" t="str">
        <f>SUBSTITUTE(IF(LEFT(A1248,3)="Câu",MID(A1248,FIND(".",A1248,1)+2,LEN(A1248)),""),CHAR(34),CHAR(92)&amp;CHAR(34))</f>
        <v/>
      </c>
      <c r="F1248" t="str">
        <f t="shared" si="69"/>
        <v/>
      </c>
      <c r="G1248" t="str">
        <f>SUBSTITUTE(B1249,CHAR(34),CHAR(92)&amp;CHAR(34))</f>
        <v>Cả ba biển.</v>
      </c>
      <c r="H1248" t="str">
        <f>SUBSTITUTE(B1250,CHAR(34),CHAR(92)&amp;CHAR(34))</f>
        <v/>
      </c>
      <c r="I1248" t="str">
        <f>SUBSTITUTE(IF(LEFT(A1251,3)="Câu","",B1251),CHAR(34),CHAR(92)&amp;CHAR(34))</f>
        <v>Cả ba biển.</v>
      </c>
      <c r="J1248" t="str">
        <f>SUBSTITUTE(IF(OR(LEFT(A1252,3)="Câu",I1248=""),"",IF(B1252=0,"",B1252)),CHAR(34),CHAR(92)&amp;CHAR(34))</f>
        <v>Biển 2 và biển 3.</v>
      </c>
      <c r="K1248" t="str">
        <f>SUBSTITUTE(SUBSTITUTE(SUBSTITUTE(SUBSTITUTE(IFERROR(VLOOKUP("Câu "&amp;D1248&amp;".",dapan!$E:$J,6,0),""),"1","A"),"2","B"),"3","C"),"4","D")</f>
        <v/>
      </c>
      <c r="P1248" t="str">
        <f t="shared" si="67"/>
        <v/>
      </c>
      <c r="Q1248" t="str">
        <f t="shared" si="68"/>
        <v/>
      </c>
    </row>
    <row r="1249" spans="1:17" hidden="1" x14ac:dyDescent="0.25">
      <c r="A1249">
        <v>4</v>
      </c>
      <c r="B1249" t="s">
        <v>1071</v>
      </c>
      <c r="C1249">
        <f>IFERROR(COUNTIFS($A$1:A1249,"Câu "&amp;"*")-MID(A1249,5,FIND(".",A1249,1)-5),0)</f>
        <v>0</v>
      </c>
      <c r="D1249" t="str">
        <f t="shared" si="70"/>
        <v/>
      </c>
      <c r="E1249" t="str">
        <f>SUBSTITUTE(IF(LEFT(A1249,3)="Câu",MID(A1249,FIND(".",A1249,1)+2,LEN(A1249)),""),CHAR(34),CHAR(92)&amp;CHAR(34))</f>
        <v/>
      </c>
      <c r="F1249" t="str">
        <f t="shared" si="69"/>
        <v/>
      </c>
      <c r="G1249" t="str">
        <f>SUBSTITUTE(B1250,CHAR(34),CHAR(92)&amp;CHAR(34))</f>
        <v/>
      </c>
      <c r="H1249" t="str">
        <f>SUBSTITUTE(B1251,CHAR(34),CHAR(92)&amp;CHAR(34))</f>
        <v>Cả ba biển.</v>
      </c>
      <c r="I1249" t="str">
        <f>SUBSTITUTE(IF(LEFT(A1252,3)="Câu","",B1252),CHAR(34),CHAR(92)&amp;CHAR(34))</f>
        <v>Biển 2 và biển 3.</v>
      </c>
      <c r="J1249" t="str">
        <f>SUBSTITUTE(IF(OR(LEFT(A1253,3)="Câu",I1249=""),"",IF(B1253=0,"",B1253)),CHAR(34),CHAR(92)&amp;CHAR(34))</f>
        <v>Biển 1 và biển 3.</v>
      </c>
      <c r="K1249" t="str">
        <f>SUBSTITUTE(SUBSTITUTE(SUBSTITUTE(SUBSTITUTE(IFERROR(VLOOKUP("Câu "&amp;D1249&amp;".",dapan!$E:$J,6,0),""),"1","A"),"2","B"),"3","C"),"4","D")</f>
        <v/>
      </c>
      <c r="P1249" t="str">
        <f t="shared" si="67"/>
        <v/>
      </c>
      <c r="Q1249" t="str">
        <f t="shared" si="68"/>
        <v/>
      </c>
    </row>
    <row r="1250" spans="1:17" x14ac:dyDescent="0.25">
      <c r="A1250" t="s">
        <v>1070</v>
      </c>
      <c r="C1250">
        <f>IFERROR(COUNTIFS($A$1:A1250,"Câu "&amp;"*")-MID(A1250,5,FIND(".",A1250,1)-5),0)</f>
        <v>0</v>
      </c>
      <c r="D1250">
        <f t="shared" si="70"/>
        <v>302</v>
      </c>
      <c r="E1250" t="str">
        <f>SUBSTITUTE(IF(LEFT(A1250,3)="Câu",MID(A1250,FIND(".",A1250,1)+2,LEN(A1250)),""),CHAR(34),CHAR(92)&amp;CHAR(34))</f>
        <v>Biển nào cấm xe ô tô tải?</v>
      </c>
      <c r="F1250" t="str">
        <f t="shared" si="69"/>
        <v>q302.jpg</v>
      </c>
      <c r="G1250" t="str">
        <f>SUBSTITUTE(B1251,CHAR(34),CHAR(92)&amp;CHAR(34))</f>
        <v>Cả ba biển.</v>
      </c>
      <c r="H1250" t="str">
        <f>SUBSTITUTE(B1252,CHAR(34),CHAR(92)&amp;CHAR(34))</f>
        <v>Biển 2 và biển 3.</v>
      </c>
      <c r="I1250" t="str">
        <f>SUBSTITUTE(IF(LEFT(A1253,3)="Câu","",B1253),CHAR(34),CHAR(92)&amp;CHAR(34))</f>
        <v>Biển 1 và biển 3.</v>
      </c>
      <c r="J1250" t="str">
        <f>SUBSTITUTE(IF(OR(LEFT(A1254,3)="Câu",I1250=""),"",IF(B1254=0,"",B1254)),CHAR(34),CHAR(92)&amp;CHAR(34))</f>
        <v>Biển 1 và biển 2.</v>
      </c>
      <c r="K1250" t="str">
        <f ca="1">SUBSTITUTE(SUBSTITUTE(SUBSTITUTE(SUBSTITUTE(IFERROR(VLOOKUP("Câu "&amp;D1250&amp;".",dapan!$E:$J,6,0),""),"1","A"),"2","B"),"3","C"),"4","D")</f>
        <v>D</v>
      </c>
      <c r="P1250">
        <f t="shared" si="67"/>
        <v>302</v>
      </c>
      <c r="Q1250" t="str">
        <f t="shared" ca="1" si="68"/>
        <v>{"num":302,"id":302,"q":"Biển nào cấm xe ô tô tải?","img":"q302.jpg","opts":{"A":"Cả ba biển.","B":"Biển 2 và biển 3.","C":"Biển 1 và biển 3.","D":"Biển 1 và biển 2."},"answer":"D"},</v>
      </c>
    </row>
    <row r="1251" spans="1:17" hidden="1" x14ac:dyDescent="0.25">
      <c r="A1251">
        <v>1</v>
      </c>
      <c r="B1251" t="s">
        <v>1071</v>
      </c>
      <c r="C1251">
        <f>IFERROR(COUNTIFS($A$1:A1251,"Câu "&amp;"*")-MID(A1251,5,FIND(".",A1251,1)-5),0)</f>
        <v>0</v>
      </c>
      <c r="D1251" t="str">
        <f t="shared" si="70"/>
        <v/>
      </c>
      <c r="E1251" t="str">
        <f>SUBSTITUTE(IF(LEFT(A1251,3)="Câu",MID(A1251,FIND(".",A1251,1)+2,LEN(A1251)),""),CHAR(34),CHAR(92)&amp;CHAR(34))</f>
        <v/>
      </c>
      <c r="F1251" t="str">
        <f t="shared" si="69"/>
        <v/>
      </c>
      <c r="G1251" t="str">
        <f>SUBSTITUTE(B1252,CHAR(34),CHAR(92)&amp;CHAR(34))</f>
        <v>Biển 2 và biển 3.</v>
      </c>
      <c r="H1251" t="str">
        <f>SUBSTITUTE(B1253,CHAR(34),CHAR(92)&amp;CHAR(34))</f>
        <v>Biển 1 và biển 3.</v>
      </c>
      <c r="I1251" t="str">
        <f>SUBSTITUTE(IF(LEFT(A1254,3)="Câu","",B1254),CHAR(34),CHAR(92)&amp;CHAR(34))</f>
        <v>Biển 1 và biển 2.</v>
      </c>
      <c r="J1251" t="str">
        <f>SUBSTITUTE(IF(OR(LEFT(A1255,3)="Câu",I1251=""),"",IF(B1255=0,"",B1255)),CHAR(34),CHAR(92)&amp;CHAR(34))</f>
        <v/>
      </c>
      <c r="K1251" t="str">
        <f>SUBSTITUTE(SUBSTITUTE(SUBSTITUTE(SUBSTITUTE(IFERROR(VLOOKUP("Câu "&amp;D1251&amp;".",dapan!$E:$J,6,0),""),"1","A"),"2","B"),"3","C"),"4","D")</f>
        <v/>
      </c>
      <c r="P1251" t="str">
        <f t="shared" si="67"/>
        <v/>
      </c>
      <c r="Q1251" t="str">
        <f t="shared" si="68"/>
        <v/>
      </c>
    </row>
    <row r="1252" spans="1:17" hidden="1" x14ac:dyDescent="0.25">
      <c r="A1252">
        <v>2</v>
      </c>
      <c r="B1252" t="s">
        <v>1072</v>
      </c>
      <c r="C1252">
        <f>IFERROR(COUNTIFS($A$1:A1252,"Câu "&amp;"*")-MID(A1252,5,FIND(".",A1252,1)-5),0)</f>
        <v>0</v>
      </c>
      <c r="D1252" t="str">
        <f t="shared" si="70"/>
        <v/>
      </c>
      <c r="E1252" t="str">
        <f>SUBSTITUTE(IF(LEFT(A1252,3)="Câu",MID(A1252,FIND(".",A1252,1)+2,LEN(A1252)),""),CHAR(34),CHAR(92)&amp;CHAR(34))</f>
        <v/>
      </c>
      <c r="F1252" t="str">
        <f t="shared" si="69"/>
        <v/>
      </c>
      <c r="G1252" t="str">
        <f>SUBSTITUTE(B1253,CHAR(34),CHAR(92)&amp;CHAR(34))</f>
        <v>Biển 1 và biển 3.</v>
      </c>
      <c r="H1252" t="str">
        <f>SUBSTITUTE(B1254,CHAR(34),CHAR(92)&amp;CHAR(34))</f>
        <v>Biển 1 và biển 2.</v>
      </c>
      <c r="I1252" t="str">
        <f>SUBSTITUTE(IF(LEFT(A1255,3)="Câu","",B1255),CHAR(34),CHAR(92)&amp;CHAR(34))</f>
        <v/>
      </c>
      <c r="J1252" t="str">
        <f>SUBSTITUTE(IF(OR(LEFT(A1256,3)="Câu",I1252=""),"",IF(B1256=0,"",B1256)),CHAR(34),CHAR(92)&amp;CHAR(34))</f>
        <v/>
      </c>
      <c r="K1252" t="str">
        <f>SUBSTITUTE(SUBSTITUTE(SUBSTITUTE(SUBSTITUTE(IFERROR(VLOOKUP("Câu "&amp;D1252&amp;".",dapan!$E:$J,6,0),""),"1","A"),"2","B"),"3","C"),"4","D")</f>
        <v/>
      </c>
      <c r="P1252" t="str">
        <f t="shared" si="67"/>
        <v/>
      </c>
      <c r="Q1252" t="str">
        <f t="shared" si="68"/>
        <v/>
      </c>
    </row>
    <row r="1253" spans="1:17" hidden="1" x14ac:dyDescent="0.25">
      <c r="A1253">
        <v>3</v>
      </c>
      <c r="B1253" t="s">
        <v>1077</v>
      </c>
      <c r="C1253">
        <f>IFERROR(COUNTIFS($A$1:A1253,"Câu "&amp;"*")-MID(A1253,5,FIND(".",A1253,1)-5),0)</f>
        <v>0</v>
      </c>
      <c r="D1253" t="str">
        <f t="shared" si="70"/>
        <v/>
      </c>
      <c r="E1253" t="str">
        <f>SUBSTITUTE(IF(LEFT(A1253,3)="Câu",MID(A1253,FIND(".",A1253,1)+2,LEN(A1253)),""),CHAR(34),CHAR(92)&amp;CHAR(34))</f>
        <v/>
      </c>
      <c r="F1253" t="str">
        <f t="shared" si="69"/>
        <v/>
      </c>
      <c r="G1253" t="str">
        <f>SUBSTITUTE(B1254,CHAR(34),CHAR(92)&amp;CHAR(34))</f>
        <v>Biển 1 và biển 2.</v>
      </c>
      <c r="H1253" t="str">
        <f>SUBSTITUTE(B1255,CHAR(34),CHAR(92)&amp;CHAR(34))</f>
        <v/>
      </c>
      <c r="I1253" t="str">
        <f>SUBSTITUTE(IF(LEFT(A1256,3)="Câu","",B1256),CHAR(34),CHAR(92)&amp;CHAR(34))</f>
        <v>Biển 1.</v>
      </c>
      <c r="J1253" t="str">
        <f>SUBSTITUTE(IF(OR(LEFT(A1257,3)="Câu",I1253=""),"",IF(B1257=0,"",B1257)),CHAR(34),CHAR(92)&amp;CHAR(34))</f>
        <v xml:space="preserve"> Biển 2 và biển 3.</v>
      </c>
      <c r="K1253" t="str">
        <f>SUBSTITUTE(SUBSTITUTE(SUBSTITUTE(SUBSTITUTE(IFERROR(VLOOKUP("Câu "&amp;D1253&amp;".",dapan!$E:$J,6,0),""),"1","A"),"2","B"),"3","C"),"4","D")</f>
        <v/>
      </c>
      <c r="P1253" t="str">
        <f t="shared" si="67"/>
        <v/>
      </c>
      <c r="Q1253" t="str">
        <f t="shared" si="68"/>
        <v/>
      </c>
    </row>
    <row r="1254" spans="1:17" hidden="1" x14ac:dyDescent="0.25">
      <c r="A1254">
        <v>4</v>
      </c>
      <c r="B1254" t="s">
        <v>1086</v>
      </c>
      <c r="C1254">
        <f>IFERROR(COUNTIFS($A$1:A1254,"Câu "&amp;"*")-MID(A1254,5,FIND(".",A1254,1)-5),0)</f>
        <v>0</v>
      </c>
      <c r="D1254" t="str">
        <f t="shared" si="70"/>
        <v/>
      </c>
      <c r="E1254" t="str">
        <f>SUBSTITUTE(IF(LEFT(A1254,3)="Câu",MID(A1254,FIND(".",A1254,1)+2,LEN(A1254)),""),CHAR(34),CHAR(92)&amp;CHAR(34))</f>
        <v/>
      </c>
      <c r="F1254" t="str">
        <f t="shared" si="69"/>
        <v/>
      </c>
      <c r="G1254" t="str">
        <f>SUBSTITUTE(B1255,CHAR(34),CHAR(92)&amp;CHAR(34))</f>
        <v/>
      </c>
      <c r="H1254" t="str">
        <f>SUBSTITUTE(B1256,CHAR(34),CHAR(92)&amp;CHAR(34))</f>
        <v>Biển 1.</v>
      </c>
      <c r="I1254" t="str">
        <f>SUBSTITUTE(IF(LEFT(A1257,3)="Câu","",B1257),CHAR(34),CHAR(92)&amp;CHAR(34))</f>
        <v xml:space="preserve"> Biển 2 và biển 3.</v>
      </c>
      <c r="J1254" t="str">
        <f>SUBSTITUTE(IF(OR(LEFT(A1258,3)="Câu",I1254=""),"",IF(B1258=0,"",B1258)),CHAR(34),CHAR(92)&amp;CHAR(34))</f>
        <v>Biển 1 và biển 3.</v>
      </c>
      <c r="K1254" t="str">
        <f>SUBSTITUTE(SUBSTITUTE(SUBSTITUTE(SUBSTITUTE(IFERROR(VLOOKUP("Câu "&amp;D1254&amp;".",dapan!$E:$J,6,0),""),"1","A"),"2","B"),"3","C"),"4","D")</f>
        <v/>
      </c>
      <c r="P1254" t="str">
        <f t="shared" si="67"/>
        <v/>
      </c>
      <c r="Q1254" t="str">
        <f t="shared" si="68"/>
        <v/>
      </c>
    </row>
    <row r="1255" spans="1:17" x14ac:dyDescent="0.25">
      <c r="A1255" t="s">
        <v>1074</v>
      </c>
      <c r="C1255">
        <f>IFERROR(COUNTIFS($A$1:A1255,"Câu "&amp;"*")-MID(A1255,5,FIND(".",A1255,1)-5),0)</f>
        <v>0</v>
      </c>
      <c r="D1255">
        <f t="shared" si="70"/>
        <v>303</v>
      </c>
      <c r="E1255" t="str">
        <f>SUBSTITUTE(IF(LEFT(A1255,3)="Câu",MID(A1255,FIND(".",A1255,1)+2,LEN(A1255)),""),CHAR(34),CHAR(92)&amp;CHAR(34))</f>
        <v>Biển nào cấm máy kéo?</v>
      </c>
      <c r="F1255" t="str">
        <f t="shared" si="69"/>
        <v>q303.jpg</v>
      </c>
      <c r="G1255" t="str">
        <f>SUBSTITUTE(B1256,CHAR(34),CHAR(92)&amp;CHAR(34))</f>
        <v>Biển 1.</v>
      </c>
      <c r="H1255" t="str">
        <f>SUBSTITUTE(B1257,CHAR(34),CHAR(92)&amp;CHAR(34))</f>
        <v xml:space="preserve"> Biển 2 và biển 3.</v>
      </c>
      <c r="I1255" t="str">
        <f>SUBSTITUTE(IF(LEFT(A1258,3)="Câu","",B1258),CHAR(34),CHAR(92)&amp;CHAR(34))</f>
        <v>Biển 1 và biển 3.</v>
      </c>
      <c r="J1255" t="str">
        <f>SUBSTITUTE(IF(OR(LEFT(A1259,3)="Câu",I1255=""),"",IF(B1259=0,"",B1259)),CHAR(34),CHAR(92)&amp;CHAR(34))</f>
        <v>Cả ba biển.</v>
      </c>
      <c r="K1255" t="str">
        <f ca="1">SUBSTITUTE(SUBSTITUTE(SUBSTITUTE(SUBSTITUTE(IFERROR(VLOOKUP("Câu "&amp;D1255&amp;".",dapan!$E:$J,6,0),""),"1","A"),"2","B"),"3","C"),"4","D")</f>
        <v>B</v>
      </c>
      <c r="P1255">
        <f t="shared" si="67"/>
        <v>303</v>
      </c>
      <c r="Q1255" t="str">
        <f t="shared" ca="1" si="68"/>
        <v>{"num":303,"id":303,"q":"Biển nào cấm máy kéo?","img":"q303.jpg","opts":{"A":"Biển 1.","B":" Biển 2 và biển 3.","C":"Biển 1 và biển 3.","D":"Cả ba biển."},"answer":"B"},</v>
      </c>
    </row>
    <row r="1256" spans="1:17" hidden="1" x14ac:dyDescent="0.25">
      <c r="A1256">
        <v>1</v>
      </c>
      <c r="B1256" t="s">
        <v>1075</v>
      </c>
      <c r="C1256">
        <f>IFERROR(COUNTIFS($A$1:A1256,"Câu "&amp;"*")-MID(A1256,5,FIND(".",A1256,1)-5),0)</f>
        <v>0</v>
      </c>
      <c r="D1256" t="str">
        <f t="shared" si="70"/>
        <v/>
      </c>
      <c r="E1256" t="str">
        <f>SUBSTITUTE(IF(LEFT(A1256,3)="Câu",MID(A1256,FIND(".",A1256,1)+2,LEN(A1256)),""),CHAR(34),CHAR(92)&amp;CHAR(34))</f>
        <v/>
      </c>
      <c r="F1256" t="str">
        <f t="shared" si="69"/>
        <v/>
      </c>
      <c r="G1256" t="str">
        <f>SUBSTITUTE(B1257,CHAR(34),CHAR(92)&amp;CHAR(34))</f>
        <v xml:space="preserve"> Biển 2 và biển 3.</v>
      </c>
      <c r="H1256" t="str">
        <f>SUBSTITUTE(B1258,CHAR(34),CHAR(92)&amp;CHAR(34))</f>
        <v>Biển 1 và biển 3.</v>
      </c>
      <c r="I1256" t="str">
        <f>SUBSTITUTE(IF(LEFT(A1259,3)="Câu","",B1259),CHAR(34),CHAR(92)&amp;CHAR(34))</f>
        <v>Cả ba biển.</v>
      </c>
      <c r="J1256" t="str">
        <f>SUBSTITUTE(IF(OR(LEFT(A1260,3)="Câu",I1256=""),"",IF(B1260=0,"",B1260)),CHAR(34),CHAR(92)&amp;CHAR(34))</f>
        <v/>
      </c>
      <c r="K1256" t="str">
        <f>SUBSTITUTE(SUBSTITUTE(SUBSTITUTE(SUBSTITUTE(IFERROR(VLOOKUP("Câu "&amp;D1256&amp;".",dapan!$E:$J,6,0),""),"1","A"),"2","B"),"3","C"),"4","D")</f>
        <v/>
      </c>
      <c r="P1256" t="str">
        <f t="shared" si="67"/>
        <v/>
      </c>
      <c r="Q1256" t="str">
        <f t="shared" si="68"/>
        <v/>
      </c>
    </row>
    <row r="1257" spans="1:17" hidden="1" x14ac:dyDescent="0.25">
      <c r="A1257">
        <v>2</v>
      </c>
      <c r="B1257" t="s">
        <v>1076</v>
      </c>
      <c r="C1257">
        <f>IFERROR(COUNTIFS($A$1:A1257,"Câu "&amp;"*")-MID(A1257,5,FIND(".",A1257,1)-5),0)</f>
        <v>0</v>
      </c>
      <c r="D1257" t="str">
        <f t="shared" si="70"/>
        <v/>
      </c>
      <c r="E1257" t="str">
        <f>SUBSTITUTE(IF(LEFT(A1257,3)="Câu",MID(A1257,FIND(".",A1257,1)+2,LEN(A1257)),""),CHAR(34),CHAR(92)&amp;CHAR(34))</f>
        <v/>
      </c>
      <c r="F1257" t="str">
        <f t="shared" si="69"/>
        <v/>
      </c>
      <c r="G1257" t="str">
        <f>SUBSTITUTE(B1258,CHAR(34),CHAR(92)&amp;CHAR(34))</f>
        <v>Biển 1 và biển 3.</v>
      </c>
      <c r="H1257" t="str">
        <f>SUBSTITUTE(B1259,CHAR(34),CHAR(92)&amp;CHAR(34))</f>
        <v>Cả ba biển.</v>
      </c>
      <c r="I1257" t="str">
        <f>SUBSTITUTE(IF(LEFT(A1260,3)="Câu","",B1260),CHAR(34),CHAR(92)&amp;CHAR(34))</f>
        <v/>
      </c>
      <c r="J1257" t="str">
        <f>SUBSTITUTE(IF(OR(LEFT(A1261,3)="Câu",I1257=""),"",IF(B1261=0,"",B1261)),CHAR(34),CHAR(92)&amp;CHAR(34))</f>
        <v/>
      </c>
      <c r="K1257" t="str">
        <f>SUBSTITUTE(SUBSTITUTE(SUBSTITUTE(SUBSTITUTE(IFERROR(VLOOKUP("Câu "&amp;D1257&amp;".",dapan!$E:$J,6,0),""),"1","A"),"2","B"),"3","C"),"4","D")</f>
        <v/>
      </c>
      <c r="P1257" t="str">
        <f t="shared" si="67"/>
        <v/>
      </c>
      <c r="Q1257" t="str">
        <f t="shared" si="68"/>
        <v/>
      </c>
    </row>
    <row r="1258" spans="1:17" hidden="1" x14ac:dyDescent="0.25">
      <c r="A1258">
        <v>3</v>
      </c>
      <c r="B1258" t="s">
        <v>1077</v>
      </c>
      <c r="C1258">
        <f>IFERROR(COUNTIFS($A$1:A1258,"Câu "&amp;"*")-MID(A1258,5,FIND(".",A1258,1)-5),0)</f>
        <v>0</v>
      </c>
      <c r="D1258" t="str">
        <f t="shared" si="70"/>
        <v/>
      </c>
      <c r="E1258" t="str">
        <f>SUBSTITUTE(IF(LEFT(A1258,3)="Câu",MID(A1258,FIND(".",A1258,1)+2,LEN(A1258)),""),CHAR(34),CHAR(92)&amp;CHAR(34))</f>
        <v/>
      </c>
      <c r="F1258" t="str">
        <f t="shared" si="69"/>
        <v/>
      </c>
      <c r="G1258" t="str">
        <f>SUBSTITUTE(B1259,CHAR(34),CHAR(92)&amp;CHAR(34))</f>
        <v>Cả ba biển.</v>
      </c>
      <c r="H1258" t="str">
        <f>SUBSTITUTE(B1260,CHAR(34),CHAR(92)&amp;CHAR(34))</f>
        <v/>
      </c>
      <c r="I1258" t="str">
        <f>SUBSTITUTE(IF(LEFT(A1261,3)="Câu","",B1261),CHAR(34),CHAR(92)&amp;CHAR(34))</f>
        <v xml:space="preserve"> Biển 1 và biển 2.</v>
      </c>
      <c r="J1258" t="str">
        <f>SUBSTITUTE(IF(OR(LEFT(A1262,3)="Câu",I1258=""),"",IF(B1262=0,"",B1262)),CHAR(34),CHAR(92)&amp;CHAR(34))</f>
        <v>Biển 1 và biển 3.</v>
      </c>
      <c r="K1258" t="str">
        <f>SUBSTITUTE(SUBSTITUTE(SUBSTITUTE(SUBSTITUTE(IFERROR(VLOOKUP("Câu "&amp;D1258&amp;".",dapan!$E:$J,6,0),""),"1","A"),"2","B"),"3","C"),"4","D")</f>
        <v/>
      </c>
      <c r="P1258" t="str">
        <f t="shared" si="67"/>
        <v/>
      </c>
      <c r="Q1258" t="str">
        <f t="shared" si="68"/>
        <v/>
      </c>
    </row>
    <row r="1259" spans="1:17" hidden="1" x14ac:dyDescent="0.25">
      <c r="A1259">
        <v>4</v>
      </c>
      <c r="B1259" t="s">
        <v>1071</v>
      </c>
      <c r="C1259">
        <f>IFERROR(COUNTIFS($A$1:A1259,"Câu "&amp;"*")-MID(A1259,5,FIND(".",A1259,1)-5),0)</f>
        <v>0</v>
      </c>
      <c r="D1259" t="str">
        <f t="shared" si="70"/>
        <v/>
      </c>
      <c r="E1259" t="str">
        <f>SUBSTITUTE(IF(LEFT(A1259,3)="Câu",MID(A1259,FIND(".",A1259,1)+2,LEN(A1259)),""),CHAR(34),CHAR(92)&amp;CHAR(34))</f>
        <v/>
      </c>
      <c r="F1259" t="str">
        <f t="shared" si="69"/>
        <v/>
      </c>
      <c r="G1259" t="str">
        <f>SUBSTITUTE(B1260,CHAR(34),CHAR(92)&amp;CHAR(34))</f>
        <v/>
      </c>
      <c r="H1259" t="str">
        <f>SUBSTITUTE(B1261,CHAR(34),CHAR(92)&amp;CHAR(34))</f>
        <v xml:space="preserve"> Biển 1 và biển 2.</v>
      </c>
      <c r="I1259" t="str">
        <f>SUBSTITUTE(IF(LEFT(A1262,3)="Câu","",B1262),CHAR(34),CHAR(92)&amp;CHAR(34))</f>
        <v>Biển 1 và biển 3.</v>
      </c>
      <c r="J1259" t="str">
        <f>SUBSTITUTE(IF(OR(LEFT(A1263,3)="Câu",I1259=""),"",IF(B1263=0,"",B1263)),CHAR(34),CHAR(92)&amp;CHAR(34))</f>
        <v>Biển 2 và biển 3.</v>
      </c>
      <c r="K1259" t="str">
        <f>SUBSTITUTE(SUBSTITUTE(SUBSTITUTE(SUBSTITUTE(IFERROR(VLOOKUP("Câu "&amp;D1259&amp;".",dapan!$E:$J,6,0),""),"1","A"),"2","B"),"3","C"),"4","D")</f>
        <v/>
      </c>
      <c r="P1259" t="str">
        <f t="shared" si="67"/>
        <v/>
      </c>
      <c r="Q1259" t="str">
        <f t="shared" si="68"/>
        <v/>
      </c>
    </row>
    <row r="1260" spans="1:17" x14ac:dyDescent="0.25">
      <c r="A1260" t="s">
        <v>1078</v>
      </c>
      <c r="C1260">
        <f>IFERROR(COUNTIFS($A$1:A1260,"Câu "&amp;"*")-MID(A1260,5,FIND(".",A1260,1)-5),0)</f>
        <v>0</v>
      </c>
      <c r="D1260">
        <f t="shared" si="70"/>
        <v>304</v>
      </c>
      <c r="E1260" t="str">
        <f>SUBSTITUTE(IF(LEFT(A1260,3)="Câu",MID(A1260,FIND(".",A1260,1)+2,LEN(A1260)),""),CHAR(34),CHAR(92)&amp;CHAR(34))</f>
        <v>Biển nào báo hiệu cấm xe mô tô ba bánh chở hàng đi qua?</v>
      </c>
      <c r="F1260" t="str">
        <f t="shared" si="69"/>
        <v>q304.jpg</v>
      </c>
      <c r="G1260" t="str">
        <f>SUBSTITUTE(B1261,CHAR(34),CHAR(92)&amp;CHAR(34))</f>
        <v xml:space="preserve"> Biển 1 và biển 2.</v>
      </c>
      <c r="H1260" t="str">
        <f>SUBSTITUTE(B1262,CHAR(34),CHAR(92)&amp;CHAR(34))</f>
        <v>Biển 1 và biển 3.</v>
      </c>
      <c r="I1260" t="str">
        <f>SUBSTITUTE(IF(LEFT(A1263,3)="Câu","",B1263),CHAR(34),CHAR(92)&amp;CHAR(34))</f>
        <v>Biển 2 và biển 3.</v>
      </c>
      <c r="J1260" t="str">
        <f>SUBSTITUTE(IF(OR(LEFT(A1264,3)="Câu",I1260=""),"",IF(B1264=0,"",B1264)),CHAR(34),CHAR(92)&amp;CHAR(34))</f>
        <v/>
      </c>
      <c r="K1260" t="str">
        <f ca="1">SUBSTITUTE(SUBSTITUTE(SUBSTITUTE(SUBSTITUTE(IFERROR(VLOOKUP("Câu "&amp;D1260&amp;".",dapan!$E:$J,6,0),""),"1","A"),"2","B"),"3","C"),"4","D")</f>
        <v>A</v>
      </c>
      <c r="P1260">
        <f t="shared" si="67"/>
        <v>304</v>
      </c>
      <c r="Q1260" t="str">
        <f t="shared" ca="1" si="68"/>
        <v>{"num":304,"id":304,"q":"Biển nào báo hiệu cấm xe mô tô ba bánh chở hàng đi qua?","img":"q304.jpg","opts":{"A":" Biển 1 và biển 2.","B":"Biển 1 và biển 3.","C":"Biển 2 và biển 3."},"answer":"A"},</v>
      </c>
    </row>
    <row r="1261" spans="1:17" hidden="1" x14ac:dyDescent="0.25">
      <c r="A1261">
        <v>1</v>
      </c>
      <c r="B1261" t="s">
        <v>1079</v>
      </c>
      <c r="C1261">
        <f>IFERROR(COUNTIFS($A$1:A1261,"Câu "&amp;"*")-MID(A1261,5,FIND(".",A1261,1)-5),0)</f>
        <v>0</v>
      </c>
      <c r="D1261" t="str">
        <f t="shared" si="70"/>
        <v/>
      </c>
      <c r="E1261" t="str">
        <f>SUBSTITUTE(IF(LEFT(A1261,3)="Câu",MID(A1261,FIND(".",A1261,1)+2,LEN(A1261)),""),CHAR(34),CHAR(92)&amp;CHAR(34))</f>
        <v/>
      </c>
      <c r="F1261" t="str">
        <f t="shared" si="69"/>
        <v/>
      </c>
      <c r="G1261" t="str">
        <f>SUBSTITUTE(B1262,CHAR(34),CHAR(92)&amp;CHAR(34))</f>
        <v>Biển 1 và biển 3.</v>
      </c>
      <c r="H1261" t="str">
        <f>SUBSTITUTE(B1263,CHAR(34),CHAR(92)&amp;CHAR(34))</f>
        <v>Biển 2 và biển 3.</v>
      </c>
      <c r="I1261" t="str">
        <f>SUBSTITUTE(IF(LEFT(A1264,3)="Câu","",B1264),CHAR(34),CHAR(92)&amp;CHAR(34))</f>
        <v/>
      </c>
      <c r="J1261" t="str">
        <f>SUBSTITUTE(IF(OR(LEFT(A1265,3)="Câu",I1261=""),"",IF(B1265=0,"",B1265)),CHAR(34),CHAR(92)&amp;CHAR(34))</f>
        <v/>
      </c>
      <c r="K1261" t="str">
        <f>SUBSTITUTE(SUBSTITUTE(SUBSTITUTE(SUBSTITUTE(IFERROR(VLOOKUP("Câu "&amp;D1261&amp;".",dapan!$E:$J,6,0),""),"1","A"),"2","B"),"3","C"),"4","D")</f>
        <v/>
      </c>
      <c r="P1261" t="str">
        <f t="shared" si="67"/>
        <v/>
      </c>
      <c r="Q1261" t="str">
        <f t="shared" si="68"/>
        <v/>
      </c>
    </row>
    <row r="1262" spans="1:17" hidden="1" x14ac:dyDescent="0.25">
      <c r="A1262">
        <v>2</v>
      </c>
      <c r="B1262" t="s">
        <v>1077</v>
      </c>
      <c r="C1262">
        <f>IFERROR(COUNTIFS($A$1:A1262,"Câu "&amp;"*")-MID(A1262,5,FIND(".",A1262,1)-5),0)</f>
        <v>0</v>
      </c>
      <c r="D1262" t="str">
        <f t="shared" si="70"/>
        <v/>
      </c>
      <c r="E1262" t="str">
        <f>SUBSTITUTE(IF(LEFT(A1262,3)="Câu",MID(A1262,FIND(".",A1262,1)+2,LEN(A1262)),""),CHAR(34),CHAR(92)&amp;CHAR(34))</f>
        <v/>
      </c>
      <c r="F1262" t="str">
        <f t="shared" si="69"/>
        <v/>
      </c>
      <c r="G1262" t="str">
        <f>SUBSTITUTE(B1263,CHAR(34),CHAR(92)&amp;CHAR(34))</f>
        <v>Biển 2 và biển 3.</v>
      </c>
      <c r="H1262" t="str">
        <f>SUBSTITUTE(B1264,CHAR(34),CHAR(92)&amp;CHAR(34))</f>
        <v/>
      </c>
      <c r="I1262" t="str">
        <f>SUBSTITUTE(IF(LEFT(A1265,3)="Câu","",B1265),CHAR(34),CHAR(92)&amp;CHAR(34))</f>
        <v>Biển 1.</v>
      </c>
      <c r="J1262" t="str">
        <f>SUBSTITUTE(IF(OR(LEFT(A1266,3)="Câu",I1262=""),"",IF(B1266=0,"",B1266)),CHAR(34),CHAR(92)&amp;CHAR(34))</f>
        <v>Biển 2.</v>
      </c>
      <c r="K1262" t="str">
        <f>SUBSTITUTE(SUBSTITUTE(SUBSTITUTE(SUBSTITUTE(IFERROR(VLOOKUP("Câu "&amp;D1262&amp;".",dapan!$E:$J,6,0),""),"1","A"),"2","B"),"3","C"),"4","D")</f>
        <v/>
      </c>
      <c r="P1262" t="str">
        <f t="shared" si="67"/>
        <v/>
      </c>
      <c r="Q1262" t="str">
        <f t="shared" si="68"/>
        <v/>
      </c>
    </row>
    <row r="1263" spans="1:17" hidden="1" x14ac:dyDescent="0.25">
      <c r="A1263">
        <v>3</v>
      </c>
      <c r="B1263" t="s">
        <v>1072</v>
      </c>
      <c r="C1263">
        <f>IFERROR(COUNTIFS($A$1:A1263,"Câu "&amp;"*")-MID(A1263,5,FIND(".",A1263,1)-5),0)</f>
        <v>0</v>
      </c>
      <c r="D1263" t="str">
        <f t="shared" si="70"/>
        <v/>
      </c>
      <c r="E1263" t="str">
        <f>SUBSTITUTE(IF(LEFT(A1263,3)="Câu",MID(A1263,FIND(".",A1263,1)+2,LEN(A1263)),""),CHAR(34),CHAR(92)&amp;CHAR(34))</f>
        <v/>
      </c>
      <c r="F1263" t="str">
        <f t="shared" si="69"/>
        <v/>
      </c>
      <c r="G1263" t="str">
        <f>SUBSTITUTE(B1264,CHAR(34),CHAR(92)&amp;CHAR(34))</f>
        <v/>
      </c>
      <c r="H1263" t="str">
        <f>SUBSTITUTE(B1265,CHAR(34),CHAR(92)&amp;CHAR(34))</f>
        <v>Biển 1.</v>
      </c>
      <c r="I1263" t="str">
        <f>SUBSTITUTE(IF(LEFT(A1266,3)="Câu","",B1266),CHAR(34),CHAR(92)&amp;CHAR(34))</f>
        <v>Biển 2.</v>
      </c>
      <c r="J1263" t="str">
        <f>SUBSTITUTE(IF(OR(LEFT(A1267,3)="Câu",I1263=""),"",IF(B1267=0,"",B1267)),CHAR(34),CHAR(92)&amp;CHAR(34))</f>
        <v xml:space="preserve"> Cả hai biển.</v>
      </c>
      <c r="K1263" t="str">
        <f>SUBSTITUTE(SUBSTITUTE(SUBSTITUTE(SUBSTITUTE(IFERROR(VLOOKUP("Câu "&amp;D1263&amp;".",dapan!$E:$J,6,0),""),"1","A"),"2","B"),"3","C"),"4","D")</f>
        <v/>
      </c>
      <c r="P1263" t="str">
        <f t="shared" si="67"/>
        <v/>
      </c>
      <c r="Q1263" t="str">
        <f t="shared" si="68"/>
        <v/>
      </c>
    </row>
    <row r="1264" spans="1:17" x14ac:dyDescent="0.25">
      <c r="A1264" t="s">
        <v>1080</v>
      </c>
      <c r="C1264">
        <f>IFERROR(COUNTIFS($A$1:A1264,"Câu "&amp;"*")-MID(A1264,5,FIND(".",A1264,1)-5),0)</f>
        <v>0</v>
      </c>
      <c r="D1264">
        <f t="shared" si="70"/>
        <v>305</v>
      </c>
      <c r="E1264" t="str">
        <f>SUBSTITUTE(IF(LEFT(A1264,3)="Câu",MID(A1264,FIND(".",A1264,1)+2,LEN(A1264)),""),CHAR(34),CHAR(92)&amp;CHAR(34))</f>
        <v>Biển nào dưới đây xe gắn máy được phép đi vào?</v>
      </c>
      <c r="F1264" t="str">
        <f t="shared" si="69"/>
        <v>q305.jpg</v>
      </c>
      <c r="G1264" t="str">
        <f>SUBSTITUTE(B1265,CHAR(34),CHAR(92)&amp;CHAR(34))</f>
        <v>Biển 1.</v>
      </c>
      <c r="H1264" t="str">
        <f>SUBSTITUTE(B1266,CHAR(34),CHAR(92)&amp;CHAR(34))</f>
        <v>Biển 2.</v>
      </c>
      <c r="I1264" t="str">
        <f>SUBSTITUTE(IF(LEFT(A1267,3)="Câu","",B1267),CHAR(34),CHAR(92)&amp;CHAR(34))</f>
        <v xml:space="preserve"> Cả hai biển.</v>
      </c>
      <c r="J1264" t="str">
        <f>SUBSTITUTE(IF(OR(LEFT(A1268,3)="Câu",I1264=""),"",IF(B1268=0,"",B1268)),CHAR(34),CHAR(92)&amp;CHAR(34))</f>
        <v/>
      </c>
      <c r="K1264" t="str">
        <f ca="1">SUBSTITUTE(SUBSTITUTE(SUBSTITUTE(SUBSTITUTE(IFERROR(VLOOKUP("Câu "&amp;D1264&amp;".",dapan!$E:$J,6,0),""),"1","A"),"2","B"),"3","C"),"4","D")</f>
        <v>C</v>
      </c>
      <c r="P1264">
        <f t="shared" si="67"/>
        <v>305</v>
      </c>
      <c r="Q1264" t="str">
        <f t="shared" ca="1" si="68"/>
        <v>{"num":305,"id":305,"q":"Biển nào dưới đây xe gắn máy được phép đi vào?","img":"q305.jpg","opts":{"A":"Biển 1.","B":"Biển 2.","C":" Cả hai biển."},"answer":"C"},</v>
      </c>
    </row>
    <row r="1265" spans="1:17" hidden="1" x14ac:dyDescent="0.25">
      <c r="A1265">
        <v>1</v>
      </c>
      <c r="B1265" t="s">
        <v>1075</v>
      </c>
      <c r="C1265">
        <f>IFERROR(COUNTIFS($A$1:A1265,"Câu "&amp;"*")-MID(A1265,5,FIND(".",A1265,1)-5),0)</f>
        <v>0</v>
      </c>
      <c r="D1265" t="str">
        <f t="shared" si="70"/>
        <v/>
      </c>
      <c r="E1265" t="str">
        <f>SUBSTITUTE(IF(LEFT(A1265,3)="Câu",MID(A1265,FIND(".",A1265,1)+2,LEN(A1265)),""),CHAR(34),CHAR(92)&amp;CHAR(34))</f>
        <v/>
      </c>
      <c r="F1265" t="str">
        <f t="shared" si="69"/>
        <v/>
      </c>
      <c r="G1265" t="str">
        <f>SUBSTITUTE(B1266,CHAR(34),CHAR(92)&amp;CHAR(34))</f>
        <v>Biển 2.</v>
      </c>
      <c r="H1265" t="str">
        <f>SUBSTITUTE(B1267,CHAR(34),CHAR(92)&amp;CHAR(34))</f>
        <v xml:space="preserve"> Cả hai biển.</v>
      </c>
      <c r="I1265" t="str">
        <f>SUBSTITUTE(IF(LEFT(A1268,3)="Câu","",B1268),CHAR(34),CHAR(92)&amp;CHAR(34))</f>
        <v/>
      </c>
      <c r="J1265" t="str">
        <f>SUBSTITUTE(IF(OR(LEFT(A1269,3)="Câu",I1265=""),"",IF(B1269=0,"",B1269)),CHAR(34),CHAR(92)&amp;CHAR(34))</f>
        <v/>
      </c>
      <c r="K1265" t="str">
        <f>SUBSTITUTE(SUBSTITUTE(SUBSTITUTE(SUBSTITUTE(IFERROR(VLOOKUP("Câu "&amp;D1265&amp;".",dapan!$E:$J,6,0),""),"1","A"),"2","B"),"3","C"),"4","D")</f>
        <v/>
      </c>
      <c r="P1265" t="str">
        <f t="shared" si="67"/>
        <v/>
      </c>
      <c r="Q1265" t="str">
        <f t="shared" si="68"/>
        <v/>
      </c>
    </row>
    <row r="1266" spans="1:17" hidden="1" x14ac:dyDescent="0.25">
      <c r="A1266">
        <v>2</v>
      </c>
      <c r="B1266" t="s">
        <v>1068</v>
      </c>
      <c r="C1266">
        <f>IFERROR(COUNTIFS($A$1:A1266,"Câu "&amp;"*")-MID(A1266,5,FIND(".",A1266,1)-5),0)</f>
        <v>0</v>
      </c>
      <c r="D1266" t="str">
        <f t="shared" si="70"/>
        <v/>
      </c>
      <c r="E1266" t="str">
        <f>SUBSTITUTE(IF(LEFT(A1266,3)="Câu",MID(A1266,FIND(".",A1266,1)+2,LEN(A1266)),""),CHAR(34),CHAR(92)&amp;CHAR(34))</f>
        <v/>
      </c>
      <c r="F1266" t="str">
        <f t="shared" si="69"/>
        <v/>
      </c>
      <c r="G1266" t="str">
        <f>SUBSTITUTE(B1267,CHAR(34),CHAR(92)&amp;CHAR(34))</f>
        <v xml:space="preserve"> Cả hai biển.</v>
      </c>
      <c r="H1266" t="str">
        <f>SUBSTITUTE(B1268,CHAR(34),CHAR(92)&amp;CHAR(34))</f>
        <v/>
      </c>
      <c r="I1266" t="str">
        <f>SUBSTITUTE(IF(LEFT(A1269,3)="Câu","",B1269),CHAR(34),CHAR(92)&amp;CHAR(34))</f>
        <v xml:space="preserve"> Biển 1.</v>
      </c>
      <c r="J1266" t="str">
        <f>SUBSTITUTE(IF(OR(LEFT(A1270,3)="Câu",I1266=""),"",IF(B1270=0,"",B1270)),CHAR(34),CHAR(92)&amp;CHAR(34))</f>
        <v>Biển 2.</v>
      </c>
      <c r="K1266" t="str">
        <f>SUBSTITUTE(SUBSTITUTE(SUBSTITUTE(SUBSTITUTE(IFERROR(VLOOKUP("Câu "&amp;D1266&amp;".",dapan!$E:$J,6,0),""),"1","A"),"2","B"),"3","C"),"4","D")</f>
        <v/>
      </c>
      <c r="P1266" t="str">
        <f t="shared" si="67"/>
        <v/>
      </c>
      <c r="Q1266" t="str">
        <f t="shared" si="68"/>
        <v/>
      </c>
    </row>
    <row r="1267" spans="1:17" hidden="1" x14ac:dyDescent="0.25">
      <c r="A1267">
        <v>3</v>
      </c>
      <c r="B1267" t="s">
        <v>1081</v>
      </c>
      <c r="C1267">
        <f>IFERROR(COUNTIFS($A$1:A1267,"Câu "&amp;"*")-MID(A1267,5,FIND(".",A1267,1)-5),0)</f>
        <v>0</v>
      </c>
      <c r="D1267" t="str">
        <f t="shared" si="70"/>
        <v/>
      </c>
      <c r="E1267" t="str">
        <f>SUBSTITUTE(IF(LEFT(A1267,3)="Câu",MID(A1267,FIND(".",A1267,1)+2,LEN(A1267)),""),CHAR(34),CHAR(92)&amp;CHAR(34))</f>
        <v/>
      </c>
      <c r="F1267" t="str">
        <f t="shared" si="69"/>
        <v/>
      </c>
      <c r="G1267" t="str">
        <f>SUBSTITUTE(B1268,CHAR(34),CHAR(92)&amp;CHAR(34))</f>
        <v/>
      </c>
      <c r="H1267" t="str">
        <f>SUBSTITUTE(B1269,CHAR(34),CHAR(92)&amp;CHAR(34))</f>
        <v xml:space="preserve"> Biển 1.</v>
      </c>
      <c r="I1267" t="str">
        <f>SUBSTITUTE(IF(LEFT(A1270,3)="Câu","",B1270),CHAR(34),CHAR(92)&amp;CHAR(34))</f>
        <v>Biển 2.</v>
      </c>
      <c r="J1267" t="str">
        <f>SUBSTITUTE(IF(OR(LEFT(A1271,3)="Câu",I1267=""),"",IF(B1271=0,"",B1271)),CHAR(34),CHAR(92)&amp;CHAR(34))</f>
        <v>Biển 3.</v>
      </c>
      <c r="K1267" t="str">
        <f>SUBSTITUTE(SUBSTITUTE(SUBSTITUTE(SUBSTITUTE(IFERROR(VLOOKUP("Câu "&amp;D1267&amp;".",dapan!$E:$J,6,0),""),"1","A"),"2","B"),"3","C"),"4","D")</f>
        <v/>
      </c>
      <c r="P1267" t="str">
        <f t="shared" si="67"/>
        <v/>
      </c>
      <c r="Q1267" t="str">
        <f t="shared" si="68"/>
        <v/>
      </c>
    </row>
    <row r="1268" spans="1:17" x14ac:dyDescent="0.25">
      <c r="A1268" t="s">
        <v>1082</v>
      </c>
      <c r="C1268">
        <f>IFERROR(COUNTIFS($A$1:A1268,"Câu "&amp;"*")-MID(A1268,5,FIND(".",A1268,1)-5),0)</f>
        <v>0</v>
      </c>
      <c r="D1268">
        <f t="shared" si="70"/>
        <v>306</v>
      </c>
      <c r="E1268" t="str">
        <f>SUBSTITUTE(IF(LEFT(A1268,3)="Câu",MID(A1268,FIND(".",A1268,1)+2,LEN(A1268)),""),CHAR(34),CHAR(92)&amp;CHAR(34))</f>
        <v>Biển nào báo hiệu cấm xe mô tô hai bánh đi vào?</v>
      </c>
      <c r="F1268" t="str">
        <f t="shared" si="69"/>
        <v>q306.jpg</v>
      </c>
      <c r="G1268" t="str">
        <f>SUBSTITUTE(B1269,CHAR(34),CHAR(92)&amp;CHAR(34))</f>
        <v xml:space="preserve"> Biển 1.</v>
      </c>
      <c r="H1268" t="str">
        <f>SUBSTITUTE(B1270,CHAR(34),CHAR(92)&amp;CHAR(34))</f>
        <v>Biển 2.</v>
      </c>
      <c r="I1268" t="str">
        <f>SUBSTITUTE(IF(LEFT(A1271,3)="Câu","",B1271),CHAR(34),CHAR(92)&amp;CHAR(34))</f>
        <v>Biển 3.</v>
      </c>
      <c r="J1268" t="str">
        <f>SUBSTITUTE(IF(OR(LEFT(A1272,3)="Câu",I1268=""),"",IF(B1272=0,"",B1272)),CHAR(34),CHAR(92)&amp;CHAR(34))</f>
        <v/>
      </c>
      <c r="K1268" t="str">
        <f ca="1">SUBSTITUTE(SUBSTITUTE(SUBSTITUTE(SUBSTITUTE(IFERROR(VLOOKUP("Câu "&amp;D1268&amp;".",dapan!$E:$J,6,0),""),"1","A"),"2","B"),"3","C"),"4","D")</f>
        <v>A</v>
      </c>
      <c r="P1268">
        <f t="shared" si="67"/>
        <v>306</v>
      </c>
      <c r="Q1268" t="str">
        <f t="shared" ca="1" si="68"/>
        <v>{"num":306,"id":306,"q":"Biển nào báo hiệu cấm xe mô tô hai bánh đi vào?","img":"q306.jpg","opts":{"A":" Biển 1.","B":"Biển 2.","C":"Biển 3."},"answer":"A"},</v>
      </c>
    </row>
    <row r="1269" spans="1:17" hidden="1" x14ac:dyDescent="0.25">
      <c r="A1269">
        <v>1</v>
      </c>
      <c r="B1269" t="s">
        <v>1066</v>
      </c>
      <c r="C1269">
        <f>IFERROR(COUNTIFS($A$1:A1269,"Câu "&amp;"*")-MID(A1269,5,FIND(".",A1269,1)-5),0)</f>
        <v>0</v>
      </c>
      <c r="D1269" t="str">
        <f t="shared" si="70"/>
        <v/>
      </c>
      <c r="E1269" t="str">
        <f>SUBSTITUTE(IF(LEFT(A1269,3)="Câu",MID(A1269,FIND(".",A1269,1)+2,LEN(A1269)),""),CHAR(34),CHAR(92)&amp;CHAR(34))</f>
        <v/>
      </c>
      <c r="F1269" t="str">
        <f t="shared" si="69"/>
        <v/>
      </c>
      <c r="G1269" t="str">
        <f>SUBSTITUTE(B1270,CHAR(34),CHAR(92)&amp;CHAR(34))</f>
        <v>Biển 2.</v>
      </c>
      <c r="H1269" t="str">
        <f>SUBSTITUTE(B1271,CHAR(34),CHAR(92)&amp;CHAR(34))</f>
        <v>Biển 3.</v>
      </c>
      <c r="I1269" t="str">
        <f>SUBSTITUTE(IF(LEFT(A1272,3)="Câu","",B1272),CHAR(34),CHAR(92)&amp;CHAR(34))</f>
        <v/>
      </c>
      <c r="J1269" t="str">
        <f>SUBSTITUTE(IF(OR(LEFT(A1273,3)="Câu",I1269=""),"",IF(B1273=0,"",B1273)),CHAR(34),CHAR(92)&amp;CHAR(34))</f>
        <v/>
      </c>
      <c r="K1269" t="str">
        <f>SUBSTITUTE(SUBSTITUTE(SUBSTITUTE(SUBSTITUTE(IFERROR(VLOOKUP("Câu "&amp;D1269&amp;".",dapan!$E:$J,6,0),""),"1","A"),"2","B"),"3","C"),"4","D")</f>
        <v/>
      </c>
      <c r="P1269" t="str">
        <f t="shared" si="67"/>
        <v/>
      </c>
      <c r="Q1269" t="str">
        <f t="shared" si="68"/>
        <v/>
      </c>
    </row>
    <row r="1270" spans="1:17" hidden="1" x14ac:dyDescent="0.25">
      <c r="A1270">
        <v>2</v>
      </c>
      <c r="B1270" t="s">
        <v>1068</v>
      </c>
      <c r="C1270">
        <f>IFERROR(COUNTIFS($A$1:A1270,"Câu "&amp;"*")-MID(A1270,5,FIND(".",A1270,1)-5),0)</f>
        <v>0</v>
      </c>
      <c r="D1270" t="str">
        <f t="shared" si="70"/>
        <v/>
      </c>
      <c r="E1270" t="str">
        <f>SUBSTITUTE(IF(LEFT(A1270,3)="Câu",MID(A1270,FIND(".",A1270,1)+2,LEN(A1270)),""),CHAR(34),CHAR(92)&amp;CHAR(34))</f>
        <v/>
      </c>
      <c r="F1270" t="str">
        <f t="shared" si="69"/>
        <v/>
      </c>
      <c r="G1270" t="str">
        <f>SUBSTITUTE(B1271,CHAR(34),CHAR(92)&amp;CHAR(34))</f>
        <v>Biển 3.</v>
      </c>
      <c r="H1270" t="str">
        <f>SUBSTITUTE(B1272,CHAR(34),CHAR(92)&amp;CHAR(34))</f>
        <v/>
      </c>
      <c r="I1270" t="str">
        <f>SUBSTITUTE(IF(LEFT(A1273,3)="Câu","",B1273),CHAR(34),CHAR(92)&amp;CHAR(34))</f>
        <v>Không biển nào.</v>
      </c>
      <c r="J1270" t="str">
        <f>SUBSTITUTE(IF(OR(LEFT(A1274,3)="Câu",I1270=""),"",IF(B1274=0,"",B1274)),CHAR(34),CHAR(92)&amp;CHAR(34))</f>
        <v>Biển 1 và biển 2.</v>
      </c>
      <c r="K1270" t="str">
        <f>SUBSTITUTE(SUBSTITUTE(SUBSTITUTE(SUBSTITUTE(IFERROR(VLOOKUP("Câu "&amp;D1270&amp;".",dapan!$E:$J,6,0),""),"1","A"),"2","B"),"3","C"),"4","D")</f>
        <v/>
      </c>
      <c r="P1270" t="str">
        <f t="shared" si="67"/>
        <v/>
      </c>
      <c r="Q1270" t="str">
        <f t="shared" si="68"/>
        <v/>
      </c>
    </row>
    <row r="1271" spans="1:17" hidden="1" x14ac:dyDescent="0.25">
      <c r="A1271">
        <v>3</v>
      </c>
      <c r="B1271" t="s">
        <v>1083</v>
      </c>
      <c r="C1271">
        <f>IFERROR(COUNTIFS($A$1:A1271,"Câu "&amp;"*")-MID(A1271,5,FIND(".",A1271,1)-5),0)</f>
        <v>0</v>
      </c>
      <c r="D1271" t="str">
        <f t="shared" si="70"/>
        <v/>
      </c>
      <c r="E1271" t="str">
        <f>SUBSTITUTE(IF(LEFT(A1271,3)="Câu",MID(A1271,FIND(".",A1271,1)+2,LEN(A1271)),""),CHAR(34),CHAR(92)&amp;CHAR(34))</f>
        <v/>
      </c>
      <c r="F1271" t="str">
        <f t="shared" si="69"/>
        <v/>
      </c>
      <c r="G1271" t="str">
        <f>SUBSTITUTE(B1272,CHAR(34),CHAR(92)&amp;CHAR(34))</f>
        <v/>
      </c>
      <c r="H1271" t="str">
        <f>SUBSTITUTE(B1273,CHAR(34),CHAR(92)&amp;CHAR(34))</f>
        <v>Không biển nào.</v>
      </c>
      <c r="I1271" t="str">
        <f>SUBSTITUTE(IF(LEFT(A1274,3)="Câu","",B1274),CHAR(34),CHAR(92)&amp;CHAR(34))</f>
        <v>Biển 1 và biển 2.</v>
      </c>
      <c r="J1271" t="str">
        <f>SUBSTITUTE(IF(OR(LEFT(A1275,3)="Câu",I1271=""),"",IF(B1275=0,"",B1275)),CHAR(34),CHAR(92)&amp;CHAR(34))</f>
        <v xml:space="preserve"> Biển 2 và biển 3.</v>
      </c>
      <c r="K1271" t="str">
        <f>SUBSTITUTE(SUBSTITUTE(SUBSTITUTE(SUBSTITUTE(IFERROR(VLOOKUP("Câu "&amp;D1271&amp;".",dapan!$E:$J,6,0),""),"1","A"),"2","B"),"3","C"),"4","D")</f>
        <v/>
      </c>
      <c r="P1271" t="str">
        <f t="shared" si="67"/>
        <v/>
      </c>
      <c r="Q1271" t="str">
        <f t="shared" si="68"/>
        <v/>
      </c>
    </row>
    <row r="1272" spans="1:17" x14ac:dyDescent="0.25">
      <c r="A1272" t="s">
        <v>1084</v>
      </c>
      <c r="C1272">
        <f>IFERROR(COUNTIFS($A$1:A1272,"Câu "&amp;"*")-MID(A1272,5,FIND(".",A1272,1)-5),0)</f>
        <v>0</v>
      </c>
      <c r="D1272">
        <f t="shared" si="70"/>
        <v>307</v>
      </c>
      <c r="E1272" t="str">
        <f>SUBSTITUTE(IF(LEFT(A1272,3)="Câu",MID(A1272,FIND(".",A1272,1)+2,LEN(A1272)),""),CHAR(34),CHAR(92)&amp;CHAR(34))</f>
        <v>Khi gặp biển nào thì xe mô tô hai bánh được đi vào?</v>
      </c>
      <c r="F1272" t="str">
        <f t="shared" si="69"/>
        <v>q307.jpg</v>
      </c>
      <c r="G1272" t="str">
        <f>SUBSTITUTE(B1273,CHAR(34),CHAR(92)&amp;CHAR(34))</f>
        <v>Không biển nào.</v>
      </c>
      <c r="H1272" t="str">
        <f>SUBSTITUTE(B1274,CHAR(34),CHAR(92)&amp;CHAR(34))</f>
        <v>Biển 1 và biển 2.</v>
      </c>
      <c r="I1272" t="str">
        <f>SUBSTITUTE(IF(LEFT(A1275,3)="Câu","",B1275),CHAR(34),CHAR(92)&amp;CHAR(34))</f>
        <v xml:space="preserve"> Biển 2 và biển 3.</v>
      </c>
      <c r="J1272" t="str">
        <f>SUBSTITUTE(IF(OR(LEFT(A1276,3)="Câu",I1272=""),"",IF(B1276=0,"",B1276)),CHAR(34),CHAR(92)&amp;CHAR(34))</f>
        <v>Cả ba biển.</v>
      </c>
      <c r="K1272" t="str">
        <f ca="1">SUBSTITUTE(SUBSTITUTE(SUBSTITUTE(SUBSTITUTE(IFERROR(VLOOKUP("Câu "&amp;D1272&amp;".",dapan!$E:$J,6,0),""),"1","A"),"2","B"),"3","C"),"4","D")</f>
        <v>C</v>
      </c>
      <c r="P1272">
        <f t="shared" si="67"/>
        <v>307</v>
      </c>
      <c r="Q1272" t="str">
        <f t="shared" ca="1" si="68"/>
        <v>{"num":307,"id":307,"q":"Khi gặp biển nào thì xe mô tô hai bánh được đi vào?","img":"q307.jpg","opts":{"A":"Không biển nào.","B":"Biển 1 và biển 2.","C":" Biển 2 và biển 3.","D":"Cả ba biển."},"answer":"C"},</v>
      </c>
    </row>
    <row r="1273" spans="1:17" hidden="1" x14ac:dyDescent="0.25">
      <c r="A1273">
        <v>1</v>
      </c>
      <c r="B1273" t="s">
        <v>1085</v>
      </c>
      <c r="C1273">
        <f>IFERROR(COUNTIFS($A$1:A1273,"Câu "&amp;"*")-MID(A1273,5,FIND(".",A1273,1)-5),0)</f>
        <v>0</v>
      </c>
      <c r="D1273" t="str">
        <f t="shared" si="70"/>
        <v/>
      </c>
      <c r="E1273" t="str">
        <f>SUBSTITUTE(IF(LEFT(A1273,3)="Câu",MID(A1273,FIND(".",A1273,1)+2,LEN(A1273)),""),CHAR(34),CHAR(92)&amp;CHAR(34))</f>
        <v/>
      </c>
      <c r="F1273" t="str">
        <f t="shared" si="69"/>
        <v/>
      </c>
      <c r="G1273" t="str">
        <f>SUBSTITUTE(B1274,CHAR(34),CHAR(92)&amp;CHAR(34))</f>
        <v>Biển 1 và biển 2.</v>
      </c>
      <c r="H1273" t="str">
        <f>SUBSTITUTE(B1275,CHAR(34),CHAR(92)&amp;CHAR(34))</f>
        <v xml:space="preserve"> Biển 2 và biển 3.</v>
      </c>
      <c r="I1273" t="str">
        <f>SUBSTITUTE(IF(LEFT(A1276,3)="Câu","",B1276),CHAR(34),CHAR(92)&amp;CHAR(34))</f>
        <v>Cả ba biển.</v>
      </c>
      <c r="J1273" t="str">
        <f>SUBSTITUTE(IF(OR(LEFT(A1277,3)="Câu",I1273=""),"",IF(B1277=0,"",B1277)),CHAR(34),CHAR(92)&amp;CHAR(34))</f>
        <v/>
      </c>
      <c r="K1273" t="str">
        <f>SUBSTITUTE(SUBSTITUTE(SUBSTITUTE(SUBSTITUTE(IFERROR(VLOOKUP("Câu "&amp;D1273&amp;".",dapan!$E:$J,6,0),""),"1","A"),"2","B"),"3","C"),"4","D")</f>
        <v/>
      </c>
      <c r="P1273" t="str">
        <f t="shared" si="67"/>
        <v/>
      </c>
      <c r="Q1273" t="str">
        <f t="shared" si="68"/>
        <v/>
      </c>
    </row>
    <row r="1274" spans="1:17" hidden="1" x14ac:dyDescent="0.25">
      <c r="A1274">
        <v>2</v>
      </c>
      <c r="B1274" t="s">
        <v>1086</v>
      </c>
      <c r="C1274">
        <f>IFERROR(COUNTIFS($A$1:A1274,"Câu "&amp;"*")-MID(A1274,5,FIND(".",A1274,1)-5),0)</f>
        <v>0</v>
      </c>
      <c r="D1274" t="str">
        <f t="shared" si="70"/>
        <v/>
      </c>
      <c r="E1274" t="str">
        <f>SUBSTITUTE(IF(LEFT(A1274,3)="Câu",MID(A1274,FIND(".",A1274,1)+2,LEN(A1274)),""),CHAR(34),CHAR(92)&amp;CHAR(34))</f>
        <v/>
      </c>
      <c r="F1274" t="str">
        <f t="shared" si="69"/>
        <v/>
      </c>
      <c r="G1274" t="str">
        <f>SUBSTITUTE(B1275,CHAR(34),CHAR(92)&amp;CHAR(34))</f>
        <v xml:space="preserve"> Biển 2 và biển 3.</v>
      </c>
      <c r="H1274" t="str">
        <f>SUBSTITUTE(B1276,CHAR(34),CHAR(92)&amp;CHAR(34))</f>
        <v>Cả ba biển.</v>
      </c>
      <c r="I1274" t="str">
        <f>SUBSTITUTE(IF(LEFT(A1277,3)="Câu","",B1277),CHAR(34),CHAR(92)&amp;CHAR(34))</f>
        <v/>
      </c>
      <c r="J1274" t="str">
        <f>SUBSTITUTE(IF(OR(LEFT(A1278,3)="Câu",I1274=""),"",IF(B1278=0,"",B1278)),CHAR(34),CHAR(92)&amp;CHAR(34))</f>
        <v/>
      </c>
      <c r="K1274" t="str">
        <f>SUBSTITUTE(SUBSTITUTE(SUBSTITUTE(SUBSTITUTE(IFERROR(VLOOKUP("Câu "&amp;D1274&amp;".",dapan!$E:$J,6,0),""),"1","A"),"2","B"),"3","C"),"4","D")</f>
        <v/>
      </c>
      <c r="P1274" t="str">
        <f t="shared" si="67"/>
        <v/>
      </c>
      <c r="Q1274" t="str">
        <f t="shared" si="68"/>
        <v/>
      </c>
    </row>
    <row r="1275" spans="1:17" hidden="1" x14ac:dyDescent="0.25">
      <c r="A1275">
        <v>3</v>
      </c>
      <c r="B1275" t="s">
        <v>1076</v>
      </c>
      <c r="C1275">
        <f>IFERROR(COUNTIFS($A$1:A1275,"Câu "&amp;"*")-MID(A1275,5,FIND(".",A1275,1)-5),0)</f>
        <v>0</v>
      </c>
      <c r="D1275" t="str">
        <f t="shared" si="70"/>
        <v/>
      </c>
      <c r="E1275" t="str">
        <f>SUBSTITUTE(IF(LEFT(A1275,3)="Câu",MID(A1275,FIND(".",A1275,1)+2,LEN(A1275)),""),CHAR(34),CHAR(92)&amp;CHAR(34))</f>
        <v/>
      </c>
      <c r="F1275" t="str">
        <f t="shared" si="69"/>
        <v/>
      </c>
      <c r="G1275" t="str">
        <f>SUBSTITUTE(B1276,CHAR(34),CHAR(92)&amp;CHAR(34))</f>
        <v>Cả ba biển.</v>
      </c>
      <c r="H1275" t="str">
        <f>SUBSTITUTE(B1277,CHAR(34),CHAR(92)&amp;CHAR(34))</f>
        <v/>
      </c>
      <c r="I1275" t="str">
        <f>SUBSTITUTE(IF(LEFT(A1278,3)="Câu","",B1278),CHAR(34),CHAR(92)&amp;CHAR(34))</f>
        <v>Biển 1 và biển 2.</v>
      </c>
      <c r="J1275" t="str">
        <f>SUBSTITUTE(IF(OR(LEFT(A1279,3)="Câu",I1275=""),"",IF(B1279=0,"",B1279)),CHAR(34),CHAR(92)&amp;CHAR(34))</f>
        <v>Biển 2.</v>
      </c>
      <c r="K1275" t="str">
        <f>SUBSTITUTE(SUBSTITUTE(SUBSTITUTE(SUBSTITUTE(IFERROR(VLOOKUP("Câu "&amp;D1275&amp;".",dapan!$E:$J,6,0),""),"1","A"),"2","B"),"3","C"),"4","D")</f>
        <v/>
      </c>
      <c r="P1275" t="str">
        <f t="shared" si="67"/>
        <v/>
      </c>
      <c r="Q1275" t="str">
        <f t="shared" si="68"/>
        <v/>
      </c>
    </row>
    <row r="1276" spans="1:17" hidden="1" x14ac:dyDescent="0.25">
      <c r="A1276">
        <v>4</v>
      </c>
      <c r="B1276" t="s">
        <v>1071</v>
      </c>
      <c r="C1276">
        <f>IFERROR(COUNTIFS($A$1:A1276,"Câu "&amp;"*")-MID(A1276,5,FIND(".",A1276,1)-5),0)</f>
        <v>0</v>
      </c>
      <c r="D1276" t="str">
        <f t="shared" si="70"/>
        <v/>
      </c>
      <c r="E1276" t="str">
        <f>SUBSTITUTE(IF(LEFT(A1276,3)="Câu",MID(A1276,FIND(".",A1276,1)+2,LEN(A1276)),""),CHAR(34),CHAR(92)&amp;CHAR(34))</f>
        <v/>
      </c>
      <c r="F1276" t="str">
        <f t="shared" si="69"/>
        <v/>
      </c>
      <c r="G1276" t="str">
        <f>SUBSTITUTE(B1277,CHAR(34),CHAR(92)&amp;CHAR(34))</f>
        <v/>
      </c>
      <c r="H1276" t="str">
        <f>SUBSTITUTE(B1278,CHAR(34),CHAR(92)&amp;CHAR(34))</f>
        <v>Biển 1 và biển 2.</v>
      </c>
      <c r="I1276" t="str">
        <f>SUBSTITUTE(IF(LEFT(A1279,3)="Câu","",B1279),CHAR(34),CHAR(92)&amp;CHAR(34))</f>
        <v>Biển 2.</v>
      </c>
      <c r="J1276" t="str">
        <f>SUBSTITUTE(IF(OR(LEFT(A1280,3)="Câu",I1276=""),"",IF(B1280=0,"",B1280)),CHAR(34),CHAR(92)&amp;CHAR(34))</f>
        <v xml:space="preserve"> Biển 1 và biển 3.</v>
      </c>
      <c r="K1276" t="str">
        <f>SUBSTITUTE(SUBSTITUTE(SUBSTITUTE(SUBSTITUTE(IFERROR(VLOOKUP("Câu "&amp;D1276&amp;".",dapan!$E:$J,6,0),""),"1","A"),"2","B"),"3","C"),"4","D")</f>
        <v/>
      </c>
      <c r="P1276" t="str">
        <f t="shared" si="67"/>
        <v/>
      </c>
      <c r="Q1276" t="str">
        <f t="shared" si="68"/>
        <v/>
      </c>
    </row>
    <row r="1277" spans="1:17" x14ac:dyDescent="0.25">
      <c r="A1277" t="s">
        <v>1087</v>
      </c>
      <c r="C1277">
        <f>IFERROR(COUNTIFS($A$1:A1277,"Câu "&amp;"*")-MID(A1277,5,FIND(".",A1277,1)-5),0)</f>
        <v>0</v>
      </c>
      <c r="D1277">
        <f t="shared" si="70"/>
        <v>308</v>
      </c>
      <c r="E1277" t="str">
        <f>SUBSTITUTE(IF(LEFT(A1277,3)="Câu",MID(A1277,FIND(".",A1277,1)+2,LEN(A1277)),""),CHAR(34),CHAR(92)&amp;CHAR(34))</f>
        <v>Biển nào cho phép xe ô tô con được vượt?</v>
      </c>
      <c r="F1277" t="str">
        <f t="shared" si="69"/>
        <v>q308.jpg</v>
      </c>
      <c r="G1277" t="str">
        <f>SUBSTITUTE(B1278,CHAR(34),CHAR(92)&amp;CHAR(34))</f>
        <v>Biển 1 và biển 2.</v>
      </c>
      <c r="H1277" t="str">
        <f>SUBSTITUTE(B1279,CHAR(34),CHAR(92)&amp;CHAR(34))</f>
        <v>Biển 2.</v>
      </c>
      <c r="I1277" t="str">
        <f>SUBSTITUTE(IF(LEFT(A1280,3)="Câu","",B1280),CHAR(34),CHAR(92)&amp;CHAR(34))</f>
        <v xml:space="preserve"> Biển 1 và biển 3.</v>
      </c>
      <c r="J1277" t="str">
        <f>SUBSTITUTE(IF(OR(LEFT(A1281,3)="Câu",I1277=""),"",IF(B1281=0,"",B1281)),CHAR(34),CHAR(92)&amp;CHAR(34))</f>
        <v>Biển 2 và biển 3.</v>
      </c>
      <c r="K1277" t="str">
        <f ca="1">SUBSTITUTE(SUBSTITUTE(SUBSTITUTE(SUBSTITUTE(IFERROR(VLOOKUP("Câu "&amp;D1277&amp;".",dapan!$E:$J,6,0),""),"1","A"),"2","B"),"3","C"),"4","D")</f>
        <v>C</v>
      </c>
      <c r="P1277">
        <f t="shared" si="67"/>
        <v>308</v>
      </c>
      <c r="Q1277" t="str">
        <f t="shared" ca="1" si="68"/>
        <v>{"num":308,"id":308,"q":"Biển nào cho phép xe ô tô con được vượt?","img":"q308.jpg","opts":{"A":"Biển 1 và biển 2.","B":"Biển 2.","C":" Biển 1 và biển 3.","D":"Biển 2 và biển 3."},"answer":"C"},</v>
      </c>
    </row>
    <row r="1278" spans="1:17" hidden="1" x14ac:dyDescent="0.25">
      <c r="A1278">
        <v>1</v>
      </c>
      <c r="B1278" t="s">
        <v>1086</v>
      </c>
      <c r="C1278">
        <f>IFERROR(COUNTIFS($A$1:A1278,"Câu "&amp;"*")-MID(A1278,5,FIND(".",A1278,1)-5),0)</f>
        <v>0</v>
      </c>
      <c r="D1278" t="str">
        <f t="shared" si="70"/>
        <v/>
      </c>
      <c r="E1278" t="str">
        <f>SUBSTITUTE(IF(LEFT(A1278,3)="Câu",MID(A1278,FIND(".",A1278,1)+2,LEN(A1278)),""),CHAR(34),CHAR(92)&amp;CHAR(34))</f>
        <v/>
      </c>
      <c r="F1278" t="str">
        <f t="shared" si="69"/>
        <v/>
      </c>
      <c r="G1278" t="str">
        <f>SUBSTITUTE(B1279,CHAR(34),CHAR(92)&amp;CHAR(34))</f>
        <v>Biển 2.</v>
      </c>
      <c r="H1278" t="str">
        <f>SUBSTITUTE(B1280,CHAR(34),CHAR(92)&amp;CHAR(34))</f>
        <v xml:space="preserve"> Biển 1 và biển 3.</v>
      </c>
      <c r="I1278" t="str">
        <f>SUBSTITUTE(IF(LEFT(A1281,3)="Câu","",B1281),CHAR(34),CHAR(92)&amp;CHAR(34))</f>
        <v>Biển 2 và biển 3.</v>
      </c>
      <c r="J1278" t="str">
        <f>SUBSTITUTE(IF(OR(LEFT(A1282,3)="Câu",I1278=""),"",IF(B1282=0,"",B1282)),CHAR(34),CHAR(92)&amp;CHAR(34))</f>
        <v/>
      </c>
      <c r="K1278" t="str">
        <f>SUBSTITUTE(SUBSTITUTE(SUBSTITUTE(SUBSTITUTE(IFERROR(VLOOKUP("Câu "&amp;D1278&amp;".",dapan!$E:$J,6,0),""),"1","A"),"2","B"),"3","C"),"4","D")</f>
        <v/>
      </c>
      <c r="P1278" t="str">
        <f t="shared" si="67"/>
        <v/>
      </c>
      <c r="Q1278" t="str">
        <f t="shared" si="68"/>
        <v/>
      </c>
    </row>
    <row r="1279" spans="1:17" hidden="1" x14ac:dyDescent="0.25">
      <c r="A1279">
        <v>2</v>
      </c>
      <c r="B1279" t="s">
        <v>1068</v>
      </c>
      <c r="C1279">
        <f>IFERROR(COUNTIFS($A$1:A1279,"Câu "&amp;"*")-MID(A1279,5,FIND(".",A1279,1)-5),0)</f>
        <v>0</v>
      </c>
      <c r="D1279" t="str">
        <f t="shared" si="70"/>
        <v/>
      </c>
      <c r="E1279" t="str">
        <f>SUBSTITUTE(IF(LEFT(A1279,3)="Câu",MID(A1279,FIND(".",A1279,1)+2,LEN(A1279)),""),CHAR(34),CHAR(92)&amp;CHAR(34))</f>
        <v/>
      </c>
      <c r="F1279" t="str">
        <f t="shared" si="69"/>
        <v/>
      </c>
      <c r="G1279" t="str">
        <f>SUBSTITUTE(B1280,CHAR(34),CHAR(92)&amp;CHAR(34))</f>
        <v xml:space="preserve"> Biển 1 và biển 3.</v>
      </c>
      <c r="H1279" t="str">
        <f>SUBSTITUTE(B1281,CHAR(34),CHAR(92)&amp;CHAR(34))</f>
        <v>Biển 2 và biển 3.</v>
      </c>
      <c r="I1279" t="str">
        <f>SUBSTITUTE(IF(LEFT(A1282,3)="Câu","",B1282),CHAR(34),CHAR(92)&amp;CHAR(34))</f>
        <v/>
      </c>
      <c r="J1279" t="str">
        <f>SUBSTITUTE(IF(OR(LEFT(A1283,3)="Câu",I1279=""),"",IF(B1283=0,"",B1283)),CHAR(34),CHAR(92)&amp;CHAR(34))</f>
        <v/>
      </c>
      <c r="K1279" t="str">
        <f>SUBSTITUTE(SUBSTITUTE(SUBSTITUTE(SUBSTITUTE(IFERROR(VLOOKUP("Câu "&amp;D1279&amp;".",dapan!$E:$J,6,0),""),"1","A"),"2","B"),"3","C"),"4","D")</f>
        <v/>
      </c>
      <c r="P1279" t="str">
        <f t="shared" si="67"/>
        <v/>
      </c>
      <c r="Q1279" t="str">
        <f t="shared" si="68"/>
        <v/>
      </c>
    </row>
    <row r="1280" spans="1:17" hidden="1" x14ac:dyDescent="0.25">
      <c r="A1280">
        <v>3</v>
      </c>
      <c r="B1280" t="s">
        <v>1088</v>
      </c>
      <c r="C1280">
        <f>IFERROR(COUNTIFS($A$1:A1280,"Câu "&amp;"*")-MID(A1280,5,FIND(".",A1280,1)-5),0)</f>
        <v>0</v>
      </c>
      <c r="D1280" t="str">
        <f t="shared" si="70"/>
        <v/>
      </c>
      <c r="E1280" t="str">
        <f>SUBSTITUTE(IF(LEFT(A1280,3)="Câu",MID(A1280,FIND(".",A1280,1)+2,LEN(A1280)),""),CHAR(34),CHAR(92)&amp;CHAR(34))</f>
        <v/>
      </c>
      <c r="F1280" t="str">
        <f t="shared" si="69"/>
        <v/>
      </c>
      <c r="G1280" t="str">
        <f>SUBSTITUTE(B1281,CHAR(34),CHAR(92)&amp;CHAR(34))</f>
        <v>Biển 2 và biển 3.</v>
      </c>
      <c r="H1280" t="str">
        <f>SUBSTITUTE(B1282,CHAR(34),CHAR(92)&amp;CHAR(34))</f>
        <v/>
      </c>
      <c r="I1280" t="str">
        <f>SUBSTITUTE(IF(LEFT(A1283,3)="Câu","",B1283),CHAR(34),CHAR(92)&amp;CHAR(34))</f>
        <v>Biển 1.</v>
      </c>
      <c r="J1280" t="str">
        <f>SUBSTITUTE(IF(OR(LEFT(A1284,3)="Câu",I1280=""),"",IF(B1284=0,"",B1284)),CHAR(34),CHAR(92)&amp;CHAR(34))</f>
        <v xml:space="preserve"> Biển 2.</v>
      </c>
      <c r="K1280" t="str">
        <f>SUBSTITUTE(SUBSTITUTE(SUBSTITUTE(SUBSTITUTE(IFERROR(VLOOKUP("Câu "&amp;D1280&amp;".",dapan!$E:$J,6,0),""),"1","A"),"2","B"),"3","C"),"4","D")</f>
        <v/>
      </c>
      <c r="P1280" t="str">
        <f t="shared" si="67"/>
        <v/>
      </c>
      <c r="Q1280" t="str">
        <f t="shared" si="68"/>
        <v/>
      </c>
    </row>
    <row r="1281" spans="1:17" hidden="1" x14ac:dyDescent="0.25">
      <c r="A1281">
        <v>4</v>
      </c>
      <c r="B1281" t="s">
        <v>1072</v>
      </c>
      <c r="C1281">
        <f>IFERROR(COUNTIFS($A$1:A1281,"Câu "&amp;"*")-MID(A1281,5,FIND(".",A1281,1)-5),0)</f>
        <v>0</v>
      </c>
      <c r="D1281" t="str">
        <f t="shared" si="70"/>
        <v/>
      </c>
      <c r="E1281" t="str">
        <f>SUBSTITUTE(IF(LEFT(A1281,3)="Câu",MID(A1281,FIND(".",A1281,1)+2,LEN(A1281)),""),CHAR(34),CHAR(92)&amp;CHAR(34))</f>
        <v/>
      </c>
      <c r="F1281" t="str">
        <f t="shared" si="69"/>
        <v/>
      </c>
      <c r="G1281" t="str">
        <f>SUBSTITUTE(B1282,CHAR(34),CHAR(92)&amp;CHAR(34))</f>
        <v/>
      </c>
      <c r="H1281" t="str">
        <f>SUBSTITUTE(B1283,CHAR(34),CHAR(92)&amp;CHAR(34))</f>
        <v>Biển 1.</v>
      </c>
      <c r="I1281" t="str">
        <f>SUBSTITUTE(IF(LEFT(A1284,3)="Câu","",B1284),CHAR(34),CHAR(92)&amp;CHAR(34))</f>
        <v xml:space="preserve"> Biển 2.</v>
      </c>
      <c r="J1281" t="str">
        <f>SUBSTITUTE(IF(OR(LEFT(A1285,3)="Câu",I1281=""),"",IF(B1285=0,"",B1285)),CHAR(34),CHAR(92)&amp;CHAR(34))</f>
        <v>Biển 3.</v>
      </c>
      <c r="K1281" t="str">
        <f>SUBSTITUTE(SUBSTITUTE(SUBSTITUTE(SUBSTITUTE(IFERROR(VLOOKUP("Câu "&amp;D1281&amp;".",dapan!$E:$J,6,0),""),"1","A"),"2","B"),"3","C"),"4","D")</f>
        <v/>
      </c>
      <c r="P1281" t="str">
        <f t="shared" si="67"/>
        <v/>
      </c>
      <c r="Q1281" t="str">
        <f t="shared" si="68"/>
        <v/>
      </c>
    </row>
    <row r="1282" spans="1:17" x14ac:dyDescent="0.25">
      <c r="A1282" t="s">
        <v>1089</v>
      </c>
      <c r="C1282">
        <f>IFERROR(COUNTIFS($A$1:A1282,"Câu "&amp;"*")-MID(A1282,5,FIND(".",A1282,1)-5),0)</f>
        <v>0</v>
      </c>
      <c r="D1282">
        <f t="shared" si="70"/>
        <v>309</v>
      </c>
      <c r="E1282" t="str">
        <f>SUBSTITUTE(IF(LEFT(A1282,3)="Câu",MID(A1282,FIND(".",A1282,1)+2,LEN(A1282)),""),CHAR(34),CHAR(92)&amp;CHAR(34))</f>
        <v>Biển nào không cho phép xe ô tô con vượt?</v>
      </c>
      <c r="F1282" t="str">
        <f t="shared" si="69"/>
        <v>q309.jpg</v>
      </c>
      <c r="G1282" t="str">
        <f>SUBSTITUTE(B1283,CHAR(34),CHAR(92)&amp;CHAR(34))</f>
        <v>Biển 1.</v>
      </c>
      <c r="H1282" t="str">
        <f>SUBSTITUTE(B1284,CHAR(34),CHAR(92)&amp;CHAR(34))</f>
        <v xml:space="preserve"> Biển 2.</v>
      </c>
      <c r="I1282" t="str">
        <f>SUBSTITUTE(IF(LEFT(A1285,3)="Câu","",B1285),CHAR(34),CHAR(92)&amp;CHAR(34))</f>
        <v>Biển 3.</v>
      </c>
      <c r="J1282" t="str">
        <f>SUBSTITUTE(IF(OR(LEFT(A1286,3)="Câu",I1282=""),"",IF(B1286=0,"",B1286)),CHAR(34),CHAR(92)&amp;CHAR(34))</f>
        <v/>
      </c>
      <c r="K1282" t="str">
        <f ca="1">SUBSTITUTE(SUBSTITUTE(SUBSTITUTE(SUBSTITUTE(IFERROR(VLOOKUP("Câu "&amp;D1282&amp;".",dapan!$E:$J,6,0),""),"1","A"),"2","B"),"3","C"),"4","D")</f>
        <v>B</v>
      </c>
      <c r="P1282">
        <f t="shared" si="67"/>
        <v>309</v>
      </c>
      <c r="Q1282" t="str">
        <f t="shared" ca="1" si="68"/>
        <v>{"num":309,"id":309,"q":"Biển nào không cho phép xe ô tô con vượt?","img":"q309.jpg","opts":{"A":"Biển 1.","B":" Biển 2.","C":"Biển 3."},"answer":"B"},</v>
      </c>
    </row>
    <row r="1283" spans="1:17" hidden="1" x14ac:dyDescent="0.25">
      <c r="A1283">
        <v>1</v>
      </c>
      <c r="B1283" t="s">
        <v>1075</v>
      </c>
      <c r="C1283">
        <f>IFERROR(COUNTIFS($A$1:A1283,"Câu "&amp;"*")-MID(A1283,5,FIND(".",A1283,1)-5),0)</f>
        <v>0</v>
      </c>
      <c r="D1283" t="str">
        <f t="shared" si="70"/>
        <v/>
      </c>
      <c r="E1283" t="str">
        <f>SUBSTITUTE(IF(LEFT(A1283,3)="Câu",MID(A1283,FIND(".",A1283,1)+2,LEN(A1283)),""),CHAR(34),CHAR(92)&amp;CHAR(34))</f>
        <v/>
      </c>
      <c r="F1283" t="str">
        <f t="shared" si="69"/>
        <v/>
      </c>
      <c r="G1283" t="str">
        <f>SUBSTITUTE(B1284,CHAR(34),CHAR(92)&amp;CHAR(34))</f>
        <v xml:space="preserve"> Biển 2.</v>
      </c>
      <c r="H1283" t="str">
        <f>SUBSTITUTE(B1285,CHAR(34),CHAR(92)&amp;CHAR(34))</f>
        <v>Biển 3.</v>
      </c>
      <c r="I1283" t="str">
        <f>SUBSTITUTE(IF(LEFT(A1286,3)="Câu","",B1286),CHAR(34),CHAR(92)&amp;CHAR(34))</f>
        <v/>
      </c>
      <c r="J1283" t="str">
        <f>SUBSTITUTE(IF(OR(LEFT(A1287,3)="Câu",I1283=""),"",IF(B1287=0,"",B1287)),CHAR(34),CHAR(92)&amp;CHAR(34))</f>
        <v/>
      </c>
      <c r="K1283" t="str">
        <f>SUBSTITUTE(SUBSTITUTE(SUBSTITUTE(SUBSTITUTE(IFERROR(VLOOKUP("Câu "&amp;D1283&amp;".",dapan!$E:$J,6,0),""),"1","A"),"2","B"),"3","C"),"4","D")</f>
        <v/>
      </c>
      <c r="P1283" t="str">
        <f t="shared" ref="P1283:P1346" si="71">D1283</f>
        <v/>
      </c>
      <c r="Q1283" t="str">
        <f t="shared" ref="Q1283:Q1346" si="72">IF(D1283="","",CHAR(123)&amp;CHAR(34)&amp;"num"&amp;CHAR(34)&amp;":"&amp;P1283&amp;","&amp;CHAR(34)&amp;"id"&amp;CHAR(34)&amp;":"&amp;D1283&amp;","
&amp;CHAR(34)&amp;"q"&amp;CHAR(34)&amp;":"&amp;CHAR(34)&amp;E1283&amp;CHAR(34)&amp;","
&amp;IF(F1283="","",CHAR(34)&amp;"img"&amp;CHAR(34)&amp;":"&amp;CHAR(34)&amp;F1283&amp;CHAR(34)&amp;",")
&amp;CHAR(34)&amp;"opts"&amp;CHAR(34)&amp;":"&amp;CHAR(123)&amp;CHAR(34)&amp;"A"&amp;CHAR(34)&amp;":"&amp;CHAR(34)&amp;G1283&amp;CHAR(34)&amp;","&amp;CHAR(34)&amp;"B"&amp;CHAR(34)&amp;":"&amp;CHAR(34)&amp;H1283&amp;CHAR(34)
&amp;IF(I1283="","",","&amp;CHAR(34)&amp;"C"&amp;CHAR(34)&amp;":"&amp;CHAR(34)&amp;I1283&amp;CHAR(34))&amp;IF(J1283="","",","&amp;CHAR(34)&amp;"D"&amp;CHAR(34)&amp;":"&amp;CHAR(34)&amp;J1283&amp;CHAR(34))&amp;CHAR(125)&amp;","
&amp;CHAR(34)&amp;"answer"&amp;CHAR(34)&amp;":"&amp;CHAR(34)&amp;K1283&amp;CHAR(34)
&amp;IF(L1283="","",","&amp;CHAR(34)&amp;"danger"&amp;CHAR(34)&amp;":"&amp;CHAR(34)&amp;"true"&amp;CHAR(34))
&amp;IF(M1283="","",","&amp;CHAR(34)&amp;"explain"&amp;CHAR(34)&amp;":"&amp;CHAR(34)&amp;M1283&amp;CHAR(34))
&amp;IF(N1283="","",","&amp;CHAR(34)&amp;"explainImg"&amp;CHAR(34)&amp;":"&amp;CHAR(34)&amp;N1283&amp;CHAR(34))
&amp;IF(O1283="","",","&amp;CHAR(34)&amp;"shuffle"&amp;CHAR(34)&amp;":"&amp;CHAR(34)&amp;"false"&amp;CHAR(34))&amp;CHAR(125)&amp;",")</f>
        <v/>
      </c>
    </row>
    <row r="1284" spans="1:17" hidden="1" x14ac:dyDescent="0.25">
      <c r="A1284">
        <v>2</v>
      </c>
      <c r="B1284" t="s">
        <v>1090</v>
      </c>
      <c r="C1284">
        <f>IFERROR(COUNTIFS($A$1:A1284,"Câu "&amp;"*")-MID(A1284,5,FIND(".",A1284,1)-5),0)</f>
        <v>0</v>
      </c>
      <c r="D1284" t="str">
        <f t="shared" si="70"/>
        <v/>
      </c>
      <c r="E1284" t="str">
        <f>SUBSTITUTE(IF(LEFT(A1284,3)="Câu",MID(A1284,FIND(".",A1284,1)+2,LEN(A1284)),""),CHAR(34),CHAR(92)&amp;CHAR(34))</f>
        <v/>
      </c>
      <c r="F1284" t="str">
        <f t="shared" si="69"/>
        <v/>
      </c>
      <c r="G1284" t="str">
        <f>SUBSTITUTE(B1285,CHAR(34),CHAR(92)&amp;CHAR(34))</f>
        <v>Biển 3.</v>
      </c>
      <c r="H1284" t="str">
        <f>SUBSTITUTE(B1286,CHAR(34),CHAR(92)&amp;CHAR(34))</f>
        <v/>
      </c>
      <c r="I1284" t="str">
        <f>SUBSTITUTE(IF(LEFT(A1287,3)="Câu","",B1287),CHAR(34),CHAR(92)&amp;CHAR(34))</f>
        <v>Biển 1.</v>
      </c>
      <c r="J1284" t="str">
        <f>SUBSTITUTE(IF(OR(LEFT(A1288,3)="Câu",I1284=""),"",IF(B1288=0,"",B1288)),CHAR(34),CHAR(92)&amp;CHAR(34))</f>
        <v>Biển 1 và biển 2.</v>
      </c>
      <c r="K1284" t="str">
        <f>SUBSTITUTE(SUBSTITUTE(SUBSTITUTE(SUBSTITUTE(IFERROR(VLOOKUP("Câu "&amp;D1284&amp;".",dapan!$E:$J,6,0),""),"1","A"),"2","B"),"3","C"),"4","D")</f>
        <v/>
      </c>
      <c r="P1284" t="str">
        <f t="shared" si="71"/>
        <v/>
      </c>
      <c r="Q1284" t="str">
        <f t="shared" si="72"/>
        <v/>
      </c>
    </row>
    <row r="1285" spans="1:17" hidden="1" x14ac:dyDescent="0.25">
      <c r="A1285">
        <v>3</v>
      </c>
      <c r="B1285" t="s">
        <v>1083</v>
      </c>
      <c r="C1285">
        <f>IFERROR(COUNTIFS($A$1:A1285,"Câu "&amp;"*")-MID(A1285,5,FIND(".",A1285,1)-5),0)</f>
        <v>0</v>
      </c>
      <c r="D1285" t="str">
        <f t="shared" si="70"/>
        <v/>
      </c>
      <c r="E1285" t="str">
        <f>SUBSTITUTE(IF(LEFT(A1285,3)="Câu",MID(A1285,FIND(".",A1285,1)+2,LEN(A1285)),""),CHAR(34),CHAR(92)&amp;CHAR(34))</f>
        <v/>
      </c>
      <c r="F1285" t="str">
        <f t="shared" si="69"/>
        <v/>
      </c>
      <c r="G1285" t="str">
        <f>SUBSTITUTE(B1286,CHAR(34),CHAR(92)&amp;CHAR(34))</f>
        <v/>
      </c>
      <c r="H1285" t="str">
        <f>SUBSTITUTE(B1287,CHAR(34),CHAR(92)&amp;CHAR(34))</f>
        <v>Biển 1.</v>
      </c>
      <c r="I1285" t="str">
        <f>SUBSTITUTE(IF(LEFT(A1288,3)="Câu","",B1288),CHAR(34),CHAR(92)&amp;CHAR(34))</f>
        <v>Biển 1 và biển 2.</v>
      </c>
      <c r="J1285" t="str">
        <f>SUBSTITUTE(IF(OR(LEFT(A1289,3)="Câu",I1285=""),"",IF(B1289=0,"",B1289)),CHAR(34),CHAR(92)&amp;CHAR(34))</f>
        <v>Biển 1 và biển 3.</v>
      </c>
      <c r="K1285" t="str">
        <f>SUBSTITUTE(SUBSTITUTE(SUBSTITUTE(SUBSTITUTE(IFERROR(VLOOKUP("Câu "&amp;D1285&amp;".",dapan!$E:$J,6,0),""),"1","A"),"2","B"),"3","C"),"4","D")</f>
        <v/>
      </c>
      <c r="P1285" t="str">
        <f t="shared" si="71"/>
        <v/>
      </c>
      <c r="Q1285" t="str">
        <f t="shared" si="72"/>
        <v/>
      </c>
    </row>
    <row r="1286" spans="1:17" x14ac:dyDescent="0.25">
      <c r="A1286" t="s">
        <v>1091</v>
      </c>
      <c r="C1286">
        <f>IFERROR(COUNTIFS($A$1:A1286,"Câu "&amp;"*")-MID(A1286,5,FIND(".",A1286,1)-5),0)</f>
        <v>0</v>
      </c>
      <c r="D1286">
        <f t="shared" si="70"/>
        <v>310</v>
      </c>
      <c r="E1286" t="str">
        <f>SUBSTITUTE(IF(LEFT(A1286,3)="Câu",MID(A1286,FIND(".",A1286,1)+2,LEN(A1286)),""),CHAR(34),CHAR(92)&amp;CHAR(34))</f>
        <v>Biển nào cấm xe ô tô tải vượt?</v>
      </c>
      <c r="F1286" t="str">
        <f t="shared" si="69"/>
        <v>q310.jpg</v>
      </c>
      <c r="G1286" t="str">
        <f>SUBSTITUTE(B1287,CHAR(34),CHAR(92)&amp;CHAR(34))</f>
        <v>Biển 1.</v>
      </c>
      <c r="H1286" t="str">
        <f>SUBSTITUTE(B1288,CHAR(34),CHAR(92)&amp;CHAR(34))</f>
        <v>Biển 1 và biển 2.</v>
      </c>
      <c r="I1286" t="str">
        <f>SUBSTITUTE(IF(LEFT(A1289,3)="Câu","",B1289),CHAR(34),CHAR(92)&amp;CHAR(34))</f>
        <v>Biển 1 và biển 3.</v>
      </c>
      <c r="J1286" t="str">
        <f>SUBSTITUTE(IF(OR(LEFT(A1290,3)="Câu",I1286=""),"",IF(B1290=0,"",B1290)),CHAR(34),CHAR(92)&amp;CHAR(34))</f>
        <v xml:space="preserve"> Biển 2 và biển 3.</v>
      </c>
      <c r="K1286" t="str">
        <f ca="1">SUBSTITUTE(SUBSTITUTE(SUBSTITUTE(SUBSTITUTE(IFERROR(VLOOKUP("Câu "&amp;D1286&amp;".",dapan!$E:$J,6,0),""),"1","A"),"2","B"),"3","C"),"4","D")</f>
        <v>D</v>
      </c>
      <c r="P1286">
        <f t="shared" si="71"/>
        <v>310</v>
      </c>
      <c r="Q1286" t="str">
        <f t="shared" ca="1" si="72"/>
        <v>{"num":310,"id":310,"q":"Biển nào cấm xe ô tô tải vượt?","img":"q310.jpg","opts":{"A":"Biển 1.","B":"Biển 1 và biển 2.","C":"Biển 1 và biển 3.","D":" Biển 2 và biển 3."},"answer":"D"},</v>
      </c>
    </row>
    <row r="1287" spans="1:17" hidden="1" x14ac:dyDescent="0.25">
      <c r="A1287">
        <v>1</v>
      </c>
      <c r="B1287" t="s">
        <v>1075</v>
      </c>
      <c r="C1287">
        <f>IFERROR(COUNTIFS($A$1:A1287,"Câu "&amp;"*")-MID(A1287,5,FIND(".",A1287,1)-5),0)</f>
        <v>0</v>
      </c>
      <c r="D1287" t="str">
        <f t="shared" si="70"/>
        <v/>
      </c>
      <c r="E1287" t="str">
        <f>SUBSTITUTE(IF(LEFT(A1287,3)="Câu",MID(A1287,FIND(".",A1287,1)+2,LEN(A1287)),""),CHAR(34),CHAR(92)&amp;CHAR(34))</f>
        <v/>
      </c>
      <c r="F1287" t="str">
        <f t="shared" si="69"/>
        <v/>
      </c>
      <c r="G1287" t="str">
        <f>SUBSTITUTE(B1288,CHAR(34),CHAR(92)&amp;CHAR(34))</f>
        <v>Biển 1 và biển 2.</v>
      </c>
      <c r="H1287" t="str">
        <f>SUBSTITUTE(B1289,CHAR(34),CHAR(92)&amp;CHAR(34))</f>
        <v>Biển 1 và biển 3.</v>
      </c>
      <c r="I1287" t="str">
        <f>SUBSTITUTE(IF(LEFT(A1290,3)="Câu","",B1290),CHAR(34),CHAR(92)&amp;CHAR(34))</f>
        <v xml:space="preserve"> Biển 2 và biển 3.</v>
      </c>
      <c r="J1287" t="str">
        <f>SUBSTITUTE(IF(OR(LEFT(A1291,3)="Câu",I1287=""),"",IF(B1291=0,"",B1291)),CHAR(34),CHAR(92)&amp;CHAR(34))</f>
        <v/>
      </c>
      <c r="K1287" t="str">
        <f>SUBSTITUTE(SUBSTITUTE(SUBSTITUTE(SUBSTITUTE(IFERROR(VLOOKUP("Câu "&amp;D1287&amp;".",dapan!$E:$J,6,0),""),"1","A"),"2","B"),"3","C"),"4","D")</f>
        <v/>
      </c>
      <c r="P1287" t="str">
        <f t="shared" si="71"/>
        <v/>
      </c>
      <c r="Q1287" t="str">
        <f t="shared" si="72"/>
        <v/>
      </c>
    </row>
    <row r="1288" spans="1:17" hidden="1" x14ac:dyDescent="0.25">
      <c r="A1288">
        <v>2</v>
      </c>
      <c r="B1288" t="s">
        <v>1086</v>
      </c>
      <c r="C1288">
        <f>IFERROR(COUNTIFS($A$1:A1288,"Câu "&amp;"*")-MID(A1288,5,FIND(".",A1288,1)-5),0)</f>
        <v>0</v>
      </c>
      <c r="D1288" t="str">
        <f t="shared" si="70"/>
        <v/>
      </c>
      <c r="E1288" t="str">
        <f>SUBSTITUTE(IF(LEFT(A1288,3)="Câu",MID(A1288,FIND(".",A1288,1)+2,LEN(A1288)),""),CHAR(34),CHAR(92)&amp;CHAR(34))</f>
        <v/>
      </c>
      <c r="F1288" t="str">
        <f t="shared" si="69"/>
        <v/>
      </c>
      <c r="G1288" t="str">
        <f>SUBSTITUTE(B1289,CHAR(34),CHAR(92)&amp;CHAR(34))</f>
        <v>Biển 1 và biển 3.</v>
      </c>
      <c r="H1288" t="str">
        <f>SUBSTITUTE(B1290,CHAR(34),CHAR(92)&amp;CHAR(34))</f>
        <v xml:space="preserve"> Biển 2 và biển 3.</v>
      </c>
      <c r="I1288" t="str">
        <f>SUBSTITUTE(IF(LEFT(A1291,3)="Câu","",B1291),CHAR(34),CHAR(92)&amp;CHAR(34))</f>
        <v/>
      </c>
      <c r="J1288" t="str">
        <f>SUBSTITUTE(IF(OR(LEFT(A1292,3)="Câu",I1288=""),"",IF(B1292=0,"",B1292)),CHAR(34),CHAR(92)&amp;CHAR(34))</f>
        <v/>
      </c>
      <c r="K1288" t="str">
        <f>SUBSTITUTE(SUBSTITUTE(SUBSTITUTE(SUBSTITUTE(IFERROR(VLOOKUP("Câu "&amp;D1288&amp;".",dapan!$E:$J,6,0),""),"1","A"),"2","B"),"3","C"),"4","D")</f>
        <v/>
      </c>
      <c r="P1288" t="str">
        <f t="shared" si="71"/>
        <v/>
      </c>
      <c r="Q1288" t="str">
        <f t="shared" si="72"/>
        <v/>
      </c>
    </row>
    <row r="1289" spans="1:17" hidden="1" x14ac:dyDescent="0.25">
      <c r="A1289">
        <v>3</v>
      </c>
      <c r="B1289" t="s">
        <v>1077</v>
      </c>
      <c r="C1289">
        <f>IFERROR(COUNTIFS($A$1:A1289,"Câu "&amp;"*")-MID(A1289,5,FIND(".",A1289,1)-5),0)</f>
        <v>0</v>
      </c>
      <c r="D1289" t="str">
        <f t="shared" si="70"/>
        <v/>
      </c>
      <c r="E1289" t="str">
        <f>SUBSTITUTE(IF(LEFT(A1289,3)="Câu",MID(A1289,FIND(".",A1289,1)+2,LEN(A1289)),""),CHAR(34),CHAR(92)&amp;CHAR(34))</f>
        <v/>
      </c>
      <c r="F1289" t="str">
        <f t="shared" si="69"/>
        <v/>
      </c>
      <c r="G1289" t="str">
        <f>SUBSTITUTE(B1290,CHAR(34),CHAR(92)&amp;CHAR(34))</f>
        <v xml:space="preserve"> Biển 2 và biển 3.</v>
      </c>
      <c r="H1289" t="str">
        <f>SUBSTITUTE(B1291,CHAR(34),CHAR(92)&amp;CHAR(34))</f>
        <v/>
      </c>
      <c r="I1289" t="str">
        <f>SUBSTITUTE(IF(LEFT(A1292,3)="Câu","",B1292),CHAR(34),CHAR(92)&amp;CHAR(34))</f>
        <v>Biển 1.</v>
      </c>
      <c r="J1289" t="str">
        <f>SUBSTITUTE(IF(OR(LEFT(A1293,3)="Câu",I1289=""),"",IF(B1293=0,"",B1293)),CHAR(34),CHAR(92)&amp;CHAR(34))</f>
        <v>Biển 2.</v>
      </c>
      <c r="K1289" t="str">
        <f>SUBSTITUTE(SUBSTITUTE(SUBSTITUTE(SUBSTITUTE(IFERROR(VLOOKUP("Câu "&amp;D1289&amp;".",dapan!$E:$J,6,0),""),"1","A"),"2","B"),"3","C"),"4","D")</f>
        <v/>
      </c>
      <c r="P1289" t="str">
        <f t="shared" si="71"/>
        <v/>
      </c>
      <c r="Q1289" t="str">
        <f t="shared" si="72"/>
        <v/>
      </c>
    </row>
    <row r="1290" spans="1:17" hidden="1" x14ac:dyDescent="0.25">
      <c r="A1290">
        <v>4</v>
      </c>
      <c r="B1290" t="s">
        <v>1076</v>
      </c>
      <c r="C1290">
        <f>IFERROR(COUNTIFS($A$1:A1290,"Câu "&amp;"*")-MID(A1290,5,FIND(".",A1290,1)-5),0)</f>
        <v>0</v>
      </c>
      <c r="D1290" t="str">
        <f t="shared" si="70"/>
        <v/>
      </c>
      <c r="E1290" t="str">
        <f>SUBSTITUTE(IF(LEFT(A1290,3)="Câu",MID(A1290,FIND(".",A1290,1)+2,LEN(A1290)),""),CHAR(34),CHAR(92)&amp;CHAR(34))</f>
        <v/>
      </c>
      <c r="F1290" t="str">
        <f t="shared" si="69"/>
        <v/>
      </c>
      <c r="G1290" t="str">
        <f>SUBSTITUTE(B1291,CHAR(34),CHAR(92)&amp;CHAR(34))</f>
        <v/>
      </c>
      <c r="H1290" t="str">
        <f>SUBSTITUTE(B1292,CHAR(34),CHAR(92)&amp;CHAR(34))</f>
        <v>Biển 1.</v>
      </c>
      <c r="I1290" t="str">
        <f>SUBSTITUTE(IF(LEFT(A1293,3)="Câu","",B1293),CHAR(34),CHAR(92)&amp;CHAR(34))</f>
        <v>Biển 2.</v>
      </c>
      <c r="J1290" t="str">
        <f>SUBSTITUTE(IF(OR(LEFT(A1294,3)="Câu",I1290=""),"",IF(B1294=0,"",B1294)),CHAR(34),CHAR(92)&amp;CHAR(34))</f>
        <v xml:space="preserve"> Cả hai biển.</v>
      </c>
      <c r="K1290" t="str">
        <f>SUBSTITUTE(SUBSTITUTE(SUBSTITUTE(SUBSTITUTE(IFERROR(VLOOKUP("Câu "&amp;D1290&amp;".",dapan!$E:$J,6,0),""),"1","A"),"2","B"),"3","C"),"4","D")</f>
        <v/>
      </c>
      <c r="P1290" t="str">
        <f t="shared" si="71"/>
        <v/>
      </c>
      <c r="Q1290" t="str">
        <f t="shared" si="72"/>
        <v/>
      </c>
    </row>
    <row r="1291" spans="1:17" x14ac:dyDescent="0.25">
      <c r="A1291" t="s">
        <v>1092</v>
      </c>
      <c r="C1291">
        <f>IFERROR(COUNTIFS($A$1:A1291,"Câu "&amp;"*")-MID(A1291,5,FIND(".",A1291,1)-5),0)</f>
        <v>0</v>
      </c>
      <c r="D1291">
        <f t="shared" si="70"/>
        <v>311</v>
      </c>
      <c r="E1291" t="str">
        <f>SUBSTITUTE(IF(LEFT(A1291,3)="Câu",MID(A1291,FIND(".",A1291,1)+2,LEN(A1291)),""),CHAR(34),CHAR(92)&amp;CHAR(34))</f>
        <v>Biển nào cấm xe tải vượt?</v>
      </c>
      <c r="F1291" t="str">
        <f t="shared" si="69"/>
        <v>q311.jpg</v>
      </c>
      <c r="G1291" t="str">
        <f>SUBSTITUTE(B1292,CHAR(34),CHAR(92)&amp;CHAR(34))</f>
        <v>Biển 1.</v>
      </c>
      <c r="H1291" t="str">
        <f>SUBSTITUTE(B1293,CHAR(34),CHAR(92)&amp;CHAR(34))</f>
        <v>Biển 2.</v>
      </c>
      <c r="I1291" t="str">
        <f>SUBSTITUTE(IF(LEFT(A1294,3)="Câu","",B1294),CHAR(34),CHAR(92)&amp;CHAR(34))</f>
        <v xml:space="preserve"> Cả hai biển.</v>
      </c>
      <c r="J1291" t="str">
        <f>SUBSTITUTE(IF(OR(LEFT(A1295,3)="Câu",I1291=""),"",IF(B1295=0,"",B1295)),CHAR(34),CHAR(92)&amp;CHAR(34))</f>
        <v/>
      </c>
      <c r="K1291" t="str">
        <f ca="1">SUBSTITUTE(SUBSTITUTE(SUBSTITUTE(SUBSTITUTE(IFERROR(VLOOKUP("Câu "&amp;D1291&amp;".",dapan!$E:$J,6,0),""),"1","A"),"2","B"),"3","C"),"4","D")</f>
        <v>C</v>
      </c>
      <c r="P1291">
        <f t="shared" si="71"/>
        <v>311</v>
      </c>
      <c r="Q1291" t="str">
        <f t="shared" ca="1" si="72"/>
        <v>{"num":311,"id":311,"q":"Biển nào cấm xe tải vượt?","img":"q311.jpg","opts":{"A":"Biển 1.","B":"Biển 2.","C":" Cả hai biển."},"answer":"C"},</v>
      </c>
    </row>
    <row r="1292" spans="1:17" hidden="1" x14ac:dyDescent="0.25">
      <c r="A1292">
        <v>1</v>
      </c>
      <c r="B1292" t="s">
        <v>1075</v>
      </c>
      <c r="C1292">
        <f>IFERROR(COUNTIFS($A$1:A1292,"Câu "&amp;"*")-MID(A1292,5,FIND(".",A1292,1)-5),0)</f>
        <v>0</v>
      </c>
      <c r="D1292" t="str">
        <f t="shared" si="70"/>
        <v/>
      </c>
      <c r="E1292" t="str">
        <f>SUBSTITUTE(IF(LEFT(A1292,3)="Câu",MID(A1292,FIND(".",A1292,1)+2,LEN(A1292)),""),CHAR(34),CHAR(92)&amp;CHAR(34))</f>
        <v/>
      </c>
      <c r="F1292" t="str">
        <f t="shared" si="69"/>
        <v/>
      </c>
      <c r="G1292" t="str">
        <f>SUBSTITUTE(B1293,CHAR(34),CHAR(92)&amp;CHAR(34))</f>
        <v>Biển 2.</v>
      </c>
      <c r="H1292" t="str">
        <f>SUBSTITUTE(B1294,CHAR(34),CHAR(92)&amp;CHAR(34))</f>
        <v xml:space="preserve"> Cả hai biển.</v>
      </c>
      <c r="I1292" t="str">
        <f>SUBSTITUTE(IF(LEFT(A1295,3)="Câu","",B1295),CHAR(34),CHAR(92)&amp;CHAR(34))</f>
        <v/>
      </c>
      <c r="J1292" t="str">
        <f>SUBSTITUTE(IF(OR(LEFT(A1296,3)="Câu",I1292=""),"",IF(B1296=0,"",B1296)),CHAR(34),CHAR(92)&amp;CHAR(34))</f>
        <v/>
      </c>
      <c r="K1292" t="str">
        <f>SUBSTITUTE(SUBSTITUTE(SUBSTITUTE(SUBSTITUTE(IFERROR(VLOOKUP("Câu "&amp;D1292&amp;".",dapan!$E:$J,6,0),""),"1","A"),"2","B"),"3","C"),"4","D")</f>
        <v/>
      </c>
      <c r="P1292" t="str">
        <f t="shared" si="71"/>
        <v/>
      </c>
      <c r="Q1292" t="str">
        <f t="shared" si="72"/>
        <v/>
      </c>
    </row>
    <row r="1293" spans="1:17" hidden="1" x14ac:dyDescent="0.25">
      <c r="A1293">
        <v>2</v>
      </c>
      <c r="B1293" t="s">
        <v>1068</v>
      </c>
      <c r="C1293">
        <f>IFERROR(COUNTIFS($A$1:A1293,"Câu "&amp;"*")-MID(A1293,5,FIND(".",A1293,1)-5),0)</f>
        <v>0</v>
      </c>
      <c r="D1293" t="str">
        <f t="shared" si="70"/>
        <v/>
      </c>
      <c r="E1293" t="str">
        <f>SUBSTITUTE(IF(LEFT(A1293,3)="Câu",MID(A1293,FIND(".",A1293,1)+2,LEN(A1293)),""),CHAR(34),CHAR(92)&amp;CHAR(34))</f>
        <v/>
      </c>
      <c r="F1293" t="str">
        <f t="shared" si="69"/>
        <v/>
      </c>
      <c r="G1293" t="str">
        <f>SUBSTITUTE(B1294,CHAR(34),CHAR(92)&amp;CHAR(34))</f>
        <v xml:space="preserve"> Cả hai biển.</v>
      </c>
      <c r="H1293" t="str">
        <f>SUBSTITUTE(B1295,CHAR(34),CHAR(92)&amp;CHAR(34))</f>
        <v/>
      </c>
      <c r="I1293" t="str">
        <f>SUBSTITUTE(IF(LEFT(A1296,3)="Câu","",B1296),CHAR(34),CHAR(92)&amp;CHAR(34))</f>
        <v>Biển 1.</v>
      </c>
      <c r="J1293" t="str">
        <f>SUBSTITUTE(IF(OR(LEFT(A1297,3)="Câu",I1293=""),"",IF(B1297=0,"",B1297)),CHAR(34),CHAR(92)&amp;CHAR(34))</f>
        <v xml:space="preserve"> Biển 2.</v>
      </c>
      <c r="K1293" t="str">
        <f>SUBSTITUTE(SUBSTITUTE(SUBSTITUTE(SUBSTITUTE(IFERROR(VLOOKUP("Câu "&amp;D1293&amp;".",dapan!$E:$J,6,0),""),"1","A"),"2","B"),"3","C"),"4","D")</f>
        <v/>
      </c>
      <c r="P1293" t="str">
        <f t="shared" si="71"/>
        <v/>
      </c>
      <c r="Q1293" t="str">
        <f t="shared" si="72"/>
        <v/>
      </c>
    </row>
    <row r="1294" spans="1:17" hidden="1" x14ac:dyDescent="0.25">
      <c r="A1294">
        <v>3</v>
      </c>
      <c r="B1294" t="s">
        <v>1081</v>
      </c>
      <c r="C1294">
        <f>IFERROR(COUNTIFS($A$1:A1294,"Câu "&amp;"*")-MID(A1294,5,FIND(".",A1294,1)-5),0)</f>
        <v>0</v>
      </c>
      <c r="D1294" t="str">
        <f t="shared" si="70"/>
        <v/>
      </c>
      <c r="E1294" t="str">
        <f>SUBSTITUTE(IF(LEFT(A1294,3)="Câu",MID(A1294,FIND(".",A1294,1)+2,LEN(A1294)),""),CHAR(34),CHAR(92)&amp;CHAR(34))</f>
        <v/>
      </c>
      <c r="F1294" t="str">
        <f t="shared" si="69"/>
        <v/>
      </c>
      <c r="G1294" t="str">
        <f>SUBSTITUTE(B1295,CHAR(34),CHAR(92)&amp;CHAR(34))</f>
        <v/>
      </c>
      <c r="H1294" t="str">
        <f>SUBSTITUTE(B1296,CHAR(34),CHAR(92)&amp;CHAR(34))</f>
        <v>Biển 1.</v>
      </c>
      <c r="I1294" t="str">
        <f>SUBSTITUTE(IF(LEFT(A1297,3)="Câu","",B1297),CHAR(34),CHAR(92)&amp;CHAR(34))</f>
        <v xml:space="preserve"> Biển 2.</v>
      </c>
      <c r="J1294" t="str">
        <f>SUBSTITUTE(IF(OR(LEFT(A1298,3)="Câu",I1294=""),"",IF(B1298=0,"",B1298)),CHAR(34),CHAR(92)&amp;CHAR(34))</f>
        <v/>
      </c>
      <c r="K1294" t="str">
        <f>SUBSTITUTE(SUBSTITUTE(SUBSTITUTE(SUBSTITUTE(IFERROR(VLOOKUP("Câu "&amp;D1294&amp;".",dapan!$E:$J,6,0),""),"1","A"),"2","B"),"3","C"),"4","D")</f>
        <v/>
      </c>
      <c r="P1294" t="str">
        <f t="shared" si="71"/>
        <v/>
      </c>
      <c r="Q1294" t="str">
        <f t="shared" si="72"/>
        <v/>
      </c>
    </row>
    <row r="1295" spans="1:17" x14ac:dyDescent="0.25">
      <c r="A1295" t="s">
        <v>1093</v>
      </c>
      <c r="C1295">
        <f>IFERROR(COUNTIFS($A$1:A1295,"Câu "&amp;"*")-MID(A1295,5,FIND(".",A1295,1)-5),0)</f>
        <v>0</v>
      </c>
      <c r="D1295">
        <f t="shared" si="70"/>
        <v>312</v>
      </c>
      <c r="E1295" t="str">
        <f>SUBSTITUTE(IF(LEFT(A1295,3)="Câu",MID(A1295,FIND(".",A1295,1)+2,LEN(A1295)),""),CHAR(34),CHAR(92)&amp;CHAR(34))</f>
        <v>Biển nào xe ô tô con được phép vượt?</v>
      </c>
      <c r="F1295" t="str">
        <f t="shared" si="69"/>
        <v>q312.jpg</v>
      </c>
      <c r="G1295" t="str">
        <f>SUBSTITUTE(B1296,CHAR(34),CHAR(92)&amp;CHAR(34))</f>
        <v>Biển 1.</v>
      </c>
      <c r="H1295" t="str">
        <f>SUBSTITUTE(B1297,CHAR(34),CHAR(92)&amp;CHAR(34))</f>
        <v xml:space="preserve"> Biển 2.</v>
      </c>
      <c r="I1295" t="str">
        <f>SUBSTITUTE(IF(LEFT(A1298,3)="Câu","",B1298),CHAR(34),CHAR(92)&amp;CHAR(34))</f>
        <v/>
      </c>
      <c r="J1295" t="str">
        <f>SUBSTITUTE(IF(OR(LEFT(A1299,3)="Câu",I1295=""),"",IF(B1299=0,"",B1299)),CHAR(34),CHAR(92)&amp;CHAR(34))</f>
        <v/>
      </c>
      <c r="K1295" t="str">
        <f ca="1">SUBSTITUTE(SUBSTITUTE(SUBSTITUTE(SUBSTITUTE(IFERROR(VLOOKUP("Câu "&amp;D1295&amp;".",dapan!$E:$J,6,0),""),"1","A"),"2","B"),"3","C"),"4","D")</f>
        <v>B</v>
      </c>
      <c r="P1295">
        <f t="shared" si="71"/>
        <v>312</v>
      </c>
      <c r="Q1295" t="str">
        <f t="shared" ca="1" si="72"/>
        <v>{"num":312,"id":312,"q":"Biển nào xe ô tô con được phép vượt?","img":"q312.jpg","opts":{"A":"Biển 1.","B":" Biển 2."},"answer":"B"},</v>
      </c>
    </row>
    <row r="1296" spans="1:17" hidden="1" x14ac:dyDescent="0.25">
      <c r="A1296">
        <v>1</v>
      </c>
      <c r="B1296" t="s">
        <v>1075</v>
      </c>
      <c r="C1296">
        <f>IFERROR(COUNTIFS($A$1:A1296,"Câu "&amp;"*")-MID(A1296,5,FIND(".",A1296,1)-5),0)</f>
        <v>0</v>
      </c>
      <c r="D1296" t="str">
        <f t="shared" si="70"/>
        <v/>
      </c>
      <c r="E1296" t="str">
        <f>SUBSTITUTE(IF(LEFT(A1296,3)="Câu",MID(A1296,FIND(".",A1296,1)+2,LEN(A1296)),""),CHAR(34),CHAR(92)&amp;CHAR(34))</f>
        <v/>
      </c>
      <c r="F1296" t="str">
        <f t="shared" si="69"/>
        <v/>
      </c>
      <c r="G1296" t="str">
        <f>SUBSTITUTE(B1297,CHAR(34),CHAR(92)&amp;CHAR(34))</f>
        <v xml:space="preserve"> Biển 2.</v>
      </c>
      <c r="H1296" t="str">
        <f>SUBSTITUTE(B1298,CHAR(34),CHAR(92)&amp;CHAR(34))</f>
        <v/>
      </c>
      <c r="I1296" t="str">
        <f>SUBSTITUTE(IF(LEFT(A1299,3)="Câu","",B1299),CHAR(34),CHAR(92)&amp;CHAR(34))</f>
        <v>Biển 1.</v>
      </c>
      <c r="J1296" t="str">
        <f>SUBSTITUTE(IF(OR(LEFT(A1300,3)="Câu",I1296=""),"",IF(B1300=0,"",B1300)),CHAR(34),CHAR(92)&amp;CHAR(34))</f>
        <v xml:space="preserve"> Biển 2.</v>
      </c>
      <c r="K1296" t="str">
        <f>SUBSTITUTE(SUBSTITUTE(SUBSTITUTE(SUBSTITUTE(IFERROR(VLOOKUP("Câu "&amp;D1296&amp;".",dapan!$E:$J,6,0),""),"1","A"),"2","B"),"3","C"),"4","D")</f>
        <v/>
      </c>
      <c r="P1296" t="str">
        <f t="shared" si="71"/>
        <v/>
      </c>
      <c r="Q1296" t="str">
        <f t="shared" si="72"/>
        <v/>
      </c>
    </row>
    <row r="1297" spans="1:17" hidden="1" x14ac:dyDescent="0.25">
      <c r="A1297">
        <v>2</v>
      </c>
      <c r="B1297" t="s">
        <v>1090</v>
      </c>
      <c r="C1297">
        <f>IFERROR(COUNTIFS($A$1:A1297,"Câu "&amp;"*")-MID(A1297,5,FIND(".",A1297,1)-5),0)</f>
        <v>0</v>
      </c>
      <c r="D1297" t="str">
        <f t="shared" si="70"/>
        <v/>
      </c>
      <c r="E1297" t="str">
        <f>SUBSTITUTE(IF(LEFT(A1297,3)="Câu",MID(A1297,FIND(".",A1297,1)+2,LEN(A1297)),""),CHAR(34),CHAR(92)&amp;CHAR(34))</f>
        <v/>
      </c>
      <c r="F1297" t="str">
        <f t="shared" si="69"/>
        <v/>
      </c>
      <c r="G1297" t="str">
        <f>SUBSTITUTE(B1298,CHAR(34),CHAR(92)&amp;CHAR(34))</f>
        <v/>
      </c>
      <c r="H1297" t="str">
        <f>SUBSTITUTE(B1299,CHAR(34),CHAR(92)&amp;CHAR(34))</f>
        <v>Biển 1.</v>
      </c>
      <c r="I1297" t="str">
        <f>SUBSTITUTE(IF(LEFT(A1300,3)="Câu","",B1300),CHAR(34),CHAR(92)&amp;CHAR(34))</f>
        <v xml:space="preserve"> Biển 2.</v>
      </c>
      <c r="J1297" t="str">
        <f>SUBSTITUTE(IF(OR(LEFT(A1301,3)="Câu",I1297=""),"",IF(B1301=0,"",B1301)),CHAR(34),CHAR(92)&amp;CHAR(34))</f>
        <v>Không biển nào.</v>
      </c>
      <c r="K1297" t="str">
        <f>SUBSTITUTE(SUBSTITUTE(SUBSTITUTE(SUBSTITUTE(IFERROR(VLOOKUP("Câu "&amp;D1297&amp;".",dapan!$E:$J,6,0),""),"1","A"),"2","B"),"3","C"),"4","D")</f>
        <v/>
      </c>
      <c r="P1297" t="str">
        <f t="shared" si="71"/>
        <v/>
      </c>
      <c r="Q1297" t="str">
        <f t="shared" si="72"/>
        <v/>
      </c>
    </row>
    <row r="1298" spans="1:17" x14ac:dyDescent="0.25">
      <c r="A1298" t="s">
        <v>1094</v>
      </c>
      <c r="C1298">
        <f>IFERROR(COUNTIFS($A$1:A1298,"Câu "&amp;"*")-MID(A1298,5,FIND(".",A1298,1)-5),0)</f>
        <v>0</v>
      </c>
      <c r="D1298">
        <f t="shared" si="70"/>
        <v>313</v>
      </c>
      <c r="E1298" t="str">
        <f>SUBSTITUTE(IF(LEFT(A1298,3)="Câu",MID(A1298,FIND(".",A1298,1)+2,LEN(A1298)),""),CHAR(34),CHAR(92)&amp;CHAR(34))</f>
        <v>Biển nào cấm quay đầu xe?</v>
      </c>
      <c r="F1298" t="str">
        <f t="shared" si="69"/>
        <v>q313.jpg</v>
      </c>
      <c r="G1298" t="str">
        <f>SUBSTITUTE(B1299,CHAR(34),CHAR(92)&amp;CHAR(34))</f>
        <v>Biển 1.</v>
      </c>
      <c r="H1298" t="str">
        <f>SUBSTITUTE(B1300,CHAR(34),CHAR(92)&amp;CHAR(34))</f>
        <v xml:space="preserve"> Biển 2.</v>
      </c>
      <c r="I1298" t="str">
        <f>SUBSTITUTE(IF(LEFT(A1301,3)="Câu","",B1301),CHAR(34),CHAR(92)&amp;CHAR(34))</f>
        <v>Không biển nào.</v>
      </c>
      <c r="J1298" t="str">
        <f>SUBSTITUTE(IF(OR(LEFT(A1302,3)="Câu",I1298=""),"",IF(B1302=0,"",B1302)),CHAR(34),CHAR(92)&amp;CHAR(34))</f>
        <v>Cả hai biển.</v>
      </c>
      <c r="K1298" t="str">
        <f ca="1">SUBSTITUTE(SUBSTITUTE(SUBSTITUTE(SUBSTITUTE(IFERROR(VLOOKUP("Câu "&amp;D1298&amp;".",dapan!$E:$J,6,0),""),"1","A"),"2","B"),"3","C"),"4","D")</f>
        <v>B</v>
      </c>
      <c r="P1298">
        <f t="shared" si="71"/>
        <v>313</v>
      </c>
      <c r="Q1298" t="str">
        <f t="shared" ca="1" si="72"/>
        <v>{"num":313,"id":313,"q":"Biển nào cấm quay đầu xe?","img":"q313.jpg","opts":{"A":"Biển 1.","B":" Biển 2.","C":"Không biển nào.","D":"Cả hai biển."},"answer":"B"},</v>
      </c>
    </row>
    <row r="1299" spans="1:17" hidden="1" x14ac:dyDescent="0.25">
      <c r="A1299">
        <v>1</v>
      </c>
      <c r="B1299" t="s">
        <v>1075</v>
      </c>
      <c r="C1299">
        <f>IFERROR(COUNTIFS($A$1:A1299,"Câu "&amp;"*")-MID(A1299,5,FIND(".",A1299,1)-5),0)</f>
        <v>0</v>
      </c>
      <c r="D1299" t="str">
        <f t="shared" si="70"/>
        <v/>
      </c>
      <c r="E1299" t="str">
        <f>SUBSTITUTE(IF(LEFT(A1299,3)="Câu",MID(A1299,FIND(".",A1299,1)+2,LEN(A1299)),""),CHAR(34),CHAR(92)&amp;CHAR(34))</f>
        <v/>
      </c>
      <c r="F1299" t="str">
        <f t="shared" si="69"/>
        <v/>
      </c>
      <c r="G1299" t="str">
        <f>SUBSTITUTE(B1300,CHAR(34),CHAR(92)&amp;CHAR(34))</f>
        <v xml:space="preserve"> Biển 2.</v>
      </c>
      <c r="H1299" t="str">
        <f>SUBSTITUTE(B1301,CHAR(34),CHAR(92)&amp;CHAR(34))</f>
        <v>Không biển nào.</v>
      </c>
      <c r="I1299" t="str">
        <f>SUBSTITUTE(IF(LEFT(A1302,3)="Câu","",B1302),CHAR(34),CHAR(92)&amp;CHAR(34))</f>
        <v>Cả hai biển.</v>
      </c>
      <c r="J1299" t="str">
        <f>SUBSTITUTE(IF(OR(LEFT(A1303,3)="Câu",I1299=""),"",IF(B1303=0,"",B1303)),CHAR(34),CHAR(92)&amp;CHAR(34))</f>
        <v/>
      </c>
      <c r="K1299" t="str">
        <f>SUBSTITUTE(SUBSTITUTE(SUBSTITUTE(SUBSTITUTE(IFERROR(VLOOKUP("Câu "&amp;D1299&amp;".",dapan!$E:$J,6,0),""),"1","A"),"2","B"),"3","C"),"4","D")</f>
        <v/>
      </c>
      <c r="P1299" t="str">
        <f t="shared" si="71"/>
        <v/>
      </c>
      <c r="Q1299" t="str">
        <f t="shared" si="72"/>
        <v/>
      </c>
    </row>
    <row r="1300" spans="1:17" hidden="1" x14ac:dyDescent="0.25">
      <c r="A1300">
        <v>2</v>
      </c>
      <c r="B1300" t="s">
        <v>1090</v>
      </c>
      <c r="C1300">
        <f>IFERROR(COUNTIFS($A$1:A1300,"Câu "&amp;"*")-MID(A1300,5,FIND(".",A1300,1)-5),0)</f>
        <v>0</v>
      </c>
      <c r="D1300" t="str">
        <f t="shared" si="70"/>
        <v/>
      </c>
      <c r="E1300" t="str">
        <f>SUBSTITUTE(IF(LEFT(A1300,3)="Câu",MID(A1300,FIND(".",A1300,1)+2,LEN(A1300)),""),CHAR(34),CHAR(92)&amp;CHAR(34))</f>
        <v/>
      </c>
      <c r="F1300" t="str">
        <f t="shared" si="69"/>
        <v/>
      </c>
      <c r="G1300" t="str">
        <f>SUBSTITUTE(B1301,CHAR(34),CHAR(92)&amp;CHAR(34))</f>
        <v>Không biển nào.</v>
      </c>
      <c r="H1300" t="str">
        <f>SUBSTITUTE(B1302,CHAR(34),CHAR(92)&amp;CHAR(34))</f>
        <v>Cả hai biển.</v>
      </c>
      <c r="I1300" t="str">
        <f>SUBSTITUTE(IF(LEFT(A1303,3)="Câu","",B1303),CHAR(34),CHAR(92)&amp;CHAR(34))</f>
        <v/>
      </c>
      <c r="J1300" t="str">
        <f>SUBSTITUTE(IF(OR(LEFT(A1304,3)="Câu",I1300=""),"",IF(B1304=0,"",B1304)),CHAR(34),CHAR(92)&amp;CHAR(34))</f>
        <v/>
      </c>
      <c r="K1300" t="str">
        <f>SUBSTITUTE(SUBSTITUTE(SUBSTITUTE(SUBSTITUTE(IFERROR(VLOOKUP("Câu "&amp;D1300&amp;".",dapan!$E:$J,6,0),""),"1","A"),"2","B"),"3","C"),"4","D")</f>
        <v/>
      </c>
      <c r="P1300" t="str">
        <f t="shared" si="71"/>
        <v/>
      </c>
      <c r="Q1300" t="str">
        <f t="shared" si="72"/>
        <v/>
      </c>
    </row>
    <row r="1301" spans="1:17" hidden="1" x14ac:dyDescent="0.25">
      <c r="A1301">
        <v>3</v>
      </c>
      <c r="B1301" t="s">
        <v>1085</v>
      </c>
      <c r="C1301">
        <f>IFERROR(COUNTIFS($A$1:A1301,"Câu "&amp;"*")-MID(A1301,5,FIND(".",A1301,1)-5),0)</f>
        <v>0</v>
      </c>
      <c r="D1301" t="str">
        <f t="shared" si="70"/>
        <v/>
      </c>
      <c r="E1301" t="str">
        <f>SUBSTITUTE(IF(LEFT(A1301,3)="Câu",MID(A1301,FIND(".",A1301,1)+2,LEN(A1301)),""),CHAR(34),CHAR(92)&amp;CHAR(34))</f>
        <v/>
      </c>
      <c r="F1301" t="str">
        <f t="shared" si="69"/>
        <v/>
      </c>
      <c r="G1301" t="str">
        <f>SUBSTITUTE(B1302,CHAR(34),CHAR(92)&amp;CHAR(34))</f>
        <v>Cả hai biển.</v>
      </c>
      <c r="H1301" t="str">
        <f>SUBSTITUTE(B1303,CHAR(34),CHAR(92)&amp;CHAR(34))</f>
        <v/>
      </c>
      <c r="I1301" t="str">
        <f>SUBSTITUTE(IF(LEFT(A1304,3)="Câu","",B1304),CHAR(34),CHAR(92)&amp;CHAR(34))</f>
        <v xml:space="preserve"> Biển 1.</v>
      </c>
      <c r="J1301" t="str">
        <f>SUBSTITUTE(IF(OR(LEFT(A1305,3)="Câu",I1301=""),"",IF(B1305=0,"",B1305)),CHAR(34),CHAR(92)&amp;CHAR(34))</f>
        <v>Biển 2.</v>
      </c>
      <c r="K1301" t="str">
        <f>SUBSTITUTE(SUBSTITUTE(SUBSTITUTE(SUBSTITUTE(IFERROR(VLOOKUP("Câu "&amp;D1301&amp;".",dapan!$E:$J,6,0),""),"1","A"),"2","B"),"3","C"),"4","D")</f>
        <v/>
      </c>
      <c r="P1301" t="str">
        <f t="shared" si="71"/>
        <v/>
      </c>
      <c r="Q1301" t="str">
        <f t="shared" si="72"/>
        <v/>
      </c>
    </row>
    <row r="1302" spans="1:17" hidden="1" x14ac:dyDescent="0.25">
      <c r="A1302">
        <v>4</v>
      </c>
      <c r="B1302" t="s">
        <v>1095</v>
      </c>
      <c r="C1302">
        <f>IFERROR(COUNTIFS($A$1:A1302,"Câu "&amp;"*")-MID(A1302,5,FIND(".",A1302,1)-5),0)</f>
        <v>0</v>
      </c>
      <c r="D1302" t="str">
        <f t="shared" si="70"/>
        <v/>
      </c>
      <c r="E1302" t="str">
        <f>SUBSTITUTE(IF(LEFT(A1302,3)="Câu",MID(A1302,FIND(".",A1302,1)+2,LEN(A1302)),""),CHAR(34),CHAR(92)&amp;CHAR(34))</f>
        <v/>
      </c>
      <c r="F1302" t="str">
        <f t="shared" si="69"/>
        <v/>
      </c>
      <c r="G1302" t="str">
        <f>SUBSTITUTE(B1303,CHAR(34),CHAR(92)&amp;CHAR(34))</f>
        <v/>
      </c>
      <c r="H1302" t="str">
        <f>SUBSTITUTE(B1304,CHAR(34),CHAR(92)&amp;CHAR(34))</f>
        <v xml:space="preserve"> Biển 1.</v>
      </c>
      <c r="I1302" t="str">
        <f>SUBSTITUTE(IF(LEFT(A1305,3)="Câu","",B1305),CHAR(34),CHAR(92)&amp;CHAR(34))</f>
        <v>Biển 2.</v>
      </c>
      <c r="J1302" t="str">
        <f>SUBSTITUTE(IF(OR(LEFT(A1306,3)="Câu",I1302=""),"",IF(B1306=0,"",B1306)),CHAR(34),CHAR(92)&amp;CHAR(34))</f>
        <v>Cả hai biển.</v>
      </c>
      <c r="K1302" t="str">
        <f>SUBSTITUTE(SUBSTITUTE(SUBSTITUTE(SUBSTITUTE(IFERROR(VLOOKUP("Câu "&amp;D1302&amp;".",dapan!$E:$J,6,0),""),"1","A"),"2","B"),"3","C"),"4","D")</f>
        <v/>
      </c>
      <c r="P1302" t="str">
        <f t="shared" si="71"/>
        <v/>
      </c>
      <c r="Q1302" t="str">
        <f t="shared" si="72"/>
        <v/>
      </c>
    </row>
    <row r="1303" spans="1:17" x14ac:dyDescent="0.25">
      <c r="A1303" t="s">
        <v>1096</v>
      </c>
      <c r="C1303">
        <f>IFERROR(COUNTIFS($A$1:A1303,"Câu "&amp;"*")-MID(A1303,5,FIND(".",A1303,1)-5),0)</f>
        <v>0</v>
      </c>
      <c r="D1303">
        <f t="shared" si="70"/>
        <v>314</v>
      </c>
      <c r="E1303" t="str">
        <f>SUBSTITUTE(IF(LEFT(A1303,3)="Câu",MID(A1303,FIND(".",A1303,1)+2,LEN(A1303)),""),CHAR(34),CHAR(92)&amp;CHAR(34))</f>
        <v>Biển nào cấm xe rẽ trái?</v>
      </c>
      <c r="F1303" t="str">
        <f t="shared" ref="F1303:F1366" si="73">IF(D1303="","","q"&amp;TEXT(D1303,"000")&amp;".jpg")</f>
        <v>q314.jpg</v>
      </c>
      <c r="G1303" t="str">
        <f>SUBSTITUTE(B1304,CHAR(34),CHAR(92)&amp;CHAR(34))</f>
        <v xml:space="preserve"> Biển 1.</v>
      </c>
      <c r="H1303" t="str">
        <f>SUBSTITUTE(B1305,CHAR(34),CHAR(92)&amp;CHAR(34))</f>
        <v>Biển 2.</v>
      </c>
      <c r="I1303" t="str">
        <f>SUBSTITUTE(IF(LEFT(A1306,3)="Câu","",B1306),CHAR(34),CHAR(92)&amp;CHAR(34))</f>
        <v>Cả hai biển.</v>
      </c>
      <c r="J1303" t="str">
        <f>SUBSTITUTE(IF(OR(LEFT(A1307,3)="Câu",I1303=""),"",IF(B1307=0,"",B1307)),CHAR(34),CHAR(92)&amp;CHAR(34))</f>
        <v/>
      </c>
      <c r="K1303" t="str">
        <f ca="1">SUBSTITUTE(SUBSTITUTE(SUBSTITUTE(SUBSTITUTE(IFERROR(VLOOKUP("Câu "&amp;D1303&amp;".",dapan!$E:$J,6,0),""),"1","A"),"2","B"),"3","C"),"4","D")</f>
        <v>A</v>
      </c>
      <c r="P1303">
        <f t="shared" si="71"/>
        <v>314</v>
      </c>
      <c r="Q1303" t="str">
        <f t="shared" ca="1" si="72"/>
        <v>{"num":314,"id":314,"q":"Biển nào cấm xe rẽ trái?","img":"q314.jpg","opts":{"A":" Biển 1.","B":"Biển 2.","C":"Cả hai biển."},"answer":"A"},</v>
      </c>
    </row>
    <row r="1304" spans="1:17" hidden="1" x14ac:dyDescent="0.25">
      <c r="A1304">
        <v>1</v>
      </c>
      <c r="B1304" t="s">
        <v>1066</v>
      </c>
      <c r="C1304">
        <f>IFERROR(COUNTIFS($A$1:A1304,"Câu "&amp;"*")-MID(A1304,5,FIND(".",A1304,1)-5),0)</f>
        <v>0</v>
      </c>
      <c r="D1304" t="str">
        <f t="shared" si="70"/>
        <v/>
      </c>
      <c r="E1304" t="str">
        <f>SUBSTITUTE(IF(LEFT(A1304,3)="Câu",MID(A1304,FIND(".",A1304,1)+2,LEN(A1304)),""),CHAR(34),CHAR(92)&amp;CHAR(34))</f>
        <v/>
      </c>
      <c r="F1304" t="str">
        <f t="shared" si="73"/>
        <v/>
      </c>
      <c r="G1304" t="str">
        <f>SUBSTITUTE(B1305,CHAR(34),CHAR(92)&amp;CHAR(34))</f>
        <v>Biển 2.</v>
      </c>
      <c r="H1304" t="str">
        <f>SUBSTITUTE(B1306,CHAR(34),CHAR(92)&amp;CHAR(34))</f>
        <v>Cả hai biển.</v>
      </c>
      <c r="I1304" t="str">
        <f>SUBSTITUTE(IF(LEFT(A1307,3)="Câu","",B1307),CHAR(34),CHAR(92)&amp;CHAR(34))</f>
        <v/>
      </c>
      <c r="J1304" t="str">
        <f>SUBSTITUTE(IF(OR(LEFT(A1308,3)="Câu",I1304=""),"",IF(B1308=0,"",B1308)),CHAR(34),CHAR(92)&amp;CHAR(34))</f>
        <v/>
      </c>
      <c r="K1304" t="str">
        <f>SUBSTITUTE(SUBSTITUTE(SUBSTITUTE(SUBSTITUTE(IFERROR(VLOOKUP("Câu "&amp;D1304&amp;".",dapan!$E:$J,6,0),""),"1","A"),"2","B"),"3","C"),"4","D")</f>
        <v/>
      </c>
      <c r="P1304" t="str">
        <f t="shared" si="71"/>
        <v/>
      </c>
      <c r="Q1304" t="str">
        <f t="shared" si="72"/>
        <v/>
      </c>
    </row>
    <row r="1305" spans="1:17" hidden="1" x14ac:dyDescent="0.25">
      <c r="A1305">
        <v>2</v>
      </c>
      <c r="B1305" t="s">
        <v>1068</v>
      </c>
      <c r="C1305">
        <f>IFERROR(COUNTIFS($A$1:A1305,"Câu "&amp;"*")-MID(A1305,5,FIND(".",A1305,1)-5),0)</f>
        <v>0</v>
      </c>
      <c r="D1305" t="str">
        <f t="shared" ref="D1305:D1368" si="74">IF(LEFT(A1305,3)="Câu",VALUE(MID(A1305,5,FIND(".",A1305,1)-5)),"")</f>
        <v/>
      </c>
      <c r="E1305" t="str">
        <f>SUBSTITUTE(IF(LEFT(A1305,3)="Câu",MID(A1305,FIND(".",A1305,1)+2,LEN(A1305)),""),CHAR(34),CHAR(92)&amp;CHAR(34))</f>
        <v/>
      </c>
      <c r="F1305" t="str">
        <f t="shared" si="73"/>
        <v/>
      </c>
      <c r="G1305" t="str">
        <f>SUBSTITUTE(B1306,CHAR(34),CHAR(92)&amp;CHAR(34))</f>
        <v>Cả hai biển.</v>
      </c>
      <c r="H1305" t="str">
        <f>SUBSTITUTE(B1307,CHAR(34),CHAR(92)&amp;CHAR(34))</f>
        <v/>
      </c>
      <c r="I1305" t="str">
        <f>SUBSTITUTE(IF(LEFT(A1308,3)="Câu","",B1308),CHAR(34),CHAR(92)&amp;CHAR(34))</f>
        <v>Biển 1.</v>
      </c>
      <c r="J1305" t="str">
        <f>SUBSTITUTE(IF(OR(LEFT(A1309,3)="Câu",I1305=""),"",IF(B1309=0,"",B1309)),CHAR(34),CHAR(92)&amp;CHAR(34))</f>
        <v xml:space="preserve"> Biển 2.</v>
      </c>
      <c r="K1305" t="str">
        <f>SUBSTITUTE(SUBSTITUTE(SUBSTITUTE(SUBSTITUTE(IFERROR(VLOOKUP("Câu "&amp;D1305&amp;".",dapan!$E:$J,6,0),""),"1","A"),"2","B"),"3","C"),"4","D")</f>
        <v/>
      </c>
      <c r="P1305" t="str">
        <f t="shared" si="71"/>
        <v/>
      </c>
      <c r="Q1305" t="str">
        <f t="shared" si="72"/>
        <v/>
      </c>
    </row>
    <row r="1306" spans="1:17" hidden="1" x14ac:dyDescent="0.25">
      <c r="A1306">
        <v>3</v>
      </c>
      <c r="B1306" t="s">
        <v>1095</v>
      </c>
      <c r="C1306">
        <f>IFERROR(COUNTIFS($A$1:A1306,"Câu "&amp;"*")-MID(A1306,5,FIND(".",A1306,1)-5),0)</f>
        <v>0</v>
      </c>
      <c r="D1306" t="str">
        <f t="shared" si="74"/>
        <v/>
      </c>
      <c r="E1306" t="str">
        <f>SUBSTITUTE(IF(LEFT(A1306,3)="Câu",MID(A1306,FIND(".",A1306,1)+2,LEN(A1306)),""),CHAR(34),CHAR(92)&amp;CHAR(34))</f>
        <v/>
      </c>
      <c r="F1306" t="str">
        <f t="shared" si="73"/>
        <v/>
      </c>
      <c r="G1306" t="str">
        <f>SUBSTITUTE(B1307,CHAR(34),CHAR(92)&amp;CHAR(34))</f>
        <v/>
      </c>
      <c r="H1306" t="str">
        <f>SUBSTITUTE(B1308,CHAR(34),CHAR(92)&amp;CHAR(34))</f>
        <v>Biển 1.</v>
      </c>
      <c r="I1306" t="str">
        <f>SUBSTITUTE(IF(LEFT(A1309,3)="Câu","",B1309),CHAR(34),CHAR(92)&amp;CHAR(34))</f>
        <v xml:space="preserve"> Biển 2.</v>
      </c>
      <c r="J1306" t="str">
        <f>SUBSTITUTE(IF(OR(LEFT(A1310,3)="Câu",I1306=""),"",IF(B1310=0,"",B1310)),CHAR(34),CHAR(92)&amp;CHAR(34))</f>
        <v>Không biển nào.</v>
      </c>
      <c r="K1306" t="str">
        <f>SUBSTITUTE(SUBSTITUTE(SUBSTITUTE(SUBSTITUTE(IFERROR(VLOOKUP("Câu "&amp;D1306&amp;".",dapan!$E:$J,6,0),""),"1","A"),"2","B"),"3","C"),"4","D")</f>
        <v/>
      </c>
      <c r="P1306" t="str">
        <f t="shared" si="71"/>
        <v/>
      </c>
      <c r="Q1306" t="str">
        <f t="shared" si="72"/>
        <v/>
      </c>
    </row>
    <row r="1307" spans="1:17" x14ac:dyDescent="0.25">
      <c r="A1307" t="s">
        <v>1097</v>
      </c>
      <c r="C1307">
        <f>IFERROR(COUNTIFS($A$1:A1307,"Câu "&amp;"*")-MID(A1307,5,FIND(".",A1307,1)-5),0)</f>
        <v>0</v>
      </c>
      <c r="D1307">
        <f t="shared" si="74"/>
        <v>315</v>
      </c>
      <c r="E1307" t="str">
        <f>SUBSTITUTE(IF(LEFT(A1307,3)="Câu",MID(A1307,FIND(".",A1307,1)+2,LEN(A1307)),""),CHAR(34),CHAR(92)&amp;CHAR(34))</f>
        <v>Khi gặp biển nào xe được rẽ trái?</v>
      </c>
      <c r="F1307" t="str">
        <f t="shared" si="73"/>
        <v>q315.jpg</v>
      </c>
      <c r="G1307" t="str">
        <f>SUBSTITUTE(B1308,CHAR(34),CHAR(92)&amp;CHAR(34))</f>
        <v>Biển 1.</v>
      </c>
      <c r="H1307" t="str">
        <f>SUBSTITUTE(B1309,CHAR(34),CHAR(92)&amp;CHAR(34))</f>
        <v xml:space="preserve"> Biển 2.</v>
      </c>
      <c r="I1307" t="str">
        <f>SUBSTITUTE(IF(LEFT(A1310,3)="Câu","",B1310),CHAR(34),CHAR(92)&amp;CHAR(34))</f>
        <v>Không biển nào.</v>
      </c>
      <c r="J1307" t="str">
        <f>SUBSTITUTE(IF(OR(LEFT(A1311,3)="Câu",I1307=""),"",IF(B1311=0,"",B1311)),CHAR(34),CHAR(92)&amp;CHAR(34))</f>
        <v/>
      </c>
      <c r="K1307" t="str">
        <f ca="1">SUBSTITUTE(SUBSTITUTE(SUBSTITUTE(SUBSTITUTE(IFERROR(VLOOKUP("Câu "&amp;D1307&amp;".",dapan!$E:$J,6,0),""),"1","A"),"2","B"),"3","C"),"4","D")</f>
        <v>B</v>
      </c>
      <c r="P1307">
        <f t="shared" si="71"/>
        <v>315</v>
      </c>
      <c r="Q1307" t="str">
        <f t="shared" ca="1" si="72"/>
        <v>{"num":315,"id":315,"q":"Khi gặp biển nào xe được rẽ trái?","img":"q315.jpg","opts":{"A":"Biển 1.","B":" Biển 2.","C":"Không biển nào."},"answer":"B"},</v>
      </c>
    </row>
    <row r="1308" spans="1:17" hidden="1" x14ac:dyDescent="0.25">
      <c r="A1308">
        <v>1</v>
      </c>
      <c r="B1308" t="s">
        <v>1075</v>
      </c>
      <c r="C1308">
        <f>IFERROR(COUNTIFS($A$1:A1308,"Câu "&amp;"*")-MID(A1308,5,FIND(".",A1308,1)-5),0)</f>
        <v>0</v>
      </c>
      <c r="D1308" t="str">
        <f t="shared" si="74"/>
        <v/>
      </c>
      <c r="E1308" t="str">
        <f>SUBSTITUTE(IF(LEFT(A1308,3)="Câu",MID(A1308,FIND(".",A1308,1)+2,LEN(A1308)),""),CHAR(34),CHAR(92)&amp;CHAR(34))</f>
        <v/>
      </c>
      <c r="F1308" t="str">
        <f t="shared" si="73"/>
        <v/>
      </c>
      <c r="G1308" t="str">
        <f>SUBSTITUTE(B1309,CHAR(34),CHAR(92)&amp;CHAR(34))</f>
        <v xml:space="preserve"> Biển 2.</v>
      </c>
      <c r="H1308" t="str">
        <f>SUBSTITUTE(B1310,CHAR(34),CHAR(92)&amp;CHAR(34))</f>
        <v>Không biển nào.</v>
      </c>
      <c r="I1308" t="str">
        <f>SUBSTITUTE(IF(LEFT(A1311,3)="Câu","",B1311),CHAR(34),CHAR(92)&amp;CHAR(34))</f>
        <v/>
      </c>
      <c r="J1308" t="str">
        <f>SUBSTITUTE(IF(OR(LEFT(A1312,3)="Câu",I1308=""),"",IF(B1312=0,"",B1312)),CHAR(34),CHAR(92)&amp;CHAR(34))</f>
        <v/>
      </c>
      <c r="K1308" t="str">
        <f>SUBSTITUTE(SUBSTITUTE(SUBSTITUTE(SUBSTITUTE(IFERROR(VLOOKUP("Câu "&amp;D1308&amp;".",dapan!$E:$J,6,0),""),"1","A"),"2","B"),"3","C"),"4","D")</f>
        <v/>
      </c>
      <c r="P1308" t="str">
        <f t="shared" si="71"/>
        <v/>
      </c>
      <c r="Q1308" t="str">
        <f t="shared" si="72"/>
        <v/>
      </c>
    </row>
    <row r="1309" spans="1:17" hidden="1" x14ac:dyDescent="0.25">
      <c r="A1309">
        <v>2</v>
      </c>
      <c r="B1309" t="s">
        <v>1090</v>
      </c>
      <c r="C1309">
        <f>IFERROR(COUNTIFS($A$1:A1309,"Câu "&amp;"*")-MID(A1309,5,FIND(".",A1309,1)-5),0)</f>
        <v>0</v>
      </c>
      <c r="D1309" t="str">
        <f t="shared" si="74"/>
        <v/>
      </c>
      <c r="E1309" t="str">
        <f>SUBSTITUTE(IF(LEFT(A1309,3)="Câu",MID(A1309,FIND(".",A1309,1)+2,LEN(A1309)),""),CHAR(34),CHAR(92)&amp;CHAR(34))</f>
        <v/>
      </c>
      <c r="F1309" t="str">
        <f t="shared" si="73"/>
        <v/>
      </c>
      <c r="G1309" t="str">
        <f>SUBSTITUTE(B1310,CHAR(34),CHAR(92)&amp;CHAR(34))</f>
        <v>Không biển nào.</v>
      </c>
      <c r="H1309" t="str">
        <f>SUBSTITUTE(B1311,CHAR(34),CHAR(92)&amp;CHAR(34))</f>
        <v/>
      </c>
      <c r="I1309" t="str">
        <f>SUBSTITUTE(IF(LEFT(A1312,3)="Câu","",B1312),CHAR(34),CHAR(92)&amp;CHAR(34))</f>
        <v>Biển 1.</v>
      </c>
      <c r="J1309" t="str">
        <f>SUBSTITUTE(IF(OR(LEFT(A1313,3)="Câu",I1309=""),"",IF(B1313=0,"",B1313)),CHAR(34),CHAR(92)&amp;CHAR(34))</f>
        <v>Biển 2.</v>
      </c>
      <c r="K1309" t="str">
        <f>SUBSTITUTE(SUBSTITUTE(SUBSTITUTE(SUBSTITUTE(IFERROR(VLOOKUP("Câu "&amp;D1309&amp;".",dapan!$E:$J,6,0),""),"1","A"),"2","B"),"3","C"),"4","D")</f>
        <v/>
      </c>
      <c r="P1309" t="str">
        <f t="shared" si="71"/>
        <v/>
      </c>
      <c r="Q1309" t="str">
        <f t="shared" si="72"/>
        <v/>
      </c>
    </row>
    <row r="1310" spans="1:17" hidden="1" x14ac:dyDescent="0.25">
      <c r="A1310">
        <v>3</v>
      </c>
      <c r="B1310" t="s">
        <v>1085</v>
      </c>
      <c r="C1310">
        <f>IFERROR(COUNTIFS($A$1:A1310,"Câu "&amp;"*")-MID(A1310,5,FIND(".",A1310,1)-5),0)</f>
        <v>0</v>
      </c>
      <c r="D1310" t="str">
        <f t="shared" si="74"/>
        <v/>
      </c>
      <c r="E1310" t="str">
        <f>SUBSTITUTE(IF(LEFT(A1310,3)="Câu",MID(A1310,FIND(".",A1310,1)+2,LEN(A1310)),""),CHAR(34),CHAR(92)&amp;CHAR(34))</f>
        <v/>
      </c>
      <c r="F1310" t="str">
        <f t="shared" si="73"/>
        <v/>
      </c>
      <c r="G1310" t="str">
        <f>SUBSTITUTE(B1311,CHAR(34),CHAR(92)&amp;CHAR(34))</f>
        <v/>
      </c>
      <c r="H1310" t="str">
        <f>SUBSTITUTE(B1312,CHAR(34),CHAR(92)&amp;CHAR(34))</f>
        <v>Biển 1.</v>
      </c>
      <c r="I1310" t="str">
        <f>SUBSTITUTE(IF(LEFT(A1313,3)="Câu","",B1313),CHAR(34),CHAR(92)&amp;CHAR(34))</f>
        <v>Biển 2.</v>
      </c>
      <c r="J1310" t="str">
        <f>SUBSTITUTE(IF(OR(LEFT(A1314,3)="Câu",I1310=""),"",IF(B1314=0,"",B1314)),CHAR(34),CHAR(92)&amp;CHAR(34))</f>
        <v xml:space="preserve"> Cả hai biển.</v>
      </c>
      <c r="K1310" t="str">
        <f>SUBSTITUTE(SUBSTITUTE(SUBSTITUTE(SUBSTITUTE(IFERROR(VLOOKUP("Câu "&amp;D1310&amp;".",dapan!$E:$J,6,0),""),"1","A"),"2","B"),"3","C"),"4","D")</f>
        <v/>
      </c>
      <c r="P1310" t="str">
        <f t="shared" si="71"/>
        <v/>
      </c>
      <c r="Q1310" t="str">
        <f t="shared" si="72"/>
        <v/>
      </c>
    </row>
    <row r="1311" spans="1:17" x14ac:dyDescent="0.25">
      <c r="A1311" t="s">
        <v>1098</v>
      </c>
      <c r="C1311">
        <f>IFERROR(COUNTIFS($A$1:A1311,"Câu "&amp;"*")-MID(A1311,5,FIND(".",A1311,1)-5),0)</f>
        <v>0</v>
      </c>
      <c r="D1311">
        <f t="shared" si="74"/>
        <v>316</v>
      </c>
      <c r="E1311" t="str">
        <f>SUBSTITUTE(IF(LEFT(A1311,3)="Câu",MID(A1311,FIND(".",A1311,1)+2,LEN(A1311)),""),CHAR(34),CHAR(92)&amp;CHAR(34))</f>
        <v>Biển nào cấm xe ô tô rẽ trái?</v>
      </c>
      <c r="F1311" t="str">
        <f t="shared" si="73"/>
        <v>q316.jpg</v>
      </c>
      <c r="G1311" t="str">
        <f>SUBSTITUTE(B1312,CHAR(34),CHAR(92)&amp;CHAR(34))</f>
        <v>Biển 1.</v>
      </c>
      <c r="H1311" t="str">
        <f>SUBSTITUTE(B1313,CHAR(34),CHAR(92)&amp;CHAR(34))</f>
        <v>Biển 2.</v>
      </c>
      <c r="I1311" t="str">
        <f>SUBSTITUTE(IF(LEFT(A1314,3)="Câu","",B1314),CHAR(34),CHAR(92)&amp;CHAR(34))</f>
        <v xml:space="preserve"> Cả hai biển.</v>
      </c>
      <c r="J1311" t="str">
        <f>SUBSTITUTE(IF(OR(LEFT(A1315,3)="Câu",I1311=""),"",IF(B1315=0,"",B1315)),CHAR(34),CHAR(92)&amp;CHAR(34))</f>
        <v/>
      </c>
      <c r="K1311" t="str">
        <f ca="1">SUBSTITUTE(SUBSTITUTE(SUBSTITUTE(SUBSTITUTE(IFERROR(VLOOKUP("Câu "&amp;D1311&amp;".",dapan!$E:$J,6,0),""),"1","A"),"2","B"),"3","C"),"4","D")</f>
        <v>C</v>
      </c>
      <c r="P1311">
        <f t="shared" si="71"/>
        <v>316</v>
      </c>
      <c r="Q1311" t="str">
        <f t="shared" ca="1" si="72"/>
        <v>{"num":316,"id":316,"q":"Biển nào cấm xe ô tô rẽ trái?","img":"q316.jpg","opts":{"A":"Biển 1.","B":"Biển 2.","C":" Cả hai biển."},"answer":"C"},</v>
      </c>
    </row>
    <row r="1312" spans="1:17" hidden="1" x14ac:dyDescent="0.25">
      <c r="A1312">
        <v>1</v>
      </c>
      <c r="B1312" t="s">
        <v>1075</v>
      </c>
      <c r="C1312">
        <f>IFERROR(COUNTIFS($A$1:A1312,"Câu "&amp;"*")-MID(A1312,5,FIND(".",A1312,1)-5),0)</f>
        <v>0</v>
      </c>
      <c r="D1312" t="str">
        <f t="shared" si="74"/>
        <v/>
      </c>
      <c r="E1312" t="str">
        <f>SUBSTITUTE(IF(LEFT(A1312,3)="Câu",MID(A1312,FIND(".",A1312,1)+2,LEN(A1312)),""),CHAR(34),CHAR(92)&amp;CHAR(34))</f>
        <v/>
      </c>
      <c r="F1312" t="str">
        <f t="shared" si="73"/>
        <v/>
      </c>
      <c r="G1312" t="str">
        <f>SUBSTITUTE(B1313,CHAR(34),CHAR(92)&amp;CHAR(34))</f>
        <v>Biển 2.</v>
      </c>
      <c r="H1312" t="str">
        <f>SUBSTITUTE(B1314,CHAR(34),CHAR(92)&amp;CHAR(34))</f>
        <v xml:space="preserve"> Cả hai biển.</v>
      </c>
      <c r="I1312" t="str">
        <f>SUBSTITUTE(IF(LEFT(A1315,3)="Câu","",B1315),CHAR(34),CHAR(92)&amp;CHAR(34))</f>
        <v/>
      </c>
      <c r="J1312" t="str">
        <f>SUBSTITUTE(IF(OR(LEFT(A1316,3)="Câu",I1312=""),"",IF(B1316=0,"",B1316)),CHAR(34),CHAR(92)&amp;CHAR(34))</f>
        <v/>
      </c>
      <c r="K1312" t="str">
        <f>SUBSTITUTE(SUBSTITUTE(SUBSTITUTE(SUBSTITUTE(IFERROR(VLOOKUP("Câu "&amp;D1312&amp;".",dapan!$E:$J,6,0),""),"1","A"),"2","B"),"3","C"),"4","D")</f>
        <v/>
      </c>
      <c r="P1312" t="str">
        <f t="shared" si="71"/>
        <v/>
      </c>
      <c r="Q1312" t="str">
        <f t="shared" si="72"/>
        <v/>
      </c>
    </row>
    <row r="1313" spans="1:17" hidden="1" x14ac:dyDescent="0.25">
      <c r="A1313">
        <v>2</v>
      </c>
      <c r="B1313" t="s">
        <v>1068</v>
      </c>
      <c r="C1313">
        <f>IFERROR(COUNTIFS($A$1:A1313,"Câu "&amp;"*")-MID(A1313,5,FIND(".",A1313,1)-5),0)</f>
        <v>0</v>
      </c>
      <c r="D1313" t="str">
        <f t="shared" si="74"/>
        <v/>
      </c>
      <c r="E1313" t="str">
        <f>SUBSTITUTE(IF(LEFT(A1313,3)="Câu",MID(A1313,FIND(".",A1313,1)+2,LEN(A1313)),""),CHAR(34),CHAR(92)&amp;CHAR(34))</f>
        <v/>
      </c>
      <c r="F1313" t="str">
        <f t="shared" si="73"/>
        <v/>
      </c>
      <c r="G1313" t="str">
        <f>SUBSTITUTE(B1314,CHAR(34),CHAR(92)&amp;CHAR(34))</f>
        <v xml:space="preserve"> Cả hai biển.</v>
      </c>
      <c r="H1313" t="str">
        <f>SUBSTITUTE(B1315,CHAR(34),CHAR(92)&amp;CHAR(34))</f>
        <v/>
      </c>
      <c r="I1313" t="str">
        <f>SUBSTITUTE(IF(LEFT(A1316,3)="Câu","",B1316),CHAR(34),CHAR(92)&amp;CHAR(34))</f>
        <v xml:space="preserve"> Biển 1 và biển 2.</v>
      </c>
      <c r="J1313" t="str">
        <f>SUBSTITUTE(IF(OR(LEFT(A1317,3)="Câu",I1313=""),"",IF(B1317=0,"",B1317)),CHAR(34),CHAR(92)&amp;CHAR(34))</f>
        <v>Biển 1 và biển 3.</v>
      </c>
      <c r="K1313" t="str">
        <f>SUBSTITUTE(SUBSTITUTE(SUBSTITUTE(SUBSTITUTE(IFERROR(VLOOKUP("Câu "&amp;D1313&amp;".",dapan!$E:$J,6,0),""),"1","A"),"2","B"),"3","C"),"4","D")</f>
        <v/>
      </c>
      <c r="P1313" t="str">
        <f t="shared" si="71"/>
        <v/>
      </c>
      <c r="Q1313" t="str">
        <f t="shared" si="72"/>
        <v/>
      </c>
    </row>
    <row r="1314" spans="1:17" hidden="1" x14ac:dyDescent="0.25">
      <c r="A1314">
        <v>3</v>
      </c>
      <c r="B1314" t="s">
        <v>1081</v>
      </c>
      <c r="C1314">
        <f>IFERROR(COUNTIFS($A$1:A1314,"Câu "&amp;"*")-MID(A1314,5,FIND(".",A1314,1)-5),0)</f>
        <v>0</v>
      </c>
      <c r="D1314" t="str">
        <f t="shared" si="74"/>
        <v/>
      </c>
      <c r="E1314" t="str">
        <f>SUBSTITUTE(IF(LEFT(A1314,3)="Câu",MID(A1314,FIND(".",A1314,1)+2,LEN(A1314)),""),CHAR(34),CHAR(92)&amp;CHAR(34))</f>
        <v/>
      </c>
      <c r="F1314" t="str">
        <f t="shared" si="73"/>
        <v/>
      </c>
      <c r="G1314" t="str">
        <f>SUBSTITUTE(B1315,CHAR(34),CHAR(92)&amp;CHAR(34))</f>
        <v/>
      </c>
      <c r="H1314" t="str">
        <f>SUBSTITUTE(B1316,CHAR(34),CHAR(92)&amp;CHAR(34))</f>
        <v xml:space="preserve"> Biển 1 và biển 2.</v>
      </c>
      <c r="I1314" t="str">
        <f>SUBSTITUTE(IF(LEFT(A1317,3)="Câu","",B1317),CHAR(34),CHAR(92)&amp;CHAR(34))</f>
        <v>Biển 1 và biển 3.</v>
      </c>
      <c r="J1314" t="str">
        <f>SUBSTITUTE(IF(OR(LEFT(A1318,3)="Câu",I1314=""),"",IF(B1318=0,"",B1318)),CHAR(34),CHAR(92)&amp;CHAR(34))</f>
        <v>Biển 2 và biển 3.</v>
      </c>
      <c r="K1314" t="str">
        <f>SUBSTITUTE(SUBSTITUTE(SUBSTITUTE(SUBSTITUTE(IFERROR(VLOOKUP("Câu "&amp;D1314&amp;".",dapan!$E:$J,6,0),""),"1","A"),"2","B"),"3","C"),"4","D")</f>
        <v/>
      </c>
      <c r="P1314" t="str">
        <f t="shared" si="71"/>
        <v/>
      </c>
      <c r="Q1314" t="str">
        <f t="shared" si="72"/>
        <v/>
      </c>
    </row>
    <row r="1315" spans="1:17" x14ac:dyDescent="0.25">
      <c r="A1315" t="s">
        <v>1099</v>
      </c>
      <c r="C1315">
        <f>IFERROR(COUNTIFS($A$1:A1315,"Câu "&amp;"*")-MID(A1315,5,FIND(".",A1315,1)-5),0)</f>
        <v>0</v>
      </c>
      <c r="D1315">
        <f t="shared" si="74"/>
        <v>317</v>
      </c>
      <c r="E1315" t="str">
        <f>SUBSTITUTE(IF(LEFT(A1315,3)="Câu",MID(A1315,FIND(".",A1315,1)+2,LEN(A1315)),""),CHAR(34),CHAR(92)&amp;CHAR(34))</f>
        <v>Biển nào cấm các phương tiện rẽ phải?</v>
      </c>
      <c r="F1315" t="str">
        <f t="shared" si="73"/>
        <v>q317.jpg</v>
      </c>
      <c r="G1315" t="str">
        <f>SUBSTITUTE(B1316,CHAR(34),CHAR(92)&amp;CHAR(34))</f>
        <v xml:space="preserve"> Biển 1 và biển 2.</v>
      </c>
      <c r="H1315" t="str">
        <f>SUBSTITUTE(B1317,CHAR(34),CHAR(92)&amp;CHAR(34))</f>
        <v>Biển 1 và biển 3.</v>
      </c>
      <c r="I1315" t="str">
        <f>SUBSTITUTE(IF(LEFT(A1318,3)="Câu","",B1318),CHAR(34),CHAR(92)&amp;CHAR(34))</f>
        <v>Biển 2 và biển 3.</v>
      </c>
      <c r="J1315" t="str">
        <f>SUBSTITUTE(IF(OR(LEFT(A1319,3)="Câu",I1315=""),"",IF(B1319=0,"",B1319)),CHAR(34),CHAR(92)&amp;CHAR(34))</f>
        <v>Cả ba biển.</v>
      </c>
      <c r="K1315" t="str">
        <f ca="1">SUBSTITUTE(SUBSTITUTE(SUBSTITUTE(SUBSTITUTE(IFERROR(VLOOKUP("Câu "&amp;D1315&amp;".",dapan!$E:$J,6,0),""),"1","A"),"2","B"),"3","C"),"4","D")</f>
        <v>A</v>
      </c>
      <c r="P1315">
        <f t="shared" si="71"/>
        <v>317</v>
      </c>
      <c r="Q1315" t="str">
        <f t="shared" ca="1" si="72"/>
        <v>{"num":317,"id":317,"q":"Biển nào cấm các phương tiện rẽ phải?","img":"q317.jpg","opts":{"A":" Biển 1 và biển 2.","B":"Biển 1 và biển 3.","C":"Biển 2 và biển 3.","D":"Cả ba biển."},"answer":"A"},</v>
      </c>
    </row>
    <row r="1316" spans="1:17" hidden="1" x14ac:dyDescent="0.25">
      <c r="A1316">
        <v>1</v>
      </c>
      <c r="B1316" t="s">
        <v>1079</v>
      </c>
      <c r="C1316">
        <f>IFERROR(COUNTIFS($A$1:A1316,"Câu "&amp;"*")-MID(A1316,5,FIND(".",A1316,1)-5),0)</f>
        <v>0</v>
      </c>
      <c r="D1316" t="str">
        <f t="shared" si="74"/>
        <v/>
      </c>
      <c r="E1316" t="str">
        <f>SUBSTITUTE(IF(LEFT(A1316,3)="Câu",MID(A1316,FIND(".",A1316,1)+2,LEN(A1316)),""),CHAR(34),CHAR(92)&amp;CHAR(34))</f>
        <v/>
      </c>
      <c r="F1316" t="str">
        <f t="shared" si="73"/>
        <v/>
      </c>
      <c r="G1316" t="str">
        <f>SUBSTITUTE(B1317,CHAR(34),CHAR(92)&amp;CHAR(34))</f>
        <v>Biển 1 và biển 3.</v>
      </c>
      <c r="H1316" t="str">
        <f>SUBSTITUTE(B1318,CHAR(34),CHAR(92)&amp;CHAR(34))</f>
        <v>Biển 2 và biển 3.</v>
      </c>
      <c r="I1316" t="str">
        <f>SUBSTITUTE(IF(LEFT(A1319,3)="Câu","",B1319),CHAR(34),CHAR(92)&amp;CHAR(34))</f>
        <v>Cả ba biển.</v>
      </c>
      <c r="J1316" t="str">
        <f>SUBSTITUTE(IF(OR(LEFT(A1320,3)="Câu",I1316=""),"",IF(B1320=0,"",B1320)),CHAR(34),CHAR(92)&amp;CHAR(34))</f>
        <v/>
      </c>
      <c r="K1316" t="str">
        <f>SUBSTITUTE(SUBSTITUTE(SUBSTITUTE(SUBSTITUTE(IFERROR(VLOOKUP("Câu "&amp;D1316&amp;".",dapan!$E:$J,6,0),""),"1","A"),"2","B"),"3","C"),"4","D")</f>
        <v/>
      </c>
      <c r="P1316" t="str">
        <f t="shared" si="71"/>
        <v/>
      </c>
      <c r="Q1316" t="str">
        <f t="shared" si="72"/>
        <v/>
      </c>
    </row>
    <row r="1317" spans="1:17" hidden="1" x14ac:dyDescent="0.25">
      <c r="A1317">
        <v>2</v>
      </c>
      <c r="B1317" t="s">
        <v>1077</v>
      </c>
      <c r="C1317">
        <f>IFERROR(COUNTIFS($A$1:A1317,"Câu "&amp;"*")-MID(A1317,5,FIND(".",A1317,1)-5),0)</f>
        <v>0</v>
      </c>
      <c r="D1317" t="str">
        <f t="shared" si="74"/>
        <v/>
      </c>
      <c r="E1317" t="str">
        <f>SUBSTITUTE(IF(LEFT(A1317,3)="Câu",MID(A1317,FIND(".",A1317,1)+2,LEN(A1317)),""),CHAR(34),CHAR(92)&amp;CHAR(34))</f>
        <v/>
      </c>
      <c r="F1317" t="str">
        <f t="shared" si="73"/>
        <v/>
      </c>
      <c r="G1317" t="str">
        <f>SUBSTITUTE(B1318,CHAR(34),CHAR(92)&amp;CHAR(34))</f>
        <v>Biển 2 và biển 3.</v>
      </c>
      <c r="H1317" t="str">
        <f>SUBSTITUTE(B1319,CHAR(34),CHAR(92)&amp;CHAR(34))</f>
        <v>Cả ba biển.</v>
      </c>
      <c r="I1317" t="str">
        <f>SUBSTITUTE(IF(LEFT(A1320,3)="Câu","",B1320),CHAR(34),CHAR(92)&amp;CHAR(34))</f>
        <v/>
      </c>
      <c r="J1317" t="str">
        <f>SUBSTITUTE(IF(OR(LEFT(A1321,3)="Câu",I1317=""),"",IF(B1321=0,"",B1321)),CHAR(34),CHAR(92)&amp;CHAR(34))</f>
        <v/>
      </c>
      <c r="K1317" t="str">
        <f>SUBSTITUTE(SUBSTITUTE(SUBSTITUTE(SUBSTITUTE(IFERROR(VLOOKUP("Câu "&amp;D1317&amp;".",dapan!$E:$J,6,0),""),"1","A"),"2","B"),"3","C"),"4","D")</f>
        <v/>
      </c>
      <c r="P1317" t="str">
        <f t="shared" si="71"/>
        <v/>
      </c>
      <c r="Q1317" t="str">
        <f t="shared" si="72"/>
        <v/>
      </c>
    </row>
    <row r="1318" spans="1:17" hidden="1" x14ac:dyDescent="0.25">
      <c r="A1318">
        <v>3</v>
      </c>
      <c r="B1318" t="s">
        <v>1072</v>
      </c>
      <c r="C1318">
        <f>IFERROR(COUNTIFS($A$1:A1318,"Câu "&amp;"*")-MID(A1318,5,FIND(".",A1318,1)-5),0)</f>
        <v>0</v>
      </c>
      <c r="D1318" t="str">
        <f t="shared" si="74"/>
        <v/>
      </c>
      <c r="E1318" t="str">
        <f>SUBSTITUTE(IF(LEFT(A1318,3)="Câu",MID(A1318,FIND(".",A1318,1)+2,LEN(A1318)),""),CHAR(34),CHAR(92)&amp;CHAR(34))</f>
        <v/>
      </c>
      <c r="F1318" t="str">
        <f t="shared" si="73"/>
        <v/>
      </c>
      <c r="G1318" t="str">
        <f>SUBSTITUTE(B1319,CHAR(34),CHAR(92)&amp;CHAR(34))</f>
        <v>Cả ba biển.</v>
      </c>
      <c r="H1318" t="str">
        <f>SUBSTITUTE(B1320,CHAR(34),CHAR(92)&amp;CHAR(34))</f>
        <v/>
      </c>
      <c r="I1318" t="str">
        <f>SUBSTITUTE(IF(LEFT(A1321,3)="Câu","",B1321),CHAR(34),CHAR(92)&amp;CHAR(34))</f>
        <v xml:space="preserve"> Biển 1 và biển 2.</v>
      </c>
      <c r="J1318" t="str">
        <f>SUBSTITUTE(IF(OR(LEFT(A1322,3)="Câu",I1318=""),"",IF(B1322=0,"",B1322)),CHAR(34),CHAR(92)&amp;CHAR(34))</f>
        <v>Biển 1 và biển 3.</v>
      </c>
      <c r="K1318" t="str">
        <f>SUBSTITUTE(SUBSTITUTE(SUBSTITUTE(SUBSTITUTE(IFERROR(VLOOKUP("Câu "&amp;D1318&amp;".",dapan!$E:$J,6,0),""),"1","A"),"2","B"),"3","C"),"4","D")</f>
        <v/>
      </c>
      <c r="P1318" t="str">
        <f t="shared" si="71"/>
        <v/>
      </c>
      <c r="Q1318" t="str">
        <f t="shared" si="72"/>
        <v/>
      </c>
    </row>
    <row r="1319" spans="1:17" hidden="1" x14ac:dyDescent="0.25">
      <c r="A1319">
        <v>4</v>
      </c>
      <c r="B1319" t="s">
        <v>1071</v>
      </c>
      <c r="C1319">
        <f>IFERROR(COUNTIFS($A$1:A1319,"Câu "&amp;"*")-MID(A1319,5,FIND(".",A1319,1)-5),0)</f>
        <v>0</v>
      </c>
      <c r="D1319" t="str">
        <f t="shared" si="74"/>
        <v/>
      </c>
      <c r="E1319" t="str">
        <f>SUBSTITUTE(IF(LEFT(A1319,3)="Câu",MID(A1319,FIND(".",A1319,1)+2,LEN(A1319)),""),CHAR(34),CHAR(92)&amp;CHAR(34))</f>
        <v/>
      </c>
      <c r="F1319" t="str">
        <f t="shared" si="73"/>
        <v/>
      </c>
      <c r="G1319" t="str">
        <f>SUBSTITUTE(B1320,CHAR(34),CHAR(92)&amp;CHAR(34))</f>
        <v/>
      </c>
      <c r="H1319" t="str">
        <f>SUBSTITUTE(B1321,CHAR(34),CHAR(92)&amp;CHAR(34))</f>
        <v xml:space="preserve"> Biển 1 và biển 2.</v>
      </c>
      <c r="I1319" t="str">
        <f>SUBSTITUTE(IF(LEFT(A1322,3)="Câu","",B1322),CHAR(34),CHAR(92)&amp;CHAR(34))</f>
        <v>Biển 1 và biển 3.</v>
      </c>
      <c r="J1319" t="str">
        <f>SUBSTITUTE(IF(OR(LEFT(A1323,3)="Câu",I1319=""),"",IF(B1323=0,"",B1323)),CHAR(34),CHAR(92)&amp;CHAR(34))</f>
        <v>Biển 2 và biển 3.</v>
      </c>
      <c r="K1319" t="str">
        <f>SUBSTITUTE(SUBSTITUTE(SUBSTITUTE(SUBSTITUTE(IFERROR(VLOOKUP("Câu "&amp;D1319&amp;".",dapan!$E:$J,6,0),""),"1","A"),"2","B"),"3","C"),"4","D")</f>
        <v/>
      </c>
      <c r="P1319" t="str">
        <f t="shared" si="71"/>
        <v/>
      </c>
      <c r="Q1319" t="str">
        <f t="shared" si="72"/>
        <v/>
      </c>
    </row>
    <row r="1320" spans="1:17" x14ac:dyDescent="0.25">
      <c r="A1320" t="s">
        <v>1100</v>
      </c>
      <c r="C1320">
        <f>IFERROR(COUNTIFS($A$1:A1320,"Câu "&amp;"*")-MID(A1320,5,FIND(".",A1320,1)-5),0)</f>
        <v>0</v>
      </c>
      <c r="D1320">
        <f t="shared" si="74"/>
        <v>318</v>
      </c>
      <c r="E1320" t="str">
        <f>SUBSTITUTE(IF(LEFT(A1320,3)="Câu",MID(A1320,FIND(".",A1320,1)+2,LEN(A1320)),""),CHAR(34),CHAR(92)&amp;CHAR(34))</f>
        <v>Biển nào cấm các phương tiện rẽ trái?</v>
      </c>
      <c r="F1320" t="str">
        <f t="shared" si="73"/>
        <v>q318.jpg</v>
      </c>
      <c r="G1320" t="str">
        <f>SUBSTITUTE(B1321,CHAR(34),CHAR(92)&amp;CHAR(34))</f>
        <v xml:space="preserve"> Biển 1 và biển 2.</v>
      </c>
      <c r="H1320" t="str">
        <f>SUBSTITUTE(B1322,CHAR(34),CHAR(92)&amp;CHAR(34))</f>
        <v>Biển 1 và biển 3.</v>
      </c>
      <c r="I1320" t="str">
        <f>SUBSTITUTE(IF(LEFT(A1323,3)="Câu","",B1323),CHAR(34),CHAR(92)&amp;CHAR(34))</f>
        <v>Biển 2 và biển 3.</v>
      </c>
      <c r="J1320" t="str">
        <f>SUBSTITUTE(IF(OR(LEFT(A1324,3)="Câu",I1320=""),"",IF(B1324=0,"",B1324)),CHAR(34),CHAR(92)&amp;CHAR(34))</f>
        <v>Cả ba biển.</v>
      </c>
      <c r="K1320" t="str">
        <f ca="1">SUBSTITUTE(SUBSTITUTE(SUBSTITUTE(SUBSTITUTE(IFERROR(VLOOKUP("Câu "&amp;D1320&amp;".",dapan!$E:$J,6,0),""),"1","A"),"2","B"),"3","C"),"4","D")</f>
        <v>A</v>
      </c>
      <c r="P1320">
        <f t="shared" si="71"/>
        <v>318</v>
      </c>
      <c r="Q1320" t="str">
        <f t="shared" ca="1" si="72"/>
        <v>{"num":318,"id":318,"q":"Biển nào cấm các phương tiện rẽ trái?","img":"q318.jpg","opts":{"A":" Biển 1 và biển 2.","B":"Biển 1 và biển 3.","C":"Biển 2 và biển 3.","D":"Cả ba biển."},"answer":"A"},</v>
      </c>
    </row>
    <row r="1321" spans="1:17" hidden="1" x14ac:dyDescent="0.25">
      <c r="A1321">
        <v>1</v>
      </c>
      <c r="B1321" t="s">
        <v>1079</v>
      </c>
      <c r="C1321">
        <f>IFERROR(COUNTIFS($A$1:A1321,"Câu "&amp;"*")-MID(A1321,5,FIND(".",A1321,1)-5),0)</f>
        <v>0</v>
      </c>
      <c r="D1321" t="str">
        <f t="shared" si="74"/>
        <v/>
      </c>
      <c r="E1321" t="str">
        <f>SUBSTITUTE(IF(LEFT(A1321,3)="Câu",MID(A1321,FIND(".",A1321,1)+2,LEN(A1321)),""),CHAR(34),CHAR(92)&amp;CHAR(34))</f>
        <v/>
      </c>
      <c r="F1321" t="str">
        <f t="shared" si="73"/>
        <v/>
      </c>
      <c r="G1321" t="str">
        <f>SUBSTITUTE(B1322,CHAR(34),CHAR(92)&amp;CHAR(34))</f>
        <v>Biển 1 và biển 3.</v>
      </c>
      <c r="H1321" t="str">
        <f>SUBSTITUTE(B1323,CHAR(34),CHAR(92)&amp;CHAR(34))</f>
        <v>Biển 2 và biển 3.</v>
      </c>
      <c r="I1321" t="str">
        <f>SUBSTITUTE(IF(LEFT(A1324,3)="Câu","",B1324),CHAR(34),CHAR(92)&amp;CHAR(34))</f>
        <v>Cả ba biển.</v>
      </c>
      <c r="J1321" t="str">
        <f>SUBSTITUTE(IF(OR(LEFT(A1325,3)="Câu",I1321=""),"",IF(B1325=0,"",B1325)),CHAR(34),CHAR(92)&amp;CHAR(34))</f>
        <v/>
      </c>
      <c r="K1321" t="str">
        <f>SUBSTITUTE(SUBSTITUTE(SUBSTITUTE(SUBSTITUTE(IFERROR(VLOOKUP("Câu "&amp;D1321&amp;".",dapan!$E:$J,6,0),""),"1","A"),"2","B"),"3","C"),"4","D")</f>
        <v/>
      </c>
      <c r="P1321" t="str">
        <f t="shared" si="71"/>
        <v/>
      </c>
      <c r="Q1321" t="str">
        <f t="shared" si="72"/>
        <v/>
      </c>
    </row>
    <row r="1322" spans="1:17" hidden="1" x14ac:dyDescent="0.25">
      <c r="A1322">
        <v>2</v>
      </c>
      <c r="B1322" t="s">
        <v>1077</v>
      </c>
      <c r="C1322">
        <f>IFERROR(COUNTIFS($A$1:A1322,"Câu "&amp;"*")-MID(A1322,5,FIND(".",A1322,1)-5),0)</f>
        <v>0</v>
      </c>
      <c r="D1322" t="str">
        <f t="shared" si="74"/>
        <v/>
      </c>
      <c r="E1322" t="str">
        <f>SUBSTITUTE(IF(LEFT(A1322,3)="Câu",MID(A1322,FIND(".",A1322,1)+2,LEN(A1322)),""),CHAR(34),CHAR(92)&amp;CHAR(34))</f>
        <v/>
      </c>
      <c r="F1322" t="str">
        <f t="shared" si="73"/>
        <v/>
      </c>
      <c r="G1322" t="str">
        <f>SUBSTITUTE(B1323,CHAR(34),CHAR(92)&amp;CHAR(34))</f>
        <v>Biển 2 và biển 3.</v>
      </c>
      <c r="H1322" t="str">
        <f>SUBSTITUTE(B1324,CHAR(34),CHAR(92)&amp;CHAR(34))</f>
        <v>Cả ba biển.</v>
      </c>
      <c r="I1322" t="str">
        <f>SUBSTITUTE(IF(LEFT(A1325,3)="Câu","",B1325),CHAR(34),CHAR(92)&amp;CHAR(34))</f>
        <v/>
      </c>
      <c r="J1322" t="str">
        <f>SUBSTITUTE(IF(OR(LEFT(A1326,3)="Câu",I1322=""),"",IF(B1326=0,"",B1326)),CHAR(34),CHAR(92)&amp;CHAR(34))</f>
        <v/>
      </c>
      <c r="K1322" t="str">
        <f>SUBSTITUTE(SUBSTITUTE(SUBSTITUTE(SUBSTITUTE(IFERROR(VLOOKUP("Câu "&amp;D1322&amp;".",dapan!$E:$J,6,0),""),"1","A"),"2","B"),"3","C"),"4","D")</f>
        <v/>
      </c>
      <c r="P1322" t="str">
        <f t="shared" si="71"/>
        <v/>
      </c>
      <c r="Q1322" t="str">
        <f t="shared" si="72"/>
        <v/>
      </c>
    </row>
    <row r="1323" spans="1:17" hidden="1" x14ac:dyDescent="0.25">
      <c r="A1323">
        <v>3</v>
      </c>
      <c r="B1323" t="s">
        <v>1072</v>
      </c>
      <c r="C1323">
        <f>IFERROR(COUNTIFS($A$1:A1323,"Câu "&amp;"*")-MID(A1323,5,FIND(".",A1323,1)-5),0)</f>
        <v>0</v>
      </c>
      <c r="D1323" t="str">
        <f t="shared" si="74"/>
        <v/>
      </c>
      <c r="E1323" t="str">
        <f>SUBSTITUTE(IF(LEFT(A1323,3)="Câu",MID(A1323,FIND(".",A1323,1)+2,LEN(A1323)),""),CHAR(34),CHAR(92)&amp;CHAR(34))</f>
        <v/>
      </c>
      <c r="F1323" t="str">
        <f t="shared" si="73"/>
        <v/>
      </c>
      <c r="G1323" t="str">
        <f>SUBSTITUTE(B1324,CHAR(34),CHAR(92)&amp;CHAR(34))</f>
        <v>Cả ba biển.</v>
      </c>
      <c r="H1323" t="str">
        <f>SUBSTITUTE(B1325,CHAR(34),CHAR(92)&amp;CHAR(34))</f>
        <v/>
      </c>
      <c r="I1323" t="str">
        <f>SUBSTITUTE(IF(LEFT(A1326,3)="Câu","",B1326),CHAR(34),CHAR(92)&amp;CHAR(34))</f>
        <v xml:space="preserve"> Biển 1.</v>
      </c>
      <c r="J1323" t="str">
        <f>SUBSTITUTE(IF(OR(LEFT(A1327,3)="Câu",I1323=""),"",IF(B1327=0,"",B1327)),CHAR(34),CHAR(92)&amp;CHAR(34))</f>
        <v>Biển 2.</v>
      </c>
      <c r="K1323" t="str">
        <f>SUBSTITUTE(SUBSTITUTE(SUBSTITUTE(SUBSTITUTE(IFERROR(VLOOKUP("Câu "&amp;D1323&amp;".",dapan!$E:$J,6,0),""),"1","A"),"2","B"),"3","C"),"4","D")</f>
        <v/>
      </c>
      <c r="P1323" t="str">
        <f t="shared" si="71"/>
        <v/>
      </c>
      <c r="Q1323" t="str">
        <f t="shared" si="72"/>
        <v/>
      </c>
    </row>
    <row r="1324" spans="1:17" hidden="1" x14ac:dyDescent="0.25">
      <c r="A1324">
        <v>4</v>
      </c>
      <c r="B1324" t="s">
        <v>1071</v>
      </c>
      <c r="C1324">
        <f>IFERROR(COUNTIFS($A$1:A1324,"Câu "&amp;"*")-MID(A1324,5,FIND(".",A1324,1)-5),0)</f>
        <v>0</v>
      </c>
      <c r="D1324" t="str">
        <f t="shared" si="74"/>
        <v/>
      </c>
      <c r="E1324" t="str">
        <f>SUBSTITUTE(IF(LEFT(A1324,3)="Câu",MID(A1324,FIND(".",A1324,1)+2,LEN(A1324)),""),CHAR(34),CHAR(92)&amp;CHAR(34))</f>
        <v/>
      </c>
      <c r="F1324" t="str">
        <f t="shared" si="73"/>
        <v/>
      </c>
      <c r="G1324" t="str">
        <f>SUBSTITUTE(B1325,CHAR(34),CHAR(92)&amp;CHAR(34))</f>
        <v/>
      </c>
      <c r="H1324" t="str">
        <f>SUBSTITUTE(B1326,CHAR(34),CHAR(92)&amp;CHAR(34))</f>
        <v xml:space="preserve"> Biển 1.</v>
      </c>
      <c r="I1324" t="str">
        <f>SUBSTITUTE(IF(LEFT(A1327,3)="Câu","",B1327),CHAR(34),CHAR(92)&amp;CHAR(34))</f>
        <v>Biển 2.</v>
      </c>
      <c r="J1324" t="str">
        <f>SUBSTITUTE(IF(OR(LEFT(A1328,3)="Câu",I1324=""),"",IF(B1328=0,"",B1328)),CHAR(34),CHAR(92)&amp;CHAR(34))</f>
        <v>Biển 3.</v>
      </c>
      <c r="K1324" t="str">
        <f>SUBSTITUTE(SUBSTITUTE(SUBSTITUTE(SUBSTITUTE(IFERROR(VLOOKUP("Câu "&amp;D1324&amp;".",dapan!$E:$J,6,0),""),"1","A"),"2","B"),"3","C"),"4","D")</f>
        <v/>
      </c>
      <c r="P1324" t="str">
        <f t="shared" si="71"/>
        <v/>
      </c>
      <c r="Q1324" t="str">
        <f t="shared" si="72"/>
        <v/>
      </c>
    </row>
    <row r="1325" spans="1:17" x14ac:dyDescent="0.25">
      <c r="A1325" t="s">
        <v>1101</v>
      </c>
      <c r="C1325">
        <f>IFERROR(COUNTIFS($A$1:A1325,"Câu "&amp;"*")-MID(A1325,5,FIND(".",A1325,1)-5),0)</f>
        <v>0</v>
      </c>
      <c r="D1325">
        <f t="shared" si="74"/>
        <v>319</v>
      </c>
      <c r="E1325" t="str">
        <f>SUBSTITUTE(IF(LEFT(A1325,3)="Câu",MID(A1325,FIND(".",A1325,1)+2,LEN(A1325)),""),CHAR(34),CHAR(92)&amp;CHAR(34))</f>
        <v>Biển nào dưới đây chỉ cấm xe ô tô quay đầu?</v>
      </c>
      <c r="F1325" t="str">
        <f t="shared" si="73"/>
        <v>q319.jpg</v>
      </c>
      <c r="G1325" t="str">
        <f>SUBSTITUTE(B1326,CHAR(34),CHAR(92)&amp;CHAR(34))</f>
        <v xml:space="preserve"> Biển 1.</v>
      </c>
      <c r="H1325" t="str">
        <f>SUBSTITUTE(B1327,CHAR(34),CHAR(92)&amp;CHAR(34))</f>
        <v>Biển 2.</v>
      </c>
      <c r="I1325" t="str">
        <f>SUBSTITUTE(IF(LEFT(A1328,3)="Câu","",B1328),CHAR(34),CHAR(92)&amp;CHAR(34))</f>
        <v>Biển 3.</v>
      </c>
      <c r="J1325" t="str">
        <f>SUBSTITUTE(IF(OR(LEFT(A1329,3)="Câu",I1325=""),"",IF(B1329=0,"",B1329)),CHAR(34),CHAR(92)&amp;CHAR(34))</f>
        <v>Biển 1 và biển 3.</v>
      </c>
      <c r="K1325" t="str">
        <f ca="1">SUBSTITUTE(SUBSTITUTE(SUBSTITUTE(SUBSTITUTE(IFERROR(VLOOKUP("Câu "&amp;D1325&amp;".",dapan!$E:$J,6,0),""),"1","A"),"2","B"),"3","C"),"4","D")</f>
        <v>A</v>
      </c>
      <c r="P1325">
        <f t="shared" si="71"/>
        <v>319</v>
      </c>
      <c r="Q1325" t="str">
        <f t="shared" ca="1" si="72"/>
        <v>{"num":319,"id":319,"q":"Biển nào dưới đây chỉ cấm xe ô tô quay đầu?","img":"q319.jpg","opts":{"A":" Biển 1.","B":"Biển 2.","C":"Biển 3.","D":"Biển 1 và biển 3."},"answer":"A"},</v>
      </c>
    </row>
    <row r="1326" spans="1:17" hidden="1" x14ac:dyDescent="0.25">
      <c r="A1326">
        <v>1</v>
      </c>
      <c r="B1326" t="s">
        <v>1066</v>
      </c>
      <c r="C1326">
        <f>IFERROR(COUNTIFS($A$1:A1326,"Câu "&amp;"*")-MID(A1326,5,FIND(".",A1326,1)-5),0)</f>
        <v>0</v>
      </c>
      <c r="D1326" t="str">
        <f t="shared" si="74"/>
        <v/>
      </c>
      <c r="E1326" t="str">
        <f>SUBSTITUTE(IF(LEFT(A1326,3)="Câu",MID(A1326,FIND(".",A1326,1)+2,LEN(A1326)),""),CHAR(34),CHAR(92)&amp;CHAR(34))</f>
        <v/>
      </c>
      <c r="F1326" t="str">
        <f t="shared" si="73"/>
        <v/>
      </c>
      <c r="G1326" t="str">
        <f>SUBSTITUTE(B1327,CHAR(34),CHAR(92)&amp;CHAR(34))</f>
        <v>Biển 2.</v>
      </c>
      <c r="H1326" t="str">
        <f>SUBSTITUTE(B1328,CHAR(34),CHAR(92)&amp;CHAR(34))</f>
        <v>Biển 3.</v>
      </c>
      <c r="I1326" t="str">
        <f>SUBSTITUTE(IF(LEFT(A1329,3)="Câu","",B1329),CHAR(34),CHAR(92)&amp;CHAR(34))</f>
        <v>Biển 1 và biển 3.</v>
      </c>
      <c r="J1326" t="str">
        <f>SUBSTITUTE(IF(OR(LEFT(A1330,3)="Câu",I1326=""),"",IF(B1330=0,"",B1330)),CHAR(34),CHAR(92)&amp;CHAR(34))</f>
        <v/>
      </c>
      <c r="K1326" t="str">
        <f>SUBSTITUTE(SUBSTITUTE(SUBSTITUTE(SUBSTITUTE(IFERROR(VLOOKUP("Câu "&amp;D1326&amp;".",dapan!$E:$J,6,0),""),"1","A"),"2","B"),"3","C"),"4","D")</f>
        <v/>
      </c>
      <c r="P1326" t="str">
        <f t="shared" si="71"/>
        <v/>
      </c>
      <c r="Q1326" t="str">
        <f t="shared" si="72"/>
        <v/>
      </c>
    </row>
    <row r="1327" spans="1:17" hidden="1" x14ac:dyDescent="0.25">
      <c r="A1327">
        <v>2</v>
      </c>
      <c r="B1327" t="s">
        <v>1068</v>
      </c>
      <c r="C1327">
        <f>IFERROR(COUNTIFS($A$1:A1327,"Câu "&amp;"*")-MID(A1327,5,FIND(".",A1327,1)-5),0)</f>
        <v>0</v>
      </c>
      <c r="D1327" t="str">
        <f t="shared" si="74"/>
        <v/>
      </c>
      <c r="E1327" t="str">
        <f>SUBSTITUTE(IF(LEFT(A1327,3)="Câu",MID(A1327,FIND(".",A1327,1)+2,LEN(A1327)),""),CHAR(34),CHAR(92)&amp;CHAR(34))</f>
        <v/>
      </c>
      <c r="F1327" t="str">
        <f t="shared" si="73"/>
        <v/>
      </c>
      <c r="G1327" t="str">
        <f>SUBSTITUTE(B1328,CHAR(34),CHAR(92)&amp;CHAR(34))</f>
        <v>Biển 3.</v>
      </c>
      <c r="H1327" t="str">
        <f>SUBSTITUTE(B1329,CHAR(34),CHAR(92)&amp;CHAR(34))</f>
        <v>Biển 1 và biển 3.</v>
      </c>
      <c r="I1327" t="str">
        <f>SUBSTITUTE(IF(LEFT(A1330,3)="Câu","",B1330),CHAR(34),CHAR(92)&amp;CHAR(34))</f>
        <v/>
      </c>
      <c r="J1327" t="str">
        <f>SUBSTITUTE(IF(OR(LEFT(A1331,3)="Câu",I1327=""),"",IF(B1331=0,"",B1331)),CHAR(34),CHAR(92)&amp;CHAR(34))</f>
        <v/>
      </c>
      <c r="K1327" t="str">
        <f>SUBSTITUTE(SUBSTITUTE(SUBSTITUTE(SUBSTITUTE(IFERROR(VLOOKUP("Câu "&amp;D1327&amp;".",dapan!$E:$J,6,0),""),"1","A"),"2","B"),"3","C"),"4","D")</f>
        <v/>
      </c>
      <c r="P1327" t="str">
        <f t="shared" si="71"/>
        <v/>
      </c>
      <c r="Q1327" t="str">
        <f t="shared" si="72"/>
        <v/>
      </c>
    </row>
    <row r="1328" spans="1:17" hidden="1" x14ac:dyDescent="0.25">
      <c r="A1328">
        <v>3</v>
      </c>
      <c r="B1328" t="s">
        <v>1083</v>
      </c>
      <c r="C1328">
        <f>IFERROR(COUNTIFS($A$1:A1328,"Câu "&amp;"*")-MID(A1328,5,FIND(".",A1328,1)-5),0)</f>
        <v>0</v>
      </c>
      <c r="D1328" t="str">
        <f t="shared" si="74"/>
        <v/>
      </c>
      <c r="E1328" t="str">
        <f>SUBSTITUTE(IF(LEFT(A1328,3)="Câu",MID(A1328,FIND(".",A1328,1)+2,LEN(A1328)),""),CHAR(34),CHAR(92)&amp;CHAR(34))</f>
        <v/>
      </c>
      <c r="F1328" t="str">
        <f t="shared" si="73"/>
        <v/>
      </c>
      <c r="G1328" t="str">
        <f>SUBSTITUTE(B1329,CHAR(34),CHAR(92)&amp;CHAR(34))</f>
        <v>Biển 1 và biển 3.</v>
      </c>
      <c r="H1328" t="str">
        <f>SUBSTITUTE(B1330,CHAR(34),CHAR(92)&amp;CHAR(34))</f>
        <v/>
      </c>
      <c r="I1328" t="str">
        <f>SUBSTITUTE(IF(LEFT(A1331,3)="Câu","",B1331),CHAR(34),CHAR(92)&amp;CHAR(34))</f>
        <v>Biển 1.</v>
      </c>
      <c r="J1328" t="str">
        <f>SUBSTITUTE(IF(OR(LEFT(A1332,3)="Câu",I1328=""),"",IF(B1332=0,"",B1332)),CHAR(34),CHAR(92)&amp;CHAR(34))</f>
        <v xml:space="preserve"> Biển 2.</v>
      </c>
      <c r="K1328" t="str">
        <f>SUBSTITUTE(SUBSTITUTE(SUBSTITUTE(SUBSTITUTE(IFERROR(VLOOKUP("Câu "&amp;D1328&amp;".",dapan!$E:$J,6,0),""),"1","A"),"2","B"),"3","C"),"4","D")</f>
        <v/>
      </c>
      <c r="P1328" t="str">
        <f t="shared" si="71"/>
        <v/>
      </c>
      <c r="Q1328" t="str">
        <f t="shared" si="72"/>
        <v/>
      </c>
    </row>
    <row r="1329" spans="1:17" hidden="1" x14ac:dyDescent="0.25">
      <c r="A1329">
        <v>4</v>
      </c>
      <c r="B1329" t="s">
        <v>1077</v>
      </c>
      <c r="C1329">
        <f>IFERROR(COUNTIFS($A$1:A1329,"Câu "&amp;"*")-MID(A1329,5,FIND(".",A1329,1)-5),0)</f>
        <v>0</v>
      </c>
      <c r="D1329" t="str">
        <f t="shared" si="74"/>
        <v/>
      </c>
      <c r="E1329" t="str">
        <f>SUBSTITUTE(IF(LEFT(A1329,3)="Câu",MID(A1329,FIND(".",A1329,1)+2,LEN(A1329)),""),CHAR(34),CHAR(92)&amp;CHAR(34))</f>
        <v/>
      </c>
      <c r="F1329" t="str">
        <f t="shared" si="73"/>
        <v/>
      </c>
      <c r="G1329" t="str">
        <f>SUBSTITUTE(B1330,CHAR(34),CHAR(92)&amp;CHAR(34))</f>
        <v/>
      </c>
      <c r="H1329" t="str">
        <f>SUBSTITUTE(B1331,CHAR(34),CHAR(92)&amp;CHAR(34))</f>
        <v>Biển 1.</v>
      </c>
      <c r="I1329" t="str">
        <f>SUBSTITUTE(IF(LEFT(A1332,3)="Câu","",B1332),CHAR(34),CHAR(92)&amp;CHAR(34))</f>
        <v xml:space="preserve"> Biển 2.</v>
      </c>
      <c r="J1329" t="str">
        <f>SUBSTITUTE(IF(OR(LEFT(A1333,3)="Câu",I1329=""),"",IF(B1333=0,"",B1333)),CHAR(34),CHAR(92)&amp;CHAR(34))</f>
        <v>Biển 3.</v>
      </c>
      <c r="K1329" t="str">
        <f>SUBSTITUTE(SUBSTITUTE(SUBSTITUTE(SUBSTITUTE(IFERROR(VLOOKUP("Câu "&amp;D1329&amp;".",dapan!$E:$J,6,0),""),"1","A"),"2","B"),"3","C"),"4","D")</f>
        <v/>
      </c>
      <c r="P1329" t="str">
        <f t="shared" si="71"/>
        <v/>
      </c>
      <c r="Q1329" t="str">
        <f t="shared" si="72"/>
        <v/>
      </c>
    </row>
    <row r="1330" spans="1:17" x14ac:dyDescent="0.25">
      <c r="A1330" t="s">
        <v>1102</v>
      </c>
      <c r="C1330">
        <f>IFERROR(COUNTIFS($A$1:A1330,"Câu "&amp;"*")-MID(A1330,5,FIND(".",A1330,1)-5),0)</f>
        <v>0</v>
      </c>
      <c r="D1330">
        <f t="shared" si="74"/>
        <v>320</v>
      </c>
      <c r="E1330" t="str">
        <f>SUBSTITUTE(IF(LEFT(A1330,3)="Câu",MID(A1330,FIND(".",A1330,1)+2,LEN(A1330)),""),CHAR(34),CHAR(92)&amp;CHAR(34))</f>
        <v>Biển nào dưới đây cấm xe ô tô rẽ trái và quay đầu?</v>
      </c>
      <c r="F1330" t="str">
        <f t="shared" si="73"/>
        <v>q320.jpg</v>
      </c>
      <c r="G1330" t="str">
        <f>SUBSTITUTE(B1331,CHAR(34),CHAR(92)&amp;CHAR(34))</f>
        <v>Biển 1.</v>
      </c>
      <c r="H1330" t="str">
        <f>SUBSTITUTE(B1332,CHAR(34),CHAR(92)&amp;CHAR(34))</f>
        <v xml:space="preserve"> Biển 2.</v>
      </c>
      <c r="I1330" t="str">
        <f>SUBSTITUTE(IF(LEFT(A1333,3)="Câu","",B1333),CHAR(34),CHAR(92)&amp;CHAR(34))</f>
        <v>Biển 3.</v>
      </c>
      <c r="J1330" t="str">
        <f>SUBSTITUTE(IF(OR(LEFT(A1334,3)="Câu",I1330=""),"",IF(B1334=0,"",B1334)),CHAR(34),CHAR(92)&amp;CHAR(34))</f>
        <v>Biển 1 và biển 3.</v>
      </c>
      <c r="K1330" t="str">
        <f ca="1">SUBSTITUTE(SUBSTITUTE(SUBSTITUTE(SUBSTITUTE(IFERROR(VLOOKUP("Câu "&amp;D1330&amp;".",dapan!$E:$J,6,0),""),"1","A"),"2","B"),"3","C"),"4","D")</f>
        <v>B</v>
      </c>
      <c r="P1330">
        <f t="shared" si="71"/>
        <v>320</v>
      </c>
      <c r="Q1330" t="str">
        <f t="shared" ca="1" si="72"/>
        <v>{"num":320,"id":320,"q":"Biển nào dưới đây cấm xe ô tô rẽ trái và quay đầu?","img":"q320.jpg","opts":{"A":"Biển 1.","B":" Biển 2.","C":"Biển 3.","D":"Biển 1 và biển 3."},"answer":"B"},</v>
      </c>
    </row>
    <row r="1331" spans="1:17" hidden="1" x14ac:dyDescent="0.25">
      <c r="A1331">
        <v>1</v>
      </c>
      <c r="B1331" t="s">
        <v>1075</v>
      </c>
      <c r="C1331">
        <f>IFERROR(COUNTIFS($A$1:A1331,"Câu "&amp;"*")-MID(A1331,5,FIND(".",A1331,1)-5),0)</f>
        <v>0</v>
      </c>
      <c r="D1331" t="str">
        <f t="shared" si="74"/>
        <v/>
      </c>
      <c r="E1331" t="str">
        <f>SUBSTITUTE(IF(LEFT(A1331,3)="Câu",MID(A1331,FIND(".",A1331,1)+2,LEN(A1331)),""),CHAR(34),CHAR(92)&amp;CHAR(34))</f>
        <v/>
      </c>
      <c r="F1331" t="str">
        <f t="shared" si="73"/>
        <v/>
      </c>
      <c r="G1331" t="str">
        <f>SUBSTITUTE(B1332,CHAR(34),CHAR(92)&amp;CHAR(34))</f>
        <v xml:space="preserve"> Biển 2.</v>
      </c>
      <c r="H1331" t="str">
        <f>SUBSTITUTE(B1333,CHAR(34),CHAR(92)&amp;CHAR(34))</f>
        <v>Biển 3.</v>
      </c>
      <c r="I1331" t="str">
        <f>SUBSTITUTE(IF(LEFT(A1334,3)="Câu","",B1334),CHAR(34),CHAR(92)&amp;CHAR(34))</f>
        <v>Biển 1 và biển 3.</v>
      </c>
      <c r="J1331" t="str">
        <f>SUBSTITUTE(IF(OR(LEFT(A1335,3)="Câu",I1331=""),"",IF(B1335=0,"",B1335)),CHAR(34),CHAR(92)&amp;CHAR(34))</f>
        <v/>
      </c>
      <c r="K1331" t="str">
        <f>SUBSTITUTE(SUBSTITUTE(SUBSTITUTE(SUBSTITUTE(IFERROR(VLOOKUP("Câu "&amp;D1331&amp;".",dapan!$E:$J,6,0),""),"1","A"),"2","B"),"3","C"),"4","D")</f>
        <v/>
      </c>
      <c r="P1331" t="str">
        <f t="shared" si="71"/>
        <v/>
      </c>
      <c r="Q1331" t="str">
        <f t="shared" si="72"/>
        <v/>
      </c>
    </row>
    <row r="1332" spans="1:17" hidden="1" x14ac:dyDescent="0.25">
      <c r="A1332">
        <v>2</v>
      </c>
      <c r="B1332" t="s">
        <v>1090</v>
      </c>
      <c r="C1332">
        <f>IFERROR(COUNTIFS($A$1:A1332,"Câu "&amp;"*")-MID(A1332,5,FIND(".",A1332,1)-5),0)</f>
        <v>0</v>
      </c>
      <c r="D1332" t="str">
        <f t="shared" si="74"/>
        <v/>
      </c>
      <c r="E1332" t="str">
        <f>SUBSTITUTE(IF(LEFT(A1332,3)="Câu",MID(A1332,FIND(".",A1332,1)+2,LEN(A1332)),""),CHAR(34),CHAR(92)&amp;CHAR(34))</f>
        <v/>
      </c>
      <c r="F1332" t="str">
        <f t="shared" si="73"/>
        <v/>
      </c>
      <c r="G1332" t="str">
        <f>SUBSTITUTE(B1333,CHAR(34),CHAR(92)&amp;CHAR(34))</f>
        <v>Biển 3.</v>
      </c>
      <c r="H1332" t="str">
        <f>SUBSTITUTE(B1334,CHAR(34),CHAR(92)&amp;CHAR(34))</f>
        <v>Biển 1 và biển 3.</v>
      </c>
      <c r="I1332" t="str">
        <f>SUBSTITUTE(IF(LEFT(A1335,3)="Câu","",B1335),CHAR(34),CHAR(92)&amp;CHAR(34))</f>
        <v/>
      </c>
      <c r="J1332" t="str">
        <f>SUBSTITUTE(IF(OR(LEFT(A1336,3)="Câu",I1332=""),"",IF(B1336=0,"",B1336)),CHAR(34),CHAR(92)&amp;CHAR(34))</f>
        <v/>
      </c>
      <c r="K1332" t="str">
        <f>SUBSTITUTE(SUBSTITUTE(SUBSTITUTE(SUBSTITUTE(IFERROR(VLOOKUP("Câu "&amp;D1332&amp;".",dapan!$E:$J,6,0),""),"1","A"),"2","B"),"3","C"),"4","D")</f>
        <v/>
      </c>
      <c r="P1332" t="str">
        <f t="shared" si="71"/>
        <v/>
      </c>
      <c r="Q1332" t="str">
        <f t="shared" si="72"/>
        <v/>
      </c>
    </row>
    <row r="1333" spans="1:17" hidden="1" x14ac:dyDescent="0.25">
      <c r="A1333">
        <v>3</v>
      </c>
      <c r="B1333" t="s">
        <v>1083</v>
      </c>
      <c r="C1333">
        <f>IFERROR(COUNTIFS($A$1:A1333,"Câu "&amp;"*")-MID(A1333,5,FIND(".",A1333,1)-5),0)</f>
        <v>0</v>
      </c>
      <c r="D1333" t="str">
        <f t="shared" si="74"/>
        <v/>
      </c>
      <c r="E1333" t="str">
        <f>SUBSTITUTE(IF(LEFT(A1333,3)="Câu",MID(A1333,FIND(".",A1333,1)+2,LEN(A1333)),""),CHAR(34),CHAR(92)&amp;CHAR(34))</f>
        <v/>
      </c>
      <c r="F1333" t="str">
        <f t="shared" si="73"/>
        <v/>
      </c>
      <c r="G1333" t="str">
        <f>SUBSTITUTE(B1334,CHAR(34),CHAR(92)&amp;CHAR(34))</f>
        <v>Biển 1 và biển 3.</v>
      </c>
      <c r="H1333" t="str">
        <f>SUBSTITUTE(B1335,CHAR(34),CHAR(92)&amp;CHAR(34))</f>
        <v/>
      </c>
      <c r="I1333" t="str">
        <f>SUBSTITUTE(IF(LEFT(A1336,3)="Câu","",B1336),CHAR(34),CHAR(92)&amp;CHAR(34))</f>
        <v>Biển 1.</v>
      </c>
      <c r="J1333" t="str">
        <f>SUBSTITUTE(IF(OR(LEFT(A1337,3)="Câu",I1333=""),"",IF(B1337=0,"",B1337)),CHAR(34),CHAR(92)&amp;CHAR(34))</f>
        <v xml:space="preserve"> Biển 2.</v>
      </c>
      <c r="K1333" t="str">
        <f>SUBSTITUTE(SUBSTITUTE(SUBSTITUTE(SUBSTITUTE(IFERROR(VLOOKUP("Câu "&amp;D1333&amp;".",dapan!$E:$J,6,0),""),"1","A"),"2","B"),"3","C"),"4","D")</f>
        <v/>
      </c>
      <c r="P1333" t="str">
        <f t="shared" si="71"/>
        <v/>
      </c>
      <c r="Q1333" t="str">
        <f t="shared" si="72"/>
        <v/>
      </c>
    </row>
    <row r="1334" spans="1:17" hidden="1" x14ac:dyDescent="0.25">
      <c r="A1334">
        <v>4</v>
      </c>
      <c r="B1334" t="s">
        <v>1077</v>
      </c>
      <c r="C1334">
        <f>IFERROR(COUNTIFS($A$1:A1334,"Câu "&amp;"*")-MID(A1334,5,FIND(".",A1334,1)-5),0)</f>
        <v>0</v>
      </c>
      <c r="D1334" t="str">
        <f t="shared" si="74"/>
        <v/>
      </c>
      <c r="E1334" t="str">
        <f>SUBSTITUTE(IF(LEFT(A1334,3)="Câu",MID(A1334,FIND(".",A1334,1)+2,LEN(A1334)),""),CHAR(34),CHAR(92)&amp;CHAR(34))</f>
        <v/>
      </c>
      <c r="F1334" t="str">
        <f t="shared" si="73"/>
        <v/>
      </c>
      <c r="G1334" t="str">
        <f>SUBSTITUTE(B1335,CHAR(34),CHAR(92)&amp;CHAR(34))</f>
        <v/>
      </c>
      <c r="H1334" t="str">
        <f>SUBSTITUTE(B1336,CHAR(34),CHAR(92)&amp;CHAR(34))</f>
        <v>Biển 1.</v>
      </c>
      <c r="I1334" t="str">
        <f>SUBSTITUTE(IF(LEFT(A1337,3)="Câu","",B1337),CHAR(34),CHAR(92)&amp;CHAR(34))</f>
        <v xml:space="preserve"> Biển 2.</v>
      </c>
      <c r="J1334" t="str">
        <f>SUBSTITUTE(IF(OR(LEFT(A1338,3)="Câu",I1334=""),"",IF(B1338=0,"",B1338)),CHAR(34),CHAR(92)&amp;CHAR(34))</f>
        <v>Không biển nào.</v>
      </c>
      <c r="K1334" t="str">
        <f>SUBSTITUTE(SUBSTITUTE(SUBSTITUTE(SUBSTITUTE(IFERROR(VLOOKUP("Câu "&amp;D1334&amp;".",dapan!$E:$J,6,0),""),"1","A"),"2","B"),"3","C"),"4","D")</f>
        <v/>
      </c>
      <c r="P1334" t="str">
        <f t="shared" si="71"/>
        <v/>
      </c>
      <c r="Q1334" t="str">
        <f t="shared" si="72"/>
        <v/>
      </c>
    </row>
    <row r="1335" spans="1:17" x14ac:dyDescent="0.25">
      <c r="A1335" t="s">
        <v>1103</v>
      </c>
      <c r="C1335">
        <f>IFERROR(COUNTIFS($A$1:A1335,"Câu "&amp;"*")-MID(A1335,5,FIND(".",A1335,1)-5),0)</f>
        <v>0</v>
      </c>
      <c r="D1335">
        <f t="shared" si="74"/>
        <v>321</v>
      </c>
      <c r="E1335" t="str">
        <f>SUBSTITUTE(IF(LEFT(A1335,3)="Câu",MID(A1335,FIND(".",A1335,1)+2,LEN(A1335)),""),CHAR(34),CHAR(92)&amp;CHAR(34))</f>
        <v>Biển nào cấm xe taxi mà không cấm các phương tiện khác?</v>
      </c>
      <c r="F1335" t="str">
        <f t="shared" si="73"/>
        <v>q321.jpg</v>
      </c>
      <c r="G1335" t="str">
        <f>SUBSTITUTE(B1336,CHAR(34),CHAR(92)&amp;CHAR(34))</f>
        <v>Biển 1.</v>
      </c>
      <c r="H1335" t="str">
        <f>SUBSTITUTE(B1337,CHAR(34),CHAR(92)&amp;CHAR(34))</f>
        <v xml:space="preserve"> Biển 2.</v>
      </c>
      <c r="I1335" t="str">
        <f>SUBSTITUTE(IF(LEFT(A1338,3)="Câu","",B1338),CHAR(34),CHAR(92)&amp;CHAR(34))</f>
        <v>Không biển nào.</v>
      </c>
      <c r="J1335" t="str">
        <f>SUBSTITUTE(IF(OR(LEFT(A1339,3)="Câu",I1335=""),"",IF(B1339=0,"",B1339)),CHAR(34),CHAR(92)&amp;CHAR(34))</f>
        <v/>
      </c>
      <c r="K1335" t="str">
        <f ca="1">SUBSTITUTE(SUBSTITUTE(SUBSTITUTE(SUBSTITUTE(IFERROR(VLOOKUP("Câu "&amp;D1335&amp;".",dapan!$E:$J,6,0),""),"1","A"),"2","B"),"3","C"),"4","D")</f>
        <v>B</v>
      </c>
      <c r="P1335">
        <f t="shared" si="71"/>
        <v>321</v>
      </c>
      <c r="Q1335" t="str">
        <f t="shared" ca="1" si="72"/>
        <v>{"num":321,"id":321,"q":"Biển nào cấm xe taxi mà không cấm các phương tiện khác?","img":"q321.jpg","opts":{"A":"Biển 1.","B":" Biển 2.","C":"Không biển nào."},"answer":"B"},</v>
      </c>
    </row>
    <row r="1336" spans="1:17" hidden="1" x14ac:dyDescent="0.25">
      <c r="A1336">
        <v>1</v>
      </c>
      <c r="B1336" t="s">
        <v>1075</v>
      </c>
      <c r="C1336">
        <f>IFERROR(COUNTIFS($A$1:A1336,"Câu "&amp;"*")-MID(A1336,5,FIND(".",A1336,1)-5),0)</f>
        <v>0</v>
      </c>
      <c r="D1336" t="str">
        <f t="shared" si="74"/>
        <v/>
      </c>
      <c r="E1336" t="str">
        <f>SUBSTITUTE(IF(LEFT(A1336,3)="Câu",MID(A1336,FIND(".",A1336,1)+2,LEN(A1336)),""),CHAR(34),CHAR(92)&amp;CHAR(34))</f>
        <v/>
      </c>
      <c r="F1336" t="str">
        <f t="shared" si="73"/>
        <v/>
      </c>
      <c r="G1336" t="str">
        <f>SUBSTITUTE(B1337,CHAR(34),CHAR(92)&amp;CHAR(34))</f>
        <v xml:space="preserve"> Biển 2.</v>
      </c>
      <c r="H1336" t="str">
        <f>SUBSTITUTE(B1338,CHAR(34),CHAR(92)&amp;CHAR(34))</f>
        <v>Không biển nào.</v>
      </c>
      <c r="I1336" t="str">
        <f>SUBSTITUTE(IF(LEFT(A1339,3)="Câu","",B1339),CHAR(34),CHAR(92)&amp;CHAR(34))</f>
        <v/>
      </c>
      <c r="J1336" t="str">
        <f>SUBSTITUTE(IF(OR(LEFT(A1340,3)="Câu",I1336=""),"",IF(B1340=0,"",B1340)),CHAR(34),CHAR(92)&amp;CHAR(34))</f>
        <v/>
      </c>
      <c r="K1336" t="str">
        <f>SUBSTITUTE(SUBSTITUTE(SUBSTITUTE(SUBSTITUTE(IFERROR(VLOOKUP("Câu "&amp;D1336&amp;".",dapan!$E:$J,6,0),""),"1","A"),"2","B"),"3","C"),"4","D")</f>
        <v/>
      </c>
      <c r="P1336" t="str">
        <f t="shared" si="71"/>
        <v/>
      </c>
      <c r="Q1336" t="str">
        <f t="shared" si="72"/>
        <v/>
      </c>
    </row>
    <row r="1337" spans="1:17" hidden="1" x14ac:dyDescent="0.25">
      <c r="A1337">
        <v>2</v>
      </c>
      <c r="B1337" t="s">
        <v>1090</v>
      </c>
      <c r="C1337">
        <f>IFERROR(COUNTIFS($A$1:A1337,"Câu "&amp;"*")-MID(A1337,5,FIND(".",A1337,1)-5),0)</f>
        <v>0</v>
      </c>
      <c r="D1337" t="str">
        <f t="shared" si="74"/>
        <v/>
      </c>
      <c r="E1337" t="str">
        <f>SUBSTITUTE(IF(LEFT(A1337,3)="Câu",MID(A1337,FIND(".",A1337,1)+2,LEN(A1337)),""),CHAR(34),CHAR(92)&amp;CHAR(34))</f>
        <v/>
      </c>
      <c r="F1337" t="str">
        <f t="shared" si="73"/>
        <v/>
      </c>
      <c r="G1337" t="str">
        <f>SUBSTITUTE(B1338,CHAR(34),CHAR(92)&amp;CHAR(34))</f>
        <v>Không biển nào.</v>
      </c>
      <c r="H1337" t="str">
        <f>SUBSTITUTE(B1339,CHAR(34),CHAR(92)&amp;CHAR(34))</f>
        <v/>
      </c>
      <c r="I1337" t="str">
        <f>SUBSTITUTE(IF(LEFT(A1340,3)="Câu","",B1340),CHAR(34),CHAR(92)&amp;CHAR(34))</f>
        <v>Biển 1.</v>
      </c>
      <c r="J1337" t="str">
        <f>SUBSTITUTE(IF(OR(LEFT(A1341,3)="Câu",I1337=""),"",IF(B1341=0,"",B1341)),CHAR(34),CHAR(92)&amp;CHAR(34))</f>
        <v xml:space="preserve"> Biển 2.</v>
      </c>
      <c r="K1337" t="str">
        <f>SUBSTITUTE(SUBSTITUTE(SUBSTITUTE(SUBSTITUTE(IFERROR(VLOOKUP("Câu "&amp;D1337&amp;".",dapan!$E:$J,6,0),""),"1","A"),"2","B"),"3","C"),"4","D")</f>
        <v/>
      </c>
      <c r="P1337" t="str">
        <f t="shared" si="71"/>
        <v/>
      </c>
      <c r="Q1337" t="str">
        <f t="shared" si="72"/>
        <v/>
      </c>
    </row>
    <row r="1338" spans="1:17" hidden="1" x14ac:dyDescent="0.25">
      <c r="A1338">
        <v>3</v>
      </c>
      <c r="B1338" t="s">
        <v>1085</v>
      </c>
      <c r="C1338">
        <f>IFERROR(COUNTIFS($A$1:A1338,"Câu "&amp;"*")-MID(A1338,5,FIND(".",A1338,1)-5),0)</f>
        <v>0</v>
      </c>
      <c r="D1338" t="str">
        <f t="shared" si="74"/>
        <v/>
      </c>
      <c r="E1338" t="str">
        <f>SUBSTITUTE(IF(LEFT(A1338,3)="Câu",MID(A1338,FIND(".",A1338,1)+2,LEN(A1338)),""),CHAR(34),CHAR(92)&amp;CHAR(34))</f>
        <v/>
      </c>
      <c r="F1338" t="str">
        <f t="shared" si="73"/>
        <v/>
      </c>
      <c r="G1338" t="str">
        <f>SUBSTITUTE(B1339,CHAR(34),CHAR(92)&amp;CHAR(34))</f>
        <v/>
      </c>
      <c r="H1338" t="str">
        <f>SUBSTITUTE(B1340,CHAR(34),CHAR(92)&amp;CHAR(34))</f>
        <v>Biển 1.</v>
      </c>
      <c r="I1338" t="str">
        <f>SUBSTITUTE(IF(LEFT(A1341,3)="Câu","",B1341),CHAR(34),CHAR(92)&amp;CHAR(34))</f>
        <v xml:space="preserve"> Biển 2.</v>
      </c>
      <c r="J1338" t="str">
        <f>SUBSTITUTE(IF(OR(LEFT(A1342,3)="Câu",I1338=""),"",IF(B1342=0,"",B1342)),CHAR(34),CHAR(92)&amp;CHAR(34))</f>
        <v>Không biển nào.</v>
      </c>
      <c r="K1338" t="str">
        <f>SUBSTITUTE(SUBSTITUTE(SUBSTITUTE(SUBSTITUTE(IFERROR(VLOOKUP("Câu "&amp;D1338&amp;".",dapan!$E:$J,6,0),""),"1","A"),"2","B"),"3","C"),"4","D")</f>
        <v/>
      </c>
      <c r="P1338" t="str">
        <f t="shared" si="71"/>
        <v/>
      </c>
      <c r="Q1338" t="str">
        <f t="shared" si="72"/>
        <v/>
      </c>
    </row>
    <row r="1339" spans="1:17" x14ac:dyDescent="0.25">
      <c r="A1339" t="s">
        <v>1104</v>
      </c>
      <c r="C1339">
        <f>IFERROR(COUNTIFS($A$1:A1339,"Câu "&amp;"*")-MID(A1339,5,FIND(".",A1339,1)-5),0)</f>
        <v>0</v>
      </c>
      <c r="D1339">
        <f t="shared" si="74"/>
        <v>322</v>
      </c>
      <c r="E1339" t="str">
        <f>SUBSTITUTE(IF(LEFT(A1339,3)="Câu",MID(A1339,FIND(".",A1339,1)+2,LEN(A1339)),""),CHAR(34),CHAR(92)&amp;CHAR(34))</f>
        <v>Biển nào xe được phép rẽ trái?</v>
      </c>
      <c r="F1339" t="str">
        <f t="shared" si="73"/>
        <v>q322.jpg</v>
      </c>
      <c r="G1339" t="str">
        <f>SUBSTITUTE(B1340,CHAR(34),CHAR(92)&amp;CHAR(34))</f>
        <v>Biển 1.</v>
      </c>
      <c r="H1339" t="str">
        <f>SUBSTITUTE(B1341,CHAR(34),CHAR(92)&amp;CHAR(34))</f>
        <v xml:space="preserve"> Biển 2.</v>
      </c>
      <c r="I1339" t="str">
        <f>SUBSTITUTE(IF(LEFT(A1342,3)="Câu","",B1342),CHAR(34),CHAR(92)&amp;CHAR(34))</f>
        <v>Không biển nào.</v>
      </c>
      <c r="J1339" t="str">
        <f>SUBSTITUTE(IF(OR(LEFT(A1343,3)="Câu",I1339=""),"",IF(B1343=0,"",B1343)),CHAR(34),CHAR(92)&amp;CHAR(34))</f>
        <v/>
      </c>
      <c r="K1339" t="str">
        <f ca="1">SUBSTITUTE(SUBSTITUTE(SUBSTITUTE(SUBSTITUTE(IFERROR(VLOOKUP("Câu "&amp;D1339&amp;".",dapan!$E:$J,6,0),""),"1","A"),"2","B"),"3","C"),"4","D")</f>
        <v>B</v>
      </c>
      <c r="P1339">
        <f t="shared" si="71"/>
        <v>322</v>
      </c>
      <c r="Q1339" t="str">
        <f t="shared" ca="1" si="72"/>
        <v>{"num":322,"id":322,"q":"Biển nào xe được phép rẽ trái?","img":"q322.jpg","opts":{"A":"Biển 1.","B":" Biển 2.","C":"Không biển nào."},"answer":"B"},</v>
      </c>
    </row>
    <row r="1340" spans="1:17" hidden="1" x14ac:dyDescent="0.25">
      <c r="A1340">
        <v>1</v>
      </c>
      <c r="B1340" t="s">
        <v>1075</v>
      </c>
      <c r="C1340">
        <f>IFERROR(COUNTIFS($A$1:A1340,"Câu "&amp;"*")-MID(A1340,5,FIND(".",A1340,1)-5),0)</f>
        <v>0</v>
      </c>
      <c r="D1340" t="str">
        <f t="shared" si="74"/>
        <v/>
      </c>
      <c r="E1340" t="str">
        <f>SUBSTITUTE(IF(LEFT(A1340,3)="Câu",MID(A1340,FIND(".",A1340,1)+2,LEN(A1340)),""),CHAR(34),CHAR(92)&amp;CHAR(34))</f>
        <v/>
      </c>
      <c r="F1340" t="str">
        <f t="shared" si="73"/>
        <v/>
      </c>
      <c r="G1340" t="str">
        <f>SUBSTITUTE(B1341,CHAR(34),CHAR(92)&amp;CHAR(34))</f>
        <v xml:space="preserve"> Biển 2.</v>
      </c>
      <c r="H1340" t="str">
        <f>SUBSTITUTE(B1342,CHAR(34),CHAR(92)&amp;CHAR(34))</f>
        <v>Không biển nào.</v>
      </c>
      <c r="I1340" t="str">
        <f>SUBSTITUTE(IF(LEFT(A1343,3)="Câu","",B1343),CHAR(34),CHAR(92)&amp;CHAR(34))</f>
        <v/>
      </c>
      <c r="J1340" t="str">
        <f>SUBSTITUTE(IF(OR(LEFT(A1344,3)="Câu",I1340=""),"",IF(B1344=0,"",B1344)),CHAR(34),CHAR(92)&amp;CHAR(34))</f>
        <v/>
      </c>
      <c r="K1340" t="str">
        <f>SUBSTITUTE(SUBSTITUTE(SUBSTITUTE(SUBSTITUTE(IFERROR(VLOOKUP("Câu "&amp;D1340&amp;".",dapan!$E:$J,6,0),""),"1","A"),"2","B"),"3","C"),"4","D")</f>
        <v/>
      </c>
      <c r="P1340" t="str">
        <f t="shared" si="71"/>
        <v/>
      </c>
      <c r="Q1340" t="str">
        <f t="shared" si="72"/>
        <v/>
      </c>
    </row>
    <row r="1341" spans="1:17" hidden="1" x14ac:dyDescent="0.25">
      <c r="A1341">
        <v>2</v>
      </c>
      <c r="B1341" t="s">
        <v>1090</v>
      </c>
      <c r="C1341">
        <f>IFERROR(COUNTIFS($A$1:A1341,"Câu "&amp;"*")-MID(A1341,5,FIND(".",A1341,1)-5),0)</f>
        <v>0</v>
      </c>
      <c r="D1341" t="str">
        <f t="shared" si="74"/>
        <v/>
      </c>
      <c r="E1341" t="str">
        <f>SUBSTITUTE(IF(LEFT(A1341,3)="Câu",MID(A1341,FIND(".",A1341,1)+2,LEN(A1341)),""),CHAR(34),CHAR(92)&amp;CHAR(34))</f>
        <v/>
      </c>
      <c r="F1341" t="str">
        <f t="shared" si="73"/>
        <v/>
      </c>
      <c r="G1341" t="str">
        <f>SUBSTITUTE(B1342,CHAR(34),CHAR(92)&amp;CHAR(34))</f>
        <v>Không biển nào.</v>
      </c>
      <c r="H1341" t="str">
        <f>SUBSTITUTE(B1343,CHAR(34),CHAR(92)&amp;CHAR(34))</f>
        <v/>
      </c>
      <c r="I1341" t="str">
        <f>SUBSTITUTE(IF(LEFT(A1344,3)="Câu","",B1344),CHAR(34),CHAR(92)&amp;CHAR(34))</f>
        <v>Biển 1.</v>
      </c>
      <c r="J1341" t="str">
        <f>SUBSTITUTE(IF(OR(LEFT(A1345,3)="Câu",I1341=""),"",IF(B1345=0,"",B1345)),CHAR(34),CHAR(92)&amp;CHAR(34))</f>
        <v>Biển 2.</v>
      </c>
      <c r="K1341" t="str">
        <f>SUBSTITUTE(SUBSTITUTE(SUBSTITUTE(SUBSTITUTE(IFERROR(VLOOKUP("Câu "&amp;D1341&amp;".",dapan!$E:$J,6,0),""),"1","A"),"2","B"),"3","C"),"4","D")</f>
        <v/>
      </c>
      <c r="P1341" t="str">
        <f t="shared" si="71"/>
        <v/>
      </c>
      <c r="Q1341" t="str">
        <f t="shared" si="72"/>
        <v/>
      </c>
    </row>
    <row r="1342" spans="1:17" hidden="1" x14ac:dyDescent="0.25">
      <c r="A1342">
        <v>3</v>
      </c>
      <c r="B1342" t="s">
        <v>1085</v>
      </c>
      <c r="C1342">
        <f>IFERROR(COUNTIFS($A$1:A1342,"Câu "&amp;"*")-MID(A1342,5,FIND(".",A1342,1)-5),0)</f>
        <v>0</v>
      </c>
      <c r="D1342" t="str">
        <f t="shared" si="74"/>
        <v/>
      </c>
      <c r="E1342" t="str">
        <f>SUBSTITUTE(IF(LEFT(A1342,3)="Câu",MID(A1342,FIND(".",A1342,1)+2,LEN(A1342)),""),CHAR(34),CHAR(92)&amp;CHAR(34))</f>
        <v/>
      </c>
      <c r="F1342" t="str">
        <f t="shared" si="73"/>
        <v/>
      </c>
      <c r="G1342" t="str">
        <f>SUBSTITUTE(B1343,CHAR(34),CHAR(92)&amp;CHAR(34))</f>
        <v/>
      </c>
      <c r="H1342" t="str">
        <f>SUBSTITUTE(B1344,CHAR(34),CHAR(92)&amp;CHAR(34))</f>
        <v>Biển 1.</v>
      </c>
      <c r="I1342" t="str">
        <f>SUBSTITUTE(IF(LEFT(A1345,3)="Câu","",B1345),CHAR(34),CHAR(92)&amp;CHAR(34))</f>
        <v>Biển 2.</v>
      </c>
      <c r="J1342" t="str">
        <f>SUBSTITUTE(IF(OR(LEFT(A1346,3)="Câu",I1342=""),"",IF(B1346=0,"",B1346)),CHAR(34),CHAR(92)&amp;CHAR(34))</f>
        <v xml:space="preserve"> Cả hai biển.</v>
      </c>
      <c r="K1342" t="str">
        <f>SUBSTITUTE(SUBSTITUTE(SUBSTITUTE(SUBSTITUTE(IFERROR(VLOOKUP("Câu "&amp;D1342&amp;".",dapan!$E:$J,6,0),""),"1","A"),"2","B"),"3","C"),"4","D")</f>
        <v/>
      </c>
      <c r="P1342" t="str">
        <f t="shared" si="71"/>
        <v/>
      </c>
      <c r="Q1342" t="str">
        <f t="shared" si="72"/>
        <v/>
      </c>
    </row>
    <row r="1343" spans="1:17" x14ac:dyDescent="0.25">
      <c r="A1343" t="s">
        <v>1105</v>
      </c>
      <c r="C1343">
        <f>IFERROR(COUNTIFS($A$1:A1343,"Câu "&amp;"*")-MID(A1343,5,FIND(".",A1343,1)-5),0)</f>
        <v>0</v>
      </c>
      <c r="D1343">
        <f t="shared" si="74"/>
        <v>323</v>
      </c>
      <c r="E1343" t="str">
        <f>SUBSTITUTE(IF(LEFT(A1343,3)="Câu",MID(A1343,FIND(".",A1343,1)+2,LEN(A1343)),""),CHAR(34),CHAR(92)&amp;CHAR(34))</f>
        <v>Biển nào xe quay đầu không bị cấm?</v>
      </c>
      <c r="F1343" t="str">
        <f t="shared" si="73"/>
        <v>q323.jpg</v>
      </c>
      <c r="G1343" t="str">
        <f>SUBSTITUTE(B1344,CHAR(34),CHAR(92)&amp;CHAR(34))</f>
        <v>Biển 1.</v>
      </c>
      <c r="H1343" t="str">
        <f>SUBSTITUTE(B1345,CHAR(34),CHAR(92)&amp;CHAR(34))</f>
        <v>Biển 2.</v>
      </c>
      <c r="I1343" t="str">
        <f>SUBSTITUTE(IF(LEFT(A1346,3)="Câu","",B1346),CHAR(34),CHAR(92)&amp;CHAR(34))</f>
        <v xml:space="preserve"> Cả hai biển.</v>
      </c>
      <c r="J1343" t="str">
        <f>SUBSTITUTE(IF(OR(LEFT(A1347,3)="Câu",I1343=""),"",IF(B1347=0,"",B1347)),CHAR(34),CHAR(92)&amp;CHAR(34))</f>
        <v/>
      </c>
      <c r="K1343" t="str">
        <f ca="1">SUBSTITUTE(SUBSTITUTE(SUBSTITUTE(SUBSTITUTE(IFERROR(VLOOKUP("Câu "&amp;D1343&amp;".",dapan!$E:$J,6,0),""),"1","A"),"2","B"),"3","C"),"4","D")</f>
        <v>C</v>
      </c>
      <c r="P1343">
        <f t="shared" si="71"/>
        <v>323</v>
      </c>
      <c r="Q1343" t="str">
        <f t="shared" ca="1" si="72"/>
        <v>{"num":323,"id":323,"q":"Biển nào xe quay đầu không bị cấm?","img":"q323.jpg","opts":{"A":"Biển 1.","B":"Biển 2.","C":" Cả hai biển."},"answer":"C"},</v>
      </c>
    </row>
    <row r="1344" spans="1:17" hidden="1" x14ac:dyDescent="0.25">
      <c r="A1344">
        <v>1</v>
      </c>
      <c r="B1344" t="s">
        <v>1075</v>
      </c>
      <c r="C1344">
        <f>IFERROR(COUNTIFS($A$1:A1344,"Câu "&amp;"*")-MID(A1344,5,FIND(".",A1344,1)-5),0)</f>
        <v>0</v>
      </c>
      <c r="D1344" t="str">
        <f t="shared" si="74"/>
        <v/>
      </c>
      <c r="E1344" t="str">
        <f>SUBSTITUTE(IF(LEFT(A1344,3)="Câu",MID(A1344,FIND(".",A1344,1)+2,LEN(A1344)),""),CHAR(34),CHAR(92)&amp;CHAR(34))</f>
        <v/>
      </c>
      <c r="F1344" t="str">
        <f t="shared" si="73"/>
        <v/>
      </c>
      <c r="G1344" t="str">
        <f>SUBSTITUTE(B1345,CHAR(34),CHAR(92)&amp;CHAR(34))</f>
        <v>Biển 2.</v>
      </c>
      <c r="H1344" t="str">
        <f>SUBSTITUTE(B1346,CHAR(34),CHAR(92)&amp;CHAR(34))</f>
        <v xml:space="preserve"> Cả hai biển.</v>
      </c>
      <c r="I1344" t="str">
        <f>SUBSTITUTE(IF(LEFT(A1347,3)="Câu","",B1347),CHAR(34),CHAR(92)&amp;CHAR(34))</f>
        <v/>
      </c>
      <c r="J1344" t="str">
        <f>SUBSTITUTE(IF(OR(LEFT(A1348,3)="Câu",I1344=""),"",IF(B1348=0,"",B1348)),CHAR(34),CHAR(92)&amp;CHAR(34))</f>
        <v/>
      </c>
      <c r="K1344" t="str">
        <f>SUBSTITUTE(SUBSTITUTE(SUBSTITUTE(SUBSTITUTE(IFERROR(VLOOKUP("Câu "&amp;D1344&amp;".",dapan!$E:$J,6,0),""),"1","A"),"2","B"),"3","C"),"4","D")</f>
        <v/>
      </c>
      <c r="P1344" t="str">
        <f t="shared" si="71"/>
        <v/>
      </c>
      <c r="Q1344" t="str">
        <f t="shared" si="72"/>
        <v/>
      </c>
    </row>
    <row r="1345" spans="1:17" hidden="1" x14ac:dyDescent="0.25">
      <c r="A1345">
        <v>2</v>
      </c>
      <c r="B1345" t="s">
        <v>1068</v>
      </c>
      <c r="C1345">
        <f>IFERROR(COUNTIFS($A$1:A1345,"Câu "&amp;"*")-MID(A1345,5,FIND(".",A1345,1)-5),0)</f>
        <v>0</v>
      </c>
      <c r="D1345" t="str">
        <f t="shared" si="74"/>
        <v/>
      </c>
      <c r="E1345" t="str">
        <f>SUBSTITUTE(IF(LEFT(A1345,3)="Câu",MID(A1345,FIND(".",A1345,1)+2,LEN(A1345)),""),CHAR(34),CHAR(92)&amp;CHAR(34))</f>
        <v/>
      </c>
      <c r="F1345" t="str">
        <f t="shared" si="73"/>
        <v/>
      </c>
      <c r="G1345" t="str">
        <f>SUBSTITUTE(B1346,CHAR(34),CHAR(92)&amp;CHAR(34))</f>
        <v xml:space="preserve"> Cả hai biển.</v>
      </c>
      <c r="H1345" t="str">
        <f>SUBSTITUTE(B1347,CHAR(34),CHAR(92)&amp;CHAR(34))</f>
        <v/>
      </c>
      <c r="I1345" t="str">
        <f>SUBSTITUTE(IF(LEFT(A1348,3)="Câu","",B1348),CHAR(34),CHAR(92)&amp;CHAR(34))</f>
        <v xml:space="preserve"> Biển 1.</v>
      </c>
      <c r="J1345" t="str">
        <f>SUBSTITUTE(IF(OR(LEFT(A1349,3)="Câu",I1345=""),"",IF(B1349=0,"",B1349)),CHAR(34),CHAR(92)&amp;CHAR(34))</f>
        <v>Biển 2.</v>
      </c>
      <c r="K1345" t="str">
        <f>SUBSTITUTE(SUBSTITUTE(SUBSTITUTE(SUBSTITUTE(IFERROR(VLOOKUP("Câu "&amp;D1345&amp;".",dapan!$E:$J,6,0),""),"1","A"),"2","B"),"3","C"),"4","D")</f>
        <v/>
      </c>
      <c r="P1345" t="str">
        <f t="shared" si="71"/>
        <v/>
      </c>
      <c r="Q1345" t="str">
        <f t="shared" si="72"/>
        <v/>
      </c>
    </row>
    <row r="1346" spans="1:17" hidden="1" x14ac:dyDescent="0.25">
      <c r="A1346">
        <v>3</v>
      </c>
      <c r="B1346" t="s">
        <v>1081</v>
      </c>
      <c r="C1346">
        <f>IFERROR(COUNTIFS($A$1:A1346,"Câu "&amp;"*")-MID(A1346,5,FIND(".",A1346,1)-5),0)</f>
        <v>0</v>
      </c>
      <c r="D1346" t="str">
        <f t="shared" si="74"/>
        <v/>
      </c>
      <c r="E1346" t="str">
        <f>SUBSTITUTE(IF(LEFT(A1346,3)="Câu",MID(A1346,FIND(".",A1346,1)+2,LEN(A1346)),""),CHAR(34),CHAR(92)&amp;CHAR(34))</f>
        <v/>
      </c>
      <c r="F1346" t="str">
        <f t="shared" si="73"/>
        <v/>
      </c>
      <c r="G1346" t="str">
        <f>SUBSTITUTE(B1347,CHAR(34),CHAR(92)&amp;CHAR(34))</f>
        <v/>
      </c>
      <c r="H1346" t="str">
        <f>SUBSTITUTE(B1348,CHAR(34),CHAR(92)&amp;CHAR(34))</f>
        <v xml:space="preserve"> Biển 1.</v>
      </c>
      <c r="I1346" t="str">
        <f>SUBSTITUTE(IF(LEFT(A1349,3)="Câu","",B1349),CHAR(34),CHAR(92)&amp;CHAR(34))</f>
        <v>Biển 2.</v>
      </c>
      <c r="J1346" t="str">
        <f>SUBSTITUTE(IF(OR(LEFT(A1350,3)="Câu",I1346=""),"",IF(B1350=0,"",B1350)),CHAR(34),CHAR(92)&amp;CHAR(34))</f>
        <v>Cả hai biển.</v>
      </c>
      <c r="K1346" t="str">
        <f>SUBSTITUTE(SUBSTITUTE(SUBSTITUTE(SUBSTITUTE(IFERROR(VLOOKUP("Câu "&amp;D1346&amp;".",dapan!$E:$J,6,0),""),"1","A"),"2","B"),"3","C"),"4","D")</f>
        <v/>
      </c>
      <c r="P1346" t="str">
        <f t="shared" si="71"/>
        <v/>
      </c>
      <c r="Q1346" t="str">
        <f t="shared" si="72"/>
        <v/>
      </c>
    </row>
    <row r="1347" spans="1:17" x14ac:dyDescent="0.25">
      <c r="A1347" t="s">
        <v>1106</v>
      </c>
      <c r="C1347">
        <f>IFERROR(COUNTIFS($A$1:A1347,"Câu "&amp;"*")-MID(A1347,5,FIND(".",A1347,1)-5),0)</f>
        <v>0</v>
      </c>
      <c r="D1347">
        <f t="shared" si="74"/>
        <v>324</v>
      </c>
      <c r="E1347" t="str">
        <f>SUBSTITUTE(IF(LEFT(A1347,3)="Câu",MID(A1347,FIND(".",A1347,1)+2,LEN(A1347)),""),CHAR(34),CHAR(92)&amp;CHAR(34))</f>
        <v>Biển nào xe được phép quay đầu nhưng không được rẽ trái?</v>
      </c>
      <c r="F1347" t="str">
        <f t="shared" si="73"/>
        <v>q324.jpg</v>
      </c>
      <c r="G1347" t="str">
        <f>SUBSTITUTE(B1348,CHAR(34),CHAR(92)&amp;CHAR(34))</f>
        <v xml:space="preserve"> Biển 1.</v>
      </c>
      <c r="H1347" t="str">
        <f>SUBSTITUTE(B1349,CHAR(34),CHAR(92)&amp;CHAR(34))</f>
        <v>Biển 2.</v>
      </c>
      <c r="I1347" t="str">
        <f>SUBSTITUTE(IF(LEFT(A1350,3)="Câu","",B1350),CHAR(34),CHAR(92)&amp;CHAR(34))</f>
        <v>Cả hai biển.</v>
      </c>
      <c r="J1347" t="str">
        <f>SUBSTITUTE(IF(OR(LEFT(A1351,3)="Câu",I1347=""),"",IF(B1351=0,"",B1351)),CHAR(34),CHAR(92)&amp;CHAR(34))</f>
        <v/>
      </c>
      <c r="K1347" t="str">
        <f ca="1">SUBSTITUTE(SUBSTITUTE(SUBSTITUTE(SUBSTITUTE(IFERROR(VLOOKUP("Câu "&amp;D1347&amp;".",dapan!$E:$J,6,0),""),"1","A"),"2","B"),"3","C"),"4","D")</f>
        <v>A</v>
      </c>
      <c r="P1347">
        <f t="shared" ref="P1347:P1410" si="75">D1347</f>
        <v>324</v>
      </c>
      <c r="Q1347" t="str">
        <f t="shared" ref="Q1347:Q1410" ca="1" si="76">IF(D1347="","",CHAR(123)&amp;CHAR(34)&amp;"num"&amp;CHAR(34)&amp;":"&amp;P1347&amp;","&amp;CHAR(34)&amp;"id"&amp;CHAR(34)&amp;":"&amp;D1347&amp;","
&amp;CHAR(34)&amp;"q"&amp;CHAR(34)&amp;":"&amp;CHAR(34)&amp;E1347&amp;CHAR(34)&amp;","
&amp;IF(F1347="","",CHAR(34)&amp;"img"&amp;CHAR(34)&amp;":"&amp;CHAR(34)&amp;F1347&amp;CHAR(34)&amp;",")
&amp;CHAR(34)&amp;"opts"&amp;CHAR(34)&amp;":"&amp;CHAR(123)&amp;CHAR(34)&amp;"A"&amp;CHAR(34)&amp;":"&amp;CHAR(34)&amp;G1347&amp;CHAR(34)&amp;","&amp;CHAR(34)&amp;"B"&amp;CHAR(34)&amp;":"&amp;CHAR(34)&amp;H1347&amp;CHAR(34)
&amp;IF(I1347="","",","&amp;CHAR(34)&amp;"C"&amp;CHAR(34)&amp;":"&amp;CHAR(34)&amp;I1347&amp;CHAR(34))&amp;IF(J1347="","",","&amp;CHAR(34)&amp;"D"&amp;CHAR(34)&amp;":"&amp;CHAR(34)&amp;J1347&amp;CHAR(34))&amp;CHAR(125)&amp;","
&amp;CHAR(34)&amp;"answer"&amp;CHAR(34)&amp;":"&amp;CHAR(34)&amp;K1347&amp;CHAR(34)
&amp;IF(L1347="","",","&amp;CHAR(34)&amp;"danger"&amp;CHAR(34)&amp;":"&amp;CHAR(34)&amp;"true"&amp;CHAR(34))
&amp;IF(M1347="","",","&amp;CHAR(34)&amp;"explain"&amp;CHAR(34)&amp;":"&amp;CHAR(34)&amp;M1347&amp;CHAR(34))
&amp;IF(N1347="","",","&amp;CHAR(34)&amp;"explainImg"&amp;CHAR(34)&amp;":"&amp;CHAR(34)&amp;N1347&amp;CHAR(34))
&amp;IF(O1347="","",","&amp;CHAR(34)&amp;"shuffle"&amp;CHAR(34)&amp;":"&amp;CHAR(34)&amp;"false"&amp;CHAR(34))&amp;CHAR(125)&amp;",")</f>
        <v>{"num":324,"id":324,"q":"Biển nào xe được phép quay đầu nhưng không được rẽ trái?","img":"q324.jpg","opts":{"A":" Biển 1.","B":"Biển 2.","C":"Cả hai biển."},"answer":"A"},</v>
      </c>
    </row>
    <row r="1348" spans="1:17" hidden="1" x14ac:dyDescent="0.25">
      <c r="A1348">
        <v>1</v>
      </c>
      <c r="B1348" t="s">
        <v>1066</v>
      </c>
      <c r="C1348">
        <f>IFERROR(COUNTIFS($A$1:A1348,"Câu "&amp;"*")-MID(A1348,5,FIND(".",A1348,1)-5),0)</f>
        <v>0</v>
      </c>
      <c r="D1348" t="str">
        <f t="shared" si="74"/>
        <v/>
      </c>
      <c r="E1348" t="str">
        <f>SUBSTITUTE(IF(LEFT(A1348,3)="Câu",MID(A1348,FIND(".",A1348,1)+2,LEN(A1348)),""),CHAR(34),CHAR(92)&amp;CHAR(34))</f>
        <v/>
      </c>
      <c r="F1348" t="str">
        <f t="shared" si="73"/>
        <v/>
      </c>
      <c r="G1348" t="str">
        <f>SUBSTITUTE(B1349,CHAR(34),CHAR(92)&amp;CHAR(34))</f>
        <v>Biển 2.</v>
      </c>
      <c r="H1348" t="str">
        <f>SUBSTITUTE(B1350,CHAR(34),CHAR(92)&amp;CHAR(34))</f>
        <v>Cả hai biển.</v>
      </c>
      <c r="I1348" t="str">
        <f>SUBSTITUTE(IF(LEFT(A1351,3)="Câu","",B1351),CHAR(34),CHAR(92)&amp;CHAR(34))</f>
        <v/>
      </c>
      <c r="J1348" t="str">
        <f>SUBSTITUTE(IF(OR(LEFT(A1352,3)="Câu",I1348=""),"",IF(B1352=0,"",B1352)),CHAR(34),CHAR(92)&amp;CHAR(34))</f>
        <v/>
      </c>
      <c r="K1348" t="str">
        <f>SUBSTITUTE(SUBSTITUTE(SUBSTITUTE(SUBSTITUTE(IFERROR(VLOOKUP("Câu "&amp;D1348&amp;".",dapan!$E:$J,6,0),""),"1","A"),"2","B"),"3","C"),"4","D")</f>
        <v/>
      </c>
      <c r="P1348" t="str">
        <f t="shared" si="75"/>
        <v/>
      </c>
      <c r="Q1348" t="str">
        <f t="shared" si="76"/>
        <v/>
      </c>
    </row>
    <row r="1349" spans="1:17" hidden="1" x14ac:dyDescent="0.25">
      <c r="A1349">
        <v>2</v>
      </c>
      <c r="B1349" t="s">
        <v>1068</v>
      </c>
      <c r="C1349">
        <f>IFERROR(COUNTIFS($A$1:A1349,"Câu "&amp;"*")-MID(A1349,5,FIND(".",A1349,1)-5),0)</f>
        <v>0</v>
      </c>
      <c r="D1349" t="str">
        <f t="shared" si="74"/>
        <v/>
      </c>
      <c r="E1349" t="str">
        <f>SUBSTITUTE(IF(LEFT(A1349,3)="Câu",MID(A1349,FIND(".",A1349,1)+2,LEN(A1349)),""),CHAR(34),CHAR(92)&amp;CHAR(34))</f>
        <v/>
      </c>
      <c r="F1349" t="str">
        <f t="shared" si="73"/>
        <v/>
      </c>
      <c r="G1349" t="str">
        <f>SUBSTITUTE(B1350,CHAR(34),CHAR(92)&amp;CHAR(34))</f>
        <v>Cả hai biển.</v>
      </c>
      <c r="H1349" t="str">
        <f>SUBSTITUTE(B1351,CHAR(34),CHAR(92)&amp;CHAR(34))</f>
        <v/>
      </c>
      <c r="I1349" t="str">
        <f>SUBSTITUTE(IF(LEFT(A1352,3)="Câu","",B1352),CHAR(34),CHAR(92)&amp;CHAR(34))</f>
        <v>Biển 1.</v>
      </c>
      <c r="J1349" t="str">
        <f>SUBSTITUTE(IF(OR(LEFT(A1353,3)="Câu",I1349=""),"",IF(B1353=0,"",B1353)),CHAR(34),CHAR(92)&amp;CHAR(34))</f>
        <v xml:space="preserve"> Biển 2.</v>
      </c>
      <c r="K1349" t="str">
        <f>SUBSTITUTE(SUBSTITUTE(SUBSTITUTE(SUBSTITUTE(IFERROR(VLOOKUP("Câu "&amp;D1349&amp;".",dapan!$E:$J,6,0),""),"1","A"),"2","B"),"3","C"),"4","D")</f>
        <v/>
      </c>
      <c r="P1349" t="str">
        <f t="shared" si="75"/>
        <v/>
      </c>
      <c r="Q1349" t="str">
        <f t="shared" si="76"/>
        <v/>
      </c>
    </row>
    <row r="1350" spans="1:17" hidden="1" x14ac:dyDescent="0.25">
      <c r="A1350">
        <v>3</v>
      </c>
      <c r="B1350" t="s">
        <v>1095</v>
      </c>
      <c r="C1350">
        <f>IFERROR(COUNTIFS($A$1:A1350,"Câu "&amp;"*")-MID(A1350,5,FIND(".",A1350,1)-5),0)</f>
        <v>0</v>
      </c>
      <c r="D1350" t="str">
        <f t="shared" si="74"/>
        <v/>
      </c>
      <c r="E1350" t="str">
        <f>SUBSTITUTE(IF(LEFT(A1350,3)="Câu",MID(A1350,FIND(".",A1350,1)+2,LEN(A1350)),""),CHAR(34),CHAR(92)&amp;CHAR(34))</f>
        <v/>
      </c>
      <c r="F1350" t="str">
        <f t="shared" si="73"/>
        <v/>
      </c>
      <c r="G1350" t="str">
        <f>SUBSTITUTE(B1351,CHAR(34),CHAR(92)&amp;CHAR(34))</f>
        <v/>
      </c>
      <c r="H1350" t="str">
        <f>SUBSTITUTE(B1352,CHAR(34),CHAR(92)&amp;CHAR(34))</f>
        <v>Biển 1.</v>
      </c>
      <c r="I1350" t="str">
        <f>SUBSTITUTE(IF(LEFT(A1353,3)="Câu","",B1353),CHAR(34),CHAR(92)&amp;CHAR(34))</f>
        <v xml:space="preserve"> Biển 2.</v>
      </c>
      <c r="J1350" t="str">
        <f>SUBSTITUTE(IF(OR(LEFT(A1354,3)="Câu",I1350=""),"",IF(B1354=0,"",B1354)),CHAR(34),CHAR(92)&amp;CHAR(34))</f>
        <v>Cả ba biển.</v>
      </c>
      <c r="K1350" t="str">
        <f>SUBSTITUTE(SUBSTITUTE(SUBSTITUTE(SUBSTITUTE(IFERROR(VLOOKUP("Câu "&amp;D1350&amp;".",dapan!$E:$J,6,0),""),"1","A"),"2","B"),"3","C"),"4","D")</f>
        <v/>
      </c>
      <c r="P1350" t="str">
        <f t="shared" si="75"/>
        <v/>
      </c>
      <c r="Q1350" t="str">
        <f t="shared" si="76"/>
        <v/>
      </c>
    </row>
    <row r="1351" spans="1:17" x14ac:dyDescent="0.25">
      <c r="A1351" t="s">
        <v>1107</v>
      </c>
      <c r="C1351">
        <f>IFERROR(COUNTIFS($A$1:A1351,"Câu "&amp;"*")-MID(A1351,5,FIND(".",A1351,1)-5),0)</f>
        <v>0</v>
      </c>
      <c r="D1351">
        <f t="shared" si="74"/>
        <v>325</v>
      </c>
      <c r="E1351" t="str">
        <f>SUBSTITUTE(IF(LEFT(A1351,3)="Câu",MID(A1351,FIND(".",A1351,1)+2,LEN(A1351)),""),CHAR(34),CHAR(92)&amp;CHAR(34))</f>
        <v>Biển nào là biển \"Cấm đi ngược chiều\"?</v>
      </c>
      <c r="F1351" t="str">
        <f t="shared" si="73"/>
        <v>q325.jpg</v>
      </c>
      <c r="G1351" t="str">
        <f>SUBSTITUTE(B1352,CHAR(34),CHAR(92)&amp;CHAR(34))</f>
        <v>Biển 1.</v>
      </c>
      <c r="H1351" t="str">
        <f>SUBSTITUTE(B1353,CHAR(34),CHAR(92)&amp;CHAR(34))</f>
        <v xml:space="preserve"> Biển 2.</v>
      </c>
      <c r="I1351" t="str">
        <f>SUBSTITUTE(IF(LEFT(A1354,3)="Câu","",B1354),CHAR(34),CHAR(92)&amp;CHAR(34))</f>
        <v>Cả ba biển.</v>
      </c>
      <c r="J1351" t="str">
        <f>SUBSTITUTE(IF(OR(LEFT(A1355,3)="Câu",I1351=""),"",IF(B1355=0,"",B1355)),CHAR(34),CHAR(92)&amp;CHAR(34))</f>
        <v/>
      </c>
      <c r="K1351" t="str">
        <f ca="1">SUBSTITUTE(SUBSTITUTE(SUBSTITUTE(SUBSTITUTE(IFERROR(VLOOKUP("Câu "&amp;D1351&amp;".",dapan!$E:$J,6,0),""),"1","A"),"2","B"),"3","C"),"4","D")</f>
        <v>B</v>
      </c>
      <c r="P1351">
        <f t="shared" si="75"/>
        <v>325</v>
      </c>
      <c r="Q1351" t="str">
        <f t="shared" ca="1" si="76"/>
        <v>{"num":325,"id":325,"q":"Biển nào là biển \"Cấm đi ngược chiều\"?","img":"q325.jpg","opts":{"A":"Biển 1.","B":" Biển 2.","C":"Cả ba biển."},"answer":"B"},</v>
      </c>
    </row>
    <row r="1352" spans="1:17" hidden="1" x14ac:dyDescent="0.25">
      <c r="A1352">
        <v>1</v>
      </c>
      <c r="B1352" t="s">
        <v>1075</v>
      </c>
      <c r="C1352">
        <f>IFERROR(COUNTIFS($A$1:A1352,"Câu "&amp;"*")-MID(A1352,5,FIND(".",A1352,1)-5),0)</f>
        <v>0</v>
      </c>
      <c r="D1352" t="str">
        <f t="shared" si="74"/>
        <v/>
      </c>
      <c r="E1352" t="str">
        <f>SUBSTITUTE(IF(LEFT(A1352,3)="Câu",MID(A1352,FIND(".",A1352,1)+2,LEN(A1352)),""),CHAR(34),CHAR(92)&amp;CHAR(34))</f>
        <v/>
      </c>
      <c r="F1352" t="str">
        <f t="shared" si="73"/>
        <v/>
      </c>
      <c r="G1352" t="str">
        <f>SUBSTITUTE(B1353,CHAR(34),CHAR(92)&amp;CHAR(34))</f>
        <v xml:space="preserve"> Biển 2.</v>
      </c>
      <c r="H1352" t="str">
        <f>SUBSTITUTE(B1354,CHAR(34),CHAR(92)&amp;CHAR(34))</f>
        <v>Cả ba biển.</v>
      </c>
      <c r="I1352" t="str">
        <f>SUBSTITUTE(IF(LEFT(A1355,3)="Câu","",B1355),CHAR(34),CHAR(92)&amp;CHAR(34))</f>
        <v/>
      </c>
      <c r="J1352" t="str">
        <f>SUBSTITUTE(IF(OR(LEFT(A1356,3)="Câu",I1352=""),"",IF(B1356=0,"",B1356)),CHAR(34),CHAR(92)&amp;CHAR(34))</f>
        <v/>
      </c>
      <c r="K1352" t="str">
        <f>SUBSTITUTE(SUBSTITUTE(SUBSTITUTE(SUBSTITUTE(IFERROR(VLOOKUP("Câu "&amp;D1352&amp;".",dapan!$E:$J,6,0),""),"1","A"),"2","B"),"3","C"),"4","D")</f>
        <v/>
      </c>
      <c r="P1352" t="str">
        <f t="shared" si="75"/>
        <v/>
      </c>
      <c r="Q1352" t="str">
        <f t="shared" si="76"/>
        <v/>
      </c>
    </row>
    <row r="1353" spans="1:17" hidden="1" x14ac:dyDescent="0.25">
      <c r="A1353">
        <v>2</v>
      </c>
      <c r="B1353" t="s">
        <v>1090</v>
      </c>
      <c r="C1353">
        <f>IFERROR(COUNTIFS($A$1:A1353,"Câu "&amp;"*")-MID(A1353,5,FIND(".",A1353,1)-5),0)</f>
        <v>0</v>
      </c>
      <c r="D1353" t="str">
        <f t="shared" si="74"/>
        <v/>
      </c>
      <c r="E1353" t="str">
        <f>SUBSTITUTE(IF(LEFT(A1353,3)="Câu",MID(A1353,FIND(".",A1353,1)+2,LEN(A1353)),""),CHAR(34),CHAR(92)&amp;CHAR(34))</f>
        <v/>
      </c>
      <c r="F1353" t="str">
        <f t="shared" si="73"/>
        <v/>
      </c>
      <c r="G1353" t="str">
        <f>SUBSTITUTE(B1354,CHAR(34),CHAR(92)&amp;CHAR(34))</f>
        <v>Cả ba biển.</v>
      </c>
      <c r="H1353" t="str">
        <f>SUBSTITUTE(B1355,CHAR(34),CHAR(92)&amp;CHAR(34))</f>
        <v/>
      </c>
      <c r="I1353" t="str">
        <f>SUBSTITUTE(IF(LEFT(A1356,3)="Câu","",B1356),CHAR(34),CHAR(92)&amp;CHAR(34))</f>
        <v>Biển 1.</v>
      </c>
      <c r="J1353" t="str">
        <f>SUBSTITUTE(IF(OR(LEFT(A1357,3)="Câu",I1353=""),"",IF(B1357=0,"",B1357)),CHAR(34),CHAR(92)&amp;CHAR(34))</f>
        <v>Biển 2.</v>
      </c>
      <c r="K1353" t="str">
        <f>SUBSTITUTE(SUBSTITUTE(SUBSTITUTE(SUBSTITUTE(IFERROR(VLOOKUP("Câu "&amp;D1353&amp;".",dapan!$E:$J,6,0),""),"1","A"),"2","B"),"3","C"),"4","D")</f>
        <v/>
      </c>
      <c r="P1353" t="str">
        <f t="shared" si="75"/>
        <v/>
      </c>
      <c r="Q1353" t="str">
        <f t="shared" si="76"/>
        <v/>
      </c>
    </row>
    <row r="1354" spans="1:17" hidden="1" x14ac:dyDescent="0.25">
      <c r="A1354">
        <v>3</v>
      </c>
      <c r="B1354" t="s">
        <v>1071</v>
      </c>
      <c r="C1354">
        <f>IFERROR(COUNTIFS($A$1:A1354,"Câu "&amp;"*")-MID(A1354,5,FIND(".",A1354,1)-5),0)</f>
        <v>0</v>
      </c>
      <c r="D1354" t="str">
        <f t="shared" si="74"/>
        <v/>
      </c>
      <c r="E1354" t="str">
        <f>SUBSTITUTE(IF(LEFT(A1354,3)="Câu",MID(A1354,FIND(".",A1354,1)+2,LEN(A1354)),""),CHAR(34),CHAR(92)&amp;CHAR(34))</f>
        <v/>
      </c>
      <c r="F1354" t="str">
        <f t="shared" si="73"/>
        <v/>
      </c>
      <c r="G1354" t="str">
        <f>SUBSTITUTE(B1355,CHAR(34),CHAR(92)&amp;CHAR(34))</f>
        <v/>
      </c>
      <c r="H1354" t="str">
        <f>SUBSTITUTE(B1356,CHAR(34),CHAR(92)&amp;CHAR(34))</f>
        <v>Biển 1.</v>
      </c>
      <c r="I1354" t="str">
        <f>SUBSTITUTE(IF(LEFT(A1357,3)="Câu","",B1357),CHAR(34),CHAR(92)&amp;CHAR(34))</f>
        <v>Biển 2.</v>
      </c>
      <c r="J1354" t="str">
        <f>SUBSTITUTE(IF(OR(LEFT(A1358,3)="Câu",I1354=""),"",IF(B1358=0,"",B1358)),CHAR(34),CHAR(92)&amp;CHAR(34))</f>
        <v xml:space="preserve"> Biển 1 và biển 2.</v>
      </c>
      <c r="K1354" t="str">
        <f>SUBSTITUTE(SUBSTITUTE(SUBSTITUTE(SUBSTITUTE(IFERROR(VLOOKUP("Câu "&amp;D1354&amp;".",dapan!$E:$J,6,0),""),"1","A"),"2","B"),"3","C"),"4","D")</f>
        <v/>
      </c>
      <c r="P1354" t="str">
        <f t="shared" si="75"/>
        <v/>
      </c>
      <c r="Q1354" t="str">
        <f t="shared" si="76"/>
        <v/>
      </c>
    </row>
    <row r="1355" spans="1:17" x14ac:dyDescent="0.25">
      <c r="A1355" t="s">
        <v>1108</v>
      </c>
      <c r="C1355">
        <f>IFERROR(COUNTIFS($A$1:A1355,"Câu "&amp;"*")-MID(A1355,5,FIND(".",A1355,1)-5),0)</f>
        <v>0</v>
      </c>
      <c r="D1355">
        <f t="shared" si="74"/>
        <v>326</v>
      </c>
      <c r="E1355" t="str">
        <f>SUBSTITUTE(IF(LEFT(A1355,3)="Câu",MID(A1355,FIND(".",A1355,1)+2,LEN(A1355)),""),CHAR(34),CHAR(92)&amp;CHAR(34))</f>
        <v>Biển nào dưới đây các phương tiện không được phép đi vào?</v>
      </c>
      <c r="F1355" t="str">
        <f t="shared" si="73"/>
        <v>q326.jpg</v>
      </c>
      <c r="G1355" t="str">
        <f>SUBSTITUTE(B1356,CHAR(34),CHAR(92)&amp;CHAR(34))</f>
        <v>Biển 1.</v>
      </c>
      <c r="H1355" t="str">
        <f>SUBSTITUTE(B1357,CHAR(34),CHAR(92)&amp;CHAR(34))</f>
        <v>Biển 2.</v>
      </c>
      <c r="I1355" t="str">
        <f>SUBSTITUTE(IF(LEFT(A1358,3)="Câu","",B1358),CHAR(34),CHAR(92)&amp;CHAR(34))</f>
        <v xml:space="preserve"> Biển 1 và biển 2.</v>
      </c>
      <c r="J1355" t="str">
        <f>SUBSTITUTE(IF(OR(LEFT(A1359,3)="Câu",I1355=""),"",IF(B1359=0,"",B1359)),CHAR(34),CHAR(92)&amp;CHAR(34))</f>
        <v/>
      </c>
      <c r="K1355" t="str">
        <f ca="1">SUBSTITUTE(SUBSTITUTE(SUBSTITUTE(SUBSTITUTE(IFERROR(VLOOKUP("Câu "&amp;D1355&amp;".",dapan!$E:$J,6,0),""),"1","A"),"2","B"),"3","C"),"4","D")</f>
        <v>C</v>
      </c>
      <c r="P1355">
        <f t="shared" si="75"/>
        <v>326</v>
      </c>
      <c r="Q1355" t="str">
        <f t="shared" ca="1" si="76"/>
        <v>{"num":326,"id":326,"q":"Biển nào dưới đây các phương tiện không được phép đi vào?","img":"q326.jpg","opts":{"A":"Biển 1.","B":"Biển 2.","C":" Biển 1 và biển 2."},"answer":"C"},</v>
      </c>
    </row>
    <row r="1356" spans="1:17" hidden="1" x14ac:dyDescent="0.25">
      <c r="A1356">
        <v>1</v>
      </c>
      <c r="B1356" t="s">
        <v>1075</v>
      </c>
      <c r="C1356">
        <f>IFERROR(COUNTIFS($A$1:A1356,"Câu "&amp;"*")-MID(A1356,5,FIND(".",A1356,1)-5),0)</f>
        <v>0</v>
      </c>
      <c r="D1356" t="str">
        <f t="shared" si="74"/>
        <v/>
      </c>
      <c r="E1356" t="str">
        <f>SUBSTITUTE(IF(LEFT(A1356,3)="Câu",MID(A1356,FIND(".",A1356,1)+2,LEN(A1356)),""),CHAR(34),CHAR(92)&amp;CHAR(34))</f>
        <v/>
      </c>
      <c r="F1356" t="str">
        <f t="shared" si="73"/>
        <v/>
      </c>
      <c r="G1356" t="str">
        <f>SUBSTITUTE(B1357,CHAR(34),CHAR(92)&amp;CHAR(34))</f>
        <v>Biển 2.</v>
      </c>
      <c r="H1356" t="str">
        <f>SUBSTITUTE(B1358,CHAR(34),CHAR(92)&amp;CHAR(34))</f>
        <v xml:space="preserve"> Biển 1 và biển 2.</v>
      </c>
      <c r="I1356" t="str">
        <f>SUBSTITUTE(IF(LEFT(A1359,3)="Câu","",B1359),CHAR(34),CHAR(92)&amp;CHAR(34))</f>
        <v/>
      </c>
      <c r="J1356" t="str">
        <f>SUBSTITUTE(IF(OR(LEFT(A1360,3)="Câu",I1356=""),"",IF(B1360=0,"",B1360)),CHAR(34),CHAR(92)&amp;CHAR(34))</f>
        <v/>
      </c>
      <c r="K1356" t="str">
        <f>SUBSTITUTE(SUBSTITUTE(SUBSTITUTE(SUBSTITUTE(IFERROR(VLOOKUP("Câu "&amp;D1356&amp;".",dapan!$E:$J,6,0),""),"1","A"),"2","B"),"3","C"),"4","D")</f>
        <v/>
      </c>
      <c r="P1356" t="str">
        <f t="shared" si="75"/>
        <v/>
      </c>
      <c r="Q1356" t="str">
        <f t="shared" si="76"/>
        <v/>
      </c>
    </row>
    <row r="1357" spans="1:17" hidden="1" x14ac:dyDescent="0.25">
      <c r="A1357">
        <v>2</v>
      </c>
      <c r="B1357" t="s">
        <v>1068</v>
      </c>
      <c r="C1357">
        <f>IFERROR(COUNTIFS($A$1:A1357,"Câu "&amp;"*")-MID(A1357,5,FIND(".",A1357,1)-5),0)</f>
        <v>0</v>
      </c>
      <c r="D1357" t="str">
        <f t="shared" si="74"/>
        <v/>
      </c>
      <c r="E1357" t="str">
        <f>SUBSTITUTE(IF(LEFT(A1357,3)="Câu",MID(A1357,FIND(".",A1357,1)+2,LEN(A1357)),""),CHAR(34),CHAR(92)&amp;CHAR(34))</f>
        <v/>
      </c>
      <c r="F1357" t="str">
        <f t="shared" si="73"/>
        <v/>
      </c>
      <c r="G1357" t="str">
        <f>SUBSTITUTE(B1358,CHAR(34),CHAR(92)&amp;CHAR(34))</f>
        <v xml:space="preserve"> Biển 1 và biển 2.</v>
      </c>
      <c r="H1357" t="str">
        <f>SUBSTITUTE(B1359,CHAR(34),CHAR(92)&amp;CHAR(34))</f>
        <v/>
      </c>
      <c r="I1357" t="str">
        <f>SUBSTITUTE(IF(LEFT(A1360,3)="Câu","",B1360),CHAR(34),CHAR(92)&amp;CHAR(34))</f>
        <v>Biển 1.</v>
      </c>
      <c r="J1357" t="str">
        <f>SUBSTITUTE(IF(OR(LEFT(A1361,3)="Câu",I1357=""),"",IF(B1361=0,"",B1361)),CHAR(34),CHAR(92)&amp;CHAR(34))</f>
        <v xml:space="preserve"> Biển 1 và biển 3.</v>
      </c>
      <c r="K1357" t="str">
        <f>SUBSTITUTE(SUBSTITUTE(SUBSTITUTE(SUBSTITUTE(IFERROR(VLOOKUP("Câu "&amp;D1357&amp;".",dapan!$E:$J,6,0),""),"1","A"),"2","B"),"3","C"),"4","D")</f>
        <v/>
      </c>
      <c r="P1357" t="str">
        <f t="shared" si="75"/>
        <v/>
      </c>
      <c r="Q1357" t="str">
        <f t="shared" si="76"/>
        <v/>
      </c>
    </row>
    <row r="1358" spans="1:17" hidden="1" x14ac:dyDescent="0.25">
      <c r="A1358">
        <v>3</v>
      </c>
      <c r="B1358" t="s">
        <v>1079</v>
      </c>
      <c r="C1358">
        <f>IFERROR(COUNTIFS($A$1:A1358,"Câu "&amp;"*")-MID(A1358,5,FIND(".",A1358,1)-5),0)</f>
        <v>0</v>
      </c>
      <c r="D1358" t="str">
        <f t="shared" si="74"/>
        <v/>
      </c>
      <c r="E1358" t="str">
        <f>SUBSTITUTE(IF(LEFT(A1358,3)="Câu",MID(A1358,FIND(".",A1358,1)+2,LEN(A1358)),""),CHAR(34),CHAR(92)&amp;CHAR(34))</f>
        <v/>
      </c>
      <c r="F1358" t="str">
        <f t="shared" si="73"/>
        <v/>
      </c>
      <c r="G1358" t="str">
        <f>SUBSTITUTE(B1359,CHAR(34),CHAR(92)&amp;CHAR(34))</f>
        <v/>
      </c>
      <c r="H1358" t="str">
        <f>SUBSTITUTE(B1360,CHAR(34),CHAR(92)&amp;CHAR(34))</f>
        <v>Biển 1.</v>
      </c>
      <c r="I1358" t="str">
        <f>SUBSTITUTE(IF(LEFT(A1361,3)="Câu","",B1361),CHAR(34),CHAR(92)&amp;CHAR(34))</f>
        <v xml:space="preserve"> Biển 1 và biển 3.</v>
      </c>
      <c r="J1358" t="str">
        <f>SUBSTITUTE(IF(OR(LEFT(A1362,3)="Câu",I1358=""),"",IF(B1362=0,"",B1362)),CHAR(34),CHAR(92)&amp;CHAR(34))</f>
        <v>Biển 2 và biển 3.</v>
      </c>
      <c r="K1358" t="str">
        <f>SUBSTITUTE(SUBSTITUTE(SUBSTITUTE(SUBSTITUTE(IFERROR(VLOOKUP("Câu "&amp;D1358&amp;".",dapan!$E:$J,6,0),""),"1","A"),"2","B"),"3","C"),"4","D")</f>
        <v/>
      </c>
      <c r="P1358" t="str">
        <f t="shared" si="75"/>
        <v/>
      </c>
      <c r="Q1358" t="str">
        <f t="shared" si="76"/>
        <v/>
      </c>
    </row>
    <row r="1359" spans="1:17" x14ac:dyDescent="0.25">
      <c r="A1359" t="s">
        <v>1109</v>
      </c>
      <c r="C1359">
        <f>IFERROR(COUNTIFS($A$1:A1359,"Câu "&amp;"*")-MID(A1359,5,FIND(".",A1359,1)-5),0)</f>
        <v>0</v>
      </c>
      <c r="D1359">
        <f t="shared" si="74"/>
        <v>327</v>
      </c>
      <c r="E1359" t="str">
        <f>SUBSTITUTE(IF(LEFT(A1359,3)="Câu",MID(A1359,FIND(".",A1359,1)+2,LEN(A1359)),""),CHAR(34),CHAR(92)&amp;CHAR(34))</f>
        <v>Gặp biển nào người lái xe không được đỗ xe vào ngày chẵn?</v>
      </c>
      <c r="F1359" t="str">
        <f t="shared" si="73"/>
        <v>q327.jpg</v>
      </c>
      <c r="G1359" t="str">
        <f>SUBSTITUTE(B1360,CHAR(34),CHAR(92)&amp;CHAR(34))</f>
        <v>Biển 1.</v>
      </c>
      <c r="H1359" t="str">
        <f>SUBSTITUTE(B1361,CHAR(34),CHAR(92)&amp;CHAR(34))</f>
        <v xml:space="preserve"> Biển 1 và biển 3.</v>
      </c>
      <c r="I1359" t="str">
        <f>SUBSTITUTE(IF(LEFT(A1362,3)="Câu","",B1362),CHAR(34),CHAR(92)&amp;CHAR(34))</f>
        <v>Biển 2 và biển 3.</v>
      </c>
      <c r="J1359" t="str">
        <f>SUBSTITUTE(IF(OR(LEFT(A1363,3)="Câu",I1359=""),"",IF(B1363=0,"",B1363)),CHAR(34),CHAR(92)&amp;CHAR(34))</f>
        <v>Biển 3.</v>
      </c>
      <c r="K1359" t="str">
        <f ca="1">SUBSTITUTE(SUBSTITUTE(SUBSTITUTE(SUBSTITUTE(IFERROR(VLOOKUP("Câu "&amp;D1359&amp;".",dapan!$E:$J,6,0),""),"1","A"),"2","B"),"3","C"),"4","D")</f>
        <v>B</v>
      </c>
      <c r="P1359">
        <f t="shared" si="75"/>
        <v>327</v>
      </c>
      <c r="Q1359" t="str">
        <f t="shared" ca="1" si="76"/>
        <v>{"num":327,"id":327,"q":"Gặp biển nào người lái xe không được đỗ xe vào ngày chẵn?","img":"q327.jpg","opts":{"A":"Biển 1.","B":" Biển 1 và biển 3.","C":"Biển 2 và biển 3.","D":"Biển 3."},"answer":"B"},</v>
      </c>
    </row>
    <row r="1360" spans="1:17" hidden="1" x14ac:dyDescent="0.25">
      <c r="A1360">
        <v>1</v>
      </c>
      <c r="B1360" t="s">
        <v>1075</v>
      </c>
      <c r="C1360">
        <f>IFERROR(COUNTIFS($A$1:A1360,"Câu "&amp;"*")-MID(A1360,5,FIND(".",A1360,1)-5),0)</f>
        <v>0</v>
      </c>
      <c r="D1360" t="str">
        <f t="shared" si="74"/>
        <v/>
      </c>
      <c r="E1360" t="str">
        <f>SUBSTITUTE(IF(LEFT(A1360,3)="Câu",MID(A1360,FIND(".",A1360,1)+2,LEN(A1360)),""),CHAR(34),CHAR(92)&amp;CHAR(34))</f>
        <v/>
      </c>
      <c r="F1360" t="str">
        <f t="shared" si="73"/>
        <v/>
      </c>
      <c r="G1360" t="str">
        <f>SUBSTITUTE(B1361,CHAR(34),CHAR(92)&amp;CHAR(34))</f>
        <v xml:space="preserve"> Biển 1 và biển 3.</v>
      </c>
      <c r="H1360" t="str">
        <f>SUBSTITUTE(B1362,CHAR(34),CHAR(92)&amp;CHAR(34))</f>
        <v>Biển 2 và biển 3.</v>
      </c>
      <c r="I1360" t="str">
        <f>SUBSTITUTE(IF(LEFT(A1363,3)="Câu","",B1363),CHAR(34),CHAR(92)&amp;CHAR(34))</f>
        <v>Biển 3.</v>
      </c>
      <c r="J1360" t="str">
        <f>SUBSTITUTE(IF(OR(LEFT(A1364,3)="Câu",I1360=""),"",IF(B1364=0,"",B1364)),CHAR(34),CHAR(92)&amp;CHAR(34))</f>
        <v/>
      </c>
      <c r="K1360" t="str">
        <f>SUBSTITUTE(SUBSTITUTE(SUBSTITUTE(SUBSTITUTE(IFERROR(VLOOKUP("Câu "&amp;D1360&amp;".",dapan!$E:$J,6,0),""),"1","A"),"2","B"),"3","C"),"4","D")</f>
        <v/>
      </c>
      <c r="P1360" t="str">
        <f t="shared" si="75"/>
        <v/>
      </c>
      <c r="Q1360" t="str">
        <f t="shared" si="76"/>
        <v/>
      </c>
    </row>
    <row r="1361" spans="1:17" hidden="1" x14ac:dyDescent="0.25">
      <c r="A1361">
        <v>2</v>
      </c>
      <c r="B1361" t="s">
        <v>1088</v>
      </c>
      <c r="C1361">
        <f>IFERROR(COUNTIFS($A$1:A1361,"Câu "&amp;"*")-MID(A1361,5,FIND(".",A1361,1)-5),0)</f>
        <v>0</v>
      </c>
      <c r="D1361" t="str">
        <f t="shared" si="74"/>
        <v/>
      </c>
      <c r="E1361" t="str">
        <f>SUBSTITUTE(IF(LEFT(A1361,3)="Câu",MID(A1361,FIND(".",A1361,1)+2,LEN(A1361)),""),CHAR(34),CHAR(92)&amp;CHAR(34))</f>
        <v/>
      </c>
      <c r="F1361" t="str">
        <f t="shared" si="73"/>
        <v/>
      </c>
      <c r="G1361" t="str">
        <f>SUBSTITUTE(B1362,CHAR(34),CHAR(92)&amp;CHAR(34))</f>
        <v>Biển 2 và biển 3.</v>
      </c>
      <c r="H1361" t="str">
        <f>SUBSTITUTE(B1363,CHAR(34),CHAR(92)&amp;CHAR(34))</f>
        <v>Biển 3.</v>
      </c>
      <c r="I1361" t="str">
        <f>SUBSTITUTE(IF(LEFT(A1364,3)="Câu","",B1364),CHAR(34),CHAR(92)&amp;CHAR(34))</f>
        <v/>
      </c>
      <c r="J1361" t="str">
        <f>SUBSTITUTE(IF(OR(LEFT(A1365,3)="Câu",I1361=""),"",IF(B1365=0,"",B1365)),CHAR(34),CHAR(92)&amp;CHAR(34))</f>
        <v/>
      </c>
      <c r="K1361" t="str">
        <f>SUBSTITUTE(SUBSTITUTE(SUBSTITUTE(SUBSTITUTE(IFERROR(VLOOKUP("Câu "&amp;D1361&amp;".",dapan!$E:$J,6,0),""),"1","A"),"2","B"),"3","C"),"4","D")</f>
        <v/>
      </c>
      <c r="P1361" t="str">
        <f t="shared" si="75"/>
        <v/>
      </c>
      <c r="Q1361" t="str">
        <f t="shared" si="76"/>
        <v/>
      </c>
    </row>
    <row r="1362" spans="1:17" hidden="1" x14ac:dyDescent="0.25">
      <c r="A1362">
        <v>3</v>
      </c>
      <c r="B1362" t="s">
        <v>1072</v>
      </c>
      <c r="C1362">
        <f>IFERROR(COUNTIFS($A$1:A1362,"Câu "&amp;"*")-MID(A1362,5,FIND(".",A1362,1)-5),0)</f>
        <v>0</v>
      </c>
      <c r="D1362" t="str">
        <f t="shared" si="74"/>
        <v/>
      </c>
      <c r="E1362" t="str">
        <f>SUBSTITUTE(IF(LEFT(A1362,3)="Câu",MID(A1362,FIND(".",A1362,1)+2,LEN(A1362)),""),CHAR(34),CHAR(92)&amp;CHAR(34))</f>
        <v/>
      </c>
      <c r="F1362" t="str">
        <f t="shared" si="73"/>
        <v/>
      </c>
      <c r="G1362" t="str">
        <f>SUBSTITUTE(B1363,CHAR(34),CHAR(92)&amp;CHAR(34))</f>
        <v>Biển 3.</v>
      </c>
      <c r="H1362" t="str">
        <f>SUBSTITUTE(B1364,CHAR(34),CHAR(92)&amp;CHAR(34))</f>
        <v/>
      </c>
      <c r="I1362" t="str">
        <f>SUBSTITUTE(IF(LEFT(A1365,3)="Câu","",B1365),CHAR(34),CHAR(92)&amp;CHAR(34))</f>
        <v xml:space="preserve"> Biển 1 và biển 2.</v>
      </c>
      <c r="J1362" t="str">
        <f>SUBSTITUTE(IF(OR(LEFT(A1366,3)="Câu",I1362=""),"",IF(B1366=0,"",B1366)),CHAR(34),CHAR(92)&amp;CHAR(34))</f>
        <v>Biển 2.</v>
      </c>
      <c r="K1362" t="str">
        <f>SUBSTITUTE(SUBSTITUTE(SUBSTITUTE(SUBSTITUTE(IFERROR(VLOOKUP("Câu "&amp;D1362&amp;".",dapan!$E:$J,6,0),""),"1","A"),"2","B"),"3","C"),"4","D")</f>
        <v/>
      </c>
      <c r="P1362" t="str">
        <f t="shared" si="75"/>
        <v/>
      </c>
      <c r="Q1362" t="str">
        <f t="shared" si="76"/>
        <v/>
      </c>
    </row>
    <row r="1363" spans="1:17" hidden="1" x14ac:dyDescent="0.25">
      <c r="A1363">
        <v>4</v>
      </c>
      <c r="B1363" t="s">
        <v>1083</v>
      </c>
      <c r="C1363">
        <f>IFERROR(COUNTIFS($A$1:A1363,"Câu "&amp;"*")-MID(A1363,5,FIND(".",A1363,1)-5),0)</f>
        <v>0</v>
      </c>
      <c r="D1363" t="str">
        <f t="shared" si="74"/>
        <v/>
      </c>
      <c r="E1363" t="str">
        <f>SUBSTITUTE(IF(LEFT(A1363,3)="Câu",MID(A1363,FIND(".",A1363,1)+2,LEN(A1363)),""),CHAR(34),CHAR(92)&amp;CHAR(34))</f>
        <v/>
      </c>
      <c r="F1363" t="str">
        <f t="shared" si="73"/>
        <v/>
      </c>
      <c r="G1363" t="str">
        <f>SUBSTITUTE(B1364,CHAR(34),CHAR(92)&amp;CHAR(34))</f>
        <v/>
      </c>
      <c r="H1363" t="str">
        <f>SUBSTITUTE(B1365,CHAR(34),CHAR(92)&amp;CHAR(34))</f>
        <v xml:space="preserve"> Biển 1 và biển 2.</v>
      </c>
      <c r="I1363" t="str">
        <f>SUBSTITUTE(IF(LEFT(A1366,3)="Câu","",B1366),CHAR(34),CHAR(92)&amp;CHAR(34))</f>
        <v>Biển 2.</v>
      </c>
      <c r="J1363" t="str">
        <f>SUBSTITUTE(IF(OR(LEFT(A1367,3)="Câu",I1363=""),"",IF(B1367=0,"",B1367)),CHAR(34),CHAR(92)&amp;CHAR(34))</f>
        <v>Biển 2 và biển 3.</v>
      </c>
      <c r="K1363" t="str">
        <f>SUBSTITUTE(SUBSTITUTE(SUBSTITUTE(SUBSTITUTE(IFERROR(VLOOKUP("Câu "&amp;D1363&amp;".",dapan!$E:$J,6,0),""),"1","A"),"2","B"),"3","C"),"4","D")</f>
        <v/>
      </c>
      <c r="P1363" t="str">
        <f t="shared" si="75"/>
        <v/>
      </c>
      <c r="Q1363" t="str">
        <f t="shared" si="76"/>
        <v/>
      </c>
    </row>
    <row r="1364" spans="1:17" x14ac:dyDescent="0.25">
      <c r="A1364" t="s">
        <v>1110</v>
      </c>
      <c r="C1364">
        <f>IFERROR(COUNTIFS($A$1:A1364,"Câu "&amp;"*")-MID(A1364,5,FIND(".",A1364,1)-5),0)</f>
        <v>0</v>
      </c>
      <c r="D1364">
        <f t="shared" si="74"/>
        <v>328</v>
      </c>
      <c r="E1364" t="str">
        <f>SUBSTITUTE(IF(LEFT(A1364,3)="Câu",MID(A1364,FIND(".",A1364,1)+2,LEN(A1364)),""),CHAR(34),CHAR(92)&amp;CHAR(34))</f>
        <v>Gặp biển nào người lái xe không được đỗ xe vào ngày lẻ?</v>
      </c>
      <c r="F1364" t="str">
        <f t="shared" si="73"/>
        <v>q328.jpg</v>
      </c>
      <c r="G1364" t="str">
        <f>SUBSTITUTE(B1365,CHAR(34),CHAR(92)&amp;CHAR(34))</f>
        <v xml:space="preserve"> Biển 1 và biển 2.</v>
      </c>
      <c r="H1364" t="str">
        <f>SUBSTITUTE(B1366,CHAR(34),CHAR(92)&amp;CHAR(34))</f>
        <v>Biển 2.</v>
      </c>
      <c r="I1364" t="str">
        <f>SUBSTITUTE(IF(LEFT(A1367,3)="Câu","",B1367),CHAR(34),CHAR(92)&amp;CHAR(34))</f>
        <v>Biển 2 và biển 3.</v>
      </c>
      <c r="J1364" t="str">
        <f>SUBSTITUTE(IF(OR(LEFT(A1368,3)="Câu",I1364=""),"",IF(B1368=0,"",B1368)),CHAR(34),CHAR(92)&amp;CHAR(34))</f>
        <v>Biển 3.</v>
      </c>
      <c r="K1364" t="str">
        <f ca="1">SUBSTITUTE(SUBSTITUTE(SUBSTITUTE(SUBSTITUTE(IFERROR(VLOOKUP("Câu "&amp;D1364&amp;".",dapan!$E:$J,6,0),""),"1","A"),"2","B"),"3","C"),"4","D")</f>
        <v>A</v>
      </c>
      <c r="P1364">
        <f t="shared" si="75"/>
        <v>328</v>
      </c>
      <c r="Q1364" t="str">
        <f t="shared" ca="1" si="76"/>
        <v>{"num":328,"id":328,"q":"Gặp biển nào người lái xe không được đỗ xe vào ngày lẻ?","img":"q328.jpg","opts":{"A":" Biển 1 và biển 2.","B":"Biển 2.","C":"Biển 2 và biển 3.","D":"Biển 3."},"answer":"A"},</v>
      </c>
    </row>
    <row r="1365" spans="1:17" hidden="1" x14ac:dyDescent="0.25">
      <c r="A1365">
        <v>1</v>
      </c>
      <c r="B1365" t="s">
        <v>1079</v>
      </c>
      <c r="C1365">
        <f>IFERROR(COUNTIFS($A$1:A1365,"Câu "&amp;"*")-MID(A1365,5,FIND(".",A1365,1)-5),0)</f>
        <v>0</v>
      </c>
      <c r="D1365" t="str">
        <f t="shared" si="74"/>
        <v/>
      </c>
      <c r="E1365" t="str">
        <f>SUBSTITUTE(IF(LEFT(A1365,3)="Câu",MID(A1365,FIND(".",A1365,1)+2,LEN(A1365)),""),CHAR(34),CHAR(92)&amp;CHAR(34))</f>
        <v/>
      </c>
      <c r="F1365" t="str">
        <f t="shared" si="73"/>
        <v/>
      </c>
      <c r="G1365" t="str">
        <f>SUBSTITUTE(B1366,CHAR(34),CHAR(92)&amp;CHAR(34))</f>
        <v>Biển 2.</v>
      </c>
      <c r="H1365" t="str">
        <f>SUBSTITUTE(B1367,CHAR(34),CHAR(92)&amp;CHAR(34))</f>
        <v>Biển 2 và biển 3.</v>
      </c>
      <c r="I1365" t="str">
        <f>SUBSTITUTE(IF(LEFT(A1368,3)="Câu","",B1368),CHAR(34),CHAR(92)&amp;CHAR(34))</f>
        <v>Biển 3.</v>
      </c>
      <c r="J1365" t="str">
        <f>SUBSTITUTE(IF(OR(LEFT(A1369,3)="Câu",I1365=""),"",IF(B1369=0,"",B1369)),CHAR(34),CHAR(92)&amp;CHAR(34))</f>
        <v/>
      </c>
      <c r="K1365" t="str">
        <f>SUBSTITUTE(SUBSTITUTE(SUBSTITUTE(SUBSTITUTE(IFERROR(VLOOKUP("Câu "&amp;D1365&amp;".",dapan!$E:$J,6,0),""),"1","A"),"2","B"),"3","C"),"4","D")</f>
        <v/>
      </c>
      <c r="P1365" t="str">
        <f t="shared" si="75"/>
        <v/>
      </c>
      <c r="Q1365" t="str">
        <f t="shared" si="76"/>
        <v/>
      </c>
    </row>
    <row r="1366" spans="1:17" hidden="1" x14ac:dyDescent="0.25">
      <c r="A1366">
        <v>2</v>
      </c>
      <c r="B1366" t="s">
        <v>1068</v>
      </c>
      <c r="C1366">
        <f>IFERROR(COUNTIFS($A$1:A1366,"Câu "&amp;"*")-MID(A1366,5,FIND(".",A1366,1)-5),0)</f>
        <v>0</v>
      </c>
      <c r="D1366" t="str">
        <f t="shared" si="74"/>
        <v/>
      </c>
      <c r="E1366" t="str">
        <f>SUBSTITUTE(IF(LEFT(A1366,3)="Câu",MID(A1366,FIND(".",A1366,1)+2,LEN(A1366)),""),CHAR(34),CHAR(92)&amp;CHAR(34))</f>
        <v/>
      </c>
      <c r="F1366" t="str">
        <f t="shared" si="73"/>
        <v/>
      </c>
      <c r="G1366" t="str">
        <f>SUBSTITUTE(B1367,CHAR(34),CHAR(92)&amp;CHAR(34))</f>
        <v>Biển 2 và biển 3.</v>
      </c>
      <c r="H1366" t="str">
        <f>SUBSTITUTE(B1368,CHAR(34),CHAR(92)&amp;CHAR(34))</f>
        <v>Biển 3.</v>
      </c>
      <c r="I1366" t="str">
        <f>SUBSTITUTE(IF(LEFT(A1369,3)="Câu","",B1369),CHAR(34),CHAR(92)&amp;CHAR(34))</f>
        <v/>
      </c>
      <c r="J1366" t="str">
        <f>SUBSTITUTE(IF(OR(LEFT(A1370,3)="Câu",I1366=""),"",IF(B1370=0,"",B1370)),CHAR(34),CHAR(92)&amp;CHAR(34))</f>
        <v/>
      </c>
      <c r="K1366" t="str">
        <f>SUBSTITUTE(SUBSTITUTE(SUBSTITUTE(SUBSTITUTE(IFERROR(VLOOKUP("Câu "&amp;D1366&amp;".",dapan!$E:$J,6,0),""),"1","A"),"2","B"),"3","C"),"4","D")</f>
        <v/>
      </c>
      <c r="P1366" t="str">
        <f t="shared" si="75"/>
        <v/>
      </c>
      <c r="Q1366" t="str">
        <f t="shared" si="76"/>
        <v/>
      </c>
    </row>
    <row r="1367" spans="1:17" hidden="1" x14ac:dyDescent="0.25">
      <c r="A1367">
        <v>3</v>
      </c>
      <c r="B1367" t="s">
        <v>1072</v>
      </c>
      <c r="C1367">
        <f>IFERROR(COUNTIFS($A$1:A1367,"Câu "&amp;"*")-MID(A1367,5,FIND(".",A1367,1)-5),0)</f>
        <v>0</v>
      </c>
      <c r="D1367" t="str">
        <f t="shared" si="74"/>
        <v/>
      </c>
      <c r="E1367" t="str">
        <f>SUBSTITUTE(IF(LEFT(A1367,3)="Câu",MID(A1367,FIND(".",A1367,1)+2,LEN(A1367)),""),CHAR(34),CHAR(92)&amp;CHAR(34))</f>
        <v/>
      </c>
      <c r="F1367" t="str">
        <f t="shared" ref="F1367:F1430" si="77">IF(D1367="","","q"&amp;TEXT(D1367,"000")&amp;".jpg")</f>
        <v/>
      </c>
      <c r="G1367" t="str">
        <f>SUBSTITUTE(B1368,CHAR(34),CHAR(92)&amp;CHAR(34))</f>
        <v>Biển 3.</v>
      </c>
      <c r="H1367" t="str">
        <f>SUBSTITUTE(B1369,CHAR(34),CHAR(92)&amp;CHAR(34))</f>
        <v/>
      </c>
      <c r="I1367" t="str">
        <f>SUBSTITUTE(IF(LEFT(A1370,3)="Câu","",B1370),CHAR(34),CHAR(92)&amp;CHAR(34))</f>
        <v>Biển 1.</v>
      </c>
      <c r="J1367" t="str">
        <f>SUBSTITUTE(IF(OR(LEFT(A1371,3)="Câu",I1367=""),"",IF(B1371=0,"",B1371)),CHAR(34),CHAR(92)&amp;CHAR(34))</f>
        <v xml:space="preserve"> Biển 2.</v>
      </c>
      <c r="K1367" t="str">
        <f>SUBSTITUTE(SUBSTITUTE(SUBSTITUTE(SUBSTITUTE(IFERROR(VLOOKUP("Câu "&amp;D1367&amp;".",dapan!$E:$J,6,0),""),"1","A"),"2","B"),"3","C"),"4","D")</f>
        <v/>
      </c>
      <c r="P1367" t="str">
        <f t="shared" si="75"/>
        <v/>
      </c>
      <c r="Q1367" t="str">
        <f t="shared" si="76"/>
        <v/>
      </c>
    </row>
    <row r="1368" spans="1:17" hidden="1" x14ac:dyDescent="0.25">
      <c r="A1368">
        <v>4</v>
      </c>
      <c r="B1368" t="s">
        <v>1083</v>
      </c>
      <c r="C1368">
        <f>IFERROR(COUNTIFS($A$1:A1368,"Câu "&amp;"*")-MID(A1368,5,FIND(".",A1368,1)-5),0)</f>
        <v>0</v>
      </c>
      <c r="D1368" t="str">
        <f t="shared" si="74"/>
        <v/>
      </c>
      <c r="E1368" t="str">
        <f>SUBSTITUTE(IF(LEFT(A1368,3)="Câu",MID(A1368,FIND(".",A1368,1)+2,LEN(A1368)),""),CHAR(34),CHAR(92)&amp;CHAR(34))</f>
        <v/>
      </c>
      <c r="F1368" t="str">
        <f t="shared" si="77"/>
        <v/>
      </c>
      <c r="G1368" t="str">
        <f>SUBSTITUTE(B1369,CHAR(34),CHAR(92)&amp;CHAR(34))</f>
        <v/>
      </c>
      <c r="H1368" t="str">
        <f>SUBSTITUTE(B1370,CHAR(34),CHAR(92)&amp;CHAR(34))</f>
        <v>Biển 1.</v>
      </c>
      <c r="I1368" t="str">
        <f>SUBSTITUTE(IF(LEFT(A1371,3)="Câu","",B1371),CHAR(34),CHAR(92)&amp;CHAR(34))</f>
        <v xml:space="preserve"> Biển 2.</v>
      </c>
      <c r="J1368" t="str">
        <f>SUBSTITUTE(IF(OR(LEFT(A1372,3)="Câu",I1368=""),"",IF(B1372=0,"",B1372)),CHAR(34),CHAR(92)&amp;CHAR(34))</f>
        <v>Cả ba biển.</v>
      </c>
      <c r="K1368" t="str">
        <f>SUBSTITUTE(SUBSTITUTE(SUBSTITUTE(SUBSTITUTE(IFERROR(VLOOKUP("Câu "&amp;D1368&amp;".",dapan!$E:$J,6,0),""),"1","A"),"2","B"),"3","C"),"4","D")</f>
        <v/>
      </c>
      <c r="P1368" t="str">
        <f t="shared" si="75"/>
        <v/>
      </c>
      <c r="Q1368" t="str">
        <f t="shared" si="76"/>
        <v/>
      </c>
    </row>
    <row r="1369" spans="1:17" x14ac:dyDescent="0.25">
      <c r="A1369" t="s">
        <v>1111</v>
      </c>
      <c r="C1369">
        <f>IFERROR(COUNTIFS($A$1:A1369,"Câu "&amp;"*")-MID(A1369,5,FIND(".",A1369,1)-5),0)</f>
        <v>0</v>
      </c>
      <c r="D1369">
        <f t="shared" ref="D1369:D1432" si="78">IF(LEFT(A1369,3)="Câu",VALUE(MID(A1369,5,FIND(".",A1369,1)-5)),"")</f>
        <v>329</v>
      </c>
      <c r="E1369" t="str">
        <f>SUBSTITUTE(IF(LEFT(A1369,3)="Câu",MID(A1369,FIND(".",A1369,1)+2,LEN(A1369)),""),CHAR(34),CHAR(92)&amp;CHAR(34))</f>
        <v>Khi gặp biển nào xe ưu tiên theo luật định vẫn phải dừng lại?</v>
      </c>
      <c r="F1369" t="str">
        <f t="shared" si="77"/>
        <v>q329.jpg</v>
      </c>
      <c r="G1369" t="str">
        <f>SUBSTITUTE(B1370,CHAR(34),CHAR(92)&amp;CHAR(34))</f>
        <v>Biển 1.</v>
      </c>
      <c r="H1369" t="str">
        <f>SUBSTITUTE(B1371,CHAR(34),CHAR(92)&amp;CHAR(34))</f>
        <v xml:space="preserve"> Biển 2.</v>
      </c>
      <c r="I1369" t="str">
        <f>SUBSTITUTE(IF(LEFT(A1372,3)="Câu","",B1372),CHAR(34),CHAR(92)&amp;CHAR(34))</f>
        <v>Cả ba biển.</v>
      </c>
      <c r="J1369" t="str">
        <f>SUBSTITUTE(IF(OR(LEFT(A1373,3)="Câu",I1369=""),"",IF(B1373=0,"",B1373)),CHAR(34),CHAR(92)&amp;CHAR(34))</f>
        <v/>
      </c>
      <c r="K1369" t="str">
        <f ca="1">SUBSTITUTE(SUBSTITUTE(SUBSTITUTE(SUBSTITUTE(IFERROR(VLOOKUP("Câu "&amp;D1369&amp;".",dapan!$E:$J,6,0),""),"1","A"),"2","B"),"3","C"),"4","D")</f>
        <v>B</v>
      </c>
      <c r="P1369">
        <f t="shared" si="75"/>
        <v>329</v>
      </c>
      <c r="Q1369" t="str">
        <f t="shared" ca="1" si="76"/>
        <v>{"num":329,"id":329,"q":"Khi gặp biển nào xe ưu tiên theo luật định vẫn phải dừng lại?","img":"q329.jpg","opts":{"A":"Biển 1.","B":" Biển 2.","C":"Cả ba biển."},"answer":"B"},</v>
      </c>
    </row>
    <row r="1370" spans="1:17" hidden="1" x14ac:dyDescent="0.25">
      <c r="A1370">
        <v>1</v>
      </c>
      <c r="B1370" t="s">
        <v>1075</v>
      </c>
      <c r="C1370">
        <f>IFERROR(COUNTIFS($A$1:A1370,"Câu "&amp;"*")-MID(A1370,5,FIND(".",A1370,1)-5),0)</f>
        <v>0</v>
      </c>
      <c r="D1370" t="str">
        <f t="shared" si="78"/>
        <v/>
      </c>
      <c r="E1370" t="str">
        <f>SUBSTITUTE(IF(LEFT(A1370,3)="Câu",MID(A1370,FIND(".",A1370,1)+2,LEN(A1370)),""),CHAR(34),CHAR(92)&amp;CHAR(34))</f>
        <v/>
      </c>
      <c r="F1370" t="str">
        <f t="shared" si="77"/>
        <v/>
      </c>
      <c r="G1370" t="str">
        <f>SUBSTITUTE(B1371,CHAR(34),CHAR(92)&amp;CHAR(34))</f>
        <v xml:space="preserve"> Biển 2.</v>
      </c>
      <c r="H1370" t="str">
        <f>SUBSTITUTE(B1372,CHAR(34),CHAR(92)&amp;CHAR(34))</f>
        <v>Cả ba biển.</v>
      </c>
      <c r="I1370" t="str">
        <f>SUBSTITUTE(IF(LEFT(A1373,3)="Câu","",B1373),CHAR(34),CHAR(92)&amp;CHAR(34))</f>
        <v/>
      </c>
      <c r="J1370" t="str">
        <f>SUBSTITUTE(IF(OR(LEFT(A1374,3)="Câu",I1370=""),"",IF(B1374=0,"",B1374)),CHAR(34),CHAR(92)&amp;CHAR(34))</f>
        <v/>
      </c>
      <c r="K1370" t="str">
        <f>SUBSTITUTE(SUBSTITUTE(SUBSTITUTE(SUBSTITUTE(IFERROR(VLOOKUP("Câu "&amp;D1370&amp;".",dapan!$E:$J,6,0),""),"1","A"),"2","B"),"3","C"),"4","D")</f>
        <v/>
      </c>
      <c r="P1370" t="str">
        <f t="shared" si="75"/>
        <v/>
      </c>
      <c r="Q1370" t="str">
        <f t="shared" si="76"/>
        <v/>
      </c>
    </row>
    <row r="1371" spans="1:17" hidden="1" x14ac:dyDescent="0.25">
      <c r="A1371">
        <v>2</v>
      </c>
      <c r="B1371" t="s">
        <v>1090</v>
      </c>
      <c r="C1371">
        <f>IFERROR(COUNTIFS($A$1:A1371,"Câu "&amp;"*")-MID(A1371,5,FIND(".",A1371,1)-5),0)</f>
        <v>0</v>
      </c>
      <c r="D1371" t="str">
        <f t="shared" si="78"/>
        <v/>
      </c>
      <c r="E1371" t="str">
        <f>SUBSTITUTE(IF(LEFT(A1371,3)="Câu",MID(A1371,FIND(".",A1371,1)+2,LEN(A1371)),""),CHAR(34),CHAR(92)&amp;CHAR(34))</f>
        <v/>
      </c>
      <c r="F1371" t="str">
        <f t="shared" si="77"/>
        <v/>
      </c>
      <c r="G1371" t="str">
        <f>SUBSTITUTE(B1372,CHAR(34),CHAR(92)&amp;CHAR(34))</f>
        <v>Cả ba biển.</v>
      </c>
      <c r="H1371" t="str">
        <f>SUBSTITUTE(B1373,CHAR(34),CHAR(92)&amp;CHAR(34))</f>
        <v/>
      </c>
      <c r="I1371" t="str">
        <f>SUBSTITUTE(IF(LEFT(A1374,3)="Câu","",B1374),CHAR(34),CHAR(92)&amp;CHAR(34))</f>
        <v xml:space="preserve"> Biển 1.</v>
      </c>
      <c r="J1371" t="str">
        <f>SUBSTITUTE(IF(OR(LEFT(A1375,3)="Câu",I1371=""),"",IF(B1375=0,"",B1375)),CHAR(34),CHAR(92)&amp;CHAR(34))</f>
        <v>Biển 2.</v>
      </c>
      <c r="K1371" t="str">
        <f>SUBSTITUTE(SUBSTITUTE(SUBSTITUTE(SUBSTITUTE(IFERROR(VLOOKUP("Câu "&amp;D1371&amp;".",dapan!$E:$J,6,0),""),"1","A"),"2","B"),"3","C"),"4","D")</f>
        <v/>
      </c>
      <c r="P1371" t="str">
        <f t="shared" si="75"/>
        <v/>
      </c>
      <c r="Q1371" t="str">
        <f t="shared" si="76"/>
        <v/>
      </c>
    </row>
    <row r="1372" spans="1:17" hidden="1" x14ac:dyDescent="0.25">
      <c r="A1372">
        <v>3</v>
      </c>
      <c r="B1372" t="s">
        <v>1071</v>
      </c>
      <c r="C1372">
        <f>IFERROR(COUNTIFS($A$1:A1372,"Câu "&amp;"*")-MID(A1372,5,FIND(".",A1372,1)-5),0)</f>
        <v>0</v>
      </c>
      <c r="D1372" t="str">
        <f t="shared" si="78"/>
        <v/>
      </c>
      <c r="E1372" t="str">
        <f>SUBSTITUTE(IF(LEFT(A1372,3)="Câu",MID(A1372,FIND(".",A1372,1)+2,LEN(A1372)),""),CHAR(34),CHAR(92)&amp;CHAR(34))</f>
        <v/>
      </c>
      <c r="F1372" t="str">
        <f t="shared" si="77"/>
        <v/>
      </c>
      <c r="G1372" t="str">
        <f>SUBSTITUTE(B1373,CHAR(34),CHAR(92)&amp;CHAR(34))</f>
        <v/>
      </c>
      <c r="H1372" t="str">
        <f>SUBSTITUTE(B1374,CHAR(34),CHAR(92)&amp;CHAR(34))</f>
        <v xml:space="preserve"> Biển 1.</v>
      </c>
      <c r="I1372" t="str">
        <f>SUBSTITUTE(IF(LEFT(A1375,3)="Câu","",B1375),CHAR(34),CHAR(92)&amp;CHAR(34))</f>
        <v>Biển 2.</v>
      </c>
      <c r="J1372" t="str">
        <f>SUBSTITUTE(IF(OR(LEFT(A1376,3)="Câu",I1372=""),"",IF(B1376=0,"",B1376)),CHAR(34),CHAR(92)&amp;CHAR(34))</f>
        <v>Cả hai biển.</v>
      </c>
      <c r="K1372" t="str">
        <f>SUBSTITUTE(SUBSTITUTE(SUBSTITUTE(SUBSTITUTE(IFERROR(VLOOKUP("Câu "&amp;D1372&amp;".",dapan!$E:$J,6,0),""),"1","A"),"2","B"),"3","C"),"4","D")</f>
        <v/>
      </c>
      <c r="P1372" t="str">
        <f t="shared" si="75"/>
        <v/>
      </c>
      <c r="Q1372" t="str">
        <f t="shared" si="76"/>
        <v/>
      </c>
    </row>
    <row r="1373" spans="1:17" x14ac:dyDescent="0.25">
      <c r="A1373" t="s">
        <v>1112</v>
      </c>
      <c r="C1373">
        <f>IFERROR(COUNTIFS($A$1:A1373,"Câu "&amp;"*")-MID(A1373,5,FIND(".",A1373,1)-5),0)</f>
        <v>0</v>
      </c>
      <c r="D1373">
        <f t="shared" si="78"/>
        <v>330</v>
      </c>
      <c r="E1373" t="str">
        <f>SUBSTITUTE(IF(LEFT(A1373,3)="Câu",MID(A1373,FIND(".",A1373,1)+2,LEN(A1373)),""),CHAR(34),CHAR(92)&amp;CHAR(34))</f>
        <v>Biển nào cấm tất cả các loại xe cơ giới và thô sơ đi lại trên đường, trừ xe ưu tiên theo luật định (nếu đường vẫn cho xe chạy được)?</v>
      </c>
      <c r="F1373" t="str">
        <f t="shared" si="77"/>
        <v>q330.jpg</v>
      </c>
      <c r="G1373" t="str">
        <f>SUBSTITUTE(B1374,CHAR(34),CHAR(92)&amp;CHAR(34))</f>
        <v xml:space="preserve"> Biển 1.</v>
      </c>
      <c r="H1373" t="str">
        <f>SUBSTITUTE(B1375,CHAR(34),CHAR(92)&amp;CHAR(34))</f>
        <v>Biển 2.</v>
      </c>
      <c r="I1373" t="str">
        <f>SUBSTITUTE(IF(LEFT(A1376,3)="Câu","",B1376),CHAR(34),CHAR(92)&amp;CHAR(34))</f>
        <v>Cả hai biển.</v>
      </c>
      <c r="J1373" t="str">
        <f>SUBSTITUTE(IF(OR(LEFT(A1377,3)="Câu",I1373=""),"",IF(B1377=0,"",B1377)),CHAR(34),CHAR(92)&amp;CHAR(34))</f>
        <v/>
      </c>
      <c r="K1373" t="str">
        <f ca="1">SUBSTITUTE(SUBSTITUTE(SUBSTITUTE(SUBSTITUTE(IFERROR(VLOOKUP("Câu "&amp;D1373&amp;".",dapan!$E:$J,6,0),""),"1","A"),"2","B"),"3","C"),"4","D")</f>
        <v>A</v>
      </c>
      <c r="P1373">
        <f t="shared" si="75"/>
        <v>330</v>
      </c>
      <c r="Q1373" t="str">
        <f t="shared" ca="1" si="76"/>
        <v>{"num":330,"id":330,"q":"Biển nào cấm tất cả các loại xe cơ giới và thô sơ đi lại trên đường, trừ xe ưu tiên theo luật định (nếu đường vẫn cho xe chạy được)?","img":"q330.jpg","opts":{"A":" Biển 1.","B":"Biển 2.","C":"Cả hai biển."},"answer":"A"},</v>
      </c>
    </row>
    <row r="1374" spans="1:17" hidden="1" x14ac:dyDescent="0.25">
      <c r="A1374">
        <v>1</v>
      </c>
      <c r="B1374" t="s">
        <v>1066</v>
      </c>
      <c r="C1374">
        <f>IFERROR(COUNTIFS($A$1:A1374,"Câu "&amp;"*")-MID(A1374,5,FIND(".",A1374,1)-5),0)</f>
        <v>0</v>
      </c>
      <c r="D1374" t="str">
        <f t="shared" si="78"/>
        <v/>
      </c>
      <c r="E1374" t="str">
        <f>SUBSTITUTE(IF(LEFT(A1374,3)="Câu",MID(A1374,FIND(".",A1374,1)+2,LEN(A1374)),""),CHAR(34),CHAR(92)&amp;CHAR(34))</f>
        <v/>
      </c>
      <c r="F1374" t="str">
        <f t="shared" si="77"/>
        <v/>
      </c>
      <c r="G1374" t="str">
        <f>SUBSTITUTE(B1375,CHAR(34),CHAR(92)&amp;CHAR(34))</f>
        <v>Biển 2.</v>
      </c>
      <c r="H1374" t="str">
        <f>SUBSTITUTE(B1376,CHAR(34),CHAR(92)&amp;CHAR(34))</f>
        <v>Cả hai biển.</v>
      </c>
      <c r="I1374" t="str">
        <f>SUBSTITUTE(IF(LEFT(A1377,3)="Câu","",B1377),CHAR(34),CHAR(92)&amp;CHAR(34))</f>
        <v/>
      </c>
      <c r="J1374" t="str">
        <f>SUBSTITUTE(IF(OR(LEFT(A1378,3)="Câu",I1374=""),"",IF(B1378=0,"",B1378)),CHAR(34),CHAR(92)&amp;CHAR(34))</f>
        <v/>
      </c>
      <c r="K1374" t="str">
        <f>SUBSTITUTE(SUBSTITUTE(SUBSTITUTE(SUBSTITUTE(IFERROR(VLOOKUP("Câu "&amp;D1374&amp;".",dapan!$E:$J,6,0),""),"1","A"),"2","B"),"3","C"),"4","D")</f>
        <v/>
      </c>
      <c r="P1374" t="str">
        <f t="shared" si="75"/>
        <v/>
      </c>
      <c r="Q1374" t="str">
        <f t="shared" si="76"/>
        <v/>
      </c>
    </row>
    <row r="1375" spans="1:17" hidden="1" x14ac:dyDescent="0.25">
      <c r="A1375">
        <v>2</v>
      </c>
      <c r="B1375" t="s">
        <v>1068</v>
      </c>
      <c r="C1375">
        <f>IFERROR(COUNTIFS($A$1:A1375,"Câu "&amp;"*")-MID(A1375,5,FIND(".",A1375,1)-5),0)</f>
        <v>0</v>
      </c>
      <c r="D1375" t="str">
        <f t="shared" si="78"/>
        <v/>
      </c>
      <c r="E1375" t="str">
        <f>SUBSTITUTE(IF(LEFT(A1375,3)="Câu",MID(A1375,FIND(".",A1375,1)+2,LEN(A1375)),""),CHAR(34),CHAR(92)&amp;CHAR(34))</f>
        <v/>
      </c>
      <c r="F1375" t="str">
        <f t="shared" si="77"/>
        <v/>
      </c>
      <c r="G1375" t="str">
        <f>SUBSTITUTE(B1376,CHAR(34),CHAR(92)&amp;CHAR(34))</f>
        <v>Cả hai biển.</v>
      </c>
      <c r="H1375" t="str">
        <f>SUBSTITUTE(B1377,CHAR(34),CHAR(92)&amp;CHAR(34))</f>
        <v/>
      </c>
      <c r="I1375" t="str">
        <f>SUBSTITUTE(IF(LEFT(A1378,3)="Câu","",B1378),CHAR(34),CHAR(92)&amp;CHAR(34))</f>
        <v>Biển 1.</v>
      </c>
      <c r="J1375" t="str">
        <f>SUBSTITUTE(IF(OR(LEFT(A1379,3)="Câu",I1375=""),"",IF(B1379=0,"",B1379)),CHAR(34),CHAR(92)&amp;CHAR(34))</f>
        <v>Biển 2.</v>
      </c>
      <c r="K1375" t="str">
        <f>SUBSTITUTE(SUBSTITUTE(SUBSTITUTE(SUBSTITUTE(IFERROR(VLOOKUP("Câu "&amp;D1375&amp;".",dapan!$E:$J,6,0),""),"1","A"),"2","B"),"3","C"),"4","D")</f>
        <v/>
      </c>
      <c r="P1375" t="str">
        <f t="shared" si="75"/>
        <v/>
      </c>
      <c r="Q1375" t="str">
        <f t="shared" si="76"/>
        <v/>
      </c>
    </row>
    <row r="1376" spans="1:17" hidden="1" x14ac:dyDescent="0.25">
      <c r="A1376">
        <v>3</v>
      </c>
      <c r="B1376" t="s">
        <v>1095</v>
      </c>
      <c r="C1376">
        <f>IFERROR(COUNTIFS($A$1:A1376,"Câu "&amp;"*")-MID(A1376,5,FIND(".",A1376,1)-5),0)</f>
        <v>0</v>
      </c>
      <c r="D1376" t="str">
        <f t="shared" si="78"/>
        <v/>
      </c>
      <c r="E1376" t="str">
        <f>SUBSTITUTE(IF(LEFT(A1376,3)="Câu",MID(A1376,FIND(".",A1376,1)+2,LEN(A1376)),""),CHAR(34),CHAR(92)&amp;CHAR(34))</f>
        <v/>
      </c>
      <c r="F1376" t="str">
        <f t="shared" si="77"/>
        <v/>
      </c>
      <c r="G1376" t="str">
        <f>SUBSTITUTE(B1377,CHAR(34),CHAR(92)&amp;CHAR(34))</f>
        <v/>
      </c>
      <c r="H1376" t="str">
        <f>SUBSTITUTE(B1378,CHAR(34),CHAR(92)&amp;CHAR(34))</f>
        <v>Biển 1.</v>
      </c>
      <c r="I1376" t="str">
        <f>SUBSTITUTE(IF(LEFT(A1379,3)="Câu","",B1379),CHAR(34),CHAR(92)&amp;CHAR(34))</f>
        <v>Biển 2.</v>
      </c>
      <c r="J1376" t="str">
        <f>SUBSTITUTE(IF(OR(LEFT(A1380,3)="Câu",I1376=""),"",IF(B1380=0,"",B1380)),CHAR(34),CHAR(92)&amp;CHAR(34))</f>
        <v xml:space="preserve"> Biển 3.</v>
      </c>
      <c r="K1376" t="str">
        <f>SUBSTITUTE(SUBSTITUTE(SUBSTITUTE(SUBSTITUTE(IFERROR(VLOOKUP("Câu "&amp;D1376&amp;".",dapan!$E:$J,6,0),""),"1","A"),"2","B"),"3","C"),"4","D")</f>
        <v/>
      </c>
      <c r="P1376" t="str">
        <f t="shared" si="75"/>
        <v/>
      </c>
      <c r="Q1376" t="str">
        <f t="shared" si="76"/>
        <v/>
      </c>
    </row>
    <row r="1377" spans="1:17" x14ac:dyDescent="0.25">
      <c r="A1377" t="s">
        <v>1113</v>
      </c>
      <c r="C1377">
        <f>IFERROR(COUNTIFS($A$1:A1377,"Câu "&amp;"*")-MID(A1377,5,FIND(".",A1377,1)-5),0)</f>
        <v>0</v>
      </c>
      <c r="D1377">
        <f t="shared" si="78"/>
        <v>331</v>
      </c>
      <c r="E1377" t="str">
        <f>SUBSTITUTE(IF(LEFT(A1377,3)="Câu",MID(A1377,FIND(".",A1377,1)+2,LEN(A1377)),""),CHAR(34),CHAR(92)&amp;CHAR(34))</f>
        <v>Biển nào là biển \"Cấm xe chở hàng nguy hiểm\"?</v>
      </c>
      <c r="F1377" t="str">
        <f t="shared" si="77"/>
        <v>q331.jpg</v>
      </c>
      <c r="G1377" t="str">
        <f>SUBSTITUTE(B1378,CHAR(34),CHAR(92)&amp;CHAR(34))</f>
        <v>Biển 1.</v>
      </c>
      <c r="H1377" t="str">
        <f>SUBSTITUTE(B1379,CHAR(34),CHAR(92)&amp;CHAR(34))</f>
        <v>Biển 2.</v>
      </c>
      <c r="I1377" t="str">
        <f>SUBSTITUTE(IF(LEFT(A1380,3)="Câu","",B1380),CHAR(34),CHAR(92)&amp;CHAR(34))</f>
        <v xml:space="preserve"> Biển 3.</v>
      </c>
      <c r="J1377" t="str">
        <f>SUBSTITUTE(IF(OR(LEFT(A1381,3)="Câu",I1377=""),"",IF(B1381=0,"",B1381)),CHAR(34),CHAR(92)&amp;CHAR(34))</f>
        <v/>
      </c>
      <c r="K1377" t="str">
        <f ca="1">SUBSTITUTE(SUBSTITUTE(SUBSTITUTE(SUBSTITUTE(IFERROR(VLOOKUP("Câu "&amp;D1377&amp;".",dapan!$E:$J,6,0),""),"1","A"),"2","B"),"3","C"),"4","D")</f>
        <v>C</v>
      </c>
      <c r="P1377">
        <f t="shared" si="75"/>
        <v>331</v>
      </c>
      <c r="Q1377" t="str">
        <f t="shared" ca="1" si="76"/>
        <v>{"num":331,"id":331,"q":"Biển nào là biển \"Cấm xe chở hàng nguy hiểm\"?","img":"q331.jpg","opts":{"A":"Biển 1.","B":"Biển 2.","C":" Biển 3."},"answer":"C"},</v>
      </c>
    </row>
    <row r="1378" spans="1:17" hidden="1" x14ac:dyDescent="0.25">
      <c r="A1378">
        <v>1</v>
      </c>
      <c r="B1378" t="s">
        <v>1075</v>
      </c>
      <c r="C1378">
        <f>IFERROR(COUNTIFS($A$1:A1378,"Câu "&amp;"*")-MID(A1378,5,FIND(".",A1378,1)-5),0)</f>
        <v>0</v>
      </c>
      <c r="D1378" t="str">
        <f t="shared" si="78"/>
        <v/>
      </c>
      <c r="E1378" t="str">
        <f>SUBSTITUTE(IF(LEFT(A1378,3)="Câu",MID(A1378,FIND(".",A1378,1)+2,LEN(A1378)),""),CHAR(34),CHAR(92)&amp;CHAR(34))</f>
        <v/>
      </c>
      <c r="F1378" t="str">
        <f t="shared" si="77"/>
        <v/>
      </c>
      <c r="G1378" t="str">
        <f>SUBSTITUTE(B1379,CHAR(34),CHAR(92)&amp;CHAR(34))</f>
        <v>Biển 2.</v>
      </c>
      <c r="H1378" t="str">
        <f>SUBSTITUTE(B1380,CHAR(34),CHAR(92)&amp;CHAR(34))</f>
        <v xml:space="preserve"> Biển 3.</v>
      </c>
      <c r="I1378" t="str">
        <f>SUBSTITUTE(IF(LEFT(A1381,3)="Câu","",B1381),CHAR(34),CHAR(92)&amp;CHAR(34))</f>
        <v/>
      </c>
      <c r="J1378" t="str">
        <f>SUBSTITUTE(IF(OR(LEFT(A1382,3)="Câu",I1378=""),"",IF(B1382=0,"",B1382)),CHAR(34),CHAR(92)&amp;CHAR(34))</f>
        <v/>
      </c>
      <c r="K1378" t="str">
        <f>SUBSTITUTE(SUBSTITUTE(SUBSTITUTE(SUBSTITUTE(IFERROR(VLOOKUP("Câu "&amp;D1378&amp;".",dapan!$E:$J,6,0),""),"1","A"),"2","B"),"3","C"),"4","D")</f>
        <v/>
      </c>
      <c r="P1378" t="str">
        <f t="shared" si="75"/>
        <v/>
      </c>
      <c r="Q1378" t="str">
        <f t="shared" si="76"/>
        <v/>
      </c>
    </row>
    <row r="1379" spans="1:17" hidden="1" x14ac:dyDescent="0.25">
      <c r="A1379">
        <v>2</v>
      </c>
      <c r="B1379" t="s">
        <v>1068</v>
      </c>
      <c r="C1379">
        <f>IFERROR(COUNTIFS($A$1:A1379,"Câu "&amp;"*")-MID(A1379,5,FIND(".",A1379,1)-5),0)</f>
        <v>0</v>
      </c>
      <c r="D1379" t="str">
        <f t="shared" si="78"/>
        <v/>
      </c>
      <c r="E1379" t="str">
        <f>SUBSTITUTE(IF(LEFT(A1379,3)="Câu",MID(A1379,FIND(".",A1379,1)+2,LEN(A1379)),""),CHAR(34),CHAR(92)&amp;CHAR(34))</f>
        <v/>
      </c>
      <c r="F1379" t="str">
        <f t="shared" si="77"/>
        <v/>
      </c>
      <c r="G1379" t="str">
        <f>SUBSTITUTE(B1380,CHAR(34),CHAR(92)&amp;CHAR(34))</f>
        <v xml:space="preserve"> Biển 3.</v>
      </c>
      <c r="H1379" t="str">
        <f>SUBSTITUTE(B1381,CHAR(34),CHAR(92)&amp;CHAR(34))</f>
        <v/>
      </c>
      <c r="I1379" t="str">
        <f>SUBSTITUTE(IF(LEFT(A1382,3)="Câu","",B1382),CHAR(34),CHAR(92)&amp;CHAR(34))</f>
        <v>Biển 1.</v>
      </c>
      <c r="J1379" t="str">
        <f>SUBSTITUTE(IF(OR(LEFT(A1383,3)="Câu",I1379=""),"",IF(B1383=0,"",B1383)),CHAR(34),CHAR(92)&amp;CHAR(34))</f>
        <v>Biển 2.</v>
      </c>
      <c r="K1379" t="str">
        <f>SUBSTITUTE(SUBSTITUTE(SUBSTITUTE(SUBSTITUTE(IFERROR(VLOOKUP("Câu "&amp;D1379&amp;".",dapan!$E:$J,6,0),""),"1","A"),"2","B"),"3","C"),"4","D")</f>
        <v/>
      </c>
      <c r="P1379" t="str">
        <f t="shared" si="75"/>
        <v/>
      </c>
      <c r="Q1379" t="str">
        <f t="shared" si="76"/>
        <v/>
      </c>
    </row>
    <row r="1380" spans="1:17" hidden="1" x14ac:dyDescent="0.25">
      <c r="A1380">
        <v>3</v>
      </c>
      <c r="B1380" t="s">
        <v>1114</v>
      </c>
      <c r="C1380">
        <f>IFERROR(COUNTIFS($A$1:A1380,"Câu "&amp;"*")-MID(A1380,5,FIND(".",A1380,1)-5),0)</f>
        <v>0</v>
      </c>
      <c r="D1380" t="str">
        <f t="shared" si="78"/>
        <v/>
      </c>
      <c r="E1380" t="str">
        <f>SUBSTITUTE(IF(LEFT(A1380,3)="Câu",MID(A1380,FIND(".",A1380,1)+2,LEN(A1380)),""),CHAR(34),CHAR(92)&amp;CHAR(34))</f>
        <v/>
      </c>
      <c r="F1380" t="str">
        <f t="shared" si="77"/>
        <v/>
      </c>
      <c r="G1380" t="str">
        <f>SUBSTITUTE(B1381,CHAR(34),CHAR(92)&amp;CHAR(34))</f>
        <v/>
      </c>
      <c r="H1380" t="str">
        <f>SUBSTITUTE(B1382,CHAR(34),CHAR(92)&amp;CHAR(34))</f>
        <v>Biển 1.</v>
      </c>
      <c r="I1380" t="str">
        <f>SUBSTITUTE(IF(LEFT(A1383,3)="Câu","",B1383),CHAR(34),CHAR(92)&amp;CHAR(34))</f>
        <v>Biển 2.</v>
      </c>
      <c r="J1380" t="str">
        <f>SUBSTITUTE(IF(OR(LEFT(A1384,3)="Câu",I1380=""),"",IF(B1384=0,"",B1384)),CHAR(34),CHAR(92)&amp;CHAR(34))</f>
        <v>Biển 3.</v>
      </c>
      <c r="K1380" t="str">
        <f>SUBSTITUTE(SUBSTITUTE(SUBSTITUTE(SUBSTITUTE(IFERROR(VLOOKUP("Câu "&amp;D1380&amp;".",dapan!$E:$J,6,0),""),"1","A"),"2","B"),"3","C"),"4","D")</f>
        <v/>
      </c>
      <c r="P1380" t="str">
        <f t="shared" si="75"/>
        <v/>
      </c>
      <c r="Q1380" t="str">
        <f t="shared" si="76"/>
        <v/>
      </c>
    </row>
    <row r="1381" spans="1:17" x14ac:dyDescent="0.25">
      <c r="A1381" t="s">
        <v>1115</v>
      </c>
      <c r="C1381">
        <f>IFERROR(COUNTIFS($A$1:A1381,"Câu "&amp;"*")-MID(A1381,5,FIND(".",A1381,1)-5),0)</f>
        <v>0</v>
      </c>
      <c r="D1381">
        <f t="shared" si="78"/>
        <v>332</v>
      </c>
      <c r="E1381" t="str">
        <f>SUBSTITUTE(IF(LEFT(A1381,3)="Câu",MID(A1381,FIND(".",A1381,1)+2,LEN(A1381)),""),CHAR(34),CHAR(92)&amp;CHAR(34))</f>
        <v>Gặp biển nào xe xích lô được phép đi vào?</v>
      </c>
      <c r="F1381" t="str">
        <f t="shared" si="77"/>
        <v>q332.jpg</v>
      </c>
      <c r="G1381" t="str">
        <f>SUBSTITUTE(B1382,CHAR(34),CHAR(92)&amp;CHAR(34))</f>
        <v>Biển 1.</v>
      </c>
      <c r="H1381" t="str">
        <f>SUBSTITUTE(B1383,CHAR(34),CHAR(92)&amp;CHAR(34))</f>
        <v>Biển 2.</v>
      </c>
      <c r="I1381" t="str">
        <f>SUBSTITUTE(IF(LEFT(A1384,3)="Câu","",B1384),CHAR(34),CHAR(92)&amp;CHAR(34))</f>
        <v>Biển 3.</v>
      </c>
      <c r="J1381" t="str">
        <f>SUBSTITUTE(IF(OR(LEFT(A1385,3)="Câu",I1381=""),"",IF(B1385=0,"",B1385)),CHAR(34),CHAR(92)&amp;CHAR(34))</f>
        <v xml:space="preserve"> Biển 1 và biển 2.</v>
      </c>
      <c r="K1381" t="str">
        <f ca="1">SUBSTITUTE(SUBSTITUTE(SUBSTITUTE(SUBSTITUTE(IFERROR(VLOOKUP("Câu "&amp;D1381&amp;".",dapan!$E:$J,6,0),""),"1","A"),"2","B"),"3","C"),"4","D")</f>
        <v>D</v>
      </c>
      <c r="P1381">
        <f t="shared" si="75"/>
        <v>332</v>
      </c>
      <c r="Q1381" t="str">
        <f t="shared" ca="1" si="76"/>
        <v>{"num":332,"id":332,"q":"Gặp biển nào xe xích lô được phép đi vào?","img":"q332.jpg","opts":{"A":"Biển 1.","B":"Biển 2.","C":"Biển 3.","D":" Biển 1 và biển 2."},"answer":"D"},</v>
      </c>
    </row>
    <row r="1382" spans="1:17" hidden="1" x14ac:dyDescent="0.25">
      <c r="A1382">
        <v>1</v>
      </c>
      <c r="B1382" t="s">
        <v>1075</v>
      </c>
      <c r="C1382">
        <f>IFERROR(COUNTIFS($A$1:A1382,"Câu "&amp;"*")-MID(A1382,5,FIND(".",A1382,1)-5),0)</f>
        <v>0</v>
      </c>
      <c r="D1382" t="str">
        <f t="shared" si="78"/>
        <v/>
      </c>
      <c r="E1382" t="str">
        <f>SUBSTITUTE(IF(LEFT(A1382,3)="Câu",MID(A1382,FIND(".",A1382,1)+2,LEN(A1382)),""),CHAR(34),CHAR(92)&amp;CHAR(34))</f>
        <v/>
      </c>
      <c r="F1382" t="str">
        <f t="shared" si="77"/>
        <v/>
      </c>
      <c r="G1382" t="str">
        <f>SUBSTITUTE(B1383,CHAR(34),CHAR(92)&amp;CHAR(34))</f>
        <v>Biển 2.</v>
      </c>
      <c r="H1382" t="str">
        <f>SUBSTITUTE(B1384,CHAR(34),CHAR(92)&amp;CHAR(34))</f>
        <v>Biển 3.</v>
      </c>
      <c r="I1382" t="str">
        <f>SUBSTITUTE(IF(LEFT(A1385,3)="Câu","",B1385),CHAR(34),CHAR(92)&amp;CHAR(34))</f>
        <v xml:space="preserve"> Biển 1 và biển 2.</v>
      </c>
      <c r="J1382" t="str">
        <f>SUBSTITUTE(IF(OR(LEFT(A1386,3)="Câu",I1382=""),"",IF(B1386=0,"",B1386)),CHAR(34),CHAR(92)&amp;CHAR(34))</f>
        <v/>
      </c>
      <c r="K1382" t="str">
        <f>SUBSTITUTE(SUBSTITUTE(SUBSTITUTE(SUBSTITUTE(IFERROR(VLOOKUP("Câu "&amp;D1382&amp;".",dapan!$E:$J,6,0),""),"1","A"),"2","B"),"3","C"),"4","D")</f>
        <v/>
      </c>
      <c r="P1382" t="str">
        <f t="shared" si="75"/>
        <v/>
      </c>
      <c r="Q1382" t="str">
        <f t="shared" si="76"/>
        <v/>
      </c>
    </row>
    <row r="1383" spans="1:17" hidden="1" x14ac:dyDescent="0.25">
      <c r="A1383">
        <v>2</v>
      </c>
      <c r="B1383" t="s">
        <v>1068</v>
      </c>
      <c r="C1383">
        <f>IFERROR(COUNTIFS($A$1:A1383,"Câu "&amp;"*")-MID(A1383,5,FIND(".",A1383,1)-5),0)</f>
        <v>0</v>
      </c>
      <c r="D1383" t="str">
        <f t="shared" si="78"/>
        <v/>
      </c>
      <c r="E1383" t="str">
        <f>SUBSTITUTE(IF(LEFT(A1383,3)="Câu",MID(A1383,FIND(".",A1383,1)+2,LEN(A1383)),""),CHAR(34),CHAR(92)&amp;CHAR(34))</f>
        <v/>
      </c>
      <c r="F1383" t="str">
        <f t="shared" si="77"/>
        <v/>
      </c>
      <c r="G1383" t="str">
        <f>SUBSTITUTE(B1384,CHAR(34),CHAR(92)&amp;CHAR(34))</f>
        <v>Biển 3.</v>
      </c>
      <c r="H1383" t="str">
        <f>SUBSTITUTE(B1385,CHAR(34),CHAR(92)&amp;CHAR(34))</f>
        <v xml:space="preserve"> Biển 1 và biển 2.</v>
      </c>
      <c r="I1383" t="str">
        <f>SUBSTITUTE(IF(LEFT(A1386,3)="Câu","",B1386),CHAR(34),CHAR(92)&amp;CHAR(34))</f>
        <v/>
      </c>
      <c r="J1383" t="str">
        <f>SUBSTITUTE(IF(OR(LEFT(A1387,3)="Câu",I1383=""),"",IF(B1387=0,"",B1387)),CHAR(34),CHAR(92)&amp;CHAR(34))</f>
        <v/>
      </c>
      <c r="K1383" t="str">
        <f>SUBSTITUTE(SUBSTITUTE(SUBSTITUTE(SUBSTITUTE(IFERROR(VLOOKUP("Câu "&amp;D1383&amp;".",dapan!$E:$J,6,0),""),"1","A"),"2","B"),"3","C"),"4","D")</f>
        <v/>
      </c>
      <c r="P1383" t="str">
        <f t="shared" si="75"/>
        <v/>
      </c>
      <c r="Q1383" t="str">
        <f t="shared" si="76"/>
        <v/>
      </c>
    </row>
    <row r="1384" spans="1:17" hidden="1" x14ac:dyDescent="0.25">
      <c r="A1384">
        <v>3</v>
      </c>
      <c r="B1384" t="s">
        <v>1083</v>
      </c>
      <c r="C1384">
        <f>IFERROR(COUNTIFS($A$1:A1384,"Câu "&amp;"*")-MID(A1384,5,FIND(".",A1384,1)-5),0)</f>
        <v>0</v>
      </c>
      <c r="D1384" t="str">
        <f t="shared" si="78"/>
        <v/>
      </c>
      <c r="E1384" t="str">
        <f>SUBSTITUTE(IF(LEFT(A1384,3)="Câu",MID(A1384,FIND(".",A1384,1)+2,LEN(A1384)),""),CHAR(34),CHAR(92)&amp;CHAR(34))</f>
        <v/>
      </c>
      <c r="F1384" t="str">
        <f t="shared" si="77"/>
        <v/>
      </c>
      <c r="G1384" t="str">
        <f>SUBSTITUTE(B1385,CHAR(34),CHAR(92)&amp;CHAR(34))</f>
        <v xml:space="preserve"> Biển 1 và biển 2.</v>
      </c>
      <c r="H1384" t="str">
        <f>SUBSTITUTE(B1386,CHAR(34),CHAR(92)&amp;CHAR(34))</f>
        <v/>
      </c>
      <c r="I1384" t="str">
        <f>SUBSTITUTE(IF(LEFT(A1387,3)="Câu","",B1387),CHAR(34),CHAR(92)&amp;CHAR(34))</f>
        <v>Biển 1.</v>
      </c>
      <c r="J1384" t="str">
        <f>SUBSTITUTE(IF(OR(LEFT(A1388,3)="Câu",I1384=""),"",IF(B1388=0,"",B1388)),CHAR(34),CHAR(92)&amp;CHAR(34))</f>
        <v>Biển 2.</v>
      </c>
      <c r="K1384" t="str">
        <f>SUBSTITUTE(SUBSTITUTE(SUBSTITUTE(SUBSTITUTE(IFERROR(VLOOKUP("Câu "&amp;D1384&amp;".",dapan!$E:$J,6,0),""),"1","A"),"2","B"),"3","C"),"4","D")</f>
        <v/>
      </c>
      <c r="P1384" t="str">
        <f t="shared" si="75"/>
        <v/>
      </c>
      <c r="Q1384" t="str">
        <f t="shared" si="76"/>
        <v/>
      </c>
    </row>
    <row r="1385" spans="1:17" hidden="1" x14ac:dyDescent="0.25">
      <c r="A1385">
        <v>4</v>
      </c>
      <c r="B1385" t="s">
        <v>1079</v>
      </c>
      <c r="C1385">
        <f>IFERROR(COUNTIFS($A$1:A1385,"Câu "&amp;"*")-MID(A1385,5,FIND(".",A1385,1)-5),0)</f>
        <v>0</v>
      </c>
      <c r="D1385" t="str">
        <f t="shared" si="78"/>
        <v/>
      </c>
      <c r="E1385" t="str">
        <f>SUBSTITUTE(IF(LEFT(A1385,3)="Câu",MID(A1385,FIND(".",A1385,1)+2,LEN(A1385)),""),CHAR(34),CHAR(92)&amp;CHAR(34))</f>
        <v/>
      </c>
      <c r="F1385" t="str">
        <f t="shared" si="77"/>
        <v/>
      </c>
      <c r="G1385" t="str">
        <f>SUBSTITUTE(B1386,CHAR(34),CHAR(92)&amp;CHAR(34))</f>
        <v/>
      </c>
      <c r="H1385" t="str">
        <f>SUBSTITUTE(B1387,CHAR(34),CHAR(92)&amp;CHAR(34))</f>
        <v>Biển 1.</v>
      </c>
      <c r="I1385" t="str">
        <f>SUBSTITUTE(IF(LEFT(A1388,3)="Câu","",B1388),CHAR(34),CHAR(92)&amp;CHAR(34))</f>
        <v>Biển 2.</v>
      </c>
      <c r="J1385" t="str">
        <f>SUBSTITUTE(IF(OR(LEFT(A1389,3)="Câu",I1385=""),"",IF(B1389=0,"",B1389)),CHAR(34),CHAR(92)&amp;CHAR(34))</f>
        <v xml:space="preserve"> Biển 3.</v>
      </c>
      <c r="K1385" t="str">
        <f>SUBSTITUTE(SUBSTITUTE(SUBSTITUTE(SUBSTITUTE(IFERROR(VLOOKUP("Câu "&amp;D1385&amp;".",dapan!$E:$J,6,0),""),"1","A"),"2","B"),"3","C"),"4","D")</f>
        <v/>
      </c>
      <c r="P1385" t="str">
        <f t="shared" si="75"/>
        <v/>
      </c>
      <c r="Q1385" t="str">
        <f t="shared" si="76"/>
        <v/>
      </c>
    </row>
    <row r="1386" spans="1:17" x14ac:dyDescent="0.25">
      <c r="A1386" t="s">
        <v>1116</v>
      </c>
      <c r="C1386">
        <f>IFERROR(COUNTIFS($A$1:A1386,"Câu "&amp;"*")-MID(A1386,5,FIND(".",A1386,1)-5),0)</f>
        <v>0</v>
      </c>
      <c r="D1386">
        <f t="shared" si="78"/>
        <v>333</v>
      </c>
      <c r="E1386" t="str">
        <f>SUBSTITUTE(IF(LEFT(A1386,3)="Câu",MID(A1386,FIND(".",A1386,1)+2,LEN(A1386)),""),CHAR(34),CHAR(92)&amp;CHAR(34))</f>
        <v>Gặp biển nào xe lam, xe xích lô máy được phép đi vào?</v>
      </c>
      <c r="F1386" t="str">
        <f t="shared" si="77"/>
        <v>q333.jpg</v>
      </c>
      <c r="G1386" t="str">
        <f>SUBSTITUTE(B1387,CHAR(34),CHAR(92)&amp;CHAR(34))</f>
        <v>Biển 1.</v>
      </c>
      <c r="H1386" t="str">
        <f>SUBSTITUTE(B1388,CHAR(34),CHAR(92)&amp;CHAR(34))</f>
        <v>Biển 2.</v>
      </c>
      <c r="I1386" t="str">
        <f>SUBSTITUTE(IF(LEFT(A1389,3)="Câu","",B1389),CHAR(34),CHAR(92)&amp;CHAR(34))</f>
        <v xml:space="preserve"> Biển 3.</v>
      </c>
      <c r="J1386" t="str">
        <f>SUBSTITUTE(IF(OR(LEFT(A1390,3)="Câu",I1386=""),"",IF(B1390=0,"",B1390)),CHAR(34),CHAR(92)&amp;CHAR(34))</f>
        <v/>
      </c>
      <c r="K1386" t="str">
        <f ca="1">SUBSTITUTE(SUBSTITUTE(SUBSTITUTE(SUBSTITUTE(IFERROR(VLOOKUP("Câu "&amp;D1386&amp;".",dapan!$E:$J,6,0),""),"1","A"),"2","B"),"3","C"),"4","D")</f>
        <v>C</v>
      </c>
      <c r="P1386">
        <f t="shared" si="75"/>
        <v>333</v>
      </c>
      <c r="Q1386" t="str">
        <f t="shared" ca="1" si="76"/>
        <v>{"num":333,"id":333,"q":"Gặp biển nào xe lam, xe xích lô máy được phép đi vào?","img":"q333.jpg","opts":{"A":"Biển 1.","B":"Biển 2.","C":" Biển 3."},"answer":"C"},</v>
      </c>
    </row>
    <row r="1387" spans="1:17" hidden="1" x14ac:dyDescent="0.25">
      <c r="A1387">
        <v>1</v>
      </c>
      <c r="B1387" t="s">
        <v>1075</v>
      </c>
      <c r="C1387">
        <f>IFERROR(COUNTIFS($A$1:A1387,"Câu "&amp;"*")-MID(A1387,5,FIND(".",A1387,1)-5),0)</f>
        <v>0</v>
      </c>
      <c r="D1387" t="str">
        <f t="shared" si="78"/>
        <v/>
      </c>
      <c r="E1387" t="str">
        <f>SUBSTITUTE(IF(LEFT(A1387,3)="Câu",MID(A1387,FIND(".",A1387,1)+2,LEN(A1387)),""),CHAR(34),CHAR(92)&amp;CHAR(34))</f>
        <v/>
      </c>
      <c r="F1387" t="str">
        <f t="shared" si="77"/>
        <v/>
      </c>
      <c r="G1387" t="str">
        <f>SUBSTITUTE(B1388,CHAR(34),CHAR(92)&amp;CHAR(34))</f>
        <v>Biển 2.</v>
      </c>
      <c r="H1387" t="str">
        <f>SUBSTITUTE(B1389,CHAR(34),CHAR(92)&amp;CHAR(34))</f>
        <v xml:space="preserve"> Biển 3.</v>
      </c>
      <c r="I1387" t="str">
        <f>SUBSTITUTE(IF(LEFT(A1390,3)="Câu","",B1390),CHAR(34),CHAR(92)&amp;CHAR(34))</f>
        <v/>
      </c>
      <c r="J1387" t="str">
        <f>SUBSTITUTE(IF(OR(LEFT(A1391,3)="Câu",I1387=""),"",IF(B1391=0,"",B1391)),CHAR(34),CHAR(92)&amp;CHAR(34))</f>
        <v/>
      </c>
      <c r="K1387" t="str">
        <f>SUBSTITUTE(SUBSTITUTE(SUBSTITUTE(SUBSTITUTE(IFERROR(VLOOKUP("Câu "&amp;D1387&amp;".",dapan!$E:$J,6,0),""),"1","A"),"2","B"),"3","C"),"4","D")</f>
        <v/>
      </c>
      <c r="P1387" t="str">
        <f t="shared" si="75"/>
        <v/>
      </c>
      <c r="Q1387" t="str">
        <f t="shared" si="76"/>
        <v/>
      </c>
    </row>
    <row r="1388" spans="1:17" hidden="1" x14ac:dyDescent="0.25">
      <c r="A1388">
        <v>2</v>
      </c>
      <c r="B1388" t="s">
        <v>1068</v>
      </c>
      <c r="C1388">
        <f>IFERROR(COUNTIFS($A$1:A1388,"Câu "&amp;"*")-MID(A1388,5,FIND(".",A1388,1)-5),0)</f>
        <v>0</v>
      </c>
      <c r="D1388" t="str">
        <f t="shared" si="78"/>
        <v/>
      </c>
      <c r="E1388" t="str">
        <f>SUBSTITUTE(IF(LEFT(A1388,3)="Câu",MID(A1388,FIND(".",A1388,1)+2,LEN(A1388)),""),CHAR(34),CHAR(92)&amp;CHAR(34))</f>
        <v/>
      </c>
      <c r="F1388" t="str">
        <f t="shared" si="77"/>
        <v/>
      </c>
      <c r="G1388" t="str">
        <f>SUBSTITUTE(B1389,CHAR(34),CHAR(92)&amp;CHAR(34))</f>
        <v xml:space="preserve"> Biển 3.</v>
      </c>
      <c r="H1388" t="str">
        <f>SUBSTITUTE(B1390,CHAR(34),CHAR(92)&amp;CHAR(34))</f>
        <v/>
      </c>
      <c r="I1388" t="str">
        <f>SUBSTITUTE(IF(LEFT(A1391,3)="Câu","",B1391),CHAR(34),CHAR(92)&amp;CHAR(34))</f>
        <v>Đường cấm súc vật vận tải hàng hóa.</v>
      </c>
      <c r="J1388" t="str">
        <f>SUBSTITUTE(IF(OR(LEFT(A1392,3)="Câu",I1388=""),"",IF(B1392=0,"",B1392)),CHAR(34),CHAR(92)&amp;CHAR(34))</f>
        <v>Đường cấm súc vật vận tải hành khách.</v>
      </c>
      <c r="K1388" t="str">
        <f>SUBSTITUTE(SUBSTITUTE(SUBSTITUTE(SUBSTITUTE(IFERROR(VLOOKUP("Câu "&amp;D1388&amp;".",dapan!$E:$J,6,0),""),"1","A"),"2","B"),"3","C"),"4","D")</f>
        <v/>
      </c>
      <c r="P1388" t="str">
        <f t="shared" si="75"/>
        <v/>
      </c>
      <c r="Q1388" t="str">
        <f t="shared" si="76"/>
        <v/>
      </c>
    </row>
    <row r="1389" spans="1:17" hidden="1" x14ac:dyDescent="0.25">
      <c r="A1389">
        <v>3</v>
      </c>
      <c r="B1389" t="s">
        <v>1114</v>
      </c>
      <c r="C1389">
        <f>IFERROR(COUNTIFS($A$1:A1389,"Câu "&amp;"*")-MID(A1389,5,FIND(".",A1389,1)-5),0)</f>
        <v>0</v>
      </c>
      <c r="D1389" t="str">
        <f t="shared" si="78"/>
        <v/>
      </c>
      <c r="E1389" t="str">
        <f>SUBSTITUTE(IF(LEFT(A1389,3)="Câu",MID(A1389,FIND(".",A1389,1)+2,LEN(A1389)),""),CHAR(34),CHAR(92)&amp;CHAR(34))</f>
        <v/>
      </c>
      <c r="F1389" t="str">
        <f t="shared" si="77"/>
        <v/>
      </c>
      <c r="G1389" t="str">
        <f>SUBSTITUTE(B1390,CHAR(34),CHAR(92)&amp;CHAR(34))</f>
        <v/>
      </c>
      <c r="H1389" t="str">
        <f>SUBSTITUTE(B1391,CHAR(34),CHAR(92)&amp;CHAR(34))</f>
        <v>Đường cấm súc vật vận tải hàng hóa.</v>
      </c>
      <c r="I1389" t="str">
        <f>SUBSTITUTE(IF(LEFT(A1392,3)="Câu","",B1392),CHAR(34),CHAR(92)&amp;CHAR(34))</f>
        <v>Đường cấm súc vật vận tải hành khách.</v>
      </c>
      <c r="J1389" t="str">
        <f>SUBSTITUTE(IF(OR(LEFT(A1393,3)="Câu",I1389=""),"",IF(B1393=0,"",B1393)),CHAR(34),CHAR(92)&amp;CHAR(34))</f>
        <v xml:space="preserve"> Đường cấm súc vật vận tải hàng hóa hoặc hành khách dù kéo xe hay chở trên lưng đi qua.</v>
      </c>
      <c r="K1389" t="str">
        <f>SUBSTITUTE(SUBSTITUTE(SUBSTITUTE(SUBSTITUTE(IFERROR(VLOOKUP("Câu "&amp;D1389&amp;".",dapan!$E:$J,6,0),""),"1","A"),"2","B"),"3","C"),"4","D")</f>
        <v/>
      </c>
      <c r="P1389" t="str">
        <f t="shared" si="75"/>
        <v/>
      </c>
      <c r="Q1389" t="str">
        <f t="shared" si="76"/>
        <v/>
      </c>
    </row>
    <row r="1390" spans="1:17" x14ac:dyDescent="0.25">
      <c r="A1390" t="s">
        <v>1117</v>
      </c>
      <c r="C1390">
        <f>IFERROR(COUNTIFS($A$1:A1390,"Câu "&amp;"*")-MID(A1390,5,FIND(".",A1390,1)-5),0)</f>
        <v>0</v>
      </c>
      <c r="D1390">
        <f t="shared" si="78"/>
        <v>334</v>
      </c>
      <c r="E1390" t="str">
        <f>SUBSTITUTE(IF(LEFT(A1390,3)="Câu",MID(A1390,FIND(".",A1390,1)+2,LEN(A1390)),""),CHAR(34),CHAR(92)&amp;CHAR(34))</f>
        <v>Biển báo này có ý nghĩa như thế nào?</v>
      </c>
      <c r="F1390" t="str">
        <f t="shared" si="77"/>
        <v>q334.jpg</v>
      </c>
      <c r="G1390" t="str">
        <f>SUBSTITUTE(B1391,CHAR(34),CHAR(92)&amp;CHAR(34))</f>
        <v>Đường cấm súc vật vận tải hàng hóa.</v>
      </c>
      <c r="H1390" t="str">
        <f>SUBSTITUTE(B1392,CHAR(34),CHAR(92)&amp;CHAR(34))</f>
        <v>Đường cấm súc vật vận tải hành khách.</v>
      </c>
      <c r="I1390" t="str">
        <f>SUBSTITUTE(IF(LEFT(A1393,3)="Câu","",B1393),CHAR(34),CHAR(92)&amp;CHAR(34))</f>
        <v xml:space="preserve"> Đường cấm súc vật vận tải hàng hóa hoặc hành khách dù kéo xe hay chở trên lưng đi qua.</v>
      </c>
      <c r="J1390" t="str">
        <f>SUBSTITUTE(IF(OR(LEFT(A1394,3)="Câu",I1390=""),"",IF(B1394=0,"",B1394)),CHAR(34),CHAR(92)&amp;CHAR(34))</f>
        <v/>
      </c>
      <c r="K1390" t="str">
        <f ca="1">SUBSTITUTE(SUBSTITUTE(SUBSTITUTE(SUBSTITUTE(IFERROR(VLOOKUP("Câu "&amp;D1390&amp;".",dapan!$E:$J,6,0),""),"1","A"),"2","B"),"3","C"),"4","D")</f>
        <v>C</v>
      </c>
      <c r="P1390">
        <f t="shared" si="75"/>
        <v>334</v>
      </c>
      <c r="Q1390" t="str">
        <f t="shared" ca="1" si="76"/>
        <v>{"num":334,"id":334,"q":"Biển báo này có ý nghĩa như thế nào?","img":"q334.jpg","opts":{"A":"Đường cấm súc vật vận tải hàng hóa.","B":"Đường cấm súc vật vận tải hành khách.","C":" Đường cấm súc vật vận tải hàng hóa hoặc hành khách dù kéo xe hay chở trên lưng đi qua."},"answer":"C"},</v>
      </c>
    </row>
    <row r="1391" spans="1:17" hidden="1" x14ac:dyDescent="0.25">
      <c r="A1391">
        <v>1</v>
      </c>
      <c r="B1391" t="s">
        <v>1118</v>
      </c>
      <c r="C1391">
        <f>IFERROR(COUNTIFS($A$1:A1391,"Câu "&amp;"*")-MID(A1391,5,FIND(".",A1391,1)-5),0)</f>
        <v>0</v>
      </c>
      <c r="D1391" t="str">
        <f t="shared" si="78"/>
        <v/>
      </c>
      <c r="E1391" t="str">
        <f>SUBSTITUTE(IF(LEFT(A1391,3)="Câu",MID(A1391,FIND(".",A1391,1)+2,LEN(A1391)),""),CHAR(34),CHAR(92)&amp;CHAR(34))</f>
        <v/>
      </c>
      <c r="F1391" t="str">
        <f t="shared" si="77"/>
        <v/>
      </c>
      <c r="G1391" t="str">
        <f>SUBSTITUTE(B1392,CHAR(34),CHAR(92)&amp;CHAR(34))</f>
        <v>Đường cấm súc vật vận tải hành khách.</v>
      </c>
      <c r="H1391" t="str">
        <f>SUBSTITUTE(B1393,CHAR(34),CHAR(92)&amp;CHAR(34))</f>
        <v xml:space="preserve"> Đường cấm súc vật vận tải hàng hóa hoặc hành khách dù kéo xe hay chở trên lưng đi qua.</v>
      </c>
      <c r="I1391" t="str">
        <f>SUBSTITUTE(IF(LEFT(A1394,3)="Câu","",B1394),CHAR(34),CHAR(92)&amp;CHAR(34))</f>
        <v/>
      </c>
      <c r="J1391" t="str">
        <f>SUBSTITUTE(IF(OR(LEFT(A1395,3)="Câu",I1391=""),"",IF(B1395=0,"",B1395)),CHAR(34),CHAR(92)&amp;CHAR(34))</f>
        <v/>
      </c>
      <c r="K1391" t="str">
        <f>SUBSTITUTE(SUBSTITUTE(SUBSTITUTE(SUBSTITUTE(IFERROR(VLOOKUP("Câu "&amp;D1391&amp;".",dapan!$E:$J,6,0),""),"1","A"),"2","B"),"3","C"),"4","D")</f>
        <v/>
      </c>
      <c r="P1391" t="str">
        <f t="shared" si="75"/>
        <v/>
      </c>
      <c r="Q1391" t="str">
        <f t="shared" si="76"/>
        <v/>
      </c>
    </row>
    <row r="1392" spans="1:17" hidden="1" x14ac:dyDescent="0.25">
      <c r="A1392">
        <v>2</v>
      </c>
      <c r="B1392" t="s">
        <v>1119</v>
      </c>
      <c r="C1392">
        <f>IFERROR(COUNTIFS($A$1:A1392,"Câu "&amp;"*")-MID(A1392,5,FIND(".",A1392,1)-5),0)</f>
        <v>0</v>
      </c>
      <c r="D1392" t="str">
        <f t="shared" si="78"/>
        <v/>
      </c>
      <c r="E1392" t="str">
        <f>SUBSTITUTE(IF(LEFT(A1392,3)="Câu",MID(A1392,FIND(".",A1392,1)+2,LEN(A1392)),""),CHAR(34),CHAR(92)&amp;CHAR(34))</f>
        <v/>
      </c>
      <c r="F1392" t="str">
        <f t="shared" si="77"/>
        <v/>
      </c>
      <c r="G1392" t="str">
        <f>SUBSTITUTE(B1393,CHAR(34),CHAR(92)&amp;CHAR(34))</f>
        <v xml:space="preserve"> Đường cấm súc vật vận tải hàng hóa hoặc hành khách dù kéo xe hay chở trên lưng đi qua.</v>
      </c>
      <c r="H1392" t="str">
        <f>SUBSTITUTE(B1394,CHAR(34),CHAR(92)&amp;CHAR(34))</f>
        <v/>
      </c>
      <c r="I1392" t="str">
        <f>SUBSTITUTE(IF(LEFT(A1395,3)="Câu","",B1395),CHAR(34),CHAR(92)&amp;CHAR(34))</f>
        <v xml:space="preserve"> Tốc độ tối đa cho phép về ban đêm cho các phương tiện là 70 km/h.</v>
      </c>
      <c r="J1392" t="str">
        <f>SUBSTITUTE(IF(OR(LEFT(A1396,3)="Câu",I1392=""),"",IF(B1396=0,"",B1396)),CHAR(34),CHAR(92)&amp;CHAR(34))</f>
        <v>Tốc độ tối thiểu cho phép về ban đêm cho các phương tiện là 70 km/h.</v>
      </c>
      <c r="K1392" t="str">
        <f>SUBSTITUTE(SUBSTITUTE(SUBSTITUTE(SUBSTITUTE(IFERROR(VLOOKUP("Câu "&amp;D1392&amp;".",dapan!$E:$J,6,0),""),"1","A"),"2","B"),"3","C"),"4","D")</f>
        <v/>
      </c>
      <c r="P1392" t="str">
        <f t="shared" si="75"/>
        <v/>
      </c>
      <c r="Q1392" t="str">
        <f t="shared" si="76"/>
        <v/>
      </c>
    </row>
    <row r="1393" spans="1:17" hidden="1" x14ac:dyDescent="0.25">
      <c r="A1393">
        <v>3</v>
      </c>
      <c r="B1393" t="s">
        <v>1120</v>
      </c>
      <c r="C1393">
        <f>IFERROR(COUNTIFS($A$1:A1393,"Câu "&amp;"*")-MID(A1393,5,FIND(".",A1393,1)-5),0)</f>
        <v>0</v>
      </c>
      <c r="D1393" t="str">
        <f t="shared" si="78"/>
        <v/>
      </c>
      <c r="E1393" t="str">
        <f>SUBSTITUTE(IF(LEFT(A1393,3)="Câu",MID(A1393,FIND(".",A1393,1)+2,LEN(A1393)),""),CHAR(34),CHAR(92)&amp;CHAR(34))</f>
        <v/>
      </c>
      <c r="F1393" t="str">
        <f t="shared" si="77"/>
        <v/>
      </c>
      <c r="G1393" t="str">
        <f>SUBSTITUTE(B1394,CHAR(34),CHAR(92)&amp;CHAR(34))</f>
        <v/>
      </c>
      <c r="H1393" t="str">
        <f>SUBSTITUTE(B1395,CHAR(34),CHAR(92)&amp;CHAR(34))</f>
        <v xml:space="preserve"> Tốc độ tối đa cho phép về ban đêm cho các phương tiện là 70 km/h.</v>
      </c>
      <c r="I1393" t="str">
        <f>SUBSTITUTE(IF(LEFT(A1396,3)="Câu","",B1396),CHAR(34),CHAR(92)&amp;CHAR(34))</f>
        <v>Tốc độ tối thiểu cho phép về ban đêm cho các phương tiện là 70 km/h.</v>
      </c>
      <c r="J1393" t="str">
        <f>SUBSTITUTE(IF(OR(LEFT(A1397,3)="Câu",I1393=""),"",IF(B1397=0,"",B1397)),CHAR(34),CHAR(92)&amp;CHAR(34))</f>
        <v/>
      </c>
      <c r="K1393" t="str">
        <f>SUBSTITUTE(SUBSTITUTE(SUBSTITUTE(SUBSTITUTE(IFERROR(VLOOKUP("Câu "&amp;D1393&amp;".",dapan!$E:$J,6,0),""),"1","A"),"2","B"),"3","C"),"4","D")</f>
        <v/>
      </c>
      <c r="P1393" t="str">
        <f t="shared" si="75"/>
        <v/>
      </c>
      <c r="Q1393" t="str">
        <f t="shared" si="76"/>
        <v/>
      </c>
    </row>
    <row r="1394" spans="1:17" x14ac:dyDescent="0.25">
      <c r="A1394" t="s">
        <v>1121</v>
      </c>
      <c r="C1394">
        <f>IFERROR(COUNTIFS($A$1:A1394,"Câu "&amp;"*")-MID(A1394,5,FIND(".",A1394,1)-5),0)</f>
        <v>0</v>
      </c>
      <c r="D1394">
        <f t="shared" si="78"/>
        <v>335</v>
      </c>
      <c r="E1394" t="str">
        <f>SUBSTITUTE(IF(LEFT(A1394,3)="Câu",MID(A1394,FIND(".",A1394,1)+2,LEN(A1394)),""),CHAR(34),CHAR(92)&amp;CHAR(34))</f>
        <v>Biển báo này có ý nghĩa như thế nào?</v>
      </c>
      <c r="F1394" t="str">
        <f t="shared" si="77"/>
        <v>q335.jpg</v>
      </c>
      <c r="G1394" t="str">
        <f>SUBSTITUTE(B1395,CHAR(34),CHAR(92)&amp;CHAR(34))</f>
        <v xml:space="preserve"> Tốc độ tối đa cho phép về ban đêm cho các phương tiện là 70 km/h.</v>
      </c>
      <c r="H1394" t="str">
        <f>SUBSTITUTE(B1396,CHAR(34),CHAR(92)&amp;CHAR(34))</f>
        <v>Tốc độ tối thiểu cho phép về ban đêm cho các phương tiện là 70 km/h.</v>
      </c>
      <c r="I1394" t="str">
        <f>SUBSTITUTE(IF(LEFT(A1397,3)="Câu","",B1397),CHAR(34),CHAR(92)&amp;CHAR(34))</f>
        <v/>
      </c>
      <c r="J1394" t="str">
        <f>SUBSTITUTE(IF(OR(LEFT(A1398,3)="Câu",I1394=""),"",IF(B1398=0,"",B1398)),CHAR(34),CHAR(92)&amp;CHAR(34))</f>
        <v/>
      </c>
      <c r="K1394" t="str">
        <f ca="1">SUBSTITUTE(SUBSTITUTE(SUBSTITUTE(SUBSTITUTE(IFERROR(VLOOKUP("Câu "&amp;D1394&amp;".",dapan!$E:$J,6,0),""),"1","A"),"2","B"),"3","C"),"4","D")</f>
        <v>A</v>
      </c>
      <c r="P1394">
        <f t="shared" si="75"/>
        <v>335</v>
      </c>
      <c r="Q1394" t="str">
        <f t="shared" ca="1" si="76"/>
        <v>{"num":335,"id":335,"q":"Biển báo này có ý nghĩa như thế nào?","img":"q335.jpg","opts":{"A":" Tốc độ tối đa cho phép về ban đêm cho các phương tiện là 70 km/h.","B":"Tốc độ tối thiểu cho phép về ban đêm cho các phương tiện là 70 km/h."},"answer":"A"},</v>
      </c>
    </row>
    <row r="1395" spans="1:17" hidden="1" x14ac:dyDescent="0.25">
      <c r="A1395">
        <v>1</v>
      </c>
      <c r="B1395" t="s">
        <v>1122</v>
      </c>
      <c r="C1395">
        <f>IFERROR(COUNTIFS($A$1:A1395,"Câu "&amp;"*")-MID(A1395,5,FIND(".",A1395,1)-5),0)</f>
        <v>0</v>
      </c>
      <c r="D1395" t="str">
        <f t="shared" si="78"/>
        <v/>
      </c>
      <c r="E1395" t="str">
        <f>SUBSTITUTE(IF(LEFT(A1395,3)="Câu",MID(A1395,FIND(".",A1395,1)+2,LEN(A1395)),""),CHAR(34),CHAR(92)&amp;CHAR(34))</f>
        <v/>
      </c>
      <c r="F1395" t="str">
        <f t="shared" si="77"/>
        <v/>
      </c>
      <c r="G1395" t="str">
        <f>SUBSTITUTE(B1396,CHAR(34),CHAR(92)&amp;CHAR(34))</f>
        <v>Tốc độ tối thiểu cho phép về ban đêm cho các phương tiện là 70 km/h.</v>
      </c>
      <c r="H1395" t="str">
        <f>SUBSTITUTE(B1397,CHAR(34),CHAR(92)&amp;CHAR(34))</f>
        <v/>
      </c>
      <c r="I1395" t="str">
        <f>SUBSTITUTE(IF(LEFT(A1398,3)="Câu","",B1398),CHAR(34),CHAR(92)&amp;CHAR(34))</f>
        <v>Được phép.</v>
      </c>
      <c r="J1395" t="str">
        <f>SUBSTITUTE(IF(OR(LEFT(A1399,3)="Câu",I1395=""),"",IF(B1399=0,"",B1399)),CHAR(34),CHAR(92)&amp;CHAR(34))</f>
        <v xml:space="preserve"> Không được phép.</v>
      </c>
      <c r="K1395" t="str">
        <f>SUBSTITUTE(SUBSTITUTE(SUBSTITUTE(SUBSTITUTE(IFERROR(VLOOKUP("Câu "&amp;D1395&amp;".",dapan!$E:$J,6,0),""),"1","A"),"2","B"),"3","C"),"4","D")</f>
        <v/>
      </c>
      <c r="P1395" t="str">
        <f t="shared" si="75"/>
        <v/>
      </c>
      <c r="Q1395" t="str">
        <f t="shared" si="76"/>
        <v/>
      </c>
    </row>
    <row r="1396" spans="1:17" hidden="1" x14ac:dyDescent="0.25">
      <c r="A1396">
        <v>2</v>
      </c>
      <c r="B1396" t="s">
        <v>1123</v>
      </c>
      <c r="C1396">
        <f>IFERROR(COUNTIFS($A$1:A1396,"Câu "&amp;"*")-MID(A1396,5,FIND(".",A1396,1)-5),0)</f>
        <v>0</v>
      </c>
      <c r="D1396" t="str">
        <f t="shared" si="78"/>
        <v/>
      </c>
      <c r="E1396" t="str">
        <f>SUBSTITUTE(IF(LEFT(A1396,3)="Câu",MID(A1396,FIND(".",A1396,1)+2,LEN(A1396)),""),CHAR(34),CHAR(92)&amp;CHAR(34))</f>
        <v/>
      </c>
      <c r="F1396" t="str">
        <f t="shared" si="77"/>
        <v/>
      </c>
      <c r="G1396" t="str">
        <f>SUBSTITUTE(B1397,CHAR(34),CHAR(92)&amp;CHAR(34))</f>
        <v/>
      </c>
      <c r="H1396" t="str">
        <f>SUBSTITUTE(B1398,CHAR(34),CHAR(92)&amp;CHAR(34))</f>
        <v>Được phép.</v>
      </c>
      <c r="I1396" t="str">
        <f>SUBSTITUTE(IF(LEFT(A1399,3)="Câu","",B1399),CHAR(34),CHAR(92)&amp;CHAR(34))</f>
        <v xml:space="preserve"> Không được phép.</v>
      </c>
      <c r="J1396" t="str">
        <f>SUBSTITUTE(IF(OR(LEFT(A1400,3)="Câu",I1396=""),"",IF(B1400=0,"",B1400)),CHAR(34),CHAR(92)&amp;CHAR(34))</f>
        <v/>
      </c>
      <c r="K1396" t="str">
        <f>SUBSTITUTE(SUBSTITUTE(SUBSTITUTE(SUBSTITUTE(IFERROR(VLOOKUP("Câu "&amp;D1396&amp;".",dapan!$E:$J,6,0),""),"1","A"),"2","B"),"3","C"),"4","D")</f>
        <v/>
      </c>
      <c r="P1396" t="str">
        <f t="shared" si="75"/>
        <v/>
      </c>
      <c r="Q1396" t="str">
        <f t="shared" si="76"/>
        <v/>
      </c>
    </row>
    <row r="1397" spans="1:17" x14ac:dyDescent="0.25">
      <c r="A1397" t="s">
        <v>1124</v>
      </c>
      <c r="C1397">
        <f>IFERROR(COUNTIFS($A$1:A1397,"Câu "&amp;"*")-MID(A1397,5,FIND(".",A1397,1)-5),0)</f>
        <v>0</v>
      </c>
      <c r="D1397">
        <f t="shared" si="78"/>
        <v>336</v>
      </c>
      <c r="E1397" t="str">
        <f>SUBSTITUTE(IF(LEFT(A1397,3)="Câu",MID(A1397,FIND(".",A1397,1)+2,LEN(A1397)),""),CHAR(34),CHAR(92)&amp;CHAR(34))</f>
        <v>Khi gặp các biển này xe ưu tiên theo luật định (có tải trọng hay chiều cao toàn bộ vượt quá chỉ số ghi trên biển) có được phép đi qua hay không?</v>
      </c>
      <c r="F1397" t="str">
        <f t="shared" si="77"/>
        <v>q336.jpg</v>
      </c>
      <c r="G1397" t="str">
        <f>SUBSTITUTE(B1398,CHAR(34),CHAR(92)&amp;CHAR(34))</f>
        <v>Được phép.</v>
      </c>
      <c r="H1397" t="str">
        <f>SUBSTITUTE(B1399,CHAR(34),CHAR(92)&amp;CHAR(34))</f>
        <v xml:space="preserve"> Không được phép.</v>
      </c>
      <c r="I1397" t="str">
        <f>SUBSTITUTE(IF(LEFT(A1400,3)="Câu","",B1400),CHAR(34),CHAR(92)&amp;CHAR(34))</f>
        <v/>
      </c>
      <c r="J1397" t="str">
        <f>SUBSTITUTE(IF(OR(LEFT(A1401,3)="Câu",I1397=""),"",IF(B1401=0,"",B1401)),CHAR(34),CHAR(92)&amp;CHAR(34))</f>
        <v/>
      </c>
      <c r="K1397" t="str">
        <f ca="1">SUBSTITUTE(SUBSTITUTE(SUBSTITUTE(SUBSTITUTE(IFERROR(VLOOKUP("Câu "&amp;D1397&amp;".",dapan!$E:$J,6,0),""),"1","A"),"2","B"),"3","C"),"4","D")</f>
        <v>B</v>
      </c>
      <c r="P1397">
        <f t="shared" si="75"/>
        <v>336</v>
      </c>
      <c r="Q1397" t="str">
        <f t="shared" ca="1" si="76"/>
        <v>{"num":336,"id":336,"q":"Khi gặp các biển này xe ưu tiên theo luật định (có tải trọng hay chiều cao toàn bộ vượt quá chỉ số ghi trên biển) có được phép đi qua hay không?","img":"q336.jpg","opts":{"A":"Được phép.","B":" Không được phép."},"answer":"B"},</v>
      </c>
    </row>
    <row r="1398" spans="1:17" hidden="1" x14ac:dyDescent="0.25">
      <c r="A1398">
        <v>1</v>
      </c>
      <c r="B1398" t="s">
        <v>223</v>
      </c>
      <c r="C1398">
        <f>IFERROR(COUNTIFS($A$1:A1398,"Câu "&amp;"*")-MID(A1398,5,FIND(".",A1398,1)-5),0)</f>
        <v>0</v>
      </c>
      <c r="D1398" t="str">
        <f t="shared" si="78"/>
        <v/>
      </c>
      <c r="E1398" t="str">
        <f>SUBSTITUTE(IF(LEFT(A1398,3)="Câu",MID(A1398,FIND(".",A1398,1)+2,LEN(A1398)),""),CHAR(34),CHAR(92)&amp;CHAR(34))</f>
        <v/>
      </c>
      <c r="F1398" t="str">
        <f t="shared" si="77"/>
        <v/>
      </c>
      <c r="G1398" t="str">
        <f>SUBSTITUTE(B1399,CHAR(34),CHAR(92)&amp;CHAR(34))</f>
        <v xml:space="preserve"> Không được phép.</v>
      </c>
      <c r="H1398" t="str">
        <f>SUBSTITUTE(B1400,CHAR(34),CHAR(92)&amp;CHAR(34))</f>
        <v/>
      </c>
      <c r="I1398" t="str">
        <f>SUBSTITUTE(IF(LEFT(A1401,3)="Câu","",B1401),CHAR(34),CHAR(92)&amp;CHAR(34))</f>
        <v xml:space="preserve"> Biển 1.</v>
      </c>
      <c r="J1398" t="str">
        <f>SUBSTITUTE(IF(OR(LEFT(A1402,3)="Câu",I1398=""),"",IF(B1402=0,"",B1402)),CHAR(34),CHAR(92)&amp;CHAR(34))</f>
        <v>Biển 2.</v>
      </c>
      <c r="K1398" t="str">
        <f>SUBSTITUTE(SUBSTITUTE(SUBSTITUTE(SUBSTITUTE(IFERROR(VLOOKUP("Câu "&amp;D1398&amp;".",dapan!$E:$J,6,0),""),"1","A"),"2","B"),"3","C"),"4","D")</f>
        <v/>
      </c>
      <c r="P1398" t="str">
        <f t="shared" si="75"/>
        <v/>
      </c>
      <c r="Q1398" t="str">
        <f t="shared" si="76"/>
        <v/>
      </c>
    </row>
    <row r="1399" spans="1:17" hidden="1" x14ac:dyDescent="0.25">
      <c r="A1399">
        <v>2</v>
      </c>
      <c r="B1399" t="s">
        <v>226</v>
      </c>
      <c r="C1399">
        <f>IFERROR(COUNTIFS($A$1:A1399,"Câu "&amp;"*")-MID(A1399,5,FIND(".",A1399,1)-5),0)</f>
        <v>0</v>
      </c>
      <c r="D1399" t="str">
        <f t="shared" si="78"/>
        <v/>
      </c>
      <c r="E1399" t="str">
        <f>SUBSTITUTE(IF(LEFT(A1399,3)="Câu",MID(A1399,FIND(".",A1399,1)+2,LEN(A1399)),""),CHAR(34),CHAR(92)&amp;CHAR(34))</f>
        <v/>
      </c>
      <c r="F1399" t="str">
        <f t="shared" si="77"/>
        <v/>
      </c>
      <c r="G1399" t="str">
        <f>SUBSTITUTE(B1400,CHAR(34),CHAR(92)&amp;CHAR(34))</f>
        <v/>
      </c>
      <c r="H1399" t="str">
        <f>SUBSTITUTE(B1401,CHAR(34),CHAR(92)&amp;CHAR(34))</f>
        <v xml:space="preserve"> Biển 1.</v>
      </c>
      <c r="I1399" t="str">
        <f>SUBSTITUTE(IF(LEFT(A1402,3)="Câu","",B1402),CHAR(34),CHAR(92)&amp;CHAR(34))</f>
        <v>Biển 2.</v>
      </c>
      <c r="J1399" t="str">
        <f>SUBSTITUTE(IF(OR(LEFT(A1403,3)="Câu",I1399=""),"",IF(B1403=0,"",B1403)),CHAR(34),CHAR(92)&amp;CHAR(34))</f>
        <v>Biển 3.</v>
      </c>
      <c r="K1399" t="str">
        <f>SUBSTITUTE(SUBSTITUTE(SUBSTITUTE(SUBSTITUTE(IFERROR(VLOOKUP("Câu "&amp;D1399&amp;".",dapan!$E:$J,6,0),""),"1","A"),"2","B"),"3","C"),"4","D")</f>
        <v/>
      </c>
      <c r="P1399" t="str">
        <f t="shared" si="75"/>
        <v/>
      </c>
      <c r="Q1399" t="str">
        <f t="shared" si="76"/>
        <v/>
      </c>
    </row>
    <row r="1400" spans="1:17" x14ac:dyDescent="0.25">
      <c r="A1400" t="s">
        <v>1125</v>
      </c>
      <c r="C1400">
        <f>IFERROR(COUNTIFS($A$1:A1400,"Câu "&amp;"*")-MID(A1400,5,FIND(".",A1400,1)-5),0)</f>
        <v>0</v>
      </c>
      <c r="D1400">
        <f t="shared" si="78"/>
        <v>337</v>
      </c>
      <c r="E1400" t="str">
        <f>SUBSTITUTE(IF(LEFT(A1400,3)="Câu",MID(A1400,FIND(".",A1400,1)+2,LEN(A1400)),""),CHAR(34),CHAR(92)&amp;CHAR(34))</f>
        <v>Biển nào hạn chế chiều cao của xe và hàng?</v>
      </c>
      <c r="F1400" t="str">
        <f t="shared" si="77"/>
        <v>q337.jpg</v>
      </c>
      <c r="G1400" t="str">
        <f>SUBSTITUTE(B1401,CHAR(34),CHAR(92)&amp;CHAR(34))</f>
        <v xml:space="preserve"> Biển 1.</v>
      </c>
      <c r="H1400" t="str">
        <f>SUBSTITUTE(B1402,CHAR(34),CHAR(92)&amp;CHAR(34))</f>
        <v>Biển 2.</v>
      </c>
      <c r="I1400" t="str">
        <f>SUBSTITUTE(IF(LEFT(A1403,3)="Câu","",B1403),CHAR(34),CHAR(92)&amp;CHAR(34))</f>
        <v>Biển 3.</v>
      </c>
      <c r="J1400" t="str">
        <f>SUBSTITUTE(IF(OR(LEFT(A1404,3)="Câu",I1400=""),"",IF(B1404=0,"",B1404)),CHAR(34),CHAR(92)&amp;CHAR(34))</f>
        <v/>
      </c>
      <c r="K1400" t="str">
        <f ca="1">SUBSTITUTE(SUBSTITUTE(SUBSTITUTE(SUBSTITUTE(IFERROR(VLOOKUP("Câu "&amp;D1400&amp;".",dapan!$E:$J,6,0),""),"1","A"),"2","B"),"3","C"),"4","D")</f>
        <v>A</v>
      </c>
      <c r="P1400">
        <f t="shared" si="75"/>
        <v>337</v>
      </c>
      <c r="Q1400" t="str">
        <f t="shared" ca="1" si="76"/>
        <v>{"num":337,"id":337,"q":"Biển nào hạn chế chiều cao của xe và hàng?","img":"q337.jpg","opts":{"A":" Biển 1.","B":"Biển 2.","C":"Biển 3."},"answer":"A"},</v>
      </c>
    </row>
    <row r="1401" spans="1:17" hidden="1" x14ac:dyDescent="0.25">
      <c r="A1401">
        <v>1</v>
      </c>
      <c r="B1401" t="s">
        <v>1066</v>
      </c>
      <c r="C1401">
        <f>IFERROR(COUNTIFS($A$1:A1401,"Câu "&amp;"*")-MID(A1401,5,FIND(".",A1401,1)-5),0)</f>
        <v>0</v>
      </c>
      <c r="D1401" t="str">
        <f t="shared" si="78"/>
        <v/>
      </c>
      <c r="E1401" t="str">
        <f>SUBSTITUTE(IF(LEFT(A1401,3)="Câu",MID(A1401,FIND(".",A1401,1)+2,LEN(A1401)),""),CHAR(34),CHAR(92)&amp;CHAR(34))</f>
        <v/>
      </c>
      <c r="F1401" t="str">
        <f t="shared" si="77"/>
        <v/>
      </c>
      <c r="G1401" t="str">
        <f>SUBSTITUTE(B1402,CHAR(34),CHAR(92)&amp;CHAR(34))</f>
        <v>Biển 2.</v>
      </c>
      <c r="H1401" t="str">
        <f>SUBSTITUTE(B1403,CHAR(34),CHAR(92)&amp;CHAR(34))</f>
        <v>Biển 3.</v>
      </c>
      <c r="I1401" t="str">
        <f>SUBSTITUTE(IF(LEFT(A1404,3)="Câu","",B1404),CHAR(34),CHAR(92)&amp;CHAR(34))</f>
        <v/>
      </c>
      <c r="J1401" t="str">
        <f>SUBSTITUTE(IF(OR(LEFT(A1405,3)="Câu",I1401=""),"",IF(B1405=0,"",B1405)),CHAR(34),CHAR(92)&amp;CHAR(34))</f>
        <v/>
      </c>
      <c r="K1401" t="str">
        <f>SUBSTITUTE(SUBSTITUTE(SUBSTITUTE(SUBSTITUTE(IFERROR(VLOOKUP("Câu "&amp;D1401&amp;".",dapan!$E:$J,6,0),""),"1","A"),"2","B"),"3","C"),"4","D")</f>
        <v/>
      </c>
      <c r="P1401" t="str">
        <f t="shared" si="75"/>
        <v/>
      </c>
      <c r="Q1401" t="str">
        <f t="shared" si="76"/>
        <v/>
      </c>
    </row>
    <row r="1402" spans="1:17" hidden="1" x14ac:dyDescent="0.25">
      <c r="A1402">
        <v>2</v>
      </c>
      <c r="B1402" t="s">
        <v>1068</v>
      </c>
      <c r="C1402">
        <f>IFERROR(COUNTIFS($A$1:A1402,"Câu "&amp;"*")-MID(A1402,5,FIND(".",A1402,1)-5),0)</f>
        <v>0</v>
      </c>
      <c r="D1402" t="str">
        <f t="shared" si="78"/>
        <v/>
      </c>
      <c r="E1402" t="str">
        <f>SUBSTITUTE(IF(LEFT(A1402,3)="Câu",MID(A1402,FIND(".",A1402,1)+2,LEN(A1402)),""),CHAR(34),CHAR(92)&amp;CHAR(34))</f>
        <v/>
      </c>
      <c r="F1402" t="str">
        <f t="shared" si="77"/>
        <v/>
      </c>
      <c r="G1402" t="str">
        <f>SUBSTITUTE(B1403,CHAR(34),CHAR(92)&amp;CHAR(34))</f>
        <v>Biển 3.</v>
      </c>
      <c r="H1402" t="str">
        <f>SUBSTITUTE(B1404,CHAR(34),CHAR(92)&amp;CHAR(34))</f>
        <v/>
      </c>
      <c r="I1402" t="str">
        <f>SUBSTITUTE(IF(LEFT(A1405,3)="Câu","",B1405),CHAR(34),CHAR(92)&amp;CHAR(34))</f>
        <v>Cho phép xe ô tô có tải trọng trục lớn hơn 7 tấn đi qua.</v>
      </c>
      <c r="J1402" t="str">
        <f>SUBSTITUTE(IF(OR(LEFT(A1406,3)="Câu",I1402=""),"",IF(B1406=0,"",B1406)),CHAR(34),CHAR(92)&amp;CHAR(34))</f>
        <v xml:space="preserve"> Cho phép xe ô tô có tải trọng trên trục xe từ 7 tấn trở xuống đi qua.</v>
      </c>
      <c r="K1402" t="str">
        <f>SUBSTITUTE(SUBSTITUTE(SUBSTITUTE(SUBSTITUTE(IFERROR(VLOOKUP("Câu "&amp;D1402&amp;".",dapan!$E:$J,6,0),""),"1","A"),"2","B"),"3","C"),"4","D")</f>
        <v/>
      </c>
      <c r="P1402" t="str">
        <f t="shared" si="75"/>
        <v/>
      </c>
      <c r="Q1402" t="str">
        <f t="shared" si="76"/>
        <v/>
      </c>
    </row>
    <row r="1403" spans="1:17" hidden="1" x14ac:dyDescent="0.25">
      <c r="A1403">
        <v>3</v>
      </c>
      <c r="B1403" t="s">
        <v>1083</v>
      </c>
      <c r="C1403">
        <f>IFERROR(COUNTIFS($A$1:A1403,"Câu "&amp;"*")-MID(A1403,5,FIND(".",A1403,1)-5),0)</f>
        <v>0</v>
      </c>
      <c r="D1403" t="str">
        <f t="shared" si="78"/>
        <v/>
      </c>
      <c r="E1403" t="str">
        <f>SUBSTITUTE(IF(LEFT(A1403,3)="Câu",MID(A1403,FIND(".",A1403,1)+2,LEN(A1403)),""),CHAR(34),CHAR(92)&amp;CHAR(34))</f>
        <v/>
      </c>
      <c r="F1403" t="str">
        <f t="shared" si="77"/>
        <v/>
      </c>
      <c r="G1403" t="str">
        <f>SUBSTITUTE(B1404,CHAR(34),CHAR(92)&amp;CHAR(34))</f>
        <v/>
      </c>
      <c r="H1403" t="str">
        <f>SUBSTITUTE(B1405,CHAR(34),CHAR(92)&amp;CHAR(34))</f>
        <v>Cho phép xe ô tô có tải trọng trục lớn hơn 7 tấn đi qua.</v>
      </c>
      <c r="I1403" t="str">
        <f>SUBSTITUTE(IF(LEFT(A1406,3)="Câu","",B1406),CHAR(34),CHAR(92)&amp;CHAR(34))</f>
        <v xml:space="preserve"> Cho phép xe ô tô có tải trọng trên trục xe từ 7 tấn trở xuống đi qua.</v>
      </c>
      <c r="J1403" t="str">
        <f>SUBSTITUTE(IF(OR(LEFT(A1407,3)="Câu",I1403=""),"",IF(B1407=0,"",B1407)),CHAR(34),CHAR(92)&amp;CHAR(34))</f>
        <v/>
      </c>
      <c r="K1403" t="str">
        <f>SUBSTITUTE(SUBSTITUTE(SUBSTITUTE(SUBSTITUTE(IFERROR(VLOOKUP("Câu "&amp;D1403&amp;".",dapan!$E:$J,6,0),""),"1","A"),"2","B"),"3","C"),"4","D")</f>
        <v/>
      </c>
      <c r="P1403" t="str">
        <f t="shared" si="75"/>
        <v/>
      </c>
      <c r="Q1403" t="str">
        <f t="shared" si="76"/>
        <v/>
      </c>
    </row>
    <row r="1404" spans="1:17" x14ac:dyDescent="0.25">
      <c r="A1404" t="s">
        <v>1126</v>
      </c>
      <c r="C1404">
        <f>IFERROR(COUNTIFS($A$1:A1404,"Câu "&amp;"*")-MID(A1404,5,FIND(".",A1404,1)-5),0)</f>
        <v>0</v>
      </c>
      <c r="D1404">
        <f t="shared" si="78"/>
        <v>338</v>
      </c>
      <c r="E1404" t="str">
        <f>SUBSTITUTE(IF(LEFT(A1404,3)="Câu",MID(A1404,FIND(".",A1404,1)+2,LEN(A1404)),""),CHAR(34),CHAR(92)&amp;CHAR(34))</f>
        <v>Biển số 2 có ý nghĩa như thế nào?</v>
      </c>
      <c r="F1404" t="str">
        <f t="shared" si="77"/>
        <v>q338.jpg</v>
      </c>
      <c r="G1404" t="str">
        <f>SUBSTITUTE(B1405,CHAR(34),CHAR(92)&amp;CHAR(34))</f>
        <v>Cho phép xe ô tô có tải trọng trục lớn hơn 7 tấn đi qua.</v>
      </c>
      <c r="H1404" t="str">
        <f>SUBSTITUTE(B1406,CHAR(34),CHAR(92)&amp;CHAR(34))</f>
        <v xml:space="preserve"> Cho phép xe ô tô có tải trọng trên trục xe từ 7 tấn trở xuống đi qua.</v>
      </c>
      <c r="I1404" t="str">
        <f>SUBSTITUTE(IF(LEFT(A1407,3)="Câu","",B1407),CHAR(34),CHAR(92)&amp;CHAR(34))</f>
        <v/>
      </c>
      <c r="J1404" t="str">
        <f>SUBSTITUTE(IF(OR(LEFT(A1408,3)="Câu",I1404=""),"",IF(B1408=0,"",B1408)),CHAR(34),CHAR(92)&amp;CHAR(34))</f>
        <v/>
      </c>
      <c r="K1404" t="str">
        <f ca="1">SUBSTITUTE(SUBSTITUTE(SUBSTITUTE(SUBSTITUTE(IFERROR(VLOOKUP("Câu "&amp;D1404&amp;".",dapan!$E:$J,6,0),""),"1","A"),"2","B"),"3","C"),"4","D")</f>
        <v>B</v>
      </c>
      <c r="P1404">
        <f t="shared" si="75"/>
        <v>338</v>
      </c>
      <c r="Q1404" t="str">
        <f t="shared" ca="1" si="76"/>
        <v>{"num":338,"id":338,"q":"Biển số 2 có ý nghĩa như thế nào?","img":"q338.jpg","opts":{"A":"Cho phép xe ô tô có tải trọng trục lớn hơn 7 tấn đi qua.","B":" Cho phép xe ô tô có tải trọng trên trục xe từ 7 tấn trở xuống đi qua."},"answer":"B"},</v>
      </c>
    </row>
    <row r="1405" spans="1:17" hidden="1" x14ac:dyDescent="0.25">
      <c r="A1405">
        <v>1</v>
      </c>
      <c r="B1405" t="s">
        <v>1127</v>
      </c>
      <c r="C1405">
        <f>IFERROR(COUNTIFS($A$1:A1405,"Câu "&amp;"*")-MID(A1405,5,FIND(".",A1405,1)-5),0)</f>
        <v>0</v>
      </c>
      <c r="D1405" t="str">
        <f t="shared" si="78"/>
        <v/>
      </c>
      <c r="E1405" t="str">
        <f>SUBSTITUTE(IF(LEFT(A1405,3)="Câu",MID(A1405,FIND(".",A1405,1)+2,LEN(A1405)),""),CHAR(34),CHAR(92)&amp;CHAR(34))</f>
        <v/>
      </c>
      <c r="F1405" t="str">
        <f t="shared" si="77"/>
        <v/>
      </c>
      <c r="G1405" t="str">
        <f>SUBSTITUTE(B1406,CHAR(34),CHAR(92)&amp;CHAR(34))</f>
        <v xml:space="preserve"> Cho phép xe ô tô có tải trọng trên trục xe từ 7 tấn trở xuống đi qua.</v>
      </c>
      <c r="H1405" t="str">
        <f>SUBSTITUTE(B1407,CHAR(34),CHAR(92)&amp;CHAR(34))</f>
        <v/>
      </c>
      <c r="I1405" t="str">
        <f>SUBSTITUTE(IF(LEFT(A1408,3)="Câu","",B1408),CHAR(34),CHAR(92)&amp;CHAR(34))</f>
        <v xml:space="preserve"> Cấm các loại xe có tải trọng toàn bộ trên 10 tấn đi qua.</v>
      </c>
      <c r="J1405" t="str">
        <f>SUBSTITUTE(IF(OR(LEFT(A1409,3)="Câu",I1405=""),"",IF(B1409=0,"",B1409)),CHAR(34),CHAR(92)&amp;CHAR(34))</f>
        <v>Hạn chế khối lượng hàng hóa chở trên xe.</v>
      </c>
      <c r="K1405" t="str">
        <f>SUBSTITUTE(SUBSTITUTE(SUBSTITUTE(SUBSTITUTE(IFERROR(VLOOKUP("Câu "&amp;D1405&amp;".",dapan!$E:$J,6,0),""),"1","A"),"2","B"),"3","C"),"4","D")</f>
        <v/>
      </c>
      <c r="P1405" t="str">
        <f t="shared" si="75"/>
        <v/>
      </c>
      <c r="Q1405" t="str">
        <f t="shared" si="76"/>
        <v/>
      </c>
    </row>
    <row r="1406" spans="1:17" hidden="1" x14ac:dyDescent="0.25">
      <c r="A1406">
        <v>2</v>
      </c>
      <c r="B1406" t="s">
        <v>1128</v>
      </c>
      <c r="C1406">
        <f>IFERROR(COUNTIFS($A$1:A1406,"Câu "&amp;"*")-MID(A1406,5,FIND(".",A1406,1)-5),0)</f>
        <v>0</v>
      </c>
      <c r="D1406" t="str">
        <f t="shared" si="78"/>
        <v/>
      </c>
      <c r="E1406" t="str">
        <f>SUBSTITUTE(IF(LEFT(A1406,3)="Câu",MID(A1406,FIND(".",A1406,1)+2,LEN(A1406)),""),CHAR(34),CHAR(92)&amp;CHAR(34))</f>
        <v/>
      </c>
      <c r="F1406" t="str">
        <f t="shared" si="77"/>
        <v/>
      </c>
      <c r="G1406" t="str">
        <f>SUBSTITUTE(B1407,CHAR(34),CHAR(92)&amp;CHAR(34))</f>
        <v/>
      </c>
      <c r="H1406" t="str">
        <f>SUBSTITUTE(B1408,CHAR(34),CHAR(92)&amp;CHAR(34))</f>
        <v xml:space="preserve"> Cấm các loại xe có tải trọng toàn bộ trên 10 tấn đi qua.</v>
      </c>
      <c r="I1406" t="str">
        <f>SUBSTITUTE(IF(LEFT(A1409,3)="Câu","",B1409),CHAR(34),CHAR(92)&amp;CHAR(34))</f>
        <v>Hạn chế khối lượng hàng hóa chở trên xe.</v>
      </c>
      <c r="J1406" t="str">
        <f>SUBSTITUTE(IF(OR(LEFT(A1410,3)="Câu",I1406=""),"",IF(B1410=0,"",B1410)),CHAR(34),CHAR(92)&amp;CHAR(34))</f>
        <v>Hạn chế tải trọng trên trục xe.</v>
      </c>
      <c r="K1406" t="str">
        <f>SUBSTITUTE(SUBSTITUTE(SUBSTITUTE(SUBSTITUTE(IFERROR(VLOOKUP("Câu "&amp;D1406&amp;".",dapan!$E:$J,6,0),""),"1","A"),"2","B"),"3","C"),"4","D")</f>
        <v/>
      </c>
      <c r="P1406" t="str">
        <f t="shared" si="75"/>
        <v/>
      </c>
      <c r="Q1406" t="str">
        <f t="shared" si="76"/>
        <v/>
      </c>
    </row>
    <row r="1407" spans="1:17" x14ac:dyDescent="0.25">
      <c r="A1407" t="s">
        <v>1129</v>
      </c>
      <c r="C1407">
        <f>IFERROR(COUNTIFS($A$1:A1407,"Câu "&amp;"*")-MID(A1407,5,FIND(".",A1407,1)-5),0)</f>
        <v>0</v>
      </c>
      <c r="D1407">
        <f t="shared" si="78"/>
        <v>339</v>
      </c>
      <c r="E1407" t="str">
        <f>SUBSTITUTE(IF(LEFT(A1407,3)="Câu",MID(A1407,FIND(".",A1407,1)+2,LEN(A1407)),""),CHAR(34),CHAR(92)&amp;CHAR(34))</f>
        <v>Biển số 3 có ý nghĩa như thế nào?</v>
      </c>
      <c r="F1407" t="str">
        <f t="shared" si="77"/>
        <v>q339.jpg</v>
      </c>
      <c r="G1407" t="str">
        <f>SUBSTITUTE(B1408,CHAR(34),CHAR(92)&amp;CHAR(34))</f>
        <v xml:space="preserve"> Cấm các loại xe có tải trọng toàn bộ trên 10 tấn đi qua.</v>
      </c>
      <c r="H1407" t="str">
        <f>SUBSTITUTE(B1409,CHAR(34),CHAR(92)&amp;CHAR(34))</f>
        <v>Hạn chế khối lượng hàng hóa chở trên xe.</v>
      </c>
      <c r="I1407" t="str">
        <f>SUBSTITUTE(IF(LEFT(A1410,3)="Câu","",B1410),CHAR(34),CHAR(92)&amp;CHAR(34))</f>
        <v>Hạn chế tải trọng trên trục xe.</v>
      </c>
      <c r="J1407" t="str">
        <f>SUBSTITUTE(IF(OR(LEFT(A1411,3)="Câu",I1407=""),"",IF(B1411=0,"",B1411)),CHAR(34),CHAR(92)&amp;CHAR(34))</f>
        <v/>
      </c>
      <c r="K1407" t="str">
        <f ca="1">SUBSTITUTE(SUBSTITUTE(SUBSTITUTE(SUBSTITUTE(IFERROR(VLOOKUP("Câu "&amp;D1407&amp;".",dapan!$E:$J,6,0),""),"1","A"),"2","B"),"3","C"),"4","D")</f>
        <v>A</v>
      </c>
      <c r="P1407">
        <f t="shared" si="75"/>
        <v>339</v>
      </c>
      <c r="Q1407" t="str">
        <f t="shared" ca="1" si="76"/>
        <v>{"num":339,"id":339,"q":"Biển số 3 có ý nghĩa như thế nào?","img":"q339.jpg","opts":{"A":" Cấm các loại xe có tải trọng toàn bộ trên 10 tấn đi qua.","B":"Hạn chế khối lượng hàng hóa chở trên xe.","C":"Hạn chế tải trọng trên trục xe."},"answer":"A"},</v>
      </c>
    </row>
    <row r="1408" spans="1:17" hidden="1" x14ac:dyDescent="0.25">
      <c r="A1408">
        <v>1</v>
      </c>
      <c r="B1408" t="s">
        <v>1130</v>
      </c>
      <c r="C1408">
        <f>IFERROR(COUNTIFS($A$1:A1408,"Câu "&amp;"*")-MID(A1408,5,FIND(".",A1408,1)-5),0)</f>
        <v>0</v>
      </c>
      <c r="D1408" t="str">
        <f t="shared" si="78"/>
        <v/>
      </c>
      <c r="E1408" t="str">
        <f>SUBSTITUTE(IF(LEFT(A1408,3)="Câu",MID(A1408,FIND(".",A1408,1)+2,LEN(A1408)),""),CHAR(34),CHAR(92)&amp;CHAR(34))</f>
        <v/>
      </c>
      <c r="F1408" t="str">
        <f t="shared" si="77"/>
        <v/>
      </c>
      <c r="G1408" t="str">
        <f>SUBSTITUTE(B1409,CHAR(34),CHAR(92)&amp;CHAR(34))</f>
        <v>Hạn chế khối lượng hàng hóa chở trên xe.</v>
      </c>
      <c r="H1408" t="str">
        <f>SUBSTITUTE(B1410,CHAR(34),CHAR(92)&amp;CHAR(34))</f>
        <v>Hạn chế tải trọng trên trục xe.</v>
      </c>
      <c r="I1408" t="str">
        <f>SUBSTITUTE(IF(LEFT(A1411,3)="Câu","",B1411),CHAR(34),CHAR(92)&amp;CHAR(34))</f>
        <v/>
      </c>
      <c r="J1408" t="str">
        <f>SUBSTITUTE(IF(OR(LEFT(A1412,3)="Câu",I1408=""),"",IF(B1412=0,"",B1412)),CHAR(34),CHAR(92)&amp;CHAR(34))</f>
        <v/>
      </c>
      <c r="K1408" t="str">
        <f>SUBSTITUTE(SUBSTITUTE(SUBSTITUTE(SUBSTITUTE(IFERROR(VLOOKUP("Câu "&amp;D1408&amp;".",dapan!$E:$J,6,0),""),"1","A"),"2","B"),"3","C"),"4","D")</f>
        <v/>
      </c>
      <c r="P1408" t="str">
        <f t="shared" si="75"/>
        <v/>
      </c>
      <c r="Q1408" t="str">
        <f t="shared" si="76"/>
        <v/>
      </c>
    </row>
    <row r="1409" spans="1:17" hidden="1" x14ac:dyDescent="0.25">
      <c r="A1409">
        <v>2</v>
      </c>
      <c r="B1409" t="s">
        <v>1131</v>
      </c>
      <c r="C1409">
        <f>IFERROR(COUNTIFS($A$1:A1409,"Câu "&amp;"*")-MID(A1409,5,FIND(".",A1409,1)-5),0)</f>
        <v>0</v>
      </c>
      <c r="D1409" t="str">
        <f t="shared" si="78"/>
        <v/>
      </c>
      <c r="E1409" t="str">
        <f>SUBSTITUTE(IF(LEFT(A1409,3)="Câu",MID(A1409,FIND(".",A1409,1)+2,LEN(A1409)),""),CHAR(34),CHAR(92)&amp;CHAR(34))</f>
        <v/>
      </c>
      <c r="F1409" t="str">
        <f t="shared" si="77"/>
        <v/>
      </c>
      <c r="G1409" t="str">
        <f>SUBSTITUTE(B1410,CHAR(34),CHAR(92)&amp;CHAR(34))</f>
        <v>Hạn chế tải trọng trên trục xe.</v>
      </c>
      <c r="H1409" t="str">
        <f>SUBSTITUTE(B1411,CHAR(34),CHAR(92)&amp;CHAR(34))</f>
        <v/>
      </c>
      <c r="I1409" t="str">
        <f>SUBSTITUTE(IF(LEFT(A1412,3)="Câu","",B1412),CHAR(34),CHAR(92)&amp;CHAR(34))</f>
        <v>Biển 1.</v>
      </c>
      <c r="J1409" t="str">
        <f>SUBSTITUTE(IF(OR(LEFT(A1413,3)="Câu",I1409=""),"",IF(B1413=0,"",B1413)),CHAR(34),CHAR(92)&amp;CHAR(34))</f>
        <v>Biển 2.</v>
      </c>
      <c r="K1409" t="str">
        <f>SUBSTITUTE(SUBSTITUTE(SUBSTITUTE(SUBSTITUTE(IFERROR(VLOOKUP("Câu "&amp;D1409&amp;".",dapan!$E:$J,6,0),""),"1","A"),"2","B"),"3","C"),"4","D")</f>
        <v/>
      </c>
      <c r="P1409" t="str">
        <f t="shared" si="75"/>
        <v/>
      </c>
      <c r="Q1409" t="str">
        <f t="shared" si="76"/>
        <v/>
      </c>
    </row>
    <row r="1410" spans="1:17" hidden="1" x14ac:dyDescent="0.25">
      <c r="A1410">
        <v>3</v>
      </c>
      <c r="B1410" t="s">
        <v>1132</v>
      </c>
      <c r="C1410">
        <f>IFERROR(COUNTIFS($A$1:A1410,"Câu "&amp;"*")-MID(A1410,5,FIND(".",A1410,1)-5),0)</f>
        <v>0</v>
      </c>
      <c r="D1410" t="str">
        <f t="shared" si="78"/>
        <v/>
      </c>
      <c r="E1410" t="str">
        <f>SUBSTITUTE(IF(LEFT(A1410,3)="Câu",MID(A1410,FIND(".",A1410,1)+2,LEN(A1410)),""),CHAR(34),CHAR(92)&amp;CHAR(34))</f>
        <v/>
      </c>
      <c r="F1410" t="str">
        <f t="shared" si="77"/>
        <v/>
      </c>
      <c r="G1410" t="str">
        <f>SUBSTITUTE(B1411,CHAR(34),CHAR(92)&amp;CHAR(34))</f>
        <v/>
      </c>
      <c r="H1410" t="str">
        <f>SUBSTITUTE(B1412,CHAR(34),CHAR(92)&amp;CHAR(34))</f>
        <v>Biển 1.</v>
      </c>
      <c r="I1410" t="str">
        <f>SUBSTITUTE(IF(LEFT(A1413,3)="Câu","",B1413),CHAR(34),CHAR(92)&amp;CHAR(34))</f>
        <v>Biển 2.</v>
      </c>
      <c r="J1410" t="str">
        <f>SUBSTITUTE(IF(OR(LEFT(A1414,3)="Câu",I1410=""),"",IF(B1414=0,"",B1414)),CHAR(34),CHAR(92)&amp;CHAR(34))</f>
        <v xml:space="preserve"> Cả hai biển.</v>
      </c>
      <c r="K1410" t="str">
        <f>SUBSTITUTE(SUBSTITUTE(SUBSTITUTE(SUBSTITUTE(IFERROR(VLOOKUP("Câu "&amp;D1410&amp;".",dapan!$E:$J,6,0),""),"1","A"),"2","B"),"3","C"),"4","D")</f>
        <v/>
      </c>
      <c r="P1410" t="str">
        <f t="shared" si="75"/>
        <v/>
      </c>
      <c r="Q1410" t="str">
        <f t="shared" si="76"/>
        <v/>
      </c>
    </row>
    <row r="1411" spans="1:17" x14ac:dyDescent="0.25">
      <c r="A1411" t="s">
        <v>1133</v>
      </c>
      <c r="C1411">
        <f>IFERROR(COUNTIFS($A$1:A1411,"Câu "&amp;"*")-MID(A1411,5,FIND(".",A1411,1)-5),0)</f>
        <v>0</v>
      </c>
      <c r="D1411">
        <f t="shared" si="78"/>
        <v>340</v>
      </c>
      <c r="E1411" t="str">
        <f>SUBSTITUTE(IF(LEFT(A1411,3)="Câu",MID(A1411,FIND(".",A1411,1)+2,LEN(A1411)),""),CHAR(34),CHAR(92)&amp;CHAR(34))</f>
        <v>Biển nào cấm máy kéo kéo theo rơ moóc?</v>
      </c>
      <c r="F1411" t="str">
        <f t="shared" si="77"/>
        <v>q340.jpg</v>
      </c>
      <c r="G1411" t="str">
        <f>SUBSTITUTE(B1412,CHAR(34),CHAR(92)&amp;CHAR(34))</f>
        <v>Biển 1.</v>
      </c>
      <c r="H1411" t="str">
        <f>SUBSTITUTE(B1413,CHAR(34),CHAR(92)&amp;CHAR(34))</f>
        <v>Biển 2.</v>
      </c>
      <c r="I1411" t="str">
        <f>SUBSTITUTE(IF(LEFT(A1414,3)="Câu","",B1414),CHAR(34),CHAR(92)&amp;CHAR(34))</f>
        <v xml:space="preserve"> Cả hai biển.</v>
      </c>
      <c r="J1411" t="str">
        <f>SUBSTITUTE(IF(OR(LEFT(A1415,3)="Câu",I1411=""),"",IF(B1415=0,"",B1415)),CHAR(34),CHAR(92)&amp;CHAR(34))</f>
        <v/>
      </c>
      <c r="K1411" t="str">
        <f ca="1">SUBSTITUTE(SUBSTITUTE(SUBSTITUTE(SUBSTITUTE(IFERROR(VLOOKUP("Câu "&amp;D1411&amp;".",dapan!$E:$J,6,0),""),"1","A"),"2","B"),"3","C"),"4","D")</f>
        <v>C</v>
      </c>
      <c r="P1411">
        <f t="shared" ref="P1411:P1474" si="79">D1411</f>
        <v>340</v>
      </c>
      <c r="Q1411" t="str">
        <f t="shared" ref="Q1411:Q1474" ca="1" si="80">IF(D1411="","",CHAR(123)&amp;CHAR(34)&amp;"num"&amp;CHAR(34)&amp;":"&amp;P1411&amp;","&amp;CHAR(34)&amp;"id"&amp;CHAR(34)&amp;":"&amp;D1411&amp;","
&amp;CHAR(34)&amp;"q"&amp;CHAR(34)&amp;":"&amp;CHAR(34)&amp;E1411&amp;CHAR(34)&amp;","
&amp;IF(F1411="","",CHAR(34)&amp;"img"&amp;CHAR(34)&amp;":"&amp;CHAR(34)&amp;F1411&amp;CHAR(34)&amp;",")
&amp;CHAR(34)&amp;"opts"&amp;CHAR(34)&amp;":"&amp;CHAR(123)&amp;CHAR(34)&amp;"A"&amp;CHAR(34)&amp;":"&amp;CHAR(34)&amp;G1411&amp;CHAR(34)&amp;","&amp;CHAR(34)&amp;"B"&amp;CHAR(34)&amp;":"&amp;CHAR(34)&amp;H1411&amp;CHAR(34)
&amp;IF(I1411="","",","&amp;CHAR(34)&amp;"C"&amp;CHAR(34)&amp;":"&amp;CHAR(34)&amp;I1411&amp;CHAR(34))&amp;IF(J1411="","",","&amp;CHAR(34)&amp;"D"&amp;CHAR(34)&amp;":"&amp;CHAR(34)&amp;J1411&amp;CHAR(34))&amp;CHAR(125)&amp;","
&amp;CHAR(34)&amp;"answer"&amp;CHAR(34)&amp;":"&amp;CHAR(34)&amp;K1411&amp;CHAR(34)
&amp;IF(L1411="","",","&amp;CHAR(34)&amp;"danger"&amp;CHAR(34)&amp;":"&amp;CHAR(34)&amp;"true"&amp;CHAR(34))
&amp;IF(M1411="","",","&amp;CHAR(34)&amp;"explain"&amp;CHAR(34)&amp;":"&amp;CHAR(34)&amp;M1411&amp;CHAR(34))
&amp;IF(N1411="","",","&amp;CHAR(34)&amp;"explainImg"&amp;CHAR(34)&amp;":"&amp;CHAR(34)&amp;N1411&amp;CHAR(34))
&amp;IF(O1411="","",","&amp;CHAR(34)&amp;"shuffle"&amp;CHAR(34)&amp;":"&amp;CHAR(34)&amp;"false"&amp;CHAR(34))&amp;CHAR(125)&amp;",")</f>
        <v>{"num":340,"id":340,"q":"Biển nào cấm máy kéo kéo theo rơ moóc?","img":"q340.jpg","opts":{"A":"Biển 1.","B":"Biển 2.","C":" Cả hai biển."},"answer":"C"},</v>
      </c>
    </row>
    <row r="1412" spans="1:17" hidden="1" x14ac:dyDescent="0.25">
      <c r="A1412">
        <v>1</v>
      </c>
      <c r="B1412" t="s">
        <v>1075</v>
      </c>
      <c r="C1412">
        <f>IFERROR(COUNTIFS($A$1:A1412,"Câu "&amp;"*")-MID(A1412,5,FIND(".",A1412,1)-5),0)</f>
        <v>0</v>
      </c>
      <c r="D1412" t="str">
        <f t="shared" si="78"/>
        <v/>
      </c>
      <c r="E1412" t="str">
        <f>SUBSTITUTE(IF(LEFT(A1412,3)="Câu",MID(A1412,FIND(".",A1412,1)+2,LEN(A1412)),""),CHAR(34),CHAR(92)&amp;CHAR(34))</f>
        <v/>
      </c>
      <c r="F1412" t="str">
        <f t="shared" si="77"/>
        <v/>
      </c>
      <c r="G1412" t="str">
        <f>SUBSTITUTE(B1413,CHAR(34),CHAR(92)&amp;CHAR(34))</f>
        <v>Biển 2.</v>
      </c>
      <c r="H1412" t="str">
        <f>SUBSTITUTE(B1414,CHAR(34),CHAR(92)&amp;CHAR(34))</f>
        <v xml:space="preserve"> Cả hai biển.</v>
      </c>
      <c r="I1412" t="str">
        <f>SUBSTITUTE(IF(LEFT(A1415,3)="Câu","",B1415),CHAR(34),CHAR(92)&amp;CHAR(34))</f>
        <v/>
      </c>
      <c r="J1412" t="str">
        <f>SUBSTITUTE(IF(OR(LEFT(A1416,3)="Câu",I1412=""),"",IF(B1416=0,"",B1416)),CHAR(34),CHAR(92)&amp;CHAR(34))</f>
        <v/>
      </c>
      <c r="K1412" t="str">
        <f>SUBSTITUTE(SUBSTITUTE(SUBSTITUTE(SUBSTITUTE(IFERROR(VLOOKUP("Câu "&amp;D1412&amp;".",dapan!$E:$J,6,0),""),"1","A"),"2","B"),"3","C"),"4","D")</f>
        <v/>
      </c>
      <c r="P1412" t="str">
        <f t="shared" si="79"/>
        <v/>
      </c>
      <c r="Q1412" t="str">
        <f t="shared" si="80"/>
        <v/>
      </c>
    </row>
    <row r="1413" spans="1:17" hidden="1" x14ac:dyDescent="0.25">
      <c r="A1413">
        <v>2</v>
      </c>
      <c r="B1413" t="s">
        <v>1068</v>
      </c>
      <c r="C1413">
        <f>IFERROR(COUNTIFS($A$1:A1413,"Câu "&amp;"*")-MID(A1413,5,FIND(".",A1413,1)-5),0)</f>
        <v>0</v>
      </c>
      <c r="D1413" t="str">
        <f t="shared" si="78"/>
        <v/>
      </c>
      <c r="E1413" t="str">
        <f>SUBSTITUTE(IF(LEFT(A1413,3)="Câu",MID(A1413,FIND(".",A1413,1)+2,LEN(A1413)),""),CHAR(34),CHAR(92)&amp;CHAR(34))</f>
        <v/>
      </c>
      <c r="F1413" t="str">
        <f t="shared" si="77"/>
        <v/>
      </c>
      <c r="G1413" t="str">
        <f>SUBSTITUTE(B1414,CHAR(34),CHAR(92)&amp;CHAR(34))</f>
        <v xml:space="preserve"> Cả hai biển.</v>
      </c>
      <c r="H1413" t="str">
        <f>SUBSTITUTE(B1415,CHAR(34),CHAR(92)&amp;CHAR(34))</f>
        <v/>
      </c>
      <c r="I1413" t="str">
        <f>SUBSTITUTE(IF(LEFT(A1416,3)="Câu","",B1416),CHAR(34),CHAR(92)&amp;CHAR(34))</f>
        <v xml:space="preserve"> Được đi vào.</v>
      </c>
      <c r="J1413" t="str">
        <f>SUBSTITUTE(IF(OR(LEFT(A1417,3)="Câu",I1413=""),"",IF(B1417=0,"",B1417)),CHAR(34),CHAR(92)&amp;CHAR(34))</f>
        <v>Không được đi vào.</v>
      </c>
      <c r="K1413" t="str">
        <f>SUBSTITUTE(SUBSTITUTE(SUBSTITUTE(SUBSTITUTE(IFERROR(VLOOKUP("Câu "&amp;D1413&amp;".",dapan!$E:$J,6,0),""),"1","A"),"2","B"),"3","C"),"4","D")</f>
        <v/>
      </c>
      <c r="P1413" t="str">
        <f t="shared" si="79"/>
        <v/>
      </c>
      <c r="Q1413" t="str">
        <f t="shared" si="80"/>
        <v/>
      </c>
    </row>
    <row r="1414" spans="1:17" hidden="1" x14ac:dyDescent="0.25">
      <c r="A1414">
        <v>3</v>
      </c>
      <c r="B1414" t="s">
        <v>1081</v>
      </c>
      <c r="C1414">
        <f>IFERROR(COUNTIFS($A$1:A1414,"Câu "&amp;"*")-MID(A1414,5,FIND(".",A1414,1)-5),0)</f>
        <v>0</v>
      </c>
      <c r="D1414" t="str">
        <f t="shared" si="78"/>
        <v/>
      </c>
      <c r="E1414" t="str">
        <f>SUBSTITUTE(IF(LEFT(A1414,3)="Câu",MID(A1414,FIND(".",A1414,1)+2,LEN(A1414)),""),CHAR(34),CHAR(92)&amp;CHAR(34))</f>
        <v/>
      </c>
      <c r="F1414" t="str">
        <f t="shared" si="77"/>
        <v/>
      </c>
      <c r="G1414" t="str">
        <f>SUBSTITUTE(B1415,CHAR(34),CHAR(92)&amp;CHAR(34))</f>
        <v/>
      </c>
      <c r="H1414" t="str">
        <f>SUBSTITUTE(B1416,CHAR(34),CHAR(92)&amp;CHAR(34))</f>
        <v xml:space="preserve"> Được đi vào.</v>
      </c>
      <c r="I1414" t="str">
        <f>SUBSTITUTE(IF(LEFT(A1417,3)="Câu","",B1417),CHAR(34),CHAR(92)&amp;CHAR(34))</f>
        <v>Không được đi vào.</v>
      </c>
      <c r="J1414" t="str">
        <f>SUBSTITUTE(IF(OR(LEFT(A1418,3)="Câu",I1414=""),"",IF(B1418=0,"",B1418)),CHAR(34),CHAR(92)&amp;CHAR(34))</f>
        <v/>
      </c>
      <c r="K1414" t="str">
        <f>SUBSTITUTE(SUBSTITUTE(SUBSTITUTE(SUBSTITUTE(IFERROR(VLOOKUP("Câu "&amp;D1414&amp;".",dapan!$E:$J,6,0),""),"1","A"),"2","B"),"3","C"),"4","D")</f>
        <v/>
      </c>
      <c r="P1414" t="str">
        <f t="shared" si="79"/>
        <v/>
      </c>
      <c r="Q1414" t="str">
        <f t="shared" si="80"/>
        <v/>
      </c>
    </row>
    <row r="1415" spans="1:17" x14ac:dyDescent="0.25">
      <c r="A1415" t="s">
        <v>1134</v>
      </c>
      <c r="C1415">
        <f>IFERROR(COUNTIFS($A$1:A1415,"Câu "&amp;"*")-MID(A1415,5,FIND(".",A1415,1)-5),0)</f>
        <v>0</v>
      </c>
      <c r="D1415">
        <f t="shared" si="78"/>
        <v>341</v>
      </c>
      <c r="E1415" t="str">
        <f>SUBSTITUTE(IF(LEFT(A1415,3)="Câu",MID(A1415,FIND(".",A1415,1)+2,LEN(A1415)),""),CHAR(34),CHAR(92)&amp;CHAR(34))</f>
        <v>Khi gặp biển số 1, xe ô tô tải có được đi vào không?</v>
      </c>
      <c r="F1415" t="str">
        <f t="shared" si="77"/>
        <v>q341.jpg</v>
      </c>
      <c r="G1415" t="str">
        <f>SUBSTITUTE(B1416,CHAR(34),CHAR(92)&amp;CHAR(34))</f>
        <v xml:space="preserve"> Được đi vào.</v>
      </c>
      <c r="H1415" t="str">
        <f>SUBSTITUTE(B1417,CHAR(34),CHAR(92)&amp;CHAR(34))</f>
        <v>Không được đi vào.</v>
      </c>
      <c r="I1415" t="str">
        <f>SUBSTITUTE(IF(LEFT(A1418,3)="Câu","",B1418),CHAR(34),CHAR(92)&amp;CHAR(34))</f>
        <v/>
      </c>
      <c r="J1415" t="str">
        <f>SUBSTITUTE(IF(OR(LEFT(A1419,3)="Câu",I1415=""),"",IF(B1419=0,"",B1419)),CHAR(34),CHAR(92)&amp;CHAR(34))</f>
        <v/>
      </c>
      <c r="K1415" t="str">
        <f ca="1">SUBSTITUTE(SUBSTITUTE(SUBSTITUTE(SUBSTITUTE(IFERROR(VLOOKUP("Câu "&amp;D1415&amp;".",dapan!$E:$J,6,0),""),"1","A"),"2","B"),"3","C"),"4","D")</f>
        <v>A</v>
      </c>
      <c r="P1415">
        <f t="shared" si="79"/>
        <v>341</v>
      </c>
      <c r="Q1415" t="str">
        <f t="shared" ca="1" si="80"/>
        <v>{"num":341,"id":341,"q":"Khi gặp biển số 1, xe ô tô tải có được đi vào không?","img":"q341.jpg","opts":{"A":" Được đi vào.","B":"Không được đi vào."},"answer":"A"},</v>
      </c>
    </row>
    <row r="1416" spans="1:17" hidden="1" x14ac:dyDescent="0.25">
      <c r="A1416">
        <v>1</v>
      </c>
      <c r="B1416" t="s">
        <v>1135</v>
      </c>
      <c r="C1416">
        <f>IFERROR(COUNTIFS($A$1:A1416,"Câu "&amp;"*")-MID(A1416,5,FIND(".",A1416,1)-5),0)</f>
        <v>0</v>
      </c>
      <c r="D1416" t="str">
        <f t="shared" si="78"/>
        <v/>
      </c>
      <c r="E1416" t="str">
        <f>SUBSTITUTE(IF(LEFT(A1416,3)="Câu",MID(A1416,FIND(".",A1416,1)+2,LEN(A1416)),""),CHAR(34),CHAR(92)&amp;CHAR(34))</f>
        <v/>
      </c>
      <c r="F1416" t="str">
        <f t="shared" si="77"/>
        <v/>
      </c>
      <c r="G1416" t="str">
        <f>SUBSTITUTE(B1417,CHAR(34),CHAR(92)&amp;CHAR(34))</f>
        <v>Không được đi vào.</v>
      </c>
      <c r="H1416" t="str">
        <f>SUBSTITUTE(B1418,CHAR(34),CHAR(92)&amp;CHAR(34))</f>
        <v/>
      </c>
      <c r="I1416" t="str">
        <f>SUBSTITUTE(IF(LEFT(A1419,3)="Câu","",B1419),CHAR(34),CHAR(92)&amp;CHAR(34))</f>
        <v xml:space="preserve"> Biển 1 và biển 2.</v>
      </c>
      <c r="J1416" t="str">
        <f>SUBSTITUTE(IF(OR(LEFT(A1420,3)="Câu",I1416=""),"",IF(B1420=0,"",B1420)),CHAR(34),CHAR(92)&amp;CHAR(34))</f>
        <v>Biển 2 và biển 3.</v>
      </c>
      <c r="K1416" t="str">
        <f>SUBSTITUTE(SUBSTITUTE(SUBSTITUTE(SUBSTITUTE(IFERROR(VLOOKUP("Câu "&amp;D1416&amp;".",dapan!$E:$J,6,0),""),"1","A"),"2","B"),"3","C"),"4","D")</f>
        <v/>
      </c>
      <c r="P1416" t="str">
        <f t="shared" si="79"/>
        <v/>
      </c>
      <c r="Q1416" t="str">
        <f t="shared" si="80"/>
        <v/>
      </c>
    </row>
    <row r="1417" spans="1:17" hidden="1" x14ac:dyDescent="0.25">
      <c r="A1417">
        <v>2</v>
      </c>
      <c r="B1417" t="s">
        <v>1136</v>
      </c>
      <c r="C1417">
        <f>IFERROR(COUNTIFS($A$1:A1417,"Câu "&amp;"*")-MID(A1417,5,FIND(".",A1417,1)-5),0)</f>
        <v>0</v>
      </c>
      <c r="D1417" t="str">
        <f t="shared" si="78"/>
        <v/>
      </c>
      <c r="E1417" t="str">
        <f>SUBSTITUTE(IF(LEFT(A1417,3)="Câu",MID(A1417,FIND(".",A1417,1)+2,LEN(A1417)),""),CHAR(34),CHAR(92)&amp;CHAR(34))</f>
        <v/>
      </c>
      <c r="F1417" t="str">
        <f t="shared" si="77"/>
        <v/>
      </c>
      <c r="G1417" t="str">
        <f>SUBSTITUTE(B1418,CHAR(34),CHAR(92)&amp;CHAR(34))</f>
        <v/>
      </c>
      <c r="H1417" t="str">
        <f>SUBSTITUTE(B1419,CHAR(34),CHAR(92)&amp;CHAR(34))</f>
        <v xml:space="preserve"> Biển 1 và biển 2.</v>
      </c>
      <c r="I1417" t="str">
        <f>SUBSTITUTE(IF(LEFT(A1420,3)="Câu","",B1420),CHAR(34),CHAR(92)&amp;CHAR(34))</f>
        <v>Biển 2 và biển 3.</v>
      </c>
      <c r="J1417" t="str">
        <f>SUBSTITUTE(IF(OR(LEFT(A1421,3)="Câu",I1417=""),"",IF(B1421=0,"",B1421)),CHAR(34),CHAR(92)&amp;CHAR(34))</f>
        <v>Biển 1 và biển 3.</v>
      </c>
      <c r="K1417" t="str">
        <f>SUBSTITUTE(SUBSTITUTE(SUBSTITUTE(SUBSTITUTE(IFERROR(VLOOKUP("Câu "&amp;D1417&amp;".",dapan!$E:$J,6,0),""),"1","A"),"2","B"),"3","C"),"4","D")</f>
        <v/>
      </c>
      <c r="P1417" t="str">
        <f t="shared" si="79"/>
        <v/>
      </c>
      <c r="Q1417" t="str">
        <f t="shared" si="80"/>
        <v/>
      </c>
    </row>
    <row r="1418" spans="1:17" x14ac:dyDescent="0.25">
      <c r="A1418" t="s">
        <v>1137</v>
      </c>
      <c r="C1418">
        <f>IFERROR(COUNTIFS($A$1:A1418,"Câu "&amp;"*")-MID(A1418,5,FIND(".",A1418,1)-5),0)</f>
        <v>0</v>
      </c>
      <c r="D1418">
        <f t="shared" si="78"/>
        <v>342</v>
      </c>
      <c r="E1418" t="str">
        <f>SUBSTITUTE(IF(LEFT(A1418,3)="Câu",MID(A1418,FIND(".",A1418,1)+2,LEN(A1418)),""),CHAR(34),CHAR(92)&amp;CHAR(34))</f>
        <v>Biển nào không có hiệu lực đối với xe ô tô tải không kéo moóc?</v>
      </c>
      <c r="F1418" t="str">
        <f t="shared" si="77"/>
        <v>q342.jpg</v>
      </c>
      <c r="G1418" t="str">
        <f>SUBSTITUTE(B1419,CHAR(34),CHAR(92)&amp;CHAR(34))</f>
        <v xml:space="preserve"> Biển 1 và biển 2.</v>
      </c>
      <c r="H1418" t="str">
        <f>SUBSTITUTE(B1420,CHAR(34),CHAR(92)&amp;CHAR(34))</f>
        <v>Biển 2 và biển 3.</v>
      </c>
      <c r="I1418" t="str">
        <f>SUBSTITUTE(IF(LEFT(A1421,3)="Câu","",B1421),CHAR(34),CHAR(92)&amp;CHAR(34))</f>
        <v>Biển 1 và biển 3.</v>
      </c>
      <c r="J1418" t="str">
        <f>SUBSTITUTE(IF(OR(LEFT(A1422,3)="Câu",I1418=""),"",IF(B1422=0,"",B1422)),CHAR(34),CHAR(92)&amp;CHAR(34))</f>
        <v>Cả ba biển.</v>
      </c>
      <c r="K1418" t="str">
        <f ca="1">SUBSTITUTE(SUBSTITUTE(SUBSTITUTE(SUBSTITUTE(IFERROR(VLOOKUP("Câu "&amp;D1418&amp;".",dapan!$E:$J,6,0),""),"1","A"),"2","B"),"3","C"),"4","D")</f>
        <v>A</v>
      </c>
      <c r="P1418">
        <f t="shared" si="79"/>
        <v>342</v>
      </c>
      <c r="Q1418" t="str">
        <f t="shared" ca="1" si="80"/>
        <v>{"num":342,"id":342,"q":"Biển nào không có hiệu lực đối với xe ô tô tải không kéo moóc?","img":"q342.jpg","opts":{"A":" Biển 1 và biển 2.","B":"Biển 2 và biển 3.","C":"Biển 1 và biển 3.","D":"Cả ba biển."},"answer":"A"},</v>
      </c>
    </row>
    <row r="1419" spans="1:17" hidden="1" x14ac:dyDescent="0.25">
      <c r="A1419">
        <v>1</v>
      </c>
      <c r="B1419" t="s">
        <v>1079</v>
      </c>
      <c r="C1419">
        <f>IFERROR(COUNTIFS($A$1:A1419,"Câu "&amp;"*")-MID(A1419,5,FIND(".",A1419,1)-5),0)</f>
        <v>0</v>
      </c>
      <c r="D1419" t="str">
        <f t="shared" si="78"/>
        <v/>
      </c>
      <c r="E1419" t="str">
        <f>SUBSTITUTE(IF(LEFT(A1419,3)="Câu",MID(A1419,FIND(".",A1419,1)+2,LEN(A1419)),""),CHAR(34),CHAR(92)&amp;CHAR(34))</f>
        <v/>
      </c>
      <c r="F1419" t="str">
        <f t="shared" si="77"/>
        <v/>
      </c>
      <c r="G1419" t="str">
        <f>SUBSTITUTE(B1420,CHAR(34),CHAR(92)&amp;CHAR(34))</f>
        <v>Biển 2 và biển 3.</v>
      </c>
      <c r="H1419" t="str">
        <f>SUBSTITUTE(B1421,CHAR(34),CHAR(92)&amp;CHAR(34))</f>
        <v>Biển 1 và biển 3.</v>
      </c>
      <c r="I1419" t="str">
        <f>SUBSTITUTE(IF(LEFT(A1422,3)="Câu","",B1422),CHAR(34),CHAR(92)&amp;CHAR(34))</f>
        <v>Cả ba biển.</v>
      </c>
      <c r="J1419" t="str">
        <f>SUBSTITUTE(IF(OR(LEFT(A1423,3)="Câu",I1419=""),"",IF(B1423=0,"",B1423)),CHAR(34),CHAR(92)&amp;CHAR(34))</f>
        <v/>
      </c>
      <c r="K1419" t="str">
        <f>SUBSTITUTE(SUBSTITUTE(SUBSTITUTE(SUBSTITUTE(IFERROR(VLOOKUP("Câu "&amp;D1419&amp;".",dapan!$E:$J,6,0),""),"1","A"),"2","B"),"3","C"),"4","D")</f>
        <v/>
      </c>
      <c r="P1419" t="str">
        <f t="shared" si="79"/>
        <v/>
      </c>
      <c r="Q1419" t="str">
        <f t="shared" si="80"/>
        <v/>
      </c>
    </row>
    <row r="1420" spans="1:17" hidden="1" x14ac:dyDescent="0.25">
      <c r="A1420">
        <v>2</v>
      </c>
      <c r="B1420" t="s">
        <v>1072</v>
      </c>
      <c r="C1420">
        <f>IFERROR(COUNTIFS($A$1:A1420,"Câu "&amp;"*")-MID(A1420,5,FIND(".",A1420,1)-5),0)</f>
        <v>0</v>
      </c>
      <c r="D1420" t="str">
        <f t="shared" si="78"/>
        <v/>
      </c>
      <c r="E1420" t="str">
        <f>SUBSTITUTE(IF(LEFT(A1420,3)="Câu",MID(A1420,FIND(".",A1420,1)+2,LEN(A1420)),""),CHAR(34),CHAR(92)&amp;CHAR(34))</f>
        <v/>
      </c>
      <c r="F1420" t="str">
        <f t="shared" si="77"/>
        <v/>
      </c>
      <c r="G1420" t="str">
        <f>SUBSTITUTE(B1421,CHAR(34),CHAR(92)&amp;CHAR(34))</f>
        <v>Biển 1 và biển 3.</v>
      </c>
      <c r="H1420" t="str">
        <f>SUBSTITUTE(B1422,CHAR(34),CHAR(92)&amp;CHAR(34))</f>
        <v>Cả ba biển.</v>
      </c>
      <c r="I1420" t="str">
        <f>SUBSTITUTE(IF(LEFT(A1423,3)="Câu","",B1423),CHAR(34),CHAR(92)&amp;CHAR(34))</f>
        <v/>
      </c>
      <c r="J1420" t="str">
        <f>SUBSTITUTE(IF(OR(LEFT(A1424,3)="Câu",I1420=""),"",IF(B1424=0,"",B1424)),CHAR(34),CHAR(92)&amp;CHAR(34))</f>
        <v/>
      </c>
      <c r="K1420" t="str">
        <f>SUBSTITUTE(SUBSTITUTE(SUBSTITUTE(SUBSTITUTE(IFERROR(VLOOKUP("Câu "&amp;D1420&amp;".",dapan!$E:$J,6,0),""),"1","A"),"2","B"),"3","C"),"4","D")</f>
        <v/>
      </c>
      <c r="P1420" t="str">
        <f t="shared" si="79"/>
        <v/>
      </c>
      <c r="Q1420" t="str">
        <f t="shared" si="80"/>
        <v/>
      </c>
    </row>
    <row r="1421" spans="1:17" hidden="1" x14ac:dyDescent="0.25">
      <c r="A1421">
        <v>3</v>
      </c>
      <c r="B1421" t="s">
        <v>1077</v>
      </c>
      <c r="C1421">
        <f>IFERROR(COUNTIFS($A$1:A1421,"Câu "&amp;"*")-MID(A1421,5,FIND(".",A1421,1)-5),0)</f>
        <v>0</v>
      </c>
      <c r="D1421" t="str">
        <f t="shared" si="78"/>
        <v/>
      </c>
      <c r="E1421" t="str">
        <f>SUBSTITUTE(IF(LEFT(A1421,3)="Câu",MID(A1421,FIND(".",A1421,1)+2,LEN(A1421)),""),CHAR(34),CHAR(92)&amp;CHAR(34))</f>
        <v/>
      </c>
      <c r="F1421" t="str">
        <f t="shared" si="77"/>
        <v/>
      </c>
      <c r="G1421" t="str">
        <f>SUBSTITUTE(B1422,CHAR(34),CHAR(92)&amp;CHAR(34))</f>
        <v>Cả ba biển.</v>
      </c>
      <c r="H1421" t="str">
        <f>SUBSTITUTE(B1423,CHAR(34),CHAR(92)&amp;CHAR(34))</f>
        <v/>
      </c>
      <c r="I1421" t="str">
        <f>SUBSTITUTE(IF(LEFT(A1424,3)="Câu","",B1424),CHAR(34),CHAR(92)&amp;CHAR(34))</f>
        <v>Biển 1 và biển 2.</v>
      </c>
      <c r="J1421" t="str">
        <f>SUBSTITUTE(IF(OR(LEFT(A1425,3)="Câu",I1421=""),"",IF(B1425=0,"",B1425)),CHAR(34),CHAR(92)&amp;CHAR(34))</f>
        <v>Biển 1 và biển 3.</v>
      </c>
      <c r="K1421" t="str">
        <f>SUBSTITUTE(SUBSTITUTE(SUBSTITUTE(SUBSTITUTE(IFERROR(VLOOKUP("Câu "&amp;D1421&amp;".",dapan!$E:$J,6,0),""),"1","A"),"2","B"),"3","C"),"4","D")</f>
        <v/>
      </c>
      <c r="P1421" t="str">
        <f t="shared" si="79"/>
        <v/>
      </c>
      <c r="Q1421" t="str">
        <f t="shared" si="80"/>
        <v/>
      </c>
    </row>
    <row r="1422" spans="1:17" hidden="1" x14ac:dyDescent="0.25">
      <c r="A1422">
        <v>4</v>
      </c>
      <c r="B1422" t="s">
        <v>1071</v>
      </c>
      <c r="C1422">
        <f>IFERROR(COUNTIFS($A$1:A1422,"Câu "&amp;"*")-MID(A1422,5,FIND(".",A1422,1)-5),0)</f>
        <v>0</v>
      </c>
      <c r="D1422" t="str">
        <f t="shared" si="78"/>
        <v/>
      </c>
      <c r="E1422" t="str">
        <f>SUBSTITUTE(IF(LEFT(A1422,3)="Câu",MID(A1422,FIND(".",A1422,1)+2,LEN(A1422)),""),CHAR(34),CHAR(92)&amp;CHAR(34))</f>
        <v/>
      </c>
      <c r="F1422" t="str">
        <f t="shared" si="77"/>
        <v/>
      </c>
      <c r="G1422" t="str">
        <f>SUBSTITUTE(B1423,CHAR(34),CHAR(92)&amp;CHAR(34))</f>
        <v/>
      </c>
      <c r="H1422" t="str">
        <f>SUBSTITUTE(B1424,CHAR(34),CHAR(92)&amp;CHAR(34))</f>
        <v>Biển 1 và biển 2.</v>
      </c>
      <c r="I1422" t="str">
        <f>SUBSTITUTE(IF(LEFT(A1425,3)="Câu","",B1425),CHAR(34),CHAR(92)&amp;CHAR(34))</f>
        <v>Biển 1 và biển 3.</v>
      </c>
      <c r="J1422" t="str">
        <f>SUBSTITUTE(IF(OR(LEFT(A1426,3)="Câu",I1422=""),"",IF(B1426=0,"",B1426)),CHAR(34),CHAR(92)&amp;CHAR(34))</f>
        <v xml:space="preserve"> Biển 2 và biển 3.</v>
      </c>
      <c r="K1422" t="str">
        <f>SUBSTITUTE(SUBSTITUTE(SUBSTITUTE(SUBSTITUTE(IFERROR(VLOOKUP("Câu "&amp;D1422&amp;".",dapan!$E:$J,6,0),""),"1","A"),"2","B"),"3","C"),"4","D")</f>
        <v/>
      </c>
      <c r="P1422" t="str">
        <f t="shared" si="79"/>
        <v/>
      </c>
      <c r="Q1422" t="str">
        <f t="shared" si="80"/>
        <v/>
      </c>
    </row>
    <row r="1423" spans="1:17" x14ac:dyDescent="0.25">
      <c r="A1423" t="s">
        <v>1138</v>
      </c>
      <c r="C1423">
        <f>IFERROR(COUNTIFS($A$1:A1423,"Câu "&amp;"*")-MID(A1423,5,FIND(".",A1423,1)-5),0)</f>
        <v>0</v>
      </c>
      <c r="D1423">
        <f t="shared" si="78"/>
        <v>343</v>
      </c>
      <c r="E1423" t="str">
        <f>SUBSTITUTE(IF(LEFT(A1423,3)="Câu",MID(A1423,FIND(".",A1423,1)+2,LEN(A1423)),""),CHAR(34),CHAR(92)&amp;CHAR(34))</f>
        <v>Biển nào cấm máy kéo?</v>
      </c>
      <c r="F1423" t="str">
        <f t="shared" si="77"/>
        <v>q343.jpg</v>
      </c>
      <c r="G1423" t="str">
        <f>SUBSTITUTE(B1424,CHAR(34),CHAR(92)&amp;CHAR(34))</f>
        <v>Biển 1 và biển 2.</v>
      </c>
      <c r="H1423" t="str">
        <f>SUBSTITUTE(B1425,CHAR(34),CHAR(92)&amp;CHAR(34))</f>
        <v>Biển 1 và biển 3.</v>
      </c>
      <c r="I1423" t="str">
        <f>SUBSTITUTE(IF(LEFT(A1426,3)="Câu","",B1426),CHAR(34),CHAR(92)&amp;CHAR(34))</f>
        <v xml:space="preserve"> Biển 2 và biển 3.</v>
      </c>
      <c r="J1423" t="str">
        <f>SUBSTITUTE(IF(OR(LEFT(A1427,3)="Câu",I1423=""),"",IF(B1427=0,"",B1427)),CHAR(34),CHAR(92)&amp;CHAR(34))</f>
        <v>Cả ba biển.</v>
      </c>
      <c r="K1423" t="str">
        <f ca="1">SUBSTITUTE(SUBSTITUTE(SUBSTITUTE(SUBSTITUTE(IFERROR(VLOOKUP("Câu "&amp;D1423&amp;".",dapan!$E:$J,6,0),""),"1","A"),"2","B"),"3","C"),"4","D")</f>
        <v>C</v>
      </c>
      <c r="P1423">
        <f t="shared" si="79"/>
        <v>343</v>
      </c>
      <c r="Q1423" t="str">
        <f t="shared" ca="1" si="80"/>
        <v>{"num":343,"id":343,"q":"Biển nào cấm máy kéo?","img":"q343.jpg","opts":{"A":"Biển 1 và biển 2.","B":"Biển 1 và biển 3.","C":" Biển 2 và biển 3.","D":"Cả ba biển."},"answer":"C"},</v>
      </c>
    </row>
    <row r="1424" spans="1:17" hidden="1" x14ac:dyDescent="0.25">
      <c r="A1424">
        <v>1</v>
      </c>
      <c r="B1424" t="s">
        <v>1086</v>
      </c>
      <c r="C1424">
        <f>IFERROR(COUNTIFS($A$1:A1424,"Câu "&amp;"*")-MID(A1424,5,FIND(".",A1424,1)-5),0)</f>
        <v>0</v>
      </c>
      <c r="D1424" t="str">
        <f t="shared" si="78"/>
        <v/>
      </c>
      <c r="E1424" t="str">
        <f>SUBSTITUTE(IF(LEFT(A1424,3)="Câu",MID(A1424,FIND(".",A1424,1)+2,LEN(A1424)),""),CHAR(34),CHAR(92)&amp;CHAR(34))</f>
        <v/>
      </c>
      <c r="F1424" t="str">
        <f t="shared" si="77"/>
        <v/>
      </c>
      <c r="G1424" t="str">
        <f>SUBSTITUTE(B1425,CHAR(34),CHAR(92)&amp;CHAR(34))</f>
        <v>Biển 1 và biển 3.</v>
      </c>
      <c r="H1424" t="str">
        <f>SUBSTITUTE(B1426,CHAR(34),CHAR(92)&amp;CHAR(34))</f>
        <v xml:space="preserve"> Biển 2 và biển 3.</v>
      </c>
      <c r="I1424" t="str">
        <f>SUBSTITUTE(IF(LEFT(A1427,3)="Câu","",B1427),CHAR(34),CHAR(92)&amp;CHAR(34))</f>
        <v>Cả ba biển.</v>
      </c>
      <c r="J1424" t="str">
        <f>SUBSTITUTE(IF(OR(LEFT(A1428,3)="Câu",I1424=""),"",IF(B1428=0,"",B1428)),CHAR(34),CHAR(92)&amp;CHAR(34))</f>
        <v/>
      </c>
      <c r="K1424" t="str">
        <f>SUBSTITUTE(SUBSTITUTE(SUBSTITUTE(SUBSTITUTE(IFERROR(VLOOKUP("Câu "&amp;D1424&amp;".",dapan!$E:$J,6,0),""),"1","A"),"2","B"),"3","C"),"4","D")</f>
        <v/>
      </c>
      <c r="P1424" t="str">
        <f t="shared" si="79"/>
        <v/>
      </c>
      <c r="Q1424" t="str">
        <f t="shared" si="80"/>
        <v/>
      </c>
    </row>
    <row r="1425" spans="1:17" hidden="1" x14ac:dyDescent="0.25">
      <c r="A1425">
        <v>2</v>
      </c>
      <c r="B1425" t="s">
        <v>1077</v>
      </c>
      <c r="C1425">
        <f>IFERROR(COUNTIFS($A$1:A1425,"Câu "&amp;"*")-MID(A1425,5,FIND(".",A1425,1)-5),0)</f>
        <v>0</v>
      </c>
      <c r="D1425" t="str">
        <f t="shared" si="78"/>
        <v/>
      </c>
      <c r="E1425" t="str">
        <f>SUBSTITUTE(IF(LEFT(A1425,3)="Câu",MID(A1425,FIND(".",A1425,1)+2,LEN(A1425)),""),CHAR(34),CHAR(92)&amp;CHAR(34))</f>
        <v/>
      </c>
      <c r="F1425" t="str">
        <f t="shared" si="77"/>
        <v/>
      </c>
      <c r="G1425" t="str">
        <f>SUBSTITUTE(B1426,CHAR(34),CHAR(92)&amp;CHAR(34))</f>
        <v xml:space="preserve"> Biển 2 và biển 3.</v>
      </c>
      <c r="H1425" t="str">
        <f>SUBSTITUTE(B1427,CHAR(34),CHAR(92)&amp;CHAR(34))</f>
        <v>Cả ba biển.</v>
      </c>
      <c r="I1425" t="str">
        <f>SUBSTITUTE(IF(LEFT(A1428,3)="Câu","",B1428),CHAR(34),CHAR(92)&amp;CHAR(34))</f>
        <v/>
      </c>
      <c r="J1425" t="str">
        <f>SUBSTITUTE(IF(OR(LEFT(A1429,3)="Câu",I1425=""),"",IF(B1429=0,"",B1429)),CHAR(34),CHAR(92)&amp;CHAR(34))</f>
        <v/>
      </c>
      <c r="K1425" t="str">
        <f>SUBSTITUTE(SUBSTITUTE(SUBSTITUTE(SUBSTITUTE(IFERROR(VLOOKUP("Câu "&amp;D1425&amp;".",dapan!$E:$J,6,0),""),"1","A"),"2","B"),"3","C"),"4","D")</f>
        <v/>
      </c>
      <c r="P1425" t="str">
        <f t="shared" si="79"/>
        <v/>
      </c>
      <c r="Q1425" t="str">
        <f t="shared" si="80"/>
        <v/>
      </c>
    </row>
    <row r="1426" spans="1:17" hidden="1" x14ac:dyDescent="0.25">
      <c r="A1426">
        <v>3</v>
      </c>
      <c r="B1426" t="s">
        <v>1076</v>
      </c>
      <c r="C1426">
        <f>IFERROR(COUNTIFS($A$1:A1426,"Câu "&amp;"*")-MID(A1426,5,FIND(".",A1426,1)-5),0)</f>
        <v>0</v>
      </c>
      <c r="D1426" t="str">
        <f t="shared" si="78"/>
        <v/>
      </c>
      <c r="E1426" t="str">
        <f>SUBSTITUTE(IF(LEFT(A1426,3)="Câu",MID(A1426,FIND(".",A1426,1)+2,LEN(A1426)),""),CHAR(34),CHAR(92)&amp;CHAR(34))</f>
        <v/>
      </c>
      <c r="F1426" t="str">
        <f t="shared" si="77"/>
        <v/>
      </c>
      <c r="G1426" t="str">
        <f>SUBSTITUTE(B1427,CHAR(34),CHAR(92)&amp;CHAR(34))</f>
        <v>Cả ba biển.</v>
      </c>
      <c r="H1426" t="str">
        <f>SUBSTITUTE(B1428,CHAR(34),CHAR(92)&amp;CHAR(34))</f>
        <v/>
      </c>
      <c r="I1426" t="str">
        <f>SUBSTITUTE(IF(LEFT(A1429,3)="Câu","",B1429),CHAR(34),CHAR(92)&amp;CHAR(34))</f>
        <v>Được phép.</v>
      </c>
      <c r="J1426" t="str">
        <f>SUBSTITUTE(IF(OR(LEFT(A1430,3)="Câu",I1426=""),"",IF(B1430=0,"",B1430)),CHAR(34),CHAR(92)&amp;CHAR(34))</f>
        <v xml:space="preserve"> Không được phép.</v>
      </c>
      <c r="K1426" t="str">
        <f>SUBSTITUTE(SUBSTITUTE(SUBSTITUTE(SUBSTITUTE(IFERROR(VLOOKUP("Câu "&amp;D1426&amp;".",dapan!$E:$J,6,0),""),"1","A"),"2","B"),"3","C"),"4","D")</f>
        <v/>
      </c>
      <c r="P1426" t="str">
        <f t="shared" si="79"/>
        <v/>
      </c>
      <c r="Q1426" t="str">
        <f t="shared" si="80"/>
        <v/>
      </c>
    </row>
    <row r="1427" spans="1:17" hidden="1" x14ac:dyDescent="0.25">
      <c r="A1427">
        <v>4</v>
      </c>
      <c r="B1427" t="s">
        <v>1071</v>
      </c>
      <c r="C1427">
        <f>IFERROR(COUNTIFS($A$1:A1427,"Câu "&amp;"*")-MID(A1427,5,FIND(".",A1427,1)-5),0)</f>
        <v>0</v>
      </c>
      <c r="D1427" t="str">
        <f t="shared" si="78"/>
        <v/>
      </c>
      <c r="E1427" t="str">
        <f>SUBSTITUTE(IF(LEFT(A1427,3)="Câu",MID(A1427,FIND(".",A1427,1)+2,LEN(A1427)),""),CHAR(34),CHAR(92)&amp;CHAR(34))</f>
        <v/>
      </c>
      <c r="F1427" t="str">
        <f t="shared" si="77"/>
        <v/>
      </c>
      <c r="G1427" t="str">
        <f>SUBSTITUTE(B1428,CHAR(34),CHAR(92)&amp;CHAR(34))</f>
        <v/>
      </c>
      <c r="H1427" t="str">
        <f>SUBSTITUTE(B1429,CHAR(34),CHAR(92)&amp;CHAR(34))</f>
        <v>Được phép.</v>
      </c>
      <c r="I1427" t="str">
        <f>SUBSTITUTE(IF(LEFT(A1430,3)="Câu","",B1430),CHAR(34),CHAR(92)&amp;CHAR(34))</f>
        <v xml:space="preserve"> Không được phép.</v>
      </c>
      <c r="J1427" t="str">
        <f>SUBSTITUTE(IF(OR(LEFT(A1431,3)="Câu",I1427=""),"",IF(B1431=0,"",B1431)),CHAR(34),CHAR(92)&amp;CHAR(34))</f>
        <v/>
      </c>
      <c r="K1427" t="str">
        <f>SUBSTITUTE(SUBSTITUTE(SUBSTITUTE(SUBSTITUTE(IFERROR(VLOOKUP("Câu "&amp;D1427&amp;".",dapan!$E:$J,6,0),""),"1","A"),"2","B"),"3","C"),"4","D")</f>
        <v/>
      </c>
      <c r="P1427" t="str">
        <f t="shared" si="79"/>
        <v/>
      </c>
      <c r="Q1427" t="str">
        <f t="shared" si="80"/>
        <v/>
      </c>
    </row>
    <row r="1428" spans="1:17" x14ac:dyDescent="0.25">
      <c r="A1428" t="s">
        <v>1139</v>
      </c>
      <c r="C1428">
        <f>IFERROR(COUNTIFS($A$1:A1428,"Câu "&amp;"*")-MID(A1428,5,FIND(".",A1428,1)-5),0)</f>
        <v>0</v>
      </c>
      <c r="D1428">
        <f t="shared" si="78"/>
        <v>344</v>
      </c>
      <c r="E1428" t="str">
        <f>SUBSTITUTE(IF(LEFT(A1428,3)="Câu",MID(A1428,FIND(".",A1428,1)+2,LEN(A1428)),""),CHAR(34),CHAR(92)&amp;CHAR(34))</f>
        <v>Khi gặp biển này, xe mô tô ba bánh chở hàng có được phép rẽ trái hoặc rẽ phải hay không?</v>
      </c>
      <c r="F1428" t="str">
        <f t="shared" si="77"/>
        <v>q344.jpg</v>
      </c>
      <c r="G1428" t="str">
        <f>SUBSTITUTE(B1429,CHAR(34),CHAR(92)&amp;CHAR(34))</f>
        <v>Được phép.</v>
      </c>
      <c r="H1428" t="str">
        <f>SUBSTITUTE(B1430,CHAR(34),CHAR(92)&amp;CHAR(34))</f>
        <v xml:space="preserve"> Không được phép.</v>
      </c>
      <c r="I1428" t="str">
        <f>SUBSTITUTE(IF(LEFT(A1431,3)="Câu","",B1431),CHAR(34),CHAR(92)&amp;CHAR(34))</f>
        <v/>
      </c>
      <c r="J1428" t="str">
        <f>SUBSTITUTE(IF(OR(LEFT(A1432,3)="Câu",I1428=""),"",IF(B1432=0,"",B1432)),CHAR(34),CHAR(92)&amp;CHAR(34))</f>
        <v/>
      </c>
      <c r="K1428" t="str">
        <f ca="1">SUBSTITUTE(SUBSTITUTE(SUBSTITUTE(SUBSTITUTE(IFERROR(VLOOKUP("Câu "&amp;D1428&amp;".",dapan!$E:$J,6,0),""),"1","A"),"2","B"),"3","C"),"4","D")</f>
        <v>B</v>
      </c>
      <c r="P1428">
        <f t="shared" si="79"/>
        <v>344</v>
      </c>
      <c r="Q1428" t="str">
        <f t="shared" ca="1" si="80"/>
        <v>{"num":344,"id":344,"q":"Khi gặp biển này, xe mô tô ba bánh chở hàng có được phép rẽ trái hoặc rẽ phải hay không?","img":"q344.jpg","opts":{"A":"Được phép.","B":" Không được phép."},"answer":"B"},</v>
      </c>
    </row>
    <row r="1429" spans="1:17" hidden="1" x14ac:dyDescent="0.25">
      <c r="A1429">
        <v>1</v>
      </c>
      <c r="B1429" t="s">
        <v>223</v>
      </c>
      <c r="C1429">
        <f>IFERROR(COUNTIFS($A$1:A1429,"Câu "&amp;"*")-MID(A1429,5,FIND(".",A1429,1)-5),0)</f>
        <v>0</v>
      </c>
      <c r="D1429" t="str">
        <f t="shared" si="78"/>
        <v/>
      </c>
      <c r="E1429" t="str">
        <f>SUBSTITUTE(IF(LEFT(A1429,3)="Câu",MID(A1429,FIND(".",A1429,1)+2,LEN(A1429)),""),CHAR(34),CHAR(92)&amp;CHAR(34))</f>
        <v/>
      </c>
      <c r="F1429" t="str">
        <f t="shared" si="77"/>
        <v/>
      </c>
      <c r="G1429" t="str">
        <f>SUBSTITUTE(B1430,CHAR(34),CHAR(92)&amp;CHAR(34))</f>
        <v xml:space="preserve"> Không được phép.</v>
      </c>
      <c r="H1429" t="str">
        <f>SUBSTITUTE(B1431,CHAR(34),CHAR(92)&amp;CHAR(34))</f>
        <v/>
      </c>
      <c r="I1429" t="str">
        <f>SUBSTITUTE(IF(LEFT(A1432,3)="Câu","",B1432),CHAR(34),CHAR(92)&amp;CHAR(34))</f>
        <v xml:space="preserve"> Có.</v>
      </c>
      <c r="J1429" t="str">
        <f>SUBSTITUTE(IF(OR(LEFT(A1433,3)="Câu",I1429=""),"",IF(B1433=0,"",B1433)),CHAR(34),CHAR(92)&amp;CHAR(34))</f>
        <v>Không.</v>
      </c>
      <c r="K1429" t="str">
        <f>SUBSTITUTE(SUBSTITUTE(SUBSTITUTE(SUBSTITUTE(IFERROR(VLOOKUP("Câu "&amp;D1429&amp;".",dapan!$E:$J,6,0),""),"1","A"),"2","B"),"3","C"),"4","D")</f>
        <v/>
      </c>
      <c r="P1429" t="str">
        <f t="shared" si="79"/>
        <v/>
      </c>
      <c r="Q1429" t="str">
        <f t="shared" si="80"/>
        <v/>
      </c>
    </row>
    <row r="1430" spans="1:17" hidden="1" x14ac:dyDescent="0.25">
      <c r="A1430">
        <v>2</v>
      </c>
      <c r="B1430" t="s">
        <v>226</v>
      </c>
      <c r="C1430">
        <f>IFERROR(COUNTIFS($A$1:A1430,"Câu "&amp;"*")-MID(A1430,5,FIND(".",A1430,1)-5),0)</f>
        <v>0</v>
      </c>
      <c r="D1430" t="str">
        <f t="shared" si="78"/>
        <v/>
      </c>
      <c r="E1430" t="str">
        <f>SUBSTITUTE(IF(LEFT(A1430,3)="Câu",MID(A1430,FIND(".",A1430,1)+2,LEN(A1430)),""),CHAR(34),CHAR(92)&amp;CHAR(34))</f>
        <v/>
      </c>
      <c r="F1430" t="str">
        <f t="shared" si="77"/>
        <v/>
      </c>
      <c r="G1430" t="str">
        <f>SUBSTITUTE(B1431,CHAR(34),CHAR(92)&amp;CHAR(34))</f>
        <v/>
      </c>
      <c r="H1430" t="str">
        <f>SUBSTITUTE(B1432,CHAR(34),CHAR(92)&amp;CHAR(34))</f>
        <v xml:space="preserve"> Có.</v>
      </c>
      <c r="I1430" t="str">
        <f>SUBSTITUTE(IF(LEFT(A1433,3)="Câu","",B1433),CHAR(34),CHAR(92)&amp;CHAR(34))</f>
        <v>Không.</v>
      </c>
      <c r="J1430" t="str">
        <f>SUBSTITUTE(IF(OR(LEFT(A1434,3)="Câu",I1430=""),"",IF(B1434=0,"",B1434)),CHAR(34),CHAR(92)&amp;CHAR(34))</f>
        <v/>
      </c>
      <c r="K1430" t="str">
        <f>SUBSTITUTE(SUBSTITUTE(SUBSTITUTE(SUBSTITUTE(IFERROR(VLOOKUP("Câu "&amp;D1430&amp;".",dapan!$E:$J,6,0),""),"1","A"),"2","B"),"3","C"),"4","D")</f>
        <v/>
      </c>
      <c r="P1430" t="str">
        <f t="shared" si="79"/>
        <v/>
      </c>
      <c r="Q1430" t="str">
        <f t="shared" si="80"/>
        <v/>
      </c>
    </row>
    <row r="1431" spans="1:17" x14ac:dyDescent="0.25">
      <c r="A1431" t="s">
        <v>1140</v>
      </c>
      <c r="C1431">
        <f>IFERROR(COUNTIFS($A$1:A1431,"Câu "&amp;"*")-MID(A1431,5,FIND(".",A1431,1)-5),0)</f>
        <v>0</v>
      </c>
      <c r="D1431">
        <f t="shared" si="78"/>
        <v>345</v>
      </c>
      <c r="E1431" t="str">
        <f>SUBSTITUTE(IF(LEFT(A1431,3)="Câu",MID(A1431,FIND(".",A1431,1)+2,LEN(A1431)),""),CHAR(34),CHAR(92)&amp;CHAR(34))</f>
        <v>Biển này có hiệu lực đối với xe mô tô hai bánh, ba bánh chở hàng không?</v>
      </c>
      <c r="F1431" t="str">
        <f t="shared" ref="F1431:F1494" si="81">IF(D1431="","","q"&amp;TEXT(D1431,"000")&amp;".jpg")</f>
        <v>q345.jpg</v>
      </c>
      <c r="G1431" t="str">
        <f>SUBSTITUTE(B1432,CHAR(34),CHAR(92)&amp;CHAR(34))</f>
        <v xml:space="preserve"> Có.</v>
      </c>
      <c r="H1431" t="str">
        <f>SUBSTITUTE(B1433,CHAR(34),CHAR(92)&amp;CHAR(34))</f>
        <v>Không.</v>
      </c>
      <c r="I1431" t="str">
        <f>SUBSTITUTE(IF(LEFT(A1434,3)="Câu","",B1434),CHAR(34),CHAR(92)&amp;CHAR(34))</f>
        <v/>
      </c>
      <c r="J1431" t="str">
        <f>SUBSTITUTE(IF(OR(LEFT(A1435,3)="Câu",I1431=""),"",IF(B1435=0,"",B1435)),CHAR(34),CHAR(92)&amp;CHAR(34))</f>
        <v/>
      </c>
      <c r="K1431" t="str">
        <f ca="1">SUBSTITUTE(SUBSTITUTE(SUBSTITUTE(SUBSTITUTE(IFERROR(VLOOKUP("Câu "&amp;D1431&amp;".",dapan!$E:$J,6,0),""),"1","A"),"2","B"),"3","C"),"4","D")</f>
        <v>A</v>
      </c>
      <c r="P1431">
        <f t="shared" si="79"/>
        <v>345</v>
      </c>
      <c r="Q1431" t="str">
        <f t="shared" ca="1" si="80"/>
        <v>{"num":345,"id":345,"q":"Biển này có hiệu lực đối với xe mô tô hai bánh, ba bánh chở hàng không?","img":"q345.jpg","opts":{"A":" Có.","B":"Không."},"answer":"A"},</v>
      </c>
    </row>
    <row r="1432" spans="1:17" hidden="1" x14ac:dyDescent="0.25">
      <c r="A1432">
        <v>1</v>
      </c>
      <c r="B1432" t="s">
        <v>1141</v>
      </c>
      <c r="C1432">
        <f>IFERROR(COUNTIFS($A$1:A1432,"Câu "&amp;"*")-MID(A1432,5,FIND(".",A1432,1)-5),0)</f>
        <v>0</v>
      </c>
      <c r="D1432" t="str">
        <f t="shared" si="78"/>
        <v/>
      </c>
      <c r="E1432" t="str">
        <f>SUBSTITUTE(IF(LEFT(A1432,3)="Câu",MID(A1432,FIND(".",A1432,1)+2,LEN(A1432)),""),CHAR(34),CHAR(92)&amp;CHAR(34))</f>
        <v/>
      </c>
      <c r="F1432" t="str">
        <f t="shared" si="81"/>
        <v/>
      </c>
      <c r="G1432" t="str">
        <f>SUBSTITUTE(B1433,CHAR(34),CHAR(92)&amp;CHAR(34))</f>
        <v>Không.</v>
      </c>
      <c r="H1432" t="str">
        <f>SUBSTITUTE(B1434,CHAR(34),CHAR(92)&amp;CHAR(34))</f>
        <v/>
      </c>
      <c r="I1432" t="str">
        <f>SUBSTITUTE(IF(LEFT(A1435,3)="Câu","",B1435),CHAR(34),CHAR(92)&amp;CHAR(34))</f>
        <v>Cấm xe cơ giới (trừ xe ưu tiên theo luật định) đi thẳng.</v>
      </c>
      <c r="J1432" t="str">
        <f>SUBSTITUTE(IF(OR(LEFT(A1436,3)="Câu",I1432=""),"",IF(B1436=0,"",B1436)),CHAR(34),CHAR(92)&amp;CHAR(34))</f>
        <v xml:space="preserve"> Cấm các loại xe cơ giới và xe mô tô (trừ xe ưu tiên theo luật định) đi về bên trái và bên phải.</v>
      </c>
      <c r="K1432" t="str">
        <f>SUBSTITUTE(SUBSTITUTE(SUBSTITUTE(SUBSTITUTE(IFERROR(VLOOKUP("Câu "&amp;D1432&amp;".",dapan!$E:$J,6,0),""),"1","A"),"2","B"),"3","C"),"4","D")</f>
        <v/>
      </c>
      <c r="P1432" t="str">
        <f t="shared" si="79"/>
        <v/>
      </c>
      <c r="Q1432" t="str">
        <f t="shared" si="80"/>
        <v/>
      </c>
    </row>
    <row r="1433" spans="1:17" hidden="1" x14ac:dyDescent="0.25">
      <c r="A1433">
        <v>2</v>
      </c>
      <c r="B1433" t="s">
        <v>1142</v>
      </c>
      <c r="C1433">
        <f>IFERROR(COUNTIFS($A$1:A1433,"Câu "&amp;"*")-MID(A1433,5,FIND(".",A1433,1)-5),0)</f>
        <v>0</v>
      </c>
      <c r="D1433" t="str">
        <f t="shared" ref="D1433:D1496" si="82">IF(LEFT(A1433,3)="Câu",VALUE(MID(A1433,5,FIND(".",A1433,1)-5)),"")</f>
        <v/>
      </c>
      <c r="E1433" t="str">
        <f>SUBSTITUTE(IF(LEFT(A1433,3)="Câu",MID(A1433,FIND(".",A1433,1)+2,LEN(A1433)),""),CHAR(34),CHAR(92)&amp;CHAR(34))</f>
        <v/>
      </c>
      <c r="F1433" t="str">
        <f t="shared" si="81"/>
        <v/>
      </c>
      <c r="G1433" t="str">
        <f>SUBSTITUTE(B1434,CHAR(34),CHAR(92)&amp;CHAR(34))</f>
        <v/>
      </c>
      <c r="H1433" t="str">
        <f>SUBSTITUTE(B1435,CHAR(34),CHAR(92)&amp;CHAR(34))</f>
        <v>Cấm xe cơ giới (trừ xe ưu tiên theo luật định) đi thẳng.</v>
      </c>
      <c r="I1433" t="str">
        <f>SUBSTITUTE(IF(LEFT(A1436,3)="Câu","",B1436),CHAR(34),CHAR(92)&amp;CHAR(34))</f>
        <v xml:space="preserve"> Cấm các loại xe cơ giới và xe mô tô (trừ xe ưu tiên theo luật định) đi về bên trái và bên phải.</v>
      </c>
      <c r="J1433" t="str">
        <f>SUBSTITUTE(IF(OR(LEFT(A1437,3)="Câu",I1433=""),"",IF(B1437=0,"",B1437)),CHAR(34),CHAR(92)&amp;CHAR(34))</f>
        <v>Hướng trái và phải không cấm xe cơ giới.</v>
      </c>
      <c r="K1433" t="str">
        <f>SUBSTITUTE(SUBSTITUTE(SUBSTITUTE(SUBSTITUTE(IFERROR(VLOOKUP("Câu "&amp;D1433&amp;".",dapan!$E:$J,6,0),""),"1","A"),"2","B"),"3","C"),"4","D")</f>
        <v/>
      </c>
      <c r="P1433" t="str">
        <f t="shared" si="79"/>
        <v/>
      </c>
      <c r="Q1433" t="str">
        <f t="shared" si="80"/>
        <v/>
      </c>
    </row>
    <row r="1434" spans="1:17" x14ac:dyDescent="0.25">
      <c r="A1434" t="s">
        <v>1143</v>
      </c>
      <c r="C1434">
        <f>IFERROR(COUNTIFS($A$1:A1434,"Câu "&amp;"*")-MID(A1434,5,FIND(".",A1434,1)-5),0)</f>
        <v>0</v>
      </c>
      <c r="D1434">
        <f t="shared" si="82"/>
        <v>346</v>
      </c>
      <c r="E1434" t="str">
        <f>SUBSTITUTE(IF(LEFT(A1434,3)="Câu",MID(A1434,FIND(".",A1434,1)+2,LEN(A1434)),""),CHAR(34),CHAR(92)&amp;CHAR(34))</f>
        <v>Biển này có ý nghĩa như thế nào?</v>
      </c>
      <c r="F1434" t="str">
        <f t="shared" si="81"/>
        <v>q346.jpg</v>
      </c>
      <c r="G1434" t="str">
        <f>SUBSTITUTE(B1435,CHAR(34),CHAR(92)&amp;CHAR(34))</f>
        <v>Cấm xe cơ giới (trừ xe ưu tiên theo luật định) đi thẳng.</v>
      </c>
      <c r="H1434" t="str">
        <f>SUBSTITUTE(B1436,CHAR(34),CHAR(92)&amp;CHAR(34))</f>
        <v xml:space="preserve"> Cấm các loại xe cơ giới và xe mô tô (trừ xe ưu tiên theo luật định) đi về bên trái và bên phải.</v>
      </c>
      <c r="I1434" t="str">
        <f>SUBSTITUTE(IF(LEFT(A1437,3)="Câu","",B1437),CHAR(34),CHAR(92)&amp;CHAR(34))</f>
        <v>Hướng trái và phải không cấm xe cơ giới.</v>
      </c>
      <c r="J1434" t="str">
        <f>SUBSTITUTE(IF(OR(LEFT(A1438,3)="Câu",I1434=""),"",IF(B1438=0,"",B1438)),CHAR(34),CHAR(92)&amp;CHAR(34))</f>
        <v/>
      </c>
      <c r="K1434" t="str">
        <f ca="1">SUBSTITUTE(SUBSTITUTE(SUBSTITUTE(SUBSTITUTE(IFERROR(VLOOKUP("Câu "&amp;D1434&amp;".",dapan!$E:$J,6,0),""),"1","A"),"2","B"),"3","C"),"4","D")</f>
        <v>B</v>
      </c>
      <c r="P1434">
        <f t="shared" si="79"/>
        <v>346</v>
      </c>
      <c r="Q1434" t="str">
        <f t="shared" ca="1" si="80"/>
        <v>{"num":346,"id":346,"q":"Biển này có ý nghĩa như thế nào?","img":"q346.jpg","opts":{"A":"Cấm xe cơ giới (trừ xe ưu tiên theo luật định) đi thẳng.","B":" Cấm các loại xe cơ giới và xe mô tô (trừ xe ưu tiên theo luật định) đi về bên trái và bên phải.","C":"Hướng trái và phải không cấm xe cơ giới."},"answer":"B"},</v>
      </c>
    </row>
    <row r="1435" spans="1:17" hidden="1" x14ac:dyDescent="0.25">
      <c r="A1435">
        <v>1</v>
      </c>
      <c r="B1435" t="s">
        <v>1144</v>
      </c>
      <c r="C1435">
        <f>IFERROR(COUNTIFS($A$1:A1435,"Câu "&amp;"*")-MID(A1435,5,FIND(".",A1435,1)-5),0)</f>
        <v>0</v>
      </c>
      <c r="D1435" t="str">
        <f t="shared" si="82"/>
        <v/>
      </c>
      <c r="E1435" t="str">
        <f>SUBSTITUTE(IF(LEFT(A1435,3)="Câu",MID(A1435,FIND(".",A1435,1)+2,LEN(A1435)),""),CHAR(34),CHAR(92)&amp;CHAR(34))</f>
        <v/>
      </c>
      <c r="F1435" t="str">
        <f t="shared" si="81"/>
        <v/>
      </c>
      <c r="G1435" t="str">
        <f>SUBSTITUTE(B1436,CHAR(34),CHAR(92)&amp;CHAR(34))</f>
        <v xml:space="preserve"> Cấm các loại xe cơ giới và xe mô tô (trừ xe ưu tiên theo luật định) đi về bên trái và bên phải.</v>
      </c>
      <c r="H1435" t="str">
        <f>SUBSTITUTE(B1437,CHAR(34),CHAR(92)&amp;CHAR(34))</f>
        <v>Hướng trái và phải không cấm xe cơ giới.</v>
      </c>
      <c r="I1435" t="str">
        <f>SUBSTITUTE(IF(LEFT(A1438,3)="Câu","",B1438),CHAR(34),CHAR(92)&amp;CHAR(34))</f>
        <v/>
      </c>
      <c r="J1435" t="str">
        <f>SUBSTITUTE(IF(OR(LEFT(A1439,3)="Câu",I1435=""),"",IF(B1439=0,"",B1439)),CHAR(34),CHAR(92)&amp;CHAR(34))</f>
        <v/>
      </c>
      <c r="K1435" t="str">
        <f>SUBSTITUTE(SUBSTITUTE(SUBSTITUTE(SUBSTITUTE(IFERROR(VLOOKUP("Câu "&amp;D1435&amp;".",dapan!$E:$J,6,0),""),"1","A"),"2","B"),"3","C"),"4","D")</f>
        <v/>
      </c>
      <c r="P1435" t="str">
        <f t="shared" si="79"/>
        <v/>
      </c>
      <c r="Q1435" t="str">
        <f t="shared" si="80"/>
        <v/>
      </c>
    </row>
    <row r="1436" spans="1:17" hidden="1" x14ac:dyDescent="0.25">
      <c r="A1436">
        <v>2</v>
      </c>
      <c r="B1436" t="s">
        <v>1145</v>
      </c>
      <c r="C1436">
        <f>IFERROR(COUNTIFS($A$1:A1436,"Câu "&amp;"*")-MID(A1436,5,FIND(".",A1436,1)-5),0)</f>
        <v>0</v>
      </c>
      <c r="D1436" t="str">
        <f t="shared" si="82"/>
        <v/>
      </c>
      <c r="E1436" t="str">
        <f>SUBSTITUTE(IF(LEFT(A1436,3)="Câu",MID(A1436,FIND(".",A1436,1)+2,LEN(A1436)),""),CHAR(34),CHAR(92)&amp;CHAR(34))</f>
        <v/>
      </c>
      <c r="F1436" t="str">
        <f t="shared" si="81"/>
        <v/>
      </c>
      <c r="G1436" t="str">
        <f>SUBSTITUTE(B1437,CHAR(34),CHAR(92)&amp;CHAR(34))</f>
        <v>Hướng trái và phải không cấm xe cơ giới.</v>
      </c>
      <c r="H1436" t="str">
        <f>SUBSTITUTE(B1438,CHAR(34),CHAR(92)&amp;CHAR(34))</f>
        <v/>
      </c>
      <c r="I1436" t="str">
        <f>SUBSTITUTE(IF(LEFT(A1439,3)="Câu","",B1439),CHAR(34),CHAR(92)&amp;CHAR(34))</f>
        <v>Báo khoảng cách đến nơi cấm bóp còi.</v>
      </c>
      <c r="J1436" t="str">
        <f>SUBSTITUTE(IF(OR(LEFT(A1440,3)="Câu",I1436=""),"",IF(B1440=0,"",B1440)),CHAR(34),CHAR(92)&amp;CHAR(34))</f>
        <v xml:space="preserve"> Chiều dài đoạn đường cấm bóp còi từ nơi đặt biển.</v>
      </c>
      <c r="K1436" t="str">
        <f>SUBSTITUTE(SUBSTITUTE(SUBSTITUTE(SUBSTITUTE(IFERROR(VLOOKUP("Câu "&amp;D1436&amp;".",dapan!$E:$J,6,0),""),"1","A"),"2","B"),"3","C"),"4","D")</f>
        <v/>
      </c>
      <c r="P1436" t="str">
        <f t="shared" si="79"/>
        <v/>
      </c>
      <c r="Q1436" t="str">
        <f t="shared" si="80"/>
        <v/>
      </c>
    </row>
    <row r="1437" spans="1:17" hidden="1" x14ac:dyDescent="0.25">
      <c r="A1437">
        <v>3</v>
      </c>
      <c r="B1437" t="s">
        <v>1146</v>
      </c>
      <c r="C1437">
        <f>IFERROR(COUNTIFS($A$1:A1437,"Câu "&amp;"*")-MID(A1437,5,FIND(".",A1437,1)-5),0)</f>
        <v>0</v>
      </c>
      <c r="D1437" t="str">
        <f t="shared" si="82"/>
        <v/>
      </c>
      <c r="E1437" t="str">
        <f>SUBSTITUTE(IF(LEFT(A1437,3)="Câu",MID(A1437,FIND(".",A1437,1)+2,LEN(A1437)),""),CHAR(34),CHAR(92)&amp;CHAR(34))</f>
        <v/>
      </c>
      <c r="F1437" t="str">
        <f t="shared" si="81"/>
        <v/>
      </c>
      <c r="G1437" t="str">
        <f>SUBSTITUTE(B1438,CHAR(34),CHAR(92)&amp;CHAR(34))</f>
        <v/>
      </c>
      <c r="H1437" t="str">
        <f>SUBSTITUTE(B1439,CHAR(34),CHAR(92)&amp;CHAR(34))</f>
        <v>Báo khoảng cách đến nơi cấm bóp còi.</v>
      </c>
      <c r="I1437" t="str">
        <f>SUBSTITUTE(IF(LEFT(A1440,3)="Câu","",B1440),CHAR(34),CHAR(92)&amp;CHAR(34))</f>
        <v xml:space="preserve"> Chiều dài đoạn đường cấm bóp còi từ nơi đặt biển.</v>
      </c>
      <c r="J1437" t="str">
        <f>SUBSTITUTE(IF(OR(LEFT(A1441,3)="Câu",I1437=""),"",IF(B1441=0,"",B1441)),CHAR(34),CHAR(92)&amp;CHAR(34))</f>
        <v>Báo cấm dùng còi có độ vang xa 500m.</v>
      </c>
      <c r="K1437" t="str">
        <f>SUBSTITUTE(SUBSTITUTE(SUBSTITUTE(SUBSTITUTE(IFERROR(VLOOKUP("Câu "&amp;D1437&amp;".",dapan!$E:$J,6,0),""),"1","A"),"2","B"),"3","C"),"4","D")</f>
        <v/>
      </c>
      <c r="P1437" t="str">
        <f t="shared" si="79"/>
        <v/>
      </c>
      <c r="Q1437" t="str">
        <f t="shared" si="80"/>
        <v/>
      </c>
    </row>
    <row r="1438" spans="1:17" x14ac:dyDescent="0.25">
      <c r="A1438" t="s">
        <v>1147</v>
      </c>
      <c r="C1438">
        <f>IFERROR(COUNTIFS($A$1:A1438,"Câu "&amp;"*")-MID(A1438,5,FIND(".",A1438,1)-5),0)</f>
        <v>0</v>
      </c>
      <c r="D1438">
        <f t="shared" si="82"/>
        <v>347</v>
      </c>
      <c r="E1438" t="str">
        <f>SUBSTITUTE(IF(LEFT(A1438,3)="Câu",MID(A1438,FIND(".",A1438,1)+2,LEN(A1438)),""),CHAR(34),CHAR(92)&amp;CHAR(34))</f>
        <v>Biển phụ đặt dưới biển cấm bóp còi có ý nghĩa như thế nào?</v>
      </c>
      <c r="F1438" t="str">
        <f t="shared" si="81"/>
        <v>q347.jpg</v>
      </c>
      <c r="G1438" t="str">
        <f>SUBSTITUTE(B1439,CHAR(34),CHAR(92)&amp;CHAR(34))</f>
        <v>Báo khoảng cách đến nơi cấm bóp còi.</v>
      </c>
      <c r="H1438" t="str">
        <f>SUBSTITUTE(B1440,CHAR(34),CHAR(92)&amp;CHAR(34))</f>
        <v xml:space="preserve"> Chiều dài đoạn đường cấm bóp còi từ nơi đặt biển.</v>
      </c>
      <c r="I1438" t="str">
        <f>SUBSTITUTE(IF(LEFT(A1441,3)="Câu","",B1441),CHAR(34),CHAR(92)&amp;CHAR(34))</f>
        <v>Báo cấm dùng còi có độ vang xa 500m.</v>
      </c>
      <c r="J1438" t="str">
        <f>SUBSTITUTE(IF(OR(LEFT(A1442,3)="Câu",I1438=""),"",IF(B1442=0,"",B1442)),CHAR(34),CHAR(92)&amp;CHAR(34))</f>
        <v/>
      </c>
      <c r="K1438" t="str">
        <f ca="1">SUBSTITUTE(SUBSTITUTE(SUBSTITUTE(SUBSTITUTE(IFERROR(VLOOKUP("Câu "&amp;D1438&amp;".",dapan!$E:$J,6,0),""),"1","A"),"2","B"),"3","C"),"4","D")</f>
        <v>B</v>
      </c>
      <c r="P1438">
        <f t="shared" si="79"/>
        <v>347</v>
      </c>
      <c r="Q1438" t="str">
        <f t="shared" ca="1" si="80"/>
        <v>{"num":347,"id":347,"q":"Biển phụ đặt dưới biển cấm bóp còi có ý nghĩa như thế nào?","img":"q347.jpg","opts":{"A":"Báo khoảng cách đến nơi cấm bóp còi.","B":" Chiều dài đoạn đường cấm bóp còi từ nơi đặt biển.","C":"Báo cấm dùng còi có độ vang xa 500m."},"answer":"B"},</v>
      </c>
    </row>
    <row r="1439" spans="1:17" hidden="1" x14ac:dyDescent="0.25">
      <c r="A1439">
        <v>1</v>
      </c>
      <c r="B1439" t="s">
        <v>1148</v>
      </c>
      <c r="C1439">
        <f>IFERROR(COUNTIFS($A$1:A1439,"Câu "&amp;"*")-MID(A1439,5,FIND(".",A1439,1)-5),0)</f>
        <v>0</v>
      </c>
      <c r="D1439" t="str">
        <f t="shared" si="82"/>
        <v/>
      </c>
      <c r="E1439" t="str">
        <f>SUBSTITUTE(IF(LEFT(A1439,3)="Câu",MID(A1439,FIND(".",A1439,1)+2,LEN(A1439)),""),CHAR(34),CHAR(92)&amp;CHAR(34))</f>
        <v/>
      </c>
      <c r="F1439" t="str">
        <f t="shared" si="81"/>
        <v/>
      </c>
      <c r="G1439" t="str">
        <f>SUBSTITUTE(B1440,CHAR(34),CHAR(92)&amp;CHAR(34))</f>
        <v xml:space="preserve"> Chiều dài đoạn đường cấm bóp còi từ nơi đặt biển.</v>
      </c>
      <c r="H1439" t="str">
        <f>SUBSTITUTE(B1441,CHAR(34),CHAR(92)&amp;CHAR(34))</f>
        <v>Báo cấm dùng còi có độ vang xa 500m.</v>
      </c>
      <c r="I1439" t="str">
        <f>SUBSTITUTE(IF(LEFT(A1442,3)="Câu","",B1442),CHAR(34),CHAR(92)&amp;CHAR(34))</f>
        <v/>
      </c>
      <c r="J1439" t="str">
        <f>SUBSTITUTE(IF(OR(LEFT(A1443,3)="Câu",I1439=""),"",IF(B1443=0,"",B1443)),CHAR(34),CHAR(92)&amp;CHAR(34))</f>
        <v/>
      </c>
      <c r="K1439" t="str">
        <f>SUBSTITUTE(SUBSTITUTE(SUBSTITUTE(SUBSTITUTE(IFERROR(VLOOKUP("Câu "&amp;D1439&amp;".",dapan!$E:$J,6,0),""),"1","A"),"2","B"),"3","C"),"4","D")</f>
        <v/>
      </c>
      <c r="P1439" t="str">
        <f t="shared" si="79"/>
        <v/>
      </c>
      <c r="Q1439" t="str">
        <f t="shared" si="80"/>
        <v/>
      </c>
    </row>
    <row r="1440" spans="1:17" hidden="1" x14ac:dyDescent="0.25">
      <c r="A1440">
        <v>2</v>
      </c>
      <c r="B1440" t="s">
        <v>1149</v>
      </c>
      <c r="C1440">
        <f>IFERROR(COUNTIFS($A$1:A1440,"Câu "&amp;"*")-MID(A1440,5,FIND(".",A1440,1)-5),0)</f>
        <v>0</v>
      </c>
      <c r="D1440" t="str">
        <f t="shared" si="82"/>
        <v/>
      </c>
      <c r="E1440" t="str">
        <f>SUBSTITUTE(IF(LEFT(A1440,3)="Câu",MID(A1440,FIND(".",A1440,1)+2,LEN(A1440)),""),CHAR(34),CHAR(92)&amp;CHAR(34))</f>
        <v/>
      </c>
      <c r="F1440" t="str">
        <f t="shared" si="81"/>
        <v/>
      </c>
      <c r="G1440" t="str">
        <f>SUBSTITUTE(B1441,CHAR(34),CHAR(92)&amp;CHAR(34))</f>
        <v>Báo cấm dùng còi có độ vang xa 500m.</v>
      </c>
      <c r="H1440" t="str">
        <f>SUBSTITUTE(B1442,CHAR(34),CHAR(92)&amp;CHAR(34))</f>
        <v/>
      </c>
      <c r="I1440" t="str">
        <f>SUBSTITUTE(IF(LEFT(A1443,3)="Câu","",B1443),CHAR(34),CHAR(92)&amp;CHAR(34))</f>
        <v>Được phép.</v>
      </c>
      <c r="J1440" t="str">
        <f>SUBSTITUTE(IF(OR(LEFT(A1444,3)="Câu",I1440=""),"",IF(B1444=0,"",B1444)),CHAR(34),CHAR(92)&amp;CHAR(34))</f>
        <v xml:space="preserve"> Không được phép.</v>
      </c>
      <c r="K1440" t="str">
        <f>SUBSTITUTE(SUBSTITUTE(SUBSTITUTE(SUBSTITUTE(IFERROR(VLOOKUP("Câu "&amp;D1440&amp;".",dapan!$E:$J,6,0),""),"1","A"),"2","B"),"3","C"),"4","D")</f>
        <v/>
      </c>
      <c r="P1440" t="str">
        <f t="shared" si="79"/>
        <v/>
      </c>
      <c r="Q1440" t="str">
        <f t="shared" si="80"/>
        <v/>
      </c>
    </row>
    <row r="1441" spans="1:17" hidden="1" x14ac:dyDescent="0.25">
      <c r="A1441">
        <v>3</v>
      </c>
      <c r="B1441" t="s">
        <v>1150</v>
      </c>
      <c r="C1441">
        <f>IFERROR(COUNTIFS($A$1:A1441,"Câu "&amp;"*")-MID(A1441,5,FIND(".",A1441,1)-5),0)</f>
        <v>0</v>
      </c>
      <c r="D1441" t="str">
        <f t="shared" si="82"/>
        <v/>
      </c>
      <c r="E1441" t="str">
        <f>SUBSTITUTE(IF(LEFT(A1441,3)="Câu",MID(A1441,FIND(".",A1441,1)+2,LEN(A1441)),""),CHAR(34),CHAR(92)&amp;CHAR(34))</f>
        <v/>
      </c>
      <c r="F1441" t="str">
        <f t="shared" si="81"/>
        <v/>
      </c>
      <c r="G1441" t="str">
        <f>SUBSTITUTE(B1442,CHAR(34),CHAR(92)&amp;CHAR(34))</f>
        <v/>
      </c>
      <c r="H1441" t="str">
        <f>SUBSTITUTE(B1443,CHAR(34),CHAR(92)&amp;CHAR(34))</f>
        <v>Được phép.</v>
      </c>
      <c r="I1441" t="str">
        <f>SUBSTITUTE(IF(LEFT(A1444,3)="Câu","",B1444),CHAR(34),CHAR(92)&amp;CHAR(34))</f>
        <v xml:space="preserve"> Không được phép.</v>
      </c>
      <c r="J1441" t="str">
        <f>SUBSTITUTE(IF(OR(LEFT(A1445,3)="Câu",I1441=""),"",IF(B1445=0,"",B1445)),CHAR(34),CHAR(92)&amp;CHAR(34))</f>
        <v/>
      </c>
      <c r="K1441" t="str">
        <f>SUBSTITUTE(SUBSTITUTE(SUBSTITUTE(SUBSTITUTE(IFERROR(VLOOKUP("Câu "&amp;D1441&amp;".",dapan!$E:$J,6,0),""),"1","A"),"2","B"),"3","C"),"4","D")</f>
        <v/>
      </c>
      <c r="P1441" t="str">
        <f t="shared" si="79"/>
        <v/>
      </c>
      <c r="Q1441" t="str">
        <f t="shared" si="80"/>
        <v/>
      </c>
    </row>
    <row r="1442" spans="1:17" x14ac:dyDescent="0.25">
      <c r="A1442" t="s">
        <v>1151</v>
      </c>
      <c r="C1442">
        <f>IFERROR(COUNTIFS($A$1:A1442,"Câu "&amp;"*")-MID(A1442,5,FIND(".",A1442,1)-5),0)</f>
        <v>0</v>
      </c>
      <c r="D1442">
        <f t="shared" si="82"/>
        <v>348</v>
      </c>
      <c r="E1442" t="str">
        <f>SUBSTITUTE(IF(LEFT(A1442,3)="Câu",MID(A1442,FIND(".",A1442,1)+2,LEN(A1442)),""),CHAR(34),CHAR(92)&amp;CHAR(34))</f>
        <v>Chiều dài đoạn đường 500 m từ nơi đặt biển này, người lái xe có được phép bấm còi không?</v>
      </c>
      <c r="F1442" t="str">
        <f t="shared" si="81"/>
        <v>q348.jpg</v>
      </c>
      <c r="G1442" t="str">
        <f>SUBSTITUTE(B1443,CHAR(34),CHAR(92)&amp;CHAR(34))</f>
        <v>Được phép.</v>
      </c>
      <c r="H1442" t="str">
        <f>SUBSTITUTE(B1444,CHAR(34),CHAR(92)&amp;CHAR(34))</f>
        <v xml:space="preserve"> Không được phép.</v>
      </c>
      <c r="I1442" t="str">
        <f>SUBSTITUTE(IF(LEFT(A1445,3)="Câu","",B1445),CHAR(34),CHAR(92)&amp;CHAR(34))</f>
        <v/>
      </c>
      <c r="J1442" t="str">
        <f>SUBSTITUTE(IF(OR(LEFT(A1446,3)="Câu",I1442=""),"",IF(B1446=0,"",B1446)),CHAR(34),CHAR(92)&amp;CHAR(34))</f>
        <v/>
      </c>
      <c r="K1442" t="str">
        <f ca="1">SUBSTITUTE(SUBSTITUTE(SUBSTITUTE(SUBSTITUTE(IFERROR(VLOOKUP("Câu "&amp;D1442&amp;".",dapan!$E:$J,6,0),""),"1","A"),"2","B"),"3","C"),"4","D")</f>
        <v>B</v>
      </c>
      <c r="P1442">
        <f t="shared" si="79"/>
        <v>348</v>
      </c>
      <c r="Q1442" t="str">
        <f t="shared" ca="1" si="80"/>
        <v>{"num":348,"id":348,"q":"Chiều dài đoạn đường 500 m từ nơi đặt biển này, người lái xe có được phép bấm còi không?","img":"q348.jpg","opts":{"A":"Được phép.","B":" Không được phép."},"answer":"B"},</v>
      </c>
    </row>
    <row r="1443" spans="1:17" hidden="1" x14ac:dyDescent="0.25">
      <c r="A1443">
        <v>1</v>
      </c>
      <c r="B1443" t="s">
        <v>223</v>
      </c>
      <c r="C1443">
        <f>IFERROR(COUNTIFS($A$1:A1443,"Câu "&amp;"*")-MID(A1443,5,FIND(".",A1443,1)-5),0)</f>
        <v>0</v>
      </c>
      <c r="D1443" t="str">
        <f t="shared" si="82"/>
        <v/>
      </c>
      <c r="E1443" t="str">
        <f>SUBSTITUTE(IF(LEFT(A1443,3)="Câu",MID(A1443,FIND(".",A1443,1)+2,LEN(A1443)),""),CHAR(34),CHAR(92)&amp;CHAR(34))</f>
        <v/>
      </c>
      <c r="F1443" t="str">
        <f t="shared" si="81"/>
        <v/>
      </c>
      <c r="G1443" t="str">
        <f>SUBSTITUTE(B1444,CHAR(34),CHAR(92)&amp;CHAR(34))</f>
        <v xml:space="preserve"> Không được phép.</v>
      </c>
      <c r="H1443" t="str">
        <f>SUBSTITUTE(B1445,CHAR(34),CHAR(92)&amp;CHAR(34))</f>
        <v/>
      </c>
      <c r="I1443" t="str">
        <f>SUBSTITUTE(IF(LEFT(A1446,3)="Câu","",B1446),CHAR(34),CHAR(92)&amp;CHAR(34))</f>
        <v>Biển 1 và biển 2.</v>
      </c>
      <c r="J1443" t="str">
        <f>SUBSTITUTE(IF(OR(LEFT(A1447,3)="Câu",I1443=""),"",IF(B1447=0,"",B1447)),CHAR(34),CHAR(92)&amp;CHAR(34))</f>
        <v xml:space="preserve"> Biển 1 và biển 3.</v>
      </c>
      <c r="K1443" t="str">
        <f>SUBSTITUTE(SUBSTITUTE(SUBSTITUTE(SUBSTITUTE(IFERROR(VLOOKUP("Câu "&amp;D1443&amp;".",dapan!$E:$J,6,0),""),"1","A"),"2","B"),"3","C"),"4","D")</f>
        <v/>
      </c>
      <c r="P1443" t="str">
        <f t="shared" si="79"/>
        <v/>
      </c>
      <c r="Q1443" t="str">
        <f t="shared" si="80"/>
        <v/>
      </c>
    </row>
    <row r="1444" spans="1:17" hidden="1" x14ac:dyDescent="0.25">
      <c r="A1444">
        <v>2</v>
      </c>
      <c r="B1444" t="s">
        <v>226</v>
      </c>
      <c r="C1444">
        <f>IFERROR(COUNTIFS($A$1:A1444,"Câu "&amp;"*")-MID(A1444,5,FIND(".",A1444,1)-5),0)</f>
        <v>0</v>
      </c>
      <c r="D1444" t="str">
        <f t="shared" si="82"/>
        <v/>
      </c>
      <c r="E1444" t="str">
        <f>SUBSTITUTE(IF(LEFT(A1444,3)="Câu",MID(A1444,FIND(".",A1444,1)+2,LEN(A1444)),""),CHAR(34),CHAR(92)&amp;CHAR(34))</f>
        <v/>
      </c>
      <c r="F1444" t="str">
        <f t="shared" si="81"/>
        <v/>
      </c>
      <c r="G1444" t="str">
        <f>SUBSTITUTE(B1445,CHAR(34),CHAR(92)&amp;CHAR(34))</f>
        <v/>
      </c>
      <c r="H1444" t="str">
        <f>SUBSTITUTE(B1446,CHAR(34),CHAR(92)&amp;CHAR(34))</f>
        <v>Biển 1 và biển 2.</v>
      </c>
      <c r="I1444" t="str">
        <f>SUBSTITUTE(IF(LEFT(A1447,3)="Câu","",B1447),CHAR(34),CHAR(92)&amp;CHAR(34))</f>
        <v xml:space="preserve"> Biển 1 và biển 3.</v>
      </c>
      <c r="J1444" t="str">
        <f>SUBSTITUTE(IF(OR(LEFT(A1448,3)="Câu",I1444=""),"",IF(B1448=0,"",B1448)),CHAR(34),CHAR(92)&amp;CHAR(34))</f>
        <v>Biển 2 và biển 3.</v>
      </c>
      <c r="K1444" t="str">
        <f>SUBSTITUTE(SUBSTITUTE(SUBSTITUTE(SUBSTITUTE(IFERROR(VLOOKUP("Câu "&amp;D1444&amp;".",dapan!$E:$J,6,0),""),"1","A"),"2","B"),"3","C"),"4","D")</f>
        <v/>
      </c>
      <c r="P1444" t="str">
        <f t="shared" si="79"/>
        <v/>
      </c>
      <c r="Q1444" t="str">
        <f t="shared" si="80"/>
        <v/>
      </c>
    </row>
    <row r="1445" spans="1:17" x14ac:dyDescent="0.25">
      <c r="A1445" t="s">
        <v>1152</v>
      </c>
      <c r="C1445">
        <f>IFERROR(COUNTIFS($A$1:A1445,"Câu "&amp;"*")-MID(A1445,5,FIND(".",A1445,1)-5),0)</f>
        <v>0</v>
      </c>
      <c r="D1445">
        <f t="shared" si="82"/>
        <v>349</v>
      </c>
      <c r="E1445" t="str">
        <f>SUBSTITUTE(IF(LEFT(A1445,3)="Câu",MID(A1445,FIND(".",A1445,1)+2,LEN(A1445)),""),CHAR(34),CHAR(92)&amp;CHAR(34))</f>
        <v>Biển nào xe mô tô hai bánh được đi vào?</v>
      </c>
      <c r="F1445" t="str">
        <f t="shared" si="81"/>
        <v>q349.jpg</v>
      </c>
      <c r="G1445" t="str">
        <f>SUBSTITUTE(B1446,CHAR(34),CHAR(92)&amp;CHAR(34))</f>
        <v>Biển 1 và biển 2.</v>
      </c>
      <c r="H1445" t="str">
        <f>SUBSTITUTE(B1447,CHAR(34),CHAR(92)&amp;CHAR(34))</f>
        <v xml:space="preserve"> Biển 1 và biển 3.</v>
      </c>
      <c r="I1445" t="str">
        <f>SUBSTITUTE(IF(LEFT(A1448,3)="Câu","",B1448),CHAR(34),CHAR(92)&amp;CHAR(34))</f>
        <v>Biển 2 và biển 3.</v>
      </c>
      <c r="J1445" t="str">
        <f>SUBSTITUTE(IF(OR(LEFT(A1449,3)="Câu",I1445=""),"",IF(B1449=0,"",B1449)),CHAR(34),CHAR(92)&amp;CHAR(34))</f>
        <v/>
      </c>
      <c r="K1445" t="str">
        <f ca="1">SUBSTITUTE(SUBSTITUTE(SUBSTITUTE(SUBSTITUTE(IFERROR(VLOOKUP("Câu "&amp;D1445&amp;".",dapan!$E:$J,6,0),""),"1","A"),"2","B"),"3","C"),"4","D")</f>
        <v>B</v>
      </c>
      <c r="P1445">
        <f t="shared" si="79"/>
        <v>349</v>
      </c>
      <c r="Q1445" t="str">
        <f t="shared" ca="1" si="80"/>
        <v>{"num":349,"id":349,"q":"Biển nào xe mô tô hai bánh được đi vào?","img":"q349.jpg","opts":{"A":"Biển 1 và biển 2.","B":" Biển 1 và biển 3.","C":"Biển 2 và biển 3."},"answer":"B"},</v>
      </c>
    </row>
    <row r="1446" spans="1:17" hidden="1" x14ac:dyDescent="0.25">
      <c r="A1446">
        <v>1</v>
      </c>
      <c r="B1446" t="s">
        <v>1086</v>
      </c>
      <c r="C1446">
        <f>IFERROR(COUNTIFS($A$1:A1446,"Câu "&amp;"*")-MID(A1446,5,FIND(".",A1446,1)-5),0)</f>
        <v>0</v>
      </c>
      <c r="D1446" t="str">
        <f t="shared" si="82"/>
        <v/>
      </c>
      <c r="E1446" t="str">
        <f>SUBSTITUTE(IF(LEFT(A1446,3)="Câu",MID(A1446,FIND(".",A1446,1)+2,LEN(A1446)),""),CHAR(34),CHAR(92)&amp;CHAR(34))</f>
        <v/>
      </c>
      <c r="F1446" t="str">
        <f t="shared" si="81"/>
        <v/>
      </c>
      <c r="G1446" t="str">
        <f>SUBSTITUTE(B1447,CHAR(34),CHAR(92)&amp;CHAR(34))</f>
        <v xml:space="preserve"> Biển 1 và biển 3.</v>
      </c>
      <c r="H1446" t="str">
        <f>SUBSTITUTE(B1448,CHAR(34),CHAR(92)&amp;CHAR(34))</f>
        <v>Biển 2 và biển 3.</v>
      </c>
      <c r="I1446" t="str">
        <f>SUBSTITUTE(IF(LEFT(A1449,3)="Câu","",B1449),CHAR(34),CHAR(92)&amp;CHAR(34))</f>
        <v/>
      </c>
      <c r="J1446" t="str">
        <f>SUBSTITUTE(IF(OR(LEFT(A1450,3)="Câu",I1446=""),"",IF(B1450=0,"",B1450)),CHAR(34),CHAR(92)&amp;CHAR(34))</f>
        <v/>
      </c>
      <c r="K1446" t="str">
        <f>SUBSTITUTE(SUBSTITUTE(SUBSTITUTE(SUBSTITUTE(IFERROR(VLOOKUP("Câu "&amp;D1446&amp;".",dapan!$E:$J,6,0),""),"1","A"),"2","B"),"3","C"),"4","D")</f>
        <v/>
      </c>
      <c r="P1446" t="str">
        <f t="shared" si="79"/>
        <v/>
      </c>
      <c r="Q1446" t="str">
        <f t="shared" si="80"/>
        <v/>
      </c>
    </row>
    <row r="1447" spans="1:17" hidden="1" x14ac:dyDescent="0.25">
      <c r="A1447">
        <v>2</v>
      </c>
      <c r="B1447" t="s">
        <v>1088</v>
      </c>
      <c r="C1447">
        <f>IFERROR(COUNTIFS($A$1:A1447,"Câu "&amp;"*")-MID(A1447,5,FIND(".",A1447,1)-5),0)</f>
        <v>0</v>
      </c>
      <c r="D1447" t="str">
        <f t="shared" si="82"/>
        <v/>
      </c>
      <c r="E1447" t="str">
        <f>SUBSTITUTE(IF(LEFT(A1447,3)="Câu",MID(A1447,FIND(".",A1447,1)+2,LEN(A1447)),""),CHAR(34),CHAR(92)&amp;CHAR(34))</f>
        <v/>
      </c>
      <c r="F1447" t="str">
        <f t="shared" si="81"/>
        <v/>
      </c>
      <c r="G1447" t="str">
        <f>SUBSTITUTE(B1448,CHAR(34),CHAR(92)&amp;CHAR(34))</f>
        <v>Biển 2 và biển 3.</v>
      </c>
      <c r="H1447" t="str">
        <f>SUBSTITUTE(B1449,CHAR(34),CHAR(92)&amp;CHAR(34))</f>
        <v/>
      </c>
      <c r="I1447" t="str">
        <f>SUBSTITUTE(IF(LEFT(A1450,3)="Câu","",B1450),CHAR(34),CHAR(92)&amp;CHAR(34))</f>
        <v>Biển 1.</v>
      </c>
      <c r="J1447" t="str">
        <f>SUBSTITUTE(IF(OR(LEFT(A1451,3)="Câu",I1447=""),"",IF(B1451=0,"",B1451)),CHAR(34),CHAR(92)&amp;CHAR(34))</f>
        <v xml:space="preserve"> Biển 2.</v>
      </c>
      <c r="K1447" t="str">
        <f>SUBSTITUTE(SUBSTITUTE(SUBSTITUTE(SUBSTITUTE(IFERROR(VLOOKUP("Câu "&amp;D1447&amp;".",dapan!$E:$J,6,0),""),"1","A"),"2","B"),"3","C"),"4","D")</f>
        <v/>
      </c>
      <c r="P1447" t="str">
        <f t="shared" si="79"/>
        <v/>
      </c>
      <c r="Q1447" t="str">
        <f t="shared" si="80"/>
        <v/>
      </c>
    </row>
    <row r="1448" spans="1:17" hidden="1" x14ac:dyDescent="0.25">
      <c r="A1448">
        <v>3</v>
      </c>
      <c r="B1448" t="s">
        <v>1072</v>
      </c>
      <c r="C1448">
        <f>IFERROR(COUNTIFS($A$1:A1448,"Câu "&amp;"*")-MID(A1448,5,FIND(".",A1448,1)-5),0)</f>
        <v>0</v>
      </c>
      <c r="D1448" t="str">
        <f t="shared" si="82"/>
        <v/>
      </c>
      <c r="E1448" t="str">
        <f>SUBSTITUTE(IF(LEFT(A1448,3)="Câu",MID(A1448,FIND(".",A1448,1)+2,LEN(A1448)),""),CHAR(34),CHAR(92)&amp;CHAR(34))</f>
        <v/>
      </c>
      <c r="F1448" t="str">
        <f t="shared" si="81"/>
        <v/>
      </c>
      <c r="G1448" t="str">
        <f>SUBSTITUTE(B1449,CHAR(34),CHAR(92)&amp;CHAR(34))</f>
        <v/>
      </c>
      <c r="H1448" t="str">
        <f>SUBSTITUTE(B1450,CHAR(34),CHAR(92)&amp;CHAR(34))</f>
        <v>Biển 1.</v>
      </c>
      <c r="I1448" t="str">
        <f>SUBSTITUTE(IF(LEFT(A1451,3)="Câu","",B1451),CHAR(34),CHAR(92)&amp;CHAR(34))</f>
        <v xml:space="preserve"> Biển 2.</v>
      </c>
      <c r="J1448" t="str">
        <f>SUBSTITUTE(IF(OR(LEFT(A1452,3)="Câu",I1448=""),"",IF(B1452=0,"",B1452)),CHAR(34),CHAR(92)&amp;CHAR(34))</f>
        <v>Biển 3.</v>
      </c>
      <c r="K1448" t="str">
        <f>SUBSTITUTE(SUBSTITUTE(SUBSTITUTE(SUBSTITUTE(IFERROR(VLOOKUP("Câu "&amp;D1448&amp;".",dapan!$E:$J,6,0),""),"1","A"),"2","B"),"3","C"),"4","D")</f>
        <v/>
      </c>
      <c r="P1448" t="str">
        <f t="shared" si="79"/>
        <v/>
      </c>
      <c r="Q1448" t="str">
        <f t="shared" si="80"/>
        <v/>
      </c>
    </row>
    <row r="1449" spans="1:17" x14ac:dyDescent="0.25">
      <c r="A1449" t="s">
        <v>1153</v>
      </c>
      <c r="C1449">
        <f>IFERROR(COUNTIFS($A$1:A1449,"Câu "&amp;"*")-MID(A1449,5,FIND(".",A1449,1)-5),0)</f>
        <v>0</v>
      </c>
      <c r="D1449">
        <f t="shared" si="82"/>
        <v>350</v>
      </c>
      <c r="E1449" t="str">
        <f>SUBSTITUTE(IF(LEFT(A1449,3)="Câu",MID(A1449,FIND(".",A1449,1)+2,LEN(A1449)),""),CHAR(34),CHAR(92)&amp;CHAR(34))</f>
        <v>Biển nào xe mô tô hai bánh không được đi vào?</v>
      </c>
      <c r="F1449" t="str">
        <f t="shared" si="81"/>
        <v>q350.jpg</v>
      </c>
      <c r="G1449" t="str">
        <f>SUBSTITUTE(B1450,CHAR(34),CHAR(92)&amp;CHAR(34))</f>
        <v>Biển 1.</v>
      </c>
      <c r="H1449" t="str">
        <f>SUBSTITUTE(B1451,CHAR(34),CHAR(92)&amp;CHAR(34))</f>
        <v xml:space="preserve"> Biển 2.</v>
      </c>
      <c r="I1449" t="str">
        <f>SUBSTITUTE(IF(LEFT(A1452,3)="Câu","",B1452),CHAR(34),CHAR(92)&amp;CHAR(34))</f>
        <v>Biển 3.</v>
      </c>
      <c r="J1449" t="str">
        <f>SUBSTITUTE(IF(OR(LEFT(A1453,3)="Câu",I1449=""),"",IF(B1453=0,"",B1453)),CHAR(34),CHAR(92)&amp;CHAR(34))</f>
        <v/>
      </c>
      <c r="K1449" t="str">
        <f ca="1">SUBSTITUTE(SUBSTITUTE(SUBSTITUTE(SUBSTITUTE(IFERROR(VLOOKUP("Câu "&amp;D1449&amp;".",dapan!$E:$J,6,0),""),"1","A"),"2","B"),"3","C"),"4","D")</f>
        <v>B</v>
      </c>
      <c r="P1449">
        <f t="shared" si="79"/>
        <v>350</v>
      </c>
      <c r="Q1449" t="str">
        <f t="shared" ca="1" si="80"/>
        <v>{"num":350,"id":350,"q":"Biển nào xe mô tô hai bánh không được đi vào?","img":"q350.jpg","opts":{"A":"Biển 1.","B":" Biển 2.","C":"Biển 3."},"answer":"B"},</v>
      </c>
    </row>
    <row r="1450" spans="1:17" hidden="1" x14ac:dyDescent="0.25">
      <c r="A1450">
        <v>1</v>
      </c>
      <c r="B1450" t="s">
        <v>1075</v>
      </c>
      <c r="C1450">
        <f>IFERROR(COUNTIFS($A$1:A1450,"Câu "&amp;"*")-MID(A1450,5,FIND(".",A1450,1)-5),0)</f>
        <v>0</v>
      </c>
      <c r="D1450" t="str">
        <f t="shared" si="82"/>
        <v/>
      </c>
      <c r="E1450" t="str">
        <f>SUBSTITUTE(IF(LEFT(A1450,3)="Câu",MID(A1450,FIND(".",A1450,1)+2,LEN(A1450)),""),CHAR(34),CHAR(92)&amp;CHAR(34))</f>
        <v/>
      </c>
      <c r="F1450" t="str">
        <f t="shared" si="81"/>
        <v/>
      </c>
      <c r="G1450" t="str">
        <f>SUBSTITUTE(B1451,CHAR(34),CHAR(92)&amp;CHAR(34))</f>
        <v xml:space="preserve"> Biển 2.</v>
      </c>
      <c r="H1450" t="str">
        <f>SUBSTITUTE(B1452,CHAR(34),CHAR(92)&amp;CHAR(34))</f>
        <v>Biển 3.</v>
      </c>
      <c r="I1450" t="str">
        <f>SUBSTITUTE(IF(LEFT(A1453,3)="Câu","",B1453),CHAR(34),CHAR(92)&amp;CHAR(34))</f>
        <v/>
      </c>
      <c r="J1450" t="str">
        <f>SUBSTITUTE(IF(OR(LEFT(A1454,3)="Câu",I1450=""),"",IF(B1454=0,"",B1454)),CHAR(34),CHAR(92)&amp;CHAR(34))</f>
        <v/>
      </c>
      <c r="K1450" t="str">
        <f>SUBSTITUTE(SUBSTITUTE(SUBSTITUTE(SUBSTITUTE(IFERROR(VLOOKUP("Câu "&amp;D1450&amp;".",dapan!$E:$J,6,0),""),"1","A"),"2","B"),"3","C"),"4","D")</f>
        <v/>
      </c>
      <c r="P1450" t="str">
        <f t="shared" si="79"/>
        <v/>
      </c>
      <c r="Q1450" t="str">
        <f t="shared" si="80"/>
        <v/>
      </c>
    </row>
    <row r="1451" spans="1:17" hidden="1" x14ac:dyDescent="0.25">
      <c r="A1451">
        <v>2</v>
      </c>
      <c r="B1451" t="s">
        <v>1090</v>
      </c>
      <c r="C1451">
        <f>IFERROR(COUNTIFS($A$1:A1451,"Câu "&amp;"*")-MID(A1451,5,FIND(".",A1451,1)-5),0)</f>
        <v>0</v>
      </c>
      <c r="D1451" t="str">
        <f t="shared" si="82"/>
        <v/>
      </c>
      <c r="E1451" t="str">
        <f>SUBSTITUTE(IF(LEFT(A1451,3)="Câu",MID(A1451,FIND(".",A1451,1)+2,LEN(A1451)),""),CHAR(34),CHAR(92)&amp;CHAR(34))</f>
        <v/>
      </c>
      <c r="F1451" t="str">
        <f t="shared" si="81"/>
        <v/>
      </c>
      <c r="G1451" t="str">
        <f>SUBSTITUTE(B1452,CHAR(34),CHAR(92)&amp;CHAR(34))</f>
        <v>Biển 3.</v>
      </c>
      <c r="H1451" t="str">
        <f>SUBSTITUTE(B1453,CHAR(34),CHAR(92)&amp;CHAR(34))</f>
        <v/>
      </c>
      <c r="I1451" t="str">
        <f>SUBSTITUTE(IF(LEFT(A1454,3)="Câu","",B1454),CHAR(34),CHAR(92)&amp;CHAR(34))</f>
        <v xml:space="preserve"> Cấm các loại xe ở biển phụ đi vào.</v>
      </c>
      <c r="J1451" t="str">
        <f>SUBSTITUTE(IF(OR(LEFT(A1455,3)="Câu",I1451=""),"",IF(B1455=0,"",B1455)),CHAR(34),CHAR(92)&amp;CHAR(34))</f>
        <v>Cấm các loại xe cơ giới đi vào trừ loại xe ở biển phụ.</v>
      </c>
      <c r="K1451" t="str">
        <f>SUBSTITUTE(SUBSTITUTE(SUBSTITUTE(SUBSTITUTE(IFERROR(VLOOKUP("Câu "&amp;D1451&amp;".",dapan!$E:$J,6,0),""),"1","A"),"2","B"),"3","C"),"4","D")</f>
        <v/>
      </c>
      <c r="P1451" t="str">
        <f t="shared" si="79"/>
        <v/>
      </c>
      <c r="Q1451" t="str">
        <f t="shared" si="80"/>
        <v/>
      </c>
    </row>
    <row r="1452" spans="1:17" hidden="1" x14ac:dyDescent="0.25">
      <c r="A1452">
        <v>3</v>
      </c>
      <c r="B1452" t="s">
        <v>1083</v>
      </c>
      <c r="C1452">
        <f>IFERROR(COUNTIFS($A$1:A1452,"Câu "&amp;"*")-MID(A1452,5,FIND(".",A1452,1)-5),0)</f>
        <v>0</v>
      </c>
      <c r="D1452" t="str">
        <f t="shared" si="82"/>
        <v/>
      </c>
      <c r="E1452" t="str">
        <f>SUBSTITUTE(IF(LEFT(A1452,3)="Câu",MID(A1452,FIND(".",A1452,1)+2,LEN(A1452)),""),CHAR(34),CHAR(92)&amp;CHAR(34))</f>
        <v/>
      </c>
      <c r="F1452" t="str">
        <f t="shared" si="81"/>
        <v/>
      </c>
      <c r="G1452" t="str">
        <f>SUBSTITUTE(B1453,CHAR(34),CHAR(92)&amp;CHAR(34))</f>
        <v/>
      </c>
      <c r="H1452" t="str">
        <f>SUBSTITUTE(B1454,CHAR(34),CHAR(92)&amp;CHAR(34))</f>
        <v xml:space="preserve"> Cấm các loại xe ở biển phụ đi vào.</v>
      </c>
      <c r="I1452" t="str">
        <f>SUBSTITUTE(IF(LEFT(A1455,3)="Câu","",B1455),CHAR(34),CHAR(92)&amp;CHAR(34))</f>
        <v>Cấm các loại xe cơ giới đi vào trừ loại xe ở biển phụ.</v>
      </c>
      <c r="J1452" t="str">
        <f>SUBSTITUTE(IF(OR(LEFT(A1456,3)="Câu",I1452=""),"",IF(B1456=0,"",B1456)),CHAR(34),CHAR(92)&amp;CHAR(34))</f>
        <v/>
      </c>
      <c r="K1452" t="str">
        <f>SUBSTITUTE(SUBSTITUTE(SUBSTITUTE(SUBSTITUTE(IFERROR(VLOOKUP("Câu "&amp;D1452&amp;".",dapan!$E:$J,6,0),""),"1","A"),"2","B"),"3","C"),"4","D")</f>
        <v/>
      </c>
      <c r="P1452" t="str">
        <f t="shared" si="79"/>
        <v/>
      </c>
      <c r="Q1452" t="str">
        <f t="shared" si="80"/>
        <v/>
      </c>
    </row>
    <row r="1453" spans="1:17" x14ac:dyDescent="0.25">
      <c r="A1453" t="s">
        <v>1154</v>
      </c>
      <c r="C1453">
        <f>IFERROR(COUNTIFS($A$1:A1453,"Câu "&amp;"*")-MID(A1453,5,FIND(".",A1453,1)-5),0)</f>
        <v>0</v>
      </c>
      <c r="D1453">
        <f t="shared" si="82"/>
        <v>351</v>
      </c>
      <c r="E1453" t="str">
        <f>SUBSTITUTE(IF(LEFT(A1453,3)="Câu",MID(A1453,FIND(".",A1453,1)+2,LEN(A1453)),""),CHAR(34),CHAR(92)&amp;CHAR(34))</f>
        <v>Ba biển này có hiệu lực như thế nào?</v>
      </c>
      <c r="F1453" t="str">
        <f t="shared" si="81"/>
        <v>q351.jpg</v>
      </c>
      <c r="G1453" t="str">
        <f>SUBSTITUTE(B1454,CHAR(34),CHAR(92)&amp;CHAR(34))</f>
        <v xml:space="preserve"> Cấm các loại xe ở biển phụ đi vào.</v>
      </c>
      <c r="H1453" t="str">
        <f>SUBSTITUTE(B1455,CHAR(34),CHAR(92)&amp;CHAR(34))</f>
        <v>Cấm các loại xe cơ giới đi vào trừ loại xe ở biển phụ.</v>
      </c>
      <c r="I1453" t="str">
        <f>SUBSTITUTE(IF(LEFT(A1456,3)="Câu","",B1456),CHAR(34),CHAR(92)&amp;CHAR(34))</f>
        <v/>
      </c>
      <c r="J1453" t="str">
        <f>SUBSTITUTE(IF(OR(LEFT(A1457,3)="Câu",I1453=""),"",IF(B1457=0,"",B1457)),CHAR(34),CHAR(92)&amp;CHAR(34))</f>
        <v/>
      </c>
      <c r="K1453" t="str">
        <f ca="1">SUBSTITUTE(SUBSTITUTE(SUBSTITUTE(SUBSTITUTE(IFERROR(VLOOKUP("Câu "&amp;D1453&amp;".",dapan!$E:$J,6,0),""),"1","A"),"2","B"),"3","C"),"4","D")</f>
        <v>A</v>
      </c>
      <c r="P1453">
        <f t="shared" si="79"/>
        <v>351</v>
      </c>
      <c r="Q1453" t="str">
        <f t="shared" ca="1" si="80"/>
        <v>{"num":351,"id":351,"q":"Ba biển này có hiệu lực như thế nào?","img":"q351.jpg","opts":{"A":" Cấm các loại xe ở biển phụ đi vào.","B":"Cấm các loại xe cơ giới đi vào trừ loại xe ở biển phụ."},"answer":"A"},</v>
      </c>
    </row>
    <row r="1454" spans="1:17" hidden="1" x14ac:dyDescent="0.25">
      <c r="A1454">
        <v>1</v>
      </c>
      <c r="B1454" t="s">
        <v>1155</v>
      </c>
      <c r="C1454">
        <f>IFERROR(COUNTIFS($A$1:A1454,"Câu "&amp;"*")-MID(A1454,5,FIND(".",A1454,1)-5),0)</f>
        <v>0</v>
      </c>
      <c r="D1454" t="str">
        <f t="shared" si="82"/>
        <v/>
      </c>
      <c r="E1454" t="str">
        <f>SUBSTITUTE(IF(LEFT(A1454,3)="Câu",MID(A1454,FIND(".",A1454,1)+2,LEN(A1454)),""),CHAR(34),CHAR(92)&amp;CHAR(34))</f>
        <v/>
      </c>
      <c r="F1454" t="str">
        <f t="shared" si="81"/>
        <v/>
      </c>
      <c r="G1454" t="str">
        <f>SUBSTITUTE(B1455,CHAR(34),CHAR(92)&amp;CHAR(34))</f>
        <v>Cấm các loại xe cơ giới đi vào trừ loại xe ở biển phụ.</v>
      </c>
      <c r="H1454" t="str">
        <f>SUBSTITUTE(B1456,CHAR(34),CHAR(92)&amp;CHAR(34))</f>
        <v/>
      </c>
      <c r="I1454" t="str">
        <f>SUBSTITUTE(IF(LEFT(A1457,3)="Câu","",B1457),CHAR(34),CHAR(92)&amp;CHAR(34))</f>
        <v>Biển 1.</v>
      </c>
      <c r="J1454" t="str">
        <f>SUBSTITUTE(IF(OR(LEFT(A1458,3)="Câu",I1454=""),"",IF(B1458=0,"",B1458)),CHAR(34),CHAR(92)&amp;CHAR(34))</f>
        <v>Biển 2.</v>
      </c>
      <c r="K1454" t="str">
        <f>SUBSTITUTE(SUBSTITUTE(SUBSTITUTE(SUBSTITUTE(IFERROR(VLOOKUP("Câu "&amp;D1454&amp;".",dapan!$E:$J,6,0),""),"1","A"),"2","B"),"3","C"),"4","D")</f>
        <v/>
      </c>
      <c r="P1454" t="str">
        <f t="shared" si="79"/>
        <v/>
      </c>
      <c r="Q1454" t="str">
        <f t="shared" si="80"/>
        <v/>
      </c>
    </row>
    <row r="1455" spans="1:17" hidden="1" x14ac:dyDescent="0.25">
      <c r="A1455">
        <v>2</v>
      </c>
      <c r="B1455" t="s">
        <v>1156</v>
      </c>
      <c r="C1455">
        <f>IFERROR(COUNTIFS($A$1:A1455,"Câu "&amp;"*")-MID(A1455,5,FIND(".",A1455,1)-5),0)</f>
        <v>0</v>
      </c>
      <c r="D1455" t="str">
        <f t="shared" si="82"/>
        <v/>
      </c>
      <c r="E1455" t="str">
        <f>SUBSTITUTE(IF(LEFT(A1455,3)="Câu",MID(A1455,FIND(".",A1455,1)+2,LEN(A1455)),""),CHAR(34),CHAR(92)&amp;CHAR(34))</f>
        <v/>
      </c>
      <c r="F1455" t="str">
        <f t="shared" si="81"/>
        <v/>
      </c>
      <c r="G1455" t="str">
        <f>SUBSTITUTE(B1456,CHAR(34),CHAR(92)&amp;CHAR(34))</f>
        <v/>
      </c>
      <c r="H1455" t="str">
        <f>SUBSTITUTE(B1457,CHAR(34),CHAR(92)&amp;CHAR(34))</f>
        <v>Biển 1.</v>
      </c>
      <c r="I1455" t="str">
        <f>SUBSTITUTE(IF(LEFT(A1458,3)="Câu","",B1458),CHAR(34),CHAR(92)&amp;CHAR(34))</f>
        <v>Biển 2.</v>
      </c>
      <c r="J1455" t="str">
        <f>SUBSTITUTE(IF(OR(LEFT(A1459,3)="Câu",I1455=""),"",IF(B1459=0,"",B1459)),CHAR(34),CHAR(92)&amp;CHAR(34))</f>
        <v>Cả hai biển.</v>
      </c>
      <c r="K1455" t="str">
        <f>SUBSTITUTE(SUBSTITUTE(SUBSTITUTE(SUBSTITUTE(IFERROR(VLOOKUP("Câu "&amp;D1455&amp;".",dapan!$E:$J,6,0),""),"1","A"),"2","B"),"3","C"),"4","D")</f>
        <v/>
      </c>
      <c r="P1455" t="str">
        <f t="shared" si="79"/>
        <v/>
      </c>
      <c r="Q1455" t="str">
        <f t="shared" si="80"/>
        <v/>
      </c>
    </row>
    <row r="1456" spans="1:17" x14ac:dyDescent="0.25">
      <c r="A1456" t="s">
        <v>1157</v>
      </c>
      <c r="C1456">
        <f>IFERROR(COUNTIFS($A$1:A1456,"Câu "&amp;"*")-MID(A1456,5,FIND(".",A1456,1)-5),0)</f>
        <v>0</v>
      </c>
      <c r="D1456">
        <f t="shared" si="82"/>
        <v>352</v>
      </c>
      <c r="E1456" t="str">
        <f>SUBSTITUTE(IF(LEFT(A1456,3)="Câu",MID(A1456,FIND(".",A1456,1)+2,LEN(A1456)),""),CHAR(34),CHAR(92)&amp;CHAR(34))</f>
        <v>Biển nào báo hiệu chiều dài đoạn đường phải giữ cự ly tối thiểu giữa hai xe?</v>
      </c>
      <c r="F1456" t="str">
        <f t="shared" si="81"/>
        <v>q352.jpg</v>
      </c>
      <c r="G1456" t="str">
        <f>SUBSTITUTE(B1457,CHAR(34),CHAR(92)&amp;CHAR(34))</f>
        <v>Biển 1.</v>
      </c>
      <c r="H1456" t="str">
        <f>SUBSTITUTE(B1458,CHAR(34),CHAR(92)&amp;CHAR(34))</f>
        <v>Biển 2.</v>
      </c>
      <c r="I1456" t="str">
        <f>SUBSTITUTE(IF(LEFT(A1459,3)="Câu","",B1459),CHAR(34),CHAR(92)&amp;CHAR(34))</f>
        <v>Cả hai biển.</v>
      </c>
      <c r="J1456" t="str">
        <f>SUBSTITUTE(IF(OR(LEFT(A1460,3)="Câu",I1456=""),"",IF(B1460=0,"",B1460)),CHAR(34),CHAR(92)&amp;CHAR(34))</f>
        <v/>
      </c>
      <c r="K1456" t="str">
        <f ca="1">SUBSTITUTE(SUBSTITUTE(SUBSTITUTE(SUBSTITUTE(IFERROR(VLOOKUP("Câu "&amp;D1456&amp;".",dapan!$E:$J,6,0),""),"1","A"),"2","B"),"3","C"),"4","D")</f>
        <v>A</v>
      </c>
      <c r="P1456">
        <f t="shared" si="79"/>
        <v>352</v>
      </c>
      <c r="Q1456" t="str">
        <f t="shared" ca="1" si="80"/>
        <v>{"num":352,"id":352,"q":"Biển nào báo hiệu chiều dài đoạn đường phải giữ cự ly tối thiểu giữa hai xe?","img":"q352.jpg","opts":{"A":"Biển 1.","B":"Biển 2.","C":"Cả hai biển."},"answer":"A"},</v>
      </c>
    </row>
    <row r="1457" spans="1:17" hidden="1" x14ac:dyDescent="0.25">
      <c r="A1457">
        <v>1</v>
      </c>
      <c r="B1457" t="s">
        <v>1075</v>
      </c>
      <c r="C1457">
        <f>IFERROR(COUNTIFS($A$1:A1457,"Câu "&amp;"*")-MID(A1457,5,FIND(".",A1457,1)-5),0)</f>
        <v>0</v>
      </c>
      <c r="D1457" t="str">
        <f t="shared" si="82"/>
        <v/>
      </c>
      <c r="E1457" t="str">
        <f>SUBSTITUTE(IF(LEFT(A1457,3)="Câu",MID(A1457,FIND(".",A1457,1)+2,LEN(A1457)),""),CHAR(34),CHAR(92)&amp;CHAR(34))</f>
        <v/>
      </c>
      <c r="F1457" t="str">
        <f t="shared" si="81"/>
        <v/>
      </c>
      <c r="G1457" t="str">
        <f>SUBSTITUTE(B1458,CHAR(34),CHAR(92)&amp;CHAR(34))</f>
        <v>Biển 2.</v>
      </c>
      <c r="H1457" t="str">
        <f>SUBSTITUTE(B1459,CHAR(34),CHAR(92)&amp;CHAR(34))</f>
        <v>Cả hai biển.</v>
      </c>
      <c r="I1457" t="str">
        <f>SUBSTITUTE(IF(LEFT(A1460,3)="Câu","",B1460),CHAR(34),CHAR(92)&amp;CHAR(34))</f>
        <v/>
      </c>
      <c r="J1457" t="str">
        <f>SUBSTITUTE(IF(OR(LEFT(A1461,3)="Câu",I1457=""),"",IF(B1461=0,"",B1461)),CHAR(34),CHAR(92)&amp;CHAR(34))</f>
        <v/>
      </c>
      <c r="K1457" t="str">
        <f>SUBSTITUTE(SUBSTITUTE(SUBSTITUTE(SUBSTITUTE(IFERROR(VLOOKUP("Câu "&amp;D1457&amp;".",dapan!$E:$J,6,0),""),"1","A"),"2","B"),"3","C"),"4","D")</f>
        <v/>
      </c>
      <c r="P1457" t="str">
        <f t="shared" si="79"/>
        <v/>
      </c>
      <c r="Q1457" t="str">
        <f t="shared" si="80"/>
        <v/>
      </c>
    </row>
    <row r="1458" spans="1:17" hidden="1" x14ac:dyDescent="0.25">
      <c r="A1458">
        <v>2</v>
      </c>
      <c r="B1458" t="s">
        <v>1068</v>
      </c>
      <c r="C1458">
        <f>IFERROR(COUNTIFS($A$1:A1458,"Câu "&amp;"*")-MID(A1458,5,FIND(".",A1458,1)-5),0)</f>
        <v>0</v>
      </c>
      <c r="D1458" t="str">
        <f t="shared" si="82"/>
        <v/>
      </c>
      <c r="E1458" t="str">
        <f>SUBSTITUTE(IF(LEFT(A1458,3)="Câu",MID(A1458,FIND(".",A1458,1)+2,LEN(A1458)),""),CHAR(34),CHAR(92)&amp;CHAR(34))</f>
        <v/>
      </c>
      <c r="F1458" t="str">
        <f t="shared" si="81"/>
        <v/>
      </c>
      <c r="G1458" t="str">
        <f>SUBSTITUTE(B1459,CHAR(34),CHAR(92)&amp;CHAR(34))</f>
        <v>Cả hai biển.</v>
      </c>
      <c r="H1458" t="str">
        <f>SUBSTITUTE(B1460,CHAR(34),CHAR(92)&amp;CHAR(34))</f>
        <v/>
      </c>
      <c r="I1458" t="str">
        <f>SUBSTITUTE(IF(LEFT(A1461,3)="Câu","",B1461),CHAR(34),CHAR(92)&amp;CHAR(34))</f>
        <v>Biển 1.</v>
      </c>
      <c r="J1458" t="str">
        <f>SUBSTITUTE(IF(OR(LEFT(A1462,3)="Câu",I1458=""),"",IF(B1462=0,"",B1462)),CHAR(34),CHAR(92)&amp;CHAR(34))</f>
        <v xml:space="preserve"> Biển 2.</v>
      </c>
      <c r="K1458" t="str">
        <f>SUBSTITUTE(SUBSTITUTE(SUBSTITUTE(SUBSTITUTE(IFERROR(VLOOKUP("Câu "&amp;D1458&amp;".",dapan!$E:$J,6,0),""),"1","A"),"2","B"),"3","C"),"4","D")</f>
        <v/>
      </c>
      <c r="P1458" t="str">
        <f t="shared" si="79"/>
        <v/>
      </c>
      <c r="Q1458" t="str">
        <f t="shared" si="80"/>
        <v/>
      </c>
    </row>
    <row r="1459" spans="1:17" hidden="1" x14ac:dyDescent="0.25">
      <c r="A1459">
        <v>3</v>
      </c>
      <c r="B1459" t="s">
        <v>1095</v>
      </c>
      <c r="C1459">
        <f>IFERROR(COUNTIFS($A$1:A1459,"Câu "&amp;"*")-MID(A1459,5,FIND(".",A1459,1)-5),0)</f>
        <v>0</v>
      </c>
      <c r="D1459" t="str">
        <f t="shared" si="82"/>
        <v/>
      </c>
      <c r="E1459" t="str">
        <f>SUBSTITUTE(IF(LEFT(A1459,3)="Câu",MID(A1459,FIND(".",A1459,1)+2,LEN(A1459)),""),CHAR(34),CHAR(92)&amp;CHAR(34))</f>
        <v/>
      </c>
      <c r="F1459" t="str">
        <f t="shared" si="81"/>
        <v/>
      </c>
      <c r="G1459" t="str">
        <f>SUBSTITUTE(B1460,CHAR(34),CHAR(92)&amp;CHAR(34))</f>
        <v/>
      </c>
      <c r="H1459" t="str">
        <f>SUBSTITUTE(B1461,CHAR(34),CHAR(92)&amp;CHAR(34))</f>
        <v>Biển 1.</v>
      </c>
      <c r="I1459" t="str">
        <f>SUBSTITUTE(IF(LEFT(A1462,3)="Câu","",B1462),CHAR(34),CHAR(92)&amp;CHAR(34))</f>
        <v xml:space="preserve"> Biển 2.</v>
      </c>
      <c r="J1459" t="str">
        <f>SUBSTITUTE(IF(OR(LEFT(A1463,3)="Câu",I1459=""),"",IF(B1463=0,"",B1463)),CHAR(34),CHAR(92)&amp;CHAR(34))</f>
        <v>Cả hai biển.</v>
      </c>
      <c r="K1459" t="str">
        <f>SUBSTITUTE(SUBSTITUTE(SUBSTITUTE(SUBSTITUTE(IFERROR(VLOOKUP("Câu "&amp;D1459&amp;".",dapan!$E:$J,6,0),""),"1","A"),"2","B"),"3","C"),"4","D")</f>
        <v/>
      </c>
      <c r="P1459" t="str">
        <f t="shared" si="79"/>
        <v/>
      </c>
      <c r="Q1459" t="str">
        <f t="shared" si="80"/>
        <v/>
      </c>
    </row>
    <row r="1460" spans="1:17" x14ac:dyDescent="0.25">
      <c r="A1460" t="s">
        <v>1160</v>
      </c>
      <c r="C1460">
        <f>IFERROR(COUNTIFS($A$1:A1460,"Câu "&amp;"*")-MID(A1460,5,FIND(".",A1460,1)-5),0)</f>
        <v>0</v>
      </c>
      <c r="D1460">
        <f t="shared" si="82"/>
        <v>353</v>
      </c>
      <c r="E1460" t="str">
        <f>SUBSTITUTE(IF(LEFT(A1460,3)="Câu",MID(A1460,FIND(".",A1460,1)+2,LEN(A1460)),""),CHAR(34),CHAR(92)&amp;CHAR(34))</f>
        <v>Biển nào báo hiệu khoảng cách thực tế từ nơi đặt biển đến nơi cần cự ly tối thiểu giữa hai xe?</v>
      </c>
      <c r="F1460" t="str">
        <f t="shared" si="81"/>
        <v>q353.jpg</v>
      </c>
      <c r="G1460" t="str">
        <f>SUBSTITUTE(B1461,CHAR(34),CHAR(92)&amp;CHAR(34))</f>
        <v>Biển 1.</v>
      </c>
      <c r="H1460" t="str">
        <f>SUBSTITUTE(B1462,CHAR(34),CHAR(92)&amp;CHAR(34))</f>
        <v xml:space="preserve"> Biển 2.</v>
      </c>
      <c r="I1460" t="str">
        <f>SUBSTITUTE(IF(LEFT(A1463,3)="Câu","",B1463),CHAR(34),CHAR(92)&amp;CHAR(34))</f>
        <v>Cả hai biển.</v>
      </c>
      <c r="J1460" t="str">
        <f>SUBSTITUTE(IF(OR(LEFT(A1464,3)="Câu",I1460=""),"",IF(B1464=0,"",B1464)),CHAR(34),CHAR(92)&amp;CHAR(34))</f>
        <v/>
      </c>
      <c r="K1460" t="str">
        <f ca="1">SUBSTITUTE(SUBSTITUTE(SUBSTITUTE(SUBSTITUTE(IFERROR(VLOOKUP("Câu "&amp;D1460&amp;".",dapan!$E:$J,6,0),""),"1","A"),"2","B"),"3","C"),"4","D")</f>
        <v>B</v>
      </c>
      <c r="P1460">
        <f t="shared" si="79"/>
        <v>353</v>
      </c>
      <c r="Q1460" t="str">
        <f t="shared" ca="1" si="80"/>
        <v>{"num":353,"id":353,"q":"Biển nào báo hiệu khoảng cách thực tế từ nơi đặt biển đến nơi cần cự ly tối thiểu giữa hai xe?","img":"q353.jpg","opts":{"A":"Biển 1.","B":" Biển 2.","C":"Cả hai biển."},"answer":"B"},</v>
      </c>
    </row>
    <row r="1461" spans="1:17" hidden="1" x14ac:dyDescent="0.25">
      <c r="A1461">
        <v>1</v>
      </c>
      <c r="B1461" t="s">
        <v>1075</v>
      </c>
      <c r="C1461">
        <f>IFERROR(COUNTIFS($A$1:A1461,"Câu "&amp;"*")-MID(A1461,5,FIND(".",A1461,1)-5),0)</f>
        <v>0</v>
      </c>
      <c r="D1461" t="str">
        <f t="shared" si="82"/>
        <v/>
      </c>
      <c r="E1461" t="str">
        <f>SUBSTITUTE(IF(LEFT(A1461,3)="Câu",MID(A1461,FIND(".",A1461,1)+2,LEN(A1461)),""),CHAR(34),CHAR(92)&amp;CHAR(34))</f>
        <v/>
      </c>
      <c r="F1461" t="str">
        <f t="shared" si="81"/>
        <v/>
      </c>
      <c r="G1461" t="str">
        <f>SUBSTITUTE(B1462,CHAR(34),CHAR(92)&amp;CHAR(34))</f>
        <v xml:space="preserve"> Biển 2.</v>
      </c>
      <c r="H1461" t="str">
        <f>SUBSTITUTE(B1463,CHAR(34),CHAR(92)&amp;CHAR(34))</f>
        <v>Cả hai biển.</v>
      </c>
      <c r="I1461" t="str">
        <f>SUBSTITUTE(IF(LEFT(A1464,3)="Câu","",B1464),CHAR(34),CHAR(92)&amp;CHAR(34))</f>
        <v/>
      </c>
      <c r="J1461" t="str">
        <f>SUBSTITUTE(IF(OR(LEFT(A1465,3)="Câu",I1461=""),"",IF(B1465=0,"",B1465)),CHAR(34),CHAR(92)&amp;CHAR(34))</f>
        <v/>
      </c>
      <c r="K1461" t="str">
        <f>SUBSTITUTE(SUBSTITUTE(SUBSTITUTE(SUBSTITUTE(IFERROR(VLOOKUP("Câu "&amp;D1461&amp;".",dapan!$E:$J,6,0),""),"1","A"),"2","B"),"3","C"),"4","D")</f>
        <v/>
      </c>
      <c r="P1461" t="str">
        <f t="shared" si="79"/>
        <v/>
      </c>
      <c r="Q1461" t="str">
        <f t="shared" si="80"/>
        <v/>
      </c>
    </row>
    <row r="1462" spans="1:17" hidden="1" x14ac:dyDescent="0.25">
      <c r="A1462">
        <v>2</v>
      </c>
      <c r="B1462" t="s">
        <v>1090</v>
      </c>
      <c r="C1462">
        <f>IFERROR(COUNTIFS($A$1:A1462,"Câu "&amp;"*")-MID(A1462,5,FIND(".",A1462,1)-5),0)</f>
        <v>0</v>
      </c>
      <c r="D1462" t="str">
        <f t="shared" si="82"/>
        <v/>
      </c>
      <c r="E1462" t="str">
        <f>SUBSTITUTE(IF(LEFT(A1462,3)="Câu",MID(A1462,FIND(".",A1462,1)+2,LEN(A1462)),""),CHAR(34),CHAR(92)&amp;CHAR(34))</f>
        <v/>
      </c>
      <c r="F1462" t="str">
        <f t="shared" si="81"/>
        <v/>
      </c>
      <c r="G1462" t="str">
        <f>SUBSTITUTE(B1463,CHAR(34),CHAR(92)&amp;CHAR(34))</f>
        <v>Cả hai biển.</v>
      </c>
      <c r="H1462" t="str">
        <f>SUBSTITUTE(B1464,CHAR(34),CHAR(92)&amp;CHAR(34))</f>
        <v/>
      </c>
      <c r="I1462" t="str">
        <f>SUBSTITUTE(IF(LEFT(A1465,3)="Câu","",B1465),CHAR(34),CHAR(92)&amp;CHAR(34))</f>
        <v>Cấm dừng xe về hướng bên trái.</v>
      </c>
      <c r="J1462" t="str">
        <f>SUBSTITUTE(IF(OR(LEFT(A1466,3)="Câu",I1462=""),"",IF(B1466=0,"",B1466)),CHAR(34),CHAR(92)&amp;CHAR(34))</f>
        <v xml:space="preserve"> Cấm dừng và đỗ xe theo hướng bên phải.</v>
      </c>
      <c r="K1462" t="str">
        <f>SUBSTITUTE(SUBSTITUTE(SUBSTITUTE(SUBSTITUTE(IFERROR(VLOOKUP("Câu "&amp;D1462&amp;".",dapan!$E:$J,6,0),""),"1","A"),"2","B"),"3","C"),"4","D")</f>
        <v/>
      </c>
      <c r="P1462" t="str">
        <f t="shared" si="79"/>
        <v/>
      </c>
      <c r="Q1462" t="str">
        <f t="shared" si="80"/>
        <v/>
      </c>
    </row>
    <row r="1463" spans="1:17" hidden="1" x14ac:dyDescent="0.25">
      <c r="A1463">
        <v>3</v>
      </c>
      <c r="B1463" t="s">
        <v>1095</v>
      </c>
      <c r="C1463">
        <f>IFERROR(COUNTIFS($A$1:A1463,"Câu "&amp;"*")-MID(A1463,5,FIND(".",A1463,1)-5),0)</f>
        <v>0</v>
      </c>
      <c r="D1463" t="str">
        <f t="shared" si="82"/>
        <v/>
      </c>
      <c r="E1463" t="str">
        <f>SUBSTITUTE(IF(LEFT(A1463,3)="Câu",MID(A1463,FIND(".",A1463,1)+2,LEN(A1463)),""),CHAR(34),CHAR(92)&amp;CHAR(34))</f>
        <v/>
      </c>
      <c r="F1463" t="str">
        <f t="shared" si="81"/>
        <v/>
      </c>
      <c r="G1463" t="str">
        <f>SUBSTITUTE(B1464,CHAR(34),CHAR(92)&amp;CHAR(34))</f>
        <v/>
      </c>
      <c r="H1463" t="str">
        <f>SUBSTITUTE(B1465,CHAR(34),CHAR(92)&amp;CHAR(34))</f>
        <v>Cấm dừng xe về hướng bên trái.</v>
      </c>
      <c r="I1463" t="str">
        <f>SUBSTITUTE(IF(LEFT(A1466,3)="Câu","",B1466),CHAR(34),CHAR(92)&amp;CHAR(34))</f>
        <v xml:space="preserve"> Cấm dừng và đỗ xe theo hướng bên phải.</v>
      </c>
      <c r="J1463" t="str">
        <f>SUBSTITUTE(IF(OR(LEFT(A1467,3)="Câu",I1463=""),"",IF(B1467=0,"",B1467)),CHAR(34),CHAR(92)&amp;CHAR(34))</f>
        <v>Được phép đỗ xe và dừng xe theo hướng bên phải.</v>
      </c>
      <c r="K1463" t="str">
        <f>SUBSTITUTE(SUBSTITUTE(SUBSTITUTE(SUBSTITUTE(IFERROR(VLOOKUP("Câu "&amp;D1463&amp;".",dapan!$E:$J,6,0),""),"1","A"),"2","B"),"3","C"),"4","D")</f>
        <v/>
      </c>
      <c r="P1463" t="str">
        <f t="shared" si="79"/>
        <v/>
      </c>
      <c r="Q1463" t="str">
        <f t="shared" si="80"/>
        <v/>
      </c>
    </row>
    <row r="1464" spans="1:17" x14ac:dyDescent="0.25">
      <c r="A1464" t="s">
        <v>1161</v>
      </c>
      <c r="C1464">
        <f>IFERROR(COUNTIFS($A$1:A1464,"Câu "&amp;"*")-MID(A1464,5,FIND(".",A1464,1)-5),0)</f>
        <v>0</v>
      </c>
      <c r="D1464">
        <f t="shared" si="82"/>
        <v>354</v>
      </c>
      <c r="E1464" t="str">
        <f>SUBSTITUTE(IF(LEFT(A1464,3)="Câu",MID(A1464,FIND(".",A1464,1)+2,LEN(A1464)),""),CHAR(34),CHAR(92)&amp;CHAR(34))</f>
        <v>Biển này có ý nghĩa như thế nào?</v>
      </c>
      <c r="F1464" t="str">
        <f t="shared" si="81"/>
        <v>q354.jpg</v>
      </c>
      <c r="G1464" t="str">
        <f>SUBSTITUTE(B1465,CHAR(34),CHAR(92)&amp;CHAR(34))</f>
        <v>Cấm dừng xe về hướng bên trái.</v>
      </c>
      <c r="H1464" t="str">
        <f>SUBSTITUTE(B1466,CHAR(34),CHAR(92)&amp;CHAR(34))</f>
        <v xml:space="preserve"> Cấm dừng và đỗ xe theo hướng bên phải.</v>
      </c>
      <c r="I1464" t="str">
        <f>SUBSTITUTE(IF(LEFT(A1467,3)="Câu","",B1467),CHAR(34),CHAR(92)&amp;CHAR(34))</f>
        <v>Được phép đỗ xe và dừng xe theo hướng bên phải.</v>
      </c>
      <c r="J1464" t="str">
        <f>SUBSTITUTE(IF(OR(LEFT(A1468,3)="Câu",I1464=""),"",IF(B1468=0,"",B1468)),CHAR(34),CHAR(92)&amp;CHAR(34))</f>
        <v/>
      </c>
      <c r="K1464" t="str">
        <f ca="1">SUBSTITUTE(SUBSTITUTE(SUBSTITUTE(SUBSTITUTE(IFERROR(VLOOKUP("Câu "&amp;D1464&amp;".",dapan!$E:$J,6,0),""),"1","A"),"2","B"),"3","C"),"4","D")</f>
        <v>B</v>
      </c>
      <c r="P1464">
        <f t="shared" si="79"/>
        <v>354</v>
      </c>
      <c r="Q1464" t="str">
        <f t="shared" ca="1" si="80"/>
        <v>{"num":354,"id":354,"q":"Biển này có ý nghĩa như thế nào?","img":"q354.jpg","opts":{"A":"Cấm dừng xe về hướng bên trái.","B":" Cấm dừng và đỗ xe theo hướng bên phải.","C":"Được phép đỗ xe và dừng xe theo hướng bên phải."},"answer":"B"},</v>
      </c>
    </row>
    <row r="1465" spans="1:17" hidden="1" x14ac:dyDescent="0.25">
      <c r="A1465">
        <v>1</v>
      </c>
      <c r="B1465" t="s">
        <v>1162</v>
      </c>
      <c r="C1465">
        <f>IFERROR(COUNTIFS($A$1:A1465,"Câu "&amp;"*")-MID(A1465,5,FIND(".",A1465,1)-5),0)</f>
        <v>0</v>
      </c>
      <c r="D1465" t="str">
        <f t="shared" si="82"/>
        <v/>
      </c>
      <c r="E1465" t="str">
        <f>SUBSTITUTE(IF(LEFT(A1465,3)="Câu",MID(A1465,FIND(".",A1465,1)+2,LEN(A1465)),""),CHAR(34),CHAR(92)&amp;CHAR(34))</f>
        <v/>
      </c>
      <c r="F1465" t="str">
        <f t="shared" si="81"/>
        <v/>
      </c>
      <c r="G1465" t="str">
        <f>SUBSTITUTE(B1466,CHAR(34),CHAR(92)&amp;CHAR(34))</f>
        <v xml:space="preserve"> Cấm dừng và đỗ xe theo hướng bên phải.</v>
      </c>
      <c r="H1465" t="str">
        <f>SUBSTITUTE(B1467,CHAR(34),CHAR(92)&amp;CHAR(34))</f>
        <v>Được phép đỗ xe và dừng xe theo hướng bên phải.</v>
      </c>
      <c r="I1465" t="str">
        <f>SUBSTITUTE(IF(LEFT(A1468,3)="Câu","",B1468),CHAR(34),CHAR(92)&amp;CHAR(34))</f>
        <v/>
      </c>
      <c r="J1465" t="str">
        <f>SUBSTITUTE(IF(OR(LEFT(A1469,3)="Câu",I1465=""),"",IF(B1469=0,"",B1469)),CHAR(34),CHAR(92)&amp;CHAR(34))</f>
        <v/>
      </c>
      <c r="K1465" t="str">
        <f>SUBSTITUTE(SUBSTITUTE(SUBSTITUTE(SUBSTITUTE(IFERROR(VLOOKUP("Câu "&amp;D1465&amp;".",dapan!$E:$J,6,0),""),"1","A"),"2","B"),"3","C"),"4","D")</f>
        <v/>
      </c>
      <c r="P1465" t="str">
        <f t="shared" si="79"/>
        <v/>
      </c>
      <c r="Q1465" t="str">
        <f t="shared" si="80"/>
        <v/>
      </c>
    </row>
    <row r="1466" spans="1:17" hidden="1" x14ac:dyDescent="0.25">
      <c r="A1466">
        <v>2</v>
      </c>
      <c r="B1466" t="s">
        <v>1163</v>
      </c>
      <c r="C1466">
        <f>IFERROR(COUNTIFS($A$1:A1466,"Câu "&amp;"*")-MID(A1466,5,FIND(".",A1466,1)-5),0)</f>
        <v>0</v>
      </c>
      <c r="D1466" t="str">
        <f t="shared" si="82"/>
        <v/>
      </c>
      <c r="E1466" t="str">
        <f>SUBSTITUTE(IF(LEFT(A1466,3)="Câu",MID(A1466,FIND(".",A1466,1)+2,LEN(A1466)),""),CHAR(34),CHAR(92)&amp;CHAR(34))</f>
        <v/>
      </c>
      <c r="F1466" t="str">
        <f t="shared" si="81"/>
        <v/>
      </c>
      <c r="G1466" t="str">
        <f>SUBSTITUTE(B1467,CHAR(34),CHAR(92)&amp;CHAR(34))</f>
        <v>Được phép đỗ xe và dừng xe theo hướng bên phải.</v>
      </c>
      <c r="H1466" t="str">
        <f>SUBSTITUTE(B1468,CHAR(34),CHAR(92)&amp;CHAR(34))</f>
        <v/>
      </c>
      <c r="I1466" t="str">
        <f>SUBSTITUTE(IF(LEFT(A1469,3)="Câu","",B1469),CHAR(34),CHAR(92)&amp;CHAR(34))</f>
        <v xml:space="preserve"> Không được phép.</v>
      </c>
      <c r="J1466" t="str">
        <f>SUBSTITUTE(IF(OR(LEFT(A1470,3)="Câu",I1466=""),"",IF(B1470=0,"",B1470)),CHAR(34),CHAR(92)&amp;CHAR(34))</f>
        <v>Được phép.</v>
      </c>
      <c r="K1466" t="str">
        <f>SUBSTITUTE(SUBSTITUTE(SUBSTITUTE(SUBSTITUTE(IFERROR(VLOOKUP("Câu "&amp;D1466&amp;".",dapan!$E:$J,6,0),""),"1","A"),"2","B"),"3","C"),"4","D")</f>
        <v/>
      </c>
      <c r="P1466" t="str">
        <f t="shared" si="79"/>
        <v/>
      </c>
      <c r="Q1466" t="str">
        <f t="shared" si="80"/>
        <v/>
      </c>
    </row>
    <row r="1467" spans="1:17" hidden="1" x14ac:dyDescent="0.25">
      <c r="A1467">
        <v>3</v>
      </c>
      <c r="B1467" t="s">
        <v>1164</v>
      </c>
      <c r="C1467">
        <f>IFERROR(COUNTIFS($A$1:A1467,"Câu "&amp;"*")-MID(A1467,5,FIND(".",A1467,1)-5),0)</f>
        <v>0</v>
      </c>
      <c r="D1467" t="str">
        <f t="shared" si="82"/>
        <v/>
      </c>
      <c r="E1467" t="str">
        <f>SUBSTITUTE(IF(LEFT(A1467,3)="Câu",MID(A1467,FIND(".",A1467,1)+2,LEN(A1467)),""),CHAR(34),CHAR(92)&amp;CHAR(34))</f>
        <v/>
      </c>
      <c r="F1467" t="str">
        <f t="shared" si="81"/>
        <v/>
      </c>
      <c r="G1467" t="str">
        <f>SUBSTITUTE(B1468,CHAR(34),CHAR(92)&amp;CHAR(34))</f>
        <v/>
      </c>
      <c r="H1467" t="str">
        <f>SUBSTITUTE(B1469,CHAR(34),CHAR(92)&amp;CHAR(34))</f>
        <v xml:space="preserve"> Không được phép.</v>
      </c>
      <c r="I1467" t="str">
        <f>SUBSTITUTE(IF(LEFT(A1470,3)="Câu","",B1470),CHAR(34),CHAR(92)&amp;CHAR(34))</f>
        <v>Được phép.</v>
      </c>
      <c r="J1467" t="str">
        <f>SUBSTITUTE(IF(OR(LEFT(A1471,3)="Câu",I1467=""),"",IF(B1471=0,"",B1471)),CHAR(34),CHAR(92)&amp;CHAR(34))</f>
        <v/>
      </c>
      <c r="K1467" t="str">
        <f>SUBSTITUTE(SUBSTITUTE(SUBSTITUTE(SUBSTITUTE(IFERROR(VLOOKUP("Câu "&amp;D1467&amp;".",dapan!$E:$J,6,0),""),"1","A"),"2","B"),"3","C"),"4","D")</f>
        <v/>
      </c>
      <c r="P1467" t="str">
        <f t="shared" si="79"/>
        <v/>
      </c>
      <c r="Q1467" t="str">
        <f t="shared" si="80"/>
        <v/>
      </c>
    </row>
    <row r="1468" spans="1:17" x14ac:dyDescent="0.25">
      <c r="A1468" t="s">
        <v>1165</v>
      </c>
      <c r="C1468">
        <f>IFERROR(COUNTIFS($A$1:A1468,"Câu "&amp;"*")-MID(A1468,5,FIND(".",A1468,1)-5),0)</f>
        <v>0</v>
      </c>
      <c r="D1468">
        <f t="shared" si="82"/>
        <v>355</v>
      </c>
      <c r="E1468" t="str">
        <f>SUBSTITUTE(IF(LEFT(A1468,3)="Câu",MID(A1468,FIND(".",A1468,1)+2,LEN(A1468)),""),CHAR(34),CHAR(92)&amp;CHAR(34))</f>
        <v>Theo hướng bên phải có được phép đỗ xe, dừng xe không?</v>
      </c>
      <c r="F1468" t="str">
        <f t="shared" si="81"/>
        <v>q355.jpg</v>
      </c>
      <c r="G1468" t="str">
        <f>SUBSTITUTE(B1469,CHAR(34),CHAR(92)&amp;CHAR(34))</f>
        <v xml:space="preserve"> Không được phép.</v>
      </c>
      <c r="H1468" t="str">
        <f>SUBSTITUTE(B1470,CHAR(34),CHAR(92)&amp;CHAR(34))</f>
        <v>Được phép.</v>
      </c>
      <c r="I1468" t="str">
        <f>SUBSTITUTE(IF(LEFT(A1471,3)="Câu","",B1471),CHAR(34),CHAR(92)&amp;CHAR(34))</f>
        <v/>
      </c>
      <c r="J1468" t="str">
        <f>SUBSTITUTE(IF(OR(LEFT(A1472,3)="Câu",I1468=""),"",IF(B1472=0,"",B1472)),CHAR(34),CHAR(92)&amp;CHAR(34))</f>
        <v/>
      </c>
      <c r="K1468" t="str">
        <f ca="1">SUBSTITUTE(SUBSTITUTE(SUBSTITUTE(SUBSTITUTE(IFERROR(VLOOKUP("Câu "&amp;D1468&amp;".",dapan!$E:$J,6,0),""),"1","A"),"2","B"),"3","C"),"4","D")</f>
        <v>A</v>
      </c>
      <c r="P1468">
        <f t="shared" si="79"/>
        <v>355</v>
      </c>
      <c r="Q1468" t="str">
        <f t="shared" ca="1" si="80"/>
        <v>{"num":355,"id":355,"q":"Theo hướng bên phải có được phép đỗ xe, dừng xe không?","img":"q355.jpg","opts":{"A":" Không được phép.","B":"Được phép."},"answer":"A"},</v>
      </c>
    </row>
    <row r="1469" spans="1:17" hidden="1" x14ac:dyDescent="0.25">
      <c r="A1469">
        <v>1</v>
      </c>
      <c r="B1469" t="s">
        <v>226</v>
      </c>
      <c r="C1469">
        <f>IFERROR(COUNTIFS($A$1:A1469,"Câu "&amp;"*")-MID(A1469,5,FIND(".",A1469,1)-5),0)</f>
        <v>0</v>
      </c>
      <c r="D1469" t="str">
        <f t="shared" si="82"/>
        <v/>
      </c>
      <c r="E1469" t="str">
        <f>SUBSTITUTE(IF(LEFT(A1469,3)="Câu",MID(A1469,FIND(".",A1469,1)+2,LEN(A1469)),""),CHAR(34),CHAR(92)&amp;CHAR(34))</f>
        <v/>
      </c>
      <c r="F1469" t="str">
        <f t="shared" si="81"/>
        <v/>
      </c>
      <c r="G1469" t="str">
        <f>SUBSTITUTE(B1470,CHAR(34),CHAR(92)&amp;CHAR(34))</f>
        <v>Được phép.</v>
      </c>
      <c r="H1469" t="str">
        <f>SUBSTITUTE(B1471,CHAR(34),CHAR(92)&amp;CHAR(34))</f>
        <v/>
      </c>
      <c r="I1469" t="str">
        <f>SUBSTITUTE(IF(LEFT(A1472,3)="Câu","",B1472),CHAR(34),CHAR(92)&amp;CHAR(34))</f>
        <v xml:space="preserve"> Không được phép.</v>
      </c>
      <c r="J1469" t="str">
        <f>SUBSTITUTE(IF(OR(LEFT(A1473,3)="Câu",I1469=""),"",IF(B1473=0,"",B1473)),CHAR(34),CHAR(92)&amp;CHAR(34))</f>
        <v>Được phép.</v>
      </c>
      <c r="K1469" t="str">
        <f>SUBSTITUTE(SUBSTITUTE(SUBSTITUTE(SUBSTITUTE(IFERROR(VLOOKUP("Câu "&amp;D1469&amp;".",dapan!$E:$J,6,0),""),"1","A"),"2","B"),"3","C"),"4","D")</f>
        <v/>
      </c>
      <c r="P1469" t="str">
        <f t="shared" si="79"/>
        <v/>
      </c>
      <c r="Q1469" t="str">
        <f t="shared" si="80"/>
        <v/>
      </c>
    </row>
    <row r="1470" spans="1:17" hidden="1" x14ac:dyDescent="0.25">
      <c r="A1470">
        <v>2</v>
      </c>
      <c r="B1470" t="s">
        <v>223</v>
      </c>
      <c r="C1470">
        <f>IFERROR(COUNTIFS($A$1:A1470,"Câu "&amp;"*")-MID(A1470,5,FIND(".",A1470,1)-5),0)</f>
        <v>0</v>
      </c>
      <c r="D1470" t="str">
        <f t="shared" si="82"/>
        <v/>
      </c>
      <c r="E1470" t="str">
        <f>SUBSTITUTE(IF(LEFT(A1470,3)="Câu",MID(A1470,FIND(".",A1470,1)+2,LEN(A1470)),""),CHAR(34),CHAR(92)&amp;CHAR(34))</f>
        <v/>
      </c>
      <c r="F1470" t="str">
        <f t="shared" si="81"/>
        <v/>
      </c>
      <c r="G1470" t="str">
        <f>SUBSTITUTE(B1471,CHAR(34),CHAR(92)&amp;CHAR(34))</f>
        <v/>
      </c>
      <c r="H1470" t="str">
        <f>SUBSTITUTE(B1472,CHAR(34),CHAR(92)&amp;CHAR(34))</f>
        <v xml:space="preserve"> Không được phép.</v>
      </c>
      <c r="I1470" t="str">
        <f>SUBSTITUTE(IF(LEFT(A1473,3)="Câu","",B1473),CHAR(34),CHAR(92)&amp;CHAR(34))</f>
        <v>Được phép.</v>
      </c>
      <c r="J1470" t="str">
        <f>SUBSTITUTE(IF(OR(LEFT(A1474,3)="Câu",I1470=""),"",IF(B1474=0,"",B1474)),CHAR(34),CHAR(92)&amp;CHAR(34))</f>
        <v/>
      </c>
      <c r="K1470" t="str">
        <f>SUBSTITUTE(SUBSTITUTE(SUBSTITUTE(SUBSTITUTE(IFERROR(VLOOKUP("Câu "&amp;D1470&amp;".",dapan!$E:$J,6,0),""),"1","A"),"2","B"),"3","C"),"4","D")</f>
        <v/>
      </c>
      <c r="P1470" t="str">
        <f t="shared" si="79"/>
        <v/>
      </c>
      <c r="Q1470" t="str">
        <f t="shared" si="80"/>
        <v/>
      </c>
    </row>
    <row r="1471" spans="1:17" x14ac:dyDescent="0.25">
      <c r="A1471" t="s">
        <v>1166</v>
      </c>
      <c r="C1471">
        <f>IFERROR(COUNTIFS($A$1:A1471,"Câu "&amp;"*")-MID(A1471,5,FIND(".",A1471,1)-5),0)</f>
        <v>0</v>
      </c>
      <c r="D1471">
        <f t="shared" si="82"/>
        <v>356</v>
      </c>
      <c r="E1471" t="str">
        <f>SUBSTITUTE(IF(LEFT(A1471,3)="Câu",MID(A1471,FIND(".",A1471,1)+2,LEN(A1471)),""),CHAR(34),CHAR(92)&amp;CHAR(34))</f>
        <v>Gặp biển này, xe ô tô sơ mi rơ moóc có chiều dài toàn bộ kể cả xe, moóc và hàng lớn hơn trị số ghi trên biển có được phép đi vào hay không?</v>
      </c>
      <c r="F1471" t="str">
        <f t="shared" si="81"/>
        <v>q356.jpg</v>
      </c>
      <c r="G1471" t="str">
        <f>SUBSTITUTE(B1472,CHAR(34),CHAR(92)&amp;CHAR(34))</f>
        <v xml:space="preserve"> Không được phép.</v>
      </c>
      <c r="H1471" t="str">
        <f>SUBSTITUTE(B1473,CHAR(34),CHAR(92)&amp;CHAR(34))</f>
        <v>Được phép.</v>
      </c>
      <c r="I1471" t="str">
        <f>SUBSTITUTE(IF(LEFT(A1474,3)="Câu","",B1474),CHAR(34),CHAR(92)&amp;CHAR(34))</f>
        <v/>
      </c>
      <c r="J1471" t="str">
        <f>SUBSTITUTE(IF(OR(LEFT(A1475,3)="Câu",I1471=""),"",IF(B1475=0,"",B1475)),CHAR(34),CHAR(92)&amp;CHAR(34))</f>
        <v/>
      </c>
      <c r="K1471" t="str">
        <f ca="1">SUBSTITUTE(SUBSTITUTE(SUBSTITUTE(SUBSTITUTE(IFERROR(VLOOKUP("Câu "&amp;D1471&amp;".",dapan!$E:$J,6,0),""),"1","A"),"2","B"),"3","C"),"4","D")</f>
        <v>A</v>
      </c>
      <c r="P1471">
        <f t="shared" si="79"/>
        <v>356</v>
      </c>
      <c r="Q1471" t="str">
        <f t="shared" ca="1" si="80"/>
        <v>{"num":356,"id":356,"q":"Gặp biển này, xe ô tô sơ mi rơ moóc có chiều dài toàn bộ kể cả xe, moóc và hàng lớn hơn trị số ghi trên biển có được phép đi vào hay không?","img":"q356.jpg","opts":{"A":" Không được phép.","B":"Được phép."},"answer":"A"},</v>
      </c>
    </row>
    <row r="1472" spans="1:17" hidden="1" x14ac:dyDescent="0.25">
      <c r="A1472">
        <v>1</v>
      </c>
      <c r="B1472" t="s">
        <v>226</v>
      </c>
      <c r="C1472">
        <f>IFERROR(COUNTIFS($A$1:A1472,"Câu "&amp;"*")-MID(A1472,5,FIND(".",A1472,1)-5),0)</f>
        <v>0</v>
      </c>
      <c r="D1472" t="str">
        <f t="shared" si="82"/>
        <v/>
      </c>
      <c r="E1472" t="str">
        <f>SUBSTITUTE(IF(LEFT(A1472,3)="Câu",MID(A1472,FIND(".",A1472,1)+2,LEN(A1472)),""),CHAR(34),CHAR(92)&amp;CHAR(34))</f>
        <v/>
      </c>
      <c r="F1472" t="str">
        <f t="shared" si="81"/>
        <v/>
      </c>
      <c r="G1472" t="str">
        <f>SUBSTITUTE(B1473,CHAR(34),CHAR(92)&amp;CHAR(34))</f>
        <v>Được phép.</v>
      </c>
      <c r="H1472" t="str">
        <f>SUBSTITUTE(B1474,CHAR(34),CHAR(92)&amp;CHAR(34))</f>
        <v/>
      </c>
      <c r="I1472" t="str">
        <f>SUBSTITUTE(IF(LEFT(A1475,3)="Câu","",B1475),CHAR(34),CHAR(92)&amp;CHAR(34))</f>
        <v xml:space="preserve"> Không được phép.</v>
      </c>
      <c r="J1472" t="str">
        <f>SUBSTITUTE(IF(OR(LEFT(A1476,3)="Câu",I1472=""),"",IF(B1476=0,"",B1476)),CHAR(34),CHAR(92)&amp;CHAR(34))</f>
        <v>Được phép.</v>
      </c>
      <c r="K1472" t="str">
        <f>SUBSTITUTE(SUBSTITUTE(SUBSTITUTE(SUBSTITUTE(IFERROR(VLOOKUP("Câu "&amp;D1472&amp;".",dapan!$E:$J,6,0),""),"1","A"),"2","B"),"3","C"),"4","D")</f>
        <v/>
      </c>
      <c r="P1472" t="str">
        <f t="shared" si="79"/>
        <v/>
      </c>
      <c r="Q1472" t="str">
        <f t="shared" si="80"/>
        <v/>
      </c>
    </row>
    <row r="1473" spans="1:17" hidden="1" x14ac:dyDescent="0.25">
      <c r="A1473">
        <v>2</v>
      </c>
      <c r="B1473" t="s">
        <v>223</v>
      </c>
      <c r="C1473">
        <f>IFERROR(COUNTIFS($A$1:A1473,"Câu "&amp;"*")-MID(A1473,5,FIND(".",A1473,1)-5),0)</f>
        <v>0</v>
      </c>
      <c r="D1473" t="str">
        <f t="shared" si="82"/>
        <v/>
      </c>
      <c r="E1473" t="str">
        <f>SUBSTITUTE(IF(LEFT(A1473,3)="Câu",MID(A1473,FIND(".",A1473,1)+2,LEN(A1473)),""),CHAR(34),CHAR(92)&amp;CHAR(34))</f>
        <v/>
      </c>
      <c r="F1473" t="str">
        <f t="shared" si="81"/>
        <v/>
      </c>
      <c r="G1473" t="str">
        <f>SUBSTITUTE(B1474,CHAR(34),CHAR(92)&amp;CHAR(34))</f>
        <v/>
      </c>
      <c r="H1473" t="str">
        <f>SUBSTITUTE(B1475,CHAR(34),CHAR(92)&amp;CHAR(34))</f>
        <v xml:space="preserve"> Không được phép.</v>
      </c>
      <c r="I1473" t="str">
        <f>SUBSTITUTE(IF(LEFT(A1476,3)="Câu","",B1476),CHAR(34),CHAR(92)&amp;CHAR(34))</f>
        <v>Được phép.</v>
      </c>
      <c r="J1473" t="str">
        <f>SUBSTITUTE(IF(OR(LEFT(A1477,3)="Câu",I1473=""),"",IF(B1477=0,"",B1477)),CHAR(34),CHAR(92)&amp;CHAR(34))</f>
        <v/>
      </c>
      <c r="K1473" t="str">
        <f>SUBSTITUTE(SUBSTITUTE(SUBSTITUTE(SUBSTITUTE(IFERROR(VLOOKUP("Câu "&amp;D1473&amp;".",dapan!$E:$J,6,0),""),"1","A"),"2","B"),"3","C"),"4","D")</f>
        <v/>
      </c>
      <c r="P1473" t="str">
        <f t="shared" si="79"/>
        <v/>
      </c>
      <c r="Q1473" t="str">
        <f t="shared" si="80"/>
        <v/>
      </c>
    </row>
    <row r="1474" spans="1:17" x14ac:dyDescent="0.25">
      <c r="A1474" t="s">
        <v>1167</v>
      </c>
      <c r="C1474">
        <f>IFERROR(COUNTIFS($A$1:A1474,"Câu "&amp;"*")-MID(A1474,5,FIND(".",A1474,1)-5),0)</f>
        <v>0</v>
      </c>
      <c r="D1474">
        <f t="shared" si="82"/>
        <v>357</v>
      </c>
      <c r="E1474" t="str">
        <f>SUBSTITUTE(IF(LEFT(A1474,3)="Câu",MID(A1474,FIND(".",A1474,1)+2,LEN(A1474)),""),CHAR(34),CHAR(92)&amp;CHAR(34))</f>
        <v>Xe ô tô chở hàng vượt quá phía trước và sau thùng xe, mỗi phía quá 10% chiều dài toàn bộ thân xe, tổng chiều dài xe (cả hàng) từ trước đến sau nhỏ hơn trị số ghi trên biển thì có được phép đi vào không?</v>
      </c>
      <c r="F1474" t="str">
        <f t="shared" si="81"/>
        <v>q357.jpg</v>
      </c>
      <c r="G1474" t="str">
        <f>SUBSTITUTE(B1475,CHAR(34),CHAR(92)&amp;CHAR(34))</f>
        <v xml:space="preserve"> Không được phép.</v>
      </c>
      <c r="H1474" t="str">
        <f>SUBSTITUTE(B1476,CHAR(34),CHAR(92)&amp;CHAR(34))</f>
        <v>Được phép.</v>
      </c>
      <c r="I1474" t="str">
        <f>SUBSTITUTE(IF(LEFT(A1477,3)="Câu","",B1477),CHAR(34),CHAR(92)&amp;CHAR(34))</f>
        <v/>
      </c>
      <c r="J1474" t="str">
        <f>SUBSTITUTE(IF(OR(LEFT(A1478,3)="Câu",I1474=""),"",IF(B1478=0,"",B1478)),CHAR(34),CHAR(92)&amp;CHAR(34))</f>
        <v/>
      </c>
      <c r="K1474" t="str">
        <f ca="1">SUBSTITUTE(SUBSTITUTE(SUBSTITUTE(SUBSTITUTE(IFERROR(VLOOKUP("Câu "&amp;D1474&amp;".",dapan!$E:$J,6,0),""),"1","A"),"2","B"),"3","C"),"4","D")</f>
        <v>A</v>
      </c>
      <c r="P1474">
        <f t="shared" si="79"/>
        <v>357</v>
      </c>
      <c r="Q1474" t="str">
        <f t="shared" ca="1" si="80"/>
        <v>{"num":357,"id":357,"q":"Xe ô tô chở hàng vượt quá phía trước và sau thùng xe, mỗi phía quá 10% chiều dài toàn bộ thân xe, tổng chiều dài xe (cả hàng) từ trước đến sau nhỏ hơn trị số ghi trên biển thì có được phép đi vào không?","img":"q357.jpg","opts":{"A":" Không được phép.","B":"Được phép."},"answer":"A"},</v>
      </c>
    </row>
    <row r="1475" spans="1:17" hidden="1" x14ac:dyDescent="0.25">
      <c r="A1475">
        <v>1</v>
      </c>
      <c r="B1475" t="s">
        <v>226</v>
      </c>
      <c r="C1475">
        <f>IFERROR(COUNTIFS($A$1:A1475,"Câu "&amp;"*")-MID(A1475,5,FIND(".",A1475,1)-5),0)</f>
        <v>0</v>
      </c>
      <c r="D1475" t="str">
        <f t="shared" si="82"/>
        <v/>
      </c>
      <c r="E1475" t="str">
        <f>SUBSTITUTE(IF(LEFT(A1475,3)="Câu",MID(A1475,FIND(".",A1475,1)+2,LEN(A1475)),""),CHAR(34),CHAR(92)&amp;CHAR(34))</f>
        <v/>
      </c>
      <c r="F1475" t="str">
        <f t="shared" si="81"/>
        <v/>
      </c>
      <c r="G1475" t="str">
        <f>SUBSTITUTE(B1476,CHAR(34),CHAR(92)&amp;CHAR(34))</f>
        <v>Được phép.</v>
      </c>
      <c r="H1475" t="str">
        <f>SUBSTITUTE(B1477,CHAR(34),CHAR(92)&amp;CHAR(34))</f>
        <v/>
      </c>
      <c r="I1475" t="str">
        <f>SUBSTITUTE(IF(LEFT(A1478,3)="Câu","",B1478),CHAR(34),CHAR(92)&amp;CHAR(34))</f>
        <v>Cấm ô tô buýt.</v>
      </c>
      <c r="J1475" t="str">
        <f>SUBSTITUTE(IF(OR(LEFT(A1479,3)="Câu",I1475=""),"",IF(B1479=0,"",B1479)),CHAR(34),CHAR(92)&amp;CHAR(34))</f>
        <v xml:space="preserve"> Cấm xe ô tô khách.</v>
      </c>
      <c r="K1475" t="str">
        <f>SUBSTITUTE(SUBSTITUTE(SUBSTITUTE(SUBSTITUTE(IFERROR(VLOOKUP("Câu "&amp;D1475&amp;".",dapan!$E:$J,6,0),""),"1","A"),"2","B"),"3","C"),"4","D")</f>
        <v/>
      </c>
      <c r="P1475" t="str">
        <f t="shared" ref="P1475:P1538" si="83">D1475</f>
        <v/>
      </c>
      <c r="Q1475" t="str">
        <f t="shared" ref="Q1475:Q1538" si="84">IF(D1475="","",CHAR(123)&amp;CHAR(34)&amp;"num"&amp;CHAR(34)&amp;":"&amp;P1475&amp;","&amp;CHAR(34)&amp;"id"&amp;CHAR(34)&amp;":"&amp;D1475&amp;","
&amp;CHAR(34)&amp;"q"&amp;CHAR(34)&amp;":"&amp;CHAR(34)&amp;E1475&amp;CHAR(34)&amp;","
&amp;IF(F1475="","",CHAR(34)&amp;"img"&amp;CHAR(34)&amp;":"&amp;CHAR(34)&amp;F1475&amp;CHAR(34)&amp;",")
&amp;CHAR(34)&amp;"opts"&amp;CHAR(34)&amp;":"&amp;CHAR(123)&amp;CHAR(34)&amp;"A"&amp;CHAR(34)&amp;":"&amp;CHAR(34)&amp;G1475&amp;CHAR(34)&amp;","&amp;CHAR(34)&amp;"B"&amp;CHAR(34)&amp;":"&amp;CHAR(34)&amp;H1475&amp;CHAR(34)
&amp;IF(I1475="","",","&amp;CHAR(34)&amp;"C"&amp;CHAR(34)&amp;":"&amp;CHAR(34)&amp;I1475&amp;CHAR(34))&amp;IF(J1475="","",","&amp;CHAR(34)&amp;"D"&amp;CHAR(34)&amp;":"&amp;CHAR(34)&amp;J1475&amp;CHAR(34))&amp;CHAR(125)&amp;","
&amp;CHAR(34)&amp;"answer"&amp;CHAR(34)&amp;":"&amp;CHAR(34)&amp;K1475&amp;CHAR(34)
&amp;IF(L1475="","",","&amp;CHAR(34)&amp;"danger"&amp;CHAR(34)&amp;":"&amp;CHAR(34)&amp;"true"&amp;CHAR(34))
&amp;IF(M1475="","",","&amp;CHAR(34)&amp;"explain"&amp;CHAR(34)&amp;":"&amp;CHAR(34)&amp;M1475&amp;CHAR(34))
&amp;IF(N1475="","",","&amp;CHAR(34)&amp;"explainImg"&amp;CHAR(34)&amp;":"&amp;CHAR(34)&amp;N1475&amp;CHAR(34))
&amp;IF(O1475="","",","&amp;CHAR(34)&amp;"shuffle"&amp;CHAR(34)&amp;":"&amp;CHAR(34)&amp;"false"&amp;CHAR(34))&amp;CHAR(125)&amp;",")</f>
        <v/>
      </c>
    </row>
    <row r="1476" spans="1:17" hidden="1" x14ac:dyDescent="0.25">
      <c r="A1476">
        <v>2</v>
      </c>
      <c r="B1476" t="s">
        <v>223</v>
      </c>
      <c r="C1476">
        <f>IFERROR(COUNTIFS($A$1:A1476,"Câu "&amp;"*")-MID(A1476,5,FIND(".",A1476,1)-5),0)</f>
        <v>0</v>
      </c>
      <c r="D1476" t="str">
        <f t="shared" si="82"/>
        <v/>
      </c>
      <c r="E1476" t="str">
        <f>SUBSTITUTE(IF(LEFT(A1476,3)="Câu",MID(A1476,FIND(".",A1476,1)+2,LEN(A1476)),""),CHAR(34),CHAR(92)&amp;CHAR(34))</f>
        <v/>
      </c>
      <c r="F1476" t="str">
        <f t="shared" si="81"/>
        <v/>
      </c>
      <c r="G1476" t="str">
        <f>SUBSTITUTE(B1477,CHAR(34),CHAR(92)&amp;CHAR(34))</f>
        <v/>
      </c>
      <c r="H1476" t="str">
        <f>SUBSTITUTE(B1478,CHAR(34),CHAR(92)&amp;CHAR(34))</f>
        <v>Cấm ô tô buýt.</v>
      </c>
      <c r="I1476" t="str">
        <f>SUBSTITUTE(IF(LEFT(A1479,3)="Câu","",B1479),CHAR(34),CHAR(92)&amp;CHAR(34))</f>
        <v xml:space="preserve"> Cấm xe ô tô khách.</v>
      </c>
      <c r="J1476" t="str">
        <f>SUBSTITUTE(IF(OR(LEFT(A1480,3)="Câu",I1476=""),"",IF(B1480=0,"",B1480)),CHAR(34),CHAR(92)&amp;CHAR(34))</f>
        <v>Cấm xe ô tô con.</v>
      </c>
      <c r="K1476" t="str">
        <f>SUBSTITUTE(SUBSTITUTE(SUBSTITUTE(SUBSTITUTE(IFERROR(VLOOKUP("Câu "&amp;D1476&amp;".",dapan!$E:$J,6,0),""),"1","A"),"2","B"),"3","C"),"4","D")</f>
        <v/>
      </c>
      <c r="P1476" t="str">
        <f t="shared" si="83"/>
        <v/>
      </c>
      <c r="Q1476" t="str">
        <f t="shared" si="84"/>
        <v/>
      </c>
    </row>
    <row r="1477" spans="1:17" x14ac:dyDescent="0.25">
      <c r="A1477" t="s">
        <v>1168</v>
      </c>
      <c r="C1477">
        <f>IFERROR(COUNTIFS($A$1:A1477,"Câu "&amp;"*")-MID(A1477,5,FIND(".",A1477,1)-5),0)</f>
        <v>0</v>
      </c>
      <c r="D1477">
        <f t="shared" si="82"/>
        <v>358</v>
      </c>
      <c r="E1477" t="str">
        <f>SUBSTITUTE(IF(LEFT(A1477,3)="Câu",MID(A1477,FIND(".",A1477,1)+2,LEN(A1477)),""),CHAR(34),CHAR(92)&amp;CHAR(34))</f>
        <v>Biển này có ý nghĩa như thế nào?</v>
      </c>
      <c r="F1477" t="str">
        <f t="shared" si="81"/>
        <v>q358.jpg</v>
      </c>
      <c r="G1477" t="str">
        <f>SUBSTITUTE(B1478,CHAR(34),CHAR(92)&amp;CHAR(34))</f>
        <v>Cấm ô tô buýt.</v>
      </c>
      <c r="H1477" t="str">
        <f>SUBSTITUTE(B1479,CHAR(34),CHAR(92)&amp;CHAR(34))</f>
        <v xml:space="preserve"> Cấm xe ô tô khách.</v>
      </c>
      <c r="I1477" t="str">
        <f>SUBSTITUTE(IF(LEFT(A1480,3)="Câu","",B1480),CHAR(34),CHAR(92)&amp;CHAR(34))</f>
        <v>Cấm xe ô tô con.</v>
      </c>
      <c r="J1477" t="str">
        <f>SUBSTITUTE(IF(OR(LEFT(A1481,3)="Câu",I1477=""),"",IF(B1481=0,"",B1481)),CHAR(34),CHAR(92)&amp;CHAR(34))</f>
        <v/>
      </c>
      <c r="K1477" t="str">
        <f ca="1">SUBSTITUTE(SUBSTITUTE(SUBSTITUTE(SUBSTITUTE(IFERROR(VLOOKUP("Câu "&amp;D1477&amp;".",dapan!$E:$J,6,0),""),"1","A"),"2","B"),"3","C"),"4","D")</f>
        <v>B</v>
      </c>
      <c r="P1477">
        <f t="shared" si="83"/>
        <v>358</v>
      </c>
      <c r="Q1477" t="str">
        <f t="shared" ca="1" si="84"/>
        <v>{"num":358,"id":358,"q":"Biển này có ý nghĩa như thế nào?","img":"q358.jpg","opts":{"A":"Cấm ô tô buýt.","B":" Cấm xe ô tô khách.","C":"Cấm xe ô tô con."},"answer":"B"},</v>
      </c>
    </row>
    <row r="1478" spans="1:17" hidden="1" x14ac:dyDescent="0.25">
      <c r="A1478">
        <v>1</v>
      </c>
      <c r="B1478" t="s">
        <v>1169</v>
      </c>
      <c r="C1478">
        <f>IFERROR(COUNTIFS($A$1:A1478,"Câu "&amp;"*")-MID(A1478,5,FIND(".",A1478,1)-5),0)</f>
        <v>0</v>
      </c>
      <c r="D1478" t="str">
        <f t="shared" si="82"/>
        <v/>
      </c>
      <c r="E1478" t="str">
        <f>SUBSTITUTE(IF(LEFT(A1478,3)="Câu",MID(A1478,FIND(".",A1478,1)+2,LEN(A1478)),""),CHAR(34),CHAR(92)&amp;CHAR(34))</f>
        <v/>
      </c>
      <c r="F1478" t="str">
        <f t="shared" si="81"/>
        <v/>
      </c>
      <c r="G1478" t="str">
        <f>SUBSTITUTE(B1479,CHAR(34),CHAR(92)&amp;CHAR(34))</f>
        <v xml:space="preserve"> Cấm xe ô tô khách.</v>
      </c>
      <c r="H1478" t="str">
        <f>SUBSTITUTE(B1480,CHAR(34),CHAR(92)&amp;CHAR(34))</f>
        <v>Cấm xe ô tô con.</v>
      </c>
      <c r="I1478" t="str">
        <f>SUBSTITUTE(IF(LEFT(A1481,3)="Câu","",B1481),CHAR(34),CHAR(92)&amp;CHAR(34))</f>
        <v/>
      </c>
      <c r="J1478" t="str">
        <f>SUBSTITUTE(IF(OR(LEFT(A1482,3)="Câu",I1478=""),"",IF(B1482=0,"",B1482)),CHAR(34),CHAR(92)&amp;CHAR(34))</f>
        <v/>
      </c>
      <c r="K1478" t="str">
        <f>SUBSTITUTE(SUBSTITUTE(SUBSTITUTE(SUBSTITUTE(IFERROR(VLOOKUP("Câu "&amp;D1478&amp;".",dapan!$E:$J,6,0),""),"1","A"),"2","B"),"3","C"),"4","D")</f>
        <v/>
      </c>
      <c r="P1478" t="str">
        <f t="shared" si="83"/>
        <v/>
      </c>
      <c r="Q1478" t="str">
        <f t="shared" si="84"/>
        <v/>
      </c>
    </row>
    <row r="1479" spans="1:17" hidden="1" x14ac:dyDescent="0.25">
      <c r="A1479">
        <v>2</v>
      </c>
      <c r="B1479" t="s">
        <v>1170</v>
      </c>
      <c r="C1479">
        <f>IFERROR(COUNTIFS($A$1:A1479,"Câu "&amp;"*")-MID(A1479,5,FIND(".",A1479,1)-5),0)</f>
        <v>0</v>
      </c>
      <c r="D1479" t="str">
        <f t="shared" si="82"/>
        <v/>
      </c>
      <c r="E1479" t="str">
        <f>SUBSTITUTE(IF(LEFT(A1479,3)="Câu",MID(A1479,FIND(".",A1479,1)+2,LEN(A1479)),""),CHAR(34),CHAR(92)&amp;CHAR(34))</f>
        <v/>
      </c>
      <c r="F1479" t="str">
        <f t="shared" si="81"/>
        <v/>
      </c>
      <c r="G1479" t="str">
        <f>SUBSTITUTE(B1480,CHAR(34),CHAR(92)&amp;CHAR(34))</f>
        <v>Cấm xe ô tô con.</v>
      </c>
      <c r="H1479" t="str">
        <f>SUBSTITUTE(B1481,CHAR(34),CHAR(92)&amp;CHAR(34))</f>
        <v/>
      </c>
      <c r="I1479" t="str">
        <f>SUBSTITUTE(IF(LEFT(A1482,3)="Câu","",B1482),CHAR(34),CHAR(92)&amp;CHAR(34))</f>
        <v>Hạn chế chiều cao của xe và hàng.</v>
      </c>
      <c r="J1479" t="str">
        <f>SUBSTITUTE(IF(OR(LEFT(A1483,3)="Câu",I1479=""),"",IF(B1483=0,"",B1483)),CHAR(34),CHAR(92)&amp;CHAR(34))</f>
        <v xml:space="preserve"> Hạn chế chiều ngang của xe và hàng.</v>
      </c>
      <c r="K1479" t="str">
        <f>SUBSTITUTE(SUBSTITUTE(SUBSTITUTE(SUBSTITUTE(IFERROR(VLOOKUP("Câu "&amp;D1479&amp;".",dapan!$E:$J,6,0),""),"1","A"),"2","B"),"3","C"),"4","D")</f>
        <v/>
      </c>
      <c r="P1479" t="str">
        <f t="shared" si="83"/>
        <v/>
      </c>
      <c r="Q1479" t="str">
        <f t="shared" si="84"/>
        <v/>
      </c>
    </row>
    <row r="1480" spans="1:17" hidden="1" x14ac:dyDescent="0.25">
      <c r="A1480">
        <v>3</v>
      </c>
      <c r="B1480" t="s">
        <v>1171</v>
      </c>
      <c r="C1480">
        <f>IFERROR(COUNTIFS($A$1:A1480,"Câu "&amp;"*")-MID(A1480,5,FIND(".",A1480,1)-5),0)</f>
        <v>0</v>
      </c>
      <c r="D1480" t="str">
        <f t="shared" si="82"/>
        <v/>
      </c>
      <c r="E1480" t="str">
        <f>SUBSTITUTE(IF(LEFT(A1480,3)="Câu",MID(A1480,FIND(".",A1480,1)+2,LEN(A1480)),""),CHAR(34),CHAR(92)&amp;CHAR(34))</f>
        <v/>
      </c>
      <c r="F1480" t="str">
        <f t="shared" si="81"/>
        <v/>
      </c>
      <c r="G1480" t="str">
        <f>SUBSTITUTE(B1481,CHAR(34),CHAR(92)&amp;CHAR(34))</f>
        <v/>
      </c>
      <c r="H1480" t="str">
        <f>SUBSTITUTE(B1482,CHAR(34),CHAR(92)&amp;CHAR(34))</f>
        <v>Hạn chế chiều cao của xe và hàng.</v>
      </c>
      <c r="I1480" t="str">
        <f>SUBSTITUTE(IF(LEFT(A1483,3)="Câu","",B1483),CHAR(34),CHAR(92)&amp;CHAR(34))</f>
        <v xml:space="preserve"> Hạn chế chiều ngang của xe và hàng.</v>
      </c>
      <c r="J1480" t="str">
        <f>SUBSTITUTE(IF(OR(LEFT(A1484,3)="Câu",I1480=""),"",IF(B1484=0,"",B1484)),CHAR(34),CHAR(92)&amp;CHAR(34))</f>
        <v>Hạn chế chiều dài của xe và hàng.</v>
      </c>
      <c r="K1480" t="str">
        <f>SUBSTITUTE(SUBSTITUTE(SUBSTITUTE(SUBSTITUTE(IFERROR(VLOOKUP("Câu "&amp;D1480&amp;".",dapan!$E:$J,6,0),""),"1","A"),"2","B"),"3","C"),"4","D")</f>
        <v/>
      </c>
      <c r="P1480" t="str">
        <f t="shared" si="83"/>
        <v/>
      </c>
      <c r="Q1480" t="str">
        <f t="shared" si="84"/>
        <v/>
      </c>
    </row>
    <row r="1481" spans="1:17" x14ac:dyDescent="0.25">
      <c r="A1481" t="s">
        <v>1172</v>
      </c>
      <c r="C1481">
        <f>IFERROR(COUNTIFS($A$1:A1481,"Câu "&amp;"*")-MID(A1481,5,FIND(".",A1481,1)-5),0)</f>
        <v>0</v>
      </c>
      <c r="D1481">
        <f t="shared" si="82"/>
        <v>359</v>
      </c>
      <c r="E1481" t="str">
        <f>SUBSTITUTE(IF(LEFT(A1481,3)="Câu",MID(A1481,FIND(".",A1481,1)+2,LEN(A1481)),""),CHAR(34),CHAR(92)&amp;CHAR(34))</f>
        <v>Biển này có ý nghĩa như thế nào?</v>
      </c>
      <c r="F1481" t="str">
        <f t="shared" si="81"/>
        <v>q359.jpg</v>
      </c>
      <c r="G1481" t="str">
        <f>SUBSTITUTE(B1482,CHAR(34),CHAR(92)&amp;CHAR(34))</f>
        <v>Hạn chế chiều cao của xe và hàng.</v>
      </c>
      <c r="H1481" t="str">
        <f>SUBSTITUTE(B1483,CHAR(34),CHAR(92)&amp;CHAR(34))</f>
        <v xml:space="preserve"> Hạn chế chiều ngang của xe và hàng.</v>
      </c>
      <c r="I1481" t="str">
        <f>SUBSTITUTE(IF(LEFT(A1484,3)="Câu","",B1484),CHAR(34),CHAR(92)&amp;CHAR(34))</f>
        <v>Hạn chế chiều dài của xe và hàng.</v>
      </c>
      <c r="J1481" t="str">
        <f>SUBSTITUTE(IF(OR(LEFT(A1485,3)="Câu",I1481=""),"",IF(B1485=0,"",B1485)),CHAR(34),CHAR(92)&amp;CHAR(34))</f>
        <v/>
      </c>
      <c r="K1481" t="str">
        <f ca="1">SUBSTITUTE(SUBSTITUTE(SUBSTITUTE(SUBSTITUTE(IFERROR(VLOOKUP("Câu "&amp;D1481&amp;".",dapan!$E:$J,6,0),""),"1","A"),"2","B"),"3","C"),"4","D")</f>
        <v>B</v>
      </c>
      <c r="P1481">
        <f t="shared" si="83"/>
        <v>359</v>
      </c>
      <c r="Q1481" t="str">
        <f t="shared" ca="1" si="84"/>
        <v>{"num":359,"id":359,"q":"Biển này có ý nghĩa như thế nào?","img":"q359.jpg","opts":{"A":"Hạn chế chiều cao của xe và hàng.","B":" Hạn chế chiều ngang của xe và hàng.","C":"Hạn chế chiều dài của xe và hàng."},"answer":"B"},</v>
      </c>
    </row>
    <row r="1482" spans="1:17" hidden="1" x14ac:dyDescent="0.25">
      <c r="A1482">
        <v>1</v>
      </c>
      <c r="B1482" t="s">
        <v>1173</v>
      </c>
      <c r="C1482">
        <f>IFERROR(COUNTIFS($A$1:A1482,"Câu "&amp;"*")-MID(A1482,5,FIND(".",A1482,1)-5),0)</f>
        <v>0</v>
      </c>
      <c r="D1482" t="str">
        <f t="shared" si="82"/>
        <v/>
      </c>
      <c r="E1482" t="str">
        <f>SUBSTITUTE(IF(LEFT(A1482,3)="Câu",MID(A1482,FIND(".",A1482,1)+2,LEN(A1482)),""),CHAR(34),CHAR(92)&amp;CHAR(34))</f>
        <v/>
      </c>
      <c r="F1482" t="str">
        <f t="shared" si="81"/>
        <v/>
      </c>
      <c r="G1482" t="str">
        <f>SUBSTITUTE(B1483,CHAR(34),CHAR(92)&amp;CHAR(34))</f>
        <v xml:space="preserve"> Hạn chế chiều ngang của xe và hàng.</v>
      </c>
      <c r="H1482" t="str">
        <f>SUBSTITUTE(B1484,CHAR(34),CHAR(92)&amp;CHAR(34))</f>
        <v>Hạn chế chiều dài của xe và hàng.</v>
      </c>
      <c r="I1482" t="str">
        <f>SUBSTITUTE(IF(LEFT(A1485,3)="Câu","",B1485),CHAR(34),CHAR(92)&amp;CHAR(34))</f>
        <v/>
      </c>
      <c r="J1482" t="str">
        <f>SUBSTITUTE(IF(OR(LEFT(A1486,3)="Câu",I1482=""),"",IF(B1486=0,"",B1486)),CHAR(34),CHAR(92)&amp;CHAR(34))</f>
        <v/>
      </c>
      <c r="K1482" t="str">
        <f>SUBSTITUTE(SUBSTITUTE(SUBSTITUTE(SUBSTITUTE(IFERROR(VLOOKUP("Câu "&amp;D1482&amp;".",dapan!$E:$J,6,0),""),"1","A"),"2","B"),"3","C"),"4","D")</f>
        <v/>
      </c>
      <c r="P1482" t="str">
        <f t="shared" si="83"/>
        <v/>
      </c>
      <c r="Q1482" t="str">
        <f t="shared" si="84"/>
        <v/>
      </c>
    </row>
    <row r="1483" spans="1:17" hidden="1" x14ac:dyDescent="0.25">
      <c r="A1483">
        <v>2</v>
      </c>
      <c r="B1483" t="s">
        <v>1174</v>
      </c>
      <c r="C1483">
        <f>IFERROR(COUNTIFS($A$1:A1483,"Câu "&amp;"*")-MID(A1483,5,FIND(".",A1483,1)-5),0)</f>
        <v>0</v>
      </c>
      <c r="D1483" t="str">
        <f t="shared" si="82"/>
        <v/>
      </c>
      <c r="E1483" t="str">
        <f>SUBSTITUTE(IF(LEFT(A1483,3)="Câu",MID(A1483,FIND(".",A1483,1)+2,LEN(A1483)),""),CHAR(34),CHAR(92)&amp;CHAR(34))</f>
        <v/>
      </c>
      <c r="F1483" t="str">
        <f t="shared" si="81"/>
        <v/>
      </c>
      <c r="G1483" t="str">
        <f>SUBSTITUTE(B1484,CHAR(34),CHAR(92)&amp;CHAR(34))</f>
        <v>Hạn chế chiều dài của xe và hàng.</v>
      </c>
      <c r="H1483" t="str">
        <f>SUBSTITUTE(B1485,CHAR(34),CHAR(92)&amp;CHAR(34))</f>
        <v/>
      </c>
      <c r="I1483" t="str">
        <f>SUBSTITUTE(IF(LEFT(A1486,3)="Câu","",B1486),CHAR(34),CHAR(92)&amp;CHAR(34))</f>
        <v xml:space="preserve"> Biển 1.</v>
      </c>
      <c r="J1483" t="str">
        <f>SUBSTITUTE(IF(OR(LEFT(A1487,3)="Câu",I1483=""),"",IF(B1487=0,"",B1487)),CHAR(34),CHAR(92)&amp;CHAR(34))</f>
        <v>Biển 2.</v>
      </c>
      <c r="K1483" t="str">
        <f>SUBSTITUTE(SUBSTITUTE(SUBSTITUTE(SUBSTITUTE(IFERROR(VLOOKUP("Câu "&amp;D1483&amp;".",dapan!$E:$J,6,0),""),"1","A"),"2","B"),"3","C"),"4","D")</f>
        <v/>
      </c>
      <c r="P1483" t="str">
        <f t="shared" si="83"/>
        <v/>
      </c>
      <c r="Q1483" t="str">
        <f t="shared" si="84"/>
        <v/>
      </c>
    </row>
    <row r="1484" spans="1:17" hidden="1" x14ac:dyDescent="0.25">
      <c r="A1484">
        <v>3</v>
      </c>
      <c r="B1484" t="s">
        <v>1175</v>
      </c>
      <c r="C1484">
        <f>IFERROR(COUNTIFS($A$1:A1484,"Câu "&amp;"*")-MID(A1484,5,FIND(".",A1484,1)-5),0)</f>
        <v>0</v>
      </c>
      <c r="D1484" t="str">
        <f t="shared" si="82"/>
        <v/>
      </c>
      <c r="E1484" t="str">
        <f>SUBSTITUTE(IF(LEFT(A1484,3)="Câu",MID(A1484,FIND(".",A1484,1)+2,LEN(A1484)),""),CHAR(34),CHAR(92)&amp;CHAR(34))</f>
        <v/>
      </c>
      <c r="F1484" t="str">
        <f t="shared" si="81"/>
        <v/>
      </c>
      <c r="G1484" t="str">
        <f>SUBSTITUTE(B1485,CHAR(34),CHAR(92)&amp;CHAR(34))</f>
        <v/>
      </c>
      <c r="H1484" t="str">
        <f>SUBSTITUTE(B1486,CHAR(34),CHAR(92)&amp;CHAR(34))</f>
        <v xml:space="preserve"> Biển 1.</v>
      </c>
      <c r="I1484" t="str">
        <f>SUBSTITUTE(IF(LEFT(A1487,3)="Câu","",B1487),CHAR(34),CHAR(92)&amp;CHAR(34))</f>
        <v>Biển 2.</v>
      </c>
      <c r="J1484" t="str">
        <f>SUBSTITUTE(IF(OR(LEFT(A1488,3)="Câu",I1484=""),"",IF(B1488=0,"",B1488)),CHAR(34),CHAR(92)&amp;CHAR(34))</f>
        <v>Cả hai biển.</v>
      </c>
      <c r="K1484" t="str">
        <f>SUBSTITUTE(SUBSTITUTE(SUBSTITUTE(SUBSTITUTE(IFERROR(VLOOKUP("Câu "&amp;D1484&amp;".",dapan!$E:$J,6,0),""),"1","A"),"2","B"),"3","C"),"4","D")</f>
        <v/>
      </c>
      <c r="P1484" t="str">
        <f t="shared" si="83"/>
        <v/>
      </c>
      <c r="Q1484" t="str">
        <f t="shared" si="84"/>
        <v/>
      </c>
    </row>
    <row r="1485" spans="1:17" x14ac:dyDescent="0.25">
      <c r="A1485" t="s">
        <v>1176</v>
      </c>
      <c r="C1485">
        <f>IFERROR(COUNTIFS($A$1:A1485,"Câu "&amp;"*")-MID(A1485,5,FIND(".",A1485,1)-5),0)</f>
        <v>0</v>
      </c>
      <c r="D1485">
        <f t="shared" si="82"/>
        <v>360</v>
      </c>
      <c r="E1485" t="str">
        <f>SUBSTITUTE(IF(LEFT(A1485,3)="Câu",MID(A1485,FIND(".",A1485,1)+2,LEN(A1485)),""),CHAR(34),CHAR(92)&amp;CHAR(34))</f>
        <v>Biển nào là biển \"Tốc độ tối đa cho phép về ban đêm\"?</v>
      </c>
      <c r="F1485" t="str">
        <f t="shared" si="81"/>
        <v>q360.jpg</v>
      </c>
      <c r="G1485" t="str">
        <f>SUBSTITUTE(B1486,CHAR(34),CHAR(92)&amp;CHAR(34))</f>
        <v xml:space="preserve"> Biển 1.</v>
      </c>
      <c r="H1485" t="str">
        <f>SUBSTITUTE(B1487,CHAR(34),CHAR(92)&amp;CHAR(34))</f>
        <v>Biển 2.</v>
      </c>
      <c r="I1485" t="str">
        <f>SUBSTITUTE(IF(LEFT(A1488,3)="Câu","",B1488),CHAR(34),CHAR(92)&amp;CHAR(34))</f>
        <v>Cả hai biển.</v>
      </c>
      <c r="J1485" t="str">
        <f>SUBSTITUTE(IF(OR(LEFT(A1489,3)="Câu",I1485=""),"",IF(B1489=0,"",B1489)),CHAR(34),CHAR(92)&amp;CHAR(34))</f>
        <v/>
      </c>
      <c r="K1485" t="str">
        <f ca="1">SUBSTITUTE(SUBSTITUTE(SUBSTITUTE(SUBSTITUTE(IFERROR(VLOOKUP("Câu "&amp;D1485&amp;".",dapan!$E:$J,6,0),""),"1","A"),"2","B"),"3","C"),"4","D")</f>
        <v>A</v>
      </c>
      <c r="P1485">
        <f t="shared" si="83"/>
        <v>360</v>
      </c>
      <c r="Q1485" t="str">
        <f t="shared" ca="1" si="84"/>
        <v>{"num":360,"id":360,"q":"Biển nào là biển \"Tốc độ tối đa cho phép về ban đêm\"?","img":"q360.jpg","opts":{"A":" Biển 1.","B":"Biển 2.","C":"Cả hai biển."},"answer":"A"},</v>
      </c>
    </row>
    <row r="1486" spans="1:17" hidden="1" x14ac:dyDescent="0.25">
      <c r="A1486">
        <v>1</v>
      </c>
      <c r="B1486" t="s">
        <v>1066</v>
      </c>
      <c r="C1486">
        <f>IFERROR(COUNTIFS($A$1:A1486,"Câu "&amp;"*")-MID(A1486,5,FIND(".",A1486,1)-5),0)</f>
        <v>0</v>
      </c>
      <c r="D1486" t="str">
        <f t="shared" si="82"/>
        <v/>
      </c>
      <c r="E1486" t="str">
        <f>SUBSTITUTE(IF(LEFT(A1486,3)="Câu",MID(A1486,FIND(".",A1486,1)+2,LEN(A1486)),""),CHAR(34),CHAR(92)&amp;CHAR(34))</f>
        <v/>
      </c>
      <c r="F1486" t="str">
        <f t="shared" si="81"/>
        <v/>
      </c>
      <c r="G1486" t="str">
        <f>SUBSTITUTE(B1487,CHAR(34),CHAR(92)&amp;CHAR(34))</f>
        <v>Biển 2.</v>
      </c>
      <c r="H1486" t="str">
        <f>SUBSTITUTE(B1488,CHAR(34),CHAR(92)&amp;CHAR(34))</f>
        <v>Cả hai biển.</v>
      </c>
      <c r="I1486" t="str">
        <f>SUBSTITUTE(IF(LEFT(A1489,3)="Câu","",B1489),CHAR(34),CHAR(92)&amp;CHAR(34))</f>
        <v/>
      </c>
      <c r="J1486" t="str">
        <f>SUBSTITUTE(IF(OR(LEFT(A1490,3)="Câu",I1486=""),"",IF(B1490=0,"",B1490)),CHAR(34),CHAR(92)&amp;CHAR(34))</f>
        <v/>
      </c>
      <c r="K1486" t="str">
        <f>SUBSTITUTE(SUBSTITUTE(SUBSTITUTE(SUBSTITUTE(IFERROR(VLOOKUP("Câu "&amp;D1486&amp;".",dapan!$E:$J,6,0),""),"1","A"),"2","B"),"3","C"),"4","D")</f>
        <v/>
      </c>
      <c r="P1486" t="str">
        <f t="shared" si="83"/>
        <v/>
      </c>
      <c r="Q1486" t="str">
        <f t="shared" si="84"/>
        <v/>
      </c>
    </row>
    <row r="1487" spans="1:17" hidden="1" x14ac:dyDescent="0.25">
      <c r="A1487">
        <v>2</v>
      </c>
      <c r="B1487" t="s">
        <v>1068</v>
      </c>
      <c r="C1487">
        <f>IFERROR(COUNTIFS($A$1:A1487,"Câu "&amp;"*")-MID(A1487,5,FIND(".",A1487,1)-5),0)</f>
        <v>0</v>
      </c>
      <c r="D1487" t="str">
        <f t="shared" si="82"/>
        <v/>
      </c>
      <c r="E1487" t="str">
        <f>SUBSTITUTE(IF(LEFT(A1487,3)="Câu",MID(A1487,FIND(".",A1487,1)+2,LEN(A1487)),""),CHAR(34),CHAR(92)&amp;CHAR(34))</f>
        <v/>
      </c>
      <c r="F1487" t="str">
        <f t="shared" si="81"/>
        <v/>
      </c>
      <c r="G1487" t="str">
        <f>SUBSTITUTE(B1488,CHAR(34),CHAR(92)&amp;CHAR(34))</f>
        <v>Cả hai biển.</v>
      </c>
      <c r="H1487" t="str">
        <f>SUBSTITUTE(B1489,CHAR(34),CHAR(92)&amp;CHAR(34))</f>
        <v/>
      </c>
      <c r="I1487" t="str">
        <f>SUBSTITUTE(IF(LEFT(A1490,3)="Câu","",B1490),CHAR(34),CHAR(92)&amp;CHAR(34))</f>
        <v xml:space="preserve"> Biển 1.</v>
      </c>
      <c r="J1487" t="str">
        <f>SUBSTITUTE(IF(OR(LEFT(A1491,3)="Câu",I1487=""),"",IF(B1491=0,"",B1491)),CHAR(34),CHAR(92)&amp;CHAR(34))</f>
        <v>Biển 2.</v>
      </c>
      <c r="K1487" t="str">
        <f>SUBSTITUTE(SUBSTITUTE(SUBSTITUTE(SUBSTITUTE(IFERROR(VLOOKUP("Câu "&amp;D1487&amp;".",dapan!$E:$J,6,0),""),"1","A"),"2","B"),"3","C"),"4","D")</f>
        <v/>
      </c>
      <c r="P1487" t="str">
        <f t="shared" si="83"/>
        <v/>
      </c>
      <c r="Q1487" t="str">
        <f t="shared" si="84"/>
        <v/>
      </c>
    </row>
    <row r="1488" spans="1:17" hidden="1" x14ac:dyDescent="0.25">
      <c r="A1488">
        <v>3</v>
      </c>
      <c r="B1488" t="s">
        <v>1095</v>
      </c>
      <c r="C1488">
        <f>IFERROR(COUNTIFS($A$1:A1488,"Câu "&amp;"*")-MID(A1488,5,FIND(".",A1488,1)-5),0)</f>
        <v>0</v>
      </c>
      <c r="D1488" t="str">
        <f t="shared" si="82"/>
        <v/>
      </c>
      <c r="E1488" t="str">
        <f>SUBSTITUTE(IF(LEFT(A1488,3)="Câu",MID(A1488,FIND(".",A1488,1)+2,LEN(A1488)),""),CHAR(34),CHAR(92)&amp;CHAR(34))</f>
        <v/>
      </c>
      <c r="F1488" t="str">
        <f t="shared" si="81"/>
        <v/>
      </c>
      <c r="G1488" t="str">
        <f>SUBSTITUTE(B1489,CHAR(34),CHAR(92)&amp;CHAR(34))</f>
        <v/>
      </c>
      <c r="H1488" t="str">
        <f>SUBSTITUTE(B1490,CHAR(34),CHAR(92)&amp;CHAR(34))</f>
        <v xml:space="preserve"> Biển 1.</v>
      </c>
      <c r="I1488" t="str">
        <f>SUBSTITUTE(IF(LEFT(A1491,3)="Câu","",B1491),CHAR(34),CHAR(92)&amp;CHAR(34))</f>
        <v>Biển 2.</v>
      </c>
      <c r="J1488" t="str">
        <f>SUBSTITUTE(IF(OR(LEFT(A1492,3)="Câu",I1488=""),"",IF(B1492=0,"",B1492)),CHAR(34),CHAR(92)&amp;CHAR(34))</f>
        <v/>
      </c>
      <c r="K1488" t="str">
        <f>SUBSTITUTE(SUBSTITUTE(SUBSTITUTE(SUBSTITUTE(IFERROR(VLOOKUP("Câu "&amp;D1488&amp;".",dapan!$E:$J,6,0),""),"1","A"),"2","B"),"3","C"),"4","D")</f>
        <v/>
      </c>
      <c r="P1488" t="str">
        <f t="shared" si="83"/>
        <v/>
      </c>
      <c r="Q1488" t="str">
        <f t="shared" si="84"/>
        <v/>
      </c>
    </row>
    <row r="1489" spans="1:17" x14ac:dyDescent="0.25">
      <c r="A1489" t="s">
        <v>1177</v>
      </c>
      <c r="C1489">
        <f>IFERROR(COUNTIFS($A$1:A1489,"Câu "&amp;"*")-MID(A1489,5,FIND(".",A1489,1)-5),0)</f>
        <v>0</v>
      </c>
      <c r="D1489">
        <f t="shared" si="82"/>
        <v>361</v>
      </c>
      <c r="E1489" t="str">
        <f>SUBSTITUTE(IF(LEFT(A1489,3)="Câu",MID(A1489,FIND(".",A1489,1)+2,LEN(A1489)),""),CHAR(34),CHAR(92)&amp;CHAR(34))</f>
        <v>Biển báo nào báo hiệu bắt đầu đoạn đường vào phạm vi khu dân cư, các phương tiện tham gia giao thông phải tuân theo các quy định đi đường được áp dụng ở khu đông dân cư?</v>
      </c>
      <c r="F1489" t="str">
        <f t="shared" si="81"/>
        <v>q361.jpg</v>
      </c>
      <c r="G1489" t="str">
        <f>SUBSTITUTE(B1490,CHAR(34),CHAR(92)&amp;CHAR(34))</f>
        <v xml:space="preserve"> Biển 1.</v>
      </c>
      <c r="H1489" t="str">
        <f>SUBSTITUTE(B1491,CHAR(34),CHAR(92)&amp;CHAR(34))</f>
        <v>Biển 2.</v>
      </c>
      <c r="I1489" t="str">
        <f>SUBSTITUTE(IF(LEFT(A1492,3)="Câu","",B1492),CHAR(34),CHAR(92)&amp;CHAR(34))</f>
        <v/>
      </c>
      <c r="J1489" t="str">
        <f>SUBSTITUTE(IF(OR(LEFT(A1493,3)="Câu",I1489=""),"",IF(B1493=0,"",B1493)),CHAR(34),CHAR(92)&amp;CHAR(34))</f>
        <v/>
      </c>
      <c r="K1489" t="str">
        <f ca="1">SUBSTITUTE(SUBSTITUTE(SUBSTITUTE(SUBSTITUTE(IFERROR(VLOOKUP("Câu "&amp;D1489&amp;".",dapan!$E:$J,6,0),""),"1","A"),"2","B"),"3","C"),"4","D")</f>
        <v>A</v>
      </c>
      <c r="P1489">
        <f t="shared" si="83"/>
        <v>361</v>
      </c>
      <c r="Q1489" t="str">
        <f t="shared" ca="1" si="84"/>
        <v>{"num":361,"id":361,"q":"Biển báo nào báo hiệu bắt đầu đoạn đường vào phạm vi khu dân cư, các phương tiện tham gia giao thông phải tuân theo các quy định đi đường được áp dụng ở khu đông dân cư?","img":"q361.jpg","opts":{"A":" Biển 1.","B":"Biển 2."},"answer":"A"},</v>
      </c>
    </row>
    <row r="1490" spans="1:17" hidden="1" x14ac:dyDescent="0.25">
      <c r="A1490">
        <v>1</v>
      </c>
      <c r="B1490" t="s">
        <v>1066</v>
      </c>
      <c r="C1490">
        <f>IFERROR(COUNTIFS($A$1:A1490,"Câu "&amp;"*")-MID(A1490,5,FIND(".",A1490,1)-5),0)</f>
        <v>0</v>
      </c>
      <c r="D1490" t="str">
        <f t="shared" si="82"/>
        <v/>
      </c>
      <c r="E1490" t="str">
        <f>SUBSTITUTE(IF(LEFT(A1490,3)="Câu",MID(A1490,FIND(".",A1490,1)+2,LEN(A1490)),""),CHAR(34),CHAR(92)&amp;CHAR(34))</f>
        <v/>
      </c>
      <c r="F1490" t="str">
        <f t="shared" si="81"/>
        <v/>
      </c>
      <c r="G1490" t="str">
        <f>SUBSTITUTE(B1491,CHAR(34),CHAR(92)&amp;CHAR(34))</f>
        <v>Biển 2.</v>
      </c>
      <c r="H1490" t="str">
        <f>SUBSTITUTE(B1492,CHAR(34),CHAR(92)&amp;CHAR(34))</f>
        <v/>
      </c>
      <c r="I1490" t="str">
        <f>SUBSTITUTE(IF(LEFT(A1493,3)="Câu","",B1493),CHAR(34),CHAR(92)&amp;CHAR(34))</f>
        <v>2</v>
      </c>
      <c r="J1490" t="str">
        <f>SUBSTITUTE(IF(OR(LEFT(A1494,3)="Câu",I1490=""),"",IF(B1494=0,"",B1494)),CHAR(34),CHAR(92)&amp;CHAR(34))</f>
        <v>Biển 1.</v>
      </c>
      <c r="K1490" t="str">
        <f>SUBSTITUTE(SUBSTITUTE(SUBSTITUTE(SUBSTITUTE(IFERROR(VLOOKUP("Câu "&amp;D1490&amp;".",dapan!$E:$J,6,0),""),"1","A"),"2","B"),"3","C"),"4","D")</f>
        <v/>
      </c>
      <c r="P1490" t="str">
        <f t="shared" si="83"/>
        <v/>
      </c>
      <c r="Q1490" t="str">
        <f t="shared" si="84"/>
        <v/>
      </c>
    </row>
    <row r="1491" spans="1:17" hidden="1" x14ac:dyDescent="0.25">
      <c r="A1491">
        <v>2</v>
      </c>
      <c r="B1491" t="s">
        <v>1068</v>
      </c>
      <c r="C1491">
        <f>IFERROR(COUNTIFS($A$1:A1491,"Câu "&amp;"*")-MID(A1491,5,FIND(".",A1491,1)-5),0)</f>
        <v>0</v>
      </c>
      <c r="D1491" t="str">
        <f t="shared" si="82"/>
        <v/>
      </c>
      <c r="E1491" t="str">
        <f>SUBSTITUTE(IF(LEFT(A1491,3)="Câu",MID(A1491,FIND(".",A1491,1)+2,LEN(A1491)),""),CHAR(34),CHAR(92)&amp;CHAR(34))</f>
        <v/>
      </c>
      <c r="F1491" t="str">
        <f t="shared" si="81"/>
        <v/>
      </c>
      <c r="G1491" t="str">
        <f>SUBSTITUTE(B1492,CHAR(34),CHAR(92)&amp;CHAR(34))</f>
        <v/>
      </c>
      <c r="H1491" t="str">
        <f>SUBSTITUTE(B1493,CHAR(34),CHAR(92)&amp;CHAR(34))</f>
        <v>2</v>
      </c>
      <c r="I1491" t="str">
        <f>SUBSTITUTE(IF(LEFT(A1494,3)="Câu","",B1494),CHAR(34),CHAR(92)&amp;CHAR(34))</f>
        <v>Biển 1.</v>
      </c>
      <c r="J1491" t="str">
        <f>SUBSTITUTE(IF(OR(LEFT(A1495,3)="Câu",I1491=""),"",IF(B1495=0,"",B1495)),CHAR(34),CHAR(92)&amp;CHAR(34))</f>
        <v xml:space="preserve"> Biển 2.</v>
      </c>
      <c r="K1491" t="str">
        <f>SUBSTITUTE(SUBSTITUTE(SUBSTITUTE(SUBSTITUTE(IFERROR(VLOOKUP("Câu "&amp;D1491&amp;".",dapan!$E:$J,6,0),""),"1","A"),"2","B"),"3","C"),"4","D")</f>
        <v/>
      </c>
      <c r="P1491" t="str">
        <f t="shared" si="83"/>
        <v/>
      </c>
      <c r="Q1491" t="str">
        <f t="shared" si="84"/>
        <v/>
      </c>
    </row>
    <row r="1492" spans="1:17" x14ac:dyDescent="0.25">
      <c r="A1492" t="s">
        <v>1178</v>
      </c>
      <c r="C1492">
        <f>IFERROR(COUNTIFS($A$1:A1492,"Câu "&amp;"*")-MID(A1492,5,FIND(".",A1492,1)-5),0)</f>
        <v>0</v>
      </c>
      <c r="D1492">
        <f t="shared" si="82"/>
        <v>362</v>
      </c>
      <c r="E1492" t="str">
        <f>SUBSTITUTE(IF(LEFT(A1492,3)="Câu",MID(A1492,FIND(".",A1492,1)+2,LEN(A1492)),""),CHAR(34),CHAR(92)&amp;CHAR(34))</f>
        <v>Biển nào báo hiệu hạn chế tốc độ của phương tiện không vượt quá trị số ghi trên biển?</v>
      </c>
      <c r="F1492" t="str">
        <f t="shared" si="81"/>
        <v>q362.jpg</v>
      </c>
      <c r="G1492" t="str">
        <f>SUBSTITUTE(B1493,CHAR(34),CHAR(92)&amp;CHAR(34))</f>
        <v>2</v>
      </c>
      <c r="H1492" t="str">
        <f>SUBSTITUTE(B1494,CHAR(34),CHAR(92)&amp;CHAR(34))</f>
        <v>Biển 1.</v>
      </c>
      <c r="I1492" t="str">
        <f>SUBSTITUTE(IF(LEFT(A1495,3)="Câu","",B1495),CHAR(34),CHAR(92)&amp;CHAR(34))</f>
        <v xml:space="preserve"> Biển 2.</v>
      </c>
      <c r="J1492" t="str">
        <f>SUBSTITUTE(IF(OR(LEFT(A1496,3)="Câu",I1492=""),"",IF(B1496=0,"",B1496)),CHAR(34),CHAR(92)&amp;CHAR(34))</f>
        <v/>
      </c>
      <c r="K1492" t="str">
        <f ca="1">SUBSTITUTE(SUBSTITUTE(SUBSTITUTE(SUBSTITUTE(IFERROR(VLOOKUP("Câu "&amp;D1492&amp;".",dapan!$E:$J,6,0),""),"1","A"),"2","B"),"3","C"),"4","D")</f>
        <v>B</v>
      </c>
      <c r="P1492">
        <f t="shared" si="83"/>
        <v>362</v>
      </c>
      <c r="Q1492" t="str">
        <f t="shared" ca="1" si="84"/>
        <v>{"num":362,"id":362,"q":"Biển nào báo hiệu hạn chế tốc độ của phương tiện không vượt quá trị số ghi trên biển?","img":"q362.jpg","opts":{"A":"2","B":"Biển 1.","C":" Biển 2."},"answer":"B"},</v>
      </c>
    </row>
    <row r="1493" spans="1:17" hidden="1" x14ac:dyDescent="0.25">
      <c r="A1493">
        <v>1</v>
      </c>
      <c r="B1493">
        <v>2</v>
      </c>
      <c r="C1493">
        <f>IFERROR(COUNTIFS($A$1:A1493,"Câu "&amp;"*")-MID(A1493,5,FIND(".",A1493,1)-5),0)</f>
        <v>0</v>
      </c>
      <c r="D1493" t="str">
        <f t="shared" si="82"/>
        <v/>
      </c>
      <c r="E1493" t="str">
        <f>SUBSTITUTE(IF(LEFT(A1493,3)="Câu",MID(A1493,FIND(".",A1493,1)+2,LEN(A1493)),""),CHAR(34),CHAR(92)&amp;CHAR(34))</f>
        <v/>
      </c>
      <c r="F1493" t="str">
        <f t="shared" si="81"/>
        <v/>
      </c>
      <c r="G1493" t="str">
        <f>SUBSTITUTE(B1494,CHAR(34),CHAR(92)&amp;CHAR(34))</f>
        <v>Biển 1.</v>
      </c>
      <c r="H1493" t="str">
        <f>SUBSTITUTE(B1495,CHAR(34),CHAR(92)&amp;CHAR(34))</f>
        <v xml:space="preserve"> Biển 2.</v>
      </c>
      <c r="I1493" t="str">
        <f>SUBSTITUTE(IF(LEFT(A1496,3)="Câu","",B1496),CHAR(34),CHAR(92)&amp;CHAR(34))</f>
        <v/>
      </c>
      <c r="J1493" t="str">
        <f>SUBSTITUTE(IF(OR(LEFT(A1497,3)="Câu",I1493=""),"",IF(B1497=0,"",B1497)),CHAR(34),CHAR(92)&amp;CHAR(34))</f>
        <v/>
      </c>
      <c r="K1493" t="str">
        <f>SUBSTITUTE(SUBSTITUTE(SUBSTITUTE(SUBSTITUTE(IFERROR(VLOOKUP("Câu "&amp;D1493&amp;".",dapan!$E:$J,6,0),""),"1","A"),"2","B"),"3","C"),"4","D")</f>
        <v/>
      </c>
      <c r="P1493" t="str">
        <f t="shared" si="83"/>
        <v/>
      </c>
      <c r="Q1493" t="str">
        <f t="shared" si="84"/>
        <v/>
      </c>
    </row>
    <row r="1494" spans="1:17" hidden="1" x14ac:dyDescent="0.25">
      <c r="A1494">
        <v>1</v>
      </c>
      <c r="B1494" t="s">
        <v>1075</v>
      </c>
      <c r="C1494">
        <f>IFERROR(COUNTIFS($A$1:A1494,"Câu "&amp;"*")-MID(A1494,5,FIND(".",A1494,1)-5),0)</f>
        <v>0</v>
      </c>
      <c r="D1494" t="str">
        <f t="shared" si="82"/>
        <v/>
      </c>
      <c r="E1494" t="str">
        <f>SUBSTITUTE(IF(LEFT(A1494,3)="Câu",MID(A1494,FIND(".",A1494,1)+2,LEN(A1494)),""),CHAR(34),CHAR(92)&amp;CHAR(34))</f>
        <v/>
      </c>
      <c r="F1494" t="str">
        <f t="shared" si="81"/>
        <v/>
      </c>
      <c r="G1494" t="str">
        <f>SUBSTITUTE(B1495,CHAR(34),CHAR(92)&amp;CHAR(34))</f>
        <v xml:space="preserve"> Biển 2.</v>
      </c>
      <c r="H1494" t="str">
        <f>SUBSTITUTE(B1496,CHAR(34),CHAR(92)&amp;CHAR(34))</f>
        <v/>
      </c>
      <c r="I1494" t="str">
        <f>SUBSTITUTE(IF(LEFT(A1497,3)="Câu","",B1497),CHAR(34),CHAR(92)&amp;CHAR(34))</f>
        <v>Biển 1.</v>
      </c>
      <c r="J1494" t="str">
        <f>SUBSTITUTE(IF(OR(LEFT(A1498,3)="Câu",I1494=""),"",IF(B1498=0,"",B1498)),CHAR(34),CHAR(92)&amp;CHAR(34))</f>
        <v xml:space="preserve"> Biển 2.</v>
      </c>
      <c r="K1494" t="str">
        <f>SUBSTITUTE(SUBSTITUTE(SUBSTITUTE(SUBSTITUTE(IFERROR(VLOOKUP("Câu "&amp;D1494&amp;".",dapan!$E:$J,6,0),""),"1","A"),"2","B"),"3","C"),"4","D")</f>
        <v/>
      </c>
      <c r="P1494" t="str">
        <f t="shared" si="83"/>
        <v/>
      </c>
      <c r="Q1494" t="str">
        <f t="shared" si="84"/>
        <v/>
      </c>
    </row>
    <row r="1495" spans="1:17" hidden="1" x14ac:dyDescent="0.25">
      <c r="A1495">
        <v>2</v>
      </c>
      <c r="B1495" t="s">
        <v>1090</v>
      </c>
      <c r="C1495">
        <f>IFERROR(COUNTIFS($A$1:A1495,"Câu "&amp;"*")-MID(A1495,5,FIND(".",A1495,1)-5),0)</f>
        <v>0</v>
      </c>
      <c r="D1495" t="str">
        <f t="shared" si="82"/>
        <v/>
      </c>
      <c r="E1495" t="str">
        <f>SUBSTITUTE(IF(LEFT(A1495,3)="Câu",MID(A1495,FIND(".",A1495,1)+2,LEN(A1495)),""),CHAR(34),CHAR(92)&amp;CHAR(34))</f>
        <v/>
      </c>
      <c r="F1495" t="str">
        <f t="shared" ref="F1495:F1558" si="85">IF(D1495="","","q"&amp;TEXT(D1495,"000")&amp;".jpg")</f>
        <v/>
      </c>
      <c r="G1495" t="str">
        <f>SUBSTITUTE(B1496,CHAR(34),CHAR(92)&amp;CHAR(34))</f>
        <v/>
      </c>
      <c r="H1495" t="str">
        <f>SUBSTITUTE(B1497,CHAR(34),CHAR(92)&amp;CHAR(34))</f>
        <v>Biển 1.</v>
      </c>
      <c r="I1495" t="str">
        <f>SUBSTITUTE(IF(LEFT(A1498,3)="Câu","",B1498),CHAR(34),CHAR(92)&amp;CHAR(34))</f>
        <v xml:space="preserve"> Biển 2.</v>
      </c>
      <c r="J1495" t="str">
        <f>SUBSTITUTE(IF(OR(LEFT(A1499,3)="Câu",I1495=""),"",IF(B1499=0,"",B1499)),CHAR(34),CHAR(92)&amp;CHAR(34))</f>
        <v>Biển 3.</v>
      </c>
      <c r="K1495" t="str">
        <f>SUBSTITUTE(SUBSTITUTE(SUBSTITUTE(SUBSTITUTE(IFERROR(VLOOKUP("Câu "&amp;D1495&amp;".",dapan!$E:$J,6,0),""),"1","A"),"2","B"),"3","C"),"4","D")</f>
        <v/>
      </c>
      <c r="P1495" t="str">
        <f t="shared" si="83"/>
        <v/>
      </c>
      <c r="Q1495" t="str">
        <f t="shared" si="84"/>
        <v/>
      </c>
    </row>
    <row r="1496" spans="1:17" x14ac:dyDescent="0.25">
      <c r="A1496" t="s">
        <v>1179</v>
      </c>
      <c r="C1496">
        <f>IFERROR(COUNTIFS($A$1:A1496,"Câu "&amp;"*")-MID(A1496,5,FIND(".",A1496,1)-5),0)</f>
        <v>0</v>
      </c>
      <c r="D1496">
        <f t="shared" si="82"/>
        <v>363</v>
      </c>
      <c r="E1496" t="str">
        <f>SUBSTITUTE(IF(LEFT(A1496,3)="Câu",MID(A1496,FIND(".",A1496,1)+2,LEN(A1496)),""),CHAR(34),CHAR(92)&amp;CHAR(34))</f>
        <v>Trong các biển báo dưới đây biển nào báo hiệu \"Kết thúc đường cao tốc\"?</v>
      </c>
      <c r="F1496" t="str">
        <f t="shared" si="85"/>
        <v>q363.jpg</v>
      </c>
      <c r="G1496" t="str">
        <f>SUBSTITUTE(B1497,CHAR(34),CHAR(92)&amp;CHAR(34))</f>
        <v>Biển 1.</v>
      </c>
      <c r="H1496" t="str">
        <f>SUBSTITUTE(B1498,CHAR(34),CHAR(92)&amp;CHAR(34))</f>
        <v xml:space="preserve"> Biển 2.</v>
      </c>
      <c r="I1496" t="str">
        <f>SUBSTITUTE(IF(LEFT(A1499,3)="Câu","",B1499),CHAR(34),CHAR(92)&amp;CHAR(34))</f>
        <v>Biển 3.</v>
      </c>
      <c r="J1496" t="str">
        <f>SUBSTITUTE(IF(OR(LEFT(A1500,3)="Câu",I1496=""),"",IF(B1500=0,"",B1500)),CHAR(34),CHAR(92)&amp;CHAR(34))</f>
        <v/>
      </c>
      <c r="K1496" t="str">
        <f ca="1">SUBSTITUTE(SUBSTITUTE(SUBSTITUTE(SUBSTITUTE(IFERROR(VLOOKUP("Câu "&amp;D1496&amp;".",dapan!$E:$J,6,0),""),"1","A"),"2","B"),"3","C"),"4","D")</f>
        <v>B</v>
      </c>
      <c r="P1496">
        <f t="shared" si="83"/>
        <v>363</v>
      </c>
      <c r="Q1496" t="str">
        <f t="shared" ca="1" si="84"/>
        <v>{"num":363,"id":363,"q":"Trong các biển báo dưới đây biển nào báo hiệu \"Kết thúc đường cao tốc\"?","img":"q363.jpg","opts":{"A":"Biển 1.","B":" Biển 2.","C":"Biển 3."},"answer":"B"},</v>
      </c>
    </row>
    <row r="1497" spans="1:17" hidden="1" x14ac:dyDescent="0.25">
      <c r="A1497">
        <v>1</v>
      </c>
      <c r="B1497" t="s">
        <v>1075</v>
      </c>
      <c r="C1497">
        <f>IFERROR(COUNTIFS($A$1:A1497,"Câu "&amp;"*")-MID(A1497,5,FIND(".",A1497,1)-5),0)</f>
        <v>0</v>
      </c>
      <c r="D1497" t="str">
        <f t="shared" ref="D1497:D1560" si="86">IF(LEFT(A1497,3)="Câu",VALUE(MID(A1497,5,FIND(".",A1497,1)-5)),"")</f>
        <v/>
      </c>
      <c r="E1497" t="str">
        <f>SUBSTITUTE(IF(LEFT(A1497,3)="Câu",MID(A1497,FIND(".",A1497,1)+2,LEN(A1497)),""),CHAR(34),CHAR(92)&amp;CHAR(34))</f>
        <v/>
      </c>
      <c r="F1497" t="str">
        <f t="shared" si="85"/>
        <v/>
      </c>
      <c r="G1497" t="str">
        <f>SUBSTITUTE(B1498,CHAR(34),CHAR(92)&amp;CHAR(34))</f>
        <v xml:space="preserve"> Biển 2.</v>
      </c>
      <c r="H1497" t="str">
        <f>SUBSTITUTE(B1499,CHAR(34),CHAR(92)&amp;CHAR(34))</f>
        <v>Biển 3.</v>
      </c>
      <c r="I1497" t="str">
        <f>SUBSTITUTE(IF(LEFT(A1500,3)="Câu","",B1500),CHAR(34),CHAR(92)&amp;CHAR(34))</f>
        <v/>
      </c>
      <c r="J1497" t="str">
        <f>SUBSTITUTE(IF(OR(LEFT(A1501,3)="Câu",I1497=""),"",IF(B1501=0,"",B1501)),CHAR(34),CHAR(92)&amp;CHAR(34))</f>
        <v/>
      </c>
      <c r="K1497" t="str">
        <f>SUBSTITUTE(SUBSTITUTE(SUBSTITUTE(SUBSTITUTE(IFERROR(VLOOKUP("Câu "&amp;D1497&amp;".",dapan!$E:$J,6,0),""),"1","A"),"2","B"),"3","C"),"4","D")</f>
        <v/>
      </c>
      <c r="P1497" t="str">
        <f t="shared" si="83"/>
        <v/>
      </c>
      <c r="Q1497" t="str">
        <f t="shared" si="84"/>
        <v/>
      </c>
    </row>
    <row r="1498" spans="1:17" hidden="1" x14ac:dyDescent="0.25">
      <c r="A1498">
        <v>2</v>
      </c>
      <c r="B1498" t="s">
        <v>1090</v>
      </c>
      <c r="C1498">
        <f>IFERROR(COUNTIFS($A$1:A1498,"Câu "&amp;"*")-MID(A1498,5,FIND(".",A1498,1)-5),0)</f>
        <v>0</v>
      </c>
      <c r="D1498" t="str">
        <f t="shared" si="86"/>
        <v/>
      </c>
      <c r="E1498" t="str">
        <f>SUBSTITUTE(IF(LEFT(A1498,3)="Câu",MID(A1498,FIND(".",A1498,1)+2,LEN(A1498)),""),CHAR(34),CHAR(92)&amp;CHAR(34))</f>
        <v/>
      </c>
      <c r="F1498" t="str">
        <f t="shared" si="85"/>
        <v/>
      </c>
      <c r="G1498" t="str">
        <f>SUBSTITUTE(B1499,CHAR(34),CHAR(92)&amp;CHAR(34))</f>
        <v>Biển 3.</v>
      </c>
      <c r="H1498" t="str">
        <f>SUBSTITUTE(B1500,CHAR(34),CHAR(92)&amp;CHAR(34))</f>
        <v/>
      </c>
      <c r="I1498" t="str">
        <f>SUBSTITUTE(IF(LEFT(A1501,3)="Câu","",B1501),CHAR(34),CHAR(92)&amp;CHAR(34))</f>
        <v xml:space="preserve"> Tốc độ tối đa các xe cơ giới được phép chạy.</v>
      </c>
      <c r="J1498" t="str">
        <f>SUBSTITUTE(IF(OR(LEFT(A1502,3)="Câu",I1498=""),"",IF(B1502=0,"",B1502)),CHAR(34),CHAR(92)&amp;CHAR(34))</f>
        <v>Tốc độ tối thiểu các xe cơ giới được phép chạy.</v>
      </c>
      <c r="K1498" t="str">
        <f>SUBSTITUTE(SUBSTITUTE(SUBSTITUTE(SUBSTITUTE(IFERROR(VLOOKUP("Câu "&amp;D1498&amp;".",dapan!$E:$J,6,0),""),"1","A"),"2","B"),"3","C"),"4","D")</f>
        <v/>
      </c>
      <c r="P1498" t="str">
        <f t="shared" si="83"/>
        <v/>
      </c>
      <c r="Q1498" t="str">
        <f t="shared" si="84"/>
        <v/>
      </c>
    </row>
    <row r="1499" spans="1:17" hidden="1" x14ac:dyDescent="0.25">
      <c r="A1499">
        <v>3</v>
      </c>
      <c r="B1499" t="s">
        <v>1083</v>
      </c>
      <c r="C1499">
        <f>IFERROR(COUNTIFS($A$1:A1499,"Câu "&amp;"*")-MID(A1499,5,FIND(".",A1499,1)-5),0)</f>
        <v>0</v>
      </c>
      <c r="D1499" t="str">
        <f t="shared" si="86"/>
        <v/>
      </c>
      <c r="E1499" t="str">
        <f>SUBSTITUTE(IF(LEFT(A1499,3)="Câu",MID(A1499,FIND(".",A1499,1)+2,LEN(A1499)),""),CHAR(34),CHAR(92)&amp;CHAR(34))</f>
        <v/>
      </c>
      <c r="F1499" t="str">
        <f t="shared" si="85"/>
        <v/>
      </c>
      <c r="G1499" t="str">
        <f>SUBSTITUTE(B1500,CHAR(34),CHAR(92)&amp;CHAR(34))</f>
        <v/>
      </c>
      <c r="H1499" t="str">
        <f>SUBSTITUTE(B1501,CHAR(34),CHAR(92)&amp;CHAR(34))</f>
        <v xml:space="preserve"> Tốc độ tối đa các xe cơ giới được phép chạy.</v>
      </c>
      <c r="I1499" t="str">
        <f>SUBSTITUTE(IF(LEFT(A1502,3)="Câu","",B1502),CHAR(34),CHAR(92)&amp;CHAR(34))</f>
        <v>Tốc độ tối thiểu các xe cơ giới được phép chạy.</v>
      </c>
      <c r="J1499" t="str">
        <f>SUBSTITUTE(IF(OR(LEFT(A1503,3)="Câu",I1499=""),"",IF(B1503=0,"",B1503)),CHAR(34),CHAR(92)&amp;CHAR(34))</f>
        <v/>
      </c>
      <c r="K1499" t="str">
        <f>SUBSTITUTE(SUBSTITUTE(SUBSTITUTE(SUBSTITUTE(IFERROR(VLOOKUP("Câu "&amp;D1499&amp;".",dapan!$E:$J,6,0),""),"1","A"),"2","B"),"3","C"),"4","D")</f>
        <v/>
      </c>
      <c r="P1499" t="str">
        <f t="shared" si="83"/>
        <v/>
      </c>
      <c r="Q1499" t="str">
        <f t="shared" si="84"/>
        <v/>
      </c>
    </row>
    <row r="1500" spans="1:17" x14ac:dyDescent="0.25">
      <c r="A1500" t="s">
        <v>1180</v>
      </c>
      <c r="C1500">
        <f>IFERROR(COUNTIFS($A$1:A1500,"Câu "&amp;"*")-MID(A1500,5,FIND(".",A1500,1)-5),0)</f>
        <v>0</v>
      </c>
      <c r="D1500">
        <f t="shared" si="86"/>
        <v>364</v>
      </c>
      <c r="E1500" t="str">
        <f>SUBSTITUTE(IF(LEFT(A1500,3)="Câu",MID(A1500,FIND(".",A1500,1)+2,LEN(A1500)),""),CHAR(34),CHAR(92)&amp;CHAR(34))</f>
        <v>Số 50 ghi trên biển báo dưới đây có ý nghĩa như thế nào?</v>
      </c>
      <c r="F1500" t="str">
        <f t="shared" si="85"/>
        <v>q364.jpg</v>
      </c>
      <c r="G1500" t="str">
        <f>SUBSTITUTE(B1501,CHAR(34),CHAR(92)&amp;CHAR(34))</f>
        <v xml:space="preserve"> Tốc độ tối đa các xe cơ giới được phép chạy.</v>
      </c>
      <c r="H1500" t="str">
        <f>SUBSTITUTE(B1502,CHAR(34),CHAR(92)&amp;CHAR(34))</f>
        <v>Tốc độ tối thiểu các xe cơ giới được phép chạy.</v>
      </c>
      <c r="I1500" t="str">
        <f>SUBSTITUTE(IF(LEFT(A1503,3)="Câu","",B1503),CHAR(34),CHAR(92)&amp;CHAR(34))</f>
        <v/>
      </c>
      <c r="J1500" t="str">
        <f>SUBSTITUTE(IF(OR(LEFT(A1504,3)="Câu",I1500=""),"",IF(B1504=0,"",B1504)),CHAR(34),CHAR(92)&amp;CHAR(34))</f>
        <v/>
      </c>
      <c r="K1500" t="str">
        <f ca="1">SUBSTITUTE(SUBSTITUTE(SUBSTITUTE(SUBSTITUTE(IFERROR(VLOOKUP("Câu "&amp;D1500&amp;".",dapan!$E:$J,6,0),""),"1","A"),"2","B"),"3","C"),"4","D")</f>
        <v>A</v>
      </c>
      <c r="P1500">
        <f t="shared" si="83"/>
        <v>364</v>
      </c>
      <c r="Q1500" t="str">
        <f t="shared" ca="1" si="84"/>
        <v>{"num":364,"id":364,"q":"Số 50 ghi trên biển báo dưới đây có ý nghĩa như thế nào?","img":"q364.jpg","opts":{"A":" Tốc độ tối đa các xe cơ giới được phép chạy.","B":"Tốc độ tối thiểu các xe cơ giới được phép chạy."},"answer":"A"},</v>
      </c>
    </row>
    <row r="1501" spans="1:17" hidden="1" x14ac:dyDescent="0.25">
      <c r="A1501">
        <v>1</v>
      </c>
      <c r="B1501" t="s">
        <v>1181</v>
      </c>
      <c r="C1501">
        <f>IFERROR(COUNTIFS($A$1:A1501,"Câu "&amp;"*")-MID(A1501,5,FIND(".",A1501,1)-5),0)</f>
        <v>0</v>
      </c>
      <c r="D1501" t="str">
        <f t="shared" si="86"/>
        <v/>
      </c>
      <c r="E1501" t="str">
        <f>SUBSTITUTE(IF(LEFT(A1501,3)="Câu",MID(A1501,FIND(".",A1501,1)+2,LEN(A1501)),""),CHAR(34),CHAR(92)&amp;CHAR(34))</f>
        <v/>
      </c>
      <c r="F1501" t="str">
        <f t="shared" si="85"/>
        <v/>
      </c>
      <c r="G1501" t="str">
        <f>SUBSTITUTE(B1502,CHAR(34),CHAR(92)&amp;CHAR(34))</f>
        <v>Tốc độ tối thiểu các xe cơ giới được phép chạy.</v>
      </c>
      <c r="H1501" t="str">
        <f>SUBSTITUTE(B1503,CHAR(34),CHAR(92)&amp;CHAR(34))</f>
        <v/>
      </c>
      <c r="I1501" t="str">
        <f>SUBSTITUTE(IF(LEFT(A1504,3)="Câu","",B1504),CHAR(34),CHAR(92)&amp;CHAR(34))</f>
        <v>Biển 1.</v>
      </c>
      <c r="J1501" t="str">
        <f>SUBSTITUTE(IF(OR(LEFT(A1505,3)="Câu",I1501=""),"",IF(B1505=0,"",B1505)),CHAR(34),CHAR(92)&amp;CHAR(34))</f>
        <v xml:space="preserve"> Biển 2.</v>
      </c>
      <c r="K1501" t="str">
        <f>SUBSTITUTE(SUBSTITUTE(SUBSTITUTE(SUBSTITUTE(IFERROR(VLOOKUP("Câu "&amp;D1501&amp;".",dapan!$E:$J,6,0),""),"1","A"),"2","B"),"3","C"),"4","D")</f>
        <v/>
      </c>
      <c r="P1501" t="str">
        <f t="shared" si="83"/>
        <v/>
      </c>
      <c r="Q1501" t="str">
        <f t="shared" si="84"/>
        <v/>
      </c>
    </row>
    <row r="1502" spans="1:17" hidden="1" x14ac:dyDescent="0.25">
      <c r="A1502">
        <v>2</v>
      </c>
      <c r="B1502" t="s">
        <v>1182</v>
      </c>
      <c r="C1502">
        <f>IFERROR(COUNTIFS($A$1:A1502,"Câu "&amp;"*")-MID(A1502,5,FIND(".",A1502,1)-5),0)</f>
        <v>0</v>
      </c>
      <c r="D1502" t="str">
        <f t="shared" si="86"/>
        <v/>
      </c>
      <c r="E1502" t="str">
        <f>SUBSTITUTE(IF(LEFT(A1502,3)="Câu",MID(A1502,FIND(".",A1502,1)+2,LEN(A1502)),""),CHAR(34),CHAR(92)&amp;CHAR(34))</f>
        <v/>
      </c>
      <c r="F1502" t="str">
        <f t="shared" si="85"/>
        <v/>
      </c>
      <c r="G1502" t="str">
        <f>SUBSTITUTE(B1503,CHAR(34),CHAR(92)&amp;CHAR(34))</f>
        <v/>
      </c>
      <c r="H1502" t="str">
        <f>SUBSTITUTE(B1504,CHAR(34),CHAR(92)&amp;CHAR(34))</f>
        <v>Biển 1.</v>
      </c>
      <c r="I1502" t="str">
        <f>SUBSTITUTE(IF(LEFT(A1505,3)="Câu","",B1505),CHAR(34),CHAR(92)&amp;CHAR(34))</f>
        <v xml:space="preserve"> Biển 2.</v>
      </c>
      <c r="J1502" t="str">
        <f>SUBSTITUTE(IF(OR(LEFT(A1506,3)="Câu",I1502=""),"",IF(B1506=0,"",B1506)),CHAR(34),CHAR(92)&amp;CHAR(34))</f>
        <v>Cả hai biển.</v>
      </c>
      <c r="K1502" t="str">
        <f>SUBSTITUTE(SUBSTITUTE(SUBSTITUTE(SUBSTITUTE(IFERROR(VLOOKUP("Câu "&amp;D1502&amp;".",dapan!$E:$J,6,0),""),"1","A"),"2","B"),"3","C"),"4","D")</f>
        <v/>
      </c>
      <c r="P1502" t="str">
        <f t="shared" si="83"/>
        <v/>
      </c>
      <c r="Q1502" t="str">
        <f t="shared" si="84"/>
        <v/>
      </c>
    </row>
    <row r="1503" spans="1:17" x14ac:dyDescent="0.25">
      <c r="A1503" t="s">
        <v>1183</v>
      </c>
      <c r="C1503">
        <f>IFERROR(COUNTIFS($A$1:A1503,"Câu "&amp;"*")-MID(A1503,5,FIND(".",A1503,1)-5),0)</f>
        <v>0</v>
      </c>
      <c r="D1503">
        <f t="shared" si="86"/>
        <v>365</v>
      </c>
      <c r="E1503" t="str">
        <f>SUBSTITUTE(IF(LEFT(A1503,3)="Câu",MID(A1503,FIND(".",A1503,1)+2,LEN(A1503)),""),CHAR(34),CHAR(92)&amp;CHAR(34))</f>
        <v>Biển nào dưới đây chỉ dẫn bắt đầu đường cao tốc phân làn đường có tốc độ khác nhau?</v>
      </c>
      <c r="F1503" t="str">
        <f t="shared" si="85"/>
        <v>q365.jpg</v>
      </c>
      <c r="G1503" t="str">
        <f>SUBSTITUTE(B1504,CHAR(34),CHAR(92)&amp;CHAR(34))</f>
        <v>Biển 1.</v>
      </c>
      <c r="H1503" t="str">
        <f>SUBSTITUTE(B1505,CHAR(34),CHAR(92)&amp;CHAR(34))</f>
        <v xml:space="preserve"> Biển 2.</v>
      </c>
      <c r="I1503" t="str">
        <f>SUBSTITUTE(IF(LEFT(A1506,3)="Câu","",B1506),CHAR(34),CHAR(92)&amp;CHAR(34))</f>
        <v>Cả hai biển.</v>
      </c>
      <c r="J1503" t="str">
        <f>SUBSTITUTE(IF(OR(LEFT(A1507,3)="Câu",I1503=""),"",IF(B1507=0,"",B1507)),CHAR(34),CHAR(92)&amp;CHAR(34))</f>
        <v/>
      </c>
      <c r="K1503" t="str">
        <f ca="1">SUBSTITUTE(SUBSTITUTE(SUBSTITUTE(SUBSTITUTE(IFERROR(VLOOKUP("Câu "&amp;D1503&amp;".",dapan!$E:$J,6,0),""),"1","A"),"2","B"),"3","C"),"4","D")</f>
        <v>B</v>
      </c>
      <c r="P1503">
        <f t="shared" si="83"/>
        <v>365</v>
      </c>
      <c r="Q1503" t="str">
        <f t="shared" ca="1" si="84"/>
        <v>{"num":365,"id":365,"q":"Biển nào dưới đây chỉ dẫn bắt đầu đường cao tốc phân làn đường có tốc độ khác nhau?","img":"q365.jpg","opts":{"A":"Biển 1.","B":" Biển 2.","C":"Cả hai biển."},"answer":"B"},</v>
      </c>
    </row>
    <row r="1504" spans="1:17" hidden="1" x14ac:dyDescent="0.25">
      <c r="A1504">
        <v>1</v>
      </c>
      <c r="B1504" t="s">
        <v>1075</v>
      </c>
      <c r="C1504">
        <f>IFERROR(COUNTIFS($A$1:A1504,"Câu "&amp;"*")-MID(A1504,5,FIND(".",A1504,1)-5),0)</f>
        <v>0</v>
      </c>
      <c r="D1504" t="str">
        <f t="shared" si="86"/>
        <v/>
      </c>
      <c r="E1504" t="str">
        <f>SUBSTITUTE(IF(LEFT(A1504,3)="Câu",MID(A1504,FIND(".",A1504,1)+2,LEN(A1504)),""),CHAR(34),CHAR(92)&amp;CHAR(34))</f>
        <v/>
      </c>
      <c r="F1504" t="str">
        <f t="shared" si="85"/>
        <v/>
      </c>
      <c r="G1504" t="str">
        <f>SUBSTITUTE(B1505,CHAR(34),CHAR(92)&amp;CHAR(34))</f>
        <v xml:space="preserve"> Biển 2.</v>
      </c>
      <c r="H1504" t="str">
        <f>SUBSTITUTE(B1506,CHAR(34),CHAR(92)&amp;CHAR(34))</f>
        <v>Cả hai biển.</v>
      </c>
      <c r="I1504" t="str">
        <f>SUBSTITUTE(IF(LEFT(A1507,3)="Câu","",B1507),CHAR(34),CHAR(92)&amp;CHAR(34))</f>
        <v/>
      </c>
      <c r="J1504" t="str">
        <f>SUBSTITUTE(IF(OR(LEFT(A1508,3)="Câu",I1504=""),"",IF(B1508=0,"",B1508)),CHAR(34),CHAR(92)&amp;CHAR(34))</f>
        <v/>
      </c>
      <c r="K1504" t="str">
        <f>SUBSTITUTE(SUBSTITUTE(SUBSTITUTE(SUBSTITUTE(IFERROR(VLOOKUP("Câu "&amp;D1504&amp;".",dapan!$E:$J,6,0),""),"1","A"),"2","B"),"3","C"),"4","D")</f>
        <v/>
      </c>
      <c r="P1504" t="str">
        <f t="shared" si="83"/>
        <v/>
      </c>
      <c r="Q1504" t="str">
        <f t="shared" si="84"/>
        <v/>
      </c>
    </row>
    <row r="1505" spans="1:17" hidden="1" x14ac:dyDescent="0.25">
      <c r="A1505">
        <v>2</v>
      </c>
      <c r="B1505" t="s">
        <v>1090</v>
      </c>
      <c r="C1505">
        <f>IFERROR(COUNTIFS($A$1:A1505,"Câu "&amp;"*")-MID(A1505,5,FIND(".",A1505,1)-5),0)</f>
        <v>0</v>
      </c>
      <c r="D1505" t="str">
        <f t="shared" si="86"/>
        <v/>
      </c>
      <c r="E1505" t="str">
        <f>SUBSTITUTE(IF(LEFT(A1505,3)="Câu",MID(A1505,FIND(".",A1505,1)+2,LEN(A1505)),""),CHAR(34),CHAR(92)&amp;CHAR(34))</f>
        <v/>
      </c>
      <c r="F1505" t="str">
        <f t="shared" si="85"/>
        <v/>
      </c>
      <c r="G1505" t="str">
        <f>SUBSTITUTE(B1506,CHAR(34),CHAR(92)&amp;CHAR(34))</f>
        <v>Cả hai biển.</v>
      </c>
      <c r="H1505" t="str">
        <f>SUBSTITUTE(B1507,CHAR(34),CHAR(92)&amp;CHAR(34))</f>
        <v/>
      </c>
      <c r="I1505" t="str">
        <f>SUBSTITUTE(IF(LEFT(A1508,3)="Câu","",B1508),CHAR(34),CHAR(92)&amp;CHAR(34))</f>
        <v>Báo hiệu tốc độ tối đa cho phép các xe cơ giới chạy.</v>
      </c>
      <c r="J1505" t="str">
        <f>SUBSTITUTE(IF(OR(LEFT(A1509,3)="Câu",I1505=""),"",IF(B1509=0,"",B1509)),CHAR(34),CHAR(92)&amp;CHAR(34))</f>
        <v xml:space="preserve"> Báo hiệu tốc độ tối thiểu cho phép các xe cơ giới chạy.</v>
      </c>
      <c r="K1505" t="str">
        <f>SUBSTITUTE(SUBSTITUTE(SUBSTITUTE(SUBSTITUTE(IFERROR(VLOOKUP("Câu "&amp;D1505&amp;".",dapan!$E:$J,6,0),""),"1","A"),"2","B"),"3","C"),"4","D")</f>
        <v/>
      </c>
      <c r="P1505" t="str">
        <f t="shared" si="83"/>
        <v/>
      </c>
      <c r="Q1505" t="str">
        <f t="shared" si="84"/>
        <v/>
      </c>
    </row>
    <row r="1506" spans="1:17" hidden="1" x14ac:dyDescent="0.25">
      <c r="A1506">
        <v>3</v>
      </c>
      <c r="B1506" t="s">
        <v>1095</v>
      </c>
      <c r="C1506">
        <f>IFERROR(COUNTIFS($A$1:A1506,"Câu "&amp;"*")-MID(A1506,5,FIND(".",A1506,1)-5),0)</f>
        <v>0</v>
      </c>
      <c r="D1506" t="str">
        <f t="shared" si="86"/>
        <v/>
      </c>
      <c r="E1506" t="str">
        <f>SUBSTITUTE(IF(LEFT(A1506,3)="Câu",MID(A1506,FIND(".",A1506,1)+2,LEN(A1506)),""),CHAR(34),CHAR(92)&amp;CHAR(34))</f>
        <v/>
      </c>
      <c r="F1506" t="str">
        <f t="shared" si="85"/>
        <v/>
      </c>
      <c r="G1506" t="str">
        <f>SUBSTITUTE(B1507,CHAR(34),CHAR(92)&amp;CHAR(34))</f>
        <v/>
      </c>
      <c r="H1506" t="str">
        <f>SUBSTITUTE(B1508,CHAR(34),CHAR(92)&amp;CHAR(34))</f>
        <v>Báo hiệu tốc độ tối đa cho phép các xe cơ giới chạy.</v>
      </c>
      <c r="I1506" t="str">
        <f>SUBSTITUTE(IF(LEFT(A1509,3)="Câu","",B1509),CHAR(34),CHAR(92)&amp;CHAR(34))</f>
        <v xml:space="preserve"> Báo hiệu tốc độ tối thiểu cho phép các xe cơ giới chạy.</v>
      </c>
      <c r="J1506" t="str">
        <f>SUBSTITUTE(IF(OR(LEFT(A1510,3)="Câu",I1506=""),"",IF(B1510=0,"",B1510)),CHAR(34),CHAR(92)&amp;CHAR(34))</f>
        <v/>
      </c>
      <c r="K1506" t="str">
        <f>SUBSTITUTE(SUBSTITUTE(SUBSTITUTE(SUBSTITUTE(IFERROR(VLOOKUP("Câu "&amp;D1506&amp;".",dapan!$E:$J,6,0),""),"1","A"),"2","B"),"3","C"),"4","D")</f>
        <v/>
      </c>
      <c r="P1506" t="str">
        <f t="shared" si="83"/>
        <v/>
      </c>
      <c r="Q1506" t="str">
        <f t="shared" si="84"/>
        <v/>
      </c>
    </row>
    <row r="1507" spans="1:17" x14ac:dyDescent="0.25">
      <c r="A1507" t="s">
        <v>1184</v>
      </c>
      <c r="C1507">
        <f>IFERROR(COUNTIFS($A$1:A1507,"Câu "&amp;"*")-MID(A1507,5,FIND(".",A1507,1)-5),0)</f>
        <v>0</v>
      </c>
      <c r="D1507">
        <f t="shared" si="86"/>
        <v>366</v>
      </c>
      <c r="E1507" t="str">
        <f>SUBSTITUTE(IF(LEFT(A1507,3)="Câu",MID(A1507,FIND(".",A1507,1)+2,LEN(A1507)),""),CHAR(34),CHAR(92)&amp;CHAR(34))</f>
        <v>Biển báo dưới đây có ý nghĩa như thế nào?</v>
      </c>
      <c r="F1507" t="str">
        <f t="shared" si="85"/>
        <v>q366.jpg</v>
      </c>
      <c r="G1507" t="str">
        <f>SUBSTITUTE(B1508,CHAR(34),CHAR(92)&amp;CHAR(34))</f>
        <v>Báo hiệu tốc độ tối đa cho phép các xe cơ giới chạy.</v>
      </c>
      <c r="H1507" t="str">
        <f>SUBSTITUTE(B1509,CHAR(34),CHAR(92)&amp;CHAR(34))</f>
        <v xml:space="preserve"> Báo hiệu tốc độ tối thiểu cho phép các xe cơ giới chạy.</v>
      </c>
      <c r="I1507" t="str">
        <f>SUBSTITUTE(IF(LEFT(A1510,3)="Câu","",B1510),CHAR(34),CHAR(92)&amp;CHAR(34))</f>
        <v/>
      </c>
      <c r="J1507" t="str">
        <f>SUBSTITUTE(IF(OR(LEFT(A1511,3)="Câu",I1507=""),"",IF(B1511=0,"",B1511)),CHAR(34),CHAR(92)&amp;CHAR(34))</f>
        <v/>
      </c>
      <c r="K1507" t="str">
        <f ca="1">SUBSTITUTE(SUBSTITUTE(SUBSTITUTE(SUBSTITUTE(IFERROR(VLOOKUP("Câu "&amp;D1507&amp;".",dapan!$E:$J,6,0),""),"1","A"),"2","B"),"3","C"),"4","D")</f>
        <v>B</v>
      </c>
      <c r="P1507">
        <f t="shared" si="83"/>
        <v>366</v>
      </c>
      <c r="Q1507" t="str">
        <f t="shared" ca="1" si="84"/>
        <v>{"num":366,"id":366,"q":"Biển báo dưới đây có ý nghĩa như thế nào?","img":"q366.jpg","opts":{"A":"Báo hiệu tốc độ tối đa cho phép các xe cơ giới chạy.","B":" Báo hiệu tốc độ tối thiểu cho phép các xe cơ giới chạy."},"answer":"B"},</v>
      </c>
    </row>
    <row r="1508" spans="1:17" hidden="1" x14ac:dyDescent="0.25">
      <c r="A1508">
        <v>1</v>
      </c>
      <c r="B1508" t="s">
        <v>1185</v>
      </c>
      <c r="C1508">
        <f>IFERROR(COUNTIFS($A$1:A1508,"Câu "&amp;"*")-MID(A1508,5,FIND(".",A1508,1)-5),0)</f>
        <v>0</v>
      </c>
      <c r="D1508" t="str">
        <f t="shared" si="86"/>
        <v/>
      </c>
      <c r="E1508" t="str">
        <f>SUBSTITUTE(IF(LEFT(A1508,3)="Câu",MID(A1508,FIND(".",A1508,1)+2,LEN(A1508)),""),CHAR(34),CHAR(92)&amp;CHAR(34))</f>
        <v/>
      </c>
      <c r="F1508" t="str">
        <f t="shared" si="85"/>
        <v/>
      </c>
      <c r="G1508" t="str">
        <f>SUBSTITUTE(B1509,CHAR(34),CHAR(92)&amp;CHAR(34))</f>
        <v xml:space="preserve"> Báo hiệu tốc độ tối thiểu cho phép các xe cơ giới chạy.</v>
      </c>
      <c r="H1508" t="str">
        <f>SUBSTITUTE(B1510,CHAR(34),CHAR(92)&amp;CHAR(34))</f>
        <v/>
      </c>
      <c r="I1508" t="str">
        <f>SUBSTITUTE(IF(LEFT(A1511,3)="Câu","",B1511),CHAR(34),CHAR(92)&amp;CHAR(34))</f>
        <v xml:space="preserve"> Biển 1.</v>
      </c>
      <c r="J1508" t="str">
        <f>SUBSTITUTE(IF(OR(LEFT(A1512,3)="Câu",I1508=""),"",IF(B1512=0,"",B1512)),CHAR(34),CHAR(92)&amp;CHAR(34))</f>
        <v>Biển 2.</v>
      </c>
      <c r="K1508" t="str">
        <f>SUBSTITUTE(SUBSTITUTE(SUBSTITUTE(SUBSTITUTE(IFERROR(VLOOKUP("Câu "&amp;D1508&amp;".",dapan!$E:$J,6,0),""),"1","A"),"2","B"),"3","C"),"4","D")</f>
        <v/>
      </c>
      <c r="P1508" t="str">
        <f t="shared" si="83"/>
        <v/>
      </c>
      <c r="Q1508" t="str">
        <f t="shared" si="84"/>
        <v/>
      </c>
    </row>
    <row r="1509" spans="1:17" hidden="1" x14ac:dyDescent="0.25">
      <c r="A1509">
        <v>2</v>
      </c>
      <c r="B1509" t="s">
        <v>1186</v>
      </c>
      <c r="C1509">
        <f>IFERROR(COUNTIFS($A$1:A1509,"Câu "&amp;"*")-MID(A1509,5,FIND(".",A1509,1)-5),0)</f>
        <v>0</v>
      </c>
      <c r="D1509" t="str">
        <f t="shared" si="86"/>
        <v/>
      </c>
      <c r="E1509" t="str">
        <f>SUBSTITUTE(IF(LEFT(A1509,3)="Câu",MID(A1509,FIND(".",A1509,1)+2,LEN(A1509)),""),CHAR(34),CHAR(92)&amp;CHAR(34))</f>
        <v/>
      </c>
      <c r="F1509" t="str">
        <f t="shared" si="85"/>
        <v/>
      </c>
      <c r="G1509" t="str">
        <f>SUBSTITUTE(B1510,CHAR(34),CHAR(92)&amp;CHAR(34))</f>
        <v/>
      </c>
      <c r="H1509" t="str">
        <f>SUBSTITUTE(B1511,CHAR(34),CHAR(92)&amp;CHAR(34))</f>
        <v xml:space="preserve"> Biển 1.</v>
      </c>
      <c r="I1509" t="str">
        <f>SUBSTITUTE(IF(LEFT(A1512,3)="Câu","",B1512),CHAR(34),CHAR(92)&amp;CHAR(34))</f>
        <v>Biển 2.</v>
      </c>
      <c r="J1509" t="str">
        <f>SUBSTITUTE(IF(OR(LEFT(A1513,3)="Câu",I1509=""),"",IF(B1513=0,"",B1513)),CHAR(34),CHAR(92)&amp;CHAR(34))</f>
        <v>Biển 3.</v>
      </c>
      <c r="K1509" t="str">
        <f>SUBSTITUTE(SUBSTITUTE(SUBSTITUTE(SUBSTITUTE(IFERROR(VLOOKUP("Câu "&amp;D1509&amp;".",dapan!$E:$J,6,0),""),"1","A"),"2","B"),"3","C"),"4","D")</f>
        <v/>
      </c>
      <c r="P1509" t="str">
        <f t="shared" si="83"/>
        <v/>
      </c>
      <c r="Q1509" t="str">
        <f t="shared" si="84"/>
        <v/>
      </c>
    </row>
    <row r="1510" spans="1:17" x14ac:dyDescent="0.25">
      <c r="A1510" t="s">
        <v>1187</v>
      </c>
      <c r="C1510">
        <f>IFERROR(COUNTIFS($A$1:A1510,"Câu "&amp;"*")-MID(A1510,5,FIND(".",A1510,1)-5),0)</f>
        <v>0</v>
      </c>
      <c r="D1510">
        <f t="shared" si="86"/>
        <v>367</v>
      </c>
      <c r="E1510" t="str">
        <f>SUBSTITUTE(IF(LEFT(A1510,3)="Câu",MID(A1510,FIND(".",A1510,1)+2,LEN(A1510)),""),CHAR(34),CHAR(92)&amp;CHAR(34))</f>
        <v>Gặp biển nào người lái xe phải nhường đường cho người đi bộ?</v>
      </c>
      <c r="F1510" t="str">
        <f t="shared" si="85"/>
        <v>q367.jpg</v>
      </c>
      <c r="G1510" t="str">
        <f>SUBSTITUTE(B1511,CHAR(34),CHAR(92)&amp;CHAR(34))</f>
        <v xml:space="preserve"> Biển 1.</v>
      </c>
      <c r="H1510" t="str">
        <f>SUBSTITUTE(B1512,CHAR(34),CHAR(92)&amp;CHAR(34))</f>
        <v>Biển 2.</v>
      </c>
      <c r="I1510" t="str">
        <f>SUBSTITUTE(IF(LEFT(A1513,3)="Câu","",B1513),CHAR(34),CHAR(92)&amp;CHAR(34))</f>
        <v>Biển 3.</v>
      </c>
      <c r="J1510" t="str">
        <f>SUBSTITUTE(IF(OR(LEFT(A1514,3)="Câu",I1510=""),"",IF(B1514=0,"",B1514)),CHAR(34),CHAR(92)&amp;CHAR(34))</f>
        <v/>
      </c>
      <c r="K1510" t="str">
        <f ca="1">SUBSTITUTE(SUBSTITUTE(SUBSTITUTE(SUBSTITUTE(IFERROR(VLOOKUP("Câu "&amp;D1510&amp;".",dapan!$E:$J,6,0),""),"1","A"),"2","B"),"3","C"),"4","D")</f>
        <v>A</v>
      </c>
      <c r="P1510">
        <f t="shared" si="83"/>
        <v>367</v>
      </c>
      <c r="Q1510" t="str">
        <f t="shared" ca="1" si="84"/>
        <v>{"num":367,"id":367,"q":"Gặp biển nào người lái xe phải nhường đường cho người đi bộ?","img":"q367.jpg","opts":{"A":" Biển 1.","B":"Biển 2.","C":"Biển 3."},"answer":"A"},</v>
      </c>
    </row>
    <row r="1511" spans="1:17" hidden="1" x14ac:dyDescent="0.25">
      <c r="A1511">
        <v>1</v>
      </c>
      <c r="B1511" t="s">
        <v>1066</v>
      </c>
      <c r="C1511">
        <f>IFERROR(COUNTIFS($A$1:A1511,"Câu "&amp;"*")-MID(A1511,5,FIND(".",A1511,1)-5),0)</f>
        <v>0</v>
      </c>
      <c r="D1511" t="str">
        <f t="shared" si="86"/>
        <v/>
      </c>
      <c r="E1511" t="str">
        <f>SUBSTITUTE(IF(LEFT(A1511,3)="Câu",MID(A1511,FIND(".",A1511,1)+2,LEN(A1511)),""),CHAR(34),CHAR(92)&amp;CHAR(34))</f>
        <v/>
      </c>
      <c r="F1511" t="str">
        <f t="shared" si="85"/>
        <v/>
      </c>
      <c r="G1511" t="str">
        <f>SUBSTITUTE(B1512,CHAR(34),CHAR(92)&amp;CHAR(34))</f>
        <v>Biển 2.</v>
      </c>
      <c r="H1511" t="str">
        <f>SUBSTITUTE(B1513,CHAR(34),CHAR(92)&amp;CHAR(34))</f>
        <v>Biển 3.</v>
      </c>
      <c r="I1511" t="str">
        <f>SUBSTITUTE(IF(LEFT(A1514,3)="Câu","",B1514),CHAR(34),CHAR(92)&amp;CHAR(34))</f>
        <v/>
      </c>
      <c r="J1511" t="str">
        <f>SUBSTITUTE(IF(OR(LEFT(A1515,3)="Câu",I1511=""),"",IF(B1515=0,"",B1515)),CHAR(34),CHAR(92)&amp;CHAR(34))</f>
        <v/>
      </c>
      <c r="K1511" t="str">
        <f>SUBSTITUTE(SUBSTITUTE(SUBSTITUTE(SUBSTITUTE(IFERROR(VLOOKUP("Câu "&amp;D1511&amp;".",dapan!$E:$J,6,0),""),"1","A"),"2","B"),"3","C"),"4","D")</f>
        <v/>
      </c>
      <c r="P1511" t="str">
        <f t="shared" si="83"/>
        <v/>
      </c>
      <c r="Q1511" t="str">
        <f t="shared" si="84"/>
        <v/>
      </c>
    </row>
    <row r="1512" spans="1:17" hidden="1" x14ac:dyDescent="0.25">
      <c r="A1512">
        <v>2</v>
      </c>
      <c r="B1512" t="s">
        <v>1068</v>
      </c>
      <c r="C1512">
        <f>IFERROR(COUNTIFS($A$1:A1512,"Câu "&amp;"*")-MID(A1512,5,FIND(".",A1512,1)-5),0)</f>
        <v>0</v>
      </c>
      <c r="D1512" t="str">
        <f t="shared" si="86"/>
        <v/>
      </c>
      <c r="E1512" t="str">
        <f>SUBSTITUTE(IF(LEFT(A1512,3)="Câu",MID(A1512,FIND(".",A1512,1)+2,LEN(A1512)),""),CHAR(34),CHAR(92)&amp;CHAR(34))</f>
        <v/>
      </c>
      <c r="F1512" t="str">
        <f t="shared" si="85"/>
        <v/>
      </c>
      <c r="G1512" t="str">
        <f>SUBSTITUTE(B1513,CHAR(34),CHAR(92)&amp;CHAR(34))</f>
        <v>Biển 3.</v>
      </c>
      <c r="H1512" t="str">
        <f>SUBSTITUTE(B1514,CHAR(34),CHAR(92)&amp;CHAR(34))</f>
        <v/>
      </c>
      <c r="I1512" t="str">
        <f>SUBSTITUTE(IF(LEFT(A1515,3)="Câu","",B1515),CHAR(34),CHAR(92)&amp;CHAR(34))</f>
        <v>Biển 1.</v>
      </c>
      <c r="J1512" t="str">
        <f>SUBSTITUTE(IF(OR(LEFT(A1516,3)="Câu",I1512=""),"",IF(B1516=0,"",B1516)),CHAR(34),CHAR(92)&amp;CHAR(34))</f>
        <v>Biển 1 và biển 3.</v>
      </c>
      <c r="K1512" t="str">
        <f>SUBSTITUTE(SUBSTITUTE(SUBSTITUTE(SUBSTITUTE(IFERROR(VLOOKUP("Câu "&amp;D1512&amp;".",dapan!$E:$J,6,0),""),"1","A"),"2","B"),"3","C"),"4","D")</f>
        <v/>
      </c>
      <c r="P1512" t="str">
        <f t="shared" si="83"/>
        <v/>
      </c>
      <c r="Q1512" t="str">
        <f t="shared" si="84"/>
        <v/>
      </c>
    </row>
    <row r="1513" spans="1:17" hidden="1" x14ac:dyDescent="0.25">
      <c r="A1513">
        <v>3</v>
      </c>
      <c r="B1513" t="s">
        <v>1083</v>
      </c>
      <c r="C1513">
        <f>IFERROR(COUNTIFS($A$1:A1513,"Câu "&amp;"*")-MID(A1513,5,FIND(".",A1513,1)-5),0)</f>
        <v>0</v>
      </c>
      <c r="D1513" t="str">
        <f t="shared" si="86"/>
        <v/>
      </c>
      <c r="E1513" t="str">
        <f>SUBSTITUTE(IF(LEFT(A1513,3)="Câu",MID(A1513,FIND(".",A1513,1)+2,LEN(A1513)),""),CHAR(34),CHAR(92)&amp;CHAR(34))</f>
        <v/>
      </c>
      <c r="F1513" t="str">
        <f t="shared" si="85"/>
        <v/>
      </c>
      <c r="G1513" t="str">
        <f>SUBSTITUTE(B1514,CHAR(34),CHAR(92)&amp;CHAR(34))</f>
        <v/>
      </c>
      <c r="H1513" t="str">
        <f>SUBSTITUTE(B1515,CHAR(34),CHAR(92)&amp;CHAR(34))</f>
        <v>Biển 1.</v>
      </c>
      <c r="I1513" t="str">
        <f>SUBSTITUTE(IF(LEFT(A1516,3)="Câu","",B1516),CHAR(34),CHAR(92)&amp;CHAR(34))</f>
        <v>Biển 1 và biển 3.</v>
      </c>
      <c r="J1513" t="str">
        <f>SUBSTITUTE(IF(OR(LEFT(A1517,3)="Câu",I1513=""),"",IF(B1517=0,"",B1517)),CHAR(34),CHAR(92)&amp;CHAR(34))</f>
        <v xml:space="preserve"> Biển 3.</v>
      </c>
      <c r="K1513" t="str">
        <f>SUBSTITUTE(SUBSTITUTE(SUBSTITUTE(SUBSTITUTE(IFERROR(VLOOKUP("Câu "&amp;D1513&amp;".",dapan!$E:$J,6,0),""),"1","A"),"2","B"),"3","C"),"4","D")</f>
        <v/>
      </c>
      <c r="P1513" t="str">
        <f t="shared" si="83"/>
        <v/>
      </c>
      <c r="Q1513" t="str">
        <f t="shared" si="84"/>
        <v/>
      </c>
    </row>
    <row r="1514" spans="1:17" x14ac:dyDescent="0.25">
      <c r="A1514" t="s">
        <v>1188</v>
      </c>
      <c r="C1514">
        <f>IFERROR(COUNTIFS($A$1:A1514,"Câu "&amp;"*")-MID(A1514,5,FIND(".",A1514,1)-5),0)</f>
        <v>0</v>
      </c>
      <c r="D1514">
        <f t="shared" si="86"/>
        <v>368</v>
      </c>
      <c r="E1514" t="str">
        <f>SUBSTITUTE(IF(LEFT(A1514,3)="Câu",MID(A1514,FIND(".",A1514,1)+2,LEN(A1514)),""),CHAR(34),CHAR(92)&amp;CHAR(34))</f>
        <v>Biển nào chỉ đường dành cho người đi bộ, các loại xe không được đi vào khi gặp biển này?</v>
      </c>
      <c r="F1514" t="str">
        <f t="shared" si="85"/>
        <v>q368.jpg</v>
      </c>
      <c r="G1514" t="str">
        <f>SUBSTITUTE(B1515,CHAR(34),CHAR(92)&amp;CHAR(34))</f>
        <v>Biển 1.</v>
      </c>
      <c r="H1514" t="str">
        <f>SUBSTITUTE(B1516,CHAR(34),CHAR(92)&amp;CHAR(34))</f>
        <v>Biển 1 và biển 3.</v>
      </c>
      <c r="I1514" t="str">
        <f>SUBSTITUTE(IF(LEFT(A1517,3)="Câu","",B1517),CHAR(34),CHAR(92)&amp;CHAR(34))</f>
        <v xml:space="preserve"> Biển 3.</v>
      </c>
      <c r="J1514" t="str">
        <f>SUBSTITUTE(IF(OR(LEFT(A1518,3)="Câu",I1514=""),"",IF(B1518=0,"",B1518)),CHAR(34),CHAR(92)&amp;CHAR(34))</f>
        <v>Cả ba biển.</v>
      </c>
      <c r="K1514" t="str">
        <f ca="1">SUBSTITUTE(SUBSTITUTE(SUBSTITUTE(SUBSTITUTE(IFERROR(VLOOKUP("Câu "&amp;D1514&amp;".",dapan!$E:$J,6,0),""),"1","A"),"2","B"),"3","C"),"4","D")</f>
        <v>C</v>
      </c>
      <c r="P1514">
        <f t="shared" si="83"/>
        <v>368</v>
      </c>
      <c r="Q1514" t="str">
        <f t="shared" ca="1" si="84"/>
        <v>{"num":368,"id":368,"q":"Biển nào chỉ đường dành cho người đi bộ, các loại xe không được đi vào khi gặp biển này?","img":"q368.jpg","opts":{"A":"Biển 1.","B":"Biển 1 và biển 3.","C":" Biển 3.","D":"Cả ba biển."},"answer":"C"},</v>
      </c>
    </row>
    <row r="1515" spans="1:17" hidden="1" x14ac:dyDescent="0.25">
      <c r="A1515">
        <v>1</v>
      </c>
      <c r="B1515" t="s">
        <v>1075</v>
      </c>
      <c r="C1515">
        <f>IFERROR(COUNTIFS($A$1:A1515,"Câu "&amp;"*")-MID(A1515,5,FIND(".",A1515,1)-5),0)</f>
        <v>0</v>
      </c>
      <c r="D1515" t="str">
        <f t="shared" si="86"/>
        <v/>
      </c>
      <c r="E1515" t="str">
        <f>SUBSTITUTE(IF(LEFT(A1515,3)="Câu",MID(A1515,FIND(".",A1515,1)+2,LEN(A1515)),""),CHAR(34),CHAR(92)&amp;CHAR(34))</f>
        <v/>
      </c>
      <c r="F1515" t="str">
        <f t="shared" si="85"/>
        <v/>
      </c>
      <c r="G1515" t="str">
        <f>SUBSTITUTE(B1516,CHAR(34),CHAR(92)&amp;CHAR(34))</f>
        <v>Biển 1 và biển 3.</v>
      </c>
      <c r="H1515" t="str">
        <f>SUBSTITUTE(B1517,CHAR(34),CHAR(92)&amp;CHAR(34))</f>
        <v xml:space="preserve"> Biển 3.</v>
      </c>
      <c r="I1515" t="str">
        <f>SUBSTITUTE(IF(LEFT(A1518,3)="Câu","",B1518),CHAR(34),CHAR(92)&amp;CHAR(34))</f>
        <v>Cả ba biển.</v>
      </c>
      <c r="J1515" t="str">
        <f>SUBSTITUTE(IF(OR(LEFT(A1519,3)="Câu",I1515=""),"",IF(B1519=0,"",B1519)),CHAR(34),CHAR(92)&amp;CHAR(34))</f>
        <v/>
      </c>
      <c r="K1515" t="str">
        <f>SUBSTITUTE(SUBSTITUTE(SUBSTITUTE(SUBSTITUTE(IFERROR(VLOOKUP("Câu "&amp;D1515&amp;".",dapan!$E:$J,6,0),""),"1","A"),"2","B"),"3","C"),"4","D")</f>
        <v/>
      </c>
      <c r="P1515" t="str">
        <f t="shared" si="83"/>
        <v/>
      </c>
      <c r="Q1515" t="str">
        <f t="shared" si="84"/>
        <v/>
      </c>
    </row>
    <row r="1516" spans="1:17" hidden="1" x14ac:dyDescent="0.25">
      <c r="A1516">
        <v>2</v>
      </c>
      <c r="B1516" t="s">
        <v>1077</v>
      </c>
      <c r="C1516">
        <f>IFERROR(COUNTIFS($A$1:A1516,"Câu "&amp;"*")-MID(A1516,5,FIND(".",A1516,1)-5),0)</f>
        <v>0</v>
      </c>
      <c r="D1516" t="str">
        <f t="shared" si="86"/>
        <v/>
      </c>
      <c r="E1516" t="str">
        <f>SUBSTITUTE(IF(LEFT(A1516,3)="Câu",MID(A1516,FIND(".",A1516,1)+2,LEN(A1516)),""),CHAR(34),CHAR(92)&amp;CHAR(34))</f>
        <v/>
      </c>
      <c r="F1516" t="str">
        <f t="shared" si="85"/>
        <v/>
      </c>
      <c r="G1516" t="str">
        <f>SUBSTITUTE(B1517,CHAR(34),CHAR(92)&amp;CHAR(34))</f>
        <v xml:space="preserve"> Biển 3.</v>
      </c>
      <c r="H1516" t="str">
        <f>SUBSTITUTE(B1518,CHAR(34),CHAR(92)&amp;CHAR(34))</f>
        <v>Cả ba biển.</v>
      </c>
      <c r="I1516" t="str">
        <f>SUBSTITUTE(IF(LEFT(A1519,3)="Câu","",B1519),CHAR(34),CHAR(92)&amp;CHAR(34))</f>
        <v/>
      </c>
      <c r="J1516" t="str">
        <f>SUBSTITUTE(IF(OR(LEFT(A1520,3)="Câu",I1516=""),"",IF(B1520=0,"",B1520)),CHAR(34),CHAR(92)&amp;CHAR(34))</f>
        <v/>
      </c>
      <c r="K1516" t="str">
        <f>SUBSTITUTE(SUBSTITUTE(SUBSTITUTE(SUBSTITUTE(IFERROR(VLOOKUP("Câu "&amp;D1516&amp;".",dapan!$E:$J,6,0),""),"1","A"),"2","B"),"3","C"),"4","D")</f>
        <v/>
      </c>
      <c r="P1516" t="str">
        <f t="shared" si="83"/>
        <v/>
      </c>
      <c r="Q1516" t="str">
        <f t="shared" si="84"/>
        <v/>
      </c>
    </row>
    <row r="1517" spans="1:17" hidden="1" x14ac:dyDescent="0.25">
      <c r="A1517">
        <v>3</v>
      </c>
      <c r="B1517" t="s">
        <v>1114</v>
      </c>
      <c r="C1517">
        <f>IFERROR(COUNTIFS($A$1:A1517,"Câu "&amp;"*")-MID(A1517,5,FIND(".",A1517,1)-5),0)</f>
        <v>0</v>
      </c>
      <c r="D1517" t="str">
        <f t="shared" si="86"/>
        <v/>
      </c>
      <c r="E1517" t="str">
        <f>SUBSTITUTE(IF(LEFT(A1517,3)="Câu",MID(A1517,FIND(".",A1517,1)+2,LEN(A1517)),""),CHAR(34),CHAR(92)&amp;CHAR(34))</f>
        <v/>
      </c>
      <c r="F1517" t="str">
        <f t="shared" si="85"/>
        <v/>
      </c>
      <c r="G1517" t="str">
        <f>SUBSTITUTE(B1518,CHAR(34),CHAR(92)&amp;CHAR(34))</f>
        <v>Cả ba biển.</v>
      </c>
      <c r="H1517" t="str">
        <f>SUBSTITUTE(B1519,CHAR(34),CHAR(92)&amp;CHAR(34))</f>
        <v/>
      </c>
      <c r="I1517" t="str">
        <f>SUBSTITUTE(IF(LEFT(A1520,3)="Câu","",B1520),CHAR(34),CHAR(92)&amp;CHAR(34))</f>
        <v xml:space="preserve"> Biển 1.</v>
      </c>
      <c r="J1517" t="str">
        <f>SUBSTITUTE(IF(OR(LEFT(A1521,3)="Câu",I1517=""),"",IF(B1521=0,"",B1521)),CHAR(34),CHAR(92)&amp;CHAR(34))</f>
        <v>Biển 2.</v>
      </c>
      <c r="K1517" t="str">
        <f>SUBSTITUTE(SUBSTITUTE(SUBSTITUTE(SUBSTITUTE(IFERROR(VLOOKUP("Câu "&amp;D1517&amp;".",dapan!$E:$J,6,0),""),"1","A"),"2","B"),"3","C"),"4","D")</f>
        <v/>
      </c>
      <c r="P1517" t="str">
        <f t="shared" si="83"/>
        <v/>
      </c>
      <c r="Q1517" t="str">
        <f t="shared" si="84"/>
        <v/>
      </c>
    </row>
    <row r="1518" spans="1:17" hidden="1" x14ac:dyDescent="0.25">
      <c r="A1518">
        <v>4</v>
      </c>
      <c r="B1518" t="s">
        <v>1071</v>
      </c>
      <c r="C1518">
        <f>IFERROR(COUNTIFS($A$1:A1518,"Câu "&amp;"*")-MID(A1518,5,FIND(".",A1518,1)-5),0)</f>
        <v>0</v>
      </c>
      <c r="D1518" t="str">
        <f t="shared" si="86"/>
        <v/>
      </c>
      <c r="E1518" t="str">
        <f>SUBSTITUTE(IF(LEFT(A1518,3)="Câu",MID(A1518,FIND(".",A1518,1)+2,LEN(A1518)),""),CHAR(34),CHAR(92)&amp;CHAR(34))</f>
        <v/>
      </c>
      <c r="F1518" t="str">
        <f t="shared" si="85"/>
        <v/>
      </c>
      <c r="G1518" t="str">
        <f>SUBSTITUTE(B1519,CHAR(34),CHAR(92)&amp;CHAR(34))</f>
        <v/>
      </c>
      <c r="H1518" t="str">
        <f>SUBSTITUTE(B1520,CHAR(34),CHAR(92)&amp;CHAR(34))</f>
        <v xml:space="preserve"> Biển 1.</v>
      </c>
      <c r="I1518" t="str">
        <f>SUBSTITUTE(IF(LEFT(A1521,3)="Câu","",B1521),CHAR(34),CHAR(92)&amp;CHAR(34))</f>
        <v>Biển 2.</v>
      </c>
      <c r="J1518" t="str">
        <f>SUBSTITUTE(IF(OR(LEFT(A1522,3)="Câu",I1518=""),"",IF(B1522=0,"",B1522)),CHAR(34),CHAR(92)&amp;CHAR(34))</f>
        <v>Biển 3.</v>
      </c>
      <c r="K1518" t="str">
        <f>SUBSTITUTE(SUBSTITUTE(SUBSTITUTE(SUBSTITUTE(IFERROR(VLOOKUP("Câu "&amp;D1518&amp;".",dapan!$E:$J,6,0),""),"1","A"),"2","B"),"3","C"),"4","D")</f>
        <v/>
      </c>
      <c r="P1518" t="str">
        <f t="shared" si="83"/>
        <v/>
      </c>
      <c r="Q1518" t="str">
        <f t="shared" si="84"/>
        <v/>
      </c>
    </row>
    <row r="1519" spans="1:17" x14ac:dyDescent="0.25">
      <c r="A1519" t="s">
        <v>1189</v>
      </c>
      <c r="C1519">
        <f>IFERROR(COUNTIFS($A$1:A1519,"Câu "&amp;"*")-MID(A1519,5,FIND(".",A1519,1)-5),0)</f>
        <v>0</v>
      </c>
      <c r="D1519">
        <f t="shared" si="86"/>
        <v>369</v>
      </c>
      <c r="E1519" t="str">
        <f>SUBSTITUTE(IF(LEFT(A1519,3)="Câu",MID(A1519,FIND(".",A1519,1)+2,LEN(A1519)),""),CHAR(34),CHAR(92)&amp;CHAR(34))</f>
        <v>Biển nào báo hiệu \"Đường dành cho xe thô sơ\"?</v>
      </c>
      <c r="F1519" t="str">
        <f t="shared" si="85"/>
        <v>q369.jpg</v>
      </c>
      <c r="G1519" t="str">
        <f>SUBSTITUTE(B1520,CHAR(34),CHAR(92)&amp;CHAR(34))</f>
        <v xml:space="preserve"> Biển 1.</v>
      </c>
      <c r="H1519" t="str">
        <f>SUBSTITUTE(B1521,CHAR(34),CHAR(92)&amp;CHAR(34))</f>
        <v>Biển 2.</v>
      </c>
      <c r="I1519" t="str">
        <f>SUBSTITUTE(IF(LEFT(A1522,3)="Câu","",B1522),CHAR(34),CHAR(92)&amp;CHAR(34))</f>
        <v>Biển 3.</v>
      </c>
      <c r="J1519" t="str">
        <f>SUBSTITUTE(IF(OR(LEFT(A1523,3)="Câu",I1519=""),"",IF(B1523=0,"",B1523)),CHAR(34),CHAR(92)&amp;CHAR(34))</f>
        <v/>
      </c>
      <c r="K1519" t="str">
        <f ca="1">SUBSTITUTE(SUBSTITUTE(SUBSTITUTE(SUBSTITUTE(IFERROR(VLOOKUP("Câu "&amp;D1519&amp;".",dapan!$E:$J,6,0),""),"1","A"),"2","B"),"3","C"),"4","D")</f>
        <v>A</v>
      </c>
      <c r="P1519">
        <f t="shared" si="83"/>
        <v>369</v>
      </c>
      <c r="Q1519" t="str">
        <f t="shared" ca="1" si="84"/>
        <v>{"num":369,"id":369,"q":"Biển nào báo hiệu \"Đường dành cho xe thô sơ\"?","img":"q369.jpg","opts":{"A":" Biển 1.","B":"Biển 2.","C":"Biển 3."},"answer":"A"},</v>
      </c>
    </row>
    <row r="1520" spans="1:17" hidden="1" x14ac:dyDescent="0.25">
      <c r="A1520">
        <v>1</v>
      </c>
      <c r="B1520" t="s">
        <v>1066</v>
      </c>
      <c r="C1520">
        <f>IFERROR(COUNTIFS($A$1:A1520,"Câu "&amp;"*")-MID(A1520,5,FIND(".",A1520,1)-5),0)</f>
        <v>0</v>
      </c>
      <c r="D1520" t="str">
        <f t="shared" si="86"/>
        <v/>
      </c>
      <c r="E1520" t="str">
        <f>SUBSTITUTE(IF(LEFT(A1520,3)="Câu",MID(A1520,FIND(".",A1520,1)+2,LEN(A1520)),""),CHAR(34),CHAR(92)&amp;CHAR(34))</f>
        <v/>
      </c>
      <c r="F1520" t="str">
        <f t="shared" si="85"/>
        <v/>
      </c>
      <c r="G1520" t="str">
        <f>SUBSTITUTE(B1521,CHAR(34),CHAR(92)&amp;CHAR(34))</f>
        <v>Biển 2.</v>
      </c>
      <c r="H1520" t="str">
        <f>SUBSTITUTE(B1522,CHAR(34),CHAR(92)&amp;CHAR(34))</f>
        <v>Biển 3.</v>
      </c>
      <c r="I1520" t="str">
        <f>SUBSTITUTE(IF(LEFT(A1523,3)="Câu","",B1523),CHAR(34),CHAR(92)&amp;CHAR(34))</f>
        <v/>
      </c>
      <c r="J1520" t="str">
        <f>SUBSTITUTE(IF(OR(LEFT(A1524,3)="Câu",I1520=""),"",IF(B1524=0,"",B1524)),CHAR(34),CHAR(92)&amp;CHAR(34))</f>
        <v/>
      </c>
      <c r="K1520" t="str">
        <f>SUBSTITUTE(SUBSTITUTE(SUBSTITUTE(SUBSTITUTE(IFERROR(VLOOKUP("Câu "&amp;D1520&amp;".",dapan!$E:$J,6,0),""),"1","A"),"2","B"),"3","C"),"4","D")</f>
        <v/>
      </c>
      <c r="P1520" t="str">
        <f t="shared" si="83"/>
        <v/>
      </c>
      <c r="Q1520" t="str">
        <f t="shared" si="84"/>
        <v/>
      </c>
    </row>
    <row r="1521" spans="1:17" hidden="1" x14ac:dyDescent="0.25">
      <c r="A1521">
        <v>2</v>
      </c>
      <c r="B1521" t="s">
        <v>1068</v>
      </c>
      <c r="C1521">
        <f>IFERROR(COUNTIFS($A$1:A1521,"Câu "&amp;"*")-MID(A1521,5,FIND(".",A1521,1)-5),0)</f>
        <v>0</v>
      </c>
      <c r="D1521" t="str">
        <f t="shared" si="86"/>
        <v/>
      </c>
      <c r="E1521" t="str">
        <f>SUBSTITUTE(IF(LEFT(A1521,3)="Câu",MID(A1521,FIND(".",A1521,1)+2,LEN(A1521)),""),CHAR(34),CHAR(92)&amp;CHAR(34))</f>
        <v/>
      </c>
      <c r="F1521" t="str">
        <f t="shared" si="85"/>
        <v/>
      </c>
      <c r="G1521" t="str">
        <f>SUBSTITUTE(B1522,CHAR(34),CHAR(92)&amp;CHAR(34))</f>
        <v>Biển 3.</v>
      </c>
      <c r="H1521" t="str">
        <f>SUBSTITUTE(B1523,CHAR(34),CHAR(92)&amp;CHAR(34))</f>
        <v/>
      </c>
      <c r="I1521" t="str">
        <f>SUBSTITUTE(IF(LEFT(A1524,3)="Câu","",B1524),CHAR(34),CHAR(92)&amp;CHAR(34))</f>
        <v>Biển 1.</v>
      </c>
      <c r="J1521" t="str">
        <f>SUBSTITUTE(IF(OR(LEFT(A1525,3)="Câu",I1521=""),"",IF(B1525=0,"",B1525)),CHAR(34),CHAR(92)&amp;CHAR(34))</f>
        <v>Biển 1 và biển 2.</v>
      </c>
      <c r="K1521" t="str">
        <f>SUBSTITUTE(SUBSTITUTE(SUBSTITUTE(SUBSTITUTE(IFERROR(VLOOKUP("Câu "&amp;D1521&amp;".",dapan!$E:$J,6,0),""),"1","A"),"2","B"),"3","C"),"4","D")</f>
        <v/>
      </c>
      <c r="P1521" t="str">
        <f t="shared" si="83"/>
        <v/>
      </c>
      <c r="Q1521" t="str">
        <f t="shared" si="84"/>
        <v/>
      </c>
    </row>
    <row r="1522" spans="1:17" hidden="1" x14ac:dyDescent="0.25">
      <c r="A1522">
        <v>3</v>
      </c>
      <c r="B1522" t="s">
        <v>1083</v>
      </c>
      <c r="C1522">
        <f>IFERROR(COUNTIFS($A$1:A1522,"Câu "&amp;"*")-MID(A1522,5,FIND(".",A1522,1)-5),0)</f>
        <v>0</v>
      </c>
      <c r="D1522" t="str">
        <f t="shared" si="86"/>
        <v/>
      </c>
      <c r="E1522" t="str">
        <f>SUBSTITUTE(IF(LEFT(A1522,3)="Câu",MID(A1522,FIND(".",A1522,1)+2,LEN(A1522)),""),CHAR(34),CHAR(92)&amp;CHAR(34))</f>
        <v/>
      </c>
      <c r="F1522" t="str">
        <f t="shared" si="85"/>
        <v/>
      </c>
      <c r="G1522" t="str">
        <f>SUBSTITUTE(B1523,CHAR(34),CHAR(92)&amp;CHAR(34))</f>
        <v/>
      </c>
      <c r="H1522" t="str">
        <f>SUBSTITUTE(B1524,CHAR(34),CHAR(92)&amp;CHAR(34))</f>
        <v>Biển 1.</v>
      </c>
      <c r="I1522" t="str">
        <f>SUBSTITUTE(IF(LEFT(A1525,3)="Câu","",B1525),CHAR(34),CHAR(92)&amp;CHAR(34))</f>
        <v>Biển 1 và biển 2.</v>
      </c>
      <c r="J1522" t="str">
        <f>SUBSTITUTE(IF(OR(LEFT(A1526,3)="Câu",I1522=""),"",IF(B1526=0,"",B1526)),CHAR(34),CHAR(92)&amp;CHAR(34))</f>
        <v>Biển 2 và biển 3.</v>
      </c>
      <c r="K1522" t="str">
        <f>SUBSTITUTE(SUBSTITUTE(SUBSTITUTE(SUBSTITUTE(IFERROR(VLOOKUP("Câu "&amp;D1522&amp;".",dapan!$E:$J,6,0),""),"1","A"),"2","B"),"3","C"),"4","D")</f>
        <v/>
      </c>
      <c r="P1522" t="str">
        <f t="shared" si="83"/>
        <v/>
      </c>
      <c r="Q1522" t="str">
        <f t="shared" si="84"/>
        <v/>
      </c>
    </row>
    <row r="1523" spans="1:17" x14ac:dyDescent="0.25">
      <c r="A1523" t="s">
        <v>1190</v>
      </c>
      <c r="C1523">
        <f>IFERROR(COUNTIFS($A$1:A1523,"Câu "&amp;"*")-MID(A1523,5,FIND(".",A1523,1)-5),0)</f>
        <v>0</v>
      </c>
      <c r="D1523">
        <f t="shared" si="86"/>
        <v>370</v>
      </c>
      <c r="E1523" t="str">
        <f>SUBSTITUTE(IF(LEFT(A1523,3)="Câu",MID(A1523,FIND(".",A1523,1)+2,LEN(A1523)),""),CHAR(34),CHAR(92)&amp;CHAR(34))</f>
        <v>Biển nào báo hiệu sắp đến chỗ giao nhau nguy hiểm?</v>
      </c>
      <c r="F1523" t="str">
        <f t="shared" si="85"/>
        <v>q370.jpg</v>
      </c>
      <c r="G1523" t="str">
        <f>SUBSTITUTE(B1524,CHAR(34),CHAR(92)&amp;CHAR(34))</f>
        <v>Biển 1.</v>
      </c>
      <c r="H1523" t="str">
        <f>SUBSTITUTE(B1525,CHAR(34),CHAR(92)&amp;CHAR(34))</f>
        <v>Biển 1 và biển 2.</v>
      </c>
      <c r="I1523" t="str">
        <f>SUBSTITUTE(IF(LEFT(A1526,3)="Câu","",B1526),CHAR(34),CHAR(92)&amp;CHAR(34))</f>
        <v>Biển 2 và biển 3.</v>
      </c>
      <c r="J1523" t="str">
        <f>SUBSTITUTE(IF(OR(LEFT(A1527,3)="Câu",I1523=""),"",IF(B1527=0,"",B1527)),CHAR(34),CHAR(92)&amp;CHAR(34))</f>
        <v xml:space="preserve"> Cả ba biển.</v>
      </c>
      <c r="K1523" t="str">
        <f ca="1">SUBSTITUTE(SUBSTITUTE(SUBSTITUTE(SUBSTITUTE(IFERROR(VLOOKUP("Câu "&amp;D1523&amp;".",dapan!$E:$J,6,0),""),"1","A"),"2","B"),"3","C"),"4","D")</f>
        <v>D</v>
      </c>
      <c r="P1523">
        <f t="shared" si="83"/>
        <v>370</v>
      </c>
      <c r="Q1523" t="str">
        <f t="shared" ca="1" si="84"/>
        <v>{"num":370,"id":370,"q":"Biển nào báo hiệu sắp đến chỗ giao nhau nguy hiểm?","img":"q370.jpg","opts":{"A":"Biển 1.","B":"Biển 1 và biển 2.","C":"Biển 2 và biển 3.","D":" Cả ba biển."},"answer":"D"},</v>
      </c>
    </row>
    <row r="1524" spans="1:17" hidden="1" x14ac:dyDescent="0.25">
      <c r="A1524">
        <v>1</v>
      </c>
      <c r="B1524" t="s">
        <v>1075</v>
      </c>
      <c r="C1524">
        <f>IFERROR(COUNTIFS($A$1:A1524,"Câu "&amp;"*")-MID(A1524,5,FIND(".",A1524,1)-5),0)</f>
        <v>0</v>
      </c>
      <c r="D1524" t="str">
        <f t="shared" si="86"/>
        <v/>
      </c>
      <c r="E1524" t="str">
        <f>SUBSTITUTE(IF(LEFT(A1524,3)="Câu",MID(A1524,FIND(".",A1524,1)+2,LEN(A1524)),""),CHAR(34),CHAR(92)&amp;CHAR(34))</f>
        <v/>
      </c>
      <c r="F1524" t="str">
        <f t="shared" si="85"/>
        <v/>
      </c>
      <c r="G1524" t="str">
        <f>SUBSTITUTE(B1525,CHAR(34),CHAR(92)&amp;CHAR(34))</f>
        <v>Biển 1 và biển 2.</v>
      </c>
      <c r="H1524" t="str">
        <f>SUBSTITUTE(B1526,CHAR(34),CHAR(92)&amp;CHAR(34))</f>
        <v>Biển 2 và biển 3.</v>
      </c>
      <c r="I1524" t="str">
        <f>SUBSTITUTE(IF(LEFT(A1527,3)="Câu","",B1527),CHAR(34),CHAR(92)&amp;CHAR(34))</f>
        <v xml:space="preserve"> Cả ba biển.</v>
      </c>
      <c r="J1524" t="str">
        <f>SUBSTITUTE(IF(OR(LEFT(A1528,3)="Câu",I1524=""),"",IF(B1528=0,"",B1528)),CHAR(34),CHAR(92)&amp;CHAR(34))</f>
        <v/>
      </c>
      <c r="K1524" t="str">
        <f>SUBSTITUTE(SUBSTITUTE(SUBSTITUTE(SUBSTITUTE(IFERROR(VLOOKUP("Câu "&amp;D1524&amp;".",dapan!$E:$J,6,0),""),"1","A"),"2","B"),"3","C"),"4","D")</f>
        <v/>
      </c>
      <c r="P1524" t="str">
        <f t="shared" si="83"/>
        <v/>
      </c>
      <c r="Q1524" t="str">
        <f t="shared" si="84"/>
        <v/>
      </c>
    </row>
    <row r="1525" spans="1:17" hidden="1" x14ac:dyDescent="0.25">
      <c r="A1525">
        <v>2</v>
      </c>
      <c r="B1525" t="s">
        <v>1086</v>
      </c>
      <c r="C1525">
        <f>IFERROR(COUNTIFS($A$1:A1525,"Câu "&amp;"*")-MID(A1525,5,FIND(".",A1525,1)-5),0)</f>
        <v>0</v>
      </c>
      <c r="D1525" t="str">
        <f t="shared" si="86"/>
        <v/>
      </c>
      <c r="E1525" t="str">
        <f>SUBSTITUTE(IF(LEFT(A1525,3)="Câu",MID(A1525,FIND(".",A1525,1)+2,LEN(A1525)),""),CHAR(34),CHAR(92)&amp;CHAR(34))</f>
        <v/>
      </c>
      <c r="F1525" t="str">
        <f t="shared" si="85"/>
        <v/>
      </c>
      <c r="G1525" t="str">
        <f>SUBSTITUTE(B1526,CHAR(34),CHAR(92)&amp;CHAR(34))</f>
        <v>Biển 2 và biển 3.</v>
      </c>
      <c r="H1525" t="str">
        <f>SUBSTITUTE(B1527,CHAR(34),CHAR(92)&amp;CHAR(34))</f>
        <v xml:space="preserve"> Cả ba biển.</v>
      </c>
      <c r="I1525" t="str">
        <f>SUBSTITUTE(IF(LEFT(A1528,3)="Câu","",B1528),CHAR(34),CHAR(92)&amp;CHAR(34))</f>
        <v/>
      </c>
      <c r="J1525" t="str">
        <f>SUBSTITUTE(IF(OR(LEFT(A1529,3)="Câu",I1525=""),"",IF(B1529=0,"",B1529)),CHAR(34),CHAR(92)&amp;CHAR(34))</f>
        <v/>
      </c>
      <c r="K1525" t="str">
        <f>SUBSTITUTE(SUBSTITUTE(SUBSTITUTE(SUBSTITUTE(IFERROR(VLOOKUP("Câu "&amp;D1525&amp;".",dapan!$E:$J,6,0),""),"1","A"),"2","B"),"3","C"),"4","D")</f>
        <v/>
      </c>
      <c r="P1525" t="str">
        <f t="shared" si="83"/>
        <v/>
      </c>
      <c r="Q1525" t="str">
        <f t="shared" si="84"/>
        <v/>
      </c>
    </row>
    <row r="1526" spans="1:17" hidden="1" x14ac:dyDescent="0.25">
      <c r="A1526">
        <v>3</v>
      </c>
      <c r="B1526" t="s">
        <v>1072</v>
      </c>
      <c r="C1526">
        <f>IFERROR(COUNTIFS($A$1:A1526,"Câu "&amp;"*")-MID(A1526,5,FIND(".",A1526,1)-5),0)</f>
        <v>0</v>
      </c>
      <c r="D1526" t="str">
        <f t="shared" si="86"/>
        <v/>
      </c>
      <c r="E1526" t="str">
        <f>SUBSTITUTE(IF(LEFT(A1526,3)="Câu",MID(A1526,FIND(".",A1526,1)+2,LEN(A1526)),""),CHAR(34),CHAR(92)&amp;CHAR(34))</f>
        <v/>
      </c>
      <c r="F1526" t="str">
        <f t="shared" si="85"/>
        <v/>
      </c>
      <c r="G1526" t="str">
        <f>SUBSTITUTE(B1527,CHAR(34),CHAR(92)&amp;CHAR(34))</f>
        <v xml:space="preserve"> Cả ba biển.</v>
      </c>
      <c r="H1526" t="str">
        <f>SUBSTITUTE(B1528,CHAR(34),CHAR(92)&amp;CHAR(34))</f>
        <v/>
      </c>
      <c r="I1526" t="str">
        <f>SUBSTITUTE(IF(LEFT(A1529,3)="Câu","",B1529),CHAR(34),CHAR(92)&amp;CHAR(34))</f>
        <v xml:space="preserve"> Biển 1.</v>
      </c>
      <c r="J1526" t="str">
        <f>SUBSTITUTE(IF(OR(LEFT(A1530,3)="Câu",I1526=""),"",IF(B1530=0,"",B1530)),CHAR(34),CHAR(92)&amp;CHAR(34))</f>
        <v>Biển 2 và biển 3.</v>
      </c>
      <c r="K1526" t="str">
        <f>SUBSTITUTE(SUBSTITUTE(SUBSTITUTE(SUBSTITUTE(IFERROR(VLOOKUP("Câu "&amp;D1526&amp;".",dapan!$E:$J,6,0),""),"1","A"),"2","B"),"3","C"),"4","D")</f>
        <v/>
      </c>
      <c r="P1526" t="str">
        <f t="shared" si="83"/>
        <v/>
      </c>
      <c r="Q1526" t="str">
        <f t="shared" si="84"/>
        <v/>
      </c>
    </row>
    <row r="1527" spans="1:17" hidden="1" x14ac:dyDescent="0.25">
      <c r="A1527">
        <v>4</v>
      </c>
      <c r="B1527" t="s">
        <v>1191</v>
      </c>
      <c r="C1527">
        <f>IFERROR(COUNTIFS($A$1:A1527,"Câu "&amp;"*")-MID(A1527,5,FIND(".",A1527,1)-5),0)</f>
        <v>0</v>
      </c>
      <c r="D1527" t="str">
        <f t="shared" si="86"/>
        <v/>
      </c>
      <c r="E1527" t="str">
        <f>SUBSTITUTE(IF(LEFT(A1527,3)="Câu",MID(A1527,FIND(".",A1527,1)+2,LEN(A1527)),""),CHAR(34),CHAR(92)&amp;CHAR(34))</f>
        <v/>
      </c>
      <c r="F1527" t="str">
        <f t="shared" si="85"/>
        <v/>
      </c>
      <c r="G1527" t="str">
        <f>SUBSTITUTE(B1528,CHAR(34),CHAR(92)&amp;CHAR(34))</f>
        <v/>
      </c>
      <c r="H1527" t="str">
        <f>SUBSTITUTE(B1529,CHAR(34),CHAR(92)&amp;CHAR(34))</f>
        <v xml:space="preserve"> Biển 1.</v>
      </c>
      <c r="I1527" t="str">
        <f>SUBSTITUTE(IF(LEFT(A1530,3)="Câu","",B1530),CHAR(34),CHAR(92)&amp;CHAR(34))</f>
        <v>Biển 2 và biển 3.</v>
      </c>
      <c r="J1527" t="str">
        <f>SUBSTITUTE(IF(OR(LEFT(A1531,3)="Câu",I1527=""),"",IF(B1531=0,"",B1531)),CHAR(34),CHAR(92)&amp;CHAR(34))</f>
        <v>Biển 3.</v>
      </c>
      <c r="K1527" t="str">
        <f>SUBSTITUTE(SUBSTITUTE(SUBSTITUTE(SUBSTITUTE(IFERROR(VLOOKUP("Câu "&amp;D1527&amp;".",dapan!$E:$J,6,0),""),"1","A"),"2","B"),"3","C"),"4","D")</f>
        <v/>
      </c>
      <c r="P1527" t="str">
        <f t="shared" si="83"/>
        <v/>
      </c>
      <c r="Q1527" t="str">
        <f t="shared" si="84"/>
        <v/>
      </c>
    </row>
    <row r="1528" spans="1:17" x14ac:dyDescent="0.25">
      <c r="A1528" t="s">
        <v>1192</v>
      </c>
      <c r="C1528">
        <f>IFERROR(COUNTIFS($A$1:A1528,"Câu "&amp;"*")-MID(A1528,5,FIND(".",A1528,1)-5),0)</f>
        <v>0</v>
      </c>
      <c r="D1528">
        <f t="shared" si="86"/>
        <v>371</v>
      </c>
      <c r="E1528" t="str">
        <f>SUBSTITUTE(IF(LEFT(A1528,3)="Câu",MID(A1528,FIND(".",A1528,1)+2,LEN(A1528)),""),CHAR(34),CHAR(92)&amp;CHAR(34))</f>
        <v>Biển nào báo hiệu \"Giao nhau với đường sắt có rào chắn\"?</v>
      </c>
      <c r="F1528" t="str">
        <f t="shared" si="85"/>
        <v>q371.jpg</v>
      </c>
      <c r="G1528" t="str">
        <f>SUBSTITUTE(B1529,CHAR(34),CHAR(92)&amp;CHAR(34))</f>
        <v xml:space="preserve"> Biển 1.</v>
      </c>
      <c r="H1528" t="str">
        <f>SUBSTITUTE(B1530,CHAR(34),CHAR(92)&amp;CHAR(34))</f>
        <v>Biển 2 và biển 3.</v>
      </c>
      <c r="I1528" t="str">
        <f>SUBSTITUTE(IF(LEFT(A1531,3)="Câu","",B1531),CHAR(34),CHAR(92)&amp;CHAR(34))</f>
        <v>Biển 3.</v>
      </c>
      <c r="J1528" t="str">
        <f>SUBSTITUTE(IF(OR(LEFT(A1532,3)="Câu",I1528=""),"",IF(B1532=0,"",B1532)),CHAR(34),CHAR(92)&amp;CHAR(34))</f>
        <v/>
      </c>
      <c r="K1528" t="str">
        <f ca="1">SUBSTITUTE(SUBSTITUTE(SUBSTITUTE(SUBSTITUTE(IFERROR(VLOOKUP("Câu "&amp;D1528&amp;".",dapan!$E:$J,6,0),""),"1","A"),"2","B"),"3","C"),"4","D")</f>
        <v>A</v>
      </c>
      <c r="P1528">
        <f t="shared" si="83"/>
        <v>371</v>
      </c>
      <c r="Q1528" t="str">
        <f t="shared" ca="1" si="84"/>
        <v>{"num":371,"id":371,"q":"Biển nào báo hiệu \"Giao nhau với đường sắt có rào chắn\"?","img":"q371.jpg","opts":{"A":" Biển 1.","B":"Biển 2 và biển 3.","C":"Biển 3."},"answer":"A"},</v>
      </c>
    </row>
    <row r="1529" spans="1:17" hidden="1" x14ac:dyDescent="0.25">
      <c r="A1529">
        <v>1</v>
      </c>
      <c r="B1529" t="s">
        <v>1066</v>
      </c>
      <c r="C1529">
        <f>IFERROR(COUNTIFS($A$1:A1529,"Câu "&amp;"*")-MID(A1529,5,FIND(".",A1529,1)-5),0)</f>
        <v>0</v>
      </c>
      <c r="D1529" t="str">
        <f t="shared" si="86"/>
        <v/>
      </c>
      <c r="E1529" t="str">
        <f>SUBSTITUTE(IF(LEFT(A1529,3)="Câu",MID(A1529,FIND(".",A1529,1)+2,LEN(A1529)),""),CHAR(34),CHAR(92)&amp;CHAR(34))</f>
        <v/>
      </c>
      <c r="F1529" t="str">
        <f t="shared" si="85"/>
        <v/>
      </c>
      <c r="G1529" t="str">
        <f>SUBSTITUTE(B1530,CHAR(34),CHAR(92)&amp;CHAR(34))</f>
        <v>Biển 2 và biển 3.</v>
      </c>
      <c r="H1529" t="str">
        <f>SUBSTITUTE(B1531,CHAR(34),CHAR(92)&amp;CHAR(34))</f>
        <v>Biển 3.</v>
      </c>
      <c r="I1529" t="str">
        <f>SUBSTITUTE(IF(LEFT(A1532,3)="Câu","",B1532),CHAR(34),CHAR(92)&amp;CHAR(34))</f>
        <v/>
      </c>
      <c r="J1529" t="str">
        <f>SUBSTITUTE(IF(OR(LEFT(A1533,3)="Câu",I1529=""),"",IF(B1533=0,"",B1533)),CHAR(34),CHAR(92)&amp;CHAR(34))</f>
        <v/>
      </c>
      <c r="K1529" t="str">
        <f>SUBSTITUTE(SUBSTITUTE(SUBSTITUTE(SUBSTITUTE(IFERROR(VLOOKUP("Câu "&amp;D1529&amp;".",dapan!$E:$J,6,0),""),"1","A"),"2","B"),"3","C"),"4","D")</f>
        <v/>
      </c>
      <c r="P1529" t="str">
        <f t="shared" si="83"/>
        <v/>
      </c>
      <c r="Q1529" t="str">
        <f t="shared" si="84"/>
        <v/>
      </c>
    </row>
    <row r="1530" spans="1:17" hidden="1" x14ac:dyDescent="0.25">
      <c r="A1530">
        <v>2</v>
      </c>
      <c r="B1530" t="s">
        <v>1072</v>
      </c>
      <c r="C1530">
        <f>IFERROR(COUNTIFS($A$1:A1530,"Câu "&amp;"*")-MID(A1530,5,FIND(".",A1530,1)-5),0)</f>
        <v>0</v>
      </c>
      <c r="D1530" t="str">
        <f t="shared" si="86"/>
        <v/>
      </c>
      <c r="E1530" t="str">
        <f>SUBSTITUTE(IF(LEFT(A1530,3)="Câu",MID(A1530,FIND(".",A1530,1)+2,LEN(A1530)),""),CHAR(34),CHAR(92)&amp;CHAR(34))</f>
        <v/>
      </c>
      <c r="F1530" t="str">
        <f t="shared" si="85"/>
        <v/>
      </c>
      <c r="G1530" t="str">
        <f>SUBSTITUTE(B1531,CHAR(34),CHAR(92)&amp;CHAR(34))</f>
        <v>Biển 3.</v>
      </c>
      <c r="H1530" t="str">
        <f>SUBSTITUTE(B1532,CHAR(34),CHAR(92)&amp;CHAR(34))</f>
        <v/>
      </c>
      <c r="I1530" t="str">
        <f>SUBSTITUTE(IF(LEFT(A1533,3)="Câu","",B1533),CHAR(34),CHAR(92)&amp;CHAR(34))</f>
        <v>Biển 1.</v>
      </c>
      <c r="J1530" t="str">
        <f>SUBSTITUTE(IF(OR(LEFT(A1534,3)="Câu",I1530=""),"",IF(B1534=0,"",B1534)),CHAR(34),CHAR(92)&amp;CHAR(34))</f>
        <v>Biển 2.</v>
      </c>
      <c r="K1530" t="str">
        <f>SUBSTITUTE(SUBSTITUTE(SUBSTITUTE(SUBSTITUTE(IFERROR(VLOOKUP("Câu "&amp;D1530&amp;".",dapan!$E:$J,6,0),""),"1","A"),"2","B"),"3","C"),"4","D")</f>
        <v/>
      </c>
      <c r="P1530" t="str">
        <f t="shared" si="83"/>
        <v/>
      </c>
      <c r="Q1530" t="str">
        <f t="shared" si="84"/>
        <v/>
      </c>
    </row>
    <row r="1531" spans="1:17" hidden="1" x14ac:dyDescent="0.25">
      <c r="A1531">
        <v>3</v>
      </c>
      <c r="B1531" t="s">
        <v>1083</v>
      </c>
      <c r="C1531">
        <f>IFERROR(COUNTIFS($A$1:A1531,"Câu "&amp;"*")-MID(A1531,5,FIND(".",A1531,1)-5),0)</f>
        <v>0</v>
      </c>
      <c r="D1531" t="str">
        <f t="shared" si="86"/>
        <v/>
      </c>
      <c r="E1531" t="str">
        <f>SUBSTITUTE(IF(LEFT(A1531,3)="Câu",MID(A1531,FIND(".",A1531,1)+2,LEN(A1531)),""),CHAR(34),CHAR(92)&amp;CHAR(34))</f>
        <v/>
      </c>
      <c r="F1531" t="str">
        <f t="shared" si="85"/>
        <v/>
      </c>
      <c r="G1531" t="str">
        <f>SUBSTITUTE(B1532,CHAR(34),CHAR(92)&amp;CHAR(34))</f>
        <v/>
      </c>
      <c r="H1531" t="str">
        <f>SUBSTITUTE(B1533,CHAR(34),CHAR(92)&amp;CHAR(34))</f>
        <v>Biển 1.</v>
      </c>
      <c r="I1531" t="str">
        <f>SUBSTITUTE(IF(LEFT(A1534,3)="Câu","",B1534),CHAR(34),CHAR(92)&amp;CHAR(34))</f>
        <v>Biển 2.</v>
      </c>
      <c r="J1531" t="str">
        <f>SUBSTITUTE(IF(OR(LEFT(A1535,3)="Câu",I1531=""),"",IF(B1535=0,"",B1535)),CHAR(34),CHAR(92)&amp;CHAR(34))</f>
        <v xml:space="preserve"> Biển 3.</v>
      </c>
      <c r="K1531" t="str">
        <f>SUBSTITUTE(SUBSTITUTE(SUBSTITUTE(SUBSTITUTE(IFERROR(VLOOKUP("Câu "&amp;D1531&amp;".",dapan!$E:$J,6,0),""),"1","A"),"2","B"),"3","C"),"4","D")</f>
        <v/>
      </c>
      <c r="P1531" t="str">
        <f t="shared" si="83"/>
        <v/>
      </c>
      <c r="Q1531" t="str">
        <f t="shared" si="84"/>
        <v/>
      </c>
    </row>
    <row r="1532" spans="1:17" x14ac:dyDescent="0.25">
      <c r="A1532" t="s">
        <v>1193</v>
      </c>
      <c r="C1532">
        <f>IFERROR(COUNTIFS($A$1:A1532,"Câu "&amp;"*")-MID(A1532,5,FIND(".",A1532,1)-5),0)</f>
        <v>0</v>
      </c>
      <c r="D1532">
        <f t="shared" si="86"/>
        <v>372</v>
      </c>
      <c r="E1532" t="str">
        <f>SUBSTITUTE(IF(LEFT(A1532,3)="Câu",MID(A1532,FIND(".",A1532,1)+2,LEN(A1532)),""),CHAR(34),CHAR(92)&amp;CHAR(34))</f>
        <v>Biển nào báo hiệu \"Giao nhau có tín hiệu đèn\"?</v>
      </c>
      <c r="F1532" t="str">
        <f t="shared" si="85"/>
        <v>q372.jpg</v>
      </c>
      <c r="G1532" t="str">
        <f>SUBSTITUTE(B1533,CHAR(34),CHAR(92)&amp;CHAR(34))</f>
        <v>Biển 1.</v>
      </c>
      <c r="H1532" t="str">
        <f>SUBSTITUTE(B1534,CHAR(34),CHAR(92)&amp;CHAR(34))</f>
        <v>Biển 2.</v>
      </c>
      <c r="I1532" t="str">
        <f>SUBSTITUTE(IF(LEFT(A1535,3)="Câu","",B1535),CHAR(34),CHAR(92)&amp;CHAR(34))</f>
        <v xml:space="preserve"> Biển 3.</v>
      </c>
      <c r="J1532" t="str">
        <f>SUBSTITUTE(IF(OR(LEFT(A1536,3)="Câu",I1532=""),"",IF(B1536=0,"",B1536)),CHAR(34),CHAR(92)&amp;CHAR(34))</f>
        <v>Cả ba biển.</v>
      </c>
      <c r="K1532" t="str">
        <f ca="1">SUBSTITUTE(SUBSTITUTE(SUBSTITUTE(SUBSTITUTE(IFERROR(VLOOKUP("Câu "&amp;D1532&amp;".",dapan!$E:$J,6,0),""),"1","A"),"2","B"),"3","C"),"4","D")</f>
        <v>C</v>
      </c>
      <c r="P1532">
        <f t="shared" si="83"/>
        <v>372</v>
      </c>
      <c r="Q1532" t="str">
        <f t="shared" ca="1" si="84"/>
        <v>{"num":372,"id":372,"q":"Biển nào báo hiệu \"Giao nhau có tín hiệu đèn\"?","img":"q372.jpg","opts":{"A":"Biển 1.","B":"Biển 2.","C":" Biển 3.","D":"Cả ba biển."},"answer":"C"},</v>
      </c>
    </row>
    <row r="1533" spans="1:17" hidden="1" x14ac:dyDescent="0.25">
      <c r="A1533">
        <v>1</v>
      </c>
      <c r="B1533" t="s">
        <v>1075</v>
      </c>
      <c r="C1533">
        <f>IFERROR(COUNTIFS($A$1:A1533,"Câu "&amp;"*")-MID(A1533,5,FIND(".",A1533,1)-5),0)</f>
        <v>0</v>
      </c>
      <c r="D1533" t="str">
        <f t="shared" si="86"/>
        <v/>
      </c>
      <c r="E1533" t="str">
        <f>SUBSTITUTE(IF(LEFT(A1533,3)="Câu",MID(A1533,FIND(".",A1533,1)+2,LEN(A1533)),""),CHAR(34),CHAR(92)&amp;CHAR(34))</f>
        <v/>
      </c>
      <c r="F1533" t="str">
        <f t="shared" si="85"/>
        <v/>
      </c>
      <c r="G1533" t="str">
        <f>SUBSTITUTE(B1534,CHAR(34),CHAR(92)&amp;CHAR(34))</f>
        <v>Biển 2.</v>
      </c>
      <c r="H1533" t="str">
        <f>SUBSTITUTE(B1535,CHAR(34),CHAR(92)&amp;CHAR(34))</f>
        <v xml:space="preserve"> Biển 3.</v>
      </c>
      <c r="I1533" t="str">
        <f>SUBSTITUTE(IF(LEFT(A1536,3)="Câu","",B1536),CHAR(34),CHAR(92)&amp;CHAR(34))</f>
        <v>Cả ba biển.</v>
      </c>
      <c r="J1533" t="str">
        <f>SUBSTITUTE(IF(OR(LEFT(A1537,3)="Câu",I1533=""),"",IF(B1537=0,"",B1537)),CHAR(34),CHAR(92)&amp;CHAR(34))</f>
        <v/>
      </c>
      <c r="K1533" t="str">
        <f>SUBSTITUTE(SUBSTITUTE(SUBSTITUTE(SUBSTITUTE(IFERROR(VLOOKUP("Câu "&amp;D1533&amp;".",dapan!$E:$J,6,0),""),"1","A"),"2","B"),"3","C"),"4","D")</f>
        <v/>
      </c>
      <c r="P1533" t="str">
        <f t="shared" si="83"/>
        <v/>
      </c>
      <c r="Q1533" t="str">
        <f t="shared" si="84"/>
        <v/>
      </c>
    </row>
    <row r="1534" spans="1:17" hidden="1" x14ac:dyDescent="0.25">
      <c r="A1534">
        <v>2</v>
      </c>
      <c r="B1534" t="s">
        <v>1068</v>
      </c>
      <c r="C1534">
        <f>IFERROR(COUNTIFS($A$1:A1534,"Câu "&amp;"*")-MID(A1534,5,FIND(".",A1534,1)-5),0)</f>
        <v>0</v>
      </c>
      <c r="D1534" t="str">
        <f t="shared" si="86"/>
        <v/>
      </c>
      <c r="E1534" t="str">
        <f>SUBSTITUTE(IF(LEFT(A1534,3)="Câu",MID(A1534,FIND(".",A1534,1)+2,LEN(A1534)),""),CHAR(34),CHAR(92)&amp;CHAR(34))</f>
        <v/>
      </c>
      <c r="F1534" t="str">
        <f t="shared" si="85"/>
        <v/>
      </c>
      <c r="G1534" t="str">
        <f>SUBSTITUTE(B1535,CHAR(34),CHAR(92)&amp;CHAR(34))</f>
        <v xml:space="preserve"> Biển 3.</v>
      </c>
      <c r="H1534" t="str">
        <f>SUBSTITUTE(B1536,CHAR(34),CHAR(92)&amp;CHAR(34))</f>
        <v>Cả ba biển.</v>
      </c>
      <c r="I1534" t="str">
        <f>SUBSTITUTE(IF(LEFT(A1537,3)="Câu","",B1537),CHAR(34),CHAR(92)&amp;CHAR(34))</f>
        <v/>
      </c>
      <c r="J1534" t="str">
        <f>SUBSTITUTE(IF(OR(LEFT(A1538,3)="Câu",I1534=""),"",IF(B1538=0,"",B1538)),CHAR(34),CHAR(92)&amp;CHAR(34))</f>
        <v/>
      </c>
      <c r="K1534" t="str">
        <f>SUBSTITUTE(SUBSTITUTE(SUBSTITUTE(SUBSTITUTE(IFERROR(VLOOKUP("Câu "&amp;D1534&amp;".",dapan!$E:$J,6,0),""),"1","A"),"2","B"),"3","C"),"4","D")</f>
        <v/>
      </c>
      <c r="P1534" t="str">
        <f t="shared" si="83"/>
        <v/>
      </c>
      <c r="Q1534" t="str">
        <f t="shared" si="84"/>
        <v/>
      </c>
    </row>
    <row r="1535" spans="1:17" hidden="1" x14ac:dyDescent="0.25">
      <c r="A1535">
        <v>3</v>
      </c>
      <c r="B1535" t="s">
        <v>1114</v>
      </c>
      <c r="C1535">
        <f>IFERROR(COUNTIFS($A$1:A1535,"Câu "&amp;"*")-MID(A1535,5,FIND(".",A1535,1)-5),0)</f>
        <v>0</v>
      </c>
      <c r="D1535" t="str">
        <f t="shared" si="86"/>
        <v/>
      </c>
      <c r="E1535" t="str">
        <f>SUBSTITUTE(IF(LEFT(A1535,3)="Câu",MID(A1535,FIND(".",A1535,1)+2,LEN(A1535)),""),CHAR(34),CHAR(92)&amp;CHAR(34))</f>
        <v/>
      </c>
      <c r="F1535" t="str">
        <f t="shared" si="85"/>
        <v/>
      </c>
      <c r="G1535" t="str">
        <f>SUBSTITUTE(B1536,CHAR(34),CHAR(92)&amp;CHAR(34))</f>
        <v>Cả ba biển.</v>
      </c>
      <c r="H1535" t="str">
        <f>SUBSTITUTE(B1537,CHAR(34),CHAR(92)&amp;CHAR(34))</f>
        <v/>
      </c>
      <c r="I1535" t="str">
        <f>SUBSTITUTE(IF(LEFT(A1538,3)="Câu","",B1538),CHAR(34),CHAR(92)&amp;CHAR(34))</f>
        <v>Biển 1 và biển 2.</v>
      </c>
      <c r="J1535" t="str">
        <f>SUBSTITUTE(IF(OR(LEFT(A1539,3)="Câu",I1535=""),"",IF(B1539=0,"",B1539)),CHAR(34),CHAR(92)&amp;CHAR(34))</f>
        <v xml:space="preserve"> Biển 1 và biển 3.</v>
      </c>
      <c r="K1535" t="str">
        <f>SUBSTITUTE(SUBSTITUTE(SUBSTITUTE(SUBSTITUTE(IFERROR(VLOOKUP("Câu "&amp;D1535&amp;".",dapan!$E:$J,6,0),""),"1","A"),"2","B"),"3","C"),"4","D")</f>
        <v/>
      </c>
      <c r="P1535" t="str">
        <f t="shared" si="83"/>
        <v/>
      </c>
      <c r="Q1535" t="str">
        <f t="shared" si="84"/>
        <v/>
      </c>
    </row>
    <row r="1536" spans="1:17" hidden="1" x14ac:dyDescent="0.25">
      <c r="A1536">
        <v>4</v>
      </c>
      <c r="B1536" t="s">
        <v>1071</v>
      </c>
      <c r="C1536">
        <f>IFERROR(COUNTIFS($A$1:A1536,"Câu "&amp;"*")-MID(A1536,5,FIND(".",A1536,1)-5),0)</f>
        <v>0</v>
      </c>
      <c r="D1536" t="str">
        <f t="shared" si="86"/>
        <v/>
      </c>
      <c r="E1536" t="str">
        <f>SUBSTITUTE(IF(LEFT(A1536,3)="Câu",MID(A1536,FIND(".",A1536,1)+2,LEN(A1536)),""),CHAR(34),CHAR(92)&amp;CHAR(34))</f>
        <v/>
      </c>
      <c r="F1536" t="str">
        <f t="shared" si="85"/>
        <v/>
      </c>
      <c r="G1536" t="str">
        <f>SUBSTITUTE(B1537,CHAR(34),CHAR(92)&amp;CHAR(34))</f>
        <v/>
      </c>
      <c r="H1536" t="str">
        <f>SUBSTITUTE(B1538,CHAR(34),CHAR(92)&amp;CHAR(34))</f>
        <v>Biển 1 và biển 2.</v>
      </c>
      <c r="I1536" t="str">
        <f>SUBSTITUTE(IF(LEFT(A1539,3)="Câu","",B1539),CHAR(34),CHAR(92)&amp;CHAR(34))</f>
        <v xml:space="preserve"> Biển 1 và biển 3.</v>
      </c>
      <c r="J1536" t="str">
        <f>SUBSTITUTE(IF(OR(LEFT(A1540,3)="Câu",I1536=""),"",IF(B1540=0,"",B1540)),CHAR(34),CHAR(92)&amp;CHAR(34))</f>
        <v>Biển 2 và biển 3.</v>
      </c>
      <c r="K1536" t="str">
        <f>SUBSTITUTE(SUBSTITUTE(SUBSTITUTE(SUBSTITUTE(IFERROR(VLOOKUP("Câu "&amp;D1536&amp;".",dapan!$E:$J,6,0),""),"1","A"),"2","B"),"3","C"),"4","D")</f>
        <v/>
      </c>
      <c r="P1536" t="str">
        <f t="shared" si="83"/>
        <v/>
      </c>
      <c r="Q1536" t="str">
        <f t="shared" si="84"/>
        <v/>
      </c>
    </row>
    <row r="1537" spans="1:17" x14ac:dyDescent="0.25">
      <c r="A1537" t="s">
        <v>1194</v>
      </c>
      <c r="C1537">
        <f>IFERROR(COUNTIFS($A$1:A1537,"Câu "&amp;"*")-MID(A1537,5,FIND(".",A1537,1)-5),0)</f>
        <v>0</v>
      </c>
      <c r="D1537">
        <f t="shared" si="86"/>
        <v>373</v>
      </c>
      <c r="E1537" t="str">
        <f>SUBSTITUTE(IF(LEFT(A1537,3)="Câu",MID(A1537,FIND(".",A1537,1)+2,LEN(A1537)),""),CHAR(34),CHAR(92)&amp;CHAR(34))</f>
        <v>Biển nào báo hiệu nguy hiểm giao nhau với đường sắt?</v>
      </c>
      <c r="F1537" t="str">
        <f t="shared" si="85"/>
        <v>q373.jpg</v>
      </c>
      <c r="G1537" t="str">
        <f>SUBSTITUTE(B1538,CHAR(34),CHAR(92)&amp;CHAR(34))</f>
        <v>Biển 1 và biển 2.</v>
      </c>
      <c r="H1537" t="str">
        <f>SUBSTITUTE(B1539,CHAR(34),CHAR(92)&amp;CHAR(34))</f>
        <v xml:space="preserve"> Biển 1 và biển 3.</v>
      </c>
      <c r="I1537" t="str">
        <f>SUBSTITUTE(IF(LEFT(A1540,3)="Câu","",B1540),CHAR(34),CHAR(92)&amp;CHAR(34))</f>
        <v>Biển 2 và biển 3.</v>
      </c>
      <c r="J1537" t="str">
        <f>SUBSTITUTE(IF(OR(LEFT(A1541,3)="Câu",I1537=""),"",IF(B1541=0,"",B1541)),CHAR(34),CHAR(92)&amp;CHAR(34))</f>
        <v>Cả ba biển.</v>
      </c>
      <c r="K1537" t="str">
        <f ca="1">SUBSTITUTE(SUBSTITUTE(SUBSTITUTE(SUBSTITUTE(IFERROR(VLOOKUP("Câu "&amp;D1537&amp;".",dapan!$E:$J,6,0),""),"1","A"),"2","B"),"3","C"),"4","D")</f>
        <v>B</v>
      </c>
      <c r="P1537">
        <f t="shared" si="83"/>
        <v>373</v>
      </c>
      <c r="Q1537" t="str">
        <f t="shared" ca="1" si="84"/>
        <v>{"num":373,"id":373,"q":"Biển nào báo hiệu nguy hiểm giao nhau với đường sắt?","img":"q373.jpg","opts":{"A":"Biển 1 và biển 2.","B":" Biển 1 và biển 3.","C":"Biển 2 và biển 3.","D":"Cả ba biển."},"answer":"B"},</v>
      </c>
    </row>
    <row r="1538" spans="1:17" hidden="1" x14ac:dyDescent="0.25">
      <c r="A1538">
        <v>1</v>
      </c>
      <c r="B1538" t="s">
        <v>1086</v>
      </c>
      <c r="C1538">
        <f>IFERROR(COUNTIFS($A$1:A1538,"Câu "&amp;"*")-MID(A1538,5,FIND(".",A1538,1)-5),0)</f>
        <v>0</v>
      </c>
      <c r="D1538" t="str">
        <f t="shared" si="86"/>
        <v/>
      </c>
      <c r="E1538" t="str">
        <f>SUBSTITUTE(IF(LEFT(A1538,3)="Câu",MID(A1538,FIND(".",A1538,1)+2,LEN(A1538)),""),CHAR(34),CHAR(92)&amp;CHAR(34))</f>
        <v/>
      </c>
      <c r="F1538" t="str">
        <f t="shared" si="85"/>
        <v/>
      </c>
      <c r="G1538" t="str">
        <f>SUBSTITUTE(B1539,CHAR(34),CHAR(92)&amp;CHAR(34))</f>
        <v xml:space="preserve"> Biển 1 và biển 3.</v>
      </c>
      <c r="H1538" t="str">
        <f>SUBSTITUTE(B1540,CHAR(34),CHAR(92)&amp;CHAR(34))</f>
        <v>Biển 2 và biển 3.</v>
      </c>
      <c r="I1538" t="str">
        <f>SUBSTITUTE(IF(LEFT(A1541,3)="Câu","",B1541),CHAR(34),CHAR(92)&amp;CHAR(34))</f>
        <v>Cả ba biển.</v>
      </c>
      <c r="J1538" t="str">
        <f>SUBSTITUTE(IF(OR(LEFT(A1542,3)="Câu",I1538=""),"",IF(B1542=0,"",B1542)),CHAR(34),CHAR(92)&amp;CHAR(34))</f>
        <v/>
      </c>
      <c r="K1538" t="str">
        <f>SUBSTITUTE(SUBSTITUTE(SUBSTITUTE(SUBSTITUTE(IFERROR(VLOOKUP("Câu "&amp;D1538&amp;".",dapan!$E:$J,6,0),""),"1","A"),"2","B"),"3","C"),"4","D")</f>
        <v/>
      </c>
      <c r="P1538" t="str">
        <f t="shared" si="83"/>
        <v/>
      </c>
      <c r="Q1538" t="str">
        <f t="shared" si="84"/>
        <v/>
      </c>
    </row>
    <row r="1539" spans="1:17" hidden="1" x14ac:dyDescent="0.25">
      <c r="A1539">
        <v>2</v>
      </c>
      <c r="B1539" t="s">
        <v>1088</v>
      </c>
      <c r="C1539">
        <f>IFERROR(COUNTIFS($A$1:A1539,"Câu "&amp;"*")-MID(A1539,5,FIND(".",A1539,1)-5),0)</f>
        <v>0</v>
      </c>
      <c r="D1539" t="str">
        <f t="shared" si="86"/>
        <v/>
      </c>
      <c r="E1539" t="str">
        <f>SUBSTITUTE(IF(LEFT(A1539,3)="Câu",MID(A1539,FIND(".",A1539,1)+2,LEN(A1539)),""),CHAR(34),CHAR(92)&amp;CHAR(34))</f>
        <v/>
      </c>
      <c r="F1539" t="str">
        <f t="shared" si="85"/>
        <v/>
      </c>
      <c r="G1539" t="str">
        <f>SUBSTITUTE(B1540,CHAR(34),CHAR(92)&amp;CHAR(34))</f>
        <v>Biển 2 và biển 3.</v>
      </c>
      <c r="H1539" t="str">
        <f>SUBSTITUTE(B1541,CHAR(34),CHAR(92)&amp;CHAR(34))</f>
        <v>Cả ba biển.</v>
      </c>
      <c r="I1539" t="str">
        <f>SUBSTITUTE(IF(LEFT(A1542,3)="Câu","",B1542),CHAR(34),CHAR(92)&amp;CHAR(34))</f>
        <v/>
      </c>
      <c r="J1539" t="str">
        <f>SUBSTITUTE(IF(OR(LEFT(A1543,3)="Câu",I1539=""),"",IF(B1543=0,"",B1543)),CHAR(34),CHAR(92)&amp;CHAR(34))</f>
        <v/>
      </c>
      <c r="K1539" t="str">
        <f>SUBSTITUTE(SUBSTITUTE(SUBSTITUTE(SUBSTITUTE(IFERROR(VLOOKUP("Câu "&amp;D1539&amp;".",dapan!$E:$J,6,0),""),"1","A"),"2","B"),"3","C"),"4","D")</f>
        <v/>
      </c>
      <c r="P1539" t="str">
        <f t="shared" ref="P1539:P1602" si="87">D1539</f>
        <v/>
      </c>
      <c r="Q1539" t="str">
        <f t="shared" ref="Q1539:Q1602" si="88">IF(D1539="","",CHAR(123)&amp;CHAR(34)&amp;"num"&amp;CHAR(34)&amp;":"&amp;P1539&amp;","&amp;CHAR(34)&amp;"id"&amp;CHAR(34)&amp;":"&amp;D1539&amp;","
&amp;CHAR(34)&amp;"q"&amp;CHAR(34)&amp;":"&amp;CHAR(34)&amp;E1539&amp;CHAR(34)&amp;","
&amp;IF(F1539="","",CHAR(34)&amp;"img"&amp;CHAR(34)&amp;":"&amp;CHAR(34)&amp;F1539&amp;CHAR(34)&amp;",")
&amp;CHAR(34)&amp;"opts"&amp;CHAR(34)&amp;":"&amp;CHAR(123)&amp;CHAR(34)&amp;"A"&amp;CHAR(34)&amp;":"&amp;CHAR(34)&amp;G1539&amp;CHAR(34)&amp;","&amp;CHAR(34)&amp;"B"&amp;CHAR(34)&amp;":"&amp;CHAR(34)&amp;H1539&amp;CHAR(34)
&amp;IF(I1539="","",","&amp;CHAR(34)&amp;"C"&amp;CHAR(34)&amp;":"&amp;CHAR(34)&amp;I1539&amp;CHAR(34))&amp;IF(J1539="","",","&amp;CHAR(34)&amp;"D"&amp;CHAR(34)&amp;":"&amp;CHAR(34)&amp;J1539&amp;CHAR(34))&amp;CHAR(125)&amp;","
&amp;CHAR(34)&amp;"answer"&amp;CHAR(34)&amp;":"&amp;CHAR(34)&amp;K1539&amp;CHAR(34)
&amp;IF(L1539="","",","&amp;CHAR(34)&amp;"danger"&amp;CHAR(34)&amp;":"&amp;CHAR(34)&amp;"true"&amp;CHAR(34))
&amp;IF(M1539="","",","&amp;CHAR(34)&amp;"explain"&amp;CHAR(34)&amp;":"&amp;CHAR(34)&amp;M1539&amp;CHAR(34))
&amp;IF(N1539="","",","&amp;CHAR(34)&amp;"explainImg"&amp;CHAR(34)&amp;":"&amp;CHAR(34)&amp;N1539&amp;CHAR(34))
&amp;IF(O1539="","",","&amp;CHAR(34)&amp;"shuffle"&amp;CHAR(34)&amp;":"&amp;CHAR(34)&amp;"false"&amp;CHAR(34))&amp;CHAR(125)&amp;",")</f>
        <v/>
      </c>
    </row>
    <row r="1540" spans="1:17" hidden="1" x14ac:dyDescent="0.25">
      <c r="A1540">
        <v>3</v>
      </c>
      <c r="B1540" t="s">
        <v>1072</v>
      </c>
      <c r="C1540">
        <f>IFERROR(COUNTIFS($A$1:A1540,"Câu "&amp;"*")-MID(A1540,5,FIND(".",A1540,1)-5),0)</f>
        <v>0</v>
      </c>
      <c r="D1540" t="str">
        <f t="shared" si="86"/>
        <v/>
      </c>
      <c r="E1540" t="str">
        <f>SUBSTITUTE(IF(LEFT(A1540,3)="Câu",MID(A1540,FIND(".",A1540,1)+2,LEN(A1540)),""),CHAR(34),CHAR(92)&amp;CHAR(34))</f>
        <v/>
      </c>
      <c r="F1540" t="str">
        <f t="shared" si="85"/>
        <v/>
      </c>
      <c r="G1540" t="str">
        <f>SUBSTITUTE(B1541,CHAR(34),CHAR(92)&amp;CHAR(34))</f>
        <v>Cả ba biển.</v>
      </c>
      <c r="H1540" t="str">
        <f>SUBSTITUTE(B1542,CHAR(34),CHAR(92)&amp;CHAR(34))</f>
        <v/>
      </c>
      <c r="I1540" t="str">
        <f>SUBSTITUTE(IF(LEFT(A1543,3)="Câu","",B1543),CHAR(34),CHAR(92)&amp;CHAR(34))</f>
        <v>Biển 1 và biển 2.</v>
      </c>
      <c r="J1540" t="str">
        <f>SUBSTITUTE(IF(OR(LEFT(A1544,3)="Câu",I1540=""),"",IF(B1544=0,"",B1544)),CHAR(34),CHAR(92)&amp;CHAR(34))</f>
        <v>Biển 1 và biển 3.</v>
      </c>
      <c r="K1540" t="str">
        <f>SUBSTITUTE(SUBSTITUTE(SUBSTITUTE(SUBSTITUTE(IFERROR(VLOOKUP("Câu "&amp;D1540&amp;".",dapan!$E:$J,6,0),""),"1","A"),"2","B"),"3","C"),"4","D")</f>
        <v/>
      </c>
      <c r="P1540" t="str">
        <f t="shared" si="87"/>
        <v/>
      </c>
      <c r="Q1540" t="str">
        <f t="shared" si="88"/>
        <v/>
      </c>
    </row>
    <row r="1541" spans="1:17" hidden="1" x14ac:dyDescent="0.25">
      <c r="A1541">
        <v>4</v>
      </c>
      <c r="B1541" t="s">
        <v>1071</v>
      </c>
      <c r="C1541">
        <f>IFERROR(COUNTIFS($A$1:A1541,"Câu "&amp;"*")-MID(A1541,5,FIND(".",A1541,1)-5),0)</f>
        <v>0</v>
      </c>
      <c r="D1541" t="str">
        <f t="shared" si="86"/>
        <v/>
      </c>
      <c r="E1541" t="str">
        <f>SUBSTITUTE(IF(LEFT(A1541,3)="Câu",MID(A1541,FIND(".",A1541,1)+2,LEN(A1541)),""),CHAR(34),CHAR(92)&amp;CHAR(34))</f>
        <v/>
      </c>
      <c r="F1541" t="str">
        <f t="shared" si="85"/>
        <v/>
      </c>
      <c r="G1541" t="str">
        <f>SUBSTITUTE(B1542,CHAR(34),CHAR(92)&amp;CHAR(34))</f>
        <v/>
      </c>
      <c r="H1541" t="str">
        <f>SUBSTITUTE(B1543,CHAR(34),CHAR(92)&amp;CHAR(34))</f>
        <v>Biển 1 và biển 2.</v>
      </c>
      <c r="I1541" t="str">
        <f>SUBSTITUTE(IF(LEFT(A1544,3)="Câu","",B1544),CHAR(34),CHAR(92)&amp;CHAR(34))</f>
        <v>Biển 1 và biển 3.</v>
      </c>
      <c r="J1541" t="str">
        <f>SUBSTITUTE(IF(OR(LEFT(A1545,3)="Câu",I1541=""),"",IF(B1545=0,"",B1545)),CHAR(34),CHAR(92)&amp;CHAR(34))</f>
        <v xml:space="preserve"> Biển 2 và biển 3.</v>
      </c>
      <c r="K1541" t="str">
        <f>SUBSTITUTE(SUBSTITUTE(SUBSTITUTE(SUBSTITUTE(IFERROR(VLOOKUP("Câu "&amp;D1541&amp;".",dapan!$E:$J,6,0),""),"1","A"),"2","B"),"3","C"),"4","D")</f>
        <v/>
      </c>
      <c r="P1541" t="str">
        <f t="shared" si="87"/>
        <v/>
      </c>
      <c r="Q1541" t="str">
        <f t="shared" si="88"/>
        <v/>
      </c>
    </row>
    <row r="1542" spans="1:17" x14ac:dyDescent="0.25">
      <c r="A1542" t="s">
        <v>1195</v>
      </c>
      <c r="C1542">
        <f>IFERROR(COUNTIFS($A$1:A1542,"Câu "&amp;"*")-MID(A1542,5,FIND(".",A1542,1)-5),0)</f>
        <v>0</v>
      </c>
      <c r="D1542">
        <f t="shared" si="86"/>
        <v>374</v>
      </c>
      <c r="E1542" t="str">
        <f>SUBSTITUTE(IF(LEFT(A1542,3)="Câu",MID(A1542,FIND(".",A1542,1)+2,LEN(A1542)),""),CHAR(34),CHAR(92)&amp;CHAR(34))</f>
        <v>Biển nào báo hiệu đường bộ giao nhau với đường sắt không có rào chắn?</v>
      </c>
      <c r="F1542" t="str">
        <f t="shared" si="85"/>
        <v>q374.jpg</v>
      </c>
      <c r="G1542" t="str">
        <f>SUBSTITUTE(B1543,CHAR(34),CHAR(92)&amp;CHAR(34))</f>
        <v>Biển 1 và biển 2.</v>
      </c>
      <c r="H1542" t="str">
        <f>SUBSTITUTE(B1544,CHAR(34),CHAR(92)&amp;CHAR(34))</f>
        <v>Biển 1 và biển 3.</v>
      </c>
      <c r="I1542" t="str">
        <f>SUBSTITUTE(IF(LEFT(A1545,3)="Câu","",B1545),CHAR(34),CHAR(92)&amp;CHAR(34))</f>
        <v xml:space="preserve"> Biển 2 và biển 3.</v>
      </c>
      <c r="J1542" t="str">
        <f>SUBSTITUTE(IF(OR(LEFT(A1546,3)="Câu",I1542=""),"",IF(B1546=0,"",B1546)),CHAR(34),CHAR(92)&amp;CHAR(34))</f>
        <v>Cả ba biển.</v>
      </c>
      <c r="K1542" t="str">
        <f ca="1">SUBSTITUTE(SUBSTITUTE(SUBSTITUTE(SUBSTITUTE(IFERROR(VLOOKUP("Câu "&amp;D1542&amp;".",dapan!$E:$J,6,0),""),"1","A"),"2","B"),"3","C"),"4","D")</f>
        <v>C</v>
      </c>
      <c r="P1542">
        <f t="shared" si="87"/>
        <v>374</v>
      </c>
      <c r="Q1542" t="str">
        <f t="shared" ca="1" si="88"/>
        <v>{"num":374,"id":374,"q":"Biển nào báo hiệu đường bộ giao nhau với đường sắt không có rào chắn?","img":"q374.jpg","opts":{"A":"Biển 1 và biển 2.","B":"Biển 1 và biển 3.","C":" Biển 2 và biển 3.","D":"Cả ba biển."},"answer":"C"},</v>
      </c>
    </row>
    <row r="1543" spans="1:17" hidden="1" x14ac:dyDescent="0.25">
      <c r="A1543">
        <v>1</v>
      </c>
      <c r="B1543" t="s">
        <v>1086</v>
      </c>
      <c r="C1543">
        <f>IFERROR(COUNTIFS($A$1:A1543,"Câu "&amp;"*")-MID(A1543,5,FIND(".",A1543,1)-5),0)</f>
        <v>0</v>
      </c>
      <c r="D1543" t="str">
        <f t="shared" si="86"/>
        <v/>
      </c>
      <c r="E1543" t="str">
        <f>SUBSTITUTE(IF(LEFT(A1543,3)="Câu",MID(A1543,FIND(".",A1543,1)+2,LEN(A1543)),""),CHAR(34),CHAR(92)&amp;CHAR(34))</f>
        <v/>
      </c>
      <c r="F1543" t="str">
        <f t="shared" si="85"/>
        <v/>
      </c>
      <c r="G1543" t="str">
        <f>SUBSTITUTE(B1544,CHAR(34),CHAR(92)&amp;CHAR(34))</f>
        <v>Biển 1 và biển 3.</v>
      </c>
      <c r="H1543" t="str">
        <f>SUBSTITUTE(B1545,CHAR(34),CHAR(92)&amp;CHAR(34))</f>
        <v xml:space="preserve"> Biển 2 và biển 3.</v>
      </c>
      <c r="I1543" t="str">
        <f>SUBSTITUTE(IF(LEFT(A1546,3)="Câu","",B1546),CHAR(34),CHAR(92)&amp;CHAR(34))</f>
        <v>Cả ba biển.</v>
      </c>
      <c r="J1543" t="str">
        <f>SUBSTITUTE(IF(OR(LEFT(A1547,3)="Câu",I1543=""),"",IF(B1547=0,"",B1547)),CHAR(34),CHAR(92)&amp;CHAR(34))</f>
        <v/>
      </c>
      <c r="K1543" t="str">
        <f>SUBSTITUTE(SUBSTITUTE(SUBSTITUTE(SUBSTITUTE(IFERROR(VLOOKUP("Câu "&amp;D1543&amp;".",dapan!$E:$J,6,0),""),"1","A"),"2","B"),"3","C"),"4","D")</f>
        <v/>
      </c>
      <c r="P1543" t="str">
        <f t="shared" si="87"/>
        <v/>
      </c>
      <c r="Q1543" t="str">
        <f t="shared" si="88"/>
        <v/>
      </c>
    </row>
    <row r="1544" spans="1:17" hidden="1" x14ac:dyDescent="0.25">
      <c r="A1544">
        <v>2</v>
      </c>
      <c r="B1544" t="s">
        <v>1077</v>
      </c>
      <c r="C1544">
        <f>IFERROR(COUNTIFS($A$1:A1544,"Câu "&amp;"*")-MID(A1544,5,FIND(".",A1544,1)-5),0)</f>
        <v>0</v>
      </c>
      <c r="D1544" t="str">
        <f t="shared" si="86"/>
        <v/>
      </c>
      <c r="E1544" t="str">
        <f>SUBSTITUTE(IF(LEFT(A1544,3)="Câu",MID(A1544,FIND(".",A1544,1)+2,LEN(A1544)),""),CHAR(34),CHAR(92)&amp;CHAR(34))</f>
        <v/>
      </c>
      <c r="F1544" t="str">
        <f t="shared" si="85"/>
        <v/>
      </c>
      <c r="G1544" t="str">
        <f>SUBSTITUTE(B1545,CHAR(34),CHAR(92)&amp;CHAR(34))</f>
        <v xml:space="preserve"> Biển 2 và biển 3.</v>
      </c>
      <c r="H1544" t="str">
        <f>SUBSTITUTE(B1546,CHAR(34),CHAR(92)&amp;CHAR(34))</f>
        <v>Cả ba biển.</v>
      </c>
      <c r="I1544" t="str">
        <f>SUBSTITUTE(IF(LEFT(A1547,3)="Câu","",B1547),CHAR(34),CHAR(92)&amp;CHAR(34))</f>
        <v/>
      </c>
      <c r="J1544" t="str">
        <f>SUBSTITUTE(IF(OR(LEFT(A1548,3)="Câu",I1544=""),"",IF(B1548=0,"",B1548)),CHAR(34),CHAR(92)&amp;CHAR(34))</f>
        <v/>
      </c>
      <c r="K1544" t="str">
        <f>SUBSTITUTE(SUBSTITUTE(SUBSTITUTE(SUBSTITUTE(IFERROR(VLOOKUP("Câu "&amp;D1544&amp;".",dapan!$E:$J,6,0),""),"1","A"),"2","B"),"3","C"),"4","D")</f>
        <v/>
      </c>
      <c r="P1544" t="str">
        <f t="shared" si="87"/>
        <v/>
      </c>
      <c r="Q1544" t="str">
        <f t="shared" si="88"/>
        <v/>
      </c>
    </row>
    <row r="1545" spans="1:17" hidden="1" x14ac:dyDescent="0.25">
      <c r="A1545">
        <v>3</v>
      </c>
      <c r="B1545" t="s">
        <v>1076</v>
      </c>
      <c r="C1545">
        <f>IFERROR(COUNTIFS($A$1:A1545,"Câu "&amp;"*")-MID(A1545,5,FIND(".",A1545,1)-5),0)</f>
        <v>0</v>
      </c>
      <c r="D1545" t="str">
        <f t="shared" si="86"/>
        <v/>
      </c>
      <c r="E1545" t="str">
        <f>SUBSTITUTE(IF(LEFT(A1545,3)="Câu",MID(A1545,FIND(".",A1545,1)+2,LEN(A1545)),""),CHAR(34),CHAR(92)&amp;CHAR(34))</f>
        <v/>
      </c>
      <c r="F1545" t="str">
        <f t="shared" si="85"/>
        <v/>
      </c>
      <c r="G1545" t="str">
        <f>SUBSTITUTE(B1546,CHAR(34),CHAR(92)&amp;CHAR(34))</f>
        <v>Cả ba biển.</v>
      </c>
      <c r="H1545" t="str">
        <f>SUBSTITUTE(B1547,CHAR(34),CHAR(92)&amp;CHAR(34))</f>
        <v/>
      </c>
      <c r="I1545" t="str">
        <f>SUBSTITUTE(IF(LEFT(A1548,3)="Câu","",B1548),CHAR(34),CHAR(92)&amp;CHAR(34))</f>
        <v xml:space="preserve"> Biển 1.</v>
      </c>
      <c r="J1545" t="str">
        <f>SUBSTITUTE(IF(OR(LEFT(A1549,3)="Câu",I1545=""),"",IF(B1549=0,"",B1549)),CHAR(34),CHAR(92)&amp;CHAR(34))</f>
        <v>Biển 2.</v>
      </c>
      <c r="K1545" t="str">
        <f>SUBSTITUTE(SUBSTITUTE(SUBSTITUTE(SUBSTITUTE(IFERROR(VLOOKUP("Câu "&amp;D1545&amp;".",dapan!$E:$J,6,0),""),"1","A"),"2","B"),"3","C"),"4","D")</f>
        <v/>
      </c>
      <c r="P1545" t="str">
        <f t="shared" si="87"/>
        <v/>
      </c>
      <c r="Q1545" t="str">
        <f t="shared" si="88"/>
        <v/>
      </c>
    </row>
    <row r="1546" spans="1:17" hidden="1" x14ac:dyDescent="0.25">
      <c r="A1546">
        <v>4</v>
      </c>
      <c r="B1546" t="s">
        <v>1071</v>
      </c>
      <c r="C1546">
        <f>IFERROR(COUNTIFS($A$1:A1546,"Câu "&amp;"*")-MID(A1546,5,FIND(".",A1546,1)-5),0)</f>
        <v>0</v>
      </c>
      <c r="D1546" t="str">
        <f t="shared" si="86"/>
        <v/>
      </c>
      <c r="E1546" t="str">
        <f>SUBSTITUTE(IF(LEFT(A1546,3)="Câu",MID(A1546,FIND(".",A1546,1)+2,LEN(A1546)),""),CHAR(34),CHAR(92)&amp;CHAR(34))</f>
        <v/>
      </c>
      <c r="F1546" t="str">
        <f t="shared" si="85"/>
        <v/>
      </c>
      <c r="G1546" t="str">
        <f>SUBSTITUTE(B1547,CHAR(34),CHAR(92)&amp;CHAR(34))</f>
        <v/>
      </c>
      <c r="H1546" t="str">
        <f>SUBSTITUTE(B1548,CHAR(34),CHAR(92)&amp;CHAR(34))</f>
        <v xml:space="preserve"> Biển 1.</v>
      </c>
      <c r="I1546" t="str">
        <f>SUBSTITUTE(IF(LEFT(A1549,3)="Câu","",B1549),CHAR(34),CHAR(92)&amp;CHAR(34))</f>
        <v>Biển 2.</v>
      </c>
      <c r="J1546" t="str">
        <f>SUBSTITUTE(IF(OR(LEFT(A1550,3)="Câu",I1546=""),"",IF(B1550=0,"",B1550)),CHAR(34),CHAR(92)&amp;CHAR(34))</f>
        <v>Biển 3.</v>
      </c>
      <c r="K1546" t="str">
        <f>SUBSTITUTE(SUBSTITUTE(SUBSTITUTE(SUBSTITUTE(IFERROR(VLOOKUP("Câu "&amp;D1546&amp;".",dapan!$E:$J,6,0),""),"1","A"),"2","B"),"3","C"),"4","D")</f>
        <v/>
      </c>
      <c r="P1546" t="str">
        <f t="shared" si="87"/>
        <v/>
      </c>
      <c r="Q1546" t="str">
        <f t="shared" si="88"/>
        <v/>
      </c>
    </row>
    <row r="1547" spans="1:17" x14ac:dyDescent="0.25">
      <c r="A1547" t="s">
        <v>1196</v>
      </c>
      <c r="C1547">
        <f>IFERROR(COUNTIFS($A$1:A1547,"Câu "&amp;"*")-MID(A1547,5,FIND(".",A1547,1)-5),0)</f>
        <v>0</v>
      </c>
      <c r="D1547">
        <f t="shared" si="86"/>
        <v>375</v>
      </c>
      <c r="E1547" t="str">
        <f>SUBSTITUTE(IF(LEFT(A1547,3)="Câu",MID(A1547,FIND(".",A1547,1)+2,LEN(A1547)),""),CHAR(34),CHAR(92)&amp;CHAR(34))</f>
        <v>Biển nào báo hiệu sắp đến chỗ giao nhau giữa đường bộ và đường sắt?</v>
      </c>
      <c r="F1547" t="str">
        <f t="shared" si="85"/>
        <v>q375.jpg</v>
      </c>
      <c r="G1547" t="str">
        <f>SUBSTITUTE(B1548,CHAR(34),CHAR(92)&amp;CHAR(34))</f>
        <v xml:space="preserve"> Biển 1.</v>
      </c>
      <c r="H1547" t="str">
        <f>SUBSTITUTE(B1549,CHAR(34),CHAR(92)&amp;CHAR(34))</f>
        <v>Biển 2.</v>
      </c>
      <c r="I1547" t="str">
        <f>SUBSTITUTE(IF(LEFT(A1550,3)="Câu","",B1550),CHAR(34),CHAR(92)&amp;CHAR(34))</f>
        <v>Biển 3.</v>
      </c>
      <c r="J1547" t="str">
        <f>SUBSTITUTE(IF(OR(LEFT(A1551,3)="Câu",I1547=""),"",IF(B1551=0,"",B1551)),CHAR(34),CHAR(92)&amp;CHAR(34))</f>
        <v>Biển 1 và biển 3.</v>
      </c>
      <c r="K1547" t="str">
        <f ca="1">SUBSTITUTE(SUBSTITUTE(SUBSTITUTE(SUBSTITUTE(IFERROR(VLOOKUP("Câu "&amp;D1547&amp;".",dapan!$E:$J,6,0),""),"1","A"),"2","B"),"3","C"),"4","D")</f>
        <v>A</v>
      </c>
      <c r="P1547">
        <f t="shared" si="87"/>
        <v>375</v>
      </c>
      <c r="Q1547" t="str">
        <f t="shared" ca="1" si="88"/>
        <v>{"num":375,"id":375,"q":"Biển nào báo hiệu sắp đến chỗ giao nhau giữa đường bộ và đường sắt?","img":"q375.jpg","opts":{"A":" Biển 1.","B":"Biển 2.","C":"Biển 3.","D":"Biển 1 và biển 3."},"answer":"A"},</v>
      </c>
    </row>
    <row r="1548" spans="1:17" hidden="1" x14ac:dyDescent="0.25">
      <c r="A1548">
        <v>1</v>
      </c>
      <c r="B1548" t="s">
        <v>1066</v>
      </c>
      <c r="C1548">
        <f>IFERROR(COUNTIFS($A$1:A1548,"Câu "&amp;"*")-MID(A1548,5,FIND(".",A1548,1)-5),0)</f>
        <v>0</v>
      </c>
      <c r="D1548" t="str">
        <f t="shared" si="86"/>
        <v/>
      </c>
      <c r="E1548" t="str">
        <f>SUBSTITUTE(IF(LEFT(A1548,3)="Câu",MID(A1548,FIND(".",A1548,1)+2,LEN(A1548)),""),CHAR(34),CHAR(92)&amp;CHAR(34))</f>
        <v/>
      </c>
      <c r="F1548" t="str">
        <f t="shared" si="85"/>
        <v/>
      </c>
      <c r="G1548" t="str">
        <f>SUBSTITUTE(B1549,CHAR(34),CHAR(92)&amp;CHAR(34))</f>
        <v>Biển 2.</v>
      </c>
      <c r="H1548" t="str">
        <f>SUBSTITUTE(B1550,CHAR(34),CHAR(92)&amp;CHAR(34))</f>
        <v>Biển 3.</v>
      </c>
      <c r="I1548" t="str">
        <f>SUBSTITUTE(IF(LEFT(A1551,3)="Câu","",B1551),CHAR(34),CHAR(92)&amp;CHAR(34))</f>
        <v>Biển 1 và biển 3.</v>
      </c>
      <c r="J1548" t="str">
        <f>SUBSTITUTE(IF(OR(LEFT(A1552,3)="Câu",I1548=""),"",IF(B1552=0,"",B1552)),CHAR(34),CHAR(92)&amp;CHAR(34))</f>
        <v/>
      </c>
      <c r="K1548" t="str">
        <f>SUBSTITUTE(SUBSTITUTE(SUBSTITUTE(SUBSTITUTE(IFERROR(VLOOKUP("Câu "&amp;D1548&amp;".",dapan!$E:$J,6,0),""),"1","A"),"2","B"),"3","C"),"4","D")</f>
        <v/>
      </c>
      <c r="P1548" t="str">
        <f t="shared" si="87"/>
        <v/>
      </c>
      <c r="Q1548" t="str">
        <f t="shared" si="88"/>
        <v/>
      </c>
    </row>
    <row r="1549" spans="1:17" hidden="1" x14ac:dyDescent="0.25">
      <c r="A1549">
        <v>2</v>
      </c>
      <c r="B1549" t="s">
        <v>1068</v>
      </c>
      <c r="C1549">
        <f>IFERROR(COUNTIFS($A$1:A1549,"Câu "&amp;"*")-MID(A1549,5,FIND(".",A1549,1)-5),0)</f>
        <v>0</v>
      </c>
      <c r="D1549" t="str">
        <f t="shared" si="86"/>
        <v/>
      </c>
      <c r="E1549" t="str">
        <f>SUBSTITUTE(IF(LEFT(A1549,3)="Câu",MID(A1549,FIND(".",A1549,1)+2,LEN(A1549)),""),CHAR(34),CHAR(92)&amp;CHAR(34))</f>
        <v/>
      </c>
      <c r="F1549" t="str">
        <f t="shared" si="85"/>
        <v/>
      </c>
      <c r="G1549" t="str">
        <f>SUBSTITUTE(B1550,CHAR(34),CHAR(92)&amp;CHAR(34))</f>
        <v>Biển 3.</v>
      </c>
      <c r="H1549" t="str">
        <f>SUBSTITUTE(B1551,CHAR(34),CHAR(92)&amp;CHAR(34))</f>
        <v>Biển 1 và biển 3.</v>
      </c>
      <c r="I1549" t="str">
        <f>SUBSTITUTE(IF(LEFT(A1552,3)="Câu","",B1552),CHAR(34),CHAR(92)&amp;CHAR(34))</f>
        <v/>
      </c>
      <c r="J1549" t="str">
        <f>SUBSTITUTE(IF(OR(LEFT(A1553,3)="Câu",I1549=""),"",IF(B1553=0,"",B1553)),CHAR(34),CHAR(92)&amp;CHAR(34))</f>
        <v/>
      </c>
      <c r="K1549" t="str">
        <f>SUBSTITUTE(SUBSTITUTE(SUBSTITUTE(SUBSTITUTE(IFERROR(VLOOKUP("Câu "&amp;D1549&amp;".",dapan!$E:$J,6,0),""),"1","A"),"2","B"),"3","C"),"4","D")</f>
        <v/>
      </c>
      <c r="P1549" t="str">
        <f t="shared" si="87"/>
        <v/>
      </c>
      <c r="Q1549" t="str">
        <f t="shared" si="88"/>
        <v/>
      </c>
    </row>
    <row r="1550" spans="1:17" hidden="1" x14ac:dyDescent="0.25">
      <c r="A1550">
        <v>3</v>
      </c>
      <c r="B1550" t="s">
        <v>1083</v>
      </c>
      <c r="C1550">
        <f>IFERROR(COUNTIFS($A$1:A1550,"Câu "&amp;"*")-MID(A1550,5,FIND(".",A1550,1)-5),0)</f>
        <v>0</v>
      </c>
      <c r="D1550" t="str">
        <f t="shared" si="86"/>
        <v/>
      </c>
      <c r="E1550" t="str">
        <f>SUBSTITUTE(IF(LEFT(A1550,3)="Câu",MID(A1550,FIND(".",A1550,1)+2,LEN(A1550)),""),CHAR(34),CHAR(92)&amp;CHAR(34))</f>
        <v/>
      </c>
      <c r="F1550" t="str">
        <f t="shared" si="85"/>
        <v/>
      </c>
      <c r="G1550" t="str">
        <f>SUBSTITUTE(B1551,CHAR(34),CHAR(92)&amp;CHAR(34))</f>
        <v>Biển 1 và biển 3.</v>
      </c>
      <c r="H1550" t="str">
        <f>SUBSTITUTE(B1552,CHAR(34),CHAR(92)&amp;CHAR(34))</f>
        <v/>
      </c>
      <c r="I1550" t="str">
        <f>SUBSTITUTE(IF(LEFT(A1553,3)="Câu","",B1553),CHAR(34),CHAR(92)&amp;CHAR(34))</f>
        <v>Biển 1.</v>
      </c>
      <c r="J1550" t="str">
        <f>SUBSTITUTE(IF(OR(LEFT(A1554,3)="Câu",I1550=""),"",IF(B1554=0,"",B1554)),CHAR(34),CHAR(92)&amp;CHAR(34))</f>
        <v xml:space="preserve"> Biển 2.</v>
      </c>
      <c r="K1550" t="str">
        <f>SUBSTITUTE(SUBSTITUTE(SUBSTITUTE(SUBSTITUTE(IFERROR(VLOOKUP("Câu "&amp;D1550&amp;".",dapan!$E:$J,6,0),""),"1","A"),"2","B"),"3","C"),"4","D")</f>
        <v/>
      </c>
      <c r="P1550" t="str">
        <f t="shared" si="87"/>
        <v/>
      </c>
      <c r="Q1550" t="str">
        <f t="shared" si="88"/>
        <v/>
      </c>
    </row>
    <row r="1551" spans="1:17" hidden="1" x14ac:dyDescent="0.25">
      <c r="A1551">
        <v>4</v>
      </c>
      <c r="B1551" t="s">
        <v>1077</v>
      </c>
      <c r="C1551">
        <f>IFERROR(COUNTIFS($A$1:A1551,"Câu "&amp;"*")-MID(A1551,5,FIND(".",A1551,1)-5),0)</f>
        <v>0</v>
      </c>
      <c r="D1551" t="str">
        <f t="shared" si="86"/>
        <v/>
      </c>
      <c r="E1551" t="str">
        <f>SUBSTITUTE(IF(LEFT(A1551,3)="Câu",MID(A1551,FIND(".",A1551,1)+2,LEN(A1551)),""),CHAR(34),CHAR(92)&amp;CHAR(34))</f>
        <v/>
      </c>
      <c r="F1551" t="str">
        <f t="shared" si="85"/>
        <v/>
      </c>
      <c r="G1551" t="str">
        <f>SUBSTITUTE(B1552,CHAR(34),CHAR(92)&amp;CHAR(34))</f>
        <v/>
      </c>
      <c r="H1551" t="str">
        <f>SUBSTITUTE(B1553,CHAR(34),CHAR(92)&amp;CHAR(34))</f>
        <v>Biển 1.</v>
      </c>
      <c r="I1551" t="str">
        <f>SUBSTITUTE(IF(LEFT(A1554,3)="Câu","",B1554),CHAR(34),CHAR(92)&amp;CHAR(34))</f>
        <v xml:space="preserve"> Biển 2.</v>
      </c>
      <c r="J1551" t="str">
        <f>SUBSTITUTE(IF(OR(LEFT(A1555,3)="Câu",I1551=""),"",IF(B1555=0,"",B1555)),CHAR(34),CHAR(92)&amp;CHAR(34))</f>
        <v>Biển 3.</v>
      </c>
      <c r="K1551" t="str">
        <f>SUBSTITUTE(SUBSTITUTE(SUBSTITUTE(SUBSTITUTE(IFERROR(VLOOKUP("Câu "&amp;D1551&amp;".",dapan!$E:$J,6,0),""),"1","A"),"2","B"),"3","C"),"4","D")</f>
        <v/>
      </c>
      <c r="P1551" t="str">
        <f t="shared" si="87"/>
        <v/>
      </c>
      <c r="Q1551" t="str">
        <f t="shared" si="88"/>
        <v/>
      </c>
    </row>
    <row r="1552" spans="1:17" x14ac:dyDescent="0.25">
      <c r="A1552" t="s">
        <v>1197</v>
      </c>
      <c r="C1552">
        <f>IFERROR(COUNTIFS($A$1:A1552,"Câu "&amp;"*")-MID(A1552,5,FIND(".",A1552,1)-5),0)</f>
        <v>0</v>
      </c>
      <c r="D1552">
        <f t="shared" si="86"/>
        <v>376</v>
      </c>
      <c r="E1552" t="str">
        <f>SUBSTITUTE(IF(LEFT(A1552,3)="Câu",MID(A1552,FIND(".",A1552,1)+2,LEN(A1552)),""),CHAR(34),CHAR(92)&amp;CHAR(34))</f>
        <v>Biển nào báo hiệu \"Cửa chui\"?</v>
      </c>
      <c r="F1552" t="str">
        <f t="shared" si="85"/>
        <v>q376.jpg</v>
      </c>
      <c r="G1552" t="str">
        <f>SUBSTITUTE(B1553,CHAR(34),CHAR(92)&amp;CHAR(34))</f>
        <v>Biển 1.</v>
      </c>
      <c r="H1552" t="str">
        <f>SUBSTITUTE(B1554,CHAR(34),CHAR(92)&amp;CHAR(34))</f>
        <v xml:space="preserve"> Biển 2.</v>
      </c>
      <c r="I1552" t="str">
        <f>SUBSTITUTE(IF(LEFT(A1555,3)="Câu","",B1555),CHAR(34),CHAR(92)&amp;CHAR(34))</f>
        <v>Biển 3.</v>
      </c>
      <c r="J1552" t="str">
        <f>SUBSTITUTE(IF(OR(LEFT(A1556,3)="Câu",I1552=""),"",IF(B1556=0,"",B1556)),CHAR(34),CHAR(92)&amp;CHAR(34))</f>
        <v/>
      </c>
      <c r="K1552" t="str">
        <f ca="1">SUBSTITUTE(SUBSTITUTE(SUBSTITUTE(SUBSTITUTE(IFERROR(VLOOKUP("Câu "&amp;D1552&amp;".",dapan!$E:$J,6,0),""),"1","A"),"2","B"),"3","C"),"4","D")</f>
        <v>B</v>
      </c>
      <c r="P1552">
        <f t="shared" si="87"/>
        <v>376</v>
      </c>
      <c r="Q1552" t="str">
        <f t="shared" ca="1" si="88"/>
        <v>{"num":376,"id":376,"q":"Biển nào báo hiệu \"Cửa chui\"?","img":"q376.jpg","opts":{"A":"Biển 1.","B":" Biển 2.","C":"Biển 3."},"answer":"B"},</v>
      </c>
    </row>
    <row r="1553" spans="1:17" hidden="1" x14ac:dyDescent="0.25">
      <c r="A1553">
        <v>1</v>
      </c>
      <c r="B1553" t="s">
        <v>1075</v>
      </c>
      <c r="C1553">
        <f>IFERROR(COUNTIFS($A$1:A1553,"Câu "&amp;"*")-MID(A1553,5,FIND(".",A1553,1)-5),0)</f>
        <v>0</v>
      </c>
      <c r="D1553" t="str">
        <f t="shared" si="86"/>
        <v/>
      </c>
      <c r="E1553" t="str">
        <f>SUBSTITUTE(IF(LEFT(A1553,3)="Câu",MID(A1553,FIND(".",A1553,1)+2,LEN(A1553)),""),CHAR(34),CHAR(92)&amp;CHAR(34))</f>
        <v/>
      </c>
      <c r="F1553" t="str">
        <f t="shared" si="85"/>
        <v/>
      </c>
      <c r="G1553" t="str">
        <f>SUBSTITUTE(B1554,CHAR(34),CHAR(92)&amp;CHAR(34))</f>
        <v xml:space="preserve"> Biển 2.</v>
      </c>
      <c r="H1553" t="str">
        <f>SUBSTITUTE(B1555,CHAR(34),CHAR(92)&amp;CHAR(34))</f>
        <v>Biển 3.</v>
      </c>
      <c r="I1553" t="str">
        <f>SUBSTITUTE(IF(LEFT(A1556,3)="Câu","",B1556),CHAR(34),CHAR(92)&amp;CHAR(34))</f>
        <v/>
      </c>
      <c r="J1553" t="str">
        <f>SUBSTITUTE(IF(OR(LEFT(A1557,3)="Câu",I1553=""),"",IF(B1557=0,"",B1557)),CHAR(34),CHAR(92)&amp;CHAR(34))</f>
        <v/>
      </c>
      <c r="K1553" t="str">
        <f>SUBSTITUTE(SUBSTITUTE(SUBSTITUTE(SUBSTITUTE(IFERROR(VLOOKUP("Câu "&amp;D1553&amp;".",dapan!$E:$J,6,0),""),"1","A"),"2","B"),"3","C"),"4","D")</f>
        <v/>
      </c>
      <c r="P1553" t="str">
        <f t="shared" si="87"/>
        <v/>
      </c>
      <c r="Q1553" t="str">
        <f t="shared" si="88"/>
        <v/>
      </c>
    </row>
    <row r="1554" spans="1:17" hidden="1" x14ac:dyDescent="0.25">
      <c r="A1554">
        <v>2</v>
      </c>
      <c r="B1554" t="s">
        <v>1090</v>
      </c>
      <c r="C1554">
        <f>IFERROR(COUNTIFS($A$1:A1554,"Câu "&amp;"*")-MID(A1554,5,FIND(".",A1554,1)-5),0)</f>
        <v>0</v>
      </c>
      <c r="D1554" t="str">
        <f t="shared" si="86"/>
        <v/>
      </c>
      <c r="E1554" t="str">
        <f>SUBSTITUTE(IF(LEFT(A1554,3)="Câu",MID(A1554,FIND(".",A1554,1)+2,LEN(A1554)),""),CHAR(34),CHAR(92)&amp;CHAR(34))</f>
        <v/>
      </c>
      <c r="F1554" t="str">
        <f t="shared" si="85"/>
        <v/>
      </c>
      <c r="G1554" t="str">
        <f>SUBSTITUTE(B1555,CHAR(34),CHAR(92)&amp;CHAR(34))</f>
        <v>Biển 3.</v>
      </c>
      <c r="H1554" t="str">
        <f>SUBSTITUTE(B1556,CHAR(34),CHAR(92)&amp;CHAR(34))</f>
        <v/>
      </c>
      <c r="I1554" t="str">
        <f>SUBSTITUTE(IF(LEFT(A1557,3)="Câu","",B1557),CHAR(34),CHAR(92)&amp;CHAR(34))</f>
        <v xml:space="preserve"> Để chỉ nơi đường sắt giao vuông góc với đường bộ không có rào chắn.</v>
      </c>
      <c r="J1554" t="str">
        <f>SUBSTITUTE(IF(OR(LEFT(A1558,3)="Câu",I1554=""),"",IF(B1558=0,"",B1558)),CHAR(34),CHAR(92)&amp;CHAR(34))</f>
        <v>Để báo trước sắp đến vị trí giao cắt đường bộ với đường sắt cùng mức, không vuông góc và không có người gác, không có rào chắn.</v>
      </c>
      <c r="K1554" t="str">
        <f>SUBSTITUTE(SUBSTITUTE(SUBSTITUTE(SUBSTITUTE(IFERROR(VLOOKUP("Câu "&amp;D1554&amp;".",dapan!$E:$J,6,0),""),"1","A"),"2","B"),"3","C"),"4","D")</f>
        <v/>
      </c>
      <c r="P1554" t="str">
        <f t="shared" si="87"/>
        <v/>
      </c>
      <c r="Q1554" t="str">
        <f t="shared" si="88"/>
        <v/>
      </c>
    </row>
    <row r="1555" spans="1:17" hidden="1" x14ac:dyDescent="0.25">
      <c r="A1555">
        <v>3</v>
      </c>
      <c r="B1555" t="s">
        <v>1083</v>
      </c>
      <c r="C1555">
        <f>IFERROR(COUNTIFS($A$1:A1555,"Câu "&amp;"*")-MID(A1555,5,FIND(".",A1555,1)-5),0)</f>
        <v>0</v>
      </c>
      <c r="D1555" t="str">
        <f t="shared" si="86"/>
        <v/>
      </c>
      <c r="E1555" t="str">
        <f>SUBSTITUTE(IF(LEFT(A1555,3)="Câu",MID(A1555,FIND(".",A1555,1)+2,LEN(A1555)),""),CHAR(34),CHAR(92)&amp;CHAR(34))</f>
        <v/>
      </c>
      <c r="F1555" t="str">
        <f t="shared" si="85"/>
        <v/>
      </c>
      <c r="G1555" t="str">
        <f>SUBSTITUTE(B1556,CHAR(34),CHAR(92)&amp;CHAR(34))</f>
        <v/>
      </c>
      <c r="H1555" t="str">
        <f>SUBSTITUTE(B1557,CHAR(34),CHAR(92)&amp;CHAR(34))</f>
        <v xml:space="preserve"> Để chỉ nơi đường sắt giao vuông góc với đường bộ không có rào chắn.</v>
      </c>
      <c r="I1555" t="str">
        <f>SUBSTITUTE(IF(LEFT(A1558,3)="Câu","",B1558),CHAR(34),CHAR(92)&amp;CHAR(34))</f>
        <v>Để báo trước sắp đến vị trí giao cắt đường bộ với đường sắt cùng mức, không vuông góc và không có người gác, không có rào chắn.</v>
      </c>
      <c r="J1555" t="str">
        <f>SUBSTITUTE(IF(OR(LEFT(A1559,3)="Câu",I1555=""),"",IF(B1559=0,"",B1559)),CHAR(34),CHAR(92)&amp;CHAR(34))</f>
        <v>Nơi đường sắt giao nhau với đường bộ.</v>
      </c>
      <c r="K1555" t="str">
        <f>SUBSTITUTE(SUBSTITUTE(SUBSTITUTE(SUBSTITUTE(IFERROR(VLOOKUP("Câu "&amp;D1555&amp;".",dapan!$E:$J,6,0),""),"1","A"),"2","B"),"3","C"),"4","D")</f>
        <v/>
      </c>
      <c r="P1555" t="str">
        <f t="shared" si="87"/>
        <v/>
      </c>
      <c r="Q1555" t="str">
        <f t="shared" si="88"/>
        <v/>
      </c>
    </row>
    <row r="1556" spans="1:17" x14ac:dyDescent="0.25">
      <c r="A1556" t="s">
        <v>1198</v>
      </c>
      <c r="C1556">
        <f>IFERROR(COUNTIFS($A$1:A1556,"Câu "&amp;"*")-MID(A1556,5,FIND(".",A1556,1)-5),0)</f>
        <v>0</v>
      </c>
      <c r="D1556">
        <f t="shared" si="86"/>
        <v>377</v>
      </c>
      <c r="E1556" t="str">
        <f>SUBSTITUTE(IF(LEFT(A1556,3)="Câu",MID(A1556,FIND(".",A1556,1)+2,LEN(A1556)),""),CHAR(34),CHAR(92)&amp;CHAR(34))</f>
        <v>Hai biển này có ý nghĩa như thế nào?</v>
      </c>
      <c r="F1556" t="str">
        <f t="shared" si="85"/>
        <v>q377.jpg</v>
      </c>
      <c r="G1556" t="str">
        <f>SUBSTITUTE(B1557,CHAR(34),CHAR(92)&amp;CHAR(34))</f>
        <v xml:space="preserve"> Để chỉ nơi đường sắt giao vuông góc với đường bộ không có rào chắn.</v>
      </c>
      <c r="H1556" t="str">
        <f>SUBSTITUTE(B1558,CHAR(34),CHAR(92)&amp;CHAR(34))</f>
        <v>Để báo trước sắp đến vị trí giao cắt đường bộ với đường sắt cùng mức, không vuông góc và không có người gác, không có rào chắn.</v>
      </c>
      <c r="I1556" t="str">
        <f>SUBSTITUTE(IF(LEFT(A1559,3)="Câu","",B1559),CHAR(34),CHAR(92)&amp;CHAR(34))</f>
        <v>Nơi đường sắt giao nhau với đường bộ.</v>
      </c>
      <c r="J1556" t="str">
        <f>SUBSTITUTE(IF(OR(LEFT(A1560,3)="Câu",I1556=""),"",IF(B1560=0,"",B1560)),CHAR(34),CHAR(92)&amp;CHAR(34))</f>
        <v/>
      </c>
      <c r="K1556" t="str">
        <f ca="1">SUBSTITUTE(SUBSTITUTE(SUBSTITUTE(SUBSTITUTE(IFERROR(VLOOKUP("Câu "&amp;D1556&amp;".",dapan!$E:$J,6,0),""),"1","A"),"2","B"),"3","C"),"4","D")</f>
        <v>A</v>
      </c>
      <c r="P1556">
        <f t="shared" si="87"/>
        <v>377</v>
      </c>
      <c r="Q1556" t="str">
        <f t="shared" ca="1" si="88"/>
        <v>{"num":377,"id":377,"q":"Hai biển này có ý nghĩa như thế nào?","img":"q377.jpg","opts":{"A":" Để chỉ nơi đường sắt giao vuông góc với đường bộ không có rào chắn.","B":"Để báo trước sắp đến vị trí giao cắt đường bộ với đường sắt cùng mức, không vuông góc và không có người gác, không có rào chắn.","C":"Nơi đường sắt giao nhau với đường bộ."},"answer":"A"},</v>
      </c>
    </row>
    <row r="1557" spans="1:17" hidden="1" x14ac:dyDescent="0.25">
      <c r="A1557">
        <v>1</v>
      </c>
      <c r="B1557" t="s">
        <v>1199</v>
      </c>
      <c r="C1557">
        <f>IFERROR(COUNTIFS($A$1:A1557,"Câu "&amp;"*")-MID(A1557,5,FIND(".",A1557,1)-5),0)</f>
        <v>0</v>
      </c>
      <c r="D1557" t="str">
        <f t="shared" si="86"/>
        <v/>
      </c>
      <c r="E1557" t="str">
        <f>SUBSTITUTE(IF(LEFT(A1557,3)="Câu",MID(A1557,FIND(".",A1557,1)+2,LEN(A1557)),""),CHAR(34),CHAR(92)&amp;CHAR(34))</f>
        <v/>
      </c>
      <c r="F1557" t="str">
        <f t="shared" si="85"/>
        <v/>
      </c>
      <c r="G1557" t="str">
        <f>SUBSTITUTE(B1558,CHAR(34),CHAR(92)&amp;CHAR(34))</f>
        <v>Để báo trước sắp đến vị trí giao cắt đường bộ với đường sắt cùng mức, không vuông góc và không có người gác, không có rào chắn.</v>
      </c>
      <c r="H1557" t="str">
        <f>SUBSTITUTE(B1559,CHAR(34),CHAR(92)&amp;CHAR(34))</f>
        <v>Nơi đường sắt giao nhau với đường bộ.</v>
      </c>
      <c r="I1557" t="str">
        <f>SUBSTITUTE(IF(LEFT(A1560,3)="Câu","",B1560),CHAR(34),CHAR(92)&amp;CHAR(34))</f>
        <v/>
      </c>
      <c r="J1557" t="str">
        <f>SUBSTITUTE(IF(OR(LEFT(A1561,3)="Câu",I1557=""),"",IF(B1561=0,"",B1561)),CHAR(34),CHAR(92)&amp;CHAR(34))</f>
        <v/>
      </c>
      <c r="K1557" t="str">
        <f>SUBSTITUTE(SUBSTITUTE(SUBSTITUTE(SUBSTITUTE(IFERROR(VLOOKUP("Câu "&amp;D1557&amp;".",dapan!$E:$J,6,0),""),"1","A"),"2","B"),"3","C"),"4","D")</f>
        <v/>
      </c>
      <c r="P1557" t="str">
        <f t="shared" si="87"/>
        <v/>
      </c>
      <c r="Q1557" t="str">
        <f t="shared" si="88"/>
        <v/>
      </c>
    </row>
    <row r="1558" spans="1:17" hidden="1" x14ac:dyDescent="0.25">
      <c r="A1558">
        <v>2</v>
      </c>
      <c r="B1558" t="s">
        <v>1200</v>
      </c>
      <c r="C1558">
        <f>IFERROR(COUNTIFS($A$1:A1558,"Câu "&amp;"*")-MID(A1558,5,FIND(".",A1558,1)-5),0)</f>
        <v>0</v>
      </c>
      <c r="D1558" t="str">
        <f t="shared" si="86"/>
        <v/>
      </c>
      <c r="E1558" t="str">
        <f>SUBSTITUTE(IF(LEFT(A1558,3)="Câu",MID(A1558,FIND(".",A1558,1)+2,LEN(A1558)),""),CHAR(34),CHAR(92)&amp;CHAR(34))</f>
        <v/>
      </c>
      <c r="F1558" t="str">
        <f t="shared" si="85"/>
        <v/>
      </c>
      <c r="G1558" t="str">
        <f>SUBSTITUTE(B1559,CHAR(34),CHAR(92)&amp;CHAR(34))</f>
        <v>Nơi đường sắt giao nhau với đường bộ.</v>
      </c>
      <c r="H1558" t="str">
        <f>SUBSTITUTE(B1560,CHAR(34),CHAR(92)&amp;CHAR(34))</f>
        <v/>
      </c>
      <c r="I1558" t="str">
        <f>SUBSTITUTE(IF(LEFT(A1561,3)="Câu","",B1561),CHAR(34),CHAR(92)&amp;CHAR(34))</f>
        <v>Biển 1.</v>
      </c>
      <c r="J1558" t="str">
        <f>SUBSTITUTE(IF(OR(LEFT(A1562,3)="Câu",I1558=""),"",IF(B1562=0,"",B1562)),CHAR(34),CHAR(92)&amp;CHAR(34))</f>
        <v>Biển 2.</v>
      </c>
      <c r="K1558" t="str">
        <f>SUBSTITUTE(SUBSTITUTE(SUBSTITUTE(SUBSTITUTE(IFERROR(VLOOKUP("Câu "&amp;D1558&amp;".",dapan!$E:$J,6,0),""),"1","A"),"2","B"),"3","C"),"4","D")</f>
        <v/>
      </c>
      <c r="P1558" t="str">
        <f t="shared" si="87"/>
        <v/>
      </c>
      <c r="Q1558" t="str">
        <f t="shared" si="88"/>
        <v/>
      </c>
    </row>
    <row r="1559" spans="1:17" hidden="1" x14ac:dyDescent="0.25">
      <c r="A1559">
        <v>3</v>
      </c>
      <c r="B1559" t="s">
        <v>1201</v>
      </c>
      <c r="C1559">
        <f>IFERROR(COUNTIFS($A$1:A1559,"Câu "&amp;"*")-MID(A1559,5,FIND(".",A1559,1)-5),0)</f>
        <v>0</v>
      </c>
      <c r="D1559" t="str">
        <f t="shared" si="86"/>
        <v/>
      </c>
      <c r="E1559" t="str">
        <f>SUBSTITUTE(IF(LEFT(A1559,3)="Câu",MID(A1559,FIND(".",A1559,1)+2,LEN(A1559)),""),CHAR(34),CHAR(92)&amp;CHAR(34))</f>
        <v/>
      </c>
      <c r="F1559" t="str">
        <f t="shared" ref="F1559:F1622" si="89">IF(D1559="","","q"&amp;TEXT(D1559,"000")&amp;".jpg")</f>
        <v/>
      </c>
      <c r="G1559" t="str">
        <f>SUBSTITUTE(B1560,CHAR(34),CHAR(92)&amp;CHAR(34))</f>
        <v/>
      </c>
      <c r="H1559" t="str">
        <f>SUBSTITUTE(B1561,CHAR(34),CHAR(92)&amp;CHAR(34))</f>
        <v>Biển 1.</v>
      </c>
      <c r="I1559" t="str">
        <f>SUBSTITUTE(IF(LEFT(A1562,3)="Câu","",B1562),CHAR(34),CHAR(92)&amp;CHAR(34))</f>
        <v>Biển 2.</v>
      </c>
      <c r="J1559" t="str">
        <f>SUBSTITUTE(IF(OR(LEFT(A1563,3)="Câu",I1559=""),"",IF(B1563=0,"",B1563)),CHAR(34),CHAR(92)&amp;CHAR(34))</f>
        <v>Biển 3.</v>
      </c>
      <c r="K1559" t="str">
        <f>SUBSTITUTE(SUBSTITUTE(SUBSTITUTE(SUBSTITUTE(IFERROR(VLOOKUP("Câu "&amp;D1559&amp;".",dapan!$E:$J,6,0),""),"1","A"),"2","B"),"3","C"),"4","D")</f>
        <v/>
      </c>
      <c r="P1559" t="str">
        <f t="shared" si="87"/>
        <v/>
      </c>
      <c r="Q1559" t="str">
        <f t="shared" si="88"/>
        <v/>
      </c>
    </row>
    <row r="1560" spans="1:17" x14ac:dyDescent="0.25">
      <c r="A1560" t="s">
        <v>1202</v>
      </c>
      <c r="C1560">
        <f>IFERROR(COUNTIFS($A$1:A1560,"Câu "&amp;"*")-MID(A1560,5,FIND(".",A1560,1)-5),0)</f>
        <v>0</v>
      </c>
      <c r="D1560">
        <f t="shared" si="86"/>
        <v>378</v>
      </c>
      <c r="E1560" t="str">
        <f>SUBSTITUTE(IF(LEFT(A1560,3)="Câu",MID(A1560,FIND(".",A1560,1)+2,LEN(A1560)),""),CHAR(34),CHAR(92)&amp;CHAR(34))</f>
        <v>Biển nào báo hiệu \"Nơi đường sắt giao vuông góc với đường bộ\"?</v>
      </c>
      <c r="F1560" t="str">
        <f t="shared" si="89"/>
        <v>q378.jpg</v>
      </c>
      <c r="G1560" t="str">
        <f>SUBSTITUTE(B1561,CHAR(34),CHAR(92)&amp;CHAR(34))</f>
        <v>Biển 1.</v>
      </c>
      <c r="H1560" t="str">
        <f>SUBSTITUTE(B1562,CHAR(34),CHAR(92)&amp;CHAR(34))</f>
        <v>Biển 2.</v>
      </c>
      <c r="I1560" t="str">
        <f>SUBSTITUTE(IF(LEFT(A1563,3)="Câu","",B1563),CHAR(34),CHAR(92)&amp;CHAR(34))</f>
        <v>Biển 3.</v>
      </c>
      <c r="J1560" t="str">
        <f>SUBSTITUTE(IF(OR(LEFT(A1564,3)="Câu",I1560=""),"",IF(B1564=0,"",B1564)),CHAR(34),CHAR(92)&amp;CHAR(34))</f>
        <v xml:space="preserve"> Biển 1 và biển 2.</v>
      </c>
      <c r="K1560" t="str">
        <f ca="1">SUBSTITUTE(SUBSTITUTE(SUBSTITUTE(SUBSTITUTE(IFERROR(VLOOKUP("Câu "&amp;D1560&amp;".",dapan!$E:$J,6,0),""),"1","A"),"2","B"),"3","C"),"4","D")</f>
        <v>D</v>
      </c>
      <c r="P1560">
        <f t="shared" si="87"/>
        <v>378</v>
      </c>
      <c r="Q1560" t="str">
        <f t="shared" ca="1" si="88"/>
        <v>{"num":378,"id":378,"q":"Biển nào báo hiệu \"Nơi đường sắt giao vuông góc với đường bộ\"?","img":"q378.jpg","opts":{"A":"Biển 1.","B":"Biển 2.","C":"Biển 3.","D":" Biển 1 và biển 2."},"answer":"D"},</v>
      </c>
    </row>
    <row r="1561" spans="1:17" hidden="1" x14ac:dyDescent="0.25">
      <c r="A1561">
        <v>1</v>
      </c>
      <c r="B1561" t="s">
        <v>1075</v>
      </c>
      <c r="C1561">
        <f>IFERROR(COUNTIFS($A$1:A1561,"Câu "&amp;"*")-MID(A1561,5,FIND(".",A1561,1)-5),0)</f>
        <v>0</v>
      </c>
      <c r="D1561" t="str">
        <f t="shared" ref="D1561:D1624" si="90">IF(LEFT(A1561,3)="Câu",VALUE(MID(A1561,5,FIND(".",A1561,1)-5)),"")</f>
        <v/>
      </c>
      <c r="E1561" t="str">
        <f>SUBSTITUTE(IF(LEFT(A1561,3)="Câu",MID(A1561,FIND(".",A1561,1)+2,LEN(A1561)),""),CHAR(34),CHAR(92)&amp;CHAR(34))</f>
        <v/>
      </c>
      <c r="F1561" t="str">
        <f t="shared" si="89"/>
        <v/>
      </c>
      <c r="G1561" t="str">
        <f>SUBSTITUTE(B1562,CHAR(34),CHAR(92)&amp;CHAR(34))</f>
        <v>Biển 2.</v>
      </c>
      <c r="H1561" t="str">
        <f>SUBSTITUTE(B1563,CHAR(34),CHAR(92)&amp;CHAR(34))</f>
        <v>Biển 3.</v>
      </c>
      <c r="I1561" t="str">
        <f>SUBSTITUTE(IF(LEFT(A1564,3)="Câu","",B1564),CHAR(34),CHAR(92)&amp;CHAR(34))</f>
        <v xml:space="preserve"> Biển 1 và biển 2.</v>
      </c>
      <c r="J1561" t="str">
        <f>SUBSTITUTE(IF(OR(LEFT(A1565,3)="Câu",I1561=""),"",IF(B1565=0,"",B1565)),CHAR(34),CHAR(92)&amp;CHAR(34))</f>
        <v/>
      </c>
      <c r="K1561" t="str">
        <f>SUBSTITUTE(SUBSTITUTE(SUBSTITUTE(SUBSTITUTE(IFERROR(VLOOKUP("Câu "&amp;D1561&amp;".",dapan!$E:$J,6,0),""),"1","A"),"2","B"),"3","C"),"4","D")</f>
        <v/>
      </c>
      <c r="P1561" t="str">
        <f t="shared" si="87"/>
        <v/>
      </c>
      <c r="Q1561" t="str">
        <f t="shared" si="88"/>
        <v/>
      </c>
    </row>
    <row r="1562" spans="1:17" hidden="1" x14ac:dyDescent="0.25">
      <c r="A1562">
        <v>2</v>
      </c>
      <c r="B1562" t="s">
        <v>1068</v>
      </c>
      <c r="C1562">
        <f>IFERROR(COUNTIFS($A$1:A1562,"Câu "&amp;"*")-MID(A1562,5,FIND(".",A1562,1)-5),0)</f>
        <v>0</v>
      </c>
      <c r="D1562" t="str">
        <f t="shared" si="90"/>
        <v/>
      </c>
      <c r="E1562" t="str">
        <f>SUBSTITUTE(IF(LEFT(A1562,3)="Câu",MID(A1562,FIND(".",A1562,1)+2,LEN(A1562)),""),CHAR(34),CHAR(92)&amp;CHAR(34))</f>
        <v/>
      </c>
      <c r="F1562" t="str">
        <f t="shared" si="89"/>
        <v/>
      </c>
      <c r="G1562" t="str">
        <f>SUBSTITUTE(B1563,CHAR(34),CHAR(92)&amp;CHAR(34))</f>
        <v>Biển 3.</v>
      </c>
      <c r="H1562" t="str">
        <f>SUBSTITUTE(B1564,CHAR(34),CHAR(92)&amp;CHAR(34))</f>
        <v xml:space="preserve"> Biển 1 và biển 2.</v>
      </c>
      <c r="I1562" t="str">
        <f>SUBSTITUTE(IF(LEFT(A1565,3)="Câu","",B1565),CHAR(34),CHAR(92)&amp;CHAR(34))</f>
        <v/>
      </c>
      <c r="J1562" t="str">
        <f>SUBSTITUTE(IF(OR(LEFT(A1566,3)="Câu",I1562=""),"",IF(B1566=0,"",B1566)),CHAR(34),CHAR(92)&amp;CHAR(34))</f>
        <v/>
      </c>
      <c r="K1562" t="str">
        <f>SUBSTITUTE(SUBSTITUTE(SUBSTITUTE(SUBSTITUTE(IFERROR(VLOOKUP("Câu "&amp;D1562&amp;".",dapan!$E:$J,6,0),""),"1","A"),"2","B"),"3","C"),"4","D")</f>
        <v/>
      </c>
      <c r="P1562" t="str">
        <f t="shared" si="87"/>
        <v/>
      </c>
      <c r="Q1562" t="str">
        <f t="shared" si="88"/>
        <v/>
      </c>
    </row>
    <row r="1563" spans="1:17" hidden="1" x14ac:dyDescent="0.25">
      <c r="A1563">
        <v>3</v>
      </c>
      <c r="B1563" t="s">
        <v>1083</v>
      </c>
      <c r="C1563">
        <f>IFERROR(COUNTIFS($A$1:A1563,"Câu "&amp;"*")-MID(A1563,5,FIND(".",A1563,1)-5),0)</f>
        <v>0</v>
      </c>
      <c r="D1563" t="str">
        <f t="shared" si="90"/>
        <v/>
      </c>
      <c r="E1563" t="str">
        <f>SUBSTITUTE(IF(LEFT(A1563,3)="Câu",MID(A1563,FIND(".",A1563,1)+2,LEN(A1563)),""),CHAR(34),CHAR(92)&amp;CHAR(34))</f>
        <v/>
      </c>
      <c r="F1563" t="str">
        <f t="shared" si="89"/>
        <v/>
      </c>
      <c r="G1563" t="str">
        <f>SUBSTITUTE(B1564,CHAR(34),CHAR(92)&amp;CHAR(34))</f>
        <v xml:space="preserve"> Biển 1 và biển 2.</v>
      </c>
      <c r="H1563" t="str">
        <f>SUBSTITUTE(B1565,CHAR(34),CHAR(92)&amp;CHAR(34))</f>
        <v/>
      </c>
      <c r="I1563" t="str">
        <f>SUBSTITUTE(IF(LEFT(A1566,3)="Câu","",B1566),CHAR(34),CHAR(92)&amp;CHAR(34))</f>
        <v>Nơi đường sắt giao nhau với đường bộ.</v>
      </c>
      <c r="J1563" t="str">
        <f>SUBSTITUTE(IF(OR(LEFT(A1567,3)="Câu",I1563=""),"",IF(B1567=0,"",B1567)),CHAR(34),CHAR(92)&amp;CHAR(34))</f>
        <v>Nơi đường sắt giao vuông góc với đường bộ.</v>
      </c>
      <c r="K1563" t="str">
        <f>SUBSTITUTE(SUBSTITUTE(SUBSTITUTE(SUBSTITUTE(IFERROR(VLOOKUP("Câu "&amp;D1563&amp;".",dapan!$E:$J,6,0),""),"1","A"),"2","B"),"3","C"),"4","D")</f>
        <v/>
      </c>
      <c r="P1563" t="str">
        <f t="shared" si="87"/>
        <v/>
      </c>
      <c r="Q1563" t="str">
        <f t="shared" si="88"/>
        <v/>
      </c>
    </row>
    <row r="1564" spans="1:17" hidden="1" x14ac:dyDescent="0.25">
      <c r="A1564">
        <v>4</v>
      </c>
      <c r="B1564" t="s">
        <v>1079</v>
      </c>
      <c r="C1564">
        <f>IFERROR(COUNTIFS($A$1:A1564,"Câu "&amp;"*")-MID(A1564,5,FIND(".",A1564,1)-5),0)</f>
        <v>0</v>
      </c>
      <c r="D1564" t="str">
        <f t="shared" si="90"/>
        <v/>
      </c>
      <c r="E1564" t="str">
        <f>SUBSTITUTE(IF(LEFT(A1564,3)="Câu",MID(A1564,FIND(".",A1564,1)+2,LEN(A1564)),""),CHAR(34),CHAR(92)&amp;CHAR(34))</f>
        <v/>
      </c>
      <c r="F1564" t="str">
        <f t="shared" si="89"/>
        <v/>
      </c>
      <c r="G1564" t="str">
        <f>SUBSTITUTE(B1565,CHAR(34),CHAR(92)&amp;CHAR(34))</f>
        <v/>
      </c>
      <c r="H1564" t="str">
        <f>SUBSTITUTE(B1566,CHAR(34),CHAR(92)&amp;CHAR(34))</f>
        <v>Nơi đường sắt giao nhau với đường bộ.</v>
      </c>
      <c r="I1564" t="str">
        <f>SUBSTITUTE(IF(LEFT(A1567,3)="Câu","",B1567),CHAR(34),CHAR(92)&amp;CHAR(34))</f>
        <v>Nơi đường sắt giao vuông góc với đường bộ.</v>
      </c>
      <c r="J1564" t="str">
        <f>SUBSTITUTE(IF(OR(LEFT(A1568,3)="Câu",I1564=""),"",IF(B1568=0,"",B1568)),CHAR(34),CHAR(92)&amp;CHAR(34))</f>
        <v xml:space="preserve"> Để báo trước sắp đến vị trí đường sắt giao không vuông góc với đường bộ, không có người gác và không có rào chắn.</v>
      </c>
      <c r="K1564" t="str">
        <f>SUBSTITUTE(SUBSTITUTE(SUBSTITUTE(SUBSTITUTE(IFERROR(VLOOKUP("Câu "&amp;D1564&amp;".",dapan!$E:$J,6,0),""),"1","A"),"2","B"),"3","C"),"4","D")</f>
        <v/>
      </c>
      <c r="P1564" t="str">
        <f t="shared" si="87"/>
        <v/>
      </c>
      <c r="Q1564" t="str">
        <f t="shared" si="88"/>
        <v/>
      </c>
    </row>
    <row r="1565" spans="1:17" x14ac:dyDescent="0.25">
      <c r="A1565" t="s">
        <v>1203</v>
      </c>
      <c r="C1565">
        <f>IFERROR(COUNTIFS($A$1:A1565,"Câu "&amp;"*")-MID(A1565,5,FIND(".",A1565,1)-5),0)</f>
        <v>0</v>
      </c>
      <c r="D1565">
        <f t="shared" si="90"/>
        <v>379</v>
      </c>
      <c r="E1565" t="str">
        <f>SUBSTITUTE(IF(LEFT(A1565,3)="Câu",MID(A1565,FIND(".",A1565,1)+2,LEN(A1565)),""),CHAR(34),CHAR(92)&amp;CHAR(34))</f>
        <v>Các biển này có ý nghĩa như thế nào?</v>
      </c>
      <c r="F1565" t="str">
        <f t="shared" si="89"/>
        <v>q379.jpg</v>
      </c>
      <c r="G1565" t="str">
        <f>SUBSTITUTE(B1566,CHAR(34),CHAR(92)&amp;CHAR(34))</f>
        <v>Nơi đường sắt giao nhau với đường bộ.</v>
      </c>
      <c r="H1565" t="str">
        <f>SUBSTITUTE(B1567,CHAR(34),CHAR(92)&amp;CHAR(34))</f>
        <v>Nơi đường sắt giao vuông góc với đường bộ.</v>
      </c>
      <c r="I1565" t="str">
        <f>SUBSTITUTE(IF(LEFT(A1568,3)="Câu","",B1568),CHAR(34),CHAR(92)&amp;CHAR(34))</f>
        <v xml:space="preserve"> Để báo trước sắp đến vị trí đường sắt giao không vuông góc với đường bộ, không có người gác và không có rào chắn.</v>
      </c>
      <c r="J1565" t="str">
        <f>SUBSTITUTE(IF(OR(LEFT(A1569,3)="Câu",I1565=""),"",IF(B1569=0,"",B1569)),CHAR(34),CHAR(92)&amp;CHAR(34))</f>
        <v/>
      </c>
      <c r="K1565" t="str">
        <f ca="1">SUBSTITUTE(SUBSTITUTE(SUBSTITUTE(SUBSTITUTE(IFERROR(VLOOKUP("Câu "&amp;D1565&amp;".",dapan!$E:$J,6,0),""),"1","A"),"2","B"),"3","C"),"4","D")</f>
        <v>C</v>
      </c>
      <c r="P1565">
        <f t="shared" si="87"/>
        <v>379</v>
      </c>
      <c r="Q1565" t="str">
        <f t="shared" ca="1" si="88"/>
        <v>{"num":379,"id":379,"q":"Các biển này có ý nghĩa như thế nào?","img":"q379.jpg","opts":{"A":"Nơi đường sắt giao nhau với đường bộ.","B":"Nơi đường sắt giao vuông góc với đường bộ.","C":" Để báo trước sắp đến vị trí đường sắt giao không vuông góc với đường bộ, không có người gác và không có rào chắn."},"answer":"C"},</v>
      </c>
    </row>
    <row r="1566" spans="1:17" hidden="1" x14ac:dyDescent="0.25">
      <c r="A1566">
        <v>1</v>
      </c>
      <c r="B1566" t="s">
        <v>1201</v>
      </c>
      <c r="C1566">
        <f>IFERROR(COUNTIFS($A$1:A1566,"Câu "&amp;"*")-MID(A1566,5,FIND(".",A1566,1)-5),0)</f>
        <v>0</v>
      </c>
      <c r="D1566" t="str">
        <f t="shared" si="90"/>
        <v/>
      </c>
      <c r="E1566" t="str">
        <f>SUBSTITUTE(IF(LEFT(A1566,3)="Câu",MID(A1566,FIND(".",A1566,1)+2,LEN(A1566)),""),CHAR(34),CHAR(92)&amp;CHAR(34))</f>
        <v/>
      </c>
      <c r="F1566" t="str">
        <f t="shared" si="89"/>
        <v/>
      </c>
      <c r="G1566" t="str">
        <f>SUBSTITUTE(B1567,CHAR(34),CHAR(92)&amp;CHAR(34))</f>
        <v>Nơi đường sắt giao vuông góc với đường bộ.</v>
      </c>
      <c r="H1566" t="str">
        <f>SUBSTITUTE(B1568,CHAR(34),CHAR(92)&amp;CHAR(34))</f>
        <v xml:space="preserve"> Để báo trước sắp đến vị trí đường sắt giao không vuông góc với đường bộ, không có người gác và không có rào chắn.</v>
      </c>
      <c r="I1566" t="str">
        <f>SUBSTITUTE(IF(LEFT(A1569,3)="Câu","",B1569),CHAR(34),CHAR(92)&amp;CHAR(34))</f>
        <v/>
      </c>
      <c r="J1566" t="str">
        <f>SUBSTITUTE(IF(OR(LEFT(A1570,3)="Câu",I1566=""),"",IF(B1570=0,"",B1570)),CHAR(34),CHAR(92)&amp;CHAR(34))</f>
        <v/>
      </c>
      <c r="K1566" t="str">
        <f>SUBSTITUTE(SUBSTITUTE(SUBSTITUTE(SUBSTITUTE(IFERROR(VLOOKUP("Câu "&amp;D1566&amp;".",dapan!$E:$J,6,0),""),"1","A"),"2","B"),"3","C"),"4","D")</f>
        <v/>
      </c>
      <c r="P1566" t="str">
        <f t="shared" si="87"/>
        <v/>
      </c>
      <c r="Q1566" t="str">
        <f t="shared" si="88"/>
        <v/>
      </c>
    </row>
    <row r="1567" spans="1:17" hidden="1" x14ac:dyDescent="0.25">
      <c r="A1567">
        <v>2</v>
      </c>
      <c r="B1567" t="s">
        <v>1204</v>
      </c>
      <c r="C1567">
        <f>IFERROR(COUNTIFS($A$1:A1567,"Câu "&amp;"*")-MID(A1567,5,FIND(".",A1567,1)-5),0)</f>
        <v>0</v>
      </c>
      <c r="D1567" t="str">
        <f t="shared" si="90"/>
        <v/>
      </c>
      <c r="E1567" t="str">
        <f>SUBSTITUTE(IF(LEFT(A1567,3)="Câu",MID(A1567,FIND(".",A1567,1)+2,LEN(A1567)),""),CHAR(34),CHAR(92)&amp;CHAR(34))</f>
        <v/>
      </c>
      <c r="F1567" t="str">
        <f t="shared" si="89"/>
        <v/>
      </c>
      <c r="G1567" t="str">
        <f>SUBSTITUTE(B1568,CHAR(34),CHAR(92)&amp;CHAR(34))</f>
        <v xml:space="preserve"> Để báo trước sắp đến vị trí đường sắt giao không vuông góc với đường bộ, không có người gác và không có rào chắn.</v>
      </c>
      <c r="H1567" t="str">
        <f>SUBSTITUTE(B1569,CHAR(34),CHAR(92)&amp;CHAR(34))</f>
        <v/>
      </c>
      <c r="I1567" t="str">
        <f>SUBSTITUTE(IF(LEFT(A1570,3)="Câu","",B1570),CHAR(34),CHAR(92)&amp;CHAR(34))</f>
        <v>Biển 1.</v>
      </c>
      <c r="J1567" t="str">
        <f>SUBSTITUTE(IF(OR(LEFT(A1571,3)="Câu",I1567=""),"",IF(B1571=0,"",B1571)),CHAR(34),CHAR(92)&amp;CHAR(34))</f>
        <v>Biển 2.</v>
      </c>
      <c r="K1567" t="str">
        <f>SUBSTITUTE(SUBSTITUTE(SUBSTITUTE(SUBSTITUTE(IFERROR(VLOOKUP("Câu "&amp;D1567&amp;".",dapan!$E:$J,6,0),""),"1","A"),"2","B"),"3","C"),"4","D")</f>
        <v/>
      </c>
      <c r="P1567" t="str">
        <f t="shared" si="87"/>
        <v/>
      </c>
      <c r="Q1567" t="str">
        <f t="shared" si="88"/>
        <v/>
      </c>
    </row>
    <row r="1568" spans="1:17" hidden="1" x14ac:dyDescent="0.25">
      <c r="A1568">
        <v>3</v>
      </c>
      <c r="B1568" t="s">
        <v>1205</v>
      </c>
      <c r="C1568">
        <f>IFERROR(COUNTIFS($A$1:A1568,"Câu "&amp;"*")-MID(A1568,5,FIND(".",A1568,1)-5),0)</f>
        <v>0</v>
      </c>
      <c r="D1568" t="str">
        <f t="shared" si="90"/>
        <v/>
      </c>
      <c r="E1568" t="str">
        <f>SUBSTITUTE(IF(LEFT(A1568,3)="Câu",MID(A1568,FIND(".",A1568,1)+2,LEN(A1568)),""),CHAR(34),CHAR(92)&amp;CHAR(34))</f>
        <v/>
      </c>
      <c r="F1568" t="str">
        <f t="shared" si="89"/>
        <v/>
      </c>
      <c r="G1568" t="str">
        <f>SUBSTITUTE(B1569,CHAR(34),CHAR(92)&amp;CHAR(34))</f>
        <v/>
      </c>
      <c r="H1568" t="str">
        <f>SUBSTITUTE(B1570,CHAR(34),CHAR(92)&amp;CHAR(34))</f>
        <v>Biển 1.</v>
      </c>
      <c r="I1568" t="str">
        <f>SUBSTITUTE(IF(LEFT(A1571,3)="Câu","",B1571),CHAR(34),CHAR(92)&amp;CHAR(34))</f>
        <v>Biển 2.</v>
      </c>
      <c r="J1568" t="str">
        <f>SUBSTITUTE(IF(OR(LEFT(A1572,3)="Câu",I1568=""),"",IF(B1572=0,"",B1572)),CHAR(34),CHAR(92)&amp;CHAR(34))</f>
        <v xml:space="preserve"> Biển 3.</v>
      </c>
      <c r="K1568" t="str">
        <f>SUBSTITUTE(SUBSTITUTE(SUBSTITUTE(SUBSTITUTE(IFERROR(VLOOKUP("Câu "&amp;D1568&amp;".",dapan!$E:$J,6,0),""),"1","A"),"2","B"),"3","C"),"4","D")</f>
        <v/>
      </c>
      <c r="P1568" t="str">
        <f t="shared" si="87"/>
        <v/>
      </c>
      <c r="Q1568" t="str">
        <f t="shared" si="88"/>
        <v/>
      </c>
    </row>
    <row r="1569" spans="1:17" x14ac:dyDescent="0.25">
      <c r="A1569" t="s">
        <v>1206</v>
      </c>
      <c r="C1569">
        <f>IFERROR(COUNTIFS($A$1:A1569,"Câu "&amp;"*")-MID(A1569,5,FIND(".",A1569,1)-5),0)</f>
        <v>0</v>
      </c>
      <c r="D1569">
        <f t="shared" si="90"/>
        <v>380</v>
      </c>
      <c r="E1569" t="str">
        <f>SUBSTITUTE(IF(LEFT(A1569,3)="Câu",MID(A1569,FIND(".",A1569,1)+2,LEN(A1569)),""),CHAR(34),CHAR(92)&amp;CHAR(34))</f>
        <v>Biển nào báo hiệu \"Hết đoạn đường ưu tiên\"?</v>
      </c>
      <c r="F1569" t="str">
        <f t="shared" si="89"/>
        <v>q380.jpg</v>
      </c>
      <c r="G1569" t="str">
        <f>SUBSTITUTE(B1570,CHAR(34),CHAR(92)&amp;CHAR(34))</f>
        <v>Biển 1.</v>
      </c>
      <c r="H1569" t="str">
        <f>SUBSTITUTE(B1571,CHAR(34),CHAR(92)&amp;CHAR(34))</f>
        <v>Biển 2.</v>
      </c>
      <c r="I1569" t="str">
        <f>SUBSTITUTE(IF(LEFT(A1572,3)="Câu","",B1572),CHAR(34),CHAR(92)&amp;CHAR(34))</f>
        <v xml:space="preserve"> Biển 3.</v>
      </c>
      <c r="J1569" t="str">
        <f>SUBSTITUTE(IF(OR(LEFT(A1573,3)="Câu",I1569=""),"",IF(B1573=0,"",B1573)),CHAR(34),CHAR(92)&amp;CHAR(34))</f>
        <v/>
      </c>
      <c r="K1569" t="str">
        <f ca="1">SUBSTITUTE(SUBSTITUTE(SUBSTITUTE(SUBSTITUTE(IFERROR(VLOOKUP("Câu "&amp;D1569&amp;".",dapan!$E:$J,6,0),""),"1","A"),"2","B"),"3","C"),"4","D")</f>
        <v>C</v>
      </c>
      <c r="P1569">
        <f t="shared" si="87"/>
        <v>380</v>
      </c>
      <c r="Q1569" t="str">
        <f t="shared" ca="1" si="88"/>
        <v>{"num":380,"id":380,"q":"Biển nào báo hiệu \"Hết đoạn đường ưu tiên\"?","img":"q380.jpg","opts":{"A":"Biển 1.","B":"Biển 2.","C":" Biển 3."},"answer":"C"},</v>
      </c>
    </row>
    <row r="1570" spans="1:17" hidden="1" x14ac:dyDescent="0.25">
      <c r="A1570">
        <v>1</v>
      </c>
      <c r="B1570" t="s">
        <v>1075</v>
      </c>
      <c r="C1570">
        <f>IFERROR(COUNTIFS($A$1:A1570,"Câu "&amp;"*")-MID(A1570,5,FIND(".",A1570,1)-5),0)</f>
        <v>0</v>
      </c>
      <c r="D1570" t="str">
        <f t="shared" si="90"/>
        <v/>
      </c>
      <c r="E1570" t="str">
        <f>SUBSTITUTE(IF(LEFT(A1570,3)="Câu",MID(A1570,FIND(".",A1570,1)+2,LEN(A1570)),""),CHAR(34),CHAR(92)&amp;CHAR(34))</f>
        <v/>
      </c>
      <c r="F1570" t="str">
        <f t="shared" si="89"/>
        <v/>
      </c>
      <c r="G1570" t="str">
        <f>SUBSTITUTE(B1571,CHAR(34),CHAR(92)&amp;CHAR(34))</f>
        <v>Biển 2.</v>
      </c>
      <c r="H1570" t="str">
        <f>SUBSTITUTE(B1572,CHAR(34),CHAR(92)&amp;CHAR(34))</f>
        <v xml:space="preserve"> Biển 3.</v>
      </c>
      <c r="I1570" t="str">
        <f>SUBSTITUTE(IF(LEFT(A1573,3)="Câu","",B1573),CHAR(34),CHAR(92)&amp;CHAR(34))</f>
        <v/>
      </c>
      <c r="J1570" t="str">
        <f>SUBSTITUTE(IF(OR(LEFT(A1574,3)="Câu",I1570=""),"",IF(B1574=0,"",B1574)),CHAR(34),CHAR(92)&amp;CHAR(34))</f>
        <v/>
      </c>
      <c r="K1570" t="str">
        <f>SUBSTITUTE(SUBSTITUTE(SUBSTITUTE(SUBSTITUTE(IFERROR(VLOOKUP("Câu "&amp;D1570&amp;".",dapan!$E:$J,6,0),""),"1","A"),"2","B"),"3","C"),"4","D")</f>
        <v/>
      </c>
      <c r="P1570" t="str">
        <f t="shared" si="87"/>
        <v/>
      </c>
      <c r="Q1570" t="str">
        <f t="shared" si="88"/>
        <v/>
      </c>
    </row>
    <row r="1571" spans="1:17" hidden="1" x14ac:dyDescent="0.25">
      <c r="A1571">
        <v>2</v>
      </c>
      <c r="B1571" t="s">
        <v>1068</v>
      </c>
      <c r="C1571">
        <f>IFERROR(COUNTIFS($A$1:A1571,"Câu "&amp;"*")-MID(A1571,5,FIND(".",A1571,1)-5),0)</f>
        <v>0</v>
      </c>
      <c r="D1571" t="str">
        <f t="shared" si="90"/>
        <v/>
      </c>
      <c r="E1571" t="str">
        <f>SUBSTITUTE(IF(LEFT(A1571,3)="Câu",MID(A1571,FIND(".",A1571,1)+2,LEN(A1571)),""),CHAR(34),CHAR(92)&amp;CHAR(34))</f>
        <v/>
      </c>
      <c r="F1571" t="str">
        <f t="shared" si="89"/>
        <v/>
      </c>
      <c r="G1571" t="str">
        <f>SUBSTITUTE(B1572,CHAR(34),CHAR(92)&amp;CHAR(34))</f>
        <v xml:space="preserve"> Biển 3.</v>
      </c>
      <c r="H1571" t="str">
        <f>SUBSTITUTE(B1573,CHAR(34),CHAR(92)&amp;CHAR(34))</f>
        <v/>
      </c>
      <c r="I1571" t="str">
        <f>SUBSTITUTE(IF(LEFT(A1574,3)="Câu","",B1574),CHAR(34),CHAR(92)&amp;CHAR(34))</f>
        <v>Biển 1 và biển 2.</v>
      </c>
      <c r="J1571" t="str">
        <f>SUBSTITUTE(IF(OR(LEFT(A1575,3)="Câu",I1571=""),"",IF(B1575=0,"",B1575)),CHAR(34),CHAR(92)&amp;CHAR(34))</f>
        <v xml:space="preserve"> Biển 1 và biển 3.</v>
      </c>
      <c r="K1571" t="str">
        <f>SUBSTITUTE(SUBSTITUTE(SUBSTITUTE(SUBSTITUTE(IFERROR(VLOOKUP("Câu "&amp;D1571&amp;".",dapan!$E:$J,6,0),""),"1","A"),"2","B"),"3","C"),"4","D")</f>
        <v/>
      </c>
      <c r="P1571" t="str">
        <f t="shared" si="87"/>
        <v/>
      </c>
      <c r="Q1571" t="str">
        <f t="shared" si="88"/>
        <v/>
      </c>
    </row>
    <row r="1572" spans="1:17" hidden="1" x14ac:dyDescent="0.25">
      <c r="A1572">
        <v>3</v>
      </c>
      <c r="B1572" t="s">
        <v>1114</v>
      </c>
      <c r="C1572">
        <f>IFERROR(COUNTIFS($A$1:A1572,"Câu "&amp;"*")-MID(A1572,5,FIND(".",A1572,1)-5),0)</f>
        <v>0</v>
      </c>
      <c r="D1572" t="str">
        <f t="shared" si="90"/>
        <v/>
      </c>
      <c r="E1572" t="str">
        <f>SUBSTITUTE(IF(LEFT(A1572,3)="Câu",MID(A1572,FIND(".",A1572,1)+2,LEN(A1572)),""),CHAR(34),CHAR(92)&amp;CHAR(34))</f>
        <v/>
      </c>
      <c r="F1572" t="str">
        <f t="shared" si="89"/>
        <v/>
      </c>
      <c r="G1572" t="str">
        <f>SUBSTITUTE(B1573,CHAR(34),CHAR(92)&amp;CHAR(34))</f>
        <v/>
      </c>
      <c r="H1572" t="str">
        <f>SUBSTITUTE(B1574,CHAR(34),CHAR(92)&amp;CHAR(34))</f>
        <v>Biển 1 và biển 2.</v>
      </c>
      <c r="I1572" t="str">
        <f>SUBSTITUTE(IF(LEFT(A1575,3)="Câu","",B1575),CHAR(34),CHAR(92)&amp;CHAR(34))</f>
        <v xml:space="preserve"> Biển 1 và biển 3.</v>
      </c>
      <c r="J1572" t="str">
        <f>SUBSTITUTE(IF(OR(LEFT(A1576,3)="Câu",I1572=""),"",IF(B1576=0,"",B1576)),CHAR(34),CHAR(92)&amp;CHAR(34))</f>
        <v>Biển 2 và biển 3.</v>
      </c>
      <c r="K1572" t="str">
        <f>SUBSTITUTE(SUBSTITUTE(SUBSTITUTE(SUBSTITUTE(IFERROR(VLOOKUP("Câu "&amp;D1572&amp;".",dapan!$E:$J,6,0),""),"1","A"),"2","B"),"3","C"),"4","D")</f>
        <v/>
      </c>
      <c r="P1572" t="str">
        <f t="shared" si="87"/>
        <v/>
      </c>
      <c r="Q1572" t="str">
        <f t="shared" si="88"/>
        <v/>
      </c>
    </row>
    <row r="1573" spans="1:17" x14ac:dyDescent="0.25">
      <c r="A1573" t="s">
        <v>1207</v>
      </c>
      <c r="C1573">
        <f>IFERROR(COUNTIFS($A$1:A1573,"Câu "&amp;"*")-MID(A1573,5,FIND(".",A1573,1)-5),0)</f>
        <v>0</v>
      </c>
      <c r="D1573">
        <f t="shared" si="90"/>
        <v>381</v>
      </c>
      <c r="E1573" t="str">
        <f>SUBSTITUTE(IF(LEFT(A1573,3)="Câu",MID(A1573,FIND(".",A1573,1)+2,LEN(A1573)),""),CHAR(34),CHAR(92)&amp;CHAR(34))</f>
        <v>Biển nào báo hiệu, chỉ dẫn xe đi trên đường này được quyền ưu tiên qua nơi giao nhau?</v>
      </c>
      <c r="F1573" t="str">
        <f t="shared" si="89"/>
        <v>q381.jpg</v>
      </c>
      <c r="G1573" t="str">
        <f>SUBSTITUTE(B1574,CHAR(34),CHAR(92)&amp;CHAR(34))</f>
        <v>Biển 1 và biển 2.</v>
      </c>
      <c r="H1573" t="str">
        <f>SUBSTITUTE(B1575,CHAR(34),CHAR(92)&amp;CHAR(34))</f>
        <v xml:space="preserve"> Biển 1 và biển 3.</v>
      </c>
      <c r="I1573" t="str">
        <f>SUBSTITUTE(IF(LEFT(A1576,3)="Câu","",B1576),CHAR(34),CHAR(92)&amp;CHAR(34))</f>
        <v>Biển 2 và biển 3.</v>
      </c>
      <c r="J1573" t="str">
        <f>SUBSTITUTE(IF(OR(LEFT(A1577,3)="Câu",I1573=""),"",IF(B1577=0,"",B1577)),CHAR(34),CHAR(92)&amp;CHAR(34))</f>
        <v>Cả ba biển.</v>
      </c>
      <c r="K1573" t="str">
        <f ca="1">SUBSTITUTE(SUBSTITUTE(SUBSTITUTE(SUBSTITUTE(IFERROR(VLOOKUP("Câu "&amp;D1573&amp;".",dapan!$E:$J,6,0),""),"1","A"),"2","B"),"3","C"),"4","D")</f>
        <v>B</v>
      </c>
      <c r="P1573">
        <f t="shared" si="87"/>
        <v>381</v>
      </c>
      <c r="Q1573" t="str">
        <f t="shared" ca="1" si="88"/>
        <v>{"num":381,"id":381,"q":"Biển nào báo hiệu, chỉ dẫn xe đi trên đường này được quyền ưu tiên qua nơi giao nhau?","img":"q381.jpg","opts":{"A":"Biển 1 và biển 2.","B":" Biển 1 và biển 3.","C":"Biển 2 và biển 3.","D":"Cả ba biển."},"answer":"B"},</v>
      </c>
    </row>
    <row r="1574" spans="1:17" hidden="1" x14ac:dyDescent="0.25">
      <c r="A1574">
        <v>1</v>
      </c>
      <c r="B1574" t="s">
        <v>1086</v>
      </c>
      <c r="C1574">
        <f>IFERROR(COUNTIFS($A$1:A1574,"Câu "&amp;"*")-MID(A1574,5,FIND(".",A1574,1)-5),0)</f>
        <v>0</v>
      </c>
      <c r="D1574" t="str">
        <f t="shared" si="90"/>
        <v/>
      </c>
      <c r="E1574" t="str">
        <f>SUBSTITUTE(IF(LEFT(A1574,3)="Câu",MID(A1574,FIND(".",A1574,1)+2,LEN(A1574)),""),CHAR(34),CHAR(92)&amp;CHAR(34))</f>
        <v/>
      </c>
      <c r="F1574" t="str">
        <f t="shared" si="89"/>
        <v/>
      </c>
      <c r="G1574" t="str">
        <f>SUBSTITUTE(B1575,CHAR(34),CHAR(92)&amp;CHAR(34))</f>
        <v xml:space="preserve"> Biển 1 và biển 3.</v>
      </c>
      <c r="H1574" t="str">
        <f>SUBSTITUTE(B1576,CHAR(34),CHAR(92)&amp;CHAR(34))</f>
        <v>Biển 2 và biển 3.</v>
      </c>
      <c r="I1574" t="str">
        <f>SUBSTITUTE(IF(LEFT(A1577,3)="Câu","",B1577),CHAR(34),CHAR(92)&amp;CHAR(34))</f>
        <v>Cả ba biển.</v>
      </c>
      <c r="J1574" t="str">
        <f>SUBSTITUTE(IF(OR(LEFT(A1578,3)="Câu",I1574=""),"",IF(B1578=0,"",B1578)),CHAR(34),CHAR(92)&amp;CHAR(34))</f>
        <v/>
      </c>
      <c r="K1574" t="str">
        <f>SUBSTITUTE(SUBSTITUTE(SUBSTITUTE(SUBSTITUTE(IFERROR(VLOOKUP("Câu "&amp;D1574&amp;".",dapan!$E:$J,6,0),""),"1","A"),"2","B"),"3","C"),"4","D")</f>
        <v/>
      </c>
      <c r="P1574" t="str">
        <f t="shared" si="87"/>
        <v/>
      </c>
      <c r="Q1574" t="str">
        <f t="shared" si="88"/>
        <v/>
      </c>
    </row>
    <row r="1575" spans="1:17" hidden="1" x14ac:dyDescent="0.25">
      <c r="A1575">
        <v>2</v>
      </c>
      <c r="B1575" t="s">
        <v>1088</v>
      </c>
      <c r="C1575">
        <f>IFERROR(COUNTIFS($A$1:A1575,"Câu "&amp;"*")-MID(A1575,5,FIND(".",A1575,1)-5),0)</f>
        <v>0</v>
      </c>
      <c r="D1575" t="str">
        <f t="shared" si="90"/>
        <v/>
      </c>
      <c r="E1575" t="str">
        <f>SUBSTITUTE(IF(LEFT(A1575,3)="Câu",MID(A1575,FIND(".",A1575,1)+2,LEN(A1575)),""),CHAR(34),CHAR(92)&amp;CHAR(34))</f>
        <v/>
      </c>
      <c r="F1575" t="str">
        <f t="shared" si="89"/>
        <v/>
      </c>
      <c r="G1575" t="str">
        <f>SUBSTITUTE(B1576,CHAR(34),CHAR(92)&amp;CHAR(34))</f>
        <v>Biển 2 và biển 3.</v>
      </c>
      <c r="H1575" t="str">
        <f>SUBSTITUTE(B1577,CHAR(34),CHAR(92)&amp;CHAR(34))</f>
        <v>Cả ba biển.</v>
      </c>
      <c r="I1575" t="str">
        <f>SUBSTITUTE(IF(LEFT(A1578,3)="Câu","",B1578),CHAR(34),CHAR(92)&amp;CHAR(34))</f>
        <v/>
      </c>
      <c r="J1575" t="str">
        <f>SUBSTITUTE(IF(OR(LEFT(A1579,3)="Câu",I1575=""),"",IF(B1579=0,"",B1579)),CHAR(34),CHAR(92)&amp;CHAR(34))</f>
        <v/>
      </c>
      <c r="K1575" t="str">
        <f>SUBSTITUTE(SUBSTITUTE(SUBSTITUTE(SUBSTITUTE(IFERROR(VLOOKUP("Câu "&amp;D1575&amp;".",dapan!$E:$J,6,0),""),"1","A"),"2","B"),"3","C"),"4","D")</f>
        <v/>
      </c>
      <c r="P1575" t="str">
        <f t="shared" si="87"/>
        <v/>
      </c>
      <c r="Q1575" t="str">
        <f t="shared" si="88"/>
        <v/>
      </c>
    </row>
    <row r="1576" spans="1:17" hidden="1" x14ac:dyDescent="0.25">
      <c r="A1576">
        <v>3</v>
      </c>
      <c r="B1576" t="s">
        <v>1072</v>
      </c>
      <c r="C1576">
        <f>IFERROR(COUNTIFS($A$1:A1576,"Câu "&amp;"*")-MID(A1576,5,FIND(".",A1576,1)-5),0)</f>
        <v>0</v>
      </c>
      <c r="D1576" t="str">
        <f t="shared" si="90"/>
        <v/>
      </c>
      <c r="E1576" t="str">
        <f>SUBSTITUTE(IF(LEFT(A1576,3)="Câu",MID(A1576,FIND(".",A1576,1)+2,LEN(A1576)),""),CHAR(34),CHAR(92)&amp;CHAR(34))</f>
        <v/>
      </c>
      <c r="F1576" t="str">
        <f t="shared" si="89"/>
        <v/>
      </c>
      <c r="G1576" t="str">
        <f>SUBSTITUTE(B1577,CHAR(34),CHAR(92)&amp;CHAR(34))</f>
        <v>Cả ba biển.</v>
      </c>
      <c r="H1576" t="str">
        <f>SUBSTITUTE(B1578,CHAR(34),CHAR(92)&amp;CHAR(34))</f>
        <v/>
      </c>
      <c r="I1576" t="str">
        <f>SUBSTITUTE(IF(LEFT(A1579,3)="Câu","",B1579),CHAR(34),CHAR(92)&amp;CHAR(34))</f>
        <v xml:space="preserve"> Biển 1.</v>
      </c>
      <c r="J1576" t="str">
        <f>SUBSTITUTE(IF(OR(LEFT(A1580,3)="Câu",I1576=""),"",IF(B1580=0,"",B1580)),CHAR(34),CHAR(92)&amp;CHAR(34))</f>
        <v>Biển 2.</v>
      </c>
      <c r="K1576" t="str">
        <f>SUBSTITUTE(SUBSTITUTE(SUBSTITUTE(SUBSTITUTE(IFERROR(VLOOKUP("Câu "&amp;D1576&amp;".",dapan!$E:$J,6,0),""),"1","A"),"2","B"),"3","C"),"4","D")</f>
        <v/>
      </c>
      <c r="P1576" t="str">
        <f t="shared" si="87"/>
        <v/>
      </c>
      <c r="Q1576" t="str">
        <f t="shared" si="88"/>
        <v/>
      </c>
    </row>
    <row r="1577" spans="1:17" hidden="1" x14ac:dyDescent="0.25">
      <c r="A1577">
        <v>4</v>
      </c>
      <c r="B1577" t="s">
        <v>1071</v>
      </c>
      <c r="C1577">
        <f>IFERROR(COUNTIFS($A$1:A1577,"Câu "&amp;"*")-MID(A1577,5,FIND(".",A1577,1)-5),0)</f>
        <v>0</v>
      </c>
      <c r="D1577" t="str">
        <f t="shared" si="90"/>
        <v/>
      </c>
      <c r="E1577" t="str">
        <f>SUBSTITUTE(IF(LEFT(A1577,3)="Câu",MID(A1577,FIND(".",A1577,1)+2,LEN(A1577)),""),CHAR(34),CHAR(92)&amp;CHAR(34))</f>
        <v/>
      </c>
      <c r="F1577" t="str">
        <f t="shared" si="89"/>
        <v/>
      </c>
      <c r="G1577" t="str">
        <f>SUBSTITUTE(B1578,CHAR(34),CHAR(92)&amp;CHAR(34))</f>
        <v/>
      </c>
      <c r="H1577" t="str">
        <f>SUBSTITUTE(B1579,CHAR(34),CHAR(92)&amp;CHAR(34))</f>
        <v xml:space="preserve"> Biển 1.</v>
      </c>
      <c r="I1577" t="str">
        <f>SUBSTITUTE(IF(LEFT(A1580,3)="Câu","",B1580),CHAR(34),CHAR(92)&amp;CHAR(34))</f>
        <v>Biển 2.</v>
      </c>
      <c r="J1577" t="str">
        <f>SUBSTITUTE(IF(OR(LEFT(A1581,3)="Câu",I1577=""),"",IF(B1581=0,"",B1581)),CHAR(34),CHAR(92)&amp;CHAR(34))</f>
        <v>Biển 3.</v>
      </c>
      <c r="K1577" t="str">
        <f>SUBSTITUTE(SUBSTITUTE(SUBSTITUTE(SUBSTITUTE(IFERROR(VLOOKUP("Câu "&amp;D1577&amp;".",dapan!$E:$J,6,0),""),"1","A"),"2","B"),"3","C"),"4","D")</f>
        <v/>
      </c>
      <c r="P1577" t="str">
        <f t="shared" si="87"/>
        <v/>
      </c>
      <c r="Q1577" t="str">
        <f t="shared" si="88"/>
        <v/>
      </c>
    </row>
    <row r="1578" spans="1:17" x14ac:dyDescent="0.25">
      <c r="A1578" t="s">
        <v>1208</v>
      </c>
      <c r="C1578">
        <f>IFERROR(COUNTIFS($A$1:A1578,"Câu "&amp;"*")-MID(A1578,5,FIND(".",A1578,1)-5),0)</f>
        <v>0</v>
      </c>
      <c r="D1578">
        <f t="shared" si="90"/>
        <v>382</v>
      </c>
      <c r="E1578" t="str">
        <f>SUBSTITUTE(IF(LEFT(A1578,3)="Câu",MID(A1578,FIND(".",A1578,1)+2,LEN(A1578)),""),CHAR(34),CHAR(92)&amp;CHAR(34))</f>
        <v>Biển nào báo hiệu \"Giao nhau với đường không ưu tiên\"?</v>
      </c>
      <c r="F1578" t="str">
        <f t="shared" si="89"/>
        <v>q382.jpg</v>
      </c>
      <c r="G1578" t="str">
        <f>SUBSTITUTE(B1579,CHAR(34),CHAR(92)&amp;CHAR(34))</f>
        <v xml:space="preserve"> Biển 1.</v>
      </c>
      <c r="H1578" t="str">
        <f>SUBSTITUTE(B1580,CHAR(34),CHAR(92)&amp;CHAR(34))</f>
        <v>Biển 2.</v>
      </c>
      <c r="I1578" t="str">
        <f>SUBSTITUTE(IF(LEFT(A1581,3)="Câu","",B1581),CHAR(34),CHAR(92)&amp;CHAR(34))</f>
        <v>Biển 3.</v>
      </c>
      <c r="J1578" t="str">
        <f>SUBSTITUTE(IF(OR(LEFT(A1582,3)="Câu",I1578=""),"",IF(B1582=0,"",B1582)),CHAR(34),CHAR(92)&amp;CHAR(34))</f>
        <v>Biển 2 và biển 3.</v>
      </c>
      <c r="K1578" t="str">
        <f ca="1">SUBSTITUTE(SUBSTITUTE(SUBSTITUTE(SUBSTITUTE(IFERROR(VLOOKUP("Câu "&amp;D1578&amp;".",dapan!$E:$J,6,0),""),"1","A"),"2","B"),"3","C"),"4","D")</f>
        <v>A</v>
      </c>
      <c r="P1578">
        <f t="shared" si="87"/>
        <v>382</v>
      </c>
      <c r="Q1578" t="str">
        <f t="shared" ca="1" si="88"/>
        <v>{"num":382,"id":382,"q":"Biển nào báo hiệu \"Giao nhau với đường không ưu tiên\"?","img":"q382.jpg","opts":{"A":" Biển 1.","B":"Biển 2.","C":"Biển 3.","D":"Biển 2 và biển 3."},"answer":"A"},</v>
      </c>
    </row>
    <row r="1579" spans="1:17" hidden="1" x14ac:dyDescent="0.25">
      <c r="A1579">
        <v>1</v>
      </c>
      <c r="B1579" t="s">
        <v>1066</v>
      </c>
      <c r="C1579">
        <f>IFERROR(COUNTIFS($A$1:A1579,"Câu "&amp;"*")-MID(A1579,5,FIND(".",A1579,1)-5),0)</f>
        <v>0</v>
      </c>
      <c r="D1579" t="str">
        <f t="shared" si="90"/>
        <v/>
      </c>
      <c r="E1579" t="str">
        <f>SUBSTITUTE(IF(LEFT(A1579,3)="Câu",MID(A1579,FIND(".",A1579,1)+2,LEN(A1579)),""),CHAR(34),CHAR(92)&amp;CHAR(34))</f>
        <v/>
      </c>
      <c r="F1579" t="str">
        <f t="shared" si="89"/>
        <v/>
      </c>
      <c r="G1579" t="str">
        <f>SUBSTITUTE(B1580,CHAR(34),CHAR(92)&amp;CHAR(34))</f>
        <v>Biển 2.</v>
      </c>
      <c r="H1579" t="str">
        <f>SUBSTITUTE(B1581,CHAR(34),CHAR(92)&amp;CHAR(34))</f>
        <v>Biển 3.</v>
      </c>
      <c r="I1579" t="str">
        <f>SUBSTITUTE(IF(LEFT(A1582,3)="Câu","",B1582),CHAR(34),CHAR(92)&amp;CHAR(34))</f>
        <v>Biển 2 và biển 3.</v>
      </c>
      <c r="J1579" t="str">
        <f>SUBSTITUTE(IF(OR(LEFT(A1583,3)="Câu",I1579=""),"",IF(B1583=0,"",B1583)),CHAR(34),CHAR(92)&amp;CHAR(34))</f>
        <v/>
      </c>
      <c r="K1579" t="str">
        <f>SUBSTITUTE(SUBSTITUTE(SUBSTITUTE(SUBSTITUTE(IFERROR(VLOOKUP("Câu "&amp;D1579&amp;".",dapan!$E:$J,6,0),""),"1","A"),"2","B"),"3","C"),"4","D")</f>
        <v/>
      </c>
      <c r="P1579" t="str">
        <f t="shared" si="87"/>
        <v/>
      </c>
      <c r="Q1579" t="str">
        <f t="shared" si="88"/>
        <v/>
      </c>
    </row>
    <row r="1580" spans="1:17" hidden="1" x14ac:dyDescent="0.25">
      <c r="A1580">
        <v>2</v>
      </c>
      <c r="B1580" t="s">
        <v>1068</v>
      </c>
      <c r="C1580">
        <f>IFERROR(COUNTIFS($A$1:A1580,"Câu "&amp;"*")-MID(A1580,5,FIND(".",A1580,1)-5),0)</f>
        <v>0</v>
      </c>
      <c r="D1580" t="str">
        <f t="shared" si="90"/>
        <v/>
      </c>
      <c r="E1580" t="str">
        <f>SUBSTITUTE(IF(LEFT(A1580,3)="Câu",MID(A1580,FIND(".",A1580,1)+2,LEN(A1580)),""),CHAR(34),CHAR(92)&amp;CHAR(34))</f>
        <v/>
      </c>
      <c r="F1580" t="str">
        <f t="shared" si="89"/>
        <v/>
      </c>
      <c r="G1580" t="str">
        <f>SUBSTITUTE(B1581,CHAR(34),CHAR(92)&amp;CHAR(34))</f>
        <v>Biển 3.</v>
      </c>
      <c r="H1580" t="str">
        <f>SUBSTITUTE(B1582,CHAR(34),CHAR(92)&amp;CHAR(34))</f>
        <v>Biển 2 và biển 3.</v>
      </c>
      <c r="I1580" t="str">
        <f>SUBSTITUTE(IF(LEFT(A1583,3)="Câu","",B1583),CHAR(34),CHAR(92)&amp;CHAR(34))</f>
        <v/>
      </c>
      <c r="J1580" t="str">
        <f>SUBSTITUTE(IF(OR(LEFT(A1584,3)="Câu",I1580=""),"",IF(B1584=0,"",B1584)),CHAR(34),CHAR(92)&amp;CHAR(34))</f>
        <v/>
      </c>
      <c r="K1580" t="str">
        <f>SUBSTITUTE(SUBSTITUTE(SUBSTITUTE(SUBSTITUTE(IFERROR(VLOOKUP("Câu "&amp;D1580&amp;".",dapan!$E:$J,6,0),""),"1","A"),"2","B"),"3","C"),"4","D")</f>
        <v/>
      </c>
      <c r="P1580" t="str">
        <f t="shared" si="87"/>
        <v/>
      </c>
      <c r="Q1580" t="str">
        <f t="shared" si="88"/>
        <v/>
      </c>
    </row>
    <row r="1581" spans="1:17" hidden="1" x14ac:dyDescent="0.25">
      <c r="A1581">
        <v>3</v>
      </c>
      <c r="B1581" t="s">
        <v>1083</v>
      </c>
      <c r="C1581">
        <f>IFERROR(COUNTIFS($A$1:A1581,"Câu "&amp;"*")-MID(A1581,5,FIND(".",A1581,1)-5),0)</f>
        <v>0</v>
      </c>
      <c r="D1581" t="str">
        <f t="shared" si="90"/>
        <v/>
      </c>
      <c r="E1581" t="str">
        <f>SUBSTITUTE(IF(LEFT(A1581,3)="Câu",MID(A1581,FIND(".",A1581,1)+2,LEN(A1581)),""),CHAR(34),CHAR(92)&amp;CHAR(34))</f>
        <v/>
      </c>
      <c r="F1581" t="str">
        <f t="shared" si="89"/>
        <v/>
      </c>
      <c r="G1581" t="str">
        <f>SUBSTITUTE(B1582,CHAR(34),CHAR(92)&amp;CHAR(34))</f>
        <v>Biển 2 và biển 3.</v>
      </c>
      <c r="H1581" t="str">
        <f>SUBSTITUTE(B1583,CHAR(34),CHAR(92)&amp;CHAR(34))</f>
        <v/>
      </c>
      <c r="I1581" t="str">
        <f>SUBSTITUTE(IF(LEFT(A1584,3)="Câu","",B1584),CHAR(34),CHAR(92)&amp;CHAR(34))</f>
        <v>Biển 1 và biển 3.</v>
      </c>
      <c r="J1581" t="str">
        <f>SUBSTITUTE(IF(OR(LEFT(A1585,3)="Câu",I1581=""),"",IF(B1585=0,"",B1585)),CHAR(34),CHAR(92)&amp;CHAR(34))</f>
        <v xml:space="preserve"> Biển 2.</v>
      </c>
      <c r="K1581" t="str">
        <f>SUBSTITUTE(SUBSTITUTE(SUBSTITUTE(SUBSTITUTE(IFERROR(VLOOKUP("Câu "&amp;D1581&amp;".",dapan!$E:$J,6,0),""),"1","A"),"2","B"),"3","C"),"4","D")</f>
        <v/>
      </c>
      <c r="P1581" t="str">
        <f t="shared" si="87"/>
        <v/>
      </c>
      <c r="Q1581" t="str">
        <f t="shared" si="88"/>
        <v/>
      </c>
    </row>
    <row r="1582" spans="1:17" hidden="1" x14ac:dyDescent="0.25">
      <c r="A1582">
        <v>4</v>
      </c>
      <c r="B1582" t="s">
        <v>1072</v>
      </c>
      <c r="C1582">
        <f>IFERROR(COUNTIFS($A$1:A1582,"Câu "&amp;"*")-MID(A1582,5,FIND(".",A1582,1)-5),0)</f>
        <v>0</v>
      </c>
      <c r="D1582" t="str">
        <f t="shared" si="90"/>
        <v/>
      </c>
      <c r="E1582" t="str">
        <f>SUBSTITUTE(IF(LEFT(A1582,3)="Câu",MID(A1582,FIND(".",A1582,1)+2,LEN(A1582)),""),CHAR(34),CHAR(92)&amp;CHAR(34))</f>
        <v/>
      </c>
      <c r="F1582" t="str">
        <f t="shared" si="89"/>
        <v/>
      </c>
      <c r="G1582" t="str">
        <f>SUBSTITUTE(B1583,CHAR(34),CHAR(92)&amp;CHAR(34))</f>
        <v/>
      </c>
      <c r="H1582" t="str">
        <f>SUBSTITUTE(B1584,CHAR(34),CHAR(92)&amp;CHAR(34))</f>
        <v>Biển 1 và biển 3.</v>
      </c>
      <c r="I1582" t="str">
        <f>SUBSTITUTE(IF(LEFT(A1585,3)="Câu","",B1585),CHAR(34),CHAR(92)&amp;CHAR(34))</f>
        <v xml:space="preserve"> Biển 2.</v>
      </c>
      <c r="J1582" t="str">
        <f>SUBSTITUTE(IF(OR(LEFT(A1586,3)="Câu",I1582=""),"",IF(B1586=0,"",B1586)),CHAR(34),CHAR(92)&amp;CHAR(34))</f>
        <v>Biển 3.</v>
      </c>
      <c r="K1582" t="str">
        <f>SUBSTITUTE(SUBSTITUTE(SUBSTITUTE(SUBSTITUTE(IFERROR(VLOOKUP("Câu "&amp;D1582&amp;".",dapan!$E:$J,6,0),""),"1","A"),"2","B"),"3","C"),"4","D")</f>
        <v/>
      </c>
      <c r="P1582" t="str">
        <f t="shared" si="87"/>
        <v/>
      </c>
      <c r="Q1582" t="str">
        <f t="shared" si="88"/>
        <v/>
      </c>
    </row>
    <row r="1583" spans="1:17" x14ac:dyDescent="0.25">
      <c r="A1583" t="s">
        <v>1209</v>
      </c>
      <c r="C1583">
        <f>IFERROR(COUNTIFS($A$1:A1583,"Câu "&amp;"*")-MID(A1583,5,FIND(".",A1583,1)-5),0)</f>
        <v>0</v>
      </c>
      <c r="D1583">
        <f t="shared" si="90"/>
        <v>383</v>
      </c>
      <c r="E1583" t="str">
        <f>SUBSTITUTE(IF(LEFT(A1583,3)="Câu",MID(A1583,FIND(".",A1583,1)+2,LEN(A1583)),""),CHAR(34),CHAR(92)&amp;CHAR(34))</f>
        <v>Biển nào báo hiệu \"Giao nhau với đường ưu tiên\"?</v>
      </c>
      <c r="F1583" t="str">
        <f t="shared" si="89"/>
        <v>q383.jpg</v>
      </c>
      <c r="G1583" t="str">
        <f>SUBSTITUTE(B1584,CHAR(34),CHAR(92)&amp;CHAR(34))</f>
        <v>Biển 1 và biển 3.</v>
      </c>
      <c r="H1583" t="str">
        <f>SUBSTITUTE(B1585,CHAR(34),CHAR(92)&amp;CHAR(34))</f>
        <v xml:space="preserve"> Biển 2.</v>
      </c>
      <c r="I1583" t="str">
        <f>SUBSTITUTE(IF(LEFT(A1586,3)="Câu","",B1586),CHAR(34),CHAR(92)&amp;CHAR(34))</f>
        <v>Biển 3.</v>
      </c>
      <c r="J1583" t="str">
        <f>SUBSTITUTE(IF(OR(LEFT(A1587,3)="Câu",I1583=""),"",IF(B1587=0,"",B1587)),CHAR(34),CHAR(92)&amp;CHAR(34))</f>
        <v/>
      </c>
      <c r="K1583" t="str">
        <f ca="1">SUBSTITUTE(SUBSTITUTE(SUBSTITUTE(SUBSTITUTE(IFERROR(VLOOKUP("Câu "&amp;D1583&amp;".",dapan!$E:$J,6,0),""),"1","A"),"2","B"),"3","C"),"4","D")</f>
        <v>B</v>
      </c>
      <c r="P1583">
        <f t="shared" si="87"/>
        <v>383</v>
      </c>
      <c r="Q1583" t="str">
        <f t="shared" ca="1" si="88"/>
        <v>{"num":383,"id":383,"q":"Biển nào báo hiệu \"Giao nhau với đường ưu tiên\"?","img":"q383.jpg","opts":{"A":"Biển 1 và biển 3.","B":" Biển 2.","C":"Biển 3."},"answer":"B"},</v>
      </c>
    </row>
    <row r="1584" spans="1:17" hidden="1" x14ac:dyDescent="0.25">
      <c r="A1584">
        <v>1</v>
      </c>
      <c r="B1584" t="s">
        <v>1077</v>
      </c>
      <c r="C1584">
        <f>IFERROR(COUNTIFS($A$1:A1584,"Câu "&amp;"*")-MID(A1584,5,FIND(".",A1584,1)-5),0)</f>
        <v>0</v>
      </c>
      <c r="D1584" t="str">
        <f t="shared" si="90"/>
        <v/>
      </c>
      <c r="E1584" t="str">
        <f>SUBSTITUTE(IF(LEFT(A1584,3)="Câu",MID(A1584,FIND(".",A1584,1)+2,LEN(A1584)),""),CHAR(34),CHAR(92)&amp;CHAR(34))</f>
        <v/>
      </c>
      <c r="F1584" t="str">
        <f t="shared" si="89"/>
        <v/>
      </c>
      <c r="G1584" t="str">
        <f>SUBSTITUTE(B1585,CHAR(34),CHAR(92)&amp;CHAR(34))</f>
        <v xml:space="preserve"> Biển 2.</v>
      </c>
      <c r="H1584" t="str">
        <f>SUBSTITUTE(B1586,CHAR(34),CHAR(92)&amp;CHAR(34))</f>
        <v>Biển 3.</v>
      </c>
      <c r="I1584" t="str">
        <f>SUBSTITUTE(IF(LEFT(A1587,3)="Câu","",B1587),CHAR(34),CHAR(92)&amp;CHAR(34))</f>
        <v/>
      </c>
      <c r="J1584" t="str">
        <f>SUBSTITUTE(IF(OR(LEFT(A1588,3)="Câu",I1584=""),"",IF(B1588=0,"",B1588)),CHAR(34),CHAR(92)&amp;CHAR(34))</f>
        <v/>
      </c>
      <c r="K1584" t="str">
        <f>SUBSTITUTE(SUBSTITUTE(SUBSTITUTE(SUBSTITUTE(IFERROR(VLOOKUP("Câu "&amp;D1584&amp;".",dapan!$E:$J,6,0),""),"1","A"),"2","B"),"3","C"),"4","D")</f>
        <v/>
      </c>
      <c r="P1584" t="str">
        <f t="shared" si="87"/>
        <v/>
      </c>
      <c r="Q1584" t="str">
        <f t="shared" si="88"/>
        <v/>
      </c>
    </row>
    <row r="1585" spans="1:17" hidden="1" x14ac:dyDescent="0.25">
      <c r="A1585">
        <v>2</v>
      </c>
      <c r="B1585" t="s">
        <v>1090</v>
      </c>
      <c r="C1585">
        <f>IFERROR(COUNTIFS($A$1:A1585,"Câu "&amp;"*")-MID(A1585,5,FIND(".",A1585,1)-5),0)</f>
        <v>0</v>
      </c>
      <c r="D1585" t="str">
        <f t="shared" si="90"/>
        <v/>
      </c>
      <c r="E1585" t="str">
        <f>SUBSTITUTE(IF(LEFT(A1585,3)="Câu",MID(A1585,FIND(".",A1585,1)+2,LEN(A1585)),""),CHAR(34),CHAR(92)&amp;CHAR(34))</f>
        <v/>
      </c>
      <c r="F1585" t="str">
        <f t="shared" si="89"/>
        <v/>
      </c>
      <c r="G1585" t="str">
        <f>SUBSTITUTE(B1586,CHAR(34),CHAR(92)&amp;CHAR(34))</f>
        <v>Biển 3.</v>
      </c>
      <c r="H1585" t="str">
        <f>SUBSTITUTE(B1587,CHAR(34),CHAR(92)&amp;CHAR(34))</f>
        <v/>
      </c>
      <c r="I1585" t="str">
        <f>SUBSTITUTE(IF(LEFT(A1588,3)="Câu","",B1588),CHAR(34),CHAR(92)&amp;CHAR(34))</f>
        <v xml:space="preserve"> Biển 1 và biển 2.</v>
      </c>
      <c r="J1585" t="str">
        <f>SUBSTITUTE(IF(OR(LEFT(A1589,3)="Câu",I1585=""),"",IF(B1589=0,"",B1589)),CHAR(34),CHAR(92)&amp;CHAR(34))</f>
        <v>Biển 1 và biển 3.</v>
      </c>
      <c r="K1585" t="str">
        <f>SUBSTITUTE(SUBSTITUTE(SUBSTITUTE(SUBSTITUTE(IFERROR(VLOOKUP("Câu "&amp;D1585&amp;".",dapan!$E:$J,6,0),""),"1","A"),"2","B"),"3","C"),"4","D")</f>
        <v/>
      </c>
      <c r="P1585" t="str">
        <f t="shared" si="87"/>
        <v/>
      </c>
      <c r="Q1585" t="str">
        <f t="shared" si="88"/>
        <v/>
      </c>
    </row>
    <row r="1586" spans="1:17" hidden="1" x14ac:dyDescent="0.25">
      <c r="A1586">
        <v>3</v>
      </c>
      <c r="B1586" t="s">
        <v>1083</v>
      </c>
      <c r="C1586">
        <f>IFERROR(COUNTIFS($A$1:A1586,"Câu "&amp;"*")-MID(A1586,5,FIND(".",A1586,1)-5),0)</f>
        <v>0</v>
      </c>
      <c r="D1586" t="str">
        <f t="shared" si="90"/>
        <v/>
      </c>
      <c r="E1586" t="str">
        <f>SUBSTITUTE(IF(LEFT(A1586,3)="Câu",MID(A1586,FIND(".",A1586,1)+2,LEN(A1586)),""),CHAR(34),CHAR(92)&amp;CHAR(34))</f>
        <v/>
      </c>
      <c r="F1586" t="str">
        <f t="shared" si="89"/>
        <v/>
      </c>
      <c r="G1586" t="str">
        <f>SUBSTITUTE(B1587,CHAR(34),CHAR(92)&amp;CHAR(34))</f>
        <v/>
      </c>
      <c r="H1586" t="str">
        <f>SUBSTITUTE(B1588,CHAR(34),CHAR(92)&amp;CHAR(34))</f>
        <v xml:space="preserve"> Biển 1 và biển 2.</v>
      </c>
      <c r="I1586" t="str">
        <f>SUBSTITUTE(IF(LEFT(A1589,3)="Câu","",B1589),CHAR(34),CHAR(92)&amp;CHAR(34))</f>
        <v>Biển 1 và biển 3.</v>
      </c>
      <c r="J1586" t="str">
        <f>SUBSTITUTE(IF(OR(LEFT(A1590,3)="Câu",I1586=""),"",IF(B1590=0,"",B1590)),CHAR(34),CHAR(92)&amp;CHAR(34))</f>
        <v>Biển 2 và biển 3.</v>
      </c>
      <c r="K1586" t="str">
        <f>SUBSTITUTE(SUBSTITUTE(SUBSTITUTE(SUBSTITUTE(IFERROR(VLOOKUP("Câu "&amp;D1586&amp;".",dapan!$E:$J,6,0),""),"1","A"),"2","B"),"3","C"),"4","D")</f>
        <v/>
      </c>
      <c r="P1586" t="str">
        <f t="shared" si="87"/>
        <v/>
      </c>
      <c r="Q1586" t="str">
        <f t="shared" si="88"/>
        <v/>
      </c>
    </row>
    <row r="1587" spans="1:17" x14ac:dyDescent="0.25">
      <c r="A1587" t="s">
        <v>1210</v>
      </c>
      <c r="C1587">
        <f>IFERROR(COUNTIFS($A$1:A1587,"Câu "&amp;"*")-MID(A1587,5,FIND(".",A1587,1)-5),0)</f>
        <v>0</v>
      </c>
      <c r="D1587">
        <f t="shared" si="90"/>
        <v>384</v>
      </c>
      <c r="E1587" t="str">
        <f>SUBSTITUTE(IF(LEFT(A1587,3)="Câu",MID(A1587,FIND(".",A1587,1)+2,LEN(A1587)),""),CHAR(34),CHAR(92)&amp;CHAR(34))</f>
        <v>Biển nào báo hiệu \"Đường bị thu hẹp\"?</v>
      </c>
      <c r="F1587" t="str">
        <f t="shared" si="89"/>
        <v>q384.jpg</v>
      </c>
      <c r="G1587" t="str">
        <f>SUBSTITUTE(B1588,CHAR(34),CHAR(92)&amp;CHAR(34))</f>
        <v xml:space="preserve"> Biển 1 và biển 2.</v>
      </c>
      <c r="H1587" t="str">
        <f>SUBSTITUTE(B1589,CHAR(34),CHAR(92)&amp;CHAR(34))</f>
        <v>Biển 1 và biển 3.</v>
      </c>
      <c r="I1587" t="str">
        <f>SUBSTITUTE(IF(LEFT(A1590,3)="Câu","",B1590),CHAR(34),CHAR(92)&amp;CHAR(34))</f>
        <v>Biển 2 và biển 3.</v>
      </c>
      <c r="J1587" t="str">
        <f>SUBSTITUTE(IF(OR(LEFT(A1591,3)="Câu",I1587=""),"",IF(B1591=0,"",B1591)),CHAR(34),CHAR(92)&amp;CHAR(34))</f>
        <v>Cả ba biển.</v>
      </c>
      <c r="K1587" t="str">
        <f ca="1">SUBSTITUTE(SUBSTITUTE(SUBSTITUTE(SUBSTITUTE(IFERROR(VLOOKUP("Câu "&amp;D1587&amp;".",dapan!$E:$J,6,0),""),"1","A"),"2","B"),"3","C"),"4","D")</f>
        <v>A</v>
      </c>
      <c r="P1587">
        <f t="shared" si="87"/>
        <v>384</v>
      </c>
      <c r="Q1587" t="str">
        <f t="shared" ca="1" si="88"/>
        <v>{"num":384,"id":384,"q":"Biển nào báo hiệu \"Đường bị thu hẹp\"?","img":"q384.jpg","opts":{"A":" Biển 1 và biển 2.","B":"Biển 1 và biển 3.","C":"Biển 2 và biển 3.","D":"Cả ba biển."},"answer":"A"},</v>
      </c>
    </row>
    <row r="1588" spans="1:17" hidden="1" x14ac:dyDescent="0.25">
      <c r="A1588">
        <v>1</v>
      </c>
      <c r="B1588" t="s">
        <v>1079</v>
      </c>
      <c r="C1588">
        <f>IFERROR(COUNTIFS($A$1:A1588,"Câu "&amp;"*")-MID(A1588,5,FIND(".",A1588,1)-5),0)</f>
        <v>0</v>
      </c>
      <c r="D1588" t="str">
        <f t="shared" si="90"/>
        <v/>
      </c>
      <c r="E1588" t="str">
        <f>SUBSTITUTE(IF(LEFT(A1588,3)="Câu",MID(A1588,FIND(".",A1588,1)+2,LEN(A1588)),""),CHAR(34),CHAR(92)&amp;CHAR(34))</f>
        <v/>
      </c>
      <c r="F1588" t="str">
        <f t="shared" si="89"/>
        <v/>
      </c>
      <c r="G1588" t="str">
        <f>SUBSTITUTE(B1589,CHAR(34),CHAR(92)&amp;CHAR(34))</f>
        <v>Biển 1 và biển 3.</v>
      </c>
      <c r="H1588" t="str">
        <f>SUBSTITUTE(B1590,CHAR(34),CHAR(92)&amp;CHAR(34))</f>
        <v>Biển 2 và biển 3.</v>
      </c>
      <c r="I1588" t="str">
        <f>SUBSTITUTE(IF(LEFT(A1591,3)="Câu","",B1591),CHAR(34),CHAR(92)&amp;CHAR(34))</f>
        <v>Cả ba biển.</v>
      </c>
      <c r="J1588" t="str">
        <f>SUBSTITUTE(IF(OR(LEFT(A1592,3)="Câu",I1588=""),"",IF(B1592=0,"",B1592)),CHAR(34),CHAR(92)&amp;CHAR(34))</f>
        <v/>
      </c>
      <c r="K1588" t="str">
        <f>SUBSTITUTE(SUBSTITUTE(SUBSTITUTE(SUBSTITUTE(IFERROR(VLOOKUP("Câu "&amp;D1588&amp;".",dapan!$E:$J,6,0),""),"1","A"),"2","B"),"3","C"),"4","D")</f>
        <v/>
      </c>
      <c r="P1588" t="str">
        <f t="shared" si="87"/>
        <v/>
      </c>
      <c r="Q1588" t="str">
        <f t="shared" si="88"/>
        <v/>
      </c>
    </row>
    <row r="1589" spans="1:17" hidden="1" x14ac:dyDescent="0.25">
      <c r="A1589">
        <v>2</v>
      </c>
      <c r="B1589" t="s">
        <v>1077</v>
      </c>
      <c r="C1589">
        <f>IFERROR(COUNTIFS($A$1:A1589,"Câu "&amp;"*")-MID(A1589,5,FIND(".",A1589,1)-5),0)</f>
        <v>0</v>
      </c>
      <c r="D1589" t="str">
        <f t="shared" si="90"/>
        <v/>
      </c>
      <c r="E1589" t="str">
        <f>SUBSTITUTE(IF(LEFT(A1589,3)="Câu",MID(A1589,FIND(".",A1589,1)+2,LEN(A1589)),""),CHAR(34),CHAR(92)&amp;CHAR(34))</f>
        <v/>
      </c>
      <c r="F1589" t="str">
        <f t="shared" si="89"/>
        <v/>
      </c>
      <c r="G1589" t="str">
        <f>SUBSTITUTE(B1590,CHAR(34),CHAR(92)&amp;CHAR(34))</f>
        <v>Biển 2 và biển 3.</v>
      </c>
      <c r="H1589" t="str">
        <f>SUBSTITUTE(B1591,CHAR(34),CHAR(92)&amp;CHAR(34))</f>
        <v>Cả ba biển.</v>
      </c>
      <c r="I1589" t="str">
        <f>SUBSTITUTE(IF(LEFT(A1592,3)="Câu","",B1592),CHAR(34),CHAR(92)&amp;CHAR(34))</f>
        <v/>
      </c>
      <c r="J1589" t="str">
        <f>SUBSTITUTE(IF(OR(LEFT(A1593,3)="Câu",I1589=""),"",IF(B1593=0,"",B1593)),CHAR(34),CHAR(92)&amp;CHAR(34))</f>
        <v/>
      </c>
      <c r="K1589" t="str">
        <f>SUBSTITUTE(SUBSTITUTE(SUBSTITUTE(SUBSTITUTE(IFERROR(VLOOKUP("Câu "&amp;D1589&amp;".",dapan!$E:$J,6,0),""),"1","A"),"2","B"),"3","C"),"4","D")</f>
        <v/>
      </c>
      <c r="P1589" t="str">
        <f t="shared" si="87"/>
        <v/>
      </c>
      <c r="Q1589" t="str">
        <f t="shared" si="88"/>
        <v/>
      </c>
    </row>
    <row r="1590" spans="1:17" hidden="1" x14ac:dyDescent="0.25">
      <c r="A1590">
        <v>3</v>
      </c>
      <c r="B1590" t="s">
        <v>1072</v>
      </c>
      <c r="C1590">
        <f>IFERROR(COUNTIFS($A$1:A1590,"Câu "&amp;"*")-MID(A1590,5,FIND(".",A1590,1)-5),0)</f>
        <v>0</v>
      </c>
      <c r="D1590" t="str">
        <f t="shared" si="90"/>
        <v/>
      </c>
      <c r="E1590" t="str">
        <f>SUBSTITUTE(IF(LEFT(A1590,3)="Câu",MID(A1590,FIND(".",A1590,1)+2,LEN(A1590)),""),CHAR(34),CHAR(92)&amp;CHAR(34))</f>
        <v/>
      </c>
      <c r="F1590" t="str">
        <f t="shared" si="89"/>
        <v/>
      </c>
      <c r="G1590" t="str">
        <f>SUBSTITUTE(B1591,CHAR(34),CHAR(92)&amp;CHAR(34))</f>
        <v>Cả ba biển.</v>
      </c>
      <c r="H1590" t="str">
        <f>SUBSTITUTE(B1592,CHAR(34),CHAR(92)&amp;CHAR(34))</f>
        <v/>
      </c>
      <c r="I1590" t="str">
        <f>SUBSTITUTE(IF(LEFT(A1593,3)="Câu","",B1593),CHAR(34),CHAR(92)&amp;CHAR(34))</f>
        <v>Biển 1.</v>
      </c>
      <c r="J1590" t="str">
        <f>SUBSTITUTE(IF(OR(LEFT(A1594,3)="Câu",I1590=""),"",IF(B1594=0,"",B1594)),CHAR(34),CHAR(92)&amp;CHAR(34))</f>
        <v>Biển 1 và biển 3.</v>
      </c>
      <c r="K1590" t="str">
        <f>SUBSTITUTE(SUBSTITUTE(SUBSTITUTE(SUBSTITUTE(IFERROR(VLOOKUP("Câu "&amp;D1590&amp;".",dapan!$E:$J,6,0),""),"1","A"),"2","B"),"3","C"),"4","D")</f>
        <v/>
      </c>
      <c r="P1590" t="str">
        <f t="shared" si="87"/>
        <v/>
      </c>
      <c r="Q1590" t="str">
        <f t="shared" si="88"/>
        <v/>
      </c>
    </row>
    <row r="1591" spans="1:17" hidden="1" x14ac:dyDescent="0.25">
      <c r="A1591">
        <v>4</v>
      </c>
      <c r="B1591" t="s">
        <v>1071</v>
      </c>
      <c r="C1591">
        <f>IFERROR(COUNTIFS($A$1:A1591,"Câu "&amp;"*")-MID(A1591,5,FIND(".",A1591,1)-5),0)</f>
        <v>0</v>
      </c>
      <c r="D1591" t="str">
        <f t="shared" si="90"/>
        <v/>
      </c>
      <c r="E1591" t="str">
        <f>SUBSTITUTE(IF(LEFT(A1591,3)="Câu",MID(A1591,FIND(".",A1591,1)+2,LEN(A1591)),""),CHAR(34),CHAR(92)&amp;CHAR(34))</f>
        <v/>
      </c>
      <c r="F1591" t="str">
        <f t="shared" si="89"/>
        <v/>
      </c>
      <c r="G1591" t="str">
        <f>SUBSTITUTE(B1592,CHAR(34),CHAR(92)&amp;CHAR(34))</f>
        <v/>
      </c>
      <c r="H1591" t="str">
        <f>SUBSTITUTE(B1593,CHAR(34),CHAR(92)&amp;CHAR(34))</f>
        <v>Biển 1.</v>
      </c>
      <c r="I1591" t="str">
        <f>SUBSTITUTE(IF(LEFT(A1594,3)="Câu","",B1594),CHAR(34),CHAR(92)&amp;CHAR(34))</f>
        <v>Biển 1 và biển 3.</v>
      </c>
      <c r="J1591" t="str">
        <f>SUBSTITUTE(IF(OR(LEFT(A1595,3)="Câu",I1591=""),"",IF(B1595=0,"",B1595)),CHAR(34),CHAR(92)&amp;CHAR(34))</f>
        <v xml:space="preserve"> Biển 2 và biển 3.</v>
      </c>
      <c r="K1591" t="str">
        <f>SUBSTITUTE(SUBSTITUTE(SUBSTITUTE(SUBSTITUTE(IFERROR(VLOOKUP("Câu "&amp;D1591&amp;".",dapan!$E:$J,6,0),""),"1","A"),"2","B"),"3","C"),"4","D")</f>
        <v/>
      </c>
      <c r="P1591" t="str">
        <f t="shared" si="87"/>
        <v/>
      </c>
      <c r="Q1591" t="str">
        <f t="shared" si="88"/>
        <v/>
      </c>
    </row>
    <row r="1592" spans="1:17" x14ac:dyDescent="0.25">
      <c r="A1592" t="s">
        <v>1211</v>
      </c>
      <c r="C1592">
        <f>IFERROR(COUNTIFS($A$1:A1592,"Câu "&amp;"*")-MID(A1592,5,FIND(".",A1592,1)-5),0)</f>
        <v>0</v>
      </c>
      <c r="D1592">
        <f t="shared" si="90"/>
        <v>385</v>
      </c>
      <c r="E1592" t="str">
        <f>SUBSTITUTE(IF(LEFT(A1592,3)="Câu",MID(A1592,FIND(".",A1592,1)+2,LEN(A1592)),""),CHAR(34),CHAR(92)&amp;CHAR(34))</f>
        <v>Khi gặp biển nào, người lái xe phải giảm tốc độ, chú ý xe đi ngược chiều, xe đi ở phía đường bị hẹp phải nhường đường cho xe đi ngược chiều?</v>
      </c>
      <c r="F1592" t="str">
        <f t="shared" si="89"/>
        <v>q385.jpg</v>
      </c>
      <c r="G1592" t="str">
        <f>SUBSTITUTE(B1593,CHAR(34),CHAR(92)&amp;CHAR(34))</f>
        <v>Biển 1.</v>
      </c>
      <c r="H1592" t="str">
        <f>SUBSTITUTE(B1594,CHAR(34),CHAR(92)&amp;CHAR(34))</f>
        <v>Biển 1 và biển 3.</v>
      </c>
      <c r="I1592" t="str">
        <f>SUBSTITUTE(IF(LEFT(A1595,3)="Câu","",B1595),CHAR(34),CHAR(92)&amp;CHAR(34))</f>
        <v xml:space="preserve"> Biển 2 và biển 3.</v>
      </c>
      <c r="J1592" t="str">
        <f>SUBSTITUTE(IF(OR(LEFT(A1596,3)="Câu",I1592=""),"",IF(B1596=0,"",B1596)),CHAR(34),CHAR(92)&amp;CHAR(34))</f>
        <v>Cả ba biển.</v>
      </c>
      <c r="K1592" t="str">
        <f ca="1">SUBSTITUTE(SUBSTITUTE(SUBSTITUTE(SUBSTITUTE(IFERROR(VLOOKUP("Câu "&amp;D1592&amp;".",dapan!$E:$J,6,0),""),"1","A"),"2","B"),"3","C"),"4","D")</f>
        <v>C</v>
      </c>
      <c r="P1592">
        <f t="shared" si="87"/>
        <v>385</v>
      </c>
      <c r="Q1592" t="str">
        <f t="shared" ca="1" si="88"/>
        <v>{"num":385,"id":385,"q":"Khi gặp biển nào, người lái xe phải giảm tốc độ, chú ý xe đi ngược chiều, xe đi ở phía đường bị hẹp phải nhường đường cho xe đi ngược chiều?","img":"q385.jpg","opts":{"A":"Biển 1.","B":"Biển 1 và biển 3.","C":" Biển 2 và biển 3.","D":"Cả ba biển."},"answer":"C"},</v>
      </c>
    </row>
    <row r="1593" spans="1:17" hidden="1" x14ac:dyDescent="0.25">
      <c r="A1593">
        <v>1</v>
      </c>
      <c r="B1593" t="s">
        <v>1075</v>
      </c>
      <c r="C1593">
        <f>IFERROR(COUNTIFS($A$1:A1593,"Câu "&amp;"*")-MID(A1593,5,FIND(".",A1593,1)-5),0)</f>
        <v>0</v>
      </c>
      <c r="D1593" t="str">
        <f t="shared" si="90"/>
        <v/>
      </c>
      <c r="E1593" t="str">
        <f>SUBSTITUTE(IF(LEFT(A1593,3)="Câu",MID(A1593,FIND(".",A1593,1)+2,LEN(A1593)),""),CHAR(34),CHAR(92)&amp;CHAR(34))</f>
        <v/>
      </c>
      <c r="F1593" t="str">
        <f t="shared" si="89"/>
        <v/>
      </c>
      <c r="G1593" t="str">
        <f>SUBSTITUTE(B1594,CHAR(34),CHAR(92)&amp;CHAR(34))</f>
        <v>Biển 1 và biển 3.</v>
      </c>
      <c r="H1593" t="str">
        <f>SUBSTITUTE(B1595,CHAR(34),CHAR(92)&amp;CHAR(34))</f>
        <v xml:space="preserve"> Biển 2 và biển 3.</v>
      </c>
      <c r="I1593" t="str">
        <f>SUBSTITUTE(IF(LEFT(A1596,3)="Câu","",B1596),CHAR(34),CHAR(92)&amp;CHAR(34))</f>
        <v>Cả ba biển.</v>
      </c>
      <c r="J1593" t="str">
        <f>SUBSTITUTE(IF(OR(LEFT(A1597,3)="Câu",I1593=""),"",IF(B1597=0,"",B1597)),CHAR(34),CHAR(92)&amp;CHAR(34))</f>
        <v/>
      </c>
      <c r="K1593" t="str">
        <f>SUBSTITUTE(SUBSTITUTE(SUBSTITUTE(SUBSTITUTE(IFERROR(VLOOKUP("Câu "&amp;D1593&amp;".",dapan!$E:$J,6,0),""),"1","A"),"2","B"),"3","C"),"4","D")</f>
        <v/>
      </c>
      <c r="P1593" t="str">
        <f t="shared" si="87"/>
        <v/>
      </c>
      <c r="Q1593" t="str">
        <f t="shared" si="88"/>
        <v/>
      </c>
    </row>
    <row r="1594" spans="1:17" hidden="1" x14ac:dyDescent="0.25">
      <c r="A1594">
        <v>2</v>
      </c>
      <c r="B1594" t="s">
        <v>1077</v>
      </c>
      <c r="C1594">
        <f>IFERROR(COUNTIFS($A$1:A1594,"Câu "&amp;"*")-MID(A1594,5,FIND(".",A1594,1)-5),0)</f>
        <v>0</v>
      </c>
      <c r="D1594" t="str">
        <f t="shared" si="90"/>
        <v/>
      </c>
      <c r="E1594" t="str">
        <f>SUBSTITUTE(IF(LEFT(A1594,3)="Câu",MID(A1594,FIND(".",A1594,1)+2,LEN(A1594)),""),CHAR(34),CHAR(92)&amp;CHAR(34))</f>
        <v/>
      </c>
      <c r="F1594" t="str">
        <f t="shared" si="89"/>
        <v/>
      </c>
      <c r="G1594" t="str">
        <f>SUBSTITUTE(B1595,CHAR(34),CHAR(92)&amp;CHAR(34))</f>
        <v xml:space="preserve"> Biển 2 và biển 3.</v>
      </c>
      <c r="H1594" t="str">
        <f>SUBSTITUTE(B1596,CHAR(34),CHAR(92)&amp;CHAR(34))</f>
        <v>Cả ba biển.</v>
      </c>
      <c r="I1594" t="str">
        <f>SUBSTITUTE(IF(LEFT(A1597,3)="Câu","",B1597),CHAR(34),CHAR(92)&amp;CHAR(34))</f>
        <v/>
      </c>
      <c r="J1594" t="str">
        <f>SUBSTITUTE(IF(OR(LEFT(A1598,3)="Câu",I1594=""),"",IF(B1598=0,"",B1598)),CHAR(34),CHAR(92)&amp;CHAR(34))</f>
        <v/>
      </c>
      <c r="K1594" t="str">
        <f>SUBSTITUTE(SUBSTITUTE(SUBSTITUTE(SUBSTITUTE(IFERROR(VLOOKUP("Câu "&amp;D1594&amp;".",dapan!$E:$J,6,0),""),"1","A"),"2","B"),"3","C"),"4","D")</f>
        <v/>
      </c>
      <c r="P1594" t="str">
        <f t="shared" si="87"/>
        <v/>
      </c>
      <c r="Q1594" t="str">
        <f t="shared" si="88"/>
        <v/>
      </c>
    </row>
    <row r="1595" spans="1:17" hidden="1" x14ac:dyDescent="0.25">
      <c r="A1595">
        <v>3</v>
      </c>
      <c r="B1595" t="s">
        <v>1076</v>
      </c>
      <c r="C1595">
        <f>IFERROR(COUNTIFS($A$1:A1595,"Câu "&amp;"*")-MID(A1595,5,FIND(".",A1595,1)-5),0)</f>
        <v>0</v>
      </c>
      <c r="D1595" t="str">
        <f t="shared" si="90"/>
        <v/>
      </c>
      <c r="E1595" t="str">
        <f>SUBSTITUTE(IF(LEFT(A1595,3)="Câu",MID(A1595,FIND(".",A1595,1)+2,LEN(A1595)),""),CHAR(34),CHAR(92)&amp;CHAR(34))</f>
        <v/>
      </c>
      <c r="F1595" t="str">
        <f t="shared" si="89"/>
        <v/>
      </c>
      <c r="G1595" t="str">
        <f>SUBSTITUTE(B1596,CHAR(34),CHAR(92)&amp;CHAR(34))</f>
        <v>Cả ba biển.</v>
      </c>
      <c r="H1595" t="str">
        <f>SUBSTITUTE(B1597,CHAR(34),CHAR(92)&amp;CHAR(34))</f>
        <v/>
      </c>
      <c r="I1595" t="str">
        <f>SUBSTITUTE(IF(LEFT(A1598,3)="Câu","",B1598),CHAR(34),CHAR(92)&amp;CHAR(34))</f>
        <v>Biển 1.</v>
      </c>
      <c r="J1595" t="str">
        <f>SUBSTITUTE(IF(OR(LEFT(A1599,3)="Câu",I1595=""),"",IF(B1599=0,"",B1599)),CHAR(34),CHAR(92)&amp;CHAR(34))</f>
        <v>Biển 2.</v>
      </c>
      <c r="K1595" t="str">
        <f>SUBSTITUTE(SUBSTITUTE(SUBSTITUTE(SUBSTITUTE(IFERROR(VLOOKUP("Câu "&amp;D1595&amp;".",dapan!$E:$J,6,0),""),"1","A"),"2","B"),"3","C"),"4","D")</f>
        <v/>
      </c>
      <c r="P1595" t="str">
        <f t="shared" si="87"/>
        <v/>
      </c>
      <c r="Q1595" t="str">
        <f t="shared" si="88"/>
        <v/>
      </c>
    </row>
    <row r="1596" spans="1:17" hidden="1" x14ac:dyDescent="0.25">
      <c r="A1596">
        <v>4</v>
      </c>
      <c r="B1596" t="s">
        <v>1071</v>
      </c>
      <c r="C1596">
        <f>IFERROR(COUNTIFS($A$1:A1596,"Câu "&amp;"*")-MID(A1596,5,FIND(".",A1596,1)-5),0)</f>
        <v>0</v>
      </c>
      <c r="D1596" t="str">
        <f t="shared" si="90"/>
        <v/>
      </c>
      <c r="E1596" t="str">
        <f>SUBSTITUTE(IF(LEFT(A1596,3)="Câu",MID(A1596,FIND(".",A1596,1)+2,LEN(A1596)),""),CHAR(34),CHAR(92)&amp;CHAR(34))</f>
        <v/>
      </c>
      <c r="F1596" t="str">
        <f t="shared" si="89"/>
        <v/>
      </c>
      <c r="G1596" t="str">
        <f>SUBSTITUTE(B1597,CHAR(34),CHAR(92)&amp;CHAR(34))</f>
        <v/>
      </c>
      <c r="H1596" t="str">
        <f>SUBSTITUTE(B1598,CHAR(34),CHAR(92)&amp;CHAR(34))</f>
        <v>Biển 1.</v>
      </c>
      <c r="I1596" t="str">
        <f>SUBSTITUTE(IF(LEFT(A1599,3)="Câu","",B1599),CHAR(34),CHAR(92)&amp;CHAR(34))</f>
        <v>Biển 2.</v>
      </c>
      <c r="J1596" t="str">
        <f>SUBSTITUTE(IF(OR(LEFT(A1600,3)="Câu",I1596=""),"",IF(B1600=0,"",B1600)),CHAR(34),CHAR(92)&amp;CHAR(34))</f>
        <v xml:space="preserve"> Biển 3.</v>
      </c>
      <c r="K1596" t="str">
        <f>SUBSTITUTE(SUBSTITUTE(SUBSTITUTE(SUBSTITUTE(IFERROR(VLOOKUP("Câu "&amp;D1596&amp;".",dapan!$E:$J,6,0),""),"1","A"),"2","B"),"3","C"),"4","D")</f>
        <v/>
      </c>
      <c r="P1596" t="str">
        <f t="shared" si="87"/>
        <v/>
      </c>
      <c r="Q1596" t="str">
        <f t="shared" si="88"/>
        <v/>
      </c>
    </row>
    <row r="1597" spans="1:17" x14ac:dyDescent="0.25">
      <c r="A1597" t="s">
        <v>1212</v>
      </c>
      <c r="C1597">
        <f>IFERROR(COUNTIFS($A$1:A1597,"Câu "&amp;"*")-MID(A1597,5,FIND(".",A1597,1)-5),0)</f>
        <v>0</v>
      </c>
      <c r="D1597">
        <f t="shared" si="90"/>
        <v>386</v>
      </c>
      <c r="E1597" t="str">
        <f>SUBSTITUTE(IF(LEFT(A1597,3)="Câu",MID(A1597,FIND(".",A1597,1)+2,LEN(A1597)),""),CHAR(34),CHAR(92)&amp;CHAR(34))</f>
        <v>Biển nào báo hiệu \"Giao nhau với đường ưu tiên\"?</v>
      </c>
      <c r="F1597" t="str">
        <f t="shared" si="89"/>
        <v>q386.jpg</v>
      </c>
      <c r="G1597" t="str">
        <f>SUBSTITUTE(B1598,CHAR(34),CHAR(92)&amp;CHAR(34))</f>
        <v>Biển 1.</v>
      </c>
      <c r="H1597" t="str">
        <f>SUBSTITUTE(B1599,CHAR(34),CHAR(92)&amp;CHAR(34))</f>
        <v>Biển 2.</v>
      </c>
      <c r="I1597" t="str">
        <f>SUBSTITUTE(IF(LEFT(A1600,3)="Câu","",B1600),CHAR(34),CHAR(92)&amp;CHAR(34))</f>
        <v xml:space="preserve"> Biển 3.</v>
      </c>
      <c r="J1597" t="str">
        <f>SUBSTITUTE(IF(OR(LEFT(A1601,3)="Câu",I1597=""),"",IF(B1601=0,"",B1601)),CHAR(34),CHAR(92)&amp;CHAR(34))</f>
        <v>Cả ba biển.</v>
      </c>
      <c r="K1597" t="str">
        <f ca="1">SUBSTITUTE(SUBSTITUTE(SUBSTITUTE(SUBSTITUTE(IFERROR(VLOOKUP("Câu "&amp;D1597&amp;".",dapan!$E:$J,6,0),""),"1","A"),"2","B"),"3","C"),"4","D")</f>
        <v>C</v>
      </c>
      <c r="P1597">
        <f t="shared" si="87"/>
        <v>386</v>
      </c>
      <c r="Q1597" t="str">
        <f t="shared" ca="1" si="88"/>
        <v>{"num":386,"id":386,"q":"Biển nào báo hiệu \"Giao nhau với đường ưu tiên\"?","img":"q386.jpg","opts":{"A":"Biển 1.","B":"Biển 2.","C":" Biển 3.","D":"Cả ba biển."},"answer":"C"},</v>
      </c>
    </row>
    <row r="1598" spans="1:17" hidden="1" x14ac:dyDescent="0.25">
      <c r="A1598">
        <v>1</v>
      </c>
      <c r="B1598" t="s">
        <v>1075</v>
      </c>
      <c r="C1598">
        <f>IFERROR(COUNTIFS($A$1:A1598,"Câu "&amp;"*")-MID(A1598,5,FIND(".",A1598,1)-5),0)</f>
        <v>0</v>
      </c>
      <c r="D1598" t="str">
        <f t="shared" si="90"/>
        <v/>
      </c>
      <c r="E1598" t="str">
        <f>SUBSTITUTE(IF(LEFT(A1598,3)="Câu",MID(A1598,FIND(".",A1598,1)+2,LEN(A1598)),""),CHAR(34),CHAR(92)&amp;CHAR(34))</f>
        <v/>
      </c>
      <c r="F1598" t="str">
        <f t="shared" si="89"/>
        <v/>
      </c>
      <c r="G1598" t="str">
        <f>SUBSTITUTE(B1599,CHAR(34),CHAR(92)&amp;CHAR(34))</f>
        <v>Biển 2.</v>
      </c>
      <c r="H1598" t="str">
        <f>SUBSTITUTE(B1600,CHAR(34),CHAR(92)&amp;CHAR(34))</f>
        <v xml:space="preserve"> Biển 3.</v>
      </c>
      <c r="I1598" t="str">
        <f>SUBSTITUTE(IF(LEFT(A1601,3)="Câu","",B1601),CHAR(34),CHAR(92)&amp;CHAR(34))</f>
        <v>Cả ba biển.</v>
      </c>
      <c r="J1598" t="str">
        <f>SUBSTITUTE(IF(OR(LEFT(A1602,3)="Câu",I1598=""),"",IF(B1602=0,"",B1602)),CHAR(34),CHAR(92)&amp;CHAR(34))</f>
        <v/>
      </c>
      <c r="K1598" t="str">
        <f>SUBSTITUTE(SUBSTITUTE(SUBSTITUTE(SUBSTITUTE(IFERROR(VLOOKUP("Câu "&amp;D1598&amp;".",dapan!$E:$J,6,0),""),"1","A"),"2","B"),"3","C"),"4","D")</f>
        <v/>
      </c>
      <c r="P1598" t="str">
        <f t="shared" si="87"/>
        <v/>
      </c>
      <c r="Q1598" t="str">
        <f t="shared" si="88"/>
        <v/>
      </c>
    </row>
    <row r="1599" spans="1:17" hidden="1" x14ac:dyDescent="0.25">
      <c r="A1599">
        <v>2</v>
      </c>
      <c r="B1599" t="s">
        <v>1068</v>
      </c>
      <c r="C1599">
        <f>IFERROR(COUNTIFS($A$1:A1599,"Câu "&amp;"*")-MID(A1599,5,FIND(".",A1599,1)-5),0)</f>
        <v>0</v>
      </c>
      <c r="D1599" t="str">
        <f t="shared" si="90"/>
        <v/>
      </c>
      <c r="E1599" t="str">
        <f>SUBSTITUTE(IF(LEFT(A1599,3)="Câu",MID(A1599,FIND(".",A1599,1)+2,LEN(A1599)),""),CHAR(34),CHAR(92)&amp;CHAR(34))</f>
        <v/>
      </c>
      <c r="F1599" t="str">
        <f t="shared" si="89"/>
        <v/>
      </c>
      <c r="G1599" t="str">
        <f>SUBSTITUTE(B1600,CHAR(34),CHAR(92)&amp;CHAR(34))</f>
        <v xml:space="preserve"> Biển 3.</v>
      </c>
      <c r="H1599" t="str">
        <f>SUBSTITUTE(B1601,CHAR(34),CHAR(92)&amp;CHAR(34))</f>
        <v>Cả ba biển.</v>
      </c>
      <c r="I1599" t="str">
        <f>SUBSTITUTE(IF(LEFT(A1602,3)="Câu","",B1602),CHAR(34),CHAR(92)&amp;CHAR(34))</f>
        <v/>
      </c>
      <c r="J1599" t="str">
        <f>SUBSTITUTE(IF(OR(LEFT(A1603,3)="Câu",I1599=""),"",IF(B1603=0,"",B1603)),CHAR(34),CHAR(92)&amp;CHAR(34))</f>
        <v/>
      </c>
      <c r="K1599" t="str">
        <f>SUBSTITUTE(SUBSTITUTE(SUBSTITUTE(SUBSTITUTE(IFERROR(VLOOKUP("Câu "&amp;D1599&amp;".",dapan!$E:$J,6,0),""),"1","A"),"2","B"),"3","C"),"4","D")</f>
        <v/>
      </c>
      <c r="P1599" t="str">
        <f t="shared" si="87"/>
        <v/>
      </c>
      <c r="Q1599" t="str">
        <f t="shared" si="88"/>
        <v/>
      </c>
    </row>
    <row r="1600" spans="1:17" hidden="1" x14ac:dyDescent="0.25">
      <c r="A1600">
        <v>3</v>
      </c>
      <c r="B1600" t="s">
        <v>1114</v>
      </c>
      <c r="C1600">
        <f>IFERROR(COUNTIFS($A$1:A1600,"Câu "&amp;"*")-MID(A1600,5,FIND(".",A1600,1)-5),0)</f>
        <v>0</v>
      </c>
      <c r="D1600" t="str">
        <f t="shared" si="90"/>
        <v/>
      </c>
      <c r="E1600" t="str">
        <f>SUBSTITUTE(IF(LEFT(A1600,3)="Câu",MID(A1600,FIND(".",A1600,1)+2,LEN(A1600)),""),CHAR(34),CHAR(92)&amp;CHAR(34))</f>
        <v/>
      </c>
      <c r="F1600" t="str">
        <f t="shared" si="89"/>
        <v/>
      </c>
      <c r="G1600" t="str">
        <f>SUBSTITUTE(B1601,CHAR(34),CHAR(92)&amp;CHAR(34))</f>
        <v>Cả ba biển.</v>
      </c>
      <c r="H1600" t="str">
        <f>SUBSTITUTE(B1602,CHAR(34),CHAR(92)&amp;CHAR(34))</f>
        <v/>
      </c>
      <c r="I1600" t="str">
        <f>SUBSTITUTE(IF(LEFT(A1603,3)="Câu","",B1603),CHAR(34),CHAR(92)&amp;CHAR(34))</f>
        <v xml:space="preserve"> Biển 1.</v>
      </c>
      <c r="J1600" t="str">
        <f>SUBSTITUTE(IF(OR(LEFT(A1604,3)="Câu",I1600=""),"",IF(B1604=0,"",B1604)),CHAR(34),CHAR(92)&amp;CHAR(34))</f>
        <v>Biển 2.</v>
      </c>
      <c r="K1600" t="str">
        <f>SUBSTITUTE(SUBSTITUTE(SUBSTITUTE(SUBSTITUTE(IFERROR(VLOOKUP("Câu "&amp;D1600&amp;".",dapan!$E:$J,6,0),""),"1","A"),"2","B"),"3","C"),"4","D")</f>
        <v/>
      </c>
      <c r="P1600" t="str">
        <f t="shared" si="87"/>
        <v/>
      </c>
      <c r="Q1600" t="str">
        <f t="shared" si="88"/>
        <v/>
      </c>
    </row>
    <row r="1601" spans="1:17" hidden="1" x14ac:dyDescent="0.25">
      <c r="A1601">
        <v>4</v>
      </c>
      <c r="B1601" t="s">
        <v>1071</v>
      </c>
      <c r="C1601">
        <f>IFERROR(COUNTIFS($A$1:A1601,"Câu "&amp;"*")-MID(A1601,5,FIND(".",A1601,1)-5),0)</f>
        <v>0</v>
      </c>
      <c r="D1601" t="str">
        <f t="shared" si="90"/>
        <v/>
      </c>
      <c r="E1601" t="str">
        <f>SUBSTITUTE(IF(LEFT(A1601,3)="Câu",MID(A1601,FIND(".",A1601,1)+2,LEN(A1601)),""),CHAR(34),CHAR(92)&amp;CHAR(34))</f>
        <v/>
      </c>
      <c r="F1601" t="str">
        <f t="shared" si="89"/>
        <v/>
      </c>
      <c r="G1601" t="str">
        <f>SUBSTITUTE(B1602,CHAR(34),CHAR(92)&amp;CHAR(34))</f>
        <v/>
      </c>
      <c r="H1601" t="str">
        <f>SUBSTITUTE(B1603,CHAR(34),CHAR(92)&amp;CHAR(34))</f>
        <v xml:space="preserve"> Biển 1.</v>
      </c>
      <c r="I1601" t="str">
        <f>SUBSTITUTE(IF(LEFT(A1604,3)="Câu","",B1604),CHAR(34),CHAR(92)&amp;CHAR(34))</f>
        <v>Biển 2.</v>
      </c>
      <c r="J1601" t="str">
        <f>SUBSTITUTE(IF(OR(LEFT(A1605,3)="Câu",I1601=""),"",IF(B1605=0,"",B1605)),CHAR(34),CHAR(92)&amp;CHAR(34))</f>
        <v>Biển 3.</v>
      </c>
      <c r="K1601" t="str">
        <f>SUBSTITUTE(SUBSTITUTE(SUBSTITUTE(SUBSTITUTE(IFERROR(VLOOKUP("Câu "&amp;D1601&amp;".",dapan!$E:$J,6,0),""),"1","A"),"2","B"),"3","C"),"4","D")</f>
        <v/>
      </c>
      <c r="P1601" t="str">
        <f t="shared" si="87"/>
        <v/>
      </c>
      <c r="Q1601" t="str">
        <f t="shared" si="88"/>
        <v/>
      </c>
    </row>
    <row r="1602" spans="1:17" x14ac:dyDescent="0.25">
      <c r="A1602" t="s">
        <v>1213</v>
      </c>
      <c r="C1602">
        <f>IFERROR(COUNTIFS($A$1:A1602,"Câu "&amp;"*")-MID(A1602,5,FIND(".",A1602,1)-5),0)</f>
        <v>0</v>
      </c>
      <c r="D1602">
        <f t="shared" si="90"/>
        <v>387</v>
      </c>
      <c r="E1602" t="str">
        <f>SUBSTITUTE(IF(LEFT(A1602,3)="Câu",MID(A1602,FIND(".",A1602,1)+2,LEN(A1602)),""),CHAR(34),CHAR(92)&amp;CHAR(34))</f>
        <v>Biển nào báo hiệu \"Đường giao nhau\" của các tuyến đường cùng cấp?</v>
      </c>
      <c r="F1602" t="str">
        <f t="shared" si="89"/>
        <v>q387.jpg</v>
      </c>
      <c r="G1602" t="str">
        <f>SUBSTITUTE(B1603,CHAR(34),CHAR(92)&amp;CHAR(34))</f>
        <v xml:space="preserve"> Biển 1.</v>
      </c>
      <c r="H1602" t="str">
        <f>SUBSTITUTE(B1604,CHAR(34),CHAR(92)&amp;CHAR(34))</f>
        <v>Biển 2.</v>
      </c>
      <c r="I1602" t="str">
        <f>SUBSTITUTE(IF(LEFT(A1605,3)="Câu","",B1605),CHAR(34),CHAR(92)&amp;CHAR(34))</f>
        <v>Biển 3.</v>
      </c>
      <c r="J1602" t="str">
        <f>SUBSTITUTE(IF(OR(LEFT(A1606,3)="Câu",I1602=""),"",IF(B1606=0,"",B1606)),CHAR(34),CHAR(92)&amp;CHAR(34))</f>
        <v/>
      </c>
      <c r="K1602" t="str">
        <f ca="1">SUBSTITUTE(SUBSTITUTE(SUBSTITUTE(SUBSTITUTE(IFERROR(VLOOKUP("Câu "&amp;D1602&amp;".",dapan!$E:$J,6,0),""),"1","A"),"2","B"),"3","C"),"4","D")</f>
        <v>A</v>
      </c>
      <c r="P1602">
        <f t="shared" si="87"/>
        <v>387</v>
      </c>
      <c r="Q1602" t="str">
        <f t="shared" ca="1" si="88"/>
        <v>{"num":387,"id":387,"q":"Biển nào báo hiệu \"Đường giao nhau\" của các tuyến đường cùng cấp?","img":"q387.jpg","opts":{"A":" Biển 1.","B":"Biển 2.","C":"Biển 3."},"answer":"A"},</v>
      </c>
    </row>
    <row r="1603" spans="1:17" hidden="1" x14ac:dyDescent="0.25">
      <c r="A1603">
        <v>1</v>
      </c>
      <c r="B1603" t="s">
        <v>1066</v>
      </c>
      <c r="C1603">
        <f>IFERROR(COUNTIFS($A$1:A1603,"Câu "&amp;"*")-MID(A1603,5,FIND(".",A1603,1)-5),0)</f>
        <v>0</v>
      </c>
      <c r="D1603" t="str">
        <f t="shared" si="90"/>
        <v/>
      </c>
      <c r="E1603" t="str">
        <f>SUBSTITUTE(IF(LEFT(A1603,3)="Câu",MID(A1603,FIND(".",A1603,1)+2,LEN(A1603)),""),CHAR(34),CHAR(92)&amp;CHAR(34))</f>
        <v/>
      </c>
      <c r="F1603" t="str">
        <f t="shared" si="89"/>
        <v/>
      </c>
      <c r="G1603" t="str">
        <f>SUBSTITUTE(B1604,CHAR(34),CHAR(92)&amp;CHAR(34))</f>
        <v>Biển 2.</v>
      </c>
      <c r="H1603" t="str">
        <f>SUBSTITUTE(B1605,CHAR(34),CHAR(92)&amp;CHAR(34))</f>
        <v>Biển 3.</v>
      </c>
      <c r="I1603" t="str">
        <f>SUBSTITUTE(IF(LEFT(A1606,3)="Câu","",B1606),CHAR(34),CHAR(92)&amp;CHAR(34))</f>
        <v/>
      </c>
      <c r="J1603" t="str">
        <f>SUBSTITUTE(IF(OR(LEFT(A1607,3)="Câu",I1603=""),"",IF(B1607=0,"",B1607)),CHAR(34),CHAR(92)&amp;CHAR(34))</f>
        <v/>
      </c>
      <c r="K1603" t="str">
        <f>SUBSTITUTE(SUBSTITUTE(SUBSTITUTE(SUBSTITUTE(IFERROR(VLOOKUP("Câu "&amp;D1603&amp;".",dapan!$E:$J,6,0),""),"1","A"),"2","B"),"3","C"),"4","D")</f>
        <v/>
      </c>
      <c r="P1603" t="str">
        <f t="shared" ref="P1603:P1666" si="91">D1603</f>
        <v/>
      </c>
      <c r="Q1603" t="str">
        <f t="shared" ref="Q1603:Q1666" si="92">IF(D1603="","",CHAR(123)&amp;CHAR(34)&amp;"num"&amp;CHAR(34)&amp;":"&amp;P1603&amp;","&amp;CHAR(34)&amp;"id"&amp;CHAR(34)&amp;":"&amp;D1603&amp;","
&amp;CHAR(34)&amp;"q"&amp;CHAR(34)&amp;":"&amp;CHAR(34)&amp;E1603&amp;CHAR(34)&amp;","
&amp;IF(F1603="","",CHAR(34)&amp;"img"&amp;CHAR(34)&amp;":"&amp;CHAR(34)&amp;F1603&amp;CHAR(34)&amp;",")
&amp;CHAR(34)&amp;"opts"&amp;CHAR(34)&amp;":"&amp;CHAR(123)&amp;CHAR(34)&amp;"A"&amp;CHAR(34)&amp;":"&amp;CHAR(34)&amp;G1603&amp;CHAR(34)&amp;","&amp;CHAR(34)&amp;"B"&amp;CHAR(34)&amp;":"&amp;CHAR(34)&amp;H1603&amp;CHAR(34)
&amp;IF(I1603="","",","&amp;CHAR(34)&amp;"C"&amp;CHAR(34)&amp;":"&amp;CHAR(34)&amp;I1603&amp;CHAR(34))&amp;IF(J1603="","",","&amp;CHAR(34)&amp;"D"&amp;CHAR(34)&amp;":"&amp;CHAR(34)&amp;J1603&amp;CHAR(34))&amp;CHAR(125)&amp;","
&amp;CHAR(34)&amp;"answer"&amp;CHAR(34)&amp;":"&amp;CHAR(34)&amp;K1603&amp;CHAR(34)
&amp;IF(L1603="","",","&amp;CHAR(34)&amp;"danger"&amp;CHAR(34)&amp;":"&amp;CHAR(34)&amp;"true"&amp;CHAR(34))
&amp;IF(M1603="","",","&amp;CHAR(34)&amp;"explain"&amp;CHAR(34)&amp;":"&amp;CHAR(34)&amp;M1603&amp;CHAR(34))
&amp;IF(N1603="","",","&amp;CHAR(34)&amp;"explainImg"&amp;CHAR(34)&amp;":"&amp;CHAR(34)&amp;N1603&amp;CHAR(34))
&amp;IF(O1603="","",","&amp;CHAR(34)&amp;"shuffle"&amp;CHAR(34)&amp;":"&amp;CHAR(34)&amp;"false"&amp;CHAR(34))&amp;CHAR(125)&amp;",")</f>
        <v/>
      </c>
    </row>
    <row r="1604" spans="1:17" hidden="1" x14ac:dyDescent="0.25">
      <c r="A1604">
        <v>2</v>
      </c>
      <c r="B1604" t="s">
        <v>1068</v>
      </c>
      <c r="C1604">
        <f>IFERROR(COUNTIFS($A$1:A1604,"Câu "&amp;"*")-MID(A1604,5,FIND(".",A1604,1)-5),0)</f>
        <v>0</v>
      </c>
      <c r="D1604" t="str">
        <f t="shared" si="90"/>
        <v/>
      </c>
      <c r="E1604" t="str">
        <f>SUBSTITUTE(IF(LEFT(A1604,3)="Câu",MID(A1604,FIND(".",A1604,1)+2,LEN(A1604)),""),CHAR(34),CHAR(92)&amp;CHAR(34))</f>
        <v/>
      </c>
      <c r="F1604" t="str">
        <f t="shared" si="89"/>
        <v/>
      </c>
      <c r="G1604" t="str">
        <f>SUBSTITUTE(B1605,CHAR(34),CHAR(92)&amp;CHAR(34))</f>
        <v>Biển 3.</v>
      </c>
      <c r="H1604" t="str">
        <f>SUBSTITUTE(B1606,CHAR(34),CHAR(92)&amp;CHAR(34))</f>
        <v/>
      </c>
      <c r="I1604" t="str">
        <f>SUBSTITUTE(IF(LEFT(A1607,3)="Câu","",B1607),CHAR(34),CHAR(92)&amp;CHAR(34))</f>
        <v>Biển 1.</v>
      </c>
      <c r="J1604" t="str">
        <f>SUBSTITUTE(IF(OR(LEFT(A1608,3)="Câu",I1604=""),"",IF(B1608=0,"",B1608)),CHAR(34),CHAR(92)&amp;CHAR(34))</f>
        <v xml:space="preserve"> Biển 2.</v>
      </c>
      <c r="K1604" t="str">
        <f>SUBSTITUTE(SUBSTITUTE(SUBSTITUTE(SUBSTITUTE(IFERROR(VLOOKUP("Câu "&amp;D1604&amp;".",dapan!$E:$J,6,0),""),"1","A"),"2","B"),"3","C"),"4","D")</f>
        <v/>
      </c>
      <c r="P1604" t="str">
        <f t="shared" si="91"/>
        <v/>
      </c>
      <c r="Q1604" t="str">
        <f t="shared" si="92"/>
        <v/>
      </c>
    </row>
    <row r="1605" spans="1:17" hidden="1" x14ac:dyDescent="0.25">
      <c r="A1605">
        <v>3</v>
      </c>
      <c r="B1605" t="s">
        <v>1083</v>
      </c>
      <c r="C1605">
        <f>IFERROR(COUNTIFS($A$1:A1605,"Câu "&amp;"*")-MID(A1605,5,FIND(".",A1605,1)-5),0)</f>
        <v>0</v>
      </c>
      <c r="D1605" t="str">
        <f t="shared" si="90"/>
        <v/>
      </c>
      <c r="E1605" t="str">
        <f>SUBSTITUTE(IF(LEFT(A1605,3)="Câu",MID(A1605,FIND(".",A1605,1)+2,LEN(A1605)),""),CHAR(34),CHAR(92)&amp;CHAR(34))</f>
        <v/>
      </c>
      <c r="F1605" t="str">
        <f t="shared" si="89"/>
        <v/>
      </c>
      <c r="G1605" t="str">
        <f>SUBSTITUTE(B1606,CHAR(34),CHAR(92)&amp;CHAR(34))</f>
        <v/>
      </c>
      <c r="H1605" t="str">
        <f>SUBSTITUTE(B1607,CHAR(34),CHAR(92)&amp;CHAR(34))</f>
        <v>Biển 1.</v>
      </c>
      <c r="I1605" t="str">
        <f>SUBSTITUTE(IF(LEFT(A1608,3)="Câu","",B1608),CHAR(34),CHAR(92)&amp;CHAR(34))</f>
        <v xml:space="preserve"> Biển 2.</v>
      </c>
      <c r="J1605" t="str">
        <f>SUBSTITUTE(IF(OR(LEFT(A1609,3)="Câu",I1605=""),"",IF(B1609=0,"",B1609)),CHAR(34),CHAR(92)&amp;CHAR(34))</f>
        <v>Biển 3.</v>
      </c>
      <c r="K1605" t="str">
        <f>SUBSTITUTE(SUBSTITUTE(SUBSTITUTE(SUBSTITUTE(IFERROR(VLOOKUP("Câu "&amp;D1605&amp;".",dapan!$E:$J,6,0),""),"1","A"),"2","B"),"3","C"),"4","D")</f>
        <v/>
      </c>
      <c r="P1605" t="str">
        <f t="shared" si="91"/>
        <v/>
      </c>
      <c r="Q1605" t="str">
        <f t="shared" si="92"/>
        <v/>
      </c>
    </row>
    <row r="1606" spans="1:17" x14ac:dyDescent="0.25">
      <c r="A1606" t="s">
        <v>1214</v>
      </c>
      <c r="C1606">
        <f>IFERROR(COUNTIFS($A$1:A1606,"Câu "&amp;"*")-MID(A1606,5,FIND(".",A1606,1)-5),0)</f>
        <v>0</v>
      </c>
      <c r="D1606">
        <f t="shared" si="90"/>
        <v>388</v>
      </c>
      <c r="E1606" t="str">
        <f>SUBSTITUTE(IF(LEFT(A1606,3)="Câu",MID(A1606,FIND(".",A1606,1)+2,LEN(A1606)),""),CHAR(34),CHAR(92)&amp;CHAR(34))</f>
        <v>Biển nào báo hiệu \"Giao nhau với đường không ưu tiên\"?</v>
      </c>
      <c r="F1606" t="str">
        <f t="shared" si="89"/>
        <v>q388.jpg</v>
      </c>
      <c r="G1606" t="str">
        <f>SUBSTITUTE(B1607,CHAR(34),CHAR(92)&amp;CHAR(34))</f>
        <v>Biển 1.</v>
      </c>
      <c r="H1606" t="str">
        <f>SUBSTITUTE(B1608,CHAR(34),CHAR(92)&amp;CHAR(34))</f>
        <v xml:space="preserve"> Biển 2.</v>
      </c>
      <c r="I1606" t="str">
        <f>SUBSTITUTE(IF(LEFT(A1609,3)="Câu","",B1609),CHAR(34),CHAR(92)&amp;CHAR(34))</f>
        <v>Biển 3.</v>
      </c>
      <c r="J1606" t="str">
        <f>SUBSTITUTE(IF(OR(LEFT(A1610,3)="Câu",I1606=""),"",IF(B1610=0,"",B1610)),CHAR(34),CHAR(92)&amp;CHAR(34))</f>
        <v/>
      </c>
      <c r="K1606" t="str">
        <f ca="1">SUBSTITUTE(SUBSTITUTE(SUBSTITUTE(SUBSTITUTE(IFERROR(VLOOKUP("Câu "&amp;D1606&amp;".",dapan!$E:$J,6,0),""),"1","A"),"2","B"),"3","C"),"4","D")</f>
        <v>B</v>
      </c>
      <c r="P1606">
        <f t="shared" si="91"/>
        <v>388</v>
      </c>
      <c r="Q1606" t="str">
        <f t="shared" ca="1" si="92"/>
        <v>{"num":388,"id":388,"q":"Biển nào báo hiệu \"Giao nhau với đường không ưu tiên\"?","img":"q388.jpg","opts":{"A":"Biển 1.","B":" Biển 2.","C":"Biển 3."},"answer":"B"},</v>
      </c>
    </row>
    <row r="1607" spans="1:17" hidden="1" x14ac:dyDescent="0.25">
      <c r="A1607">
        <v>1</v>
      </c>
      <c r="B1607" t="s">
        <v>1075</v>
      </c>
      <c r="C1607">
        <f>IFERROR(COUNTIFS($A$1:A1607,"Câu "&amp;"*")-MID(A1607,5,FIND(".",A1607,1)-5),0)</f>
        <v>0</v>
      </c>
      <c r="D1607" t="str">
        <f t="shared" si="90"/>
        <v/>
      </c>
      <c r="E1607" t="str">
        <f>SUBSTITUTE(IF(LEFT(A1607,3)="Câu",MID(A1607,FIND(".",A1607,1)+2,LEN(A1607)),""),CHAR(34),CHAR(92)&amp;CHAR(34))</f>
        <v/>
      </c>
      <c r="F1607" t="str">
        <f t="shared" si="89"/>
        <v/>
      </c>
      <c r="G1607" t="str">
        <f>SUBSTITUTE(B1608,CHAR(34),CHAR(92)&amp;CHAR(34))</f>
        <v xml:space="preserve"> Biển 2.</v>
      </c>
      <c r="H1607" t="str">
        <f>SUBSTITUTE(B1609,CHAR(34),CHAR(92)&amp;CHAR(34))</f>
        <v>Biển 3.</v>
      </c>
      <c r="I1607" t="str">
        <f>SUBSTITUTE(IF(LEFT(A1610,3)="Câu","",B1610),CHAR(34),CHAR(92)&amp;CHAR(34))</f>
        <v/>
      </c>
      <c r="J1607" t="str">
        <f>SUBSTITUTE(IF(OR(LEFT(A1611,3)="Câu",I1607=""),"",IF(B1611=0,"",B1611)),CHAR(34),CHAR(92)&amp;CHAR(34))</f>
        <v/>
      </c>
      <c r="K1607" t="str">
        <f>SUBSTITUTE(SUBSTITUTE(SUBSTITUTE(SUBSTITUTE(IFERROR(VLOOKUP("Câu "&amp;D1607&amp;".",dapan!$E:$J,6,0),""),"1","A"),"2","B"),"3","C"),"4","D")</f>
        <v/>
      </c>
      <c r="P1607" t="str">
        <f t="shared" si="91"/>
        <v/>
      </c>
      <c r="Q1607" t="str">
        <f t="shared" si="92"/>
        <v/>
      </c>
    </row>
    <row r="1608" spans="1:17" hidden="1" x14ac:dyDescent="0.25">
      <c r="A1608">
        <v>2</v>
      </c>
      <c r="B1608" t="s">
        <v>1090</v>
      </c>
      <c r="C1608">
        <f>IFERROR(COUNTIFS($A$1:A1608,"Câu "&amp;"*")-MID(A1608,5,FIND(".",A1608,1)-5),0)</f>
        <v>0</v>
      </c>
      <c r="D1608" t="str">
        <f t="shared" si="90"/>
        <v/>
      </c>
      <c r="E1608" t="str">
        <f>SUBSTITUTE(IF(LEFT(A1608,3)="Câu",MID(A1608,FIND(".",A1608,1)+2,LEN(A1608)),""),CHAR(34),CHAR(92)&amp;CHAR(34))</f>
        <v/>
      </c>
      <c r="F1608" t="str">
        <f t="shared" si="89"/>
        <v/>
      </c>
      <c r="G1608" t="str">
        <f>SUBSTITUTE(B1609,CHAR(34),CHAR(92)&amp;CHAR(34))</f>
        <v>Biển 3.</v>
      </c>
      <c r="H1608" t="str">
        <f>SUBSTITUTE(B1610,CHAR(34),CHAR(92)&amp;CHAR(34))</f>
        <v/>
      </c>
      <c r="I1608" t="str">
        <f>SUBSTITUTE(IF(LEFT(A1611,3)="Câu","",B1611),CHAR(34),CHAR(92)&amp;CHAR(34))</f>
        <v xml:space="preserve"> Biển 1.</v>
      </c>
      <c r="J1608" t="str">
        <f>SUBSTITUTE(IF(OR(LEFT(A1612,3)="Câu",I1608=""),"",IF(B1612=0,"",B1612)),CHAR(34),CHAR(92)&amp;CHAR(34))</f>
        <v>Biển 2.</v>
      </c>
      <c r="K1608" t="str">
        <f>SUBSTITUTE(SUBSTITUTE(SUBSTITUTE(SUBSTITUTE(IFERROR(VLOOKUP("Câu "&amp;D1608&amp;".",dapan!$E:$J,6,0),""),"1","A"),"2","B"),"3","C"),"4","D")</f>
        <v/>
      </c>
      <c r="P1608" t="str">
        <f t="shared" si="91"/>
        <v/>
      </c>
      <c r="Q1608" t="str">
        <f t="shared" si="92"/>
        <v/>
      </c>
    </row>
    <row r="1609" spans="1:17" hidden="1" x14ac:dyDescent="0.25">
      <c r="A1609">
        <v>3</v>
      </c>
      <c r="B1609" t="s">
        <v>1083</v>
      </c>
      <c r="C1609">
        <f>IFERROR(COUNTIFS($A$1:A1609,"Câu "&amp;"*")-MID(A1609,5,FIND(".",A1609,1)-5),0)</f>
        <v>0</v>
      </c>
      <c r="D1609" t="str">
        <f t="shared" si="90"/>
        <v/>
      </c>
      <c r="E1609" t="str">
        <f>SUBSTITUTE(IF(LEFT(A1609,3)="Câu",MID(A1609,FIND(".",A1609,1)+2,LEN(A1609)),""),CHAR(34),CHAR(92)&amp;CHAR(34))</f>
        <v/>
      </c>
      <c r="F1609" t="str">
        <f t="shared" si="89"/>
        <v/>
      </c>
      <c r="G1609" t="str">
        <f>SUBSTITUTE(B1610,CHAR(34),CHAR(92)&amp;CHAR(34))</f>
        <v/>
      </c>
      <c r="H1609" t="str">
        <f>SUBSTITUTE(B1611,CHAR(34),CHAR(92)&amp;CHAR(34))</f>
        <v xml:space="preserve"> Biển 1.</v>
      </c>
      <c r="I1609" t="str">
        <f>SUBSTITUTE(IF(LEFT(A1612,3)="Câu","",B1612),CHAR(34),CHAR(92)&amp;CHAR(34))</f>
        <v>Biển 2.</v>
      </c>
      <c r="J1609" t="str">
        <f>SUBSTITUTE(IF(OR(LEFT(A1613,3)="Câu",I1609=""),"",IF(B1613=0,"",B1613)),CHAR(34),CHAR(92)&amp;CHAR(34))</f>
        <v>Biển 3.</v>
      </c>
      <c r="K1609" t="str">
        <f>SUBSTITUTE(SUBSTITUTE(SUBSTITUTE(SUBSTITUTE(IFERROR(VLOOKUP("Câu "&amp;D1609&amp;".",dapan!$E:$J,6,0),""),"1","A"),"2","B"),"3","C"),"4","D")</f>
        <v/>
      </c>
      <c r="P1609" t="str">
        <f t="shared" si="91"/>
        <v/>
      </c>
      <c r="Q1609" t="str">
        <f t="shared" si="92"/>
        <v/>
      </c>
    </row>
    <row r="1610" spans="1:17" x14ac:dyDescent="0.25">
      <c r="A1610" t="s">
        <v>1215</v>
      </c>
      <c r="C1610">
        <f>IFERROR(COUNTIFS($A$1:A1610,"Câu "&amp;"*")-MID(A1610,5,FIND(".",A1610,1)-5),0)</f>
        <v>0</v>
      </c>
      <c r="D1610">
        <f t="shared" si="90"/>
        <v>389</v>
      </c>
      <c r="E1610" t="str">
        <f>SUBSTITUTE(IF(LEFT(A1610,3)="Câu",MID(A1610,FIND(".",A1610,1)+2,LEN(A1610)),""),CHAR(34),CHAR(92)&amp;CHAR(34))</f>
        <v>Biển nào báo hiệu \"Đường hai chiều\"?</v>
      </c>
      <c r="F1610" t="str">
        <f t="shared" si="89"/>
        <v>q389.jpg</v>
      </c>
      <c r="G1610" t="str">
        <f>SUBSTITUTE(B1611,CHAR(34),CHAR(92)&amp;CHAR(34))</f>
        <v xml:space="preserve"> Biển 1.</v>
      </c>
      <c r="H1610" t="str">
        <f>SUBSTITUTE(B1612,CHAR(34),CHAR(92)&amp;CHAR(34))</f>
        <v>Biển 2.</v>
      </c>
      <c r="I1610" t="str">
        <f>SUBSTITUTE(IF(LEFT(A1613,3)="Câu","",B1613),CHAR(34),CHAR(92)&amp;CHAR(34))</f>
        <v>Biển 3.</v>
      </c>
      <c r="J1610" t="str">
        <f>SUBSTITUTE(IF(OR(LEFT(A1614,3)="Câu",I1610=""),"",IF(B1614=0,"",B1614)),CHAR(34),CHAR(92)&amp;CHAR(34))</f>
        <v/>
      </c>
      <c r="K1610" t="str">
        <f ca="1">SUBSTITUTE(SUBSTITUTE(SUBSTITUTE(SUBSTITUTE(IFERROR(VLOOKUP("Câu "&amp;D1610&amp;".",dapan!$E:$J,6,0),""),"1","A"),"2","B"),"3","C"),"4","D")</f>
        <v>A</v>
      </c>
      <c r="P1610">
        <f t="shared" si="91"/>
        <v>389</v>
      </c>
      <c r="Q1610" t="str">
        <f t="shared" ca="1" si="92"/>
        <v>{"num":389,"id":389,"q":"Biển nào báo hiệu \"Đường hai chiều\"?","img":"q389.jpg","opts":{"A":" Biển 1.","B":"Biển 2.","C":"Biển 3."},"answer":"A"},</v>
      </c>
    </row>
    <row r="1611" spans="1:17" hidden="1" x14ac:dyDescent="0.25">
      <c r="A1611">
        <v>1</v>
      </c>
      <c r="B1611" t="s">
        <v>1066</v>
      </c>
      <c r="C1611">
        <f>IFERROR(COUNTIFS($A$1:A1611,"Câu "&amp;"*")-MID(A1611,5,FIND(".",A1611,1)-5),0)</f>
        <v>0</v>
      </c>
      <c r="D1611" t="str">
        <f t="shared" si="90"/>
        <v/>
      </c>
      <c r="E1611" t="str">
        <f>SUBSTITUTE(IF(LEFT(A1611,3)="Câu",MID(A1611,FIND(".",A1611,1)+2,LEN(A1611)),""),CHAR(34),CHAR(92)&amp;CHAR(34))</f>
        <v/>
      </c>
      <c r="F1611" t="str">
        <f t="shared" si="89"/>
        <v/>
      </c>
      <c r="G1611" t="str">
        <f>SUBSTITUTE(B1612,CHAR(34),CHAR(92)&amp;CHAR(34))</f>
        <v>Biển 2.</v>
      </c>
      <c r="H1611" t="str">
        <f>SUBSTITUTE(B1613,CHAR(34),CHAR(92)&amp;CHAR(34))</f>
        <v>Biển 3.</v>
      </c>
      <c r="I1611" t="str">
        <f>SUBSTITUTE(IF(LEFT(A1614,3)="Câu","",B1614),CHAR(34),CHAR(92)&amp;CHAR(34))</f>
        <v/>
      </c>
      <c r="J1611" t="str">
        <f>SUBSTITUTE(IF(OR(LEFT(A1615,3)="Câu",I1611=""),"",IF(B1615=0,"",B1615)),CHAR(34),CHAR(92)&amp;CHAR(34))</f>
        <v/>
      </c>
      <c r="K1611" t="str">
        <f>SUBSTITUTE(SUBSTITUTE(SUBSTITUTE(SUBSTITUTE(IFERROR(VLOOKUP("Câu "&amp;D1611&amp;".",dapan!$E:$J,6,0),""),"1","A"),"2","B"),"3","C"),"4","D")</f>
        <v/>
      </c>
      <c r="P1611" t="str">
        <f t="shared" si="91"/>
        <v/>
      </c>
      <c r="Q1611" t="str">
        <f t="shared" si="92"/>
        <v/>
      </c>
    </row>
    <row r="1612" spans="1:17" hidden="1" x14ac:dyDescent="0.25">
      <c r="A1612">
        <v>2</v>
      </c>
      <c r="B1612" t="s">
        <v>1068</v>
      </c>
      <c r="C1612">
        <f>IFERROR(COUNTIFS($A$1:A1612,"Câu "&amp;"*")-MID(A1612,5,FIND(".",A1612,1)-5),0)</f>
        <v>0</v>
      </c>
      <c r="D1612" t="str">
        <f t="shared" si="90"/>
        <v/>
      </c>
      <c r="E1612" t="str">
        <f>SUBSTITUTE(IF(LEFT(A1612,3)="Câu",MID(A1612,FIND(".",A1612,1)+2,LEN(A1612)),""),CHAR(34),CHAR(92)&amp;CHAR(34))</f>
        <v/>
      </c>
      <c r="F1612" t="str">
        <f t="shared" si="89"/>
        <v/>
      </c>
      <c r="G1612" t="str">
        <f>SUBSTITUTE(B1613,CHAR(34),CHAR(92)&amp;CHAR(34))</f>
        <v>Biển 3.</v>
      </c>
      <c r="H1612" t="str">
        <f>SUBSTITUTE(B1614,CHAR(34),CHAR(92)&amp;CHAR(34))</f>
        <v/>
      </c>
      <c r="I1612" t="str">
        <f>SUBSTITUTE(IF(LEFT(A1615,3)="Câu","",B1615),CHAR(34),CHAR(92)&amp;CHAR(34))</f>
        <v>Biển 1.</v>
      </c>
      <c r="J1612" t="str">
        <f>SUBSTITUTE(IF(OR(LEFT(A1616,3)="Câu",I1612=""),"",IF(B1616=0,"",B1616)),CHAR(34),CHAR(92)&amp;CHAR(34))</f>
        <v xml:space="preserve"> Biển 2.</v>
      </c>
      <c r="K1612" t="str">
        <f>SUBSTITUTE(SUBSTITUTE(SUBSTITUTE(SUBSTITUTE(IFERROR(VLOOKUP("Câu "&amp;D1612&amp;".",dapan!$E:$J,6,0),""),"1","A"),"2","B"),"3","C"),"4","D")</f>
        <v/>
      </c>
      <c r="P1612" t="str">
        <f t="shared" si="91"/>
        <v/>
      </c>
      <c r="Q1612" t="str">
        <f t="shared" si="92"/>
        <v/>
      </c>
    </row>
    <row r="1613" spans="1:17" hidden="1" x14ac:dyDescent="0.25">
      <c r="A1613">
        <v>3</v>
      </c>
      <c r="B1613" t="s">
        <v>1083</v>
      </c>
      <c r="C1613">
        <f>IFERROR(COUNTIFS($A$1:A1613,"Câu "&amp;"*")-MID(A1613,5,FIND(".",A1613,1)-5),0)</f>
        <v>0</v>
      </c>
      <c r="D1613" t="str">
        <f t="shared" si="90"/>
        <v/>
      </c>
      <c r="E1613" t="str">
        <f>SUBSTITUTE(IF(LEFT(A1613,3)="Câu",MID(A1613,FIND(".",A1613,1)+2,LEN(A1613)),""),CHAR(34),CHAR(92)&amp;CHAR(34))</f>
        <v/>
      </c>
      <c r="F1613" t="str">
        <f t="shared" si="89"/>
        <v/>
      </c>
      <c r="G1613" t="str">
        <f>SUBSTITUTE(B1614,CHAR(34),CHAR(92)&amp;CHAR(34))</f>
        <v/>
      </c>
      <c r="H1613" t="str">
        <f>SUBSTITUTE(B1615,CHAR(34),CHAR(92)&amp;CHAR(34))</f>
        <v>Biển 1.</v>
      </c>
      <c r="I1613" t="str">
        <f>SUBSTITUTE(IF(LEFT(A1616,3)="Câu","",B1616),CHAR(34),CHAR(92)&amp;CHAR(34))</f>
        <v xml:space="preserve"> Biển 2.</v>
      </c>
      <c r="J1613" t="str">
        <f>SUBSTITUTE(IF(OR(LEFT(A1617,3)="Câu",I1613=""),"",IF(B1617=0,"",B1617)),CHAR(34),CHAR(92)&amp;CHAR(34))</f>
        <v>Biển 3.</v>
      </c>
      <c r="K1613" t="str">
        <f>SUBSTITUTE(SUBSTITUTE(SUBSTITUTE(SUBSTITUTE(IFERROR(VLOOKUP("Câu "&amp;D1613&amp;".",dapan!$E:$J,6,0),""),"1","A"),"2","B"),"3","C"),"4","D")</f>
        <v/>
      </c>
      <c r="P1613" t="str">
        <f t="shared" si="91"/>
        <v/>
      </c>
      <c r="Q1613" t="str">
        <f t="shared" si="92"/>
        <v/>
      </c>
    </row>
    <row r="1614" spans="1:17" x14ac:dyDescent="0.25">
      <c r="A1614" t="s">
        <v>1216</v>
      </c>
      <c r="C1614">
        <f>IFERROR(COUNTIFS($A$1:A1614,"Câu "&amp;"*")-MID(A1614,5,FIND(".",A1614,1)-5),0)</f>
        <v>0</v>
      </c>
      <c r="D1614">
        <f t="shared" si="90"/>
        <v>390</v>
      </c>
      <c r="E1614" t="str">
        <f>SUBSTITUTE(IF(LEFT(A1614,3)="Câu",MID(A1614,FIND(".",A1614,1)+2,LEN(A1614)),""),CHAR(34),CHAR(92)&amp;CHAR(34))</f>
        <v>Biển nào báo hiệu phải giảm tốc độ, nhường đường cho xe cơ giới đi ngược chiều qua đường hẹp?</v>
      </c>
      <c r="F1614" t="str">
        <f t="shared" si="89"/>
        <v>q390.jpg</v>
      </c>
      <c r="G1614" t="str">
        <f>SUBSTITUTE(B1615,CHAR(34),CHAR(92)&amp;CHAR(34))</f>
        <v>Biển 1.</v>
      </c>
      <c r="H1614" t="str">
        <f>SUBSTITUTE(B1616,CHAR(34),CHAR(92)&amp;CHAR(34))</f>
        <v xml:space="preserve"> Biển 2.</v>
      </c>
      <c r="I1614" t="str">
        <f>SUBSTITUTE(IF(LEFT(A1617,3)="Câu","",B1617),CHAR(34),CHAR(92)&amp;CHAR(34))</f>
        <v>Biển 3.</v>
      </c>
      <c r="J1614" t="str">
        <f>SUBSTITUTE(IF(OR(LEFT(A1618,3)="Câu",I1614=""),"",IF(B1618=0,"",B1618)),CHAR(34),CHAR(92)&amp;CHAR(34))</f>
        <v/>
      </c>
      <c r="K1614" t="str">
        <f ca="1">SUBSTITUTE(SUBSTITUTE(SUBSTITUTE(SUBSTITUTE(IFERROR(VLOOKUP("Câu "&amp;D1614&amp;".",dapan!$E:$J,6,0),""),"1","A"),"2","B"),"3","C"),"4","D")</f>
        <v>B</v>
      </c>
      <c r="P1614">
        <f t="shared" si="91"/>
        <v>390</v>
      </c>
      <c r="Q1614" t="str">
        <f t="shared" ca="1" si="92"/>
        <v>{"num":390,"id":390,"q":"Biển nào báo hiệu phải giảm tốc độ, nhường đường cho xe cơ giới đi ngược chiều qua đường hẹp?","img":"q390.jpg","opts":{"A":"Biển 1.","B":" Biển 2.","C":"Biển 3."},"answer":"B"},</v>
      </c>
    </row>
    <row r="1615" spans="1:17" hidden="1" x14ac:dyDescent="0.25">
      <c r="A1615">
        <v>1</v>
      </c>
      <c r="B1615" t="s">
        <v>1075</v>
      </c>
      <c r="C1615">
        <f>IFERROR(COUNTIFS($A$1:A1615,"Câu "&amp;"*")-MID(A1615,5,FIND(".",A1615,1)-5),0)</f>
        <v>0</v>
      </c>
      <c r="D1615" t="str">
        <f t="shared" si="90"/>
        <v/>
      </c>
      <c r="E1615" t="str">
        <f>SUBSTITUTE(IF(LEFT(A1615,3)="Câu",MID(A1615,FIND(".",A1615,1)+2,LEN(A1615)),""),CHAR(34),CHAR(92)&amp;CHAR(34))</f>
        <v/>
      </c>
      <c r="F1615" t="str">
        <f t="shared" si="89"/>
        <v/>
      </c>
      <c r="G1615" t="str">
        <f>SUBSTITUTE(B1616,CHAR(34),CHAR(92)&amp;CHAR(34))</f>
        <v xml:space="preserve"> Biển 2.</v>
      </c>
      <c r="H1615" t="str">
        <f>SUBSTITUTE(B1617,CHAR(34),CHAR(92)&amp;CHAR(34))</f>
        <v>Biển 3.</v>
      </c>
      <c r="I1615" t="str">
        <f>SUBSTITUTE(IF(LEFT(A1618,3)="Câu","",B1618),CHAR(34),CHAR(92)&amp;CHAR(34))</f>
        <v/>
      </c>
      <c r="J1615" t="str">
        <f>SUBSTITUTE(IF(OR(LEFT(A1619,3)="Câu",I1615=""),"",IF(B1619=0,"",B1619)),CHAR(34),CHAR(92)&amp;CHAR(34))</f>
        <v/>
      </c>
      <c r="K1615" t="str">
        <f>SUBSTITUTE(SUBSTITUTE(SUBSTITUTE(SUBSTITUTE(IFERROR(VLOOKUP("Câu "&amp;D1615&amp;".",dapan!$E:$J,6,0),""),"1","A"),"2","B"),"3","C"),"4","D")</f>
        <v/>
      </c>
      <c r="P1615" t="str">
        <f t="shared" si="91"/>
        <v/>
      </c>
      <c r="Q1615" t="str">
        <f t="shared" si="92"/>
        <v/>
      </c>
    </row>
    <row r="1616" spans="1:17" hidden="1" x14ac:dyDescent="0.25">
      <c r="A1616">
        <v>2</v>
      </c>
      <c r="B1616" t="s">
        <v>1090</v>
      </c>
      <c r="C1616">
        <f>IFERROR(COUNTIFS($A$1:A1616,"Câu "&amp;"*")-MID(A1616,5,FIND(".",A1616,1)-5),0)</f>
        <v>0</v>
      </c>
      <c r="D1616" t="str">
        <f t="shared" si="90"/>
        <v/>
      </c>
      <c r="E1616" t="str">
        <f>SUBSTITUTE(IF(LEFT(A1616,3)="Câu",MID(A1616,FIND(".",A1616,1)+2,LEN(A1616)),""),CHAR(34),CHAR(92)&amp;CHAR(34))</f>
        <v/>
      </c>
      <c r="F1616" t="str">
        <f t="shared" si="89"/>
        <v/>
      </c>
      <c r="G1616" t="str">
        <f>SUBSTITUTE(B1617,CHAR(34),CHAR(92)&amp;CHAR(34))</f>
        <v>Biển 3.</v>
      </c>
      <c r="H1616" t="str">
        <f>SUBSTITUTE(B1618,CHAR(34),CHAR(92)&amp;CHAR(34))</f>
        <v/>
      </c>
      <c r="I1616" t="str">
        <f>SUBSTITUTE(IF(LEFT(A1619,3)="Câu","",B1619),CHAR(34),CHAR(92)&amp;CHAR(34))</f>
        <v>Biển 1.</v>
      </c>
      <c r="J1616" t="str">
        <f>SUBSTITUTE(IF(OR(LEFT(A1620,3)="Câu",I1616=""),"",IF(B1620=0,"",B1620)),CHAR(34),CHAR(92)&amp;CHAR(34))</f>
        <v>Biển 2.</v>
      </c>
      <c r="K1616" t="str">
        <f>SUBSTITUTE(SUBSTITUTE(SUBSTITUTE(SUBSTITUTE(IFERROR(VLOOKUP("Câu "&amp;D1616&amp;".",dapan!$E:$J,6,0),""),"1","A"),"2","B"),"3","C"),"4","D")</f>
        <v/>
      </c>
      <c r="P1616" t="str">
        <f t="shared" si="91"/>
        <v/>
      </c>
      <c r="Q1616" t="str">
        <f t="shared" si="92"/>
        <v/>
      </c>
    </row>
    <row r="1617" spans="1:17" hidden="1" x14ac:dyDescent="0.25">
      <c r="A1617">
        <v>3</v>
      </c>
      <c r="B1617" t="s">
        <v>1083</v>
      </c>
      <c r="C1617">
        <f>IFERROR(COUNTIFS($A$1:A1617,"Câu "&amp;"*")-MID(A1617,5,FIND(".",A1617,1)-5),0)</f>
        <v>0</v>
      </c>
      <c r="D1617" t="str">
        <f t="shared" si="90"/>
        <v/>
      </c>
      <c r="E1617" t="str">
        <f>SUBSTITUTE(IF(LEFT(A1617,3)="Câu",MID(A1617,FIND(".",A1617,1)+2,LEN(A1617)),""),CHAR(34),CHAR(92)&amp;CHAR(34))</f>
        <v/>
      </c>
      <c r="F1617" t="str">
        <f t="shared" si="89"/>
        <v/>
      </c>
      <c r="G1617" t="str">
        <f>SUBSTITUTE(B1618,CHAR(34),CHAR(92)&amp;CHAR(34))</f>
        <v/>
      </c>
      <c r="H1617" t="str">
        <f>SUBSTITUTE(B1619,CHAR(34),CHAR(92)&amp;CHAR(34))</f>
        <v>Biển 1.</v>
      </c>
      <c r="I1617" t="str">
        <f>SUBSTITUTE(IF(LEFT(A1620,3)="Câu","",B1620),CHAR(34),CHAR(92)&amp;CHAR(34))</f>
        <v>Biển 2.</v>
      </c>
      <c r="J1617" t="str">
        <f>SUBSTITUTE(IF(OR(LEFT(A1621,3)="Câu",I1617=""),"",IF(B1621=0,"",B1621)),CHAR(34),CHAR(92)&amp;CHAR(34))</f>
        <v xml:space="preserve"> Biển 3.</v>
      </c>
      <c r="K1617" t="str">
        <f>SUBSTITUTE(SUBSTITUTE(SUBSTITUTE(SUBSTITUTE(IFERROR(VLOOKUP("Câu "&amp;D1617&amp;".",dapan!$E:$J,6,0),""),"1","A"),"2","B"),"3","C"),"4","D")</f>
        <v/>
      </c>
      <c r="P1617" t="str">
        <f t="shared" si="91"/>
        <v/>
      </c>
      <c r="Q1617" t="str">
        <f t="shared" si="92"/>
        <v/>
      </c>
    </row>
    <row r="1618" spans="1:17" x14ac:dyDescent="0.25">
      <c r="A1618" t="s">
        <v>1217</v>
      </c>
      <c r="C1618">
        <f>IFERROR(COUNTIFS($A$1:A1618,"Câu "&amp;"*")-MID(A1618,5,FIND(".",A1618,1)-5),0)</f>
        <v>0</v>
      </c>
      <c r="D1618">
        <f t="shared" si="90"/>
        <v>391</v>
      </c>
      <c r="E1618" t="str">
        <f>SUBSTITUTE(IF(LEFT(A1618,3)="Câu",MID(A1618,FIND(".",A1618,1)+2,LEN(A1618)),""),CHAR(34),CHAR(92)&amp;CHAR(34))</f>
        <v>Biển nào chỉ dẫn \"Được ưu tiên qua đường hẹp\"?</v>
      </c>
      <c r="F1618" t="str">
        <f t="shared" si="89"/>
        <v>q391.jpg</v>
      </c>
      <c r="G1618" t="str">
        <f>SUBSTITUTE(B1619,CHAR(34),CHAR(92)&amp;CHAR(34))</f>
        <v>Biển 1.</v>
      </c>
      <c r="H1618" t="str">
        <f>SUBSTITUTE(B1620,CHAR(34),CHAR(92)&amp;CHAR(34))</f>
        <v>Biển 2.</v>
      </c>
      <c r="I1618" t="str">
        <f>SUBSTITUTE(IF(LEFT(A1621,3)="Câu","",B1621),CHAR(34),CHAR(92)&amp;CHAR(34))</f>
        <v xml:space="preserve"> Biển 3.</v>
      </c>
      <c r="J1618" t="str">
        <f>SUBSTITUTE(IF(OR(LEFT(A1622,3)="Câu",I1618=""),"",IF(B1622=0,"",B1622)),CHAR(34),CHAR(92)&amp;CHAR(34))</f>
        <v>Biển 2 và biển 3.</v>
      </c>
      <c r="K1618" t="str">
        <f ca="1">SUBSTITUTE(SUBSTITUTE(SUBSTITUTE(SUBSTITUTE(IFERROR(VLOOKUP("Câu "&amp;D1618&amp;".",dapan!$E:$J,6,0),""),"1","A"),"2","B"),"3","C"),"4","D")</f>
        <v>C</v>
      </c>
      <c r="P1618">
        <f t="shared" si="91"/>
        <v>391</v>
      </c>
      <c r="Q1618" t="str">
        <f t="shared" ca="1" si="92"/>
        <v>{"num":391,"id":391,"q":"Biển nào chỉ dẫn \"Được ưu tiên qua đường hẹp\"?","img":"q391.jpg","opts":{"A":"Biển 1.","B":"Biển 2.","C":" Biển 3.","D":"Biển 2 và biển 3."},"answer":"C"},</v>
      </c>
    </row>
    <row r="1619" spans="1:17" hidden="1" x14ac:dyDescent="0.25">
      <c r="A1619">
        <v>1</v>
      </c>
      <c r="B1619" t="s">
        <v>1075</v>
      </c>
      <c r="C1619">
        <f>IFERROR(COUNTIFS($A$1:A1619,"Câu "&amp;"*")-MID(A1619,5,FIND(".",A1619,1)-5),0)</f>
        <v>0</v>
      </c>
      <c r="D1619" t="str">
        <f t="shared" si="90"/>
        <v/>
      </c>
      <c r="E1619" t="str">
        <f>SUBSTITUTE(IF(LEFT(A1619,3)="Câu",MID(A1619,FIND(".",A1619,1)+2,LEN(A1619)),""),CHAR(34),CHAR(92)&amp;CHAR(34))</f>
        <v/>
      </c>
      <c r="F1619" t="str">
        <f t="shared" si="89"/>
        <v/>
      </c>
      <c r="G1619" t="str">
        <f>SUBSTITUTE(B1620,CHAR(34),CHAR(92)&amp;CHAR(34))</f>
        <v>Biển 2.</v>
      </c>
      <c r="H1619" t="str">
        <f>SUBSTITUTE(B1621,CHAR(34),CHAR(92)&amp;CHAR(34))</f>
        <v xml:space="preserve"> Biển 3.</v>
      </c>
      <c r="I1619" t="str">
        <f>SUBSTITUTE(IF(LEFT(A1622,3)="Câu","",B1622),CHAR(34),CHAR(92)&amp;CHAR(34))</f>
        <v>Biển 2 và biển 3.</v>
      </c>
      <c r="J1619" t="str">
        <f>SUBSTITUTE(IF(OR(LEFT(A1623,3)="Câu",I1619=""),"",IF(B1623=0,"",B1623)),CHAR(34),CHAR(92)&amp;CHAR(34))</f>
        <v/>
      </c>
      <c r="K1619" t="str">
        <f>SUBSTITUTE(SUBSTITUTE(SUBSTITUTE(SUBSTITUTE(IFERROR(VLOOKUP("Câu "&amp;D1619&amp;".",dapan!$E:$J,6,0),""),"1","A"),"2","B"),"3","C"),"4","D")</f>
        <v/>
      </c>
      <c r="P1619" t="str">
        <f t="shared" si="91"/>
        <v/>
      </c>
      <c r="Q1619" t="str">
        <f t="shared" si="92"/>
        <v/>
      </c>
    </row>
    <row r="1620" spans="1:17" hidden="1" x14ac:dyDescent="0.25">
      <c r="A1620">
        <v>2</v>
      </c>
      <c r="B1620" t="s">
        <v>1068</v>
      </c>
      <c r="C1620">
        <f>IFERROR(COUNTIFS($A$1:A1620,"Câu "&amp;"*")-MID(A1620,5,FIND(".",A1620,1)-5),0)</f>
        <v>0</v>
      </c>
      <c r="D1620" t="str">
        <f t="shared" si="90"/>
        <v/>
      </c>
      <c r="E1620" t="str">
        <f>SUBSTITUTE(IF(LEFT(A1620,3)="Câu",MID(A1620,FIND(".",A1620,1)+2,LEN(A1620)),""),CHAR(34),CHAR(92)&amp;CHAR(34))</f>
        <v/>
      </c>
      <c r="F1620" t="str">
        <f t="shared" si="89"/>
        <v/>
      </c>
      <c r="G1620" t="str">
        <f>SUBSTITUTE(B1621,CHAR(34),CHAR(92)&amp;CHAR(34))</f>
        <v xml:space="preserve"> Biển 3.</v>
      </c>
      <c r="H1620" t="str">
        <f>SUBSTITUTE(B1622,CHAR(34),CHAR(92)&amp;CHAR(34))</f>
        <v>Biển 2 và biển 3.</v>
      </c>
      <c r="I1620" t="str">
        <f>SUBSTITUTE(IF(LEFT(A1623,3)="Câu","",B1623),CHAR(34),CHAR(92)&amp;CHAR(34))</f>
        <v/>
      </c>
      <c r="J1620" t="str">
        <f>SUBSTITUTE(IF(OR(LEFT(A1624,3)="Câu",I1620=""),"",IF(B1624=0,"",B1624)),CHAR(34),CHAR(92)&amp;CHAR(34))</f>
        <v/>
      </c>
      <c r="K1620" t="str">
        <f>SUBSTITUTE(SUBSTITUTE(SUBSTITUTE(SUBSTITUTE(IFERROR(VLOOKUP("Câu "&amp;D1620&amp;".",dapan!$E:$J,6,0),""),"1","A"),"2","B"),"3","C"),"4","D")</f>
        <v/>
      </c>
      <c r="P1620" t="str">
        <f t="shared" si="91"/>
        <v/>
      </c>
      <c r="Q1620" t="str">
        <f t="shared" si="92"/>
        <v/>
      </c>
    </row>
    <row r="1621" spans="1:17" hidden="1" x14ac:dyDescent="0.25">
      <c r="A1621">
        <v>3</v>
      </c>
      <c r="B1621" t="s">
        <v>1114</v>
      </c>
      <c r="C1621">
        <f>IFERROR(COUNTIFS($A$1:A1621,"Câu "&amp;"*")-MID(A1621,5,FIND(".",A1621,1)-5),0)</f>
        <v>0</v>
      </c>
      <c r="D1621" t="str">
        <f t="shared" si="90"/>
        <v/>
      </c>
      <c r="E1621" t="str">
        <f>SUBSTITUTE(IF(LEFT(A1621,3)="Câu",MID(A1621,FIND(".",A1621,1)+2,LEN(A1621)),""),CHAR(34),CHAR(92)&amp;CHAR(34))</f>
        <v/>
      </c>
      <c r="F1621" t="str">
        <f t="shared" si="89"/>
        <v/>
      </c>
      <c r="G1621" t="str">
        <f>SUBSTITUTE(B1622,CHAR(34),CHAR(92)&amp;CHAR(34))</f>
        <v>Biển 2 và biển 3.</v>
      </c>
      <c r="H1621" t="str">
        <f>SUBSTITUTE(B1623,CHAR(34),CHAR(92)&amp;CHAR(34))</f>
        <v/>
      </c>
      <c r="I1621" t="str">
        <f>SUBSTITUTE(IF(LEFT(A1624,3)="Câu","",B1624),CHAR(34),CHAR(92)&amp;CHAR(34))</f>
        <v>Biển 1.</v>
      </c>
      <c r="J1621" t="str">
        <f>SUBSTITUTE(IF(OR(LEFT(A1625,3)="Câu",I1621=""),"",IF(B1625=0,"",B1625)),CHAR(34),CHAR(92)&amp;CHAR(34))</f>
        <v xml:space="preserve"> Biển 2.</v>
      </c>
      <c r="K1621" t="str">
        <f>SUBSTITUTE(SUBSTITUTE(SUBSTITUTE(SUBSTITUTE(IFERROR(VLOOKUP("Câu "&amp;D1621&amp;".",dapan!$E:$J,6,0),""),"1","A"),"2","B"),"3","C"),"4","D")</f>
        <v/>
      </c>
      <c r="P1621" t="str">
        <f t="shared" si="91"/>
        <v/>
      </c>
      <c r="Q1621" t="str">
        <f t="shared" si="92"/>
        <v/>
      </c>
    </row>
    <row r="1622" spans="1:17" hidden="1" x14ac:dyDescent="0.25">
      <c r="A1622">
        <v>4</v>
      </c>
      <c r="B1622" t="s">
        <v>1072</v>
      </c>
      <c r="C1622">
        <f>IFERROR(COUNTIFS($A$1:A1622,"Câu "&amp;"*")-MID(A1622,5,FIND(".",A1622,1)-5),0)</f>
        <v>0</v>
      </c>
      <c r="D1622" t="str">
        <f t="shared" si="90"/>
        <v/>
      </c>
      <c r="E1622" t="str">
        <f>SUBSTITUTE(IF(LEFT(A1622,3)="Câu",MID(A1622,FIND(".",A1622,1)+2,LEN(A1622)),""),CHAR(34),CHAR(92)&amp;CHAR(34))</f>
        <v/>
      </c>
      <c r="F1622" t="str">
        <f t="shared" si="89"/>
        <v/>
      </c>
      <c r="G1622" t="str">
        <f>SUBSTITUTE(B1623,CHAR(34),CHAR(92)&amp;CHAR(34))</f>
        <v/>
      </c>
      <c r="H1622" t="str">
        <f>SUBSTITUTE(B1624,CHAR(34),CHAR(92)&amp;CHAR(34))</f>
        <v>Biển 1.</v>
      </c>
      <c r="I1622" t="str">
        <f>SUBSTITUTE(IF(LEFT(A1625,3)="Câu","",B1625),CHAR(34),CHAR(92)&amp;CHAR(34))</f>
        <v xml:space="preserve"> Biển 2.</v>
      </c>
      <c r="J1622" t="str">
        <f>SUBSTITUTE(IF(OR(LEFT(A1626,3)="Câu",I1622=""),"",IF(B1626=0,"",B1626)),CHAR(34),CHAR(92)&amp;CHAR(34))</f>
        <v>Biển 3.</v>
      </c>
      <c r="K1622" t="str">
        <f>SUBSTITUTE(SUBSTITUTE(SUBSTITUTE(SUBSTITUTE(IFERROR(VLOOKUP("Câu "&amp;D1622&amp;".",dapan!$E:$J,6,0),""),"1","A"),"2","B"),"3","C"),"4","D")</f>
        <v/>
      </c>
      <c r="P1622" t="str">
        <f t="shared" si="91"/>
        <v/>
      </c>
      <c r="Q1622" t="str">
        <f t="shared" si="92"/>
        <v/>
      </c>
    </row>
    <row r="1623" spans="1:17" x14ac:dyDescent="0.25">
      <c r="A1623" t="s">
        <v>1218</v>
      </c>
      <c r="C1623">
        <f>IFERROR(COUNTIFS($A$1:A1623,"Câu "&amp;"*")-MID(A1623,5,FIND(".",A1623,1)-5),0)</f>
        <v>0</v>
      </c>
      <c r="D1623">
        <f t="shared" si="90"/>
        <v>392</v>
      </c>
      <c r="E1623" t="str">
        <f>SUBSTITUTE(IF(LEFT(A1623,3)="Câu",MID(A1623,FIND(".",A1623,1)+2,LEN(A1623)),""),CHAR(34),CHAR(92)&amp;CHAR(34))</f>
        <v>Biển nào báo hiệu \"Đường đôi\"?</v>
      </c>
      <c r="F1623" t="str">
        <f t="shared" ref="F1623:F1686" si="93">IF(D1623="","","q"&amp;TEXT(D1623,"000")&amp;".jpg")</f>
        <v>q392.jpg</v>
      </c>
      <c r="G1623" t="str">
        <f>SUBSTITUTE(B1624,CHAR(34),CHAR(92)&amp;CHAR(34))</f>
        <v>Biển 1.</v>
      </c>
      <c r="H1623" t="str">
        <f>SUBSTITUTE(B1625,CHAR(34),CHAR(92)&amp;CHAR(34))</f>
        <v xml:space="preserve"> Biển 2.</v>
      </c>
      <c r="I1623" t="str">
        <f>SUBSTITUTE(IF(LEFT(A1626,3)="Câu","",B1626),CHAR(34),CHAR(92)&amp;CHAR(34))</f>
        <v>Biển 3.</v>
      </c>
      <c r="J1623" t="str">
        <f>SUBSTITUTE(IF(OR(LEFT(A1627,3)="Câu",I1623=""),"",IF(B1627=0,"",B1627)),CHAR(34),CHAR(92)&amp;CHAR(34))</f>
        <v/>
      </c>
      <c r="K1623" t="str">
        <f ca="1">SUBSTITUTE(SUBSTITUTE(SUBSTITUTE(SUBSTITUTE(IFERROR(VLOOKUP("Câu "&amp;D1623&amp;".",dapan!$E:$J,6,0),""),"1","A"),"2","B"),"3","C"),"4","D")</f>
        <v>B</v>
      </c>
      <c r="P1623">
        <f t="shared" si="91"/>
        <v>392</v>
      </c>
      <c r="Q1623" t="str">
        <f t="shared" ca="1" si="92"/>
        <v>{"num":392,"id":392,"q":"Biển nào báo hiệu \"Đường đôi\"?","img":"q392.jpg","opts":{"A":"Biển 1.","B":" Biển 2.","C":"Biển 3."},"answer":"B"},</v>
      </c>
    </row>
    <row r="1624" spans="1:17" hidden="1" x14ac:dyDescent="0.25">
      <c r="A1624">
        <v>1</v>
      </c>
      <c r="B1624" t="s">
        <v>1075</v>
      </c>
      <c r="C1624">
        <f>IFERROR(COUNTIFS($A$1:A1624,"Câu "&amp;"*")-MID(A1624,5,FIND(".",A1624,1)-5),0)</f>
        <v>0</v>
      </c>
      <c r="D1624" t="str">
        <f t="shared" si="90"/>
        <v/>
      </c>
      <c r="E1624" t="str">
        <f>SUBSTITUTE(IF(LEFT(A1624,3)="Câu",MID(A1624,FIND(".",A1624,1)+2,LEN(A1624)),""),CHAR(34),CHAR(92)&amp;CHAR(34))</f>
        <v/>
      </c>
      <c r="F1624" t="str">
        <f t="shared" si="93"/>
        <v/>
      </c>
      <c r="G1624" t="str">
        <f>SUBSTITUTE(B1625,CHAR(34),CHAR(92)&amp;CHAR(34))</f>
        <v xml:space="preserve"> Biển 2.</v>
      </c>
      <c r="H1624" t="str">
        <f>SUBSTITUTE(B1626,CHAR(34),CHAR(92)&amp;CHAR(34))</f>
        <v>Biển 3.</v>
      </c>
      <c r="I1624" t="str">
        <f>SUBSTITUTE(IF(LEFT(A1627,3)="Câu","",B1627),CHAR(34),CHAR(92)&amp;CHAR(34))</f>
        <v/>
      </c>
      <c r="J1624" t="str">
        <f>SUBSTITUTE(IF(OR(LEFT(A1628,3)="Câu",I1624=""),"",IF(B1628=0,"",B1628)),CHAR(34),CHAR(92)&amp;CHAR(34))</f>
        <v/>
      </c>
      <c r="K1624" t="str">
        <f>SUBSTITUTE(SUBSTITUTE(SUBSTITUTE(SUBSTITUTE(IFERROR(VLOOKUP("Câu "&amp;D1624&amp;".",dapan!$E:$J,6,0),""),"1","A"),"2","B"),"3","C"),"4","D")</f>
        <v/>
      </c>
      <c r="P1624" t="str">
        <f t="shared" si="91"/>
        <v/>
      </c>
      <c r="Q1624" t="str">
        <f t="shared" si="92"/>
        <v/>
      </c>
    </row>
    <row r="1625" spans="1:17" hidden="1" x14ac:dyDescent="0.25">
      <c r="A1625">
        <v>2</v>
      </c>
      <c r="B1625" t="s">
        <v>1090</v>
      </c>
      <c r="C1625">
        <f>IFERROR(COUNTIFS($A$1:A1625,"Câu "&amp;"*")-MID(A1625,5,FIND(".",A1625,1)-5),0)</f>
        <v>0</v>
      </c>
      <c r="D1625" t="str">
        <f t="shared" ref="D1625:D1688" si="94">IF(LEFT(A1625,3)="Câu",VALUE(MID(A1625,5,FIND(".",A1625,1)-5)),"")</f>
        <v/>
      </c>
      <c r="E1625" t="str">
        <f>SUBSTITUTE(IF(LEFT(A1625,3)="Câu",MID(A1625,FIND(".",A1625,1)+2,LEN(A1625)),""),CHAR(34),CHAR(92)&amp;CHAR(34))</f>
        <v/>
      </c>
      <c r="F1625" t="str">
        <f t="shared" si="93"/>
        <v/>
      </c>
      <c r="G1625" t="str">
        <f>SUBSTITUTE(B1626,CHAR(34),CHAR(92)&amp;CHAR(34))</f>
        <v>Biển 3.</v>
      </c>
      <c r="H1625" t="str">
        <f>SUBSTITUTE(B1627,CHAR(34),CHAR(92)&amp;CHAR(34))</f>
        <v/>
      </c>
      <c r="I1625" t="str">
        <f>SUBSTITUTE(IF(LEFT(A1628,3)="Câu","",B1628),CHAR(34),CHAR(92)&amp;CHAR(34))</f>
        <v>Biển 1.</v>
      </c>
      <c r="J1625" t="str">
        <f>SUBSTITUTE(IF(OR(LEFT(A1629,3)="Câu",I1625=""),"",IF(B1629=0,"",B1629)),CHAR(34),CHAR(92)&amp;CHAR(34))</f>
        <v>Biển 2.</v>
      </c>
      <c r="K1625" t="str">
        <f>SUBSTITUTE(SUBSTITUTE(SUBSTITUTE(SUBSTITUTE(IFERROR(VLOOKUP("Câu "&amp;D1625&amp;".",dapan!$E:$J,6,0),""),"1","A"),"2","B"),"3","C"),"4","D")</f>
        <v/>
      </c>
      <c r="P1625" t="str">
        <f t="shared" si="91"/>
        <v/>
      </c>
      <c r="Q1625" t="str">
        <f t="shared" si="92"/>
        <v/>
      </c>
    </row>
    <row r="1626" spans="1:17" hidden="1" x14ac:dyDescent="0.25">
      <c r="A1626">
        <v>3</v>
      </c>
      <c r="B1626" t="s">
        <v>1083</v>
      </c>
      <c r="C1626">
        <f>IFERROR(COUNTIFS($A$1:A1626,"Câu "&amp;"*")-MID(A1626,5,FIND(".",A1626,1)-5),0)</f>
        <v>0</v>
      </c>
      <c r="D1626" t="str">
        <f t="shared" si="94"/>
        <v/>
      </c>
      <c r="E1626" t="str">
        <f>SUBSTITUTE(IF(LEFT(A1626,3)="Câu",MID(A1626,FIND(".",A1626,1)+2,LEN(A1626)),""),CHAR(34),CHAR(92)&amp;CHAR(34))</f>
        <v/>
      </c>
      <c r="F1626" t="str">
        <f t="shared" si="93"/>
        <v/>
      </c>
      <c r="G1626" t="str">
        <f>SUBSTITUTE(B1627,CHAR(34),CHAR(92)&amp;CHAR(34))</f>
        <v/>
      </c>
      <c r="H1626" t="str">
        <f>SUBSTITUTE(B1628,CHAR(34),CHAR(92)&amp;CHAR(34))</f>
        <v>Biển 1.</v>
      </c>
      <c r="I1626" t="str">
        <f>SUBSTITUTE(IF(LEFT(A1629,3)="Câu","",B1629),CHAR(34),CHAR(92)&amp;CHAR(34))</f>
        <v>Biển 2.</v>
      </c>
      <c r="J1626" t="str">
        <f>SUBSTITUTE(IF(OR(LEFT(A1630,3)="Câu",I1626=""),"",IF(B1630=0,"",B1630)),CHAR(34),CHAR(92)&amp;CHAR(34))</f>
        <v xml:space="preserve"> Biển 3.</v>
      </c>
      <c r="K1626" t="str">
        <f>SUBSTITUTE(SUBSTITUTE(SUBSTITUTE(SUBSTITUTE(IFERROR(VLOOKUP("Câu "&amp;D1626&amp;".",dapan!$E:$J,6,0),""),"1","A"),"2","B"),"3","C"),"4","D")</f>
        <v/>
      </c>
      <c r="P1626" t="str">
        <f t="shared" si="91"/>
        <v/>
      </c>
      <c r="Q1626" t="str">
        <f t="shared" si="92"/>
        <v/>
      </c>
    </row>
    <row r="1627" spans="1:17" x14ac:dyDescent="0.25">
      <c r="A1627" t="s">
        <v>1219</v>
      </c>
      <c r="C1627">
        <f>IFERROR(COUNTIFS($A$1:A1627,"Câu "&amp;"*")-MID(A1627,5,FIND(".",A1627,1)-5),0)</f>
        <v>0</v>
      </c>
      <c r="D1627">
        <f t="shared" si="94"/>
        <v>393</v>
      </c>
      <c r="E1627" t="str">
        <f>SUBSTITUTE(IF(LEFT(A1627,3)="Câu",MID(A1627,FIND(".",A1627,1)+2,LEN(A1627)),""),CHAR(34),CHAR(92)&amp;CHAR(34))</f>
        <v>Biển nào báo hiệu \"Đường đôi\"?</v>
      </c>
      <c r="F1627" t="str">
        <f t="shared" si="93"/>
        <v>q393.jpg</v>
      </c>
      <c r="G1627" t="str">
        <f>SUBSTITUTE(B1628,CHAR(34),CHAR(92)&amp;CHAR(34))</f>
        <v>Biển 1.</v>
      </c>
      <c r="H1627" t="str">
        <f>SUBSTITUTE(B1629,CHAR(34),CHAR(92)&amp;CHAR(34))</f>
        <v>Biển 2.</v>
      </c>
      <c r="I1627" t="str">
        <f>SUBSTITUTE(IF(LEFT(A1630,3)="Câu","",B1630),CHAR(34),CHAR(92)&amp;CHAR(34))</f>
        <v xml:space="preserve"> Biển 3.</v>
      </c>
      <c r="J1627" t="str">
        <f>SUBSTITUTE(IF(OR(LEFT(A1631,3)="Câu",I1627=""),"",IF(B1631=0,"",B1631)),CHAR(34),CHAR(92)&amp;CHAR(34))</f>
        <v/>
      </c>
      <c r="K1627" t="str">
        <f ca="1">SUBSTITUTE(SUBSTITUTE(SUBSTITUTE(SUBSTITUTE(IFERROR(VLOOKUP("Câu "&amp;D1627&amp;".",dapan!$E:$J,6,0),""),"1","A"),"2","B"),"3","C"),"4","D")</f>
        <v>C</v>
      </c>
      <c r="P1627">
        <f t="shared" si="91"/>
        <v>393</v>
      </c>
      <c r="Q1627" t="str">
        <f t="shared" ca="1" si="92"/>
        <v>{"num":393,"id":393,"q":"Biển nào báo hiệu \"Đường đôi\"?","img":"q393.jpg","opts":{"A":"Biển 1.","B":"Biển 2.","C":" Biển 3."},"answer":"C"},</v>
      </c>
    </row>
    <row r="1628" spans="1:17" hidden="1" x14ac:dyDescent="0.25">
      <c r="A1628">
        <v>1</v>
      </c>
      <c r="B1628" t="s">
        <v>1075</v>
      </c>
      <c r="C1628">
        <f>IFERROR(COUNTIFS($A$1:A1628,"Câu "&amp;"*")-MID(A1628,5,FIND(".",A1628,1)-5),0)</f>
        <v>0</v>
      </c>
      <c r="D1628" t="str">
        <f t="shared" si="94"/>
        <v/>
      </c>
      <c r="E1628" t="str">
        <f>SUBSTITUTE(IF(LEFT(A1628,3)="Câu",MID(A1628,FIND(".",A1628,1)+2,LEN(A1628)),""),CHAR(34),CHAR(92)&amp;CHAR(34))</f>
        <v/>
      </c>
      <c r="F1628" t="str">
        <f t="shared" si="93"/>
        <v/>
      </c>
      <c r="G1628" t="str">
        <f>SUBSTITUTE(B1629,CHAR(34),CHAR(92)&amp;CHAR(34))</f>
        <v>Biển 2.</v>
      </c>
      <c r="H1628" t="str">
        <f>SUBSTITUTE(B1630,CHAR(34),CHAR(92)&amp;CHAR(34))</f>
        <v xml:space="preserve"> Biển 3.</v>
      </c>
      <c r="I1628" t="str">
        <f>SUBSTITUTE(IF(LEFT(A1631,3)="Câu","",B1631),CHAR(34),CHAR(92)&amp;CHAR(34))</f>
        <v/>
      </c>
      <c r="J1628" t="str">
        <f>SUBSTITUTE(IF(OR(LEFT(A1632,3)="Câu",I1628=""),"",IF(B1632=0,"",B1632)),CHAR(34),CHAR(92)&amp;CHAR(34))</f>
        <v/>
      </c>
      <c r="K1628" t="str">
        <f>SUBSTITUTE(SUBSTITUTE(SUBSTITUTE(SUBSTITUTE(IFERROR(VLOOKUP("Câu "&amp;D1628&amp;".",dapan!$E:$J,6,0),""),"1","A"),"2","B"),"3","C"),"4","D")</f>
        <v/>
      </c>
      <c r="P1628" t="str">
        <f t="shared" si="91"/>
        <v/>
      </c>
      <c r="Q1628" t="str">
        <f t="shared" si="92"/>
        <v/>
      </c>
    </row>
    <row r="1629" spans="1:17" hidden="1" x14ac:dyDescent="0.25">
      <c r="A1629">
        <v>2</v>
      </c>
      <c r="B1629" t="s">
        <v>1068</v>
      </c>
      <c r="C1629">
        <f>IFERROR(COUNTIFS($A$1:A1629,"Câu "&amp;"*")-MID(A1629,5,FIND(".",A1629,1)-5),0)</f>
        <v>0</v>
      </c>
      <c r="D1629" t="str">
        <f t="shared" si="94"/>
        <v/>
      </c>
      <c r="E1629" t="str">
        <f>SUBSTITUTE(IF(LEFT(A1629,3)="Câu",MID(A1629,FIND(".",A1629,1)+2,LEN(A1629)),""),CHAR(34),CHAR(92)&amp;CHAR(34))</f>
        <v/>
      </c>
      <c r="F1629" t="str">
        <f t="shared" si="93"/>
        <v/>
      </c>
      <c r="G1629" t="str">
        <f>SUBSTITUTE(B1630,CHAR(34),CHAR(92)&amp;CHAR(34))</f>
        <v xml:space="preserve"> Biển 3.</v>
      </c>
      <c r="H1629" t="str">
        <f>SUBSTITUTE(B1631,CHAR(34),CHAR(92)&amp;CHAR(34))</f>
        <v/>
      </c>
      <c r="I1629" t="str">
        <f>SUBSTITUTE(IF(LEFT(A1632,3)="Câu","",B1632),CHAR(34),CHAR(92)&amp;CHAR(34))</f>
        <v>Biển 1.</v>
      </c>
      <c r="J1629" t="str">
        <f>SUBSTITUTE(IF(OR(LEFT(A1633,3)="Câu",I1629=""),"",IF(B1633=0,"",B1633)),CHAR(34),CHAR(92)&amp;CHAR(34))</f>
        <v>Biển 2.</v>
      </c>
      <c r="K1629" t="str">
        <f>SUBSTITUTE(SUBSTITUTE(SUBSTITUTE(SUBSTITUTE(IFERROR(VLOOKUP("Câu "&amp;D1629&amp;".",dapan!$E:$J,6,0),""),"1","A"),"2","B"),"3","C"),"4","D")</f>
        <v/>
      </c>
      <c r="P1629" t="str">
        <f t="shared" si="91"/>
        <v/>
      </c>
      <c r="Q1629" t="str">
        <f t="shared" si="92"/>
        <v/>
      </c>
    </row>
    <row r="1630" spans="1:17" hidden="1" x14ac:dyDescent="0.25">
      <c r="A1630">
        <v>3</v>
      </c>
      <c r="B1630" t="s">
        <v>1114</v>
      </c>
      <c r="C1630">
        <f>IFERROR(COUNTIFS($A$1:A1630,"Câu "&amp;"*")-MID(A1630,5,FIND(".",A1630,1)-5),0)</f>
        <v>0</v>
      </c>
      <c r="D1630" t="str">
        <f t="shared" si="94"/>
        <v/>
      </c>
      <c r="E1630" t="str">
        <f>SUBSTITUTE(IF(LEFT(A1630,3)="Câu",MID(A1630,FIND(".",A1630,1)+2,LEN(A1630)),""),CHAR(34),CHAR(92)&amp;CHAR(34))</f>
        <v/>
      </c>
      <c r="F1630" t="str">
        <f t="shared" si="93"/>
        <v/>
      </c>
      <c r="G1630" t="str">
        <f>SUBSTITUTE(B1631,CHAR(34),CHAR(92)&amp;CHAR(34))</f>
        <v/>
      </c>
      <c r="H1630" t="str">
        <f>SUBSTITUTE(B1632,CHAR(34),CHAR(92)&amp;CHAR(34))</f>
        <v>Biển 1.</v>
      </c>
      <c r="I1630" t="str">
        <f>SUBSTITUTE(IF(LEFT(A1633,3)="Câu","",B1633),CHAR(34),CHAR(92)&amp;CHAR(34))</f>
        <v>Biển 2.</v>
      </c>
      <c r="J1630" t="str">
        <f>SUBSTITUTE(IF(OR(LEFT(A1634,3)="Câu",I1630=""),"",IF(B1634=0,"",B1634)),CHAR(34),CHAR(92)&amp;CHAR(34))</f>
        <v xml:space="preserve"> Biển 3.</v>
      </c>
      <c r="K1630" t="str">
        <f>SUBSTITUTE(SUBSTITUTE(SUBSTITUTE(SUBSTITUTE(IFERROR(VLOOKUP("Câu "&amp;D1630&amp;".",dapan!$E:$J,6,0),""),"1","A"),"2","B"),"3","C"),"4","D")</f>
        <v/>
      </c>
      <c r="P1630" t="str">
        <f t="shared" si="91"/>
        <v/>
      </c>
      <c r="Q1630" t="str">
        <f t="shared" si="92"/>
        <v/>
      </c>
    </row>
    <row r="1631" spans="1:17" x14ac:dyDescent="0.25">
      <c r="A1631" t="s">
        <v>1220</v>
      </c>
      <c r="C1631">
        <f>IFERROR(COUNTIFS($A$1:A1631,"Câu "&amp;"*")-MID(A1631,5,FIND(".",A1631,1)-5),0)</f>
        <v>0</v>
      </c>
      <c r="D1631">
        <f t="shared" si="94"/>
        <v>394</v>
      </c>
      <c r="E1631" t="str">
        <f>SUBSTITUTE(IF(LEFT(A1631,3)="Câu",MID(A1631,FIND(".",A1631,1)+2,LEN(A1631)),""),CHAR(34),CHAR(92)&amp;CHAR(34))</f>
        <v>Biển nào báo hiệu \"Kết thúc đường đôi\"?</v>
      </c>
      <c r="F1631" t="str">
        <f t="shared" si="93"/>
        <v>q394.jpg</v>
      </c>
      <c r="G1631" t="str">
        <f>SUBSTITUTE(B1632,CHAR(34),CHAR(92)&amp;CHAR(34))</f>
        <v>Biển 1.</v>
      </c>
      <c r="H1631" t="str">
        <f>SUBSTITUTE(B1633,CHAR(34),CHAR(92)&amp;CHAR(34))</f>
        <v>Biển 2.</v>
      </c>
      <c r="I1631" t="str">
        <f>SUBSTITUTE(IF(LEFT(A1634,3)="Câu","",B1634),CHAR(34),CHAR(92)&amp;CHAR(34))</f>
        <v xml:space="preserve"> Biển 3.</v>
      </c>
      <c r="J1631" t="str">
        <f>SUBSTITUTE(IF(OR(LEFT(A1635,3)="Câu",I1631=""),"",IF(B1635=0,"",B1635)),CHAR(34),CHAR(92)&amp;CHAR(34))</f>
        <v/>
      </c>
      <c r="K1631" t="str">
        <f ca="1">SUBSTITUTE(SUBSTITUTE(SUBSTITUTE(SUBSTITUTE(IFERROR(VLOOKUP("Câu "&amp;D1631&amp;".",dapan!$E:$J,6,0),""),"1","A"),"2","B"),"3","C"),"4","D")</f>
        <v>C</v>
      </c>
      <c r="P1631">
        <f t="shared" si="91"/>
        <v>394</v>
      </c>
      <c r="Q1631" t="str">
        <f t="shared" ca="1" si="92"/>
        <v>{"num":394,"id":394,"q":"Biển nào báo hiệu \"Kết thúc đường đôi\"?","img":"q394.jpg","opts":{"A":"Biển 1.","B":"Biển 2.","C":" Biển 3."},"answer":"C"},</v>
      </c>
    </row>
    <row r="1632" spans="1:17" hidden="1" x14ac:dyDescent="0.25">
      <c r="A1632">
        <v>1</v>
      </c>
      <c r="B1632" t="s">
        <v>1075</v>
      </c>
      <c r="C1632">
        <f>IFERROR(COUNTIFS($A$1:A1632,"Câu "&amp;"*")-MID(A1632,5,FIND(".",A1632,1)-5),0)</f>
        <v>0</v>
      </c>
      <c r="D1632" t="str">
        <f t="shared" si="94"/>
        <v/>
      </c>
      <c r="E1632" t="str">
        <f>SUBSTITUTE(IF(LEFT(A1632,3)="Câu",MID(A1632,FIND(".",A1632,1)+2,LEN(A1632)),""),CHAR(34),CHAR(92)&amp;CHAR(34))</f>
        <v/>
      </c>
      <c r="F1632" t="str">
        <f t="shared" si="93"/>
        <v/>
      </c>
      <c r="G1632" t="str">
        <f>SUBSTITUTE(B1633,CHAR(34),CHAR(92)&amp;CHAR(34))</f>
        <v>Biển 2.</v>
      </c>
      <c r="H1632" t="str">
        <f>SUBSTITUTE(B1634,CHAR(34),CHAR(92)&amp;CHAR(34))</f>
        <v xml:space="preserve"> Biển 3.</v>
      </c>
      <c r="I1632" t="str">
        <f>SUBSTITUTE(IF(LEFT(A1635,3)="Câu","",B1635),CHAR(34),CHAR(92)&amp;CHAR(34))</f>
        <v/>
      </c>
      <c r="J1632" t="str">
        <f>SUBSTITUTE(IF(OR(LEFT(A1636,3)="Câu",I1632=""),"",IF(B1636=0,"",B1636)),CHAR(34),CHAR(92)&amp;CHAR(34))</f>
        <v/>
      </c>
      <c r="K1632" t="str">
        <f>SUBSTITUTE(SUBSTITUTE(SUBSTITUTE(SUBSTITUTE(IFERROR(VLOOKUP("Câu "&amp;D1632&amp;".",dapan!$E:$J,6,0),""),"1","A"),"2","B"),"3","C"),"4","D")</f>
        <v/>
      </c>
      <c r="P1632" t="str">
        <f t="shared" si="91"/>
        <v/>
      </c>
      <c r="Q1632" t="str">
        <f t="shared" si="92"/>
        <v/>
      </c>
    </row>
    <row r="1633" spans="1:17" hidden="1" x14ac:dyDescent="0.25">
      <c r="A1633">
        <v>2</v>
      </c>
      <c r="B1633" t="s">
        <v>1068</v>
      </c>
      <c r="C1633">
        <f>IFERROR(COUNTIFS($A$1:A1633,"Câu "&amp;"*")-MID(A1633,5,FIND(".",A1633,1)-5),0)</f>
        <v>0</v>
      </c>
      <c r="D1633" t="str">
        <f t="shared" si="94"/>
        <v/>
      </c>
      <c r="E1633" t="str">
        <f>SUBSTITUTE(IF(LEFT(A1633,3)="Câu",MID(A1633,FIND(".",A1633,1)+2,LEN(A1633)),""),CHAR(34),CHAR(92)&amp;CHAR(34))</f>
        <v/>
      </c>
      <c r="F1633" t="str">
        <f t="shared" si="93"/>
        <v/>
      </c>
      <c r="G1633" t="str">
        <f>SUBSTITUTE(B1634,CHAR(34),CHAR(92)&amp;CHAR(34))</f>
        <v xml:space="preserve"> Biển 3.</v>
      </c>
      <c r="H1633" t="str">
        <f>SUBSTITUTE(B1635,CHAR(34),CHAR(92)&amp;CHAR(34))</f>
        <v/>
      </c>
      <c r="I1633" t="str">
        <f>SUBSTITUTE(IF(LEFT(A1636,3)="Câu","",B1636),CHAR(34),CHAR(92)&amp;CHAR(34))</f>
        <v xml:space="preserve"> Biển 1.</v>
      </c>
      <c r="J1633" t="str">
        <f>SUBSTITUTE(IF(OR(LEFT(A1637,3)="Câu",I1633=""),"",IF(B1637=0,"",B1637)),CHAR(34),CHAR(92)&amp;CHAR(34))</f>
        <v>Biển 2.</v>
      </c>
      <c r="K1633" t="str">
        <f>SUBSTITUTE(SUBSTITUTE(SUBSTITUTE(SUBSTITUTE(IFERROR(VLOOKUP("Câu "&amp;D1633&amp;".",dapan!$E:$J,6,0),""),"1","A"),"2","B"),"3","C"),"4","D")</f>
        <v/>
      </c>
      <c r="P1633" t="str">
        <f t="shared" si="91"/>
        <v/>
      </c>
      <c r="Q1633" t="str">
        <f t="shared" si="92"/>
        <v/>
      </c>
    </row>
    <row r="1634" spans="1:17" hidden="1" x14ac:dyDescent="0.25">
      <c r="A1634">
        <v>3</v>
      </c>
      <c r="B1634" t="s">
        <v>1114</v>
      </c>
      <c r="C1634">
        <f>IFERROR(COUNTIFS($A$1:A1634,"Câu "&amp;"*")-MID(A1634,5,FIND(".",A1634,1)-5),0)</f>
        <v>0</v>
      </c>
      <c r="D1634" t="str">
        <f t="shared" si="94"/>
        <v/>
      </c>
      <c r="E1634" t="str">
        <f>SUBSTITUTE(IF(LEFT(A1634,3)="Câu",MID(A1634,FIND(".",A1634,1)+2,LEN(A1634)),""),CHAR(34),CHAR(92)&amp;CHAR(34))</f>
        <v/>
      </c>
      <c r="F1634" t="str">
        <f t="shared" si="93"/>
        <v/>
      </c>
      <c r="G1634" t="str">
        <f>SUBSTITUTE(B1635,CHAR(34),CHAR(92)&amp;CHAR(34))</f>
        <v/>
      </c>
      <c r="H1634" t="str">
        <f>SUBSTITUTE(B1636,CHAR(34),CHAR(92)&amp;CHAR(34))</f>
        <v xml:space="preserve"> Biển 1.</v>
      </c>
      <c r="I1634" t="str">
        <f>SUBSTITUTE(IF(LEFT(A1637,3)="Câu","",B1637),CHAR(34),CHAR(92)&amp;CHAR(34))</f>
        <v>Biển 2.</v>
      </c>
      <c r="J1634" t="str">
        <f>SUBSTITUTE(IF(OR(LEFT(A1638,3)="Câu",I1634=""),"",IF(B1638=0,"",B1638)),CHAR(34),CHAR(92)&amp;CHAR(34))</f>
        <v>Biển 3.</v>
      </c>
      <c r="K1634" t="str">
        <f>SUBSTITUTE(SUBSTITUTE(SUBSTITUTE(SUBSTITUTE(IFERROR(VLOOKUP("Câu "&amp;D1634&amp;".",dapan!$E:$J,6,0),""),"1","A"),"2","B"),"3","C"),"4","D")</f>
        <v/>
      </c>
      <c r="P1634" t="str">
        <f t="shared" si="91"/>
        <v/>
      </c>
      <c r="Q1634" t="str">
        <f t="shared" si="92"/>
        <v/>
      </c>
    </row>
    <row r="1635" spans="1:17" x14ac:dyDescent="0.25">
      <c r="A1635" t="s">
        <v>1221</v>
      </c>
      <c r="C1635">
        <f>IFERROR(COUNTIFS($A$1:A1635,"Câu "&amp;"*")-MID(A1635,5,FIND(".",A1635,1)-5),0)</f>
        <v>0</v>
      </c>
      <c r="D1635">
        <f t="shared" si="94"/>
        <v>395</v>
      </c>
      <c r="E1635" t="str">
        <f>SUBSTITUTE(IF(LEFT(A1635,3)="Câu",MID(A1635,FIND(".",A1635,1)+2,LEN(A1635)),""),CHAR(34),CHAR(92)&amp;CHAR(34))</f>
        <v>Biển nào báo hiệu \"Giao nhau với đường hai chiều\"?</v>
      </c>
      <c r="F1635" t="str">
        <f t="shared" si="93"/>
        <v>q395.jpg</v>
      </c>
      <c r="G1635" t="str">
        <f>SUBSTITUTE(B1636,CHAR(34),CHAR(92)&amp;CHAR(34))</f>
        <v xml:space="preserve"> Biển 1.</v>
      </c>
      <c r="H1635" t="str">
        <f>SUBSTITUTE(B1637,CHAR(34),CHAR(92)&amp;CHAR(34))</f>
        <v>Biển 2.</v>
      </c>
      <c r="I1635" t="str">
        <f>SUBSTITUTE(IF(LEFT(A1638,3)="Câu","",B1638),CHAR(34),CHAR(92)&amp;CHAR(34))</f>
        <v>Biển 3.</v>
      </c>
      <c r="J1635" t="str">
        <f>SUBSTITUTE(IF(OR(LEFT(A1639,3)="Câu",I1635=""),"",IF(B1639=0,"",B1639)),CHAR(34),CHAR(92)&amp;CHAR(34))</f>
        <v/>
      </c>
      <c r="K1635" t="str">
        <f ca="1">SUBSTITUTE(SUBSTITUTE(SUBSTITUTE(SUBSTITUTE(IFERROR(VLOOKUP("Câu "&amp;D1635&amp;".",dapan!$E:$J,6,0),""),"1","A"),"2","B"),"3","C"),"4","D")</f>
        <v>A</v>
      </c>
      <c r="P1635">
        <f t="shared" si="91"/>
        <v>395</v>
      </c>
      <c r="Q1635" t="str">
        <f t="shared" ca="1" si="92"/>
        <v>{"num":395,"id":395,"q":"Biển nào báo hiệu \"Giao nhau với đường hai chiều\"?","img":"q395.jpg","opts":{"A":" Biển 1.","B":"Biển 2.","C":"Biển 3."},"answer":"A"},</v>
      </c>
    </row>
    <row r="1636" spans="1:17" hidden="1" x14ac:dyDescent="0.25">
      <c r="A1636">
        <v>1</v>
      </c>
      <c r="B1636" t="s">
        <v>1066</v>
      </c>
      <c r="C1636">
        <f>IFERROR(COUNTIFS($A$1:A1636,"Câu "&amp;"*")-MID(A1636,5,FIND(".",A1636,1)-5),0)</f>
        <v>0</v>
      </c>
      <c r="D1636" t="str">
        <f t="shared" si="94"/>
        <v/>
      </c>
      <c r="E1636" t="str">
        <f>SUBSTITUTE(IF(LEFT(A1636,3)="Câu",MID(A1636,FIND(".",A1636,1)+2,LEN(A1636)),""),CHAR(34),CHAR(92)&amp;CHAR(34))</f>
        <v/>
      </c>
      <c r="F1636" t="str">
        <f t="shared" si="93"/>
        <v/>
      </c>
      <c r="G1636" t="str">
        <f>SUBSTITUTE(B1637,CHAR(34),CHAR(92)&amp;CHAR(34))</f>
        <v>Biển 2.</v>
      </c>
      <c r="H1636" t="str">
        <f>SUBSTITUTE(B1638,CHAR(34),CHAR(92)&amp;CHAR(34))</f>
        <v>Biển 3.</v>
      </c>
      <c r="I1636" t="str">
        <f>SUBSTITUTE(IF(LEFT(A1639,3)="Câu","",B1639),CHAR(34),CHAR(92)&amp;CHAR(34))</f>
        <v/>
      </c>
      <c r="J1636" t="str">
        <f>SUBSTITUTE(IF(OR(LEFT(A1640,3)="Câu",I1636=""),"",IF(B1640=0,"",B1640)),CHAR(34),CHAR(92)&amp;CHAR(34))</f>
        <v/>
      </c>
      <c r="K1636" t="str">
        <f>SUBSTITUTE(SUBSTITUTE(SUBSTITUTE(SUBSTITUTE(IFERROR(VLOOKUP("Câu "&amp;D1636&amp;".",dapan!$E:$J,6,0),""),"1","A"),"2","B"),"3","C"),"4","D")</f>
        <v/>
      </c>
      <c r="P1636" t="str">
        <f t="shared" si="91"/>
        <v/>
      </c>
      <c r="Q1636" t="str">
        <f t="shared" si="92"/>
        <v/>
      </c>
    </row>
    <row r="1637" spans="1:17" hidden="1" x14ac:dyDescent="0.25">
      <c r="A1637">
        <v>2</v>
      </c>
      <c r="B1637" t="s">
        <v>1068</v>
      </c>
      <c r="C1637">
        <f>IFERROR(COUNTIFS($A$1:A1637,"Câu "&amp;"*")-MID(A1637,5,FIND(".",A1637,1)-5),0)</f>
        <v>0</v>
      </c>
      <c r="D1637" t="str">
        <f t="shared" si="94"/>
        <v/>
      </c>
      <c r="E1637" t="str">
        <f>SUBSTITUTE(IF(LEFT(A1637,3)="Câu",MID(A1637,FIND(".",A1637,1)+2,LEN(A1637)),""),CHAR(34),CHAR(92)&amp;CHAR(34))</f>
        <v/>
      </c>
      <c r="F1637" t="str">
        <f t="shared" si="93"/>
        <v/>
      </c>
      <c r="G1637" t="str">
        <f>SUBSTITUTE(B1638,CHAR(34),CHAR(92)&amp;CHAR(34))</f>
        <v>Biển 3.</v>
      </c>
      <c r="H1637" t="str">
        <f>SUBSTITUTE(B1639,CHAR(34),CHAR(92)&amp;CHAR(34))</f>
        <v/>
      </c>
      <c r="I1637" t="str">
        <f>SUBSTITUTE(IF(LEFT(A1640,3)="Câu","",B1640),CHAR(34),CHAR(92)&amp;CHAR(34))</f>
        <v>Biển 1.</v>
      </c>
      <c r="J1637" t="str">
        <f>SUBSTITUTE(IF(OR(LEFT(A1641,3)="Câu",I1637=""),"",IF(B1641=0,"",B1641)),CHAR(34),CHAR(92)&amp;CHAR(34))</f>
        <v xml:space="preserve"> Biển 2.</v>
      </c>
      <c r="K1637" t="str">
        <f>SUBSTITUTE(SUBSTITUTE(SUBSTITUTE(SUBSTITUTE(IFERROR(VLOOKUP("Câu "&amp;D1637&amp;".",dapan!$E:$J,6,0),""),"1","A"),"2","B"),"3","C"),"4","D")</f>
        <v/>
      </c>
      <c r="P1637" t="str">
        <f t="shared" si="91"/>
        <v/>
      </c>
      <c r="Q1637" t="str">
        <f t="shared" si="92"/>
        <v/>
      </c>
    </row>
    <row r="1638" spans="1:17" hidden="1" x14ac:dyDescent="0.25">
      <c r="A1638">
        <v>3</v>
      </c>
      <c r="B1638" t="s">
        <v>1083</v>
      </c>
      <c r="C1638">
        <f>IFERROR(COUNTIFS($A$1:A1638,"Câu "&amp;"*")-MID(A1638,5,FIND(".",A1638,1)-5),0)</f>
        <v>0</v>
      </c>
      <c r="D1638" t="str">
        <f t="shared" si="94"/>
        <v/>
      </c>
      <c r="E1638" t="str">
        <f>SUBSTITUTE(IF(LEFT(A1638,3)="Câu",MID(A1638,FIND(".",A1638,1)+2,LEN(A1638)),""),CHAR(34),CHAR(92)&amp;CHAR(34))</f>
        <v/>
      </c>
      <c r="F1638" t="str">
        <f t="shared" si="93"/>
        <v/>
      </c>
      <c r="G1638" t="str">
        <f>SUBSTITUTE(B1639,CHAR(34),CHAR(92)&amp;CHAR(34))</f>
        <v/>
      </c>
      <c r="H1638" t="str">
        <f>SUBSTITUTE(B1640,CHAR(34),CHAR(92)&amp;CHAR(34))</f>
        <v>Biển 1.</v>
      </c>
      <c r="I1638" t="str">
        <f>SUBSTITUTE(IF(LEFT(A1641,3)="Câu","",B1641),CHAR(34),CHAR(92)&amp;CHAR(34))</f>
        <v xml:space="preserve"> Biển 2.</v>
      </c>
      <c r="J1638" t="str">
        <f>SUBSTITUTE(IF(OR(LEFT(A1642,3)="Câu",I1638=""),"",IF(B1642=0,"",B1642)),CHAR(34),CHAR(92)&amp;CHAR(34))</f>
        <v>Biển 3.</v>
      </c>
      <c r="K1638" t="str">
        <f>SUBSTITUTE(SUBSTITUTE(SUBSTITUTE(SUBSTITUTE(IFERROR(VLOOKUP("Câu "&amp;D1638&amp;".",dapan!$E:$J,6,0),""),"1","A"),"2","B"),"3","C"),"4","D")</f>
        <v/>
      </c>
      <c r="P1638" t="str">
        <f t="shared" si="91"/>
        <v/>
      </c>
      <c r="Q1638" t="str">
        <f t="shared" si="92"/>
        <v/>
      </c>
    </row>
    <row r="1639" spans="1:17" x14ac:dyDescent="0.25">
      <c r="A1639" t="s">
        <v>1222</v>
      </c>
      <c r="C1639">
        <f>IFERROR(COUNTIFS($A$1:A1639,"Câu "&amp;"*")-MID(A1639,5,FIND(".",A1639,1)-5),0)</f>
        <v>0</v>
      </c>
      <c r="D1639">
        <f t="shared" si="94"/>
        <v>396</v>
      </c>
      <c r="E1639" t="str">
        <f>SUBSTITUTE(IF(LEFT(A1639,3)="Câu",MID(A1639,FIND(".",A1639,1)+2,LEN(A1639)),""),CHAR(34),CHAR(92)&amp;CHAR(34))</f>
        <v>Biển nào báo hiệu \"Đường hai chiều\"?</v>
      </c>
      <c r="F1639" t="str">
        <f t="shared" si="93"/>
        <v>q396.jpg</v>
      </c>
      <c r="G1639" t="str">
        <f>SUBSTITUTE(B1640,CHAR(34),CHAR(92)&amp;CHAR(34))</f>
        <v>Biển 1.</v>
      </c>
      <c r="H1639" t="str">
        <f>SUBSTITUTE(B1641,CHAR(34),CHAR(92)&amp;CHAR(34))</f>
        <v xml:space="preserve"> Biển 2.</v>
      </c>
      <c r="I1639" t="str">
        <f>SUBSTITUTE(IF(LEFT(A1642,3)="Câu","",B1642),CHAR(34),CHAR(92)&amp;CHAR(34))</f>
        <v>Biển 3.</v>
      </c>
      <c r="J1639" t="str">
        <f>SUBSTITUTE(IF(OR(LEFT(A1643,3)="Câu",I1639=""),"",IF(B1643=0,"",B1643)),CHAR(34),CHAR(92)&amp;CHAR(34))</f>
        <v/>
      </c>
      <c r="K1639" t="str">
        <f ca="1">SUBSTITUTE(SUBSTITUTE(SUBSTITUTE(SUBSTITUTE(IFERROR(VLOOKUP("Câu "&amp;D1639&amp;".",dapan!$E:$J,6,0),""),"1","A"),"2","B"),"3","C"),"4","D")</f>
        <v>B</v>
      </c>
      <c r="P1639">
        <f t="shared" si="91"/>
        <v>396</v>
      </c>
      <c r="Q1639" t="str">
        <f t="shared" ca="1" si="92"/>
        <v>{"num":396,"id":396,"q":"Biển nào báo hiệu \"Đường hai chiều\"?","img":"q396.jpg","opts":{"A":"Biển 1.","B":" Biển 2.","C":"Biển 3."},"answer":"B"},</v>
      </c>
    </row>
    <row r="1640" spans="1:17" hidden="1" x14ac:dyDescent="0.25">
      <c r="A1640">
        <v>1</v>
      </c>
      <c r="B1640" t="s">
        <v>1075</v>
      </c>
      <c r="C1640">
        <f>IFERROR(COUNTIFS($A$1:A1640,"Câu "&amp;"*")-MID(A1640,5,FIND(".",A1640,1)-5),0)</f>
        <v>0</v>
      </c>
      <c r="D1640" t="str">
        <f t="shared" si="94"/>
        <v/>
      </c>
      <c r="E1640" t="str">
        <f>SUBSTITUTE(IF(LEFT(A1640,3)="Câu",MID(A1640,FIND(".",A1640,1)+2,LEN(A1640)),""),CHAR(34),CHAR(92)&amp;CHAR(34))</f>
        <v/>
      </c>
      <c r="F1640" t="str">
        <f t="shared" si="93"/>
        <v/>
      </c>
      <c r="G1640" t="str">
        <f>SUBSTITUTE(B1641,CHAR(34),CHAR(92)&amp;CHAR(34))</f>
        <v xml:space="preserve"> Biển 2.</v>
      </c>
      <c r="H1640" t="str">
        <f>SUBSTITUTE(B1642,CHAR(34),CHAR(92)&amp;CHAR(34))</f>
        <v>Biển 3.</v>
      </c>
      <c r="I1640" t="str">
        <f>SUBSTITUTE(IF(LEFT(A1643,3)="Câu","",B1643),CHAR(34),CHAR(92)&amp;CHAR(34))</f>
        <v/>
      </c>
      <c r="J1640" t="str">
        <f>SUBSTITUTE(IF(OR(LEFT(A1644,3)="Câu",I1640=""),"",IF(B1644=0,"",B1644)),CHAR(34),CHAR(92)&amp;CHAR(34))</f>
        <v/>
      </c>
      <c r="K1640" t="str">
        <f>SUBSTITUTE(SUBSTITUTE(SUBSTITUTE(SUBSTITUTE(IFERROR(VLOOKUP("Câu "&amp;D1640&amp;".",dapan!$E:$J,6,0),""),"1","A"),"2","B"),"3","C"),"4","D")</f>
        <v/>
      </c>
      <c r="P1640" t="str">
        <f t="shared" si="91"/>
        <v/>
      </c>
      <c r="Q1640" t="str">
        <f t="shared" si="92"/>
        <v/>
      </c>
    </row>
    <row r="1641" spans="1:17" hidden="1" x14ac:dyDescent="0.25">
      <c r="A1641">
        <v>2</v>
      </c>
      <c r="B1641" t="s">
        <v>1090</v>
      </c>
      <c r="C1641">
        <f>IFERROR(COUNTIFS($A$1:A1641,"Câu "&amp;"*")-MID(A1641,5,FIND(".",A1641,1)-5),0)</f>
        <v>0</v>
      </c>
      <c r="D1641" t="str">
        <f t="shared" si="94"/>
        <v/>
      </c>
      <c r="E1641" t="str">
        <f>SUBSTITUTE(IF(LEFT(A1641,3)="Câu",MID(A1641,FIND(".",A1641,1)+2,LEN(A1641)),""),CHAR(34),CHAR(92)&amp;CHAR(34))</f>
        <v/>
      </c>
      <c r="F1641" t="str">
        <f t="shared" si="93"/>
        <v/>
      </c>
      <c r="G1641" t="str">
        <f>SUBSTITUTE(B1642,CHAR(34),CHAR(92)&amp;CHAR(34))</f>
        <v>Biển 3.</v>
      </c>
      <c r="H1641" t="str">
        <f>SUBSTITUTE(B1643,CHAR(34),CHAR(92)&amp;CHAR(34))</f>
        <v/>
      </c>
      <c r="I1641" t="str">
        <f>SUBSTITUTE(IF(LEFT(A1644,3)="Câu","",B1644),CHAR(34),CHAR(92)&amp;CHAR(34))</f>
        <v>Biển 1.</v>
      </c>
      <c r="J1641" t="str">
        <f>SUBSTITUTE(IF(OR(LEFT(A1645,3)="Câu",I1641=""),"",IF(B1645=0,"",B1645)),CHAR(34),CHAR(92)&amp;CHAR(34))</f>
        <v xml:space="preserve"> Biển 2.</v>
      </c>
      <c r="K1641" t="str">
        <f>SUBSTITUTE(SUBSTITUTE(SUBSTITUTE(SUBSTITUTE(IFERROR(VLOOKUP("Câu "&amp;D1641&amp;".",dapan!$E:$J,6,0),""),"1","A"),"2","B"),"3","C"),"4","D")</f>
        <v/>
      </c>
      <c r="P1641" t="str">
        <f t="shared" si="91"/>
        <v/>
      </c>
      <c r="Q1641" t="str">
        <f t="shared" si="92"/>
        <v/>
      </c>
    </row>
    <row r="1642" spans="1:17" hidden="1" x14ac:dyDescent="0.25">
      <c r="A1642">
        <v>3</v>
      </c>
      <c r="B1642" t="s">
        <v>1083</v>
      </c>
      <c r="C1642">
        <f>IFERROR(COUNTIFS($A$1:A1642,"Câu "&amp;"*")-MID(A1642,5,FIND(".",A1642,1)-5),0)</f>
        <v>0</v>
      </c>
      <c r="D1642" t="str">
        <f t="shared" si="94"/>
        <v/>
      </c>
      <c r="E1642" t="str">
        <f>SUBSTITUTE(IF(LEFT(A1642,3)="Câu",MID(A1642,FIND(".",A1642,1)+2,LEN(A1642)),""),CHAR(34),CHAR(92)&amp;CHAR(34))</f>
        <v/>
      </c>
      <c r="F1642" t="str">
        <f t="shared" si="93"/>
        <v/>
      </c>
      <c r="G1642" t="str">
        <f>SUBSTITUTE(B1643,CHAR(34),CHAR(92)&amp;CHAR(34))</f>
        <v/>
      </c>
      <c r="H1642" t="str">
        <f>SUBSTITUTE(B1644,CHAR(34),CHAR(92)&amp;CHAR(34))</f>
        <v>Biển 1.</v>
      </c>
      <c r="I1642" t="str">
        <f>SUBSTITUTE(IF(LEFT(A1645,3)="Câu","",B1645),CHAR(34),CHAR(92)&amp;CHAR(34))</f>
        <v xml:space="preserve"> Biển 2.</v>
      </c>
      <c r="J1642" t="str">
        <f>SUBSTITUTE(IF(OR(LEFT(A1646,3)="Câu",I1642=""),"",IF(B1646=0,"",B1646)),CHAR(34),CHAR(92)&amp;CHAR(34))</f>
        <v>Biển 3.</v>
      </c>
      <c r="K1642" t="str">
        <f>SUBSTITUTE(SUBSTITUTE(SUBSTITUTE(SUBSTITUTE(IFERROR(VLOOKUP("Câu "&amp;D1642&amp;".",dapan!$E:$J,6,0),""),"1","A"),"2","B"),"3","C"),"4","D")</f>
        <v/>
      </c>
      <c r="P1642" t="str">
        <f t="shared" si="91"/>
        <v/>
      </c>
      <c r="Q1642" t="str">
        <f t="shared" si="92"/>
        <v/>
      </c>
    </row>
    <row r="1643" spans="1:17" x14ac:dyDescent="0.25">
      <c r="A1643" t="s">
        <v>1223</v>
      </c>
      <c r="C1643">
        <f>IFERROR(COUNTIFS($A$1:A1643,"Câu "&amp;"*")-MID(A1643,5,FIND(".",A1643,1)-5),0)</f>
        <v>0</v>
      </c>
      <c r="D1643">
        <f t="shared" si="94"/>
        <v>397</v>
      </c>
      <c r="E1643" t="str">
        <f>SUBSTITUTE(IF(LEFT(A1643,3)="Câu",MID(A1643,FIND(".",A1643,1)+2,LEN(A1643)),""),CHAR(34),CHAR(92)&amp;CHAR(34))</f>
        <v>Biển nào báo hiệu \"Giao nhau với đường hai chiều\"?</v>
      </c>
      <c r="F1643" t="str">
        <f t="shared" si="93"/>
        <v>q397.jpg</v>
      </c>
      <c r="G1643" t="str">
        <f>SUBSTITUTE(B1644,CHAR(34),CHAR(92)&amp;CHAR(34))</f>
        <v>Biển 1.</v>
      </c>
      <c r="H1643" t="str">
        <f>SUBSTITUTE(B1645,CHAR(34),CHAR(92)&amp;CHAR(34))</f>
        <v xml:space="preserve"> Biển 2.</v>
      </c>
      <c r="I1643" t="str">
        <f>SUBSTITUTE(IF(LEFT(A1646,3)="Câu","",B1646),CHAR(34),CHAR(92)&amp;CHAR(34))</f>
        <v>Biển 3.</v>
      </c>
      <c r="J1643" t="str">
        <f>SUBSTITUTE(IF(OR(LEFT(A1647,3)="Câu",I1643=""),"",IF(B1647=0,"",B1647)),CHAR(34),CHAR(92)&amp;CHAR(34))</f>
        <v/>
      </c>
      <c r="K1643" t="str">
        <f ca="1">SUBSTITUTE(SUBSTITUTE(SUBSTITUTE(SUBSTITUTE(IFERROR(VLOOKUP("Câu "&amp;D1643&amp;".",dapan!$E:$J,6,0),""),"1","A"),"2","B"),"3","C"),"4","D")</f>
        <v>B</v>
      </c>
      <c r="P1643">
        <f t="shared" si="91"/>
        <v>397</v>
      </c>
      <c r="Q1643" t="str">
        <f t="shared" ca="1" si="92"/>
        <v>{"num":397,"id":397,"q":"Biển nào báo hiệu \"Giao nhau với đường hai chiều\"?","img":"q397.jpg","opts":{"A":"Biển 1.","B":" Biển 2.","C":"Biển 3."},"answer":"B"},</v>
      </c>
    </row>
    <row r="1644" spans="1:17" hidden="1" x14ac:dyDescent="0.25">
      <c r="A1644">
        <v>1</v>
      </c>
      <c r="B1644" t="s">
        <v>1075</v>
      </c>
      <c r="C1644">
        <f>IFERROR(COUNTIFS($A$1:A1644,"Câu "&amp;"*")-MID(A1644,5,FIND(".",A1644,1)-5),0)</f>
        <v>0</v>
      </c>
      <c r="D1644" t="str">
        <f t="shared" si="94"/>
        <v/>
      </c>
      <c r="E1644" t="str">
        <f>SUBSTITUTE(IF(LEFT(A1644,3)="Câu",MID(A1644,FIND(".",A1644,1)+2,LEN(A1644)),""),CHAR(34),CHAR(92)&amp;CHAR(34))</f>
        <v/>
      </c>
      <c r="F1644" t="str">
        <f t="shared" si="93"/>
        <v/>
      </c>
      <c r="G1644" t="str">
        <f>SUBSTITUTE(B1645,CHAR(34),CHAR(92)&amp;CHAR(34))</f>
        <v xml:space="preserve"> Biển 2.</v>
      </c>
      <c r="H1644" t="str">
        <f>SUBSTITUTE(B1646,CHAR(34),CHAR(92)&amp;CHAR(34))</f>
        <v>Biển 3.</v>
      </c>
      <c r="I1644" t="str">
        <f>SUBSTITUTE(IF(LEFT(A1647,3)="Câu","",B1647),CHAR(34),CHAR(92)&amp;CHAR(34))</f>
        <v/>
      </c>
      <c r="J1644" t="str">
        <f>SUBSTITUTE(IF(OR(LEFT(A1648,3)="Câu",I1644=""),"",IF(B1648=0,"",B1648)),CHAR(34),CHAR(92)&amp;CHAR(34))</f>
        <v/>
      </c>
      <c r="K1644" t="str">
        <f>SUBSTITUTE(SUBSTITUTE(SUBSTITUTE(SUBSTITUTE(IFERROR(VLOOKUP("Câu "&amp;D1644&amp;".",dapan!$E:$J,6,0),""),"1","A"),"2","B"),"3","C"),"4","D")</f>
        <v/>
      </c>
      <c r="P1644" t="str">
        <f t="shared" si="91"/>
        <v/>
      </c>
      <c r="Q1644" t="str">
        <f t="shared" si="92"/>
        <v/>
      </c>
    </row>
    <row r="1645" spans="1:17" hidden="1" x14ac:dyDescent="0.25">
      <c r="A1645">
        <v>2</v>
      </c>
      <c r="B1645" t="s">
        <v>1090</v>
      </c>
      <c r="C1645">
        <f>IFERROR(COUNTIFS($A$1:A1645,"Câu "&amp;"*")-MID(A1645,5,FIND(".",A1645,1)-5),0)</f>
        <v>0</v>
      </c>
      <c r="D1645" t="str">
        <f t="shared" si="94"/>
        <v/>
      </c>
      <c r="E1645" t="str">
        <f>SUBSTITUTE(IF(LEFT(A1645,3)="Câu",MID(A1645,FIND(".",A1645,1)+2,LEN(A1645)),""),CHAR(34),CHAR(92)&amp;CHAR(34))</f>
        <v/>
      </c>
      <c r="F1645" t="str">
        <f t="shared" si="93"/>
        <v/>
      </c>
      <c r="G1645" t="str">
        <f>SUBSTITUTE(B1646,CHAR(34),CHAR(92)&amp;CHAR(34))</f>
        <v>Biển 3.</v>
      </c>
      <c r="H1645" t="str">
        <f>SUBSTITUTE(B1647,CHAR(34),CHAR(92)&amp;CHAR(34))</f>
        <v/>
      </c>
      <c r="I1645" t="str">
        <f>SUBSTITUTE(IF(LEFT(A1648,3)="Câu","",B1648),CHAR(34),CHAR(92)&amp;CHAR(34))</f>
        <v>Biển 1.</v>
      </c>
      <c r="J1645" t="str">
        <f>SUBSTITUTE(IF(OR(LEFT(A1649,3)="Câu",I1645=""),"",IF(B1649=0,"",B1649)),CHAR(34),CHAR(92)&amp;CHAR(34))</f>
        <v xml:space="preserve"> Biển 2 và biển 3.</v>
      </c>
      <c r="K1645" t="str">
        <f>SUBSTITUTE(SUBSTITUTE(SUBSTITUTE(SUBSTITUTE(IFERROR(VLOOKUP("Câu "&amp;D1645&amp;".",dapan!$E:$J,6,0),""),"1","A"),"2","B"),"3","C"),"4","D")</f>
        <v/>
      </c>
      <c r="P1645" t="str">
        <f t="shared" si="91"/>
        <v/>
      </c>
      <c r="Q1645" t="str">
        <f t="shared" si="92"/>
        <v/>
      </c>
    </row>
    <row r="1646" spans="1:17" hidden="1" x14ac:dyDescent="0.25">
      <c r="A1646">
        <v>3</v>
      </c>
      <c r="B1646" t="s">
        <v>1083</v>
      </c>
      <c r="C1646">
        <f>IFERROR(COUNTIFS($A$1:A1646,"Câu "&amp;"*")-MID(A1646,5,FIND(".",A1646,1)-5),0)</f>
        <v>0</v>
      </c>
      <c r="D1646" t="str">
        <f t="shared" si="94"/>
        <v/>
      </c>
      <c r="E1646" t="str">
        <f>SUBSTITUTE(IF(LEFT(A1646,3)="Câu",MID(A1646,FIND(".",A1646,1)+2,LEN(A1646)),""),CHAR(34),CHAR(92)&amp;CHAR(34))</f>
        <v/>
      </c>
      <c r="F1646" t="str">
        <f t="shared" si="93"/>
        <v/>
      </c>
      <c r="G1646" t="str">
        <f>SUBSTITUTE(B1647,CHAR(34),CHAR(92)&amp;CHAR(34))</f>
        <v/>
      </c>
      <c r="H1646" t="str">
        <f>SUBSTITUTE(B1648,CHAR(34),CHAR(92)&amp;CHAR(34))</f>
        <v>Biển 1.</v>
      </c>
      <c r="I1646" t="str">
        <f>SUBSTITUTE(IF(LEFT(A1649,3)="Câu","",B1649),CHAR(34),CHAR(92)&amp;CHAR(34))</f>
        <v xml:space="preserve"> Biển 2 và biển 3.</v>
      </c>
      <c r="J1646" t="str">
        <f>SUBSTITUTE(IF(OR(LEFT(A1650,3)="Câu",I1646=""),"",IF(B1650=0,"",B1650)),CHAR(34),CHAR(92)&amp;CHAR(34))</f>
        <v>Cả ba biển.</v>
      </c>
      <c r="K1646" t="str">
        <f>SUBSTITUTE(SUBSTITUTE(SUBSTITUTE(SUBSTITUTE(IFERROR(VLOOKUP("Câu "&amp;D1646&amp;".",dapan!$E:$J,6,0),""),"1","A"),"2","B"),"3","C"),"4","D")</f>
        <v/>
      </c>
      <c r="P1646" t="str">
        <f t="shared" si="91"/>
        <v/>
      </c>
      <c r="Q1646" t="str">
        <f t="shared" si="92"/>
        <v/>
      </c>
    </row>
    <row r="1647" spans="1:17" x14ac:dyDescent="0.25">
      <c r="A1647" t="s">
        <v>1224</v>
      </c>
      <c r="C1647">
        <f>IFERROR(COUNTIFS($A$1:A1647,"Câu "&amp;"*")-MID(A1647,5,FIND(".",A1647,1)-5),0)</f>
        <v>0</v>
      </c>
      <c r="D1647">
        <f t="shared" si="94"/>
        <v>398</v>
      </c>
      <c r="E1647" t="str">
        <f>SUBSTITUTE(IF(LEFT(A1647,3)="Câu",MID(A1647,FIND(".",A1647,1)+2,LEN(A1647)),""),CHAR(34),CHAR(92)&amp;CHAR(34))</f>
        <v>Biển nào báo hiệu \"Chú ý chướng ngại vật\"?</v>
      </c>
      <c r="F1647" t="str">
        <f t="shared" si="93"/>
        <v>q398.jpg</v>
      </c>
      <c r="G1647" t="str">
        <f>SUBSTITUTE(B1648,CHAR(34),CHAR(92)&amp;CHAR(34))</f>
        <v>Biển 1.</v>
      </c>
      <c r="H1647" t="str">
        <f>SUBSTITUTE(B1649,CHAR(34),CHAR(92)&amp;CHAR(34))</f>
        <v xml:space="preserve"> Biển 2 và biển 3.</v>
      </c>
      <c r="I1647" t="str">
        <f>SUBSTITUTE(IF(LEFT(A1650,3)="Câu","",B1650),CHAR(34),CHAR(92)&amp;CHAR(34))</f>
        <v>Cả ba biển.</v>
      </c>
      <c r="J1647" t="str">
        <f>SUBSTITUTE(IF(OR(LEFT(A1651,3)="Câu",I1647=""),"",IF(B1651=0,"",B1651)),CHAR(34),CHAR(92)&amp;CHAR(34))</f>
        <v/>
      </c>
      <c r="K1647" t="str">
        <f ca="1">SUBSTITUTE(SUBSTITUTE(SUBSTITUTE(SUBSTITUTE(IFERROR(VLOOKUP("Câu "&amp;D1647&amp;".",dapan!$E:$J,6,0),""),"1","A"),"2","B"),"3","C"),"4","D")</f>
        <v>B</v>
      </c>
      <c r="P1647">
        <f t="shared" si="91"/>
        <v>398</v>
      </c>
      <c r="Q1647" t="str">
        <f t="shared" ca="1" si="92"/>
        <v>{"num":398,"id":398,"q":"Biển nào báo hiệu \"Chú ý chướng ngại vật\"?","img":"q398.jpg","opts":{"A":"Biển 1.","B":" Biển 2 và biển 3.","C":"Cả ba biển."},"answer":"B"},</v>
      </c>
    </row>
    <row r="1648" spans="1:17" hidden="1" x14ac:dyDescent="0.25">
      <c r="A1648">
        <v>1</v>
      </c>
      <c r="B1648" t="s">
        <v>1075</v>
      </c>
      <c r="C1648">
        <f>IFERROR(COUNTIFS($A$1:A1648,"Câu "&amp;"*")-MID(A1648,5,FIND(".",A1648,1)-5),0)</f>
        <v>0</v>
      </c>
      <c r="D1648" t="str">
        <f t="shared" si="94"/>
        <v/>
      </c>
      <c r="E1648" t="str">
        <f>SUBSTITUTE(IF(LEFT(A1648,3)="Câu",MID(A1648,FIND(".",A1648,1)+2,LEN(A1648)),""),CHAR(34),CHAR(92)&amp;CHAR(34))</f>
        <v/>
      </c>
      <c r="F1648" t="str">
        <f t="shared" si="93"/>
        <v/>
      </c>
      <c r="G1648" t="str">
        <f>SUBSTITUTE(B1649,CHAR(34),CHAR(92)&amp;CHAR(34))</f>
        <v xml:space="preserve"> Biển 2 và biển 3.</v>
      </c>
      <c r="H1648" t="str">
        <f>SUBSTITUTE(B1650,CHAR(34),CHAR(92)&amp;CHAR(34))</f>
        <v>Cả ba biển.</v>
      </c>
      <c r="I1648" t="str">
        <f>SUBSTITUTE(IF(LEFT(A1651,3)="Câu","",B1651),CHAR(34),CHAR(92)&amp;CHAR(34))</f>
        <v/>
      </c>
      <c r="J1648" t="str">
        <f>SUBSTITUTE(IF(OR(LEFT(A1652,3)="Câu",I1648=""),"",IF(B1652=0,"",B1652)),CHAR(34),CHAR(92)&amp;CHAR(34))</f>
        <v/>
      </c>
      <c r="K1648" t="str">
        <f>SUBSTITUTE(SUBSTITUTE(SUBSTITUTE(SUBSTITUTE(IFERROR(VLOOKUP("Câu "&amp;D1648&amp;".",dapan!$E:$J,6,0),""),"1","A"),"2","B"),"3","C"),"4","D")</f>
        <v/>
      </c>
      <c r="P1648" t="str">
        <f t="shared" si="91"/>
        <v/>
      </c>
      <c r="Q1648" t="str">
        <f t="shared" si="92"/>
        <v/>
      </c>
    </row>
    <row r="1649" spans="1:17" hidden="1" x14ac:dyDescent="0.25">
      <c r="A1649">
        <v>2</v>
      </c>
      <c r="B1649" t="s">
        <v>1076</v>
      </c>
      <c r="C1649">
        <f>IFERROR(COUNTIFS($A$1:A1649,"Câu "&amp;"*")-MID(A1649,5,FIND(".",A1649,1)-5),0)</f>
        <v>0</v>
      </c>
      <c r="D1649" t="str">
        <f t="shared" si="94"/>
        <v/>
      </c>
      <c r="E1649" t="str">
        <f>SUBSTITUTE(IF(LEFT(A1649,3)="Câu",MID(A1649,FIND(".",A1649,1)+2,LEN(A1649)),""),CHAR(34),CHAR(92)&amp;CHAR(34))</f>
        <v/>
      </c>
      <c r="F1649" t="str">
        <f t="shared" si="93"/>
        <v/>
      </c>
      <c r="G1649" t="str">
        <f>SUBSTITUTE(B1650,CHAR(34),CHAR(92)&amp;CHAR(34))</f>
        <v>Cả ba biển.</v>
      </c>
      <c r="H1649" t="str">
        <f>SUBSTITUTE(B1651,CHAR(34),CHAR(92)&amp;CHAR(34))</f>
        <v/>
      </c>
      <c r="I1649" t="str">
        <f>SUBSTITUTE(IF(LEFT(A1652,3)="Câu","",B1652),CHAR(34),CHAR(92)&amp;CHAR(34))</f>
        <v>Biển 1.</v>
      </c>
      <c r="J1649" t="str">
        <f>SUBSTITUTE(IF(OR(LEFT(A1653,3)="Câu",I1649=""),"",IF(B1653=0,"",B1653)),CHAR(34),CHAR(92)&amp;CHAR(34))</f>
        <v xml:space="preserve"> Biển 2.</v>
      </c>
      <c r="K1649" t="str">
        <f>SUBSTITUTE(SUBSTITUTE(SUBSTITUTE(SUBSTITUTE(IFERROR(VLOOKUP("Câu "&amp;D1649&amp;".",dapan!$E:$J,6,0),""),"1","A"),"2","B"),"3","C"),"4","D")</f>
        <v/>
      </c>
      <c r="P1649" t="str">
        <f t="shared" si="91"/>
        <v/>
      </c>
      <c r="Q1649" t="str">
        <f t="shared" si="92"/>
        <v/>
      </c>
    </row>
    <row r="1650" spans="1:17" hidden="1" x14ac:dyDescent="0.25">
      <c r="A1650">
        <v>3</v>
      </c>
      <c r="B1650" t="s">
        <v>1071</v>
      </c>
      <c r="C1650">
        <f>IFERROR(COUNTIFS($A$1:A1650,"Câu "&amp;"*")-MID(A1650,5,FIND(".",A1650,1)-5),0)</f>
        <v>0</v>
      </c>
      <c r="D1650" t="str">
        <f t="shared" si="94"/>
        <v/>
      </c>
      <c r="E1650" t="str">
        <f>SUBSTITUTE(IF(LEFT(A1650,3)="Câu",MID(A1650,FIND(".",A1650,1)+2,LEN(A1650)),""),CHAR(34),CHAR(92)&amp;CHAR(34))</f>
        <v/>
      </c>
      <c r="F1650" t="str">
        <f t="shared" si="93"/>
        <v/>
      </c>
      <c r="G1650" t="str">
        <f>SUBSTITUTE(B1651,CHAR(34),CHAR(92)&amp;CHAR(34))</f>
        <v/>
      </c>
      <c r="H1650" t="str">
        <f>SUBSTITUTE(B1652,CHAR(34),CHAR(92)&amp;CHAR(34))</f>
        <v>Biển 1.</v>
      </c>
      <c r="I1650" t="str">
        <f>SUBSTITUTE(IF(LEFT(A1653,3)="Câu","",B1653),CHAR(34),CHAR(92)&amp;CHAR(34))</f>
        <v xml:space="preserve"> Biển 2.</v>
      </c>
      <c r="J1650" t="str">
        <f>SUBSTITUTE(IF(OR(LEFT(A1654,3)="Câu",I1650=""),"",IF(B1654=0,"",B1654)),CHAR(34),CHAR(92)&amp;CHAR(34))</f>
        <v>Cả hai biển.</v>
      </c>
      <c r="K1650" t="str">
        <f>SUBSTITUTE(SUBSTITUTE(SUBSTITUTE(SUBSTITUTE(IFERROR(VLOOKUP("Câu "&amp;D1650&amp;".",dapan!$E:$J,6,0),""),"1","A"),"2","B"),"3","C"),"4","D")</f>
        <v/>
      </c>
      <c r="P1650" t="str">
        <f t="shared" si="91"/>
        <v/>
      </c>
      <c r="Q1650" t="str">
        <f t="shared" si="92"/>
        <v/>
      </c>
    </row>
    <row r="1651" spans="1:17" x14ac:dyDescent="0.25">
      <c r="A1651" t="s">
        <v>1225</v>
      </c>
      <c r="C1651">
        <f>IFERROR(COUNTIFS($A$1:A1651,"Câu "&amp;"*")-MID(A1651,5,FIND(".",A1651,1)-5),0)</f>
        <v>0</v>
      </c>
      <c r="D1651">
        <f t="shared" si="94"/>
        <v>399</v>
      </c>
      <c r="E1651" t="str">
        <f>SUBSTITUTE(IF(LEFT(A1651,3)="Câu",MID(A1651,FIND(".",A1651,1)+2,LEN(A1651)),""),CHAR(34),CHAR(92)&amp;CHAR(34))</f>
        <v>Biển nào chỉ dẫn cho người tham gia giao thông biết vị trí và khoảng cách có làn đường cứu nạn hay làn thoát xe khẩn cấp?</v>
      </c>
      <c r="F1651" t="str">
        <f t="shared" si="93"/>
        <v>q399.jpg</v>
      </c>
      <c r="G1651" t="str">
        <f>SUBSTITUTE(B1652,CHAR(34),CHAR(92)&amp;CHAR(34))</f>
        <v>Biển 1.</v>
      </c>
      <c r="H1651" t="str">
        <f>SUBSTITUTE(B1653,CHAR(34),CHAR(92)&amp;CHAR(34))</f>
        <v xml:space="preserve"> Biển 2.</v>
      </c>
      <c r="I1651" t="str">
        <f>SUBSTITUTE(IF(LEFT(A1654,3)="Câu","",B1654),CHAR(34),CHAR(92)&amp;CHAR(34))</f>
        <v>Cả hai biển.</v>
      </c>
      <c r="J1651" t="str">
        <f>SUBSTITUTE(IF(OR(LEFT(A1655,3)="Câu",I1651=""),"",IF(B1655=0,"",B1655)),CHAR(34),CHAR(92)&amp;CHAR(34))</f>
        <v/>
      </c>
      <c r="K1651" t="str">
        <f ca="1">SUBSTITUTE(SUBSTITUTE(SUBSTITUTE(SUBSTITUTE(IFERROR(VLOOKUP("Câu "&amp;D1651&amp;".",dapan!$E:$J,6,0),""),"1","A"),"2","B"),"3","C"),"4","D")</f>
        <v>B</v>
      </c>
      <c r="P1651">
        <f t="shared" si="91"/>
        <v>399</v>
      </c>
      <c r="Q1651" t="str">
        <f t="shared" ca="1" si="92"/>
        <v>{"num":399,"id":399,"q":"Biển nào chỉ dẫn cho người tham gia giao thông biết vị trí và khoảng cách có làn đường cứu nạn hay làn thoát xe khẩn cấp?","img":"q399.jpg","opts":{"A":"Biển 1.","B":" Biển 2.","C":"Cả hai biển."},"answer":"B"},</v>
      </c>
    </row>
    <row r="1652" spans="1:17" hidden="1" x14ac:dyDescent="0.25">
      <c r="A1652">
        <v>1</v>
      </c>
      <c r="B1652" t="s">
        <v>1075</v>
      </c>
      <c r="C1652">
        <f>IFERROR(COUNTIFS($A$1:A1652,"Câu "&amp;"*")-MID(A1652,5,FIND(".",A1652,1)-5),0)</f>
        <v>0</v>
      </c>
      <c r="D1652" t="str">
        <f t="shared" si="94"/>
        <v/>
      </c>
      <c r="E1652" t="str">
        <f>SUBSTITUTE(IF(LEFT(A1652,3)="Câu",MID(A1652,FIND(".",A1652,1)+2,LEN(A1652)),""),CHAR(34),CHAR(92)&amp;CHAR(34))</f>
        <v/>
      </c>
      <c r="F1652" t="str">
        <f t="shared" si="93"/>
        <v/>
      </c>
      <c r="G1652" t="str">
        <f>SUBSTITUTE(B1653,CHAR(34),CHAR(92)&amp;CHAR(34))</f>
        <v xml:space="preserve"> Biển 2.</v>
      </c>
      <c r="H1652" t="str">
        <f>SUBSTITUTE(B1654,CHAR(34),CHAR(92)&amp;CHAR(34))</f>
        <v>Cả hai biển.</v>
      </c>
      <c r="I1652" t="str">
        <f>SUBSTITUTE(IF(LEFT(A1655,3)="Câu","",B1655),CHAR(34),CHAR(92)&amp;CHAR(34))</f>
        <v/>
      </c>
      <c r="J1652" t="str">
        <f>SUBSTITUTE(IF(OR(LEFT(A1656,3)="Câu",I1652=""),"",IF(B1656=0,"",B1656)),CHAR(34),CHAR(92)&amp;CHAR(34))</f>
        <v/>
      </c>
      <c r="K1652" t="str">
        <f>SUBSTITUTE(SUBSTITUTE(SUBSTITUTE(SUBSTITUTE(IFERROR(VLOOKUP("Câu "&amp;D1652&amp;".",dapan!$E:$J,6,0),""),"1","A"),"2","B"),"3","C"),"4","D")</f>
        <v/>
      </c>
      <c r="P1652" t="str">
        <f t="shared" si="91"/>
        <v/>
      </c>
      <c r="Q1652" t="str">
        <f t="shared" si="92"/>
        <v/>
      </c>
    </row>
    <row r="1653" spans="1:17" hidden="1" x14ac:dyDescent="0.25">
      <c r="A1653">
        <v>2</v>
      </c>
      <c r="B1653" t="s">
        <v>1090</v>
      </c>
      <c r="C1653">
        <f>IFERROR(COUNTIFS($A$1:A1653,"Câu "&amp;"*")-MID(A1653,5,FIND(".",A1653,1)-5),0)</f>
        <v>0</v>
      </c>
      <c r="D1653" t="str">
        <f t="shared" si="94"/>
        <v/>
      </c>
      <c r="E1653" t="str">
        <f>SUBSTITUTE(IF(LEFT(A1653,3)="Câu",MID(A1653,FIND(".",A1653,1)+2,LEN(A1653)),""),CHAR(34),CHAR(92)&amp;CHAR(34))</f>
        <v/>
      </c>
      <c r="F1653" t="str">
        <f t="shared" si="93"/>
        <v/>
      </c>
      <c r="G1653" t="str">
        <f>SUBSTITUTE(B1654,CHAR(34),CHAR(92)&amp;CHAR(34))</f>
        <v>Cả hai biển.</v>
      </c>
      <c r="H1653" t="str">
        <f>SUBSTITUTE(B1655,CHAR(34),CHAR(92)&amp;CHAR(34))</f>
        <v/>
      </c>
      <c r="I1653" t="str">
        <f>SUBSTITUTE(IF(LEFT(A1656,3)="Câu","",B1656),CHAR(34),CHAR(92)&amp;CHAR(34))</f>
        <v>Cả ba biển.</v>
      </c>
      <c r="J1653" t="str">
        <f>SUBSTITUTE(IF(OR(LEFT(A1657,3)="Câu",I1653=""),"",IF(B1657=0,"",B1657)),CHAR(34),CHAR(92)&amp;CHAR(34))</f>
        <v xml:space="preserve"> Biển 2.</v>
      </c>
      <c r="K1653" t="str">
        <f>SUBSTITUTE(SUBSTITUTE(SUBSTITUTE(SUBSTITUTE(IFERROR(VLOOKUP("Câu "&amp;D1653&amp;".",dapan!$E:$J,6,0),""),"1","A"),"2","B"),"3","C"),"4","D")</f>
        <v/>
      </c>
      <c r="P1653" t="str">
        <f t="shared" si="91"/>
        <v/>
      </c>
      <c r="Q1653" t="str">
        <f t="shared" si="92"/>
        <v/>
      </c>
    </row>
    <row r="1654" spans="1:17" hidden="1" x14ac:dyDescent="0.25">
      <c r="A1654">
        <v>3</v>
      </c>
      <c r="B1654" t="s">
        <v>1095</v>
      </c>
      <c r="C1654">
        <f>IFERROR(COUNTIFS($A$1:A1654,"Câu "&amp;"*")-MID(A1654,5,FIND(".",A1654,1)-5),0)</f>
        <v>0</v>
      </c>
      <c r="D1654" t="str">
        <f t="shared" si="94"/>
        <v/>
      </c>
      <c r="E1654" t="str">
        <f>SUBSTITUTE(IF(LEFT(A1654,3)="Câu",MID(A1654,FIND(".",A1654,1)+2,LEN(A1654)),""),CHAR(34),CHAR(92)&amp;CHAR(34))</f>
        <v/>
      </c>
      <c r="F1654" t="str">
        <f t="shared" si="93"/>
        <v/>
      </c>
      <c r="G1654" t="str">
        <f>SUBSTITUTE(B1655,CHAR(34),CHAR(92)&amp;CHAR(34))</f>
        <v/>
      </c>
      <c r="H1654" t="str">
        <f>SUBSTITUTE(B1656,CHAR(34),CHAR(92)&amp;CHAR(34))</f>
        <v>Cả ba biển.</v>
      </c>
      <c r="I1654" t="str">
        <f>SUBSTITUTE(IF(LEFT(A1657,3)="Câu","",B1657),CHAR(34),CHAR(92)&amp;CHAR(34))</f>
        <v xml:space="preserve"> Biển 2.</v>
      </c>
      <c r="J1654" t="str">
        <f>SUBSTITUTE(IF(OR(LEFT(A1658,3)="Câu",I1654=""),"",IF(B1658=0,"",B1658)),CHAR(34),CHAR(92)&amp;CHAR(34))</f>
        <v>Biển 2 và biển 3.</v>
      </c>
      <c r="K1654" t="str">
        <f>SUBSTITUTE(SUBSTITUTE(SUBSTITUTE(SUBSTITUTE(IFERROR(VLOOKUP("Câu "&amp;D1654&amp;".",dapan!$E:$J,6,0),""),"1","A"),"2","B"),"3","C"),"4","D")</f>
        <v/>
      </c>
      <c r="P1654" t="str">
        <f t="shared" si="91"/>
        <v/>
      </c>
      <c r="Q1654" t="str">
        <f t="shared" si="92"/>
        <v/>
      </c>
    </row>
    <row r="1655" spans="1:17" x14ac:dyDescent="0.25">
      <c r="A1655" t="s">
        <v>1226</v>
      </c>
      <c r="C1655">
        <f>IFERROR(COUNTIFS($A$1:A1655,"Câu "&amp;"*")-MID(A1655,5,FIND(".",A1655,1)-5),0)</f>
        <v>0</v>
      </c>
      <c r="D1655">
        <f t="shared" si="94"/>
        <v>400</v>
      </c>
      <c r="E1655" t="str">
        <f>SUBSTITUTE(IF(LEFT(A1655,3)="Câu",MID(A1655,FIND(".",A1655,1)+2,LEN(A1655)),""),CHAR(34),CHAR(92)&amp;CHAR(34))</f>
        <v>Biển nào báo hiệu \"Đường hầm\"?</v>
      </c>
      <c r="F1655" t="str">
        <f t="shared" si="93"/>
        <v>q400.jpg</v>
      </c>
      <c r="G1655" t="str">
        <f>SUBSTITUTE(B1656,CHAR(34),CHAR(92)&amp;CHAR(34))</f>
        <v>Cả ba biển.</v>
      </c>
      <c r="H1655" t="str">
        <f>SUBSTITUTE(B1657,CHAR(34),CHAR(92)&amp;CHAR(34))</f>
        <v xml:space="preserve"> Biển 2.</v>
      </c>
      <c r="I1655" t="str">
        <f>SUBSTITUTE(IF(LEFT(A1658,3)="Câu","",B1658),CHAR(34),CHAR(92)&amp;CHAR(34))</f>
        <v>Biển 2 và biển 3.</v>
      </c>
      <c r="J1655" t="str">
        <f>SUBSTITUTE(IF(OR(LEFT(A1659,3)="Câu",I1655=""),"",IF(B1659=0,"",B1659)),CHAR(34),CHAR(92)&amp;CHAR(34))</f>
        <v/>
      </c>
      <c r="K1655" t="str">
        <f ca="1">SUBSTITUTE(SUBSTITUTE(SUBSTITUTE(SUBSTITUTE(IFERROR(VLOOKUP("Câu "&amp;D1655&amp;".",dapan!$E:$J,6,0),""),"1","A"),"2","B"),"3","C"),"4","D")</f>
        <v>B</v>
      </c>
      <c r="P1655">
        <f t="shared" si="91"/>
        <v>400</v>
      </c>
      <c r="Q1655" t="str">
        <f t="shared" ca="1" si="92"/>
        <v>{"num":400,"id":400,"q":"Biển nào báo hiệu \"Đường hầm\"?","img":"q400.jpg","opts":{"A":"Cả ba biển.","B":" Biển 2.","C":"Biển 2 và biển 3."},"answer":"B"},</v>
      </c>
    </row>
    <row r="1656" spans="1:17" hidden="1" x14ac:dyDescent="0.25">
      <c r="A1656">
        <v>1</v>
      </c>
      <c r="B1656" t="s">
        <v>1071</v>
      </c>
      <c r="C1656">
        <f>IFERROR(COUNTIFS($A$1:A1656,"Câu "&amp;"*")-MID(A1656,5,FIND(".",A1656,1)-5),0)</f>
        <v>0</v>
      </c>
      <c r="D1656" t="str">
        <f t="shared" si="94"/>
        <v/>
      </c>
      <c r="E1656" t="str">
        <f>SUBSTITUTE(IF(LEFT(A1656,3)="Câu",MID(A1656,FIND(".",A1656,1)+2,LEN(A1656)),""),CHAR(34),CHAR(92)&amp;CHAR(34))</f>
        <v/>
      </c>
      <c r="F1656" t="str">
        <f t="shared" si="93"/>
        <v/>
      </c>
      <c r="G1656" t="str">
        <f>SUBSTITUTE(B1657,CHAR(34),CHAR(92)&amp;CHAR(34))</f>
        <v xml:space="preserve"> Biển 2.</v>
      </c>
      <c r="H1656" t="str">
        <f>SUBSTITUTE(B1658,CHAR(34),CHAR(92)&amp;CHAR(34))</f>
        <v>Biển 2 và biển 3.</v>
      </c>
      <c r="I1656" t="str">
        <f>SUBSTITUTE(IF(LEFT(A1659,3)="Câu","",B1659),CHAR(34),CHAR(92)&amp;CHAR(34))</f>
        <v/>
      </c>
      <c r="J1656" t="str">
        <f>SUBSTITUTE(IF(OR(LEFT(A1660,3)="Câu",I1656=""),"",IF(B1660=0,"",B1660)),CHAR(34),CHAR(92)&amp;CHAR(34))</f>
        <v/>
      </c>
      <c r="K1656" t="str">
        <f>SUBSTITUTE(SUBSTITUTE(SUBSTITUTE(SUBSTITUTE(IFERROR(VLOOKUP("Câu "&amp;D1656&amp;".",dapan!$E:$J,6,0),""),"1","A"),"2","B"),"3","C"),"4","D")</f>
        <v/>
      </c>
      <c r="P1656" t="str">
        <f t="shared" si="91"/>
        <v/>
      </c>
      <c r="Q1656" t="str">
        <f t="shared" si="92"/>
        <v/>
      </c>
    </row>
    <row r="1657" spans="1:17" hidden="1" x14ac:dyDescent="0.25">
      <c r="A1657">
        <v>2</v>
      </c>
      <c r="B1657" t="s">
        <v>1090</v>
      </c>
      <c r="C1657">
        <f>IFERROR(COUNTIFS($A$1:A1657,"Câu "&amp;"*")-MID(A1657,5,FIND(".",A1657,1)-5),0)</f>
        <v>0</v>
      </c>
      <c r="D1657" t="str">
        <f t="shared" si="94"/>
        <v/>
      </c>
      <c r="E1657" t="str">
        <f>SUBSTITUTE(IF(LEFT(A1657,3)="Câu",MID(A1657,FIND(".",A1657,1)+2,LEN(A1657)),""),CHAR(34),CHAR(92)&amp;CHAR(34))</f>
        <v/>
      </c>
      <c r="F1657" t="str">
        <f t="shared" si="93"/>
        <v/>
      </c>
      <c r="G1657" t="str">
        <f>SUBSTITUTE(B1658,CHAR(34),CHAR(92)&amp;CHAR(34))</f>
        <v>Biển 2 và biển 3.</v>
      </c>
      <c r="H1657" t="str">
        <f>SUBSTITUTE(B1659,CHAR(34),CHAR(92)&amp;CHAR(34))</f>
        <v/>
      </c>
      <c r="I1657" t="str">
        <f>SUBSTITUTE(IF(LEFT(A1660,3)="Câu","",B1660),CHAR(34),CHAR(92)&amp;CHAR(34))</f>
        <v>Biển 1.</v>
      </c>
      <c r="J1657" t="str">
        <f>SUBSTITUTE(IF(OR(LEFT(A1661,3)="Câu",I1657=""),"",IF(B1661=0,"",B1661)),CHAR(34),CHAR(92)&amp;CHAR(34))</f>
        <v xml:space="preserve"> Biển 2.</v>
      </c>
      <c r="K1657" t="str">
        <f>SUBSTITUTE(SUBSTITUTE(SUBSTITUTE(SUBSTITUTE(IFERROR(VLOOKUP("Câu "&amp;D1657&amp;".",dapan!$E:$J,6,0),""),"1","A"),"2","B"),"3","C"),"4","D")</f>
        <v/>
      </c>
      <c r="P1657" t="str">
        <f t="shared" si="91"/>
        <v/>
      </c>
      <c r="Q1657" t="str">
        <f t="shared" si="92"/>
        <v/>
      </c>
    </row>
    <row r="1658" spans="1:17" hidden="1" x14ac:dyDescent="0.25">
      <c r="A1658">
        <v>3</v>
      </c>
      <c r="B1658" t="s">
        <v>1072</v>
      </c>
      <c r="C1658">
        <f>IFERROR(COUNTIFS($A$1:A1658,"Câu "&amp;"*")-MID(A1658,5,FIND(".",A1658,1)-5),0)</f>
        <v>0</v>
      </c>
      <c r="D1658" t="str">
        <f t="shared" si="94"/>
        <v/>
      </c>
      <c r="E1658" t="str">
        <f>SUBSTITUTE(IF(LEFT(A1658,3)="Câu",MID(A1658,FIND(".",A1658,1)+2,LEN(A1658)),""),CHAR(34),CHAR(92)&amp;CHAR(34))</f>
        <v/>
      </c>
      <c r="F1658" t="str">
        <f t="shared" si="93"/>
        <v/>
      </c>
      <c r="G1658" t="str">
        <f>SUBSTITUTE(B1659,CHAR(34),CHAR(92)&amp;CHAR(34))</f>
        <v/>
      </c>
      <c r="H1658" t="str">
        <f>SUBSTITUTE(B1660,CHAR(34),CHAR(92)&amp;CHAR(34))</f>
        <v>Biển 1.</v>
      </c>
      <c r="I1658" t="str">
        <f>SUBSTITUTE(IF(LEFT(A1661,3)="Câu","",B1661),CHAR(34),CHAR(92)&amp;CHAR(34))</f>
        <v xml:space="preserve"> Biển 2.</v>
      </c>
      <c r="J1658" t="str">
        <f>SUBSTITUTE(IF(OR(LEFT(A1662,3)="Câu",I1658=""),"",IF(B1662=0,"",B1662)),CHAR(34),CHAR(92)&amp;CHAR(34))</f>
        <v>Biển 3.</v>
      </c>
      <c r="K1658" t="str">
        <f>SUBSTITUTE(SUBSTITUTE(SUBSTITUTE(SUBSTITUTE(IFERROR(VLOOKUP("Câu "&amp;D1658&amp;".",dapan!$E:$J,6,0),""),"1","A"),"2","B"),"3","C"),"4","D")</f>
        <v/>
      </c>
      <c r="P1658" t="str">
        <f t="shared" si="91"/>
        <v/>
      </c>
      <c r="Q1658" t="str">
        <f t="shared" si="92"/>
        <v/>
      </c>
    </row>
    <row r="1659" spans="1:17" x14ac:dyDescent="0.25">
      <c r="A1659" t="s">
        <v>1227</v>
      </c>
      <c r="C1659">
        <f>IFERROR(COUNTIFS($A$1:A1659,"Câu "&amp;"*")-MID(A1659,5,FIND(".",A1659,1)-5),0)</f>
        <v>0</v>
      </c>
      <c r="D1659">
        <f t="shared" si="94"/>
        <v>401</v>
      </c>
      <c r="E1659" t="str">
        <f>SUBSTITUTE(IF(LEFT(A1659,3)="Câu",MID(A1659,FIND(".",A1659,1)+2,LEN(A1659)),""),CHAR(34),CHAR(92)&amp;CHAR(34))</f>
        <v>Biển nào dưới đây là biển \"Cầu hẹp\"?</v>
      </c>
      <c r="F1659" t="str">
        <f t="shared" si="93"/>
        <v>q401.jpg</v>
      </c>
      <c r="G1659" t="str">
        <f>SUBSTITUTE(B1660,CHAR(34),CHAR(92)&amp;CHAR(34))</f>
        <v>Biển 1.</v>
      </c>
      <c r="H1659" t="str">
        <f>SUBSTITUTE(B1661,CHAR(34),CHAR(92)&amp;CHAR(34))</f>
        <v xml:space="preserve"> Biển 2.</v>
      </c>
      <c r="I1659" t="str">
        <f>SUBSTITUTE(IF(LEFT(A1662,3)="Câu","",B1662),CHAR(34),CHAR(92)&amp;CHAR(34))</f>
        <v>Biển 3.</v>
      </c>
      <c r="J1659" t="str">
        <f>SUBSTITUTE(IF(OR(LEFT(A1663,3)="Câu",I1659=""),"",IF(B1663=0,"",B1663)),CHAR(34),CHAR(92)&amp;CHAR(34))</f>
        <v/>
      </c>
      <c r="K1659" t="str">
        <f ca="1">SUBSTITUTE(SUBSTITUTE(SUBSTITUTE(SUBSTITUTE(IFERROR(VLOOKUP("Câu "&amp;D1659&amp;".",dapan!$E:$J,6,0),""),"1","A"),"2","B"),"3","C"),"4","D")</f>
        <v>B</v>
      </c>
      <c r="P1659">
        <f t="shared" si="91"/>
        <v>401</v>
      </c>
      <c r="Q1659" t="str">
        <f t="shared" ca="1" si="92"/>
        <v>{"num":401,"id":401,"q":"Biển nào dưới đây là biển \"Cầu hẹp\"?","img":"q401.jpg","opts":{"A":"Biển 1.","B":" Biển 2.","C":"Biển 3."},"answer":"B"},</v>
      </c>
    </row>
    <row r="1660" spans="1:17" hidden="1" x14ac:dyDescent="0.25">
      <c r="A1660">
        <v>1</v>
      </c>
      <c r="B1660" t="s">
        <v>1075</v>
      </c>
      <c r="C1660">
        <f>IFERROR(COUNTIFS($A$1:A1660,"Câu "&amp;"*")-MID(A1660,5,FIND(".",A1660,1)-5),0)</f>
        <v>0</v>
      </c>
      <c r="D1660" t="str">
        <f t="shared" si="94"/>
        <v/>
      </c>
      <c r="E1660" t="str">
        <f>SUBSTITUTE(IF(LEFT(A1660,3)="Câu",MID(A1660,FIND(".",A1660,1)+2,LEN(A1660)),""),CHAR(34),CHAR(92)&amp;CHAR(34))</f>
        <v/>
      </c>
      <c r="F1660" t="str">
        <f t="shared" si="93"/>
        <v/>
      </c>
      <c r="G1660" t="str">
        <f>SUBSTITUTE(B1661,CHAR(34),CHAR(92)&amp;CHAR(34))</f>
        <v xml:space="preserve"> Biển 2.</v>
      </c>
      <c r="H1660" t="str">
        <f>SUBSTITUTE(B1662,CHAR(34),CHAR(92)&amp;CHAR(34))</f>
        <v>Biển 3.</v>
      </c>
      <c r="I1660" t="str">
        <f>SUBSTITUTE(IF(LEFT(A1663,3)="Câu","",B1663),CHAR(34),CHAR(92)&amp;CHAR(34))</f>
        <v/>
      </c>
      <c r="J1660" t="str">
        <f>SUBSTITUTE(IF(OR(LEFT(A1664,3)="Câu",I1660=""),"",IF(B1664=0,"",B1664)),CHAR(34),CHAR(92)&amp;CHAR(34))</f>
        <v/>
      </c>
      <c r="K1660" t="str">
        <f>SUBSTITUTE(SUBSTITUTE(SUBSTITUTE(SUBSTITUTE(IFERROR(VLOOKUP("Câu "&amp;D1660&amp;".",dapan!$E:$J,6,0),""),"1","A"),"2","B"),"3","C"),"4","D")</f>
        <v/>
      </c>
      <c r="P1660" t="str">
        <f t="shared" si="91"/>
        <v/>
      </c>
      <c r="Q1660" t="str">
        <f t="shared" si="92"/>
        <v/>
      </c>
    </row>
    <row r="1661" spans="1:17" hidden="1" x14ac:dyDescent="0.25">
      <c r="A1661">
        <v>2</v>
      </c>
      <c r="B1661" t="s">
        <v>1090</v>
      </c>
      <c r="C1661">
        <f>IFERROR(COUNTIFS($A$1:A1661,"Câu "&amp;"*")-MID(A1661,5,FIND(".",A1661,1)-5),0)</f>
        <v>0</v>
      </c>
      <c r="D1661" t="str">
        <f t="shared" si="94"/>
        <v/>
      </c>
      <c r="E1661" t="str">
        <f>SUBSTITUTE(IF(LEFT(A1661,3)="Câu",MID(A1661,FIND(".",A1661,1)+2,LEN(A1661)),""),CHAR(34),CHAR(92)&amp;CHAR(34))</f>
        <v/>
      </c>
      <c r="F1661" t="str">
        <f t="shared" si="93"/>
        <v/>
      </c>
      <c r="G1661" t="str">
        <f>SUBSTITUTE(B1662,CHAR(34),CHAR(92)&amp;CHAR(34))</f>
        <v>Biển 3.</v>
      </c>
      <c r="H1661" t="str">
        <f>SUBSTITUTE(B1663,CHAR(34),CHAR(92)&amp;CHAR(34))</f>
        <v/>
      </c>
      <c r="I1661" t="str">
        <f>SUBSTITUTE(IF(LEFT(A1664,3)="Câu","",B1664),CHAR(34),CHAR(92)&amp;CHAR(34))</f>
        <v>Biển 1.</v>
      </c>
      <c r="J1661" t="str">
        <f>SUBSTITUTE(IF(OR(LEFT(A1665,3)="Câu",I1661=""),"",IF(B1665=0,"",B1665)),CHAR(34),CHAR(92)&amp;CHAR(34))</f>
        <v>Biển 2.</v>
      </c>
      <c r="K1661" t="str">
        <f>SUBSTITUTE(SUBSTITUTE(SUBSTITUTE(SUBSTITUTE(IFERROR(VLOOKUP("Câu "&amp;D1661&amp;".",dapan!$E:$J,6,0),""),"1","A"),"2","B"),"3","C"),"4","D")</f>
        <v/>
      </c>
      <c r="P1661" t="str">
        <f t="shared" si="91"/>
        <v/>
      </c>
      <c r="Q1661" t="str">
        <f t="shared" si="92"/>
        <v/>
      </c>
    </row>
    <row r="1662" spans="1:17" hidden="1" x14ac:dyDescent="0.25">
      <c r="A1662">
        <v>3</v>
      </c>
      <c r="B1662" t="s">
        <v>1083</v>
      </c>
      <c r="C1662">
        <f>IFERROR(COUNTIFS($A$1:A1662,"Câu "&amp;"*")-MID(A1662,5,FIND(".",A1662,1)-5),0)</f>
        <v>0</v>
      </c>
      <c r="D1662" t="str">
        <f t="shared" si="94"/>
        <v/>
      </c>
      <c r="E1662" t="str">
        <f>SUBSTITUTE(IF(LEFT(A1662,3)="Câu",MID(A1662,FIND(".",A1662,1)+2,LEN(A1662)),""),CHAR(34),CHAR(92)&amp;CHAR(34))</f>
        <v/>
      </c>
      <c r="F1662" t="str">
        <f t="shared" si="93"/>
        <v/>
      </c>
      <c r="G1662" t="str">
        <f>SUBSTITUTE(B1663,CHAR(34),CHAR(92)&amp;CHAR(34))</f>
        <v/>
      </c>
      <c r="H1662" t="str">
        <f>SUBSTITUTE(B1664,CHAR(34),CHAR(92)&amp;CHAR(34))</f>
        <v>Biển 1.</v>
      </c>
      <c r="I1662" t="str">
        <f>SUBSTITUTE(IF(LEFT(A1665,3)="Câu","",B1665),CHAR(34),CHAR(92)&amp;CHAR(34))</f>
        <v>Biển 2.</v>
      </c>
      <c r="J1662" t="str">
        <f>SUBSTITUTE(IF(OR(LEFT(A1666,3)="Câu",I1662=""),"",IF(B1666=0,"",B1666)),CHAR(34),CHAR(92)&amp;CHAR(34))</f>
        <v xml:space="preserve"> Biển 3.</v>
      </c>
      <c r="K1662" t="str">
        <f>SUBSTITUTE(SUBSTITUTE(SUBSTITUTE(SUBSTITUTE(IFERROR(VLOOKUP("Câu "&amp;D1662&amp;".",dapan!$E:$J,6,0),""),"1","A"),"2","B"),"3","C"),"4","D")</f>
        <v/>
      </c>
      <c r="P1662" t="str">
        <f t="shared" si="91"/>
        <v/>
      </c>
      <c r="Q1662" t="str">
        <f t="shared" si="92"/>
        <v/>
      </c>
    </row>
    <row r="1663" spans="1:17" x14ac:dyDescent="0.25">
      <c r="A1663" t="s">
        <v>1228</v>
      </c>
      <c r="C1663">
        <f>IFERROR(COUNTIFS($A$1:A1663,"Câu "&amp;"*")-MID(A1663,5,FIND(".",A1663,1)-5),0)</f>
        <v>0</v>
      </c>
      <c r="D1663">
        <f t="shared" si="94"/>
        <v>402</v>
      </c>
      <c r="E1663" t="str">
        <f>SUBSTITUTE(IF(LEFT(A1663,3)="Câu",MID(A1663,FIND(".",A1663,1)+2,LEN(A1663)),""),CHAR(34),CHAR(92)&amp;CHAR(34))</f>
        <v>Biển nào dưới đây là biển \"Cầu quay - cầu cất\"?</v>
      </c>
      <c r="F1663" t="str">
        <f t="shared" si="93"/>
        <v>q402.jpg</v>
      </c>
      <c r="G1663" t="str">
        <f>SUBSTITUTE(B1664,CHAR(34),CHAR(92)&amp;CHAR(34))</f>
        <v>Biển 1.</v>
      </c>
      <c r="H1663" t="str">
        <f>SUBSTITUTE(B1665,CHAR(34),CHAR(92)&amp;CHAR(34))</f>
        <v>Biển 2.</v>
      </c>
      <c r="I1663" t="str">
        <f>SUBSTITUTE(IF(LEFT(A1666,3)="Câu","",B1666),CHAR(34),CHAR(92)&amp;CHAR(34))</f>
        <v xml:space="preserve"> Biển 3.</v>
      </c>
      <c r="J1663" t="str">
        <f>SUBSTITUTE(IF(OR(LEFT(A1667,3)="Câu",I1663=""),"",IF(B1667=0,"",B1667)),CHAR(34),CHAR(92)&amp;CHAR(34))</f>
        <v/>
      </c>
      <c r="K1663" t="str">
        <f ca="1">SUBSTITUTE(SUBSTITUTE(SUBSTITUTE(SUBSTITUTE(IFERROR(VLOOKUP("Câu "&amp;D1663&amp;".",dapan!$E:$J,6,0),""),"1","A"),"2","B"),"3","C"),"4","D")</f>
        <v>C</v>
      </c>
      <c r="P1663">
        <f t="shared" si="91"/>
        <v>402</v>
      </c>
      <c r="Q1663" t="str">
        <f t="shared" ca="1" si="92"/>
        <v>{"num":402,"id":402,"q":"Biển nào dưới đây là biển \"Cầu quay - cầu cất\"?","img":"q402.jpg","opts":{"A":"Biển 1.","B":"Biển 2.","C":" Biển 3."},"answer":"C"},</v>
      </c>
    </row>
    <row r="1664" spans="1:17" hidden="1" x14ac:dyDescent="0.25">
      <c r="A1664">
        <v>1</v>
      </c>
      <c r="B1664" t="s">
        <v>1075</v>
      </c>
      <c r="C1664">
        <f>IFERROR(COUNTIFS($A$1:A1664,"Câu "&amp;"*")-MID(A1664,5,FIND(".",A1664,1)-5),0)</f>
        <v>0</v>
      </c>
      <c r="D1664" t="str">
        <f t="shared" si="94"/>
        <v/>
      </c>
      <c r="E1664" t="str">
        <f>SUBSTITUTE(IF(LEFT(A1664,3)="Câu",MID(A1664,FIND(".",A1664,1)+2,LEN(A1664)),""),CHAR(34),CHAR(92)&amp;CHAR(34))</f>
        <v/>
      </c>
      <c r="F1664" t="str">
        <f t="shared" si="93"/>
        <v/>
      </c>
      <c r="G1664" t="str">
        <f>SUBSTITUTE(B1665,CHAR(34),CHAR(92)&amp;CHAR(34))</f>
        <v>Biển 2.</v>
      </c>
      <c r="H1664" t="str">
        <f>SUBSTITUTE(B1666,CHAR(34),CHAR(92)&amp;CHAR(34))</f>
        <v xml:space="preserve"> Biển 3.</v>
      </c>
      <c r="I1664" t="str">
        <f>SUBSTITUTE(IF(LEFT(A1667,3)="Câu","",B1667),CHAR(34),CHAR(92)&amp;CHAR(34))</f>
        <v/>
      </c>
      <c r="J1664" t="str">
        <f>SUBSTITUTE(IF(OR(LEFT(A1668,3)="Câu",I1664=""),"",IF(B1668=0,"",B1668)),CHAR(34),CHAR(92)&amp;CHAR(34))</f>
        <v/>
      </c>
      <c r="K1664" t="str">
        <f>SUBSTITUTE(SUBSTITUTE(SUBSTITUTE(SUBSTITUTE(IFERROR(VLOOKUP("Câu "&amp;D1664&amp;".",dapan!$E:$J,6,0),""),"1","A"),"2","B"),"3","C"),"4","D")</f>
        <v/>
      </c>
      <c r="P1664" t="str">
        <f t="shared" si="91"/>
        <v/>
      </c>
      <c r="Q1664" t="str">
        <f t="shared" si="92"/>
        <v/>
      </c>
    </row>
    <row r="1665" spans="1:17" hidden="1" x14ac:dyDescent="0.25">
      <c r="A1665">
        <v>2</v>
      </c>
      <c r="B1665" t="s">
        <v>1068</v>
      </c>
      <c r="C1665">
        <f>IFERROR(COUNTIFS($A$1:A1665,"Câu "&amp;"*")-MID(A1665,5,FIND(".",A1665,1)-5),0)</f>
        <v>0</v>
      </c>
      <c r="D1665" t="str">
        <f t="shared" si="94"/>
        <v/>
      </c>
      <c r="E1665" t="str">
        <f>SUBSTITUTE(IF(LEFT(A1665,3)="Câu",MID(A1665,FIND(".",A1665,1)+2,LEN(A1665)),""),CHAR(34),CHAR(92)&amp;CHAR(34))</f>
        <v/>
      </c>
      <c r="F1665" t="str">
        <f t="shared" si="93"/>
        <v/>
      </c>
      <c r="G1665" t="str">
        <f>SUBSTITUTE(B1666,CHAR(34),CHAR(92)&amp;CHAR(34))</f>
        <v xml:space="preserve"> Biển 3.</v>
      </c>
      <c r="H1665" t="str">
        <f>SUBSTITUTE(B1667,CHAR(34),CHAR(92)&amp;CHAR(34))</f>
        <v/>
      </c>
      <c r="I1665" t="str">
        <f>SUBSTITUTE(IF(LEFT(A1668,3)="Câu","",B1668),CHAR(34),CHAR(92)&amp;CHAR(34))</f>
        <v xml:space="preserve"> Biển 1.</v>
      </c>
      <c r="J1665" t="str">
        <f>SUBSTITUTE(IF(OR(LEFT(A1669,3)="Câu",I1665=""),"",IF(B1669=0,"",B1669)),CHAR(34),CHAR(92)&amp;CHAR(34))</f>
        <v>Biển 2.</v>
      </c>
      <c r="K1665" t="str">
        <f>SUBSTITUTE(SUBSTITUTE(SUBSTITUTE(SUBSTITUTE(IFERROR(VLOOKUP("Câu "&amp;D1665&amp;".",dapan!$E:$J,6,0),""),"1","A"),"2","B"),"3","C"),"4","D")</f>
        <v/>
      </c>
      <c r="P1665" t="str">
        <f t="shared" si="91"/>
        <v/>
      </c>
      <c r="Q1665" t="str">
        <f t="shared" si="92"/>
        <v/>
      </c>
    </row>
    <row r="1666" spans="1:17" hidden="1" x14ac:dyDescent="0.25">
      <c r="A1666">
        <v>3</v>
      </c>
      <c r="B1666" t="s">
        <v>1114</v>
      </c>
      <c r="C1666">
        <f>IFERROR(COUNTIFS($A$1:A1666,"Câu "&amp;"*")-MID(A1666,5,FIND(".",A1666,1)-5),0)</f>
        <v>0</v>
      </c>
      <c r="D1666" t="str">
        <f t="shared" si="94"/>
        <v/>
      </c>
      <c r="E1666" t="str">
        <f>SUBSTITUTE(IF(LEFT(A1666,3)="Câu",MID(A1666,FIND(".",A1666,1)+2,LEN(A1666)),""),CHAR(34),CHAR(92)&amp;CHAR(34))</f>
        <v/>
      </c>
      <c r="F1666" t="str">
        <f t="shared" si="93"/>
        <v/>
      </c>
      <c r="G1666" t="str">
        <f>SUBSTITUTE(B1667,CHAR(34),CHAR(92)&amp;CHAR(34))</f>
        <v/>
      </c>
      <c r="H1666" t="str">
        <f>SUBSTITUTE(B1668,CHAR(34),CHAR(92)&amp;CHAR(34))</f>
        <v xml:space="preserve"> Biển 1.</v>
      </c>
      <c r="I1666" t="str">
        <f>SUBSTITUTE(IF(LEFT(A1669,3)="Câu","",B1669),CHAR(34),CHAR(92)&amp;CHAR(34))</f>
        <v>Biển 2.</v>
      </c>
      <c r="J1666" t="str">
        <f>SUBSTITUTE(IF(OR(LEFT(A1670,3)="Câu",I1666=""),"",IF(B1670=0,"",B1670)),CHAR(34),CHAR(92)&amp;CHAR(34))</f>
        <v>Biển 3.</v>
      </c>
      <c r="K1666" t="str">
        <f>SUBSTITUTE(SUBSTITUTE(SUBSTITUTE(SUBSTITUTE(IFERROR(VLOOKUP("Câu "&amp;D1666&amp;".",dapan!$E:$J,6,0),""),"1","A"),"2","B"),"3","C"),"4","D")</f>
        <v/>
      </c>
      <c r="P1666" t="str">
        <f t="shared" si="91"/>
        <v/>
      </c>
      <c r="Q1666" t="str">
        <f t="shared" si="92"/>
        <v/>
      </c>
    </row>
    <row r="1667" spans="1:17" x14ac:dyDescent="0.25">
      <c r="A1667" t="s">
        <v>1229</v>
      </c>
      <c r="C1667">
        <f>IFERROR(COUNTIFS($A$1:A1667,"Câu "&amp;"*")-MID(A1667,5,FIND(".",A1667,1)-5),0)</f>
        <v>0</v>
      </c>
      <c r="D1667">
        <f t="shared" si="94"/>
        <v>403</v>
      </c>
      <c r="E1667" t="str">
        <f>SUBSTITUTE(IF(LEFT(A1667,3)="Câu",MID(A1667,FIND(".",A1667,1)+2,LEN(A1667)),""),CHAR(34),CHAR(92)&amp;CHAR(34))</f>
        <v>Biển nào dưới đây là biển \"Kè, vực sâu phía trước\"?</v>
      </c>
      <c r="F1667" t="str">
        <f t="shared" si="93"/>
        <v>q403.jpg</v>
      </c>
      <c r="G1667" t="str">
        <f>SUBSTITUTE(B1668,CHAR(34),CHAR(92)&amp;CHAR(34))</f>
        <v xml:space="preserve"> Biển 1.</v>
      </c>
      <c r="H1667" t="str">
        <f>SUBSTITUTE(B1669,CHAR(34),CHAR(92)&amp;CHAR(34))</f>
        <v>Biển 2.</v>
      </c>
      <c r="I1667" t="str">
        <f>SUBSTITUTE(IF(LEFT(A1670,3)="Câu","",B1670),CHAR(34),CHAR(92)&amp;CHAR(34))</f>
        <v>Biển 3.</v>
      </c>
      <c r="J1667" t="str">
        <f>SUBSTITUTE(IF(OR(LEFT(A1671,3)="Câu",I1667=""),"",IF(B1671=0,"",B1671)),CHAR(34),CHAR(92)&amp;CHAR(34))</f>
        <v/>
      </c>
      <c r="K1667" t="str">
        <f ca="1">SUBSTITUTE(SUBSTITUTE(SUBSTITUTE(SUBSTITUTE(IFERROR(VLOOKUP("Câu "&amp;D1667&amp;".",dapan!$E:$J,6,0),""),"1","A"),"2","B"),"3","C"),"4","D")</f>
        <v>A</v>
      </c>
      <c r="P1667">
        <f t="shared" ref="P1667:P1730" si="95">D1667</f>
        <v>403</v>
      </c>
      <c r="Q1667" t="str">
        <f t="shared" ref="Q1667:Q1730" ca="1" si="96">IF(D1667="","",CHAR(123)&amp;CHAR(34)&amp;"num"&amp;CHAR(34)&amp;":"&amp;P1667&amp;","&amp;CHAR(34)&amp;"id"&amp;CHAR(34)&amp;":"&amp;D1667&amp;","
&amp;CHAR(34)&amp;"q"&amp;CHAR(34)&amp;":"&amp;CHAR(34)&amp;E1667&amp;CHAR(34)&amp;","
&amp;IF(F1667="","",CHAR(34)&amp;"img"&amp;CHAR(34)&amp;":"&amp;CHAR(34)&amp;F1667&amp;CHAR(34)&amp;",")
&amp;CHAR(34)&amp;"opts"&amp;CHAR(34)&amp;":"&amp;CHAR(123)&amp;CHAR(34)&amp;"A"&amp;CHAR(34)&amp;":"&amp;CHAR(34)&amp;G1667&amp;CHAR(34)&amp;","&amp;CHAR(34)&amp;"B"&amp;CHAR(34)&amp;":"&amp;CHAR(34)&amp;H1667&amp;CHAR(34)
&amp;IF(I1667="","",","&amp;CHAR(34)&amp;"C"&amp;CHAR(34)&amp;":"&amp;CHAR(34)&amp;I1667&amp;CHAR(34))&amp;IF(J1667="","",","&amp;CHAR(34)&amp;"D"&amp;CHAR(34)&amp;":"&amp;CHAR(34)&amp;J1667&amp;CHAR(34))&amp;CHAR(125)&amp;","
&amp;CHAR(34)&amp;"answer"&amp;CHAR(34)&amp;":"&amp;CHAR(34)&amp;K1667&amp;CHAR(34)
&amp;IF(L1667="","",","&amp;CHAR(34)&amp;"danger"&amp;CHAR(34)&amp;":"&amp;CHAR(34)&amp;"true"&amp;CHAR(34))
&amp;IF(M1667="","",","&amp;CHAR(34)&amp;"explain"&amp;CHAR(34)&amp;":"&amp;CHAR(34)&amp;M1667&amp;CHAR(34))
&amp;IF(N1667="","",","&amp;CHAR(34)&amp;"explainImg"&amp;CHAR(34)&amp;":"&amp;CHAR(34)&amp;N1667&amp;CHAR(34))
&amp;IF(O1667="","",","&amp;CHAR(34)&amp;"shuffle"&amp;CHAR(34)&amp;":"&amp;CHAR(34)&amp;"false"&amp;CHAR(34))&amp;CHAR(125)&amp;",")</f>
        <v>{"num":403,"id":403,"q":"Biển nào dưới đây là biển \"Kè, vực sâu phía trước\"?","img":"q403.jpg","opts":{"A":" Biển 1.","B":"Biển 2.","C":"Biển 3."},"answer":"A"},</v>
      </c>
    </row>
    <row r="1668" spans="1:17" hidden="1" x14ac:dyDescent="0.25">
      <c r="A1668">
        <v>1</v>
      </c>
      <c r="B1668" t="s">
        <v>1066</v>
      </c>
      <c r="C1668">
        <f>IFERROR(COUNTIFS($A$1:A1668,"Câu "&amp;"*")-MID(A1668,5,FIND(".",A1668,1)-5),0)</f>
        <v>0</v>
      </c>
      <c r="D1668" t="str">
        <f t="shared" si="94"/>
        <v/>
      </c>
      <c r="E1668" t="str">
        <f>SUBSTITUTE(IF(LEFT(A1668,3)="Câu",MID(A1668,FIND(".",A1668,1)+2,LEN(A1668)),""),CHAR(34),CHAR(92)&amp;CHAR(34))</f>
        <v/>
      </c>
      <c r="F1668" t="str">
        <f t="shared" si="93"/>
        <v/>
      </c>
      <c r="G1668" t="str">
        <f>SUBSTITUTE(B1669,CHAR(34),CHAR(92)&amp;CHAR(34))</f>
        <v>Biển 2.</v>
      </c>
      <c r="H1668" t="str">
        <f>SUBSTITUTE(B1670,CHAR(34),CHAR(92)&amp;CHAR(34))</f>
        <v>Biển 3.</v>
      </c>
      <c r="I1668" t="str">
        <f>SUBSTITUTE(IF(LEFT(A1671,3)="Câu","",B1671),CHAR(34),CHAR(92)&amp;CHAR(34))</f>
        <v/>
      </c>
      <c r="J1668" t="str">
        <f>SUBSTITUTE(IF(OR(LEFT(A1672,3)="Câu",I1668=""),"",IF(B1672=0,"",B1672)),CHAR(34),CHAR(92)&amp;CHAR(34))</f>
        <v/>
      </c>
      <c r="K1668" t="str">
        <f>SUBSTITUTE(SUBSTITUTE(SUBSTITUTE(SUBSTITUTE(IFERROR(VLOOKUP("Câu "&amp;D1668&amp;".",dapan!$E:$J,6,0),""),"1","A"),"2","B"),"3","C"),"4","D")</f>
        <v/>
      </c>
      <c r="P1668" t="str">
        <f t="shared" si="95"/>
        <v/>
      </c>
      <c r="Q1668" t="str">
        <f t="shared" si="96"/>
        <v/>
      </c>
    </row>
    <row r="1669" spans="1:17" hidden="1" x14ac:dyDescent="0.25">
      <c r="A1669">
        <v>2</v>
      </c>
      <c r="B1669" t="s">
        <v>1068</v>
      </c>
      <c r="C1669">
        <f>IFERROR(COUNTIFS($A$1:A1669,"Câu "&amp;"*")-MID(A1669,5,FIND(".",A1669,1)-5),0)</f>
        <v>0</v>
      </c>
      <c r="D1669" t="str">
        <f t="shared" si="94"/>
        <v/>
      </c>
      <c r="E1669" t="str">
        <f>SUBSTITUTE(IF(LEFT(A1669,3)="Câu",MID(A1669,FIND(".",A1669,1)+2,LEN(A1669)),""),CHAR(34),CHAR(92)&amp;CHAR(34))</f>
        <v/>
      </c>
      <c r="F1669" t="str">
        <f t="shared" si="93"/>
        <v/>
      </c>
      <c r="G1669" t="str">
        <f>SUBSTITUTE(B1670,CHAR(34),CHAR(92)&amp;CHAR(34))</f>
        <v>Biển 3.</v>
      </c>
      <c r="H1669" t="str">
        <f>SUBSTITUTE(B1671,CHAR(34),CHAR(92)&amp;CHAR(34))</f>
        <v/>
      </c>
      <c r="I1669" t="str">
        <f>SUBSTITUTE(IF(LEFT(A1672,3)="Câu","",B1672),CHAR(34),CHAR(92)&amp;CHAR(34))</f>
        <v>Biển 1.</v>
      </c>
      <c r="J1669" t="str">
        <f>SUBSTITUTE(IF(OR(LEFT(A1673,3)="Câu",I1669=""),"",IF(B1673=0,"",B1673)),CHAR(34),CHAR(92)&amp;CHAR(34))</f>
        <v>Biển 2.</v>
      </c>
      <c r="K1669" t="str">
        <f>SUBSTITUTE(SUBSTITUTE(SUBSTITUTE(SUBSTITUTE(IFERROR(VLOOKUP("Câu "&amp;D1669&amp;".",dapan!$E:$J,6,0),""),"1","A"),"2","B"),"3","C"),"4","D")</f>
        <v/>
      </c>
      <c r="P1669" t="str">
        <f t="shared" si="95"/>
        <v/>
      </c>
      <c r="Q1669" t="str">
        <f t="shared" si="96"/>
        <v/>
      </c>
    </row>
    <row r="1670" spans="1:17" hidden="1" x14ac:dyDescent="0.25">
      <c r="A1670">
        <v>3</v>
      </c>
      <c r="B1670" t="s">
        <v>1083</v>
      </c>
      <c r="C1670">
        <f>IFERROR(COUNTIFS($A$1:A1670,"Câu "&amp;"*")-MID(A1670,5,FIND(".",A1670,1)-5),0)</f>
        <v>0</v>
      </c>
      <c r="D1670" t="str">
        <f t="shared" si="94"/>
        <v/>
      </c>
      <c r="E1670" t="str">
        <f>SUBSTITUTE(IF(LEFT(A1670,3)="Câu",MID(A1670,FIND(".",A1670,1)+2,LEN(A1670)),""),CHAR(34),CHAR(92)&amp;CHAR(34))</f>
        <v/>
      </c>
      <c r="F1670" t="str">
        <f t="shared" si="93"/>
        <v/>
      </c>
      <c r="G1670" t="str">
        <f>SUBSTITUTE(B1671,CHAR(34),CHAR(92)&amp;CHAR(34))</f>
        <v/>
      </c>
      <c r="H1670" t="str">
        <f>SUBSTITUTE(B1672,CHAR(34),CHAR(92)&amp;CHAR(34))</f>
        <v>Biển 1.</v>
      </c>
      <c r="I1670" t="str">
        <f>SUBSTITUTE(IF(LEFT(A1673,3)="Câu","",B1673),CHAR(34),CHAR(92)&amp;CHAR(34))</f>
        <v>Biển 2.</v>
      </c>
      <c r="J1670" t="str">
        <f>SUBSTITUTE(IF(OR(LEFT(A1674,3)="Câu",I1670=""),"",IF(B1674=0,"",B1674)),CHAR(34),CHAR(92)&amp;CHAR(34))</f>
        <v xml:space="preserve"> Biển 3.</v>
      </c>
      <c r="K1670" t="str">
        <f>SUBSTITUTE(SUBSTITUTE(SUBSTITUTE(SUBSTITUTE(IFERROR(VLOOKUP("Câu "&amp;D1670&amp;".",dapan!$E:$J,6,0),""),"1","A"),"2","B"),"3","C"),"4","D")</f>
        <v/>
      </c>
      <c r="P1670" t="str">
        <f t="shared" si="95"/>
        <v/>
      </c>
      <c r="Q1670" t="str">
        <f t="shared" si="96"/>
        <v/>
      </c>
    </row>
    <row r="1671" spans="1:17" x14ac:dyDescent="0.25">
      <c r="A1671" t="s">
        <v>1230</v>
      </c>
      <c r="C1671">
        <f>IFERROR(COUNTIFS($A$1:A1671,"Câu "&amp;"*")-MID(A1671,5,FIND(".",A1671,1)-5),0)</f>
        <v>0</v>
      </c>
      <c r="D1671">
        <f t="shared" si="94"/>
        <v>404</v>
      </c>
      <c r="E1671" t="str">
        <f>SUBSTITUTE(IF(LEFT(A1671,3)="Câu",MID(A1671,FIND(".",A1671,1)+2,LEN(A1671)),""),CHAR(34),CHAR(92)&amp;CHAR(34))</f>
        <v>Biển nào sau đây là biển \"Kè, vực sâu bên đường phía bên trái\"?</v>
      </c>
      <c r="F1671" t="str">
        <f t="shared" si="93"/>
        <v>q404.jpg</v>
      </c>
      <c r="G1671" t="str">
        <f>SUBSTITUTE(B1672,CHAR(34),CHAR(92)&amp;CHAR(34))</f>
        <v>Biển 1.</v>
      </c>
      <c r="H1671" t="str">
        <f>SUBSTITUTE(B1673,CHAR(34),CHAR(92)&amp;CHAR(34))</f>
        <v>Biển 2.</v>
      </c>
      <c r="I1671" t="str">
        <f>SUBSTITUTE(IF(LEFT(A1674,3)="Câu","",B1674),CHAR(34),CHAR(92)&amp;CHAR(34))</f>
        <v xml:space="preserve"> Biển 3.</v>
      </c>
      <c r="J1671" t="str">
        <f>SUBSTITUTE(IF(OR(LEFT(A1675,3)="Câu",I1671=""),"",IF(B1675=0,"",B1675)),CHAR(34),CHAR(92)&amp;CHAR(34))</f>
        <v>Biển 1 và biển 2.</v>
      </c>
      <c r="K1671" t="str">
        <f ca="1">SUBSTITUTE(SUBSTITUTE(SUBSTITUTE(SUBSTITUTE(IFERROR(VLOOKUP("Câu "&amp;D1671&amp;".",dapan!$E:$J,6,0),""),"1","A"),"2","B"),"3","C"),"4","D")</f>
        <v>C</v>
      </c>
      <c r="P1671">
        <f t="shared" si="95"/>
        <v>404</v>
      </c>
      <c r="Q1671" t="str">
        <f t="shared" ca="1" si="96"/>
        <v>{"num":404,"id":404,"q":"Biển nào sau đây là biển \"Kè, vực sâu bên đường phía bên trái\"?","img":"q404.jpg","opts":{"A":"Biển 1.","B":"Biển 2.","C":" Biển 3.","D":"Biển 1 và biển 2."},"answer":"C"},</v>
      </c>
    </row>
    <row r="1672" spans="1:17" hidden="1" x14ac:dyDescent="0.25">
      <c r="A1672">
        <v>1</v>
      </c>
      <c r="B1672" t="s">
        <v>1075</v>
      </c>
      <c r="C1672">
        <f>IFERROR(COUNTIFS($A$1:A1672,"Câu "&amp;"*")-MID(A1672,5,FIND(".",A1672,1)-5),0)</f>
        <v>0</v>
      </c>
      <c r="D1672" t="str">
        <f t="shared" si="94"/>
        <v/>
      </c>
      <c r="E1672" t="str">
        <f>SUBSTITUTE(IF(LEFT(A1672,3)="Câu",MID(A1672,FIND(".",A1672,1)+2,LEN(A1672)),""),CHAR(34),CHAR(92)&amp;CHAR(34))</f>
        <v/>
      </c>
      <c r="F1672" t="str">
        <f t="shared" si="93"/>
        <v/>
      </c>
      <c r="G1672" t="str">
        <f>SUBSTITUTE(B1673,CHAR(34),CHAR(92)&amp;CHAR(34))</f>
        <v>Biển 2.</v>
      </c>
      <c r="H1672" t="str">
        <f>SUBSTITUTE(B1674,CHAR(34),CHAR(92)&amp;CHAR(34))</f>
        <v xml:space="preserve"> Biển 3.</v>
      </c>
      <c r="I1672" t="str">
        <f>SUBSTITUTE(IF(LEFT(A1675,3)="Câu","",B1675),CHAR(34),CHAR(92)&amp;CHAR(34))</f>
        <v>Biển 1 và biển 2.</v>
      </c>
      <c r="J1672" t="str">
        <f>SUBSTITUTE(IF(OR(LEFT(A1676,3)="Câu",I1672=""),"",IF(B1676=0,"",B1676)),CHAR(34),CHAR(92)&amp;CHAR(34))</f>
        <v/>
      </c>
      <c r="K1672" t="str">
        <f>SUBSTITUTE(SUBSTITUTE(SUBSTITUTE(SUBSTITUTE(IFERROR(VLOOKUP("Câu "&amp;D1672&amp;".",dapan!$E:$J,6,0),""),"1","A"),"2","B"),"3","C"),"4","D")</f>
        <v/>
      </c>
      <c r="P1672" t="str">
        <f t="shared" si="95"/>
        <v/>
      </c>
      <c r="Q1672" t="str">
        <f t="shared" si="96"/>
        <v/>
      </c>
    </row>
    <row r="1673" spans="1:17" hidden="1" x14ac:dyDescent="0.25">
      <c r="A1673">
        <v>2</v>
      </c>
      <c r="B1673" t="s">
        <v>1068</v>
      </c>
      <c r="C1673">
        <f>IFERROR(COUNTIFS($A$1:A1673,"Câu "&amp;"*")-MID(A1673,5,FIND(".",A1673,1)-5),0)</f>
        <v>0</v>
      </c>
      <c r="D1673" t="str">
        <f t="shared" si="94"/>
        <v/>
      </c>
      <c r="E1673" t="str">
        <f>SUBSTITUTE(IF(LEFT(A1673,3)="Câu",MID(A1673,FIND(".",A1673,1)+2,LEN(A1673)),""),CHAR(34),CHAR(92)&amp;CHAR(34))</f>
        <v/>
      </c>
      <c r="F1673" t="str">
        <f t="shared" si="93"/>
        <v/>
      </c>
      <c r="G1673" t="str">
        <f>SUBSTITUTE(B1674,CHAR(34),CHAR(92)&amp;CHAR(34))</f>
        <v xml:space="preserve"> Biển 3.</v>
      </c>
      <c r="H1673" t="str">
        <f>SUBSTITUTE(B1675,CHAR(34),CHAR(92)&amp;CHAR(34))</f>
        <v>Biển 1 và biển 2.</v>
      </c>
      <c r="I1673" t="str">
        <f>SUBSTITUTE(IF(LEFT(A1676,3)="Câu","",B1676),CHAR(34),CHAR(92)&amp;CHAR(34))</f>
        <v/>
      </c>
      <c r="J1673" t="str">
        <f>SUBSTITUTE(IF(OR(LEFT(A1677,3)="Câu",I1673=""),"",IF(B1677=0,"",B1677)),CHAR(34),CHAR(92)&amp;CHAR(34))</f>
        <v/>
      </c>
      <c r="K1673" t="str">
        <f>SUBSTITUTE(SUBSTITUTE(SUBSTITUTE(SUBSTITUTE(IFERROR(VLOOKUP("Câu "&amp;D1673&amp;".",dapan!$E:$J,6,0),""),"1","A"),"2","B"),"3","C"),"4","D")</f>
        <v/>
      </c>
      <c r="P1673" t="str">
        <f t="shared" si="95"/>
        <v/>
      </c>
      <c r="Q1673" t="str">
        <f t="shared" si="96"/>
        <v/>
      </c>
    </row>
    <row r="1674" spans="1:17" hidden="1" x14ac:dyDescent="0.25">
      <c r="A1674">
        <v>3</v>
      </c>
      <c r="B1674" t="s">
        <v>1114</v>
      </c>
      <c r="C1674">
        <f>IFERROR(COUNTIFS($A$1:A1674,"Câu "&amp;"*")-MID(A1674,5,FIND(".",A1674,1)-5),0)</f>
        <v>0</v>
      </c>
      <c r="D1674" t="str">
        <f t="shared" si="94"/>
        <v/>
      </c>
      <c r="E1674" t="str">
        <f>SUBSTITUTE(IF(LEFT(A1674,3)="Câu",MID(A1674,FIND(".",A1674,1)+2,LEN(A1674)),""),CHAR(34),CHAR(92)&amp;CHAR(34))</f>
        <v/>
      </c>
      <c r="F1674" t="str">
        <f t="shared" si="93"/>
        <v/>
      </c>
      <c r="G1674" t="str">
        <f>SUBSTITUTE(B1675,CHAR(34),CHAR(92)&amp;CHAR(34))</f>
        <v>Biển 1 và biển 2.</v>
      </c>
      <c r="H1674" t="str">
        <f>SUBSTITUTE(B1676,CHAR(34),CHAR(92)&amp;CHAR(34))</f>
        <v/>
      </c>
      <c r="I1674" t="str">
        <f>SUBSTITUTE(IF(LEFT(A1677,3)="Câu","",B1677),CHAR(34),CHAR(92)&amp;CHAR(34))</f>
        <v>Biển 1.</v>
      </c>
      <c r="J1674" t="str">
        <f>SUBSTITUTE(IF(OR(LEFT(A1678,3)="Câu",I1674=""),"",IF(B1678=0,"",B1678)),CHAR(34),CHAR(92)&amp;CHAR(34))</f>
        <v xml:space="preserve"> Biển 2.</v>
      </c>
      <c r="K1674" t="str">
        <f>SUBSTITUTE(SUBSTITUTE(SUBSTITUTE(SUBSTITUTE(IFERROR(VLOOKUP("Câu "&amp;D1674&amp;".",dapan!$E:$J,6,0),""),"1","A"),"2","B"),"3","C"),"4","D")</f>
        <v/>
      </c>
      <c r="P1674" t="str">
        <f t="shared" si="95"/>
        <v/>
      </c>
      <c r="Q1674" t="str">
        <f t="shared" si="96"/>
        <v/>
      </c>
    </row>
    <row r="1675" spans="1:17" hidden="1" x14ac:dyDescent="0.25">
      <c r="A1675">
        <v>4</v>
      </c>
      <c r="B1675" t="s">
        <v>1086</v>
      </c>
      <c r="C1675">
        <f>IFERROR(COUNTIFS($A$1:A1675,"Câu "&amp;"*")-MID(A1675,5,FIND(".",A1675,1)-5),0)</f>
        <v>0</v>
      </c>
      <c r="D1675" t="str">
        <f t="shared" si="94"/>
        <v/>
      </c>
      <c r="E1675" t="str">
        <f>SUBSTITUTE(IF(LEFT(A1675,3)="Câu",MID(A1675,FIND(".",A1675,1)+2,LEN(A1675)),""),CHAR(34),CHAR(92)&amp;CHAR(34))</f>
        <v/>
      </c>
      <c r="F1675" t="str">
        <f t="shared" si="93"/>
        <v/>
      </c>
      <c r="G1675" t="str">
        <f>SUBSTITUTE(B1676,CHAR(34),CHAR(92)&amp;CHAR(34))</f>
        <v/>
      </c>
      <c r="H1675" t="str">
        <f>SUBSTITUTE(B1677,CHAR(34),CHAR(92)&amp;CHAR(34))</f>
        <v>Biển 1.</v>
      </c>
      <c r="I1675" t="str">
        <f>SUBSTITUTE(IF(LEFT(A1678,3)="Câu","",B1678),CHAR(34),CHAR(92)&amp;CHAR(34))</f>
        <v xml:space="preserve"> Biển 2.</v>
      </c>
      <c r="J1675" t="str">
        <f>SUBSTITUTE(IF(OR(LEFT(A1679,3)="Câu",I1675=""),"",IF(B1679=0,"",B1679)),CHAR(34),CHAR(92)&amp;CHAR(34))</f>
        <v>Biển 3.</v>
      </c>
      <c r="K1675" t="str">
        <f>SUBSTITUTE(SUBSTITUTE(SUBSTITUTE(SUBSTITUTE(IFERROR(VLOOKUP("Câu "&amp;D1675&amp;".",dapan!$E:$J,6,0),""),"1","A"),"2","B"),"3","C"),"4","D")</f>
        <v/>
      </c>
      <c r="P1675" t="str">
        <f t="shared" si="95"/>
        <v/>
      </c>
      <c r="Q1675" t="str">
        <f t="shared" si="96"/>
        <v/>
      </c>
    </row>
    <row r="1676" spans="1:17" x14ac:dyDescent="0.25">
      <c r="A1676" t="s">
        <v>1231</v>
      </c>
      <c r="C1676">
        <f>IFERROR(COUNTIFS($A$1:A1676,"Câu "&amp;"*")-MID(A1676,5,FIND(".",A1676,1)-5),0)</f>
        <v>0</v>
      </c>
      <c r="D1676">
        <f t="shared" si="94"/>
        <v>405</v>
      </c>
      <c r="E1676" t="str">
        <f>SUBSTITUTE(IF(LEFT(A1676,3)="Câu",MID(A1676,FIND(".",A1676,1)+2,LEN(A1676)),""),CHAR(34),CHAR(92)&amp;CHAR(34))</f>
        <v>Biển nào sau đây là biển \"Kè, vực sâu bên đường phía bên phải\"?</v>
      </c>
      <c r="F1676" t="str">
        <f t="shared" si="93"/>
        <v>q405.jpg</v>
      </c>
      <c r="G1676" t="str">
        <f>SUBSTITUTE(B1677,CHAR(34),CHAR(92)&amp;CHAR(34))</f>
        <v>Biển 1.</v>
      </c>
      <c r="H1676" t="str">
        <f>SUBSTITUTE(B1678,CHAR(34),CHAR(92)&amp;CHAR(34))</f>
        <v xml:space="preserve"> Biển 2.</v>
      </c>
      <c r="I1676" t="str">
        <f>SUBSTITUTE(IF(LEFT(A1679,3)="Câu","",B1679),CHAR(34),CHAR(92)&amp;CHAR(34))</f>
        <v>Biển 3.</v>
      </c>
      <c r="J1676" t="str">
        <f>SUBSTITUTE(IF(OR(LEFT(A1680,3)="Câu",I1676=""),"",IF(B1680=0,"",B1680)),CHAR(34),CHAR(92)&amp;CHAR(34))</f>
        <v/>
      </c>
      <c r="K1676" t="str">
        <f ca="1">SUBSTITUTE(SUBSTITUTE(SUBSTITUTE(SUBSTITUTE(IFERROR(VLOOKUP("Câu "&amp;D1676&amp;".",dapan!$E:$J,6,0),""),"1","A"),"2","B"),"3","C"),"4","D")</f>
        <v>B</v>
      </c>
      <c r="P1676">
        <f t="shared" si="95"/>
        <v>405</v>
      </c>
      <c r="Q1676" t="str">
        <f t="shared" ca="1" si="96"/>
        <v>{"num":405,"id":405,"q":"Biển nào sau đây là biển \"Kè, vực sâu bên đường phía bên phải\"?","img":"q405.jpg","opts":{"A":"Biển 1.","B":" Biển 2.","C":"Biển 3."},"answer":"B"},</v>
      </c>
    </row>
    <row r="1677" spans="1:17" hidden="1" x14ac:dyDescent="0.25">
      <c r="A1677">
        <v>1</v>
      </c>
      <c r="B1677" t="s">
        <v>1075</v>
      </c>
      <c r="C1677">
        <f>IFERROR(COUNTIFS($A$1:A1677,"Câu "&amp;"*")-MID(A1677,5,FIND(".",A1677,1)-5),0)</f>
        <v>0</v>
      </c>
      <c r="D1677" t="str">
        <f t="shared" si="94"/>
        <v/>
      </c>
      <c r="E1677" t="str">
        <f>SUBSTITUTE(IF(LEFT(A1677,3)="Câu",MID(A1677,FIND(".",A1677,1)+2,LEN(A1677)),""),CHAR(34),CHAR(92)&amp;CHAR(34))</f>
        <v/>
      </c>
      <c r="F1677" t="str">
        <f t="shared" si="93"/>
        <v/>
      </c>
      <c r="G1677" t="str">
        <f>SUBSTITUTE(B1678,CHAR(34),CHAR(92)&amp;CHAR(34))</f>
        <v xml:space="preserve"> Biển 2.</v>
      </c>
      <c r="H1677" t="str">
        <f>SUBSTITUTE(B1679,CHAR(34),CHAR(92)&amp;CHAR(34))</f>
        <v>Biển 3.</v>
      </c>
      <c r="I1677" t="str">
        <f>SUBSTITUTE(IF(LEFT(A1680,3)="Câu","",B1680),CHAR(34),CHAR(92)&amp;CHAR(34))</f>
        <v/>
      </c>
      <c r="J1677" t="str">
        <f>SUBSTITUTE(IF(OR(LEFT(A1681,3)="Câu",I1677=""),"",IF(B1681=0,"",B1681)),CHAR(34),CHAR(92)&amp;CHAR(34))</f>
        <v/>
      </c>
      <c r="K1677" t="str">
        <f>SUBSTITUTE(SUBSTITUTE(SUBSTITUTE(SUBSTITUTE(IFERROR(VLOOKUP("Câu "&amp;D1677&amp;".",dapan!$E:$J,6,0),""),"1","A"),"2","B"),"3","C"),"4","D")</f>
        <v/>
      </c>
      <c r="P1677" t="str">
        <f t="shared" si="95"/>
        <v/>
      </c>
      <c r="Q1677" t="str">
        <f t="shared" si="96"/>
        <v/>
      </c>
    </row>
    <row r="1678" spans="1:17" hidden="1" x14ac:dyDescent="0.25">
      <c r="A1678">
        <v>2</v>
      </c>
      <c r="B1678" t="s">
        <v>1090</v>
      </c>
      <c r="C1678">
        <f>IFERROR(COUNTIFS($A$1:A1678,"Câu "&amp;"*")-MID(A1678,5,FIND(".",A1678,1)-5),0)</f>
        <v>0</v>
      </c>
      <c r="D1678" t="str">
        <f t="shared" si="94"/>
        <v/>
      </c>
      <c r="E1678" t="str">
        <f>SUBSTITUTE(IF(LEFT(A1678,3)="Câu",MID(A1678,FIND(".",A1678,1)+2,LEN(A1678)),""),CHAR(34),CHAR(92)&amp;CHAR(34))</f>
        <v/>
      </c>
      <c r="F1678" t="str">
        <f t="shared" si="93"/>
        <v/>
      </c>
      <c r="G1678" t="str">
        <f>SUBSTITUTE(B1679,CHAR(34),CHAR(92)&amp;CHAR(34))</f>
        <v>Biển 3.</v>
      </c>
      <c r="H1678" t="str">
        <f>SUBSTITUTE(B1680,CHAR(34),CHAR(92)&amp;CHAR(34))</f>
        <v/>
      </c>
      <c r="I1678" t="str">
        <f>SUBSTITUTE(IF(LEFT(A1681,3)="Câu","",B1681),CHAR(34),CHAR(92)&amp;CHAR(34))</f>
        <v>Biển 1.</v>
      </c>
      <c r="J1678" t="str">
        <f>SUBSTITUTE(IF(OR(LEFT(A1682,3)="Câu",I1678=""),"",IF(B1682=0,"",B1682)),CHAR(34),CHAR(92)&amp;CHAR(34))</f>
        <v xml:space="preserve"> Biển 2.</v>
      </c>
      <c r="K1678" t="str">
        <f>SUBSTITUTE(SUBSTITUTE(SUBSTITUTE(SUBSTITUTE(IFERROR(VLOOKUP("Câu "&amp;D1678&amp;".",dapan!$E:$J,6,0),""),"1","A"),"2","B"),"3","C"),"4","D")</f>
        <v/>
      </c>
      <c r="P1678" t="str">
        <f t="shared" si="95"/>
        <v/>
      </c>
      <c r="Q1678" t="str">
        <f t="shared" si="96"/>
        <v/>
      </c>
    </row>
    <row r="1679" spans="1:17" hidden="1" x14ac:dyDescent="0.25">
      <c r="A1679">
        <v>3</v>
      </c>
      <c r="B1679" t="s">
        <v>1083</v>
      </c>
      <c r="C1679">
        <f>IFERROR(COUNTIFS($A$1:A1679,"Câu "&amp;"*")-MID(A1679,5,FIND(".",A1679,1)-5),0)</f>
        <v>0</v>
      </c>
      <c r="D1679" t="str">
        <f t="shared" si="94"/>
        <v/>
      </c>
      <c r="E1679" t="str">
        <f>SUBSTITUTE(IF(LEFT(A1679,3)="Câu",MID(A1679,FIND(".",A1679,1)+2,LEN(A1679)),""),CHAR(34),CHAR(92)&amp;CHAR(34))</f>
        <v/>
      </c>
      <c r="F1679" t="str">
        <f t="shared" si="93"/>
        <v/>
      </c>
      <c r="G1679" t="str">
        <f>SUBSTITUTE(B1680,CHAR(34),CHAR(92)&amp;CHAR(34))</f>
        <v/>
      </c>
      <c r="H1679" t="str">
        <f>SUBSTITUTE(B1681,CHAR(34),CHAR(92)&amp;CHAR(34))</f>
        <v>Biển 1.</v>
      </c>
      <c r="I1679" t="str">
        <f>SUBSTITUTE(IF(LEFT(A1682,3)="Câu","",B1682),CHAR(34),CHAR(92)&amp;CHAR(34))</f>
        <v xml:space="preserve"> Biển 2.</v>
      </c>
      <c r="J1679" t="str">
        <f>SUBSTITUTE(IF(OR(LEFT(A1683,3)="Câu",I1679=""),"",IF(B1683=0,"",B1683)),CHAR(34),CHAR(92)&amp;CHAR(34))</f>
        <v>Biển 3.</v>
      </c>
      <c r="K1679" t="str">
        <f>SUBSTITUTE(SUBSTITUTE(SUBSTITUTE(SUBSTITUTE(IFERROR(VLOOKUP("Câu "&amp;D1679&amp;".",dapan!$E:$J,6,0),""),"1","A"),"2","B"),"3","C"),"4","D")</f>
        <v/>
      </c>
      <c r="P1679" t="str">
        <f t="shared" si="95"/>
        <v/>
      </c>
      <c r="Q1679" t="str">
        <f t="shared" si="96"/>
        <v/>
      </c>
    </row>
    <row r="1680" spans="1:17" x14ac:dyDescent="0.25">
      <c r="A1680" t="s">
        <v>1232</v>
      </c>
      <c r="C1680">
        <f>IFERROR(COUNTIFS($A$1:A1680,"Câu "&amp;"*")-MID(A1680,5,FIND(".",A1680,1)-5),0)</f>
        <v>0</v>
      </c>
      <c r="D1680">
        <f t="shared" si="94"/>
        <v>406</v>
      </c>
      <c r="E1680" t="str">
        <f>SUBSTITUTE(IF(LEFT(A1680,3)="Câu",MID(A1680,FIND(".",A1680,1)+2,LEN(A1680)),""),CHAR(34),CHAR(92)&amp;CHAR(34))</f>
        <v>Biển nào sau đây là biển \"Đường trơn\"?</v>
      </c>
      <c r="F1680" t="str">
        <f t="shared" si="93"/>
        <v>q406.jpg</v>
      </c>
      <c r="G1680" t="str">
        <f>SUBSTITUTE(B1681,CHAR(34),CHAR(92)&amp;CHAR(34))</f>
        <v>Biển 1.</v>
      </c>
      <c r="H1680" t="str">
        <f>SUBSTITUTE(B1682,CHAR(34),CHAR(92)&amp;CHAR(34))</f>
        <v xml:space="preserve"> Biển 2.</v>
      </c>
      <c r="I1680" t="str">
        <f>SUBSTITUTE(IF(LEFT(A1683,3)="Câu","",B1683),CHAR(34),CHAR(92)&amp;CHAR(34))</f>
        <v>Biển 3.</v>
      </c>
      <c r="J1680" t="str">
        <f>SUBSTITUTE(IF(OR(LEFT(A1684,3)="Câu",I1680=""),"",IF(B1684=0,"",B1684)),CHAR(34),CHAR(92)&amp;CHAR(34))</f>
        <v/>
      </c>
      <c r="K1680" t="str">
        <f ca="1">SUBSTITUTE(SUBSTITUTE(SUBSTITUTE(SUBSTITUTE(IFERROR(VLOOKUP("Câu "&amp;D1680&amp;".",dapan!$E:$J,6,0),""),"1","A"),"2","B"),"3","C"),"4","D")</f>
        <v>B</v>
      </c>
      <c r="P1680">
        <f t="shared" si="95"/>
        <v>406</v>
      </c>
      <c r="Q1680" t="str">
        <f t="shared" ca="1" si="96"/>
        <v>{"num":406,"id":406,"q":"Biển nào sau đây là biển \"Đường trơn\"?","img":"q406.jpg","opts":{"A":"Biển 1.","B":" Biển 2.","C":"Biển 3."},"answer":"B"},</v>
      </c>
    </row>
    <row r="1681" spans="1:17" hidden="1" x14ac:dyDescent="0.25">
      <c r="A1681">
        <v>1</v>
      </c>
      <c r="B1681" t="s">
        <v>1075</v>
      </c>
      <c r="C1681">
        <f>IFERROR(COUNTIFS($A$1:A1681,"Câu "&amp;"*")-MID(A1681,5,FIND(".",A1681,1)-5),0)</f>
        <v>0</v>
      </c>
      <c r="D1681" t="str">
        <f t="shared" si="94"/>
        <v/>
      </c>
      <c r="E1681" t="str">
        <f>SUBSTITUTE(IF(LEFT(A1681,3)="Câu",MID(A1681,FIND(".",A1681,1)+2,LEN(A1681)),""),CHAR(34),CHAR(92)&amp;CHAR(34))</f>
        <v/>
      </c>
      <c r="F1681" t="str">
        <f t="shared" si="93"/>
        <v/>
      </c>
      <c r="G1681" t="str">
        <f>SUBSTITUTE(B1682,CHAR(34),CHAR(92)&amp;CHAR(34))</f>
        <v xml:space="preserve"> Biển 2.</v>
      </c>
      <c r="H1681" t="str">
        <f>SUBSTITUTE(B1683,CHAR(34),CHAR(92)&amp;CHAR(34))</f>
        <v>Biển 3.</v>
      </c>
      <c r="I1681" t="str">
        <f>SUBSTITUTE(IF(LEFT(A1684,3)="Câu","",B1684),CHAR(34),CHAR(92)&amp;CHAR(34))</f>
        <v/>
      </c>
      <c r="J1681" t="str">
        <f>SUBSTITUTE(IF(OR(LEFT(A1685,3)="Câu",I1681=""),"",IF(B1685=0,"",B1685)),CHAR(34),CHAR(92)&amp;CHAR(34))</f>
        <v/>
      </c>
      <c r="K1681" t="str">
        <f>SUBSTITUTE(SUBSTITUTE(SUBSTITUTE(SUBSTITUTE(IFERROR(VLOOKUP("Câu "&amp;D1681&amp;".",dapan!$E:$J,6,0),""),"1","A"),"2","B"),"3","C"),"4","D")</f>
        <v/>
      </c>
      <c r="P1681" t="str">
        <f t="shared" si="95"/>
        <v/>
      </c>
      <c r="Q1681" t="str">
        <f t="shared" si="96"/>
        <v/>
      </c>
    </row>
    <row r="1682" spans="1:17" hidden="1" x14ac:dyDescent="0.25">
      <c r="A1682">
        <v>2</v>
      </c>
      <c r="B1682" t="s">
        <v>1090</v>
      </c>
      <c r="C1682">
        <f>IFERROR(COUNTIFS($A$1:A1682,"Câu "&amp;"*")-MID(A1682,5,FIND(".",A1682,1)-5),0)</f>
        <v>0</v>
      </c>
      <c r="D1682" t="str">
        <f t="shared" si="94"/>
        <v/>
      </c>
      <c r="E1682" t="str">
        <f>SUBSTITUTE(IF(LEFT(A1682,3)="Câu",MID(A1682,FIND(".",A1682,1)+2,LEN(A1682)),""),CHAR(34),CHAR(92)&amp;CHAR(34))</f>
        <v/>
      </c>
      <c r="F1682" t="str">
        <f t="shared" si="93"/>
        <v/>
      </c>
      <c r="G1682" t="str">
        <f>SUBSTITUTE(B1683,CHAR(34),CHAR(92)&amp;CHAR(34))</f>
        <v>Biển 3.</v>
      </c>
      <c r="H1682" t="str">
        <f>SUBSTITUTE(B1684,CHAR(34),CHAR(92)&amp;CHAR(34))</f>
        <v/>
      </c>
      <c r="I1682" t="str">
        <f>SUBSTITUTE(IF(LEFT(A1685,3)="Câu","",B1685),CHAR(34),CHAR(92)&amp;CHAR(34))</f>
        <v>Biển 1.</v>
      </c>
      <c r="J1682" t="str">
        <f>SUBSTITUTE(IF(OR(LEFT(A1686,3)="Câu",I1682=""),"",IF(B1686=0,"",B1686)),CHAR(34),CHAR(92)&amp;CHAR(34))</f>
        <v xml:space="preserve"> Biển 2.</v>
      </c>
      <c r="K1682" t="str">
        <f>SUBSTITUTE(SUBSTITUTE(SUBSTITUTE(SUBSTITUTE(IFERROR(VLOOKUP("Câu "&amp;D1682&amp;".",dapan!$E:$J,6,0),""),"1","A"),"2","B"),"3","C"),"4","D")</f>
        <v/>
      </c>
      <c r="P1682" t="str">
        <f t="shared" si="95"/>
        <v/>
      </c>
      <c r="Q1682" t="str">
        <f t="shared" si="96"/>
        <v/>
      </c>
    </row>
    <row r="1683" spans="1:17" hidden="1" x14ac:dyDescent="0.25">
      <c r="A1683">
        <v>3</v>
      </c>
      <c r="B1683" t="s">
        <v>1083</v>
      </c>
      <c r="C1683">
        <f>IFERROR(COUNTIFS($A$1:A1683,"Câu "&amp;"*")-MID(A1683,5,FIND(".",A1683,1)-5),0)</f>
        <v>0</v>
      </c>
      <c r="D1683" t="str">
        <f t="shared" si="94"/>
        <v/>
      </c>
      <c r="E1683" t="str">
        <f>SUBSTITUTE(IF(LEFT(A1683,3)="Câu",MID(A1683,FIND(".",A1683,1)+2,LEN(A1683)),""),CHAR(34),CHAR(92)&amp;CHAR(34))</f>
        <v/>
      </c>
      <c r="F1683" t="str">
        <f t="shared" si="93"/>
        <v/>
      </c>
      <c r="G1683" t="str">
        <f>SUBSTITUTE(B1684,CHAR(34),CHAR(92)&amp;CHAR(34))</f>
        <v/>
      </c>
      <c r="H1683" t="str">
        <f>SUBSTITUTE(B1685,CHAR(34),CHAR(92)&amp;CHAR(34))</f>
        <v>Biển 1.</v>
      </c>
      <c r="I1683" t="str">
        <f>SUBSTITUTE(IF(LEFT(A1686,3)="Câu","",B1686),CHAR(34),CHAR(92)&amp;CHAR(34))</f>
        <v xml:space="preserve"> Biển 2.</v>
      </c>
      <c r="J1683" t="str">
        <f>SUBSTITUTE(IF(OR(LEFT(A1687,3)="Câu",I1683=""),"",IF(B1687=0,"",B1687)),CHAR(34),CHAR(92)&amp;CHAR(34))</f>
        <v>Biển 3.</v>
      </c>
      <c r="K1683" t="str">
        <f>SUBSTITUTE(SUBSTITUTE(SUBSTITUTE(SUBSTITUTE(IFERROR(VLOOKUP("Câu "&amp;D1683&amp;".",dapan!$E:$J,6,0),""),"1","A"),"2","B"),"3","C"),"4","D")</f>
        <v/>
      </c>
      <c r="P1683" t="str">
        <f t="shared" si="95"/>
        <v/>
      </c>
      <c r="Q1683" t="str">
        <f t="shared" si="96"/>
        <v/>
      </c>
    </row>
    <row r="1684" spans="1:17" x14ac:dyDescent="0.25">
      <c r="A1684" t="s">
        <v>1233</v>
      </c>
      <c r="C1684">
        <f>IFERROR(COUNTIFS($A$1:A1684,"Câu "&amp;"*")-MID(A1684,5,FIND(".",A1684,1)-5),0)</f>
        <v>0</v>
      </c>
      <c r="D1684">
        <f t="shared" si="94"/>
        <v>407</v>
      </c>
      <c r="E1684" t="str">
        <f>SUBSTITUTE(IF(LEFT(A1684,3)="Câu",MID(A1684,FIND(".",A1684,1)+2,LEN(A1684)),""),CHAR(34),CHAR(92)&amp;CHAR(34))</f>
        <v>Biển nào sau đây là biển \"Lề đường nguy hiểm\"?</v>
      </c>
      <c r="F1684" t="str">
        <f t="shared" si="93"/>
        <v>q407.jpg</v>
      </c>
      <c r="G1684" t="str">
        <f>SUBSTITUTE(B1685,CHAR(34),CHAR(92)&amp;CHAR(34))</f>
        <v>Biển 1.</v>
      </c>
      <c r="H1684" t="str">
        <f>SUBSTITUTE(B1686,CHAR(34),CHAR(92)&amp;CHAR(34))</f>
        <v xml:space="preserve"> Biển 2.</v>
      </c>
      <c r="I1684" t="str">
        <f>SUBSTITUTE(IF(LEFT(A1687,3)="Câu","",B1687),CHAR(34),CHAR(92)&amp;CHAR(34))</f>
        <v>Biển 3.</v>
      </c>
      <c r="J1684" t="str">
        <f>SUBSTITUTE(IF(OR(LEFT(A1688,3)="Câu",I1684=""),"",IF(B1688=0,"",B1688)),CHAR(34),CHAR(92)&amp;CHAR(34))</f>
        <v/>
      </c>
      <c r="K1684" t="str">
        <f ca="1">SUBSTITUTE(SUBSTITUTE(SUBSTITUTE(SUBSTITUTE(IFERROR(VLOOKUP("Câu "&amp;D1684&amp;".",dapan!$E:$J,6,0),""),"1","A"),"2","B"),"3","C"),"4","D")</f>
        <v>B</v>
      </c>
      <c r="P1684">
        <f t="shared" si="95"/>
        <v>407</v>
      </c>
      <c r="Q1684" t="str">
        <f t="shared" ca="1" si="96"/>
        <v>{"num":407,"id":407,"q":"Biển nào sau đây là biển \"Lề đường nguy hiểm\"?","img":"q407.jpg","opts":{"A":"Biển 1.","B":" Biển 2.","C":"Biển 3."},"answer":"B"},</v>
      </c>
    </row>
    <row r="1685" spans="1:17" hidden="1" x14ac:dyDescent="0.25">
      <c r="A1685">
        <v>1</v>
      </c>
      <c r="B1685" t="s">
        <v>1075</v>
      </c>
      <c r="C1685">
        <f>IFERROR(COUNTIFS($A$1:A1685,"Câu "&amp;"*")-MID(A1685,5,FIND(".",A1685,1)-5),0)</f>
        <v>0</v>
      </c>
      <c r="D1685" t="str">
        <f t="shared" si="94"/>
        <v/>
      </c>
      <c r="E1685" t="str">
        <f>SUBSTITUTE(IF(LEFT(A1685,3)="Câu",MID(A1685,FIND(".",A1685,1)+2,LEN(A1685)),""),CHAR(34),CHAR(92)&amp;CHAR(34))</f>
        <v/>
      </c>
      <c r="F1685" t="str">
        <f t="shared" si="93"/>
        <v/>
      </c>
      <c r="G1685" t="str">
        <f>SUBSTITUTE(B1686,CHAR(34),CHAR(92)&amp;CHAR(34))</f>
        <v xml:space="preserve"> Biển 2.</v>
      </c>
      <c r="H1685" t="str">
        <f>SUBSTITUTE(B1687,CHAR(34),CHAR(92)&amp;CHAR(34))</f>
        <v>Biển 3.</v>
      </c>
      <c r="I1685" t="str">
        <f>SUBSTITUTE(IF(LEFT(A1688,3)="Câu","",B1688),CHAR(34),CHAR(92)&amp;CHAR(34))</f>
        <v/>
      </c>
      <c r="J1685" t="str">
        <f>SUBSTITUTE(IF(OR(LEFT(A1689,3)="Câu",I1685=""),"",IF(B1689=0,"",B1689)),CHAR(34),CHAR(92)&amp;CHAR(34))</f>
        <v/>
      </c>
      <c r="K1685" t="str">
        <f>SUBSTITUTE(SUBSTITUTE(SUBSTITUTE(SUBSTITUTE(IFERROR(VLOOKUP("Câu "&amp;D1685&amp;".",dapan!$E:$J,6,0),""),"1","A"),"2","B"),"3","C"),"4","D")</f>
        <v/>
      </c>
      <c r="P1685" t="str">
        <f t="shared" si="95"/>
        <v/>
      </c>
      <c r="Q1685" t="str">
        <f t="shared" si="96"/>
        <v/>
      </c>
    </row>
    <row r="1686" spans="1:17" hidden="1" x14ac:dyDescent="0.25">
      <c r="A1686">
        <v>2</v>
      </c>
      <c r="B1686" t="s">
        <v>1090</v>
      </c>
      <c r="C1686">
        <f>IFERROR(COUNTIFS($A$1:A1686,"Câu "&amp;"*")-MID(A1686,5,FIND(".",A1686,1)-5),0)</f>
        <v>0</v>
      </c>
      <c r="D1686" t="str">
        <f t="shared" si="94"/>
        <v/>
      </c>
      <c r="E1686" t="str">
        <f>SUBSTITUTE(IF(LEFT(A1686,3)="Câu",MID(A1686,FIND(".",A1686,1)+2,LEN(A1686)),""),CHAR(34),CHAR(92)&amp;CHAR(34))</f>
        <v/>
      </c>
      <c r="F1686" t="str">
        <f t="shared" si="93"/>
        <v/>
      </c>
      <c r="G1686" t="str">
        <f>SUBSTITUTE(B1687,CHAR(34),CHAR(92)&amp;CHAR(34))</f>
        <v>Biển 3.</v>
      </c>
      <c r="H1686" t="str">
        <f>SUBSTITUTE(B1688,CHAR(34),CHAR(92)&amp;CHAR(34))</f>
        <v/>
      </c>
      <c r="I1686" t="str">
        <f>SUBSTITUTE(IF(LEFT(A1689,3)="Câu","",B1689),CHAR(34),CHAR(92)&amp;CHAR(34))</f>
        <v xml:space="preserve"> Biển 1.</v>
      </c>
      <c r="J1686" t="str">
        <f>SUBSTITUTE(IF(OR(LEFT(A1690,3)="Câu",I1686=""),"",IF(B1690=0,"",B1690)),CHAR(34),CHAR(92)&amp;CHAR(34))</f>
        <v>Biển 2.</v>
      </c>
      <c r="K1686" t="str">
        <f>SUBSTITUTE(SUBSTITUTE(SUBSTITUTE(SUBSTITUTE(IFERROR(VLOOKUP("Câu "&amp;D1686&amp;".",dapan!$E:$J,6,0),""),"1","A"),"2","B"),"3","C"),"4","D")</f>
        <v/>
      </c>
      <c r="P1686" t="str">
        <f t="shared" si="95"/>
        <v/>
      </c>
      <c r="Q1686" t="str">
        <f t="shared" si="96"/>
        <v/>
      </c>
    </row>
    <row r="1687" spans="1:17" hidden="1" x14ac:dyDescent="0.25">
      <c r="A1687">
        <v>3</v>
      </c>
      <c r="B1687" t="s">
        <v>1083</v>
      </c>
      <c r="C1687">
        <f>IFERROR(COUNTIFS($A$1:A1687,"Câu "&amp;"*")-MID(A1687,5,FIND(".",A1687,1)-5),0)</f>
        <v>0</v>
      </c>
      <c r="D1687" t="str">
        <f t="shared" si="94"/>
        <v/>
      </c>
      <c r="E1687" t="str">
        <f>SUBSTITUTE(IF(LEFT(A1687,3)="Câu",MID(A1687,FIND(".",A1687,1)+2,LEN(A1687)),""),CHAR(34),CHAR(92)&amp;CHAR(34))</f>
        <v/>
      </c>
      <c r="F1687" t="str">
        <f t="shared" ref="F1687:F1750" si="97">IF(D1687="","","q"&amp;TEXT(D1687,"000")&amp;".jpg")</f>
        <v/>
      </c>
      <c r="G1687" t="str">
        <f>SUBSTITUTE(B1688,CHAR(34),CHAR(92)&amp;CHAR(34))</f>
        <v/>
      </c>
      <c r="H1687" t="str">
        <f>SUBSTITUTE(B1689,CHAR(34),CHAR(92)&amp;CHAR(34))</f>
        <v xml:space="preserve"> Biển 1.</v>
      </c>
      <c r="I1687" t="str">
        <f>SUBSTITUTE(IF(LEFT(A1690,3)="Câu","",B1690),CHAR(34),CHAR(92)&amp;CHAR(34))</f>
        <v>Biển 2.</v>
      </c>
      <c r="J1687" t="str">
        <f>SUBSTITUTE(IF(OR(LEFT(A1691,3)="Câu",I1687=""),"",IF(B1691=0,"",B1691)),CHAR(34),CHAR(92)&amp;CHAR(34))</f>
        <v>Biển 3.</v>
      </c>
      <c r="K1687" t="str">
        <f>SUBSTITUTE(SUBSTITUTE(SUBSTITUTE(SUBSTITUTE(IFERROR(VLOOKUP("Câu "&amp;D1687&amp;".",dapan!$E:$J,6,0),""),"1","A"),"2","B"),"3","C"),"4","D")</f>
        <v/>
      </c>
      <c r="P1687" t="str">
        <f t="shared" si="95"/>
        <v/>
      </c>
      <c r="Q1687" t="str">
        <f t="shared" si="96"/>
        <v/>
      </c>
    </row>
    <row r="1688" spans="1:17" x14ac:dyDescent="0.25">
      <c r="A1688" t="s">
        <v>1234</v>
      </c>
      <c r="C1688">
        <f>IFERROR(COUNTIFS($A$1:A1688,"Câu "&amp;"*")-MID(A1688,5,FIND(".",A1688,1)-5),0)</f>
        <v>0</v>
      </c>
      <c r="D1688">
        <f t="shared" si="94"/>
        <v>408</v>
      </c>
      <c r="E1688" t="str">
        <f>SUBSTITUTE(IF(LEFT(A1688,3)="Câu",MID(A1688,FIND(".",A1688,1)+2,LEN(A1688)),""),CHAR(34),CHAR(92)&amp;CHAR(34))</f>
        <v>Biển nào sau đây báo trước gần tới đoạn đường đang tiến hành thi công sửa chữa?</v>
      </c>
      <c r="F1688" t="str">
        <f t="shared" si="97"/>
        <v>q408.jpg</v>
      </c>
      <c r="G1688" t="str">
        <f>SUBSTITUTE(B1689,CHAR(34),CHAR(92)&amp;CHAR(34))</f>
        <v xml:space="preserve"> Biển 1.</v>
      </c>
      <c r="H1688" t="str">
        <f>SUBSTITUTE(B1690,CHAR(34),CHAR(92)&amp;CHAR(34))</f>
        <v>Biển 2.</v>
      </c>
      <c r="I1688" t="str">
        <f>SUBSTITUTE(IF(LEFT(A1691,3)="Câu","",B1691),CHAR(34),CHAR(92)&amp;CHAR(34))</f>
        <v>Biển 3.</v>
      </c>
      <c r="J1688" t="str">
        <f>SUBSTITUTE(IF(OR(LEFT(A1692,3)="Câu",I1688=""),"",IF(B1692=0,"",B1692)),CHAR(34),CHAR(92)&amp;CHAR(34))</f>
        <v>Không biển nào.</v>
      </c>
      <c r="K1688" t="str">
        <f ca="1">SUBSTITUTE(SUBSTITUTE(SUBSTITUTE(SUBSTITUTE(IFERROR(VLOOKUP("Câu "&amp;D1688&amp;".",dapan!$E:$J,6,0),""),"1","A"),"2","B"),"3","C"),"4","D")</f>
        <v>A</v>
      </c>
      <c r="P1688">
        <f t="shared" si="95"/>
        <v>408</v>
      </c>
      <c r="Q1688" t="str">
        <f t="shared" ca="1" si="96"/>
        <v>{"num":408,"id":408,"q":"Biển nào sau đây báo trước gần tới đoạn đường đang tiến hành thi công sửa chữa?","img":"q408.jpg","opts":{"A":" Biển 1.","B":"Biển 2.","C":"Biển 3.","D":"Không biển nào."},"answer":"A"},</v>
      </c>
    </row>
    <row r="1689" spans="1:17" hidden="1" x14ac:dyDescent="0.25">
      <c r="A1689">
        <v>1</v>
      </c>
      <c r="B1689" t="s">
        <v>1066</v>
      </c>
      <c r="C1689">
        <f>IFERROR(COUNTIFS($A$1:A1689,"Câu "&amp;"*")-MID(A1689,5,FIND(".",A1689,1)-5),0)</f>
        <v>0</v>
      </c>
      <c r="D1689" t="str">
        <f t="shared" ref="D1689:D1752" si="98">IF(LEFT(A1689,3)="Câu",VALUE(MID(A1689,5,FIND(".",A1689,1)-5)),"")</f>
        <v/>
      </c>
      <c r="E1689" t="str">
        <f>SUBSTITUTE(IF(LEFT(A1689,3)="Câu",MID(A1689,FIND(".",A1689,1)+2,LEN(A1689)),""),CHAR(34),CHAR(92)&amp;CHAR(34))</f>
        <v/>
      </c>
      <c r="F1689" t="str">
        <f t="shared" si="97"/>
        <v/>
      </c>
      <c r="G1689" t="str">
        <f>SUBSTITUTE(B1690,CHAR(34),CHAR(92)&amp;CHAR(34))</f>
        <v>Biển 2.</v>
      </c>
      <c r="H1689" t="str">
        <f>SUBSTITUTE(B1691,CHAR(34),CHAR(92)&amp;CHAR(34))</f>
        <v>Biển 3.</v>
      </c>
      <c r="I1689" t="str">
        <f>SUBSTITUTE(IF(LEFT(A1692,3)="Câu","",B1692),CHAR(34),CHAR(92)&amp;CHAR(34))</f>
        <v>Không biển nào.</v>
      </c>
      <c r="J1689" t="str">
        <f>SUBSTITUTE(IF(OR(LEFT(A1693,3)="Câu",I1689=""),"",IF(B1693=0,"",B1693)),CHAR(34),CHAR(92)&amp;CHAR(34))</f>
        <v/>
      </c>
      <c r="K1689" t="str">
        <f>SUBSTITUTE(SUBSTITUTE(SUBSTITUTE(SUBSTITUTE(IFERROR(VLOOKUP("Câu "&amp;D1689&amp;".",dapan!$E:$J,6,0),""),"1","A"),"2","B"),"3","C"),"4","D")</f>
        <v/>
      </c>
      <c r="P1689" t="str">
        <f t="shared" si="95"/>
        <v/>
      </c>
      <c r="Q1689" t="str">
        <f t="shared" si="96"/>
        <v/>
      </c>
    </row>
    <row r="1690" spans="1:17" hidden="1" x14ac:dyDescent="0.25">
      <c r="A1690">
        <v>2</v>
      </c>
      <c r="B1690" t="s">
        <v>1068</v>
      </c>
      <c r="C1690">
        <f>IFERROR(COUNTIFS($A$1:A1690,"Câu "&amp;"*")-MID(A1690,5,FIND(".",A1690,1)-5),0)</f>
        <v>0</v>
      </c>
      <c r="D1690" t="str">
        <f t="shared" si="98"/>
        <v/>
      </c>
      <c r="E1690" t="str">
        <f>SUBSTITUTE(IF(LEFT(A1690,3)="Câu",MID(A1690,FIND(".",A1690,1)+2,LEN(A1690)),""),CHAR(34),CHAR(92)&amp;CHAR(34))</f>
        <v/>
      </c>
      <c r="F1690" t="str">
        <f t="shared" si="97"/>
        <v/>
      </c>
      <c r="G1690" t="str">
        <f>SUBSTITUTE(B1691,CHAR(34),CHAR(92)&amp;CHAR(34))</f>
        <v>Biển 3.</v>
      </c>
      <c r="H1690" t="str">
        <f>SUBSTITUTE(B1692,CHAR(34),CHAR(92)&amp;CHAR(34))</f>
        <v>Không biển nào.</v>
      </c>
      <c r="I1690" t="str">
        <f>SUBSTITUTE(IF(LEFT(A1693,3)="Câu","",B1693),CHAR(34),CHAR(92)&amp;CHAR(34))</f>
        <v/>
      </c>
      <c r="J1690" t="str">
        <f>SUBSTITUTE(IF(OR(LEFT(A1694,3)="Câu",I1690=""),"",IF(B1694=0,"",B1694)),CHAR(34),CHAR(92)&amp;CHAR(34))</f>
        <v/>
      </c>
      <c r="K1690" t="str">
        <f>SUBSTITUTE(SUBSTITUTE(SUBSTITUTE(SUBSTITUTE(IFERROR(VLOOKUP("Câu "&amp;D1690&amp;".",dapan!$E:$J,6,0),""),"1","A"),"2","B"),"3","C"),"4","D")</f>
        <v/>
      </c>
      <c r="P1690" t="str">
        <f t="shared" si="95"/>
        <v/>
      </c>
      <c r="Q1690" t="str">
        <f t="shared" si="96"/>
        <v/>
      </c>
    </row>
    <row r="1691" spans="1:17" hidden="1" x14ac:dyDescent="0.25">
      <c r="A1691">
        <v>3</v>
      </c>
      <c r="B1691" t="s">
        <v>1083</v>
      </c>
      <c r="C1691">
        <f>IFERROR(COUNTIFS($A$1:A1691,"Câu "&amp;"*")-MID(A1691,5,FIND(".",A1691,1)-5),0)</f>
        <v>0</v>
      </c>
      <c r="D1691" t="str">
        <f t="shared" si="98"/>
        <v/>
      </c>
      <c r="E1691" t="str">
        <f>SUBSTITUTE(IF(LEFT(A1691,3)="Câu",MID(A1691,FIND(".",A1691,1)+2,LEN(A1691)),""),CHAR(34),CHAR(92)&amp;CHAR(34))</f>
        <v/>
      </c>
      <c r="F1691" t="str">
        <f t="shared" si="97"/>
        <v/>
      </c>
      <c r="G1691" t="str">
        <f>SUBSTITUTE(B1692,CHAR(34),CHAR(92)&amp;CHAR(34))</f>
        <v>Không biển nào.</v>
      </c>
      <c r="H1691" t="str">
        <f>SUBSTITUTE(B1693,CHAR(34),CHAR(92)&amp;CHAR(34))</f>
        <v/>
      </c>
      <c r="I1691" t="str">
        <f>SUBSTITUTE(IF(LEFT(A1694,3)="Câu","",B1694),CHAR(34),CHAR(92)&amp;CHAR(34))</f>
        <v>Biển 1.</v>
      </c>
      <c r="J1691" t="str">
        <f>SUBSTITUTE(IF(OR(LEFT(A1695,3)="Câu",I1691=""),"",IF(B1695=0,"",B1695)),CHAR(34),CHAR(92)&amp;CHAR(34))</f>
        <v xml:space="preserve"> Biển 2.</v>
      </c>
      <c r="K1691" t="str">
        <f>SUBSTITUTE(SUBSTITUTE(SUBSTITUTE(SUBSTITUTE(IFERROR(VLOOKUP("Câu "&amp;D1691&amp;".",dapan!$E:$J,6,0),""),"1","A"),"2","B"),"3","C"),"4","D")</f>
        <v/>
      </c>
      <c r="P1691" t="str">
        <f t="shared" si="95"/>
        <v/>
      </c>
      <c r="Q1691" t="str">
        <f t="shared" si="96"/>
        <v/>
      </c>
    </row>
    <row r="1692" spans="1:17" hidden="1" x14ac:dyDescent="0.25">
      <c r="A1692">
        <v>4</v>
      </c>
      <c r="B1692" t="s">
        <v>1085</v>
      </c>
      <c r="C1692">
        <f>IFERROR(COUNTIFS($A$1:A1692,"Câu "&amp;"*")-MID(A1692,5,FIND(".",A1692,1)-5),0)</f>
        <v>0</v>
      </c>
      <c r="D1692" t="str">
        <f t="shared" si="98"/>
        <v/>
      </c>
      <c r="E1692" t="str">
        <f>SUBSTITUTE(IF(LEFT(A1692,3)="Câu",MID(A1692,FIND(".",A1692,1)+2,LEN(A1692)),""),CHAR(34),CHAR(92)&amp;CHAR(34))</f>
        <v/>
      </c>
      <c r="F1692" t="str">
        <f t="shared" si="97"/>
        <v/>
      </c>
      <c r="G1692" t="str">
        <f>SUBSTITUTE(B1693,CHAR(34),CHAR(92)&amp;CHAR(34))</f>
        <v/>
      </c>
      <c r="H1692" t="str">
        <f>SUBSTITUTE(B1694,CHAR(34),CHAR(92)&amp;CHAR(34))</f>
        <v>Biển 1.</v>
      </c>
      <c r="I1692" t="str">
        <f>SUBSTITUTE(IF(LEFT(A1695,3)="Câu","",B1695),CHAR(34),CHAR(92)&amp;CHAR(34))</f>
        <v xml:space="preserve"> Biển 2.</v>
      </c>
      <c r="J1692" t="str">
        <f>SUBSTITUTE(IF(OR(LEFT(A1696,3)="Câu",I1692=""),"",IF(B1696=0,"",B1696)),CHAR(34),CHAR(92)&amp;CHAR(34))</f>
        <v>Biển 3.</v>
      </c>
      <c r="K1692" t="str">
        <f>SUBSTITUTE(SUBSTITUTE(SUBSTITUTE(SUBSTITUTE(IFERROR(VLOOKUP("Câu "&amp;D1692&amp;".",dapan!$E:$J,6,0),""),"1","A"),"2","B"),"3","C"),"4","D")</f>
        <v/>
      </c>
      <c r="P1692" t="str">
        <f t="shared" si="95"/>
        <v/>
      </c>
      <c r="Q1692" t="str">
        <f t="shared" si="96"/>
        <v/>
      </c>
    </row>
    <row r="1693" spans="1:17" x14ac:dyDescent="0.25">
      <c r="A1693" t="s">
        <v>1235</v>
      </c>
      <c r="C1693">
        <f>IFERROR(COUNTIFS($A$1:A1693,"Câu "&amp;"*")-MID(A1693,5,FIND(".",A1693,1)-5),0)</f>
        <v>0</v>
      </c>
      <c r="D1693">
        <f t="shared" si="98"/>
        <v>409</v>
      </c>
      <c r="E1693" t="str">
        <f>SUBSTITUTE(IF(LEFT(A1693,3)="Câu",MID(A1693,FIND(".",A1693,1)+2,LEN(A1693)),""),CHAR(34),CHAR(92)&amp;CHAR(34))</f>
        <v>Biển nào sau đây cảnh báo nguy hiểm đoạn đường thường xảy ra tai nạn?</v>
      </c>
      <c r="F1693" t="str">
        <f t="shared" si="97"/>
        <v>q409.jpg</v>
      </c>
      <c r="G1693" t="str">
        <f>SUBSTITUTE(B1694,CHAR(34),CHAR(92)&amp;CHAR(34))</f>
        <v>Biển 1.</v>
      </c>
      <c r="H1693" t="str">
        <f>SUBSTITUTE(B1695,CHAR(34),CHAR(92)&amp;CHAR(34))</f>
        <v xml:space="preserve"> Biển 2.</v>
      </c>
      <c r="I1693" t="str">
        <f>SUBSTITUTE(IF(LEFT(A1696,3)="Câu","",B1696),CHAR(34),CHAR(92)&amp;CHAR(34))</f>
        <v>Biển 3.</v>
      </c>
      <c r="J1693" t="str">
        <f>SUBSTITUTE(IF(OR(LEFT(A1697,3)="Câu",I1693=""),"",IF(B1697=0,"",B1697)),CHAR(34),CHAR(92)&amp;CHAR(34))</f>
        <v/>
      </c>
      <c r="K1693" t="str">
        <f ca="1">SUBSTITUTE(SUBSTITUTE(SUBSTITUTE(SUBSTITUTE(IFERROR(VLOOKUP("Câu "&amp;D1693&amp;".",dapan!$E:$J,6,0),""),"1","A"),"2","B"),"3","C"),"4","D")</f>
        <v>B</v>
      </c>
      <c r="P1693">
        <f t="shared" si="95"/>
        <v>409</v>
      </c>
      <c r="Q1693" t="str">
        <f t="shared" ca="1" si="96"/>
        <v>{"num":409,"id":409,"q":"Biển nào sau đây cảnh báo nguy hiểm đoạn đường thường xảy ra tai nạn?","img":"q409.jpg","opts":{"A":"Biển 1.","B":" Biển 2.","C":"Biển 3."},"answer":"B"},</v>
      </c>
    </row>
    <row r="1694" spans="1:17" hidden="1" x14ac:dyDescent="0.25">
      <c r="A1694">
        <v>1</v>
      </c>
      <c r="B1694" t="s">
        <v>1075</v>
      </c>
      <c r="C1694">
        <f>IFERROR(COUNTIFS($A$1:A1694,"Câu "&amp;"*")-MID(A1694,5,FIND(".",A1694,1)-5),0)</f>
        <v>0</v>
      </c>
      <c r="D1694" t="str">
        <f t="shared" si="98"/>
        <v/>
      </c>
      <c r="E1694" t="str">
        <f>SUBSTITUTE(IF(LEFT(A1694,3)="Câu",MID(A1694,FIND(".",A1694,1)+2,LEN(A1694)),""),CHAR(34),CHAR(92)&amp;CHAR(34))</f>
        <v/>
      </c>
      <c r="F1694" t="str">
        <f t="shared" si="97"/>
        <v/>
      </c>
      <c r="G1694" t="str">
        <f>SUBSTITUTE(B1695,CHAR(34),CHAR(92)&amp;CHAR(34))</f>
        <v xml:space="preserve"> Biển 2.</v>
      </c>
      <c r="H1694" t="str">
        <f>SUBSTITUTE(B1696,CHAR(34),CHAR(92)&amp;CHAR(34))</f>
        <v>Biển 3.</v>
      </c>
      <c r="I1694" t="str">
        <f>SUBSTITUTE(IF(LEFT(A1697,3)="Câu","",B1697),CHAR(34),CHAR(92)&amp;CHAR(34))</f>
        <v/>
      </c>
      <c r="J1694" t="str">
        <f>SUBSTITUTE(IF(OR(LEFT(A1698,3)="Câu",I1694=""),"",IF(B1698=0,"",B1698)),CHAR(34),CHAR(92)&amp;CHAR(34))</f>
        <v/>
      </c>
      <c r="K1694" t="str">
        <f>SUBSTITUTE(SUBSTITUTE(SUBSTITUTE(SUBSTITUTE(IFERROR(VLOOKUP("Câu "&amp;D1694&amp;".",dapan!$E:$J,6,0),""),"1","A"),"2","B"),"3","C"),"4","D")</f>
        <v/>
      </c>
      <c r="P1694" t="str">
        <f t="shared" si="95"/>
        <v/>
      </c>
      <c r="Q1694" t="str">
        <f t="shared" si="96"/>
        <v/>
      </c>
    </row>
    <row r="1695" spans="1:17" hidden="1" x14ac:dyDescent="0.25">
      <c r="A1695">
        <v>2</v>
      </c>
      <c r="B1695" t="s">
        <v>1090</v>
      </c>
      <c r="C1695">
        <f>IFERROR(COUNTIFS($A$1:A1695,"Câu "&amp;"*")-MID(A1695,5,FIND(".",A1695,1)-5),0)</f>
        <v>0</v>
      </c>
      <c r="D1695" t="str">
        <f t="shared" si="98"/>
        <v/>
      </c>
      <c r="E1695" t="str">
        <f>SUBSTITUTE(IF(LEFT(A1695,3)="Câu",MID(A1695,FIND(".",A1695,1)+2,LEN(A1695)),""),CHAR(34),CHAR(92)&amp;CHAR(34))</f>
        <v/>
      </c>
      <c r="F1695" t="str">
        <f t="shared" si="97"/>
        <v/>
      </c>
      <c r="G1695" t="str">
        <f>SUBSTITUTE(B1696,CHAR(34),CHAR(92)&amp;CHAR(34))</f>
        <v>Biển 3.</v>
      </c>
      <c r="H1695" t="str">
        <f>SUBSTITUTE(B1697,CHAR(34),CHAR(92)&amp;CHAR(34))</f>
        <v/>
      </c>
      <c r="I1695" t="str">
        <f>SUBSTITUTE(IF(LEFT(A1698,3)="Câu","",B1698),CHAR(34),CHAR(92)&amp;CHAR(34))</f>
        <v>Biển 1.</v>
      </c>
      <c r="J1695" t="str">
        <f>SUBSTITUTE(IF(OR(LEFT(A1699,3)="Câu",I1695=""),"",IF(B1699=0,"",B1699)),CHAR(34),CHAR(92)&amp;CHAR(34))</f>
        <v xml:space="preserve"> Biển 2.</v>
      </c>
      <c r="K1695" t="str">
        <f>SUBSTITUTE(SUBSTITUTE(SUBSTITUTE(SUBSTITUTE(IFERROR(VLOOKUP("Câu "&amp;D1695&amp;".",dapan!$E:$J,6,0),""),"1","A"),"2","B"),"3","C"),"4","D")</f>
        <v/>
      </c>
      <c r="P1695" t="str">
        <f t="shared" si="95"/>
        <v/>
      </c>
      <c r="Q1695" t="str">
        <f t="shared" si="96"/>
        <v/>
      </c>
    </row>
    <row r="1696" spans="1:17" hidden="1" x14ac:dyDescent="0.25">
      <c r="A1696">
        <v>3</v>
      </c>
      <c r="B1696" t="s">
        <v>1083</v>
      </c>
      <c r="C1696">
        <f>IFERROR(COUNTIFS($A$1:A1696,"Câu "&amp;"*")-MID(A1696,5,FIND(".",A1696,1)-5),0)</f>
        <v>0</v>
      </c>
      <c r="D1696" t="str">
        <f t="shared" si="98"/>
        <v/>
      </c>
      <c r="E1696" t="str">
        <f>SUBSTITUTE(IF(LEFT(A1696,3)="Câu",MID(A1696,FIND(".",A1696,1)+2,LEN(A1696)),""),CHAR(34),CHAR(92)&amp;CHAR(34))</f>
        <v/>
      </c>
      <c r="F1696" t="str">
        <f t="shared" si="97"/>
        <v/>
      </c>
      <c r="G1696" t="str">
        <f>SUBSTITUTE(B1697,CHAR(34),CHAR(92)&amp;CHAR(34))</f>
        <v/>
      </c>
      <c r="H1696" t="str">
        <f>SUBSTITUTE(B1698,CHAR(34),CHAR(92)&amp;CHAR(34))</f>
        <v>Biển 1.</v>
      </c>
      <c r="I1696" t="str">
        <f>SUBSTITUTE(IF(LEFT(A1699,3)="Câu","",B1699),CHAR(34),CHAR(92)&amp;CHAR(34))</f>
        <v xml:space="preserve"> Biển 2.</v>
      </c>
      <c r="J1696" t="str">
        <f>SUBSTITUTE(IF(OR(LEFT(A1700,3)="Câu",I1696=""),"",IF(B1700=0,"",B1700)),CHAR(34),CHAR(92)&amp;CHAR(34))</f>
        <v>Biển 3.</v>
      </c>
      <c r="K1696" t="str">
        <f>SUBSTITUTE(SUBSTITUTE(SUBSTITUTE(SUBSTITUTE(IFERROR(VLOOKUP("Câu "&amp;D1696&amp;".",dapan!$E:$J,6,0),""),"1","A"),"2","B"),"3","C"),"4","D")</f>
        <v/>
      </c>
      <c r="P1696" t="str">
        <f t="shared" si="95"/>
        <v/>
      </c>
      <c r="Q1696" t="str">
        <f t="shared" si="96"/>
        <v/>
      </c>
    </row>
    <row r="1697" spans="1:17" x14ac:dyDescent="0.25">
      <c r="A1697" t="s">
        <v>1236</v>
      </c>
      <c r="C1697">
        <f>IFERROR(COUNTIFS($A$1:A1697,"Câu "&amp;"*")-MID(A1697,5,FIND(".",A1697,1)-5),0)</f>
        <v>0</v>
      </c>
      <c r="D1697">
        <f t="shared" si="98"/>
        <v>410</v>
      </c>
      <c r="E1697" t="str">
        <f>SUBSTITUTE(IF(LEFT(A1697,3)="Câu",MID(A1697,FIND(".",A1697,1)+2,LEN(A1697)),""),CHAR(34),CHAR(92)&amp;CHAR(34))</f>
        <v>Biển nào dưới đây báo hiệu đoạn đường hay xảy ra ùn tắc giao thông?</v>
      </c>
      <c r="F1697" t="str">
        <f t="shared" si="97"/>
        <v>q410.jpg</v>
      </c>
      <c r="G1697" t="str">
        <f>SUBSTITUTE(B1698,CHAR(34),CHAR(92)&amp;CHAR(34))</f>
        <v>Biển 1.</v>
      </c>
      <c r="H1697" t="str">
        <f>SUBSTITUTE(B1699,CHAR(34),CHAR(92)&amp;CHAR(34))</f>
        <v xml:space="preserve"> Biển 2.</v>
      </c>
      <c r="I1697" t="str">
        <f>SUBSTITUTE(IF(LEFT(A1700,3)="Câu","",B1700),CHAR(34),CHAR(92)&amp;CHAR(34))</f>
        <v>Biển 3.</v>
      </c>
      <c r="J1697" t="str">
        <f>SUBSTITUTE(IF(OR(LEFT(A1701,3)="Câu",I1697=""),"",IF(B1701=0,"",B1701)),CHAR(34),CHAR(92)&amp;CHAR(34))</f>
        <v>Cả ba biển.</v>
      </c>
      <c r="K1697" t="str">
        <f ca="1">SUBSTITUTE(SUBSTITUTE(SUBSTITUTE(SUBSTITUTE(IFERROR(VLOOKUP("Câu "&amp;D1697&amp;".",dapan!$E:$J,6,0),""),"1","A"),"2","B"),"3","C"),"4","D")</f>
        <v>B</v>
      </c>
      <c r="P1697">
        <f t="shared" si="95"/>
        <v>410</v>
      </c>
      <c r="Q1697" t="str">
        <f t="shared" ca="1" si="96"/>
        <v>{"num":410,"id":410,"q":"Biển nào dưới đây báo hiệu đoạn đường hay xảy ra ùn tắc giao thông?","img":"q410.jpg","opts":{"A":"Biển 1.","B":" Biển 2.","C":"Biển 3.","D":"Cả ba biển."},"answer":"B"},</v>
      </c>
    </row>
    <row r="1698" spans="1:17" hidden="1" x14ac:dyDescent="0.25">
      <c r="A1698">
        <v>1</v>
      </c>
      <c r="B1698" t="s">
        <v>1075</v>
      </c>
      <c r="C1698">
        <f>IFERROR(COUNTIFS($A$1:A1698,"Câu "&amp;"*")-MID(A1698,5,FIND(".",A1698,1)-5),0)</f>
        <v>0</v>
      </c>
      <c r="D1698" t="str">
        <f t="shared" si="98"/>
        <v/>
      </c>
      <c r="E1698" t="str">
        <f>SUBSTITUTE(IF(LEFT(A1698,3)="Câu",MID(A1698,FIND(".",A1698,1)+2,LEN(A1698)),""),CHAR(34),CHAR(92)&amp;CHAR(34))</f>
        <v/>
      </c>
      <c r="F1698" t="str">
        <f t="shared" si="97"/>
        <v/>
      </c>
      <c r="G1698" t="str">
        <f>SUBSTITUTE(B1699,CHAR(34),CHAR(92)&amp;CHAR(34))</f>
        <v xml:space="preserve"> Biển 2.</v>
      </c>
      <c r="H1698" t="str">
        <f>SUBSTITUTE(B1700,CHAR(34),CHAR(92)&amp;CHAR(34))</f>
        <v>Biển 3.</v>
      </c>
      <c r="I1698" t="str">
        <f>SUBSTITUTE(IF(LEFT(A1701,3)="Câu","",B1701),CHAR(34),CHAR(92)&amp;CHAR(34))</f>
        <v>Cả ba biển.</v>
      </c>
      <c r="J1698" t="str">
        <f>SUBSTITUTE(IF(OR(LEFT(A1702,3)="Câu",I1698=""),"",IF(B1702=0,"",B1702)),CHAR(34),CHAR(92)&amp;CHAR(34))</f>
        <v/>
      </c>
      <c r="K1698" t="str">
        <f>SUBSTITUTE(SUBSTITUTE(SUBSTITUTE(SUBSTITUTE(IFERROR(VLOOKUP("Câu "&amp;D1698&amp;".",dapan!$E:$J,6,0),""),"1","A"),"2","B"),"3","C"),"4","D")</f>
        <v/>
      </c>
      <c r="P1698" t="str">
        <f t="shared" si="95"/>
        <v/>
      </c>
      <c r="Q1698" t="str">
        <f t="shared" si="96"/>
        <v/>
      </c>
    </row>
    <row r="1699" spans="1:17" hidden="1" x14ac:dyDescent="0.25">
      <c r="A1699">
        <v>2</v>
      </c>
      <c r="B1699" t="s">
        <v>1090</v>
      </c>
      <c r="C1699">
        <f>IFERROR(COUNTIFS($A$1:A1699,"Câu "&amp;"*")-MID(A1699,5,FIND(".",A1699,1)-5),0)</f>
        <v>0</v>
      </c>
      <c r="D1699" t="str">
        <f t="shared" si="98"/>
        <v/>
      </c>
      <c r="E1699" t="str">
        <f>SUBSTITUTE(IF(LEFT(A1699,3)="Câu",MID(A1699,FIND(".",A1699,1)+2,LEN(A1699)),""),CHAR(34),CHAR(92)&amp;CHAR(34))</f>
        <v/>
      </c>
      <c r="F1699" t="str">
        <f t="shared" si="97"/>
        <v/>
      </c>
      <c r="G1699" t="str">
        <f>SUBSTITUTE(B1700,CHAR(34),CHAR(92)&amp;CHAR(34))</f>
        <v>Biển 3.</v>
      </c>
      <c r="H1699" t="str">
        <f>SUBSTITUTE(B1701,CHAR(34),CHAR(92)&amp;CHAR(34))</f>
        <v>Cả ba biển.</v>
      </c>
      <c r="I1699" t="str">
        <f>SUBSTITUTE(IF(LEFT(A1702,3)="Câu","",B1702),CHAR(34),CHAR(92)&amp;CHAR(34))</f>
        <v/>
      </c>
      <c r="J1699" t="str">
        <f>SUBSTITUTE(IF(OR(LEFT(A1703,3)="Câu",I1699=""),"",IF(B1703=0,"",B1703)),CHAR(34),CHAR(92)&amp;CHAR(34))</f>
        <v/>
      </c>
      <c r="K1699" t="str">
        <f>SUBSTITUTE(SUBSTITUTE(SUBSTITUTE(SUBSTITUTE(IFERROR(VLOOKUP("Câu "&amp;D1699&amp;".",dapan!$E:$J,6,0),""),"1","A"),"2","B"),"3","C"),"4","D")</f>
        <v/>
      </c>
      <c r="P1699" t="str">
        <f t="shared" si="95"/>
        <v/>
      </c>
      <c r="Q1699" t="str">
        <f t="shared" si="96"/>
        <v/>
      </c>
    </row>
    <row r="1700" spans="1:17" hidden="1" x14ac:dyDescent="0.25">
      <c r="A1700">
        <v>3</v>
      </c>
      <c r="B1700" t="s">
        <v>1083</v>
      </c>
      <c r="C1700">
        <f>IFERROR(COUNTIFS($A$1:A1700,"Câu "&amp;"*")-MID(A1700,5,FIND(".",A1700,1)-5),0)</f>
        <v>0</v>
      </c>
      <c r="D1700" t="str">
        <f t="shared" si="98"/>
        <v/>
      </c>
      <c r="E1700" t="str">
        <f>SUBSTITUTE(IF(LEFT(A1700,3)="Câu",MID(A1700,FIND(".",A1700,1)+2,LEN(A1700)),""),CHAR(34),CHAR(92)&amp;CHAR(34))</f>
        <v/>
      </c>
      <c r="F1700" t="str">
        <f t="shared" si="97"/>
        <v/>
      </c>
      <c r="G1700" t="str">
        <f>SUBSTITUTE(B1701,CHAR(34),CHAR(92)&amp;CHAR(34))</f>
        <v>Cả ba biển.</v>
      </c>
      <c r="H1700" t="str">
        <f>SUBSTITUTE(B1702,CHAR(34),CHAR(92)&amp;CHAR(34))</f>
        <v/>
      </c>
      <c r="I1700" t="str">
        <f>SUBSTITUTE(IF(LEFT(A1703,3)="Câu","",B1703),CHAR(34),CHAR(92)&amp;CHAR(34))</f>
        <v>Biển 1.</v>
      </c>
      <c r="J1700" t="str">
        <f>SUBSTITUTE(IF(OR(LEFT(A1704,3)="Câu",I1700=""),"",IF(B1704=0,"",B1704)),CHAR(34),CHAR(92)&amp;CHAR(34))</f>
        <v xml:space="preserve"> Biển 2.</v>
      </c>
      <c r="K1700" t="str">
        <f>SUBSTITUTE(SUBSTITUTE(SUBSTITUTE(SUBSTITUTE(IFERROR(VLOOKUP("Câu "&amp;D1700&amp;".",dapan!$E:$J,6,0),""),"1","A"),"2","B"),"3","C"),"4","D")</f>
        <v/>
      </c>
      <c r="P1700" t="str">
        <f t="shared" si="95"/>
        <v/>
      </c>
      <c r="Q1700" t="str">
        <f t="shared" si="96"/>
        <v/>
      </c>
    </row>
    <row r="1701" spans="1:17" hidden="1" x14ac:dyDescent="0.25">
      <c r="A1701">
        <v>4</v>
      </c>
      <c r="B1701" t="s">
        <v>1071</v>
      </c>
      <c r="C1701">
        <f>IFERROR(COUNTIFS($A$1:A1701,"Câu "&amp;"*")-MID(A1701,5,FIND(".",A1701,1)-5),0)</f>
        <v>0</v>
      </c>
      <c r="D1701" t="str">
        <f t="shared" si="98"/>
        <v/>
      </c>
      <c r="E1701" t="str">
        <f>SUBSTITUTE(IF(LEFT(A1701,3)="Câu",MID(A1701,FIND(".",A1701,1)+2,LEN(A1701)),""),CHAR(34),CHAR(92)&amp;CHAR(34))</f>
        <v/>
      </c>
      <c r="F1701" t="str">
        <f t="shared" si="97"/>
        <v/>
      </c>
      <c r="G1701" t="str">
        <f>SUBSTITUTE(B1702,CHAR(34),CHAR(92)&amp;CHAR(34))</f>
        <v/>
      </c>
      <c r="H1701" t="str">
        <f>SUBSTITUTE(B1703,CHAR(34),CHAR(92)&amp;CHAR(34))</f>
        <v>Biển 1.</v>
      </c>
      <c r="I1701" t="str">
        <f>SUBSTITUTE(IF(LEFT(A1704,3)="Câu","",B1704),CHAR(34),CHAR(92)&amp;CHAR(34))</f>
        <v xml:space="preserve"> Biển 2.</v>
      </c>
      <c r="J1701" t="str">
        <f>SUBSTITUTE(IF(OR(LEFT(A1705,3)="Câu",I1701=""),"",IF(B1705=0,"",B1705)),CHAR(34),CHAR(92)&amp;CHAR(34))</f>
        <v/>
      </c>
      <c r="K1701" t="str">
        <f>SUBSTITUTE(SUBSTITUTE(SUBSTITUTE(SUBSTITUTE(IFERROR(VLOOKUP("Câu "&amp;D1701&amp;".",dapan!$E:$J,6,0),""),"1","A"),"2","B"),"3","C"),"4","D")</f>
        <v/>
      </c>
      <c r="P1701" t="str">
        <f t="shared" si="95"/>
        <v/>
      </c>
      <c r="Q1701" t="str">
        <f t="shared" si="96"/>
        <v/>
      </c>
    </row>
    <row r="1702" spans="1:17" x14ac:dyDescent="0.25">
      <c r="A1702" t="s">
        <v>1237</v>
      </c>
      <c r="C1702">
        <f>IFERROR(COUNTIFS($A$1:A1702,"Câu "&amp;"*")-MID(A1702,5,FIND(".",A1702,1)-5),0)</f>
        <v>0</v>
      </c>
      <c r="D1702">
        <f t="shared" si="98"/>
        <v>411</v>
      </c>
      <c r="E1702" t="str">
        <f>SUBSTITUTE(IF(LEFT(A1702,3)="Câu",MID(A1702,FIND(".",A1702,1)+2,LEN(A1702)),""),CHAR(34),CHAR(92)&amp;CHAR(34))</f>
        <v>Gặp biển nào người tham gia giao thông phải đi chậm và thận trọng đề phòng khả năng xuất hiện và di chuyển bất ngờ của trẻ em trên mặt đường?</v>
      </c>
      <c r="F1702" t="str">
        <f t="shared" si="97"/>
        <v>q411.jpg</v>
      </c>
      <c r="G1702" t="str">
        <f>SUBSTITUTE(B1703,CHAR(34),CHAR(92)&amp;CHAR(34))</f>
        <v>Biển 1.</v>
      </c>
      <c r="H1702" t="str">
        <f>SUBSTITUTE(B1704,CHAR(34),CHAR(92)&amp;CHAR(34))</f>
        <v xml:space="preserve"> Biển 2.</v>
      </c>
      <c r="I1702" t="str">
        <f>SUBSTITUTE(IF(LEFT(A1705,3)="Câu","",B1705),CHAR(34),CHAR(92)&amp;CHAR(34))</f>
        <v/>
      </c>
      <c r="J1702" t="str">
        <f>SUBSTITUTE(IF(OR(LEFT(A1706,3)="Câu",I1702=""),"",IF(B1706=0,"",B1706)),CHAR(34),CHAR(92)&amp;CHAR(34))</f>
        <v/>
      </c>
      <c r="K1702" t="str">
        <f ca="1">SUBSTITUTE(SUBSTITUTE(SUBSTITUTE(SUBSTITUTE(IFERROR(VLOOKUP("Câu "&amp;D1702&amp;".",dapan!$E:$J,6,0),""),"1","A"),"2","B"),"3","C"),"4","D")</f>
        <v>B</v>
      </c>
      <c r="P1702">
        <f t="shared" si="95"/>
        <v>411</v>
      </c>
      <c r="Q1702" t="str">
        <f t="shared" ca="1" si="96"/>
        <v>{"num":411,"id":411,"q":"Gặp biển nào người tham gia giao thông phải đi chậm và thận trọng đề phòng khả năng xuất hiện và di chuyển bất ngờ của trẻ em trên mặt đường?","img":"q411.jpg","opts":{"A":"Biển 1.","B":" Biển 2."},"answer":"B"},</v>
      </c>
    </row>
    <row r="1703" spans="1:17" hidden="1" x14ac:dyDescent="0.25">
      <c r="A1703">
        <v>1</v>
      </c>
      <c r="B1703" t="s">
        <v>1075</v>
      </c>
      <c r="C1703">
        <f>IFERROR(COUNTIFS($A$1:A1703,"Câu "&amp;"*")-MID(A1703,5,FIND(".",A1703,1)-5),0)</f>
        <v>0</v>
      </c>
      <c r="D1703" t="str">
        <f t="shared" si="98"/>
        <v/>
      </c>
      <c r="E1703" t="str">
        <f>SUBSTITUTE(IF(LEFT(A1703,3)="Câu",MID(A1703,FIND(".",A1703,1)+2,LEN(A1703)),""),CHAR(34),CHAR(92)&amp;CHAR(34))</f>
        <v/>
      </c>
      <c r="F1703" t="str">
        <f t="shared" si="97"/>
        <v/>
      </c>
      <c r="G1703" t="str">
        <f>SUBSTITUTE(B1704,CHAR(34),CHAR(92)&amp;CHAR(34))</f>
        <v xml:space="preserve"> Biển 2.</v>
      </c>
      <c r="H1703" t="str">
        <f>SUBSTITUTE(B1705,CHAR(34),CHAR(92)&amp;CHAR(34))</f>
        <v/>
      </c>
      <c r="I1703" t="str">
        <f>SUBSTITUTE(IF(LEFT(A1706,3)="Câu","",B1706),CHAR(34),CHAR(92)&amp;CHAR(34))</f>
        <v>Biển 1.</v>
      </c>
      <c r="J1703" t="str">
        <f>SUBSTITUTE(IF(OR(LEFT(A1707,3)="Câu",I1703=""),"",IF(B1707=0,"",B1707)),CHAR(34),CHAR(92)&amp;CHAR(34))</f>
        <v xml:space="preserve"> Biển 2.</v>
      </c>
      <c r="K1703" t="str">
        <f>SUBSTITUTE(SUBSTITUTE(SUBSTITUTE(SUBSTITUTE(IFERROR(VLOOKUP("Câu "&amp;D1703&amp;".",dapan!$E:$J,6,0),""),"1","A"),"2","B"),"3","C"),"4","D")</f>
        <v/>
      </c>
      <c r="P1703" t="str">
        <f t="shared" si="95"/>
        <v/>
      </c>
      <c r="Q1703" t="str">
        <f t="shared" si="96"/>
        <v/>
      </c>
    </row>
    <row r="1704" spans="1:17" hidden="1" x14ac:dyDescent="0.25">
      <c r="A1704">
        <v>2</v>
      </c>
      <c r="B1704" t="s">
        <v>1090</v>
      </c>
      <c r="C1704">
        <f>IFERROR(COUNTIFS($A$1:A1704,"Câu "&amp;"*")-MID(A1704,5,FIND(".",A1704,1)-5),0)</f>
        <v>0</v>
      </c>
      <c r="D1704" t="str">
        <f t="shared" si="98"/>
        <v/>
      </c>
      <c r="E1704" t="str">
        <f>SUBSTITUTE(IF(LEFT(A1704,3)="Câu",MID(A1704,FIND(".",A1704,1)+2,LEN(A1704)),""),CHAR(34),CHAR(92)&amp;CHAR(34))</f>
        <v/>
      </c>
      <c r="F1704" t="str">
        <f t="shared" si="97"/>
        <v/>
      </c>
      <c r="G1704" t="str">
        <f>SUBSTITUTE(B1705,CHAR(34),CHAR(92)&amp;CHAR(34))</f>
        <v/>
      </c>
      <c r="H1704" t="str">
        <f>SUBSTITUTE(B1706,CHAR(34),CHAR(92)&amp;CHAR(34))</f>
        <v>Biển 1.</v>
      </c>
      <c r="I1704" t="str">
        <f>SUBSTITUTE(IF(LEFT(A1707,3)="Câu","",B1707),CHAR(34),CHAR(92)&amp;CHAR(34))</f>
        <v xml:space="preserve"> Biển 2.</v>
      </c>
      <c r="J1704" t="str">
        <f>SUBSTITUTE(IF(OR(LEFT(A1708,3)="Câu",I1704=""),"",IF(B1708=0,"",B1708)),CHAR(34),CHAR(92)&amp;CHAR(34))</f>
        <v>Biển 3.</v>
      </c>
      <c r="K1704" t="str">
        <f>SUBSTITUTE(SUBSTITUTE(SUBSTITUTE(SUBSTITUTE(IFERROR(VLOOKUP("Câu "&amp;D1704&amp;".",dapan!$E:$J,6,0),""),"1","A"),"2","B"),"3","C"),"4","D")</f>
        <v/>
      </c>
      <c r="P1704" t="str">
        <f t="shared" si="95"/>
        <v/>
      </c>
      <c r="Q1704" t="str">
        <f t="shared" si="96"/>
        <v/>
      </c>
    </row>
    <row r="1705" spans="1:17" x14ac:dyDescent="0.25">
      <c r="A1705" t="s">
        <v>1238</v>
      </c>
      <c r="C1705">
        <f>IFERROR(COUNTIFS($A$1:A1705,"Câu "&amp;"*")-MID(A1705,5,FIND(".",A1705,1)-5),0)</f>
        <v>0</v>
      </c>
      <c r="D1705">
        <f t="shared" si="98"/>
        <v>412</v>
      </c>
      <c r="E1705" t="str">
        <f>SUBSTITUTE(IF(LEFT(A1705,3)="Câu",MID(A1705,FIND(".",A1705,1)+2,LEN(A1705)),""),CHAR(34),CHAR(92)&amp;CHAR(34))</f>
        <v>Biển nào chỉ dẫn nơi bắt đầu đoạn đường dành cho người đi bộ?</v>
      </c>
      <c r="F1705" t="str">
        <f t="shared" si="97"/>
        <v>q412.jpg</v>
      </c>
      <c r="G1705" t="str">
        <f>SUBSTITUTE(B1706,CHAR(34),CHAR(92)&amp;CHAR(34))</f>
        <v>Biển 1.</v>
      </c>
      <c r="H1705" t="str">
        <f>SUBSTITUTE(B1707,CHAR(34),CHAR(92)&amp;CHAR(34))</f>
        <v xml:space="preserve"> Biển 2.</v>
      </c>
      <c r="I1705" t="str">
        <f>SUBSTITUTE(IF(LEFT(A1708,3)="Câu","",B1708),CHAR(34),CHAR(92)&amp;CHAR(34))</f>
        <v>Biển 3.</v>
      </c>
      <c r="J1705" t="str">
        <f>SUBSTITUTE(IF(OR(LEFT(A1709,3)="Câu",I1705=""),"",IF(B1709=0,"",B1709)),CHAR(34),CHAR(92)&amp;CHAR(34))</f>
        <v/>
      </c>
      <c r="K1705" t="str">
        <f ca="1">SUBSTITUTE(SUBSTITUTE(SUBSTITUTE(SUBSTITUTE(IFERROR(VLOOKUP("Câu "&amp;D1705&amp;".",dapan!$E:$J,6,0),""),"1","A"),"2","B"),"3","C"),"4","D")</f>
        <v>B</v>
      </c>
      <c r="P1705">
        <f t="shared" si="95"/>
        <v>412</v>
      </c>
      <c r="Q1705" t="str">
        <f t="shared" ca="1" si="96"/>
        <v>{"num":412,"id":412,"q":"Biển nào chỉ dẫn nơi bắt đầu đoạn đường dành cho người đi bộ?","img":"q412.jpg","opts":{"A":"Biển 1.","B":" Biển 2.","C":"Biển 3."},"answer":"B"},</v>
      </c>
    </row>
    <row r="1706" spans="1:17" hidden="1" x14ac:dyDescent="0.25">
      <c r="A1706">
        <v>1</v>
      </c>
      <c r="B1706" t="s">
        <v>1075</v>
      </c>
      <c r="C1706">
        <f>IFERROR(COUNTIFS($A$1:A1706,"Câu "&amp;"*")-MID(A1706,5,FIND(".",A1706,1)-5),0)</f>
        <v>0</v>
      </c>
      <c r="D1706" t="str">
        <f t="shared" si="98"/>
        <v/>
      </c>
      <c r="E1706" t="str">
        <f>SUBSTITUTE(IF(LEFT(A1706,3)="Câu",MID(A1706,FIND(".",A1706,1)+2,LEN(A1706)),""),CHAR(34),CHAR(92)&amp;CHAR(34))</f>
        <v/>
      </c>
      <c r="F1706" t="str">
        <f t="shared" si="97"/>
        <v/>
      </c>
      <c r="G1706" t="str">
        <f>SUBSTITUTE(B1707,CHAR(34),CHAR(92)&amp;CHAR(34))</f>
        <v xml:space="preserve"> Biển 2.</v>
      </c>
      <c r="H1706" t="str">
        <f>SUBSTITUTE(B1708,CHAR(34),CHAR(92)&amp;CHAR(34))</f>
        <v>Biển 3.</v>
      </c>
      <c r="I1706" t="str">
        <f>SUBSTITUTE(IF(LEFT(A1709,3)="Câu","",B1709),CHAR(34),CHAR(92)&amp;CHAR(34))</f>
        <v/>
      </c>
      <c r="J1706" t="str">
        <f>SUBSTITUTE(IF(OR(LEFT(A1710,3)="Câu",I1706=""),"",IF(B1710=0,"",B1710)),CHAR(34),CHAR(92)&amp;CHAR(34))</f>
        <v/>
      </c>
      <c r="K1706" t="str">
        <f>SUBSTITUTE(SUBSTITUTE(SUBSTITUTE(SUBSTITUTE(IFERROR(VLOOKUP("Câu "&amp;D1706&amp;".",dapan!$E:$J,6,0),""),"1","A"),"2","B"),"3","C"),"4","D")</f>
        <v/>
      </c>
      <c r="P1706" t="str">
        <f t="shared" si="95"/>
        <v/>
      </c>
      <c r="Q1706" t="str">
        <f t="shared" si="96"/>
        <v/>
      </c>
    </row>
    <row r="1707" spans="1:17" hidden="1" x14ac:dyDescent="0.25">
      <c r="A1707">
        <v>2</v>
      </c>
      <c r="B1707" t="s">
        <v>1090</v>
      </c>
      <c r="C1707">
        <f>IFERROR(COUNTIFS($A$1:A1707,"Câu "&amp;"*")-MID(A1707,5,FIND(".",A1707,1)-5),0)</f>
        <v>0</v>
      </c>
      <c r="D1707" t="str">
        <f t="shared" si="98"/>
        <v/>
      </c>
      <c r="E1707" t="str">
        <f>SUBSTITUTE(IF(LEFT(A1707,3)="Câu",MID(A1707,FIND(".",A1707,1)+2,LEN(A1707)),""),CHAR(34),CHAR(92)&amp;CHAR(34))</f>
        <v/>
      </c>
      <c r="F1707" t="str">
        <f t="shared" si="97"/>
        <v/>
      </c>
      <c r="G1707" t="str">
        <f>SUBSTITUTE(B1708,CHAR(34),CHAR(92)&amp;CHAR(34))</f>
        <v>Biển 3.</v>
      </c>
      <c r="H1707" t="str">
        <f>SUBSTITUTE(B1709,CHAR(34),CHAR(92)&amp;CHAR(34))</f>
        <v/>
      </c>
      <c r="I1707" t="str">
        <f>SUBSTITUTE(IF(LEFT(A1710,3)="Câu","",B1710),CHAR(34),CHAR(92)&amp;CHAR(34))</f>
        <v>Biển 1.</v>
      </c>
      <c r="J1707" t="str">
        <f>SUBSTITUTE(IF(OR(LEFT(A1711,3)="Câu",I1707=""),"",IF(B1711=0,"",B1711)),CHAR(34),CHAR(92)&amp;CHAR(34))</f>
        <v xml:space="preserve"> Biển 2.</v>
      </c>
      <c r="K1707" t="str">
        <f>SUBSTITUTE(SUBSTITUTE(SUBSTITUTE(SUBSTITUTE(IFERROR(VLOOKUP("Câu "&amp;D1707&amp;".",dapan!$E:$J,6,0),""),"1","A"),"2","B"),"3","C"),"4","D")</f>
        <v/>
      </c>
      <c r="P1707" t="str">
        <f t="shared" si="95"/>
        <v/>
      </c>
      <c r="Q1707" t="str">
        <f t="shared" si="96"/>
        <v/>
      </c>
    </row>
    <row r="1708" spans="1:17" hidden="1" x14ac:dyDescent="0.25">
      <c r="A1708">
        <v>3</v>
      </c>
      <c r="B1708" t="s">
        <v>1083</v>
      </c>
      <c r="C1708">
        <f>IFERROR(COUNTIFS($A$1:A1708,"Câu "&amp;"*")-MID(A1708,5,FIND(".",A1708,1)-5),0)</f>
        <v>0</v>
      </c>
      <c r="D1708" t="str">
        <f t="shared" si="98"/>
        <v/>
      </c>
      <c r="E1708" t="str">
        <f>SUBSTITUTE(IF(LEFT(A1708,3)="Câu",MID(A1708,FIND(".",A1708,1)+2,LEN(A1708)),""),CHAR(34),CHAR(92)&amp;CHAR(34))</f>
        <v/>
      </c>
      <c r="F1708" t="str">
        <f t="shared" si="97"/>
        <v/>
      </c>
      <c r="G1708" t="str">
        <f>SUBSTITUTE(B1709,CHAR(34),CHAR(92)&amp;CHAR(34))</f>
        <v/>
      </c>
      <c r="H1708" t="str">
        <f>SUBSTITUTE(B1710,CHAR(34),CHAR(92)&amp;CHAR(34))</f>
        <v>Biển 1.</v>
      </c>
      <c r="I1708" t="str">
        <f>SUBSTITUTE(IF(LEFT(A1711,3)="Câu","",B1711),CHAR(34),CHAR(92)&amp;CHAR(34))</f>
        <v xml:space="preserve"> Biển 2.</v>
      </c>
      <c r="J1708" t="str">
        <f>SUBSTITUTE(IF(OR(LEFT(A1712,3)="Câu",I1708=""),"",IF(B1712=0,"",B1712)),CHAR(34),CHAR(92)&amp;CHAR(34))</f>
        <v>Biển 3.</v>
      </c>
      <c r="K1708" t="str">
        <f>SUBSTITUTE(SUBSTITUTE(SUBSTITUTE(SUBSTITUTE(IFERROR(VLOOKUP("Câu "&amp;D1708&amp;".",dapan!$E:$J,6,0),""),"1","A"),"2","B"),"3","C"),"4","D")</f>
        <v/>
      </c>
      <c r="P1708" t="str">
        <f t="shared" si="95"/>
        <v/>
      </c>
      <c r="Q1708" t="str">
        <f t="shared" si="96"/>
        <v/>
      </c>
    </row>
    <row r="1709" spans="1:17" x14ac:dyDescent="0.25">
      <c r="A1709" t="s">
        <v>1239</v>
      </c>
      <c r="C1709">
        <f>IFERROR(COUNTIFS($A$1:A1709,"Câu "&amp;"*")-MID(A1709,5,FIND(".",A1709,1)-5),0)</f>
        <v>0</v>
      </c>
      <c r="D1709">
        <f t="shared" si="98"/>
        <v>413</v>
      </c>
      <c r="E1709" t="str">
        <f>SUBSTITUTE(IF(LEFT(A1709,3)="Câu",MID(A1709,FIND(".",A1709,1)+2,LEN(A1709)),""),CHAR(34),CHAR(92)&amp;CHAR(34))</f>
        <v>Biển nào dưới đây báo hiệu gần đến đoạn đường thường có trẻ em đi ngang qua?</v>
      </c>
      <c r="F1709" t="str">
        <f t="shared" si="97"/>
        <v>q413.jpg</v>
      </c>
      <c r="G1709" t="str">
        <f>SUBSTITUTE(B1710,CHAR(34),CHAR(92)&amp;CHAR(34))</f>
        <v>Biển 1.</v>
      </c>
      <c r="H1709" t="str">
        <f>SUBSTITUTE(B1711,CHAR(34),CHAR(92)&amp;CHAR(34))</f>
        <v xml:space="preserve"> Biển 2.</v>
      </c>
      <c r="I1709" t="str">
        <f>SUBSTITUTE(IF(LEFT(A1712,3)="Câu","",B1712),CHAR(34),CHAR(92)&amp;CHAR(34))</f>
        <v>Biển 3.</v>
      </c>
      <c r="J1709" t="str">
        <f>SUBSTITUTE(IF(OR(LEFT(A1713,3)="Câu",I1709=""),"",IF(B1713=0,"",B1713)),CHAR(34),CHAR(92)&amp;CHAR(34))</f>
        <v>Cả ba biển.</v>
      </c>
      <c r="K1709" t="str">
        <f ca="1">SUBSTITUTE(SUBSTITUTE(SUBSTITUTE(SUBSTITUTE(IFERROR(VLOOKUP("Câu "&amp;D1709&amp;".",dapan!$E:$J,6,0),""),"1","A"),"2","B"),"3","C"),"4","D")</f>
        <v>B</v>
      </c>
      <c r="P1709">
        <f t="shared" si="95"/>
        <v>413</v>
      </c>
      <c r="Q1709" t="str">
        <f t="shared" ca="1" si="96"/>
        <v>{"num":413,"id":413,"q":"Biển nào dưới đây báo hiệu gần đến đoạn đường thường có trẻ em đi ngang qua?","img":"q413.jpg","opts":{"A":"Biển 1.","B":" Biển 2.","C":"Biển 3.","D":"Cả ba biển."},"answer":"B"},</v>
      </c>
    </row>
    <row r="1710" spans="1:17" hidden="1" x14ac:dyDescent="0.25">
      <c r="A1710">
        <v>1</v>
      </c>
      <c r="B1710" t="s">
        <v>1075</v>
      </c>
      <c r="C1710">
        <f>IFERROR(COUNTIFS($A$1:A1710,"Câu "&amp;"*")-MID(A1710,5,FIND(".",A1710,1)-5),0)</f>
        <v>0</v>
      </c>
      <c r="D1710" t="str">
        <f t="shared" si="98"/>
        <v/>
      </c>
      <c r="E1710" t="str">
        <f>SUBSTITUTE(IF(LEFT(A1710,3)="Câu",MID(A1710,FIND(".",A1710,1)+2,LEN(A1710)),""),CHAR(34),CHAR(92)&amp;CHAR(34))</f>
        <v/>
      </c>
      <c r="F1710" t="str">
        <f t="shared" si="97"/>
        <v/>
      </c>
      <c r="G1710" t="str">
        <f>SUBSTITUTE(B1711,CHAR(34),CHAR(92)&amp;CHAR(34))</f>
        <v xml:space="preserve"> Biển 2.</v>
      </c>
      <c r="H1710" t="str">
        <f>SUBSTITUTE(B1712,CHAR(34),CHAR(92)&amp;CHAR(34))</f>
        <v>Biển 3.</v>
      </c>
      <c r="I1710" t="str">
        <f>SUBSTITUTE(IF(LEFT(A1713,3)="Câu","",B1713),CHAR(34),CHAR(92)&amp;CHAR(34))</f>
        <v>Cả ba biển.</v>
      </c>
      <c r="J1710" t="str">
        <f>SUBSTITUTE(IF(OR(LEFT(A1714,3)="Câu",I1710=""),"",IF(B1714=0,"",B1714)),CHAR(34),CHAR(92)&amp;CHAR(34))</f>
        <v/>
      </c>
      <c r="K1710" t="str">
        <f>SUBSTITUTE(SUBSTITUTE(SUBSTITUTE(SUBSTITUTE(IFERROR(VLOOKUP("Câu "&amp;D1710&amp;".",dapan!$E:$J,6,0),""),"1","A"),"2","B"),"3","C"),"4","D")</f>
        <v/>
      </c>
      <c r="P1710" t="str">
        <f t="shared" si="95"/>
        <v/>
      </c>
      <c r="Q1710" t="str">
        <f t="shared" si="96"/>
        <v/>
      </c>
    </row>
    <row r="1711" spans="1:17" hidden="1" x14ac:dyDescent="0.25">
      <c r="A1711">
        <v>2</v>
      </c>
      <c r="B1711" t="s">
        <v>1090</v>
      </c>
      <c r="C1711">
        <f>IFERROR(COUNTIFS($A$1:A1711,"Câu "&amp;"*")-MID(A1711,5,FIND(".",A1711,1)-5),0)</f>
        <v>0</v>
      </c>
      <c r="D1711" t="str">
        <f t="shared" si="98"/>
        <v/>
      </c>
      <c r="E1711" t="str">
        <f>SUBSTITUTE(IF(LEFT(A1711,3)="Câu",MID(A1711,FIND(".",A1711,1)+2,LEN(A1711)),""),CHAR(34),CHAR(92)&amp;CHAR(34))</f>
        <v/>
      </c>
      <c r="F1711" t="str">
        <f t="shared" si="97"/>
        <v/>
      </c>
      <c r="G1711" t="str">
        <f>SUBSTITUTE(B1712,CHAR(34),CHAR(92)&amp;CHAR(34))</f>
        <v>Biển 3.</v>
      </c>
      <c r="H1711" t="str">
        <f>SUBSTITUTE(B1713,CHAR(34),CHAR(92)&amp;CHAR(34))</f>
        <v>Cả ba biển.</v>
      </c>
      <c r="I1711" t="str">
        <f>SUBSTITUTE(IF(LEFT(A1714,3)="Câu","",B1714),CHAR(34),CHAR(92)&amp;CHAR(34))</f>
        <v/>
      </c>
      <c r="J1711" t="str">
        <f>SUBSTITUTE(IF(OR(LEFT(A1715,3)="Câu",I1711=""),"",IF(B1715=0,"",B1715)),CHAR(34),CHAR(92)&amp;CHAR(34))</f>
        <v/>
      </c>
      <c r="K1711" t="str">
        <f>SUBSTITUTE(SUBSTITUTE(SUBSTITUTE(SUBSTITUTE(IFERROR(VLOOKUP("Câu "&amp;D1711&amp;".",dapan!$E:$J,6,0),""),"1","A"),"2","B"),"3","C"),"4","D")</f>
        <v/>
      </c>
      <c r="P1711" t="str">
        <f t="shared" si="95"/>
        <v/>
      </c>
      <c r="Q1711" t="str">
        <f t="shared" si="96"/>
        <v/>
      </c>
    </row>
    <row r="1712" spans="1:17" hidden="1" x14ac:dyDescent="0.25">
      <c r="A1712">
        <v>3</v>
      </c>
      <c r="B1712" t="s">
        <v>1083</v>
      </c>
      <c r="C1712">
        <f>IFERROR(COUNTIFS($A$1:A1712,"Câu "&amp;"*")-MID(A1712,5,FIND(".",A1712,1)-5),0)</f>
        <v>0</v>
      </c>
      <c r="D1712" t="str">
        <f t="shared" si="98"/>
        <v/>
      </c>
      <c r="E1712" t="str">
        <f>SUBSTITUTE(IF(LEFT(A1712,3)="Câu",MID(A1712,FIND(".",A1712,1)+2,LEN(A1712)),""),CHAR(34),CHAR(92)&amp;CHAR(34))</f>
        <v/>
      </c>
      <c r="F1712" t="str">
        <f t="shared" si="97"/>
        <v/>
      </c>
      <c r="G1712" t="str">
        <f>SUBSTITUTE(B1713,CHAR(34),CHAR(92)&amp;CHAR(34))</f>
        <v>Cả ba biển.</v>
      </c>
      <c r="H1712" t="str">
        <f>SUBSTITUTE(B1714,CHAR(34),CHAR(92)&amp;CHAR(34))</f>
        <v/>
      </c>
      <c r="I1712" t="str">
        <f>SUBSTITUTE(IF(LEFT(A1715,3)="Câu","",B1715),CHAR(34),CHAR(92)&amp;CHAR(34))</f>
        <v xml:space="preserve"> Biển 1.</v>
      </c>
      <c r="J1712" t="str">
        <f>SUBSTITUTE(IF(OR(LEFT(A1716,3)="Câu",I1712=""),"",IF(B1716=0,"",B1716)),CHAR(34),CHAR(92)&amp;CHAR(34))</f>
        <v>Biển 2.</v>
      </c>
      <c r="K1712" t="str">
        <f>SUBSTITUTE(SUBSTITUTE(SUBSTITUTE(SUBSTITUTE(IFERROR(VLOOKUP("Câu "&amp;D1712&amp;".",dapan!$E:$J,6,0),""),"1","A"),"2","B"),"3","C"),"4","D")</f>
        <v/>
      </c>
      <c r="P1712" t="str">
        <f t="shared" si="95"/>
        <v/>
      </c>
      <c r="Q1712" t="str">
        <f t="shared" si="96"/>
        <v/>
      </c>
    </row>
    <row r="1713" spans="1:17" hidden="1" x14ac:dyDescent="0.25">
      <c r="A1713">
        <v>4</v>
      </c>
      <c r="B1713" t="s">
        <v>1071</v>
      </c>
      <c r="C1713">
        <f>IFERROR(COUNTIFS($A$1:A1713,"Câu "&amp;"*")-MID(A1713,5,FIND(".",A1713,1)-5),0)</f>
        <v>0</v>
      </c>
      <c r="D1713" t="str">
        <f t="shared" si="98"/>
        <v/>
      </c>
      <c r="E1713" t="str">
        <f>SUBSTITUTE(IF(LEFT(A1713,3)="Câu",MID(A1713,FIND(".",A1713,1)+2,LEN(A1713)),""),CHAR(34),CHAR(92)&amp;CHAR(34))</f>
        <v/>
      </c>
      <c r="F1713" t="str">
        <f t="shared" si="97"/>
        <v/>
      </c>
      <c r="G1713" t="str">
        <f>SUBSTITUTE(B1714,CHAR(34),CHAR(92)&amp;CHAR(34))</f>
        <v/>
      </c>
      <c r="H1713" t="str">
        <f>SUBSTITUTE(B1715,CHAR(34),CHAR(92)&amp;CHAR(34))</f>
        <v xml:space="preserve"> Biển 1.</v>
      </c>
      <c r="I1713" t="str">
        <f>SUBSTITUTE(IF(LEFT(A1716,3)="Câu","",B1716),CHAR(34),CHAR(92)&amp;CHAR(34))</f>
        <v>Biển 2.</v>
      </c>
      <c r="J1713" t="str">
        <f>SUBSTITUTE(IF(OR(LEFT(A1717,3)="Câu",I1713=""),"",IF(B1717=0,"",B1717)),CHAR(34),CHAR(92)&amp;CHAR(34))</f>
        <v>Cả hai biển.</v>
      </c>
      <c r="K1713" t="str">
        <f>SUBSTITUTE(SUBSTITUTE(SUBSTITUTE(SUBSTITUTE(IFERROR(VLOOKUP("Câu "&amp;D1713&amp;".",dapan!$E:$J,6,0),""),"1","A"),"2","B"),"3","C"),"4","D")</f>
        <v/>
      </c>
      <c r="P1713" t="str">
        <f t="shared" si="95"/>
        <v/>
      </c>
      <c r="Q1713" t="str">
        <f t="shared" si="96"/>
        <v/>
      </c>
    </row>
    <row r="1714" spans="1:17" x14ac:dyDescent="0.25">
      <c r="A1714" t="s">
        <v>1240</v>
      </c>
      <c r="C1714">
        <f>IFERROR(COUNTIFS($A$1:A1714,"Câu "&amp;"*")-MID(A1714,5,FIND(".",A1714,1)-5),0)</f>
        <v>0</v>
      </c>
      <c r="D1714">
        <f t="shared" si="98"/>
        <v>414</v>
      </c>
      <c r="E1714" t="str">
        <f>SUBSTITUTE(IF(LEFT(A1714,3)="Câu",MID(A1714,FIND(".",A1714,1)+2,LEN(A1714)),""),CHAR(34),CHAR(92)&amp;CHAR(34))</f>
        <v>Gặp biển nào dưới đây người tham gia giao thông cần phải điều chỉnh tốc độ xe chạy cho thích hợp, đề phòng gió ngang thổi mạnh gây lật xe?</v>
      </c>
      <c r="F1714" t="str">
        <f t="shared" si="97"/>
        <v>q414.jpg</v>
      </c>
      <c r="G1714" t="str">
        <f>SUBSTITUTE(B1715,CHAR(34),CHAR(92)&amp;CHAR(34))</f>
        <v xml:space="preserve"> Biển 1.</v>
      </c>
      <c r="H1714" t="str">
        <f>SUBSTITUTE(B1716,CHAR(34),CHAR(92)&amp;CHAR(34))</f>
        <v>Biển 2.</v>
      </c>
      <c r="I1714" t="str">
        <f>SUBSTITUTE(IF(LEFT(A1717,3)="Câu","",B1717),CHAR(34),CHAR(92)&amp;CHAR(34))</f>
        <v>Cả hai biển.</v>
      </c>
      <c r="J1714" t="str">
        <f>SUBSTITUTE(IF(OR(LEFT(A1718,3)="Câu",I1714=""),"",IF(B1718=0,"",B1718)),CHAR(34),CHAR(92)&amp;CHAR(34))</f>
        <v/>
      </c>
      <c r="K1714" t="str">
        <f ca="1">SUBSTITUTE(SUBSTITUTE(SUBSTITUTE(SUBSTITUTE(IFERROR(VLOOKUP("Câu "&amp;D1714&amp;".",dapan!$E:$J,6,0),""),"1","A"),"2","B"),"3","C"),"4","D")</f>
        <v>A</v>
      </c>
      <c r="P1714">
        <f t="shared" si="95"/>
        <v>414</v>
      </c>
      <c r="Q1714" t="str">
        <f t="shared" ca="1" si="96"/>
        <v>{"num":414,"id":414,"q":"Gặp biển nào dưới đây người tham gia giao thông cần phải điều chỉnh tốc độ xe chạy cho thích hợp, đề phòng gió ngang thổi mạnh gây lật xe?","img":"q414.jpg","opts":{"A":" Biển 1.","B":"Biển 2.","C":"Cả hai biển."},"answer":"A"},</v>
      </c>
    </row>
    <row r="1715" spans="1:17" hidden="1" x14ac:dyDescent="0.25">
      <c r="A1715">
        <v>1</v>
      </c>
      <c r="B1715" t="s">
        <v>1066</v>
      </c>
      <c r="C1715">
        <f>IFERROR(COUNTIFS($A$1:A1715,"Câu "&amp;"*")-MID(A1715,5,FIND(".",A1715,1)-5),0)</f>
        <v>0</v>
      </c>
      <c r="D1715" t="str">
        <f t="shared" si="98"/>
        <v/>
      </c>
      <c r="E1715" t="str">
        <f>SUBSTITUTE(IF(LEFT(A1715,3)="Câu",MID(A1715,FIND(".",A1715,1)+2,LEN(A1715)),""),CHAR(34),CHAR(92)&amp;CHAR(34))</f>
        <v/>
      </c>
      <c r="F1715" t="str">
        <f t="shared" si="97"/>
        <v/>
      </c>
      <c r="G1715" t="str">
        <f>SUBSTITUTE(B1716,CHAR(34),CHAR(92)&amp;CHAR(34))</f>
        <v>Biển 2.</v>
      </c>
      <c r="H1715" t="str">
        <f>SUBSTITUTE(B1717,CHAR(34),CHAR(92)&amp;CHAR(34))</f>
        <v>Cả hai biển.</v>
      </c>
      <c r="I1715" t="str">
        <f>SUBSTITUTE(IF(LEFT(A1718,3)="Câu","",B1718),CHAR(34),CHAR(92)&amp;CHAR(34))</f>
        <v/>
      </c>
      <c r="J1715" t="str">
        <f>SUBSTITUTE(IF(OR(LEFT(A1719,3)="Câu",I1715=""),"",IF(B1719=0,"",B1719)),CHAR(34),CHAR(92)&amp;CHAR(34))</f>
        <v/>
      </c>
      <c r="K1715" t="str">
        <f>SUBSTITUTE(SUBSTITUTE(SUBSTITUTE(SUBSTITUTE(IFERROR(VLOOKUP("Câu "&amp;D1715&amp;".",dapan!$E:$J,6,0),""),"1","A"),"2","B"),"3","C"),"4","D")</f>
        <v/>
      </c>
      <c r="P1715" t="str">
        <f t="shared" si="95"/>
        <v/>
      </c>
      <c r="Q1715" t="str">
        <f t="shared" si="96"/>
        <v/>
      </c>
    </row>
    <row r="1716" spans="1:17" hidden="1" x14ac:dyDescent="0.25">
      <c r="A1716">
        <v>2</v>
      </c>
      <c r="B1716" t="s">
        <v>1068</v>
      </c>
      <c r="C1716">
        <f>IFERROR(COUNTIFS($A$1:A1716,"Câu "&amp;"*")-MID(A1716,5,FIND(".",A1716,1)-5),0)</f>
        <v>0</v>
      </c>
      <c r="D1716" t="str">
        <f t="shared" si="98"/>
        <v/>
      </c>
      <c r="E1716" t="str">
        <f>SUBSTITUTE(IF(LEFT(A1716,3)="Câu",MID(A1716,FIND(".",A1716,1)+2,LEN(A1716)),""),CHAR(34),CHAR(92)&amp;CHAR(34))</f>
        <v/>
      </c>
      <c r="F1716" t="str">
        <f t="shared" si="97"/>
        <v/>
      </c>
      <c r="G1716" t="str">
        <f>SUBSTITUTE(B1717,CHAR(34),CHAR(92)&amp;CHAR(34))</f>
        <v>Cả hai biển.</v>
      </c>
      <c r="H1716" t="str">
        <f>SUBSTITUTE(B1718,CHAR(34),CHAR(92)&amp;CHAR(34))</f>
        <v/>
      </c>
      <c r="I1716" t="str">
        <f>SUBSTITUTE(IF(LEFT(A1719,3)="Câu","",B1719),CHAR(34),CHAR(92)&amp;CHAR(34))</f>
        <v xml:space="preserve"> Biển 1.</v>
      </c>
      <c r="J1716" t="str">
        <f>SUBSTITUTE(IF(OR(LEFT(A1720,3)="Câu",I1716=""),"",IF(B1720=0,"",B1720)),CHAR(34),CHAR(92)&amp;CHAR(34))</f>
        <v>Biển 2.</v>
      </c>
      <c r="K1716" t="str">
        <f>SUBSTITUTE(SUBSTITUTE(SUBSTITUTE(SUBSTITUTE(IFERROR(VLOOKUP("Câu "&amp;D1716&amp;".",dapan!$E:$J,6,0),""),"1","A"),"2","B"),"3","C"),"4","D")</f>
        <v/>
      </c>
      <c r="P1716" t="str">
        <f t="shared" si="95"/>
        <v/>
      </c>
      <c r="Q1716" t="str">
        <f t="shared" si="96"/>
        <v/>
      </c>
    </row>
    <row r="1717" spans="1:17" hidden="1" x14ac:dyDescent="0.25">
      <c r="A1717">
        <v>3</v>
      </c>
      <c r="B1717" t="s">
        <v>1095</v>
      </c>
      <c r="C1717">
        <f>IFERROR(COUNTIFS($A$1:A1717,"Câu "&amp;"*")-MID(A1717,5,FIND(".",A1717,1)-5),0)</f>
        <v>0</v>
      </c>
      <c r="D1717" t="str">
        <f t="shared" si="98"/>
        <v/>
      </c>
      <c r="E1717" t="str">
        <f>SUBSTITUTE(IF(LEFT(A1717,3)="Câu",MID(A1717,FIND(".",A1717,1)+2,LEN(A1717)),""),CHAR(34),CHAR(92)&amp;CHAR(34))</f>
        <v/>
      </c>
      <c r="F1717" t="str">
        <f t="shared" si="97"/>
        <v/>
      </c>
      <c r="G1717" t="str">
        <f>SUBSTITUTE(B1718,CHAR(34),CHAR(92)&amp;CHAR(34))</f>
        <v/>
      </c>
      <c r="H1717" t="str">
        <f>SUBSTITUTE(B1719,CHAR(34),CHAR(92)&amp;CHAR(34))</f>
        <v xml:space="preserve"> Biển 1.</v>
      </c>
      <c r="I1717" t="str">
        <f>SUBSTITUTE(IF(LEFT(A1720,3)="Câu","",B1720),CHAR(34),CHAR(92)&amp;CHAR(34))</f>
        <v>Biển 2.</v>
      </c>
      <c r="J1717" t="str">
        <f>SUBSTITUTE(IF(OR(LEFT(A1721,3)="Câu",I1717=""),"",IF(B1721=0,"",B1721)),CHAR(34),CHAR(92)&amp;CHAR(34))</f>
        <v/>
      </c>
      <c r="K1717" t="str">
        <f>SUBSTITUTE(SUBSTITUTE(SUBSTITUTE(SUBSTITUTE(IFERROR(VLOOKUP("Câu "&amp;D1717&amp;".",dapan!$E:$J,6,0),""),"1","A"),"2","B"),"3","C"),"4","D")</f>
        <v/>
      </c>
      <c r="P1717" t="str">
        <f t="shared" si="95"/>
        <v/>
      </c>
      <c r="Q1717" t="str">
        <f t="shared" si="96"/>
        <v/>
      </c>
    </row>
    <row r="1718" spans="1:17" x14ac:dyDescent="0.25">
      <c r="A1718" t="s">
        <v>1241</v>
      </c>
      <c r="C1718">
        <f>IFERROR(COUNTIFS($A$1:A1718,"Câu "&amp;"*")-MID(A1718,5,FIND(".",A1718,1)-5),0)</f>
        <v>0</v>
      </c>
      <c r="D1718">
        <f t="shared" si="98"/>
        <v>415</v>
      </c>
      <c r="E1718" t="str">
        <f>SUBSTITUTE(IF(LEFT(A1718,3)="Câu",MID(A1718,FIND(".",A1718,1)+2,LEN(A1718)),""),CHAR(34),CHAR(92)&amp;CHAR(34))</f>
        <v>Biển nào sau đây là biển \"Dốc xuống nguy hiểm\"?</v>
      </c>
      <c r="F1718" t="str">
        <f t="shared" si="97"/>
        <v>q415.jpg</v>
      </c>
      <c r="G1718" t="str">
        <f>SUBSTITUTE(B1719,CHAR(34),CHAR(92)&amp;CHAR(34))</f>
        <v xml:space="preserve"> Biển 1.</v>
      </c>
      <c r="H1718" t="str">
        <f>SUBSTITUTE(B1720,CHAR(34),CHAR(92)&amp;CHAR(34))</f>
        <v>Biển 2.</v>
      </c>
      <c r="I1718" t="str">
        <f>SUBSTITUTE(IF(LEFT(A1721,3)="Câu","",B1721),CHAR(34),CHAR(92)&amp;CHAR(34))</f>
        <v/>
      </c>
      <c r="J1718" t="str">
        <f>SUBSTITUTE(IF(OR(LEFT(A1722,3)="Câu",I1718=""),"",IF(B1722=0,"",B1722)),CHAR(34),CHAR(92)&amp;CHAR(34))</f>
        <v/>
      </c>
      <c r="K1718" t="str">
        <f ca="1">SUBSTITUTE(SUBSTITUTE(SUBSTITUTE(SUBSTITUTE(IFERROR(VLOOKUP("Câu "&amp;D1718&amp;".",dapan!$E:$J,6,0),""),"1","A"),"2","B"),"3","C"),"4","D")</f>
        <v>A</v>
      </c>
      <c r="P1718">
        <f t="shared" si="95"/>
        <v>415</v>
      </c>
      <c r="Q1718" t="str">
        <f t="shared" ca="1" si="96"/>
        <v>{"num":415,"id":415,"q":"Biển nào sau đây là biển \"Dốc xuống nguy hiểm\"?","img":"q415.jpg","opts":{"A":" Biển 1.","B":"Biển 2."},"answer":"A"},</v>
      </c>
    </row>
    <row r="1719" spans="1:17" hidden="1" x14ac:dyDescent="0.25">
      <c r="A1719">
        <v>1</v>
      </c>
      <c r="B1719" t="s">
        <v>1066</v>
      </c>
      <c r="C1719">
        <f>IFERROR(COUNTIFS($A$1:A1719,"Câu "&amp;"*")-MID(A1719,5,FIND(".",A1719,1)-5),0)</f>
        <v>0</v>
      </c>
      <c r="D1719" t="str">
        <f t="shared" si="98"/>
        <v/>
      </c>
      <c r="E1719" t="str">
        <f>SUBSTITUTE(IF(LEFT(A1719,3)="Câu",MID(A1719,FIND(".",A1719,1)+2,LEN(A1719)),""),CHAR(34),CHAR(92)&amp;CHAR(34))</f>
        <v/>
      </c>
      <c r="F1719" t="str">
        <f t="shared" si="97"/>
        <v/>
      </c>
      <c r="G1719" t="str">
        <f>SUBSTITUTE(B1720,CHAR(34),CHAR(92)&amp;CHAR(34))</f>
        <v>Biển 2.</v>
      </c>
      <c r="H1719" t="str">
        <f>SUBSTITUTE(B1721,CHAR(34),CHAR(92)&amp;CHAR(34))</f>
        <v/>
      </c>
      <c r="I1719" t="str">
        <f>SUBSTITUTE(IF(LEFT(A1722,3)="Câu","",B1722),CHAR(34),CHAR(92)&amp;CHAR(34))</f>
        <v>Biển 1.</v>
      </c>
      <c r="J1719" t="str">
        <f>SUBSTITUTE(IF(OR(LEFT(A1723,3)="Câu",I1719=""),"",IF(B1723=0,"",B1723)),CHAR(34),CHAR(92)&amp;CHAR(34))</f>
        <v xml:space="preserve"> Biển 2.</v>
      </c>
      <c r="K1719" t="str">
        <f>SUBSTITUTE(SUBSTITUTE(SUBSTITUTE(SUBSTITUTE(IFERROR(VLOOKUP("Câu "&amp;D1719&amp;".",dapan!$E:$J,6,0),""),"1","A"),"2","B"),"3","C"),"4","D")</f>
        <v/>
      </c>
      <c r="P1719" t="str">
        <f t="shared" si="95"/>
        <v/>
      </c>
      <c r="Q1719" t="str">
        <f t="shared" si="96"/>
        <v/>
      </c>
    </row>
    <row r="1720" spans="1:17" hidden="1" x14ac:dyDescent="0.25">
      <c r="A1720">
        <v>2</v>
      </c>
      <c r="B1720" t="s">
        <v>1068</v>
      </c>
      <c r="C1720">
        <f>IFERROR(COUNTIFS($A$1:A1720,"Câu "&amp;"*")-MID(A1720,5,FIND(".",A1720,1)-5),0)</f>
        <v>0</v>
      </c>
      <c r="D1720" t="str">
        <f t="shared" si="98"/>
        <v/>
      </c>
      <c r="E1720" t="str">
        <f>SUBSTITUTE(IF(LEFT(A1720,3)="Câu",MID(A1720,FIND(".",A1720,1)+2,LEN(A1720)),""),CHAR(34),CHAR(92)&amp;CHAR(34))</f>
        <v/>
      </c>
      <c r="F1720" t="str">
        <f t="shared" si="97"/>
        <v/>
      </c>
      <c r="G1720" t="str">
        <f>SUBSTITUTE(B1721,CHAR(34),CHAR(92)&amp;CHAR(34))</f>
        <v/>
      </c>
      <c r="H1720" t="str">
        <f>SUBSTITUTE(B1722,CHAR(34),CHAR(92)&amp;CHAR(34))</f>
        <v>Biển 1.</v>
      </c>
      <c r="I1720" t="str">
        <f>SUBSTITUTE(IF(LEFT(A1723,3)="Câu","",B1723),CHAR(34),CHAR(92)&amp;CHAR(34))</f>
        <v xml:space="preserve"> Biển 2.</v>
      </c>
      <c r="J1720" t="str">
        <f>SUBSTITUTE(IF(OR(LEFT(A1724,3)="Câu",I1720=""),"",IF(B1724=0,"",B1724)),CHAR(34),CHAR(92)&amp;CHAR(34))</f>
        <v/>
      </c>
      <c r="K1720" t="str">
        <f>SUBSTITUTE(SUBSTITUTE(SUBSTITUTE(SUBSTITUTE(IFERROR(VLOOKUP("Câu "&amp;D1720&amp;".",dapan!$E:$J,6,0),""),"1","A"),"2","B"),"3","C"),"4","D")</f>
        <v/>
      </c>
      <c r="P1720" t="str">
        <f t="shared" si="95"/>
        <v/>
      </c>
      <c r="Q1720" t="str">
        <f t="shared" si="96"/>
        <v/>
      </c>
    </row>
    <row r="1721" spans="1:17" x14ac:dyDescent="0.25">
      <c r="A1721" t="s">
        <v>1242</v>
      </c>
      <c r="C1721">
        <f>IFERROR(COUNTIFS($A$1:A1721,"Câu "&amp;"*")-MID(A1721,5,FIND(".",A1721,1)-5),0)</f>
        <v>0</v>
      </c>
      <c r="D1721">
        <f t="shared" si="98"/>
        <v>416</v>
      </c>
      <c r="E1721" t="str">
        <f>SUBSTITUTE(IF(LEFT(A1721,3)="Câu",MID(A1721,FIND(".",A1721,1)+2,LEN(A1721)),""),CHAR(34),CHAR(92)&amp;CHAR(34))</f>
        <v>Biển nào sau đây là biển \"Dốc lên nguy hiểm\"?</v>
      </c>
      <c r="F1721" t="str">
        <f t="shared" si="97"/>
        <v>q416.jpg</v>
      </c>
      <c r="G1721" t="str">
        <f>SUBSTITUTE(B1722,CHAR(34),CHAR(92)&amp;CHAR(34))</f>
        <v>Biển 1.</v>
      </c>
      <c r="H1721" t="str">
        <f>SUBSTITUTE(B1723,CHAR(34),CHAR(92)&amp;CHAR(34))</f>
        <v xml:space="preserve"> Biển 2.</v>
      </c>
      <c r="I1721" t="str">
        <f>SUBSTITUTE(IF(LEFT(A1724,3)="Câu","",B1724),CHAR(34),CHAR(92)&amp;CHAR(34))</f>
        <v/>
      </c>
      <c r="J1721" t="str">
        <f>SUBSTITUTE(IF(OR(LEFT(A1725,3)="Câu",I1721=""),"",IF(B1725=0,"",B1725)),CHAR(34),CHAR(92)&amp;CHAR(34))</f>
        <v/>
      </c>
      <c r="K1721" t="str">
        <f ca="1">SUBSTITUTE(SUBSTITUTE(SUBSTITUTE(SUBSTITUTE(IFERROR(VLOOKUP("Câu "&amp;D1721&amp;".",dapan!$E:$J,6,0),""),"1","A"),"2","B"),"3","C"),"4","D")</f>
        <v>B</v>
      </c>
      <c r="P1721">
        <f t="shared" si="95"/>
        <v>416</v>
      </c>
      <c r="Q1721" t="str">
        <f t="shared" ca="1" si="96"/>
        <v>{"num":416,"id":416,"q":"Biển nào sau đây là biển \"Dốc lên nguy hiểm\"?","img":"q416.jpg","opts":{"A":"Biển 1.","B":" Biển 2."},"answer":"B"},</v>
      </c>
    </row>
    <row r="1722" spans="1:17" hidden="1" x14ac:dyDescent="0.25">
      <c r="A1722">
        <v>1</v>
      </c>
      <c r="B1722" t="s">
        <v>1075</v>
      </c>
      <c r="C1722">
        <f>IFERROR(COUNTIFS($A$1:A1722,"Câu "&amp;"*")-MID(A1722,5,FIND(".",A1722,1)-5),0)</f>
        <v>0</v>
      </c>
      <c r="D1722" t="str">
        <f t="shared" si="98"/>
        <v/>
      </c>
      <c r="E1722" t="str">
        <f>SUBSTITUTE(IF(LEFT(A1722,3)="Câu",MID(A1722,FIND(".",A1722,1)+2,LEN(A1722)),""),CHAR(34),CHAR(92)&amp;CHAR(34))</f>
        <v/>
      </c>
      <c r="F1722" t="str">
        <f t="shared" si="97"/>
        <v/>
      </c>
      <c r="G1722" t="str">
        <f>SUBSTITUTE(B1723,CHAR(34),CHAR(92)&amp;CHAR(34))</f>
        <v xml:space="preserve"> Biển 2.</v>
      </c>
      <c r="H1722" t="str">
        <f>SUBSTITUTE(B1724,CHAR(34),CHAR(92)&amp;CHAR(34))</f>
        <v/>
      </c>
      <c r="I1722" t="str">
        <f>SUBSTITUTE(IF(LEFT(A1725,3)="Câu","",B1725),CHAR(34),CHAR(92)&amp;CHAR(34))</f>
        <v xml:space="preserve"> Chỗ ngoặt nguy hiểm có nguy cơ lật xe bên phải khi đường cong vòng sang trái.</v>
      </c>
      <c r="J1722" t="str">
        <f>SUBSTITUTE(IF(OR(LEFT(A1726,3)="Câu",I1722=""),"",IF(B1726=0,"",B1726)),CHAR(34),CHAR(92)&amp;CHAR(34))</f>
        <v>Chỗ ngoặt nguy hiểm có nguy cơ lật xe bên trái khi đường cong vòng sang phải.</v>
      </c>
      <c r="K1722" t="str">
        <f>SUBSTITUTE(SUBSTITUTE(SUBSTITUTE(SUBSTITUTE(IFERROR(VLOOKUP("Câu "&amp;D1722&amp;".",dapan!$E:$J,6,0),""),"1","A"),"2","B"),"3","C"),"4","D")</f>
        <v/>
      </c>
      <c r="P1722" t="str">
        <f t="shared" si="95"/>
        <v/>
      </c>
      <c r="Q1722" t="str">
        <f t="shared" si="96"/>
        <v/>
      </c>
    </row>
    <row r="1723" spans="1:17" hidden="1" x14ac:dyDescent="0.25">
      <c r="A1723">
        <v>2</v>
      </c>
      <c r="B1723" t="s">
        <v>1090</v>
      </c>
      <c r="C1723">
        <f>IFERROR(COUNTIFS($A$1:A1723,"Câu "&amp;"*")-MID(A1723,5,FIND(".",A1723,1)-5),0)</f>
        <v>0</v>
      </c>
      <c r="D1723" t="str">
        <f t="shared" si="98"/>
        <v/>
      </c>
      <c r="E1723" t="str">
        <f>SUBSTITUTE(IF(LEFT(A1723,3)="Câu",MID(A1723,FIND(".",A1723,1)+2,LEN(A1723)),""),CHAR(34),CHAR(92)&amp;CHAR(34))</f>
        <v/>
      </c>
      <c r="F1723" t="str">
        <f t="shared" si="97"/>
        <v/>
      </c>
      <c r="G1723" t="str">
        <f>SUBSTITUTE(B1724,CHAR(34),CHAR(92)&amp;CHAR(34))</f>
        <v/>
      </c>
      <c r="H1723" t="str">
        <f>SUBSTITUTE(B1725,CHAR(34),CHAR(92)&amp;CHAR(34))</f>
        <v xml:space="preserve"> Chỗ ngoặt nguy hiểm có nguy cơ lật xe bên phải khi đường cong vòng sang trái.</v>
      </c>
      <c r="I1723" t="str">
        <f>SUBSTITUTE(IF(LEFT(A1726,3)="Câu","",B1726),CHAR(34),CHAR(92)&amp;CHAR(34))</f>
        <v>Chỗ ngoặt nguy hiểm có nguy cơ lật xe bên trái khi đường cong vòng sang phải.</v>
      </c>
      <c r="J1723" t="str">
        <f>SUBSTITUTE(IF(OR(LEFT(A1727,3)="Câu",I1723=""),"",IF(B1727=0,"",B1727)),CHAR(34),CHAR(92)&amp;CHAR(34))</f>
        <v/>
      </c>
      <c r="K1723" t="str">
        <f>SUBSTITUTE(SUBSTITUTE(SUBSTITUTE(SUBSTITUTE(IFERROR(VLOOKUP("Câu "&amp;D1723&amp;".",dapan!$E:$J,6,0),""),"1","A"),"2","B"),"3","C"),"4","D")</f>
        <v/>
      </c>
      <c r="P1723" t="str">
        <f t="shared" si="95"/>
        <v/>
      </c>
      <c r="Q1723" t="str">
        <f t="shared" si="96"/>
        <v/>
      </c>
    </row>
    <row r="1724" spans="1:17" x14ac:dyDescent="0.25">
      <c r="A1724" t="s">
        <v>1243</v>
      </c>
      <c r="C1724">
        <f>IFERROR(COUNTIFS($A$1:A1724,"Câu "&amp;"*")-MID(A1724,5,FIND(".",A1724,1)-5),0)</f>
        <v>0</v>
      </c>
      <c r="D1724">
        <f t="shared" si="98"/>
        <v>417</v>
      </c>
      <c r="E1724" t="str">
        <f>SUBSTITUTE(IF(LEFT(A1724,3)="Câu",MID(A1724,FIND(".",A1724,1)+2,LEN(A1724)),""),CHAR(34),CHAR(92)&amp;CHAR(34))</f>
        <v>Biển báo này có ý nghĩa như thế nào?</v>
      </c>
      <c r="F1724" t="str">
        <f t="shared" si="97"/>
        <v>q417.jpg</v>
      </c>
      <c r="G1724" t="str">
        <f>SUBSTITUTE(B1725,CHAR(34),CHAR(92)&amp;CHAR(34))</f>
        <v xml:space="preserve"> Chỗ ngoặt nguy hiểm có nguy cơ lật xe bên phải khi đường cong vòng sang trái.</v>
      </c>
      <c r="H1724" t="str">
        <f>SUBSTITUTE(B1726,CHAR(34),CHAR(92)&amp;CHAR(34))</f>
        <v>Chỗ ngoặt nguy hiểm có nguy cơ lật xe bên trái khi đường cong vòng sang phải.</v>
      </c>
      <c r="I1724" t="str">
        <f>SUBSTITUTE(IF(LEFT(A1727,3)="Câu","",B1727),CHAR(34),CHAR(92)&amp;CHAR(34))</f>
        <v/>
      </c>
      <c r="J1724" t="str">
        <f>SUBSTITUTE(IF(OR(LEFT(A1728,3)="Câu",I1724=""),"",IF(B1728=0,"",B1728)),CHAR(34),CHAR(92)&amp;CHAR(34))</f>
        <v/>
      </c>
      <c r="K1724" t="str">
        <f ca="1">SUBSTITUTE(SUBSTITUTE(SUBSTITUTE(SUBSTITUTE(IFERROR(VLOOKUP("Câu "&amp;D1724&amp;".",dapan!$E:$J,6,0),""),"1","A"),"2","B"),"3","C"),"4","D")</f>
        <v>A</v>
      </c>
      <c r="P1724">
        <f t="shared" si="95"/>
        <v>417</v>
      </c>
      <c r="Q1724" t="str">
        <f t="shared" ca="1" si="96"/>
        <v>{"num":417,"id":417,"q":"Biển báo này có ý nghĩa như thế nào?","img":"q417.jpg","opts":{"A":" Chỗ ngoặt nguy hiểm có nguy cơ lật xe bên phải khi đường cong vòng sang trái.","B":"Chỗ ngoặt nguy hiểm có nguy cơ lật xe bên trái khi đường cong vòng sang phải."},"answer":"A"},</v>
      </c>
    </row>
    <row r="1725" spans="1:17" hidden="1" x14ac:dyDescent="0.25">
      <c r="A1725">
        <v>1</v>
      </c>
      <c r="B1725" t="s">
        <v>1244</v>
      </c>
      <c r="C1725">
        <f>IFERROR(COUNTIFS($A$1:A1725,"Câu "&amp;"*")-MID(A1725,5,FIND(".",A1725,1)-5),0)</f>
        <v>0</v>
      </c>
      <c r="D1725" t="str">
        <f t="shared" si="98"/>
        <v/>
      </c>
      <c r="E1725" t="str">
        <f>SUBSTITUTE(IF(LEFT(A1725,3)="Câu",MID(A1725,FIND(".",A1725,1)+2,LEN(A1725)),""),CHAR(34),CHAR(92)&amp;CHAR(34))</f>
        <v/>
      </c>
      <c r="F1725" t="str">
        <f t="shared" si="97"/>
        <v/>
      </c>
      <c r="G1725" t="str">
        <f>SUBSTITUTE(B1726,CHAR(34),CHAR(92)&amp;CHAR(34))</f>
        <v>Chỗ ngoặt nguy hiểm có nguy cơ lật xe bên trái khi đường cong vòng sang phải.</v>
      </c>
      <c r="H1725" t="str">
        <f>SUBSTITUTE(B1727,CHAR(34),CHAR(92)&amp;CHAR(34))</f>
        <v/>
      </c>
      <c r="I1725" t="str">
        <f>SUBSTITUTE(IF(LEFT(A1728,3)="Câu","",B1728),CHAR(34),CHAR(92)&amp;CHAR(34))</f>
        <v>Báo trước đoạn đường có gió ngang.</v>
      </c>
      <c r="J1725" t="str">
        <f>SUBSTITUTE(IF(OR(LEFT(A1729,3)="Câu",I1725=""),"",IF(B1729=0,"",B1729)),CHAR(34),CHAR(92)&amp;CHAR(34))</f>
        <v>Báo trước đoạn đường trơn trượt.</v>
      </c>
      <c r="K1725" t="str">
        <f>SUBSTITUTE(SUBSTITUTE(SUBSTITUTE(SUBSTITUTE(IFERROR(VLOOKUP("Câu "&amp;D1725&amp;".",dapan!$E:$J,6,0),""),"1","A"),"2","B"),"3","C"),"4","D")</f>
        <v/>
      </c>
      <c r="P1725" t="str">
        <f t="shared" si="95"/>
        <v/>
      </c>
      <c r="Q1725" t="str">
        <f t="shared" si="96"/>
        <v/>
      </c>
    </row>
    <row r="1726" spans="1:17" hidden="1" x14ac:dyDescent="0.25">
      <c r="A1726">
        <v>2</v>
      </c>
      <c r="B1726" t="s">
        <v>1245</v>
      </c>
      <c r="C1726">
        <f>IFERROR(COUNTIFS($A$1:A1726,"Câu "&amp;"*")-MID(A1726,5,FIND(".",A1726,1)-5),0)</f>
        <v>0</v>
      </c>
      <c r="D1726" t="str">
        <f t="shared" si="98"/>
        <v/>
      </c>
      <c r="E1726" t="str">
        <f>SUBSTITUTE(IF(LEFT(A1726,3)="Câu",MID(A1726,FIND(".",A1726,1)+2,LEN(A1726)),""),CHAR(34),CHAR(92)&amp;CHAR(34))</f>
        <v/>
      </c>
      <c r="F1726" t="str">
        <f t="shared" si="97"/>
        <v/>
      </c>
      <c r="G1726" t="str">
        <f>SUBSTITUTE(B1727,CHAR(34),CHAR(92)&amp;CHAR(34))</f>
        <v/>
      </c>
      <c r="H1726" t="str">
        <f>SUBSTITUTE(B1728,CHAR(34),CHAR(92)&amp;CHAR(34))</f>
        <v>Báo trước đoạn đường có gió ngang.</v>
      </c>
      <c r="I1726" t="str">
        <f>SUBSTITUTE(IF(LEFT(A1729,3)="Câu","",B1729),CHAR(34),CHAR(92)&amp;CHAR(34))</f>
        <v>Báo trước đoạn đường trơn trượt.</v>
      </c>
      <c r="J1726" t="str">
        <f>SUBSTITUTE(IF(OR(LEFT(A1730,3)="Câu",I1726=""),"",IF(B1730=0,"",B1730)),CHAR(34),CHAR(92)&amp;CHAR(34))</f>
        <v xml:space="preserve"> Báo trước sắp đến bến phà.</v>
      </c>
      <c r="K1726" t="str">
        <f>SUBSTITUTE(SUBSTITUTE(SUBSTITUTE(SUBSTITUTE(IFERROR(VLOOKUP("Câu "&amp;D1726&amp;".",dapan!$E:$J,6,0),""),"1","A"),"2","B"),"3","C"),"4","D")</f>
        <v/>
      </c>
      <c r="P1726" t="str">
        <f t="shared" si="95"/>
        <v/>
      </c>
      <c r="Q1726" t="str">
        <f t="shared" si="96"/>
        <v/>
      </c>
    </row>
    <row r="1727" spans="1:17" x14ac:dyDescent="0.25">
      <c r="A1727" t="s">
        <v>1246</v>
      </c>
      <c r="C1727">
        <f>IFERROR(COUNTIFS($A$1:A1727,"Câu "&amp;"*")-MID(A1727,5,FIND(".",A1727,1)-5),0)</f>
        <v>0</v>
      </c>
      <c r="D1727">
        <f t="shared" si="98"/>
        <v>418</v>
      </c>
      <c r="E1727" t="str">
        <f>SUBSTITUTE(IF(LEFT(A1727,3)="Câu",MID(A1727,FIND(".",A1727,1)+2,LEN(A1727)),""),CHAR(34),CHAR(92)&amp;CHAR(34))</f>
        <v>Biển báo này có ý nghĩa như thế nào?</v>
      </c>
      <c r="F1727" t="str">
        <f t="shared" si="97"/>
        <v>q418.jpg</v>
      </c>
      <c r="G1727" t="str">
        <f>SUBSTITUTE(B1728,CHAR(34),CHAR(92)&amp;CHAR(34))</f>
        <v>Báo trước đoạn đường có gió ngang.</v>
      </c>
      <c r="H1727" t="str">
        <f>SUBSTITUTE(B1729,CHAR(34),CHAR(92)&amp;CHAR(34))</f>
        <v>Báo trước đoạn đường trơn trượt.</v>
      </c>
      <c r="I1727" t="str">
        <f>SUBSTITUTE(IF(LEFT(A1730,3)="Câu","",B1730),CHAR(34),CHAR(92)&amp;CHAR(34))</f>
        <v xml:space="preserve"> Báo trước sắp đến bến phà.</v>
      </c>
      <c r="J1727" t="str">
        <f>SUBSTITUTE(IF(OR(LEFT(A1731,3)="Câu",I1727=""),"",IF(B1731=0,"",B1731)),CHAR(34),CHAR(92)&amp;CHAR(34))</f>
        <v/>
      </c>
      <c r="K1727" t="str">
        <f ca="1">SUBSTITUTE(SUBSTITUTE(SUBSTITUTE(SUBSTITUTE(IFERROR(VLOOKUP("Câu "&amp;D1727&amp;".",dapan!$E:$J,6,0),""),"1","A"),"2","B"),"3","C"),"4","D")</f>
        <v>C</v>
      </c>
      <c r="P1727">
        <f t="shared" si="95"/>
        <v>418</v>
      </c>
      <c r="Q1727" t="str">
        <f t="shared" ca="1" si="96"/>
        <v>{"num":418,"id":418,"q":"Biển báo này có ý nghĩa như thế nào?","img":"q418.jpg","opts":{"A":"Báo trước đoạn đường có gió ngang.","B":"Báo trước đoạn đường trơn trượt.","C":" Báo trước sắp đến bến phà."},"answer":"C"},</v>
      </c>
    </row>
    <row r="1728" spans="1:17" hidden="1" x14ac:dyDescent="0.25">
      <c r="A1728">
        <v>1</v>
      </c>
      <c r="B1728" t="s">
        <v>1247</v>
      </c>
      <c r="C1728">
        <f>IFERROR(COUNTIFS($A$1:A1728,"Câu "&amp;"*")-MID(A1728,5,FIND(".",A1728,1)-5),0)</f>
        <v>0</v>
      </c>
      <c r="D1728" t="str">
        <f t="shared" si="98"/>
        <v/>
      </c>
      <c r="E1728" t="str">
        <f>SUBSTITUTE(IF(LEFT(A1728,3)="Câu",MID(A1728,FIND(".",A1728,1)+2,LEN(A1728)),""),CHAR(34),CHAR(92)&amp;CHAR(34))</f>
        <v/>
      </c>
      <c r="F1728" t="str">
        <f t="shared" si="97"/>
        <v/>
      </c>
      <c r="G1728" t="str">
        <f>SUBSTITUTE(B1729,CHAR(34),CHAR(92)&amp;CHAR(34))</f>
        <v>Báo trước đoạn đường trơn trượt.</v>
      </c>
      <c r="H1728" t="str">
        <f>SUBSTITUTE(B1730,CHAR(34),CHAR(92)&amp;CHAR(34))</f>
        <v xml:space="preserve"> Báo trước sắp đến bến phà.</v>
      </c>
      <c r="I1728" t="str">
        <f>SUBSTITUTE(IF(LEFT(A1731,3)="Câu","",B1731),CHAR(34),CHAR(92)&amp;CHAR(34))</f>
        <v/>
      </c>
      <c r="J1728" t="str">
        <f>SUBSTITUTE(IF(OR(LEFT(A1732,3)="Câu",I1728=""),"",IF(B1732=0,"",B1732)),CHAR(34),CHAR(92)&amp;CHAR(34))</f>
        <v/>
      </c>
      <c r="K1728" t="str">
        <f>SUBSTITUTE(SUBSTITUTE(SUBSTITUTE(SUBSTITUTE(IFERROR(VLOOKUP("Câu "&amp;D1728&amp;".",dapan!$E:$J,6,0),""),"1","A"),"2","B"),"3","C"),"4","D")</f>
        <v/>
      </c>
      <c r="P1728" t="str">
        <f t="shared" si="95"/>
        <v/>
      </c>
      <c r="Q1728" t="str">
        <f t="shared" si="96"/>
        <v/>
      </c>
    </row>
    <row r="1729" spans="1:17" hidden="1" x14ac:dyDescent="0.25">
      <c r="A1729">
        <v>2</v>
      </c>
      <c r="B1729" t="s">
        <v>1248</v>
      </c>
      <c r="C1729">
        <f>IFERROR(COUNTIFS($A$1:A1729,"Câu "&amp;"*")-MID(A1729,5,FIND(".",A1729,1)-5),0)</f>
        <v>0</v>
      </c>
      <c r="D1729" t="str">
        <f t="shared" si="98"/>
        <v/>
      </c>
      <c r="E1729" t="str">
        <f>SUBSTITUTE(IF(LEFT(A1729,3)="Câu",MID(A1729,FIND(".",A1729,1)+2,LEN(A1729)),""),CHAR(34),CHAR(92)&amp;CHAR(34))</f>
        <v/>
      </c>
      <c r="F1729" t="str">
        <f t="shared" si="97"/>
        <v/>
      </c>
      <c r="G1729" t="str">
        <f>SUBSTITUTE(B1730,CHAR(34),CHAR(92)&amp;CHAR(34))</f>
        <v xml:space="preserve"> Báo trước sắp đến bến phà.</v>
      </c>
      <c r="H1729" t="str">
        <f>SUBSTITUTE(B1731,CHAR(34),CHAR(92)&amp;CHAR(34))</f>
        <v/>
      </c>
      <c r="I1729" t="str">
        <f>SUBSTITUTE(IF(LEFT(A1732,3)="Câu","",B1732),CHAR(34),CHAR(92)&amp;CHAR(34))</f>
        <v xml:space="preserve"> Báo hiệu đường có ổ gà, lồi lõm.</v>
      </c>
      <c r="J1729" t="str">
        <f>SUBSTITUTE(IF(OR(LEFT(A1733,3)="Câu",I1729=""),"",IF(B1733=0,"",B1733)),CHAR(34),CHAR(92)&amp;CHAR(34))</f>
        <v>Báo hiệu đường có gồ giảm tốc phía trước.</v>
      </c>
      <c r="K1729" t="str">
        <f>SUBSTITUTE(SUBSTITUTE(SUBSTITUTE(SUBSTITUTE(IFERROR(VLOOKUP("Câu "&amp;D1729&amp;".",dapan!$E:$J,6,0),""),"1","A"),"2","B"),"3","C"),"4","D")</f>
        <v/>
      </c>
      <c r="P1729" t="str">
        <f t="shared" si="95"/>
        <v/>
      </c>
      <c r="Q1729" t="str">
        <f t="shared" si="96"/>
        <v/>
      </c>
    </row>
    <row r="1730" spans="1:17" hidden="1" x14ac:dyDescent="0.25">
      <c r="A1730">
        <v>3</v>
      </c>
      <c r="B1730" t="s">
        <v>1249</v>
      </c>
      <c r="C1730">
        <f>IFERROR(COUNTIFS($A$1:A1730,"Câu "&amp;"*")-MID(A1730,5,FIND(".",A1730,1)-5),0)</f>
        <v>0</v>
      </c>
      <c r="D1730" t="str">
        <f t="shared" si="98"/>
        <v/>
      </c>
      <c r="E1730" t="str">
        <f>SUBSTITUTE(IF(LEFT(A1730,3)="Câu",MID(A1730,FIND(".",A1730,1)+2,LEN(A1730)),""),CHAR(34),CHAR(92)&amp;CHAR(34))</f>
        <v/>
      </c>
      <c r="F1730" t="str">
        <f t="shared" si="97"/>
        <v/>
      </c>
      <c r="G1730" t="str">
        <f>SUBSTITUTE(B1731,CHAR(34),CHAR(92)&amp;CHAR(34))</f>
        <v/>
      </c>
      <c r="H1730" t="str">
        <f>SUBSTITUTE(B1732,CHAR(34),CHAR(92)&amp;CHAR(34))</f>
        <v xml:space="preserve"> Báo hiệu đường có ổ gà, lồi lõm.</v>
      </c>
      <c r="I1730" t="str">
        <f>SUBSTITUTE(IF(LEFT(A1733,3)="Câu","",B1733),CHAR(34),CHAR(92)&amp;CHAR(34))</f>
        <v>Báo hiệu đường có gồ giảm tốc phía trước.</v>
      </c>
      <c r="J1730" t="str">
        <f>SUBSTITUTE(IF(OR(LEFT(A1734,3)="Câu",I1730=""),"",IF(B1734=0,"",B1734)),CHAR(34),CHAR(92)&amp;CHAR(34))</f>
        <v/>
      </c>
      <c r="K1730" t="str">
        <f>SUBSTITUTE(SUBSTITUTE(SUBSTITUTE(SUBSTITUTE(IFERROR(VLOOKUP("Câu "&amp;D1730&amp;".",dapan!$E:$J,6,0),""),"1","A"),"2","B"),"3","C"),"4","D")</f>
        <v/>
      </c>
      <c r="P1730" t="str">
        <f t="shared" si="95"/>
        <v/>
      </c>
      <c r="Q1730" t="str">
        <f t="shared" si="96"/>
        <v/>
      </c>
    </row>
    <row r="1731" spans="1:17" x14ac:dyDescent="0.25">
      <c r="A1731" t="s">
        <v>1250</v>
      </c>
      <c r="C1731">
        <f>IFERROR(COUNTIFS($A$1:A1731,"Câu "&amp;"*")-MID(A1731,5,FIND(".",A1731,1)-5),0)</f>
        <v>0</v>
      </c>
      <c r="D1731">
        <f t="shared" si="98"/>
        <v>419</v>
      </c>
      <c r="E1731" t="str">
        <f>SUBSTITUTE(IF(LEFT(A1731,3)="Câu",MID(A1731,FIND(".",A1731,1)+2,LEN(A1731)),""),CHAR(34),CHAR(92)&amp;CHAR(34))</f>
        <v>Biển báo này có ý nghĩa như thế nào?</v>
      </c>
      <c r="F1731" t="str">
        <f t="shared" si="97"/>
        <v>q419.jpg</v>
      </c>
      <c r="G1731" t="str">
        <f>SUBSTITUTE(B1732,CHAR(34),CHAR(92)&amp;CHAR(34))</f>
        <v xml:space="preserve"> Báo hiệu đường có ổ gà, lồi lõm.</v>
      </c>
      <c r="H1731" t="str">
        <f>SUBSTITUTE(B1733,CHAR(34),CHAR(92)&amp;CHAR(34))</f>
        <v>Báo hiệu đường có gồ giảm tốc phía trước.</v>
      </c>
      <c r="I1731" t="str">
        <f>SUBSTITUTE(IF(LEFT(A1734,3)="Câu","",B1734),CHAR(34),CHAR(92)&amp;CHAR(34))</f>
        <v/>
      </c>
      <c r="J1731" t="str">
        <f>SUBSTITUTE(IF(OR(LEFT(A1735,3)="Câu",I1731=""),"",IF(B1735=0,"",B1735)),CHAR(34),CHAR(92)&amp;CHAR(34))</f>
        <v/>
      </c>
      <c r="K1731" t="str">
        <f ca="1">SUBSTITUTE(SUBSTITUTE(SUBSTITUTE(SUBSTITUTE(IFERROR(VLOOKUP("Câu "&amp;D1731&amp;".",dapan!$E:$J,6,0),""),"1","A"),"2","B"),"3","C"),"4","D")</f>
        <v>A</v>
      </c>
      <c r="P1731">
        <f t="shared" ref="P1731:P1794" si="99">D1731</f>
        <v>419</v>
      </c>
      <c r="Q1731" t="str">
        <f t="shared" ref="Q1731:Q1794" ca="1" si="100">IF(D1731="","",CHAR(123)&amp;CHAR(34)&amp;"num"&amp;CHAR(34)&amp;":"&amp;P1731&amp;","&amp;CHAR(34)&amp;"id"&amp;CHAR(34)&amp;":"&amp;D1731&amp;","
&amp;CHAR(34)&amp;"q"&amp;CHAR(34)&amp;":"&amp;CHAR(34)&amp;E1731&amp;CHAR(34)&amp;","
&amp;IF(F1731="","",CHAR(34)&amp;"img"&amp;CHAR(34)&amp;":"&amp;CHAR(34)&amp;F1731&amp;CHAR(34)&amp;",")
&amp;CHAR(34)&amp;"opts"&amp;CHAR(34)&amp;":"&amp;CHAR(123)&amp;CHAR(34)&amp;"A"&amp;CHAR(34)&amp;":"&amp;CHAR(34)&amp;G1731&amp;CHAR(34)&amp;","&amp;CHAR(34)&amp;"B"&amp;CHAR(34)&amp;":"&amp;CHAR(34)&amp;H1731&amp;CHAR(34)
&amp;IF(I1731="","",","&amp;CHAR(34)&amp;"C"&amp;CHAR(34)&amp;":"&amp;CHAR(34)&amp;I1731&amp;CHAR(34))&amp;IF(J1731="","",","&amp;CHAR(34)&amp;"D"&amp;CHAR(34)&amp;":"&amp;CHAR(34)&amp;J1731&amp;CHAR(34))&amp;CHAR(125)&amp;","
&amp;CHAR(34)&amp;"answer"&amp;CHAR(34)&amp;":"&amp;CHAR(34)&amp;K1731&amp;CHAR(34)
&amp;IF(L1731="","",","&amp;CHAR(34)&amp;"danger"&amp;CHAR(34)&amp;":"&amp;CHAR(34)&amp;"true"&amp;CHAR(34))
&amp;IF(M1731="","",","&amp;CHAR(34)&amp;"explain"&amp;CHAR(34)&amp;":"&amp;CHAR(34)&amp;M1731&amp;CHAR(34))
&amp;IF(N1731="","",","&amp;CHAR(34)&amp;"explainImg"&amp;CHAR(34)&amp;":"&amp;CHAR(34)&amp;N1731&amp;CHAR(34))
&amp;IF(O1731="","",","&amp;CHAR(34)&amp;"shuffle"&amp;CHAR(34)&amp;":"&amp;CHAR(34)&amp;"false"&amp;CHAR(34))&amp;CHAR(125)&amp;",")</f>
        <v>{"num":419,"id":419,"q":"Biển báo này có ý nghĩa như thế nào?","img":"q419.jpg","opts":{"A":" Báo hiệu đường có ổ gà, lồi lõm.","B":"Báo hiệu đường có gồ giảm tốc phía trước."},"answer":"A"},</v>
      </c>
    </row>
    <row r="1732" spans="1:17" hidden="1" x14ac:dyDescent="0.25">
      <c r="A1732">
        <v>1</v>
      </c>
      <c r="B1732" t="s">
        <v>1251</v>
      </c>
      <c r="C1732">
        <f>IFERROR(COUNTIFS($A$1:A1732,"Câu "&amp;"*")-MID(A1732,5,FIND(".",A1732,1)-5),0)</f>
        <v>0</v>
      </c>
      <c r="D1732" t="str">
        <f t="shared" si="98"/>
        <v/>
      </c>
      <c r="E1732" t="str">
        <f>SUBSTITUTE(IF(LEFT(A1732,3)="Câu",MID(A1732,FIND(".",A1732,1)+2,LEN(A1732)),""),CHAR(34),CHAR(92)&amp;CHAR(34))</f>
        <v/>
      </c>
      <c r="F1732" t="str">
        <f t="shared" si="97"/>
        <v/>
      </c>
      <c r="G1732" t="str">
        <f>SUBSTITUTE(B1733,CHAR(34),CHAR(92)&amp;CHAR(34))</f>
        <v>Báo hiệu đường có gồ giảm tốc phía trước.</v>
      </c>
      <c r="H1732" t="str">
        <f>SUBSTITUTE(B1734,CHAR(34),CHAR(92)&amp;CHAR(34))</f>
        <v/>
      </c>
      <c r="I1732" t="str">
        <f>SUBSTITUTE(IF(LEFT(A1735,3)="Câu","",B1735),CHAR(34),CHAR(92)&amp;CHAR(34))</f>
        <v>Báo hiệu đường có ổ gà, lồi lõm.</v>
      </c>
      <c r="J1732" t="str">
        <f>SUBSTITUTE(IF(OR(LEFT(A1736,3)="Câu",I1732=""),"",IF(B1736=0,"",B1736)),CHAR(34),CHAR(92)&amp;CHAR(34))</f>
        <v xml:space="preserve"> Báo hiệu đường có gồ giảm tốc phía trước.</v>
      </c>
      <c r="K1732" t="str">
        <f>SUBSTITUTE(SUBSTITUTE(SUBSTITUTE(SUBSTITUTE(IFERROR(VLOOKUP("Câu "&amp;D1732&amp;".",dapan!$E:$J,6,0),""),"1","A"),"2","B"),"3","C"),"4","D")</f>
        <v/>
      </c>
      <c r="P1732" t="str">
        <f t="shared" si="99"/>
        <v/>
      </c>
      <c r="Q1732" t="str">
        <f t="shared" si="100"/>
        <v/>
      </c>
    </row>
    <row r="1733" spans="1:17" hidden="1" x14ac:dyDescent="0.25">
      <c r="A1733">
        <v>2</v>
      </c>
      <c r="B1733" t="s">
        <v>1252</v>
      </c>
      <c r="C1733">
        <f>IFERROR(COUNTIFS($A$1:A1733,"Câu "&amp;"*")-MID(A1733,5,FIND(".",A1733,1)-5),0)</f>
        <v>0</v>
      </c>
      <c r="D1733" t="str">
        <f t="shared" si="98"/>
        <v/>
      </c>
      <c r="E1733" t="str">
        <f>SUBSTITUTE(IF(LEFT(A1733,3)="Câu",MID(A1733,FIND(".",A1733,1)+2,LEN(A1733)),""),CHAR(34),CHAR(92)&amp;CHAR(34))</f>
        <v/>
      </c>
      <c r="F1733" t="str">
        <f t="shared" si="97"/>
        <v/>
      </c>
      <c r="G1733" t="str">
        <f>SUBSTITUTE(B1734,CHAR(34),CHAR(92)&amp;CHAR(34))</f>
        <v/>
      </c>
      <c r="H1733" t="str">
        <f>SUBSTITUTE(B1735,CHAR(34),CHAR(92)&amp;CHAR(34))</f>
        <v>Báo hiệu đường có ổ gà, lồi lõm.</v>
      </c>
      <c r="I1733" t="str">
        <f>SUBSTITUTE(IF(LEFT(A1736,3)="Câu","",B1736),CHAR(34),CHAR(92)&amp;CHAR(34))</f>
        <v xml:space="preserve"> Báo hiệu đường có gồ giảm tốc phía trước.</v>
      </c>
      <c r="J1733" t="str">
        <f>SUBSTITUTE(IF(OR(LEFT(A1737,3)="Câu",I1733=""),"",IF(B1737=0,"",B1737)),CHAR(34),CHAR(92)&amp;CHAR(34))</f>
        <v/>
      </c>
      <c r="K1733" t="str">
        <f>SUBSTITUTE(SUBSTITUTE(SUBSTITUTE(SUBSTITUTE(IFERROR(VLOOKUP("Câu "&amp;D1733&amp;".",dapan!$E:$J,6,0),""),"1","A"),"2","B"),"3","C"),"4","D")</f>
        <v/>
      </c>
      <c r="P1733" t="str">
        <f t="shared" si="99"/>
        <v/>
      </c>
      <c r="Q1733" t="str">
        <f t="shared" si="100"/>
        <v/>
      </c>
    </row>
    <row r="1734" spans="1:17" x14ac:dyDescent="0.25">
      <c r="A1734" t="s">
        <v>1253</v>
      </c>
      <c r="C1734">
        <f>IFERROR(COUNTIFS($A$1:A1734,"Câu "&amp;"*")-MID(A1734,5,FIND(".",A1734,1)-5),0)</f>
        <v>0</v>
      </c>
      <c r="D1734">
        <f t="shared" si="98"/>
        <v>420</v>
      </c>
      <c r="E1734" t="str">
        <f>SUBSTITUTE(IF(LEFT(A1734,3)="Câu",MID(A1734,FIND(".",A1734,1)+2,LEN(A1734)),""),CHAR(34),CHAR(92)&amp;CHAR(34))</f>
        <v>Biển báo này có ý nghĩa như thế nào?</v>
      </c>
      <c r="F1734" t="str">
        <f t="shared" si="97"/>
        <v>q420.jpg</v>
      </c>
      <c r="G1734" t="str">
        <f>SUBSTITUTE(B1735,CHAR(34),CHAR(92)&amp;CHAR(34))</f>
        <v>Báo hiệu đường có ổ gà, lồi lõm.</v>
      </c>
      <c r="H1734" t="str">
        <f>SUBSTITUTE(B1736,CHAR(34),CHAR(92)&amp;CHAR(34))</f>
        <v xml:space="preserve"> Báo hiệu đường có gồ giảm tốc phía trước.</v>
      </c>
      <c r="I1734" t="str">
        <f>SUBSTITUTE(IF(LEFT(A1737,3)="Câu","",B1737),CHAR(34),CHAR(92)&amp;CHAR(34))</f>
        <v/>
      </c>
      <c r="J1734" t="str">
        <f>SUBSTITUTE(IF(OR(LEFT(A1738,3)="Câu",I1734=""),"",IF(B1738=0,"",B1738)),CHAR(34),CHAR(92)&amp;CHAR(34))</f>
        <v/>
      </c>
      <c r="K1734" t="str">
        <f ca="1">SUBSTITUTE(SUBSTITUTE(SUBSTITUTE(SUBSTITUTE(IFERROR(VLOOKUP("Câu "&amp;D1734&amp;".",dapan!$E:$J,6,0),""),"1","A"),"2","B"),"3","C"),"4","D")</f>
        <v>B</v>
      </c>
      <c r="P1734">
        <f t="shared" si="99"/>
        <v>420</v>
      </c>
      <c r="Q1734" t="str">
        <f t="shared" ca="1" si="100"/>
        <v>{"num":420,"id":420,"q":"Biển báo này có ý nghĩa như thế nào?","img":"q420.jpg","opts":{"A":"Báo hiệu đường có ổ gà, lồi lõm.","B":" Báo hiệu đường có gồ giảm tốc phía trước."},"answer":"B"},</v>
      </c>
    </row>
    <row r="1735" spans="1:17" hidden="1" x14ac:dyDescent="0.25">
      <c r="A1735">
        <v>1</v>
      </c>
      <c r="B1735" t="s">
        <v>1254</v>
      </c>
      <c r="C1735">
        <f>IFERROR(COUNTIFS($A$1:A1735,"Câu "&amp;"*")-MID(A1735,5,FIND(".",A1735,1)-5),0)</f>
        <v>0</v>
      </c>
      <c r="D1735" t="str">
        <f t="shared" si="98"/>
        <v/>
      </c>
      <c r="E1735" t="str">
        <f>SUBSTITUTE(IF(LEFT(A1735,3)="Câu",MID(A1735,FIND(".",A1735,1)+2,LEN(A1735)),""),CHAR(34),CHAR(92)&amp;CHAR(34))</f>
        <v/>
      </c>
      <c r="F1735" t="str">
        <f t="shared" si="97"/>
        <v/>
      </c>
      <c r="G1735" t="str">
        <f>SUBSTITUTE(B1736,CHAR(34),CHAR(92)&amp;CHAR(34))</f>
        <v xml:space="preserve"> Báo hiệu đường có gồ giảm tốc phía trước.</v>
      </c>
      <c r="H1735" t="str">
        <f>SUBSTITUTE(B1737,CHAR(34),CHAR(92)&amp;CHAR(34))</f>
        <v/>
      </c>
      <c r="I1735" t="str">
        <f>SUBSTITUTE(IF(LEFT(A1738,3)="Câu","",B1738),CHAR(34),CHAR(92)&amp;CHAR(34))</f>
        <v>Để báo trước gần tới đoạn đường có hiện tượng đất đá từ trên ta luy dương sụt lở bất ngờ gây nguy hiểm cho xe cộ và người đi đường.</v>
      </c>
      <c r="J1735" t="str">
        <f>SUBSTITUTE(IF(OR(LEFT(A1739,3)="Câu",I1735=""),"",IF(B1739=0,"",B1739)),CHAR(34),CHAR(92)&amp;CHAR(34))</f>
        <v>Để báo trước nơi có kết cấu mặt đường rời rạc, khi phương tiện đi qua, làm cho các viên đá, sỏi văng lên gây nguy hiểm và mất an toàn cho người và phương tiện tham gia giao thông.</v>
      </c>
      <c r="K1735" t="str">
        <f>SUBSTITUTE(SUBSTITUTE(SUBSTITUTE(SUBSTITUTE(IFERROR(VLOOKUP("Câu "&amp;D1735&amp;".",dapan!$E:$J,6,0),""),"1","A"),"2","B"),"3","C"),"4","D")</f>
        <v/>
      </c>
      <c r="P1735" t="str">
        <f t="shared" si="99"/>
        <v/>
      </c>
      <c r="Q1735" t="str">
        <f t="shared" si="100"/>
        <v/>
      </c>
    </row>
    <row r="1736" spans="1:17" hidden="1" x14ac:dyDescent="0.25">
      <c r="A1736">
        <v>2</v>
      </c>
      <c r="B1736" t="s">
        <v>1255</v>
      </c>
      <c r="C1736">
        <f>IFERROR(COUNTIFS($A$1:A1736,"Câu "&amp;"*")-MID(A1736,5,FIND(".",A1736,1)-5),0)</f>
        <v>0</v>
      </c>
      <c r="D1736" t="str">
        <f t="shared" si="98"/>
        <v/>
      </c>
      <c r="E1736" t="str">
        <f>SUBSTITUTE(IF(LEFT(A1736,3)="Câu",MID(A1736,FIND(".",A1736,1)+2,LEN(A1736)),""),CHAR(34),CHAR(92)&amp;CHAR(34))</f>
        <v/>
      </c>
      <c r="F1736" t="str">
        <f t="shared" si="97"/>
        <v/>
      </c>
      <c r="G1736" t="str">
        <f>SUBSTITUTE(B1737,CHAR(34),CHAR(92)&amp;CHAR(34))</f>
        <v/>
      </c>
      <c r="H1736" t="str">
        <f>SUBSTITUTE(B1738,CHAR(34),CHAR(92)&amp;CHAR(34))</f>
        <v>Để báo trước gần tới đoạn đường có hiện tượng đất đá từ trên ta luy dương sụt lở bất ngờ gây nguy hiểm cho xe cộ và người đi đường.</v>
      </c>
      <c r="I1736" t="str">
        <f>SUBSTITUTE(IF(LEFT(A1739,3)="Câu","",B1739),CHAR(34),CHAR(92)&amp;CHAR(34))</f>
        <v>Để báo trước nơi có kết cấu mặt đường rời rạc, khi phương tiện đi qua, làm cho các viên đá, sỏi văng lên gây nguy hiểm và mất an toàn cho người và phương tiện tham gia giao thông.</v>
      </c>
      <c r="J1736" t="str">
        <f>SUBSTITUTE(IF(OR(LEFT(A1740,3)="Câu",I1736=""),"",IF(B1740=0,"",B1740)),CHAR(34),CHAR(92)&amp;CHAR(34))</f>
        <v xml:space="preserve"> Để cảnh báo những đoạn nền đường yếu, đoạn đường đang theo dõi lún mà việc vận hành xe ở tốc độ cao có thể gây nguy hiểm.</v>
      </c>
      <c r="K1736" t="str">
        <f>SUBSTITUTE(SUBSTITUTE(SUBSTITUTE(SUBSTITUTE(IFERROR(VLOOKUP("Câu "&amp;D1736&amp;".",dapan!$E:$J,6,0),""),"1","A"),"2","B"),"3","C"),"4","D")</f>
        <v/>
      </c>
      <c r="P1736" t="str">
        <f t="shared" si="99"/>
        <v/>
      </c>
      <c r="Q1736" t="str">
        <f t="shared" si="100"/>
        <v/>
      </c>
    </row>
    <row r="1737" spans="1:17" x14ac:dyDescent="0.25">
      <c r="A1737" t="s">
        <v>1256</v>
      </c>
      <c r="C1737">
        <f>IFERROR(COUNTIFS($A$1:A1737,"Câu "&amp;"*")-MID(A1737,5,FIND(".",A1737,1)-5),0)</f>
        <v>0</v>
      </c>
      <c r="D1737">
        <f t="shared" si="98"/>
        <v>421</v>
      </c>
      <c r="E1737" t="str">
        <f>SUBSTITUTE(IF(LEFT(A1737,3)="Câu",MID(A1737,FIND(".",A1737,1)+2,LEN(A1737)),""),CHAR(34),CHAR(92)&amp;CHAR(34))</f>
        <v>Biển báo dưới đây có ý nghĩa như thế nào?</v>
      </c>
      <c r="F1737" t="str">
        <f t="shared" si="97"/>
        <v>q421.jpg</v>
      </c>
      <c r="G1737" t="str">
        <f>SUBSTITUTE(B1738,CHAR(34),CHAR(92)&amp;CHAR(34))</f>
        <v>Để báo trước gần tới đoạn đường có hiện tượng đất đá từ trên ta luy dương sụt lở bất ngờ gây nguy hiểm cho xe cộ và người đi đường.</v>
      </c>
      <c r="H1737" t="str">
        <f>SUBSTITUTE(B1739,CHAR(34),CHAR(92)&amp;CHAR(34))</f>
        <v>Để báo trước nơi có kết cấu mặt đường rời rạc, khi phương tiện đi qua, làm cho các viên đá, sỏi văng lên gây nguy hiểm và mất an toàn cho người và phương tiện tham gia giao thông.</v>
      </c>
      <c r="I1737" t="str">
        <f>SUBSTITUTE(IF(LEFT(A1740,3)="Câu","",B1740),CHAR(34),CHAR(92)&amp;CHAR(34))</f>
        <v xml:space="preserve"> Để cảnh báo những đoạn nền đường yếu, đoạn đường đang theo dõi lún mà việc vận hành xe ở tốc độ cao có thể gây nguy hiểm.</v>
      </c>
      <c r="J1737" t="str">
        <f>SUBSTITUTE(IF(OR(LEFT(A1741,3)="Câu",I1737=""),"",IF(B1741=0,"",B1741)),CHAR(34),CHAR(92)&amp;CHAR(34))</f>
        <v/>
      </c>
      <c r="K1737" t="str">
        <f ca="1">SUBSTITUTE(SUBSTITUTE(SUBSTITUTE(SUBSTITUTE(IFERROR(VLOOKUP("Câu "&amp;D1737&amp;".",dapan!$E:$J,6,0),""),"1","A"),"2","B"),"3","C"),"4","D")</f>
        <v>C</v>
      </c>
      <c r="P1737">
        <f t="shared" si="99"/>
        <v>421</v>
      </c>
      <c r="Q1737" t="str">
        <f t="shared" ca="1" si="100"/>
        <v>{"num":421,"id":421,"q":"Biển báo dưới đây có ý nghĩa như thế nào?","img":"q421.jpg","opts":{"A":"Để báo trước gần tới đoạn đường có hiện tượng đất đá từ trên ta luy dương sụt lở bất ngờ gây nguy hiểm cho xe cộ và người đi đường.","B":"Để báo trước nơi có kết cấu mặt đường rời rạc, khi phương tiện đi qua, làm cho các viên đá, sỏi văng lên gây nguy hiểm và mất an toàn cho người và phương tiện tham gia giao thông.","C":" Để cảnh báo những đoạn nền đường yếu, đoạn đường đang theo dõi lún mà việc vận hành xe ở tốc độ cao có thể gây nguy hiểm."},"answer":"C"},</v>
      </c>
    </row>
    <row r="1738" spans="1:17" hidden="1" x14ac:dyDescent="0.25">
      <c r="A1738">
        <v>1</v>
      </c>
      <c r="B1738" t="s">
        <v>1257</v>
      </c>
      <c r="C1738">
        <f>IFERROR(COUNTIFS($A$1:A1738,"Câu "&amp;"*")-MID(A1738,5,FIND(".",A1738,1)-5),0)</f>
        <v>0</v>
      </c>
      <c r="D1738" t="str">
        <f t="shared" si="98"/>
        <v/>
      </c>
      <c r="E1738" t="str">
        <f>SUBSTITUTE(IF(LEFT(A1738,3)="Câu",MID(A1738,FIND(".",A1738,1)+2,LEN(A1738)),""),CHAR(34),CHAR(92)&amp;CHAR(34))</f>
        <v/>
      </c>
      <c r="F1738" t="str">
        <f t="shared" si="97"/>
        <v/>
      </c>
      <c r="G1738" t="str">
        <f>SUBSTITUTE(B1739,CHAR(34),CHAR(92)&amp;CHAR(34))</f>
        <v>Để báo trước nơi có kết cấu mặt đường rời rạc, khi phương tiện đi qua, làm cho các viên đá, sỏi văng lên gây nguy hiểm và mất an toàn cho người và phương tiện tham gia giao thông.</v>
      </c>
      <c r="H1738" t="str">
        <f>SUBSTITUTE(B1740,CHAR(34),CHAR(92)&amp;CHAR(34))</f>
        <v xml:space="preserve"> Để cảnh báo những đoạn nền đường yếu, đoạn đường đang theo dõi lún mà việc vận hành xe ở tốc độ cao có thể gây nguy hiểm.</v>
      </c>
      <c r="I1738" t="str">
        <f>SUBSTITUTE(IF(LEFT(A1741,3)="Câu","",B1741),CHAR(34),CHAR(92)&amp;CHAR(34))</f>
        <v/>
      </c>
      <c r="J1738" t="str">
        <f>SUBSTITUTE(IF(OR(LEFT(A1742,3)="Câu",I1738=""),"",IF(B1742=0,"",B1742)),CHAR(34),CHAR(92)&amp;CHAR(34))</f>
        <v/>
      </c>
      <c r="K1738" t="str">
        <f>SUBSTITUTE(SUBSTITUTE(SUBSTITUTE(SUBSTITUTE(IFERROR(VLOOKUP("Câu "&amp;D1738&amp;".",dapan!$E:$J,6,0),""),"1","A"),"2","B"),"3","C"),"4","D")</f>
        <v/>
      </c>
      <c r="P1738" t="str">
        <f t="shared" si="99"/>
        <v/>
      </c>
      <c r="Q1738" t="str">
        <f t="shared" si="100"/>
        <v/>
      </c>
    </row>
    <row r="1739" spans="1:17" hidden="1" x14ac:dyDescent="0.25">
      <c r="A1739">
        <v>2</v>
      </c>
      <c r="B1739" t="s">
        <v>1258</v>
      </c>
      <c r="C1739">
        <f>IFERROR(COUNTIFS($A$1:A1739,"Câu "&amp;"*")-MID(A1739,5,FIND(".",A1739,1)-5),0)</f>
        <v>0</v>
      </c>
      <c r="D1739" t="str">
        <f t="shared" si="98"/>
        <v/>
      </c>
      <c r="E1739" t="str">
        <f>SUBSTITUTE(IF(LEFT(A1739,3)="Câu",MID(A1739,FIND(".",A1739,1)+2,LEN(A1739)),""),CHAR(34),CHAR(92)&amp;CHAR(34))</f>
        <v/>
      </c>
      <c r="F1739" t="str">
        <f t="shared" si="97"/>
        <v/>
      </c>
      <c r="G1739" t="str">
        <f>SUBSTITUTE(B1740,CHAR(34),CHAR(92)&amp;CHAR(34))</f>
        <v xml:space="preserve"> Để cảnh báo những đoạn nền đường yếu, đoạn đường đang theo dõi lún mà việc vận hành xe ở tốc độ cao có thể gây nguy hiểm.</v>
      </c>
      <c r="H1739" t="str">
        <f>SUBSTITUTE(B1741,CHAR(34),CHAR(92)&amp;CHAR(34))</f>
        <v/>
      </c>
      <c r="I1739" t="str">
        <f>SUBSTITUTE(IF(LEFT(A1742,3)="Câu","",B1742),CHAR(34),CHAR(92)&amp;CHAR(34))</f>
        <v xml:space="preserve"> Để báo trước gần tới đoạn đường có hiện tượng đất đá từ trên ta luy dương sụt lở bất ngờ gây nguy hiểm cho xe cộ và người đi đường.</v>
      </c>
      <c r="J1739" t="str">
        <f>SUBSTITUTE(IF(OR(LEFT(A1743,3)="Câu",I1739=""),"",IF(B1743=0,"",B1743)),CHAR(34),CHAR(92)&amp;CHAR(34))</f>
        <v>Để báo trước nơi có kết cấu mặt đường rời rạc, khi phương tiện đi qua, làm cho các viên đá, sỏi văng lên gây nguy hiểm và mất an toàn cho người và phương tiện tham gia giao thông.</v>
      </c>
      <c r="K1739" t="str">
        <f>SUBSTITUTE(SUBSTITUTE(SUBSTITUTE(SUBSTITUTE(IFERROR(VLOOKUP("Câu "&amp;D1739&amp;".",dapan!$E:$J,6,0),""),"1","A"),"2","B"),"3","C"),"4","D")</f>
        <v/>
      </c>
      <c r="P1739" t="str">
        <f t="shared" si="99"/>
        <v/>
      </c>
      <c r="Q1739" t="str">
        <f t="shared" si="100"/>
        <v/>
      </c>
    </row>
    <row r="1740" spans="1:17" hidden="1" x14ac:dyDescent="0.25">
      <c r="A1740">
        <v>3</v>
      </c>
      <c r="B1740" t="s">
        <v>1259</v>
      </c>
      <c r="C1740">
        <f>IFERROR(COUNTIFS($A$1:A1740,"Câu "&amp;"*")-MID(A1740,5,FIND(".",A1740,1)-5),0)</f>
        <v>0</v>
      </c>
      <c r="D1740" t="str">
        <f t="shared" si="98"/>
        <v/>
      </c>
      <c r="E1740" t="str">
        <f>SUBSTITUTE(IF(LEFT(A1740,3)="Câu",MID(A1740,FIND(".",A1740,1)+2,LEN(A1740)),""),CHAR(34),CHAR(92)&amp;CHAR(34))</f>
        <v/>
      </c>
      <c r="F1740" t="str">
        <f t="shared" si="97"/>
        <v/>
      </c>
      <c r="G1740" t="str">
        <f>SUBSTITUTE(B1741,CHAR(34),CHAR(92)&amp;CHAR(34))</f>
        <v/>
      </c>
      <c r="H1740" t="str">
        <f>SUBSTITUTE(B1742,CHAR(34),CHAR(92)&amp;CHAR(34))</f>
        <v xml:space="preserve"> Để báo trước gần tới đoạn đường có hiện tượng đất đá từ trên ta luy dương sụt lở bất ngờ gây nguy hiểm cho xe cộ và người đi đường.</v>
      </c>
      <c r="I1740" t="str">
        <f>SUBSTITUTE(IF(LEFT(A1743,3)="Câu","",B1743),CHAR(34),CHAR(92)&amp;CHAR(34))</f>
        <v>Để báo trước nơi có kết cấu mặt đường rời rạc, khi phương tiện đi qua, làm cho các viên đá, sỏi văng lên gây nguy hiểm và mất an toàn cho người và phương tiện tham gia giao thông.</v>
      </c>
      <c r="J1740" t="str">
        <f>SUBSTITUTE(IF(OR(LEFT(A1744,3)="Câu",I1740=""),"",IF(B1744=0,"",B1744)),CHAR(34),CHAR(92)&amp;CHAR(34))</f>
        <v>Để cảnh báo những đoạn nền đường yếu, đoạn đường đang theo dõi lún mà việc vận hành xe ở tốc độ cao có thể gây nguy hiểm.</v>
      </c>
      <c r="K1740" t="str">
        <f>SUBSTITUTE(SUBSTITUTE(SUBSTITUTE(SUBSTITUTE(IFERROR(VLOOKUP("Câu "&amp;D1740&amp;".",dapan!$E:$J,6,0),""),"1","A"),"2","B"),"3","C"),"4","D")</f>
        <v/>
      </c>
      <c r="P1740" t="str">
        <f t="shared" si="99"/>
        <v/>
      </c>
      <c r="Q1740" t="str">
        <f t="shared" si="100"/>
        <v/>
      </c>
    </row>
    <row r="1741" spans="1:17" x14ac:dyDescent="0.25">
      <c r="A1741" t="s">
        <v>1260</v>
      </c>
      <c r="C1741">
        <f>IFERROR(COUNTIFS($A$1:A1741,"Câu "&amp;"*")-MID(A1741,5,FIND(".",A1741,1)-5),0)</f>
        <v>0</v>
      </c>
      <c r="D1741">
        <f t="shared" si="98"/>
        <v>422</v>
      </c>
      <c r="E1741" t="str">
        <f>SUBSTITUTE(IF(LEFT(A1741,3)="Câu",MID(A1741,FIND(".",A1741,1)+2,LEN(A1741)),""),CHAR(34),CHAR(92)&amp;CHAR(34))</f>
        <v>Các biển báo này có ý nghĩa như thế nào?</v>
      </c>
      <c r="F1741" t="str">
        <f t="shared" si="97"/>
        <v>q422.jpg</v>
      </c>
      <c r="G1741" t="str">
        <f>SUBSTITUTE(B1742,CHAR(34),CHAR(92)&amp;CHAR(34))</f>
        <v xml:space="preserve"> Để báo trước gần tới đoạn đường có hiện tượng đất đá từ trên ta luy dương sụt lở bất ngờ gây nguy hiểm cho xe cộ và người đi đường.</v>
      </c>
      <c r="H1741" t="str">
        <f>SUBSTITUTE(B1743,CHAR(34),CHAR(92)&amp;CHAR(34))</f>
        <v>Để báo trước nơi có kết cấu mặt đường rời rạc, khi phương tiện đi qua, làm cho các viên đá, sỏi văng lên gây nguy hiểm và mất an toàn cho người và phương tiện tham gia giao thông.</v>
      </c>
      <c r="I1741" t="str">
        <f>SUBSTITUTE(IF(LEFT(A1744,3)="Câu","",B1744),CHAR(34),CHAR(92)&amp;CHAR(34))</f>
        <v>Để cảnh báo những đoạn nền đường yếu, đoạn đường đang theo dõi lún mà việc vận hành xe ở tốc độ cao có thể gây nguy hiểm.</v>
      </c>
      <c r="J1741" t="str">
        <f>SUBSTITUTE(IF(OR(LEFT(A1745,3)="Câu",I1741=""),"",IF(B1745=0,"",B1745)),CHAR(34),CHAR(92)&amp;CHAR(34))</f>
        <v/>
      </c>
      <c r="K1741" t="str">
        <f ca="1">SUBSTITUTE(SUBSTITUTE(SUBSTITUTE(SUBSTITUTE(IFERROR(VLOOKUP("Câu "&amp;D1741&amp;".",dapan!$E:$J,6,0),""),"1","A"),"2","B"),"3","C"),"4","D")</f>
        <v>A</v>
      </c>
      <c r="P1741">
        <f t="shared" si="99"/>
        <v>422</v>
      </c>
      <c r="Q1741" t="str">
        <f t="shared" ca="1" si="100"/>
        <v>{"num":422,"id":422,"q":"Các biển báo này có ý nghĩa như thế nào?","img":"q422.jpg","opts":{"A":" Để báo trước gần tới đoạn đường có hiện tượng đất đá từ trên ta luy dương sụt lở bất ngờ gây nguy hiểm cho xe cộ và người đi đường.","B":"Để báo trước nơi có kết cấu mặt đường rời rạc, khi phương tiện đi qua, làm cho các viên đá, sỏi văng lên gây nguy hiểm và mất an toàn cho người và phương tiện tham gia giao thông.","C":"Để cảnh báo những đoạn nền đường yếu, đoạn đường đang theo dõi lún mà việc vận hành xe ở tốc độ cao có thể gây nguy hiểm."},"answer":"A"},</v>
      </c>
    </row>
    <row r="1742" spans="1:17" hidden="1" x14ac:dyDescent="0.25">
      <c r="A1742">
        <v>1</v>
      </c>
      <c r="B1742" t="s">
        <v>1261</v>
      </c>
      <c r="C1742">
        <f>IFERROR(COUNTIFS($A$1:A1742,"Câu "&amp;"*")-MID(A1742,5,FIND(".",A1742,1)-5),0)</f>
        <v>0</v>
      </c>
      <c r="D1742" t="str">
        <f t="shared" si="98"/>
        <v/>
      </c>
      <c r="E1742" t="str">
        <f>SUBSTITUTE(IF(LEFT(A1742,3)="Câu",MID(A1742,FIND(".",A1742,1)+2,LEN(A1742)),""),CHAR(34),CHAR(92)&amp;CHAR(34))</f>
        <v/>
      </c>
      <c r="F1742" t="str">
        <f t="shared" si="97"/>
        <v/>
      </c>
      <c r="G1742" t="str">
        <f>SUBSTITUTE(B1743,CHAR(34),CHAR(92)&amp;CHAR(34))</f>
        <v>Để báo trước nơi có kết cấu mặt đường rời rạc, khi phương tiện đi qua, làm cho các viên đá, sỏi văng lên gây nguy hiểm và mất an toàn cho người và phương tiện tham gia giao thông.</v>
      </c>
      <c r="H1742" t="str">
        <f>SUBSTITUTE(B1744,CHAR(34),CHAR(92)&amp;CHAR(34))</f>
        <v>Để cảnh báo những đoạn nền đường yếu, đoạn đường đang theo dõi lún mà việc vận hành xe ở tốc độ cao có thể gây nguy hiểm.</v>
      </c>
      <c r="I1742" t="str">
        <f>SUBSTITUTE(IF(LEFT(A1745,3)="Câu","",B1745),CHAR(34),CHAR(92)&amp;CHAR(34))</f>
        <v/>
      </c>
      <c r="J1742" t="str">
        <f>SUBSTITUTE(IF(OR(LEFT(A1746,3)="Câu",I1742=""),"",IF(B1746=0,"",B1746)),CHAR(34),CHAR(92)&amp;CHAR(34))</f>
        <v/>
      </c>
      <c r="K1742" t="str">
        <f>SUBSTITUTE(SUBSTITUTE(SUBSTITUTE(SUBSTITUTE(IFERROR(VLOOKUP("Câu "&amp;D1742&amp;".",dapan!$E:$J,6,0),""),"1","A"),"2","B"),"3","C"),"4","D")</f>
        <v/>
      </c>
      <c r="P1742" t="str">
        <f t="shared" si="99"/>
        <v/>
      </c>
      <c r="Q1742" t="str">
        <f t="shared" si="100"/>
        <v/>
      </c>
    </row>
    <row r="1743" spans="1:17" hidden="1" x14ac:dyDescent="0.25">
      <c r="A1743">
        <v>2</v>
      </c>
      <c r="B1743" t="s">
        <v>1258</v>
      </c>
      <c r="C1743">
        <f>IFERROR(COUNTIFS($A$1:A1743,"Câu "&amp;"*")-MID(A1743,5,FIND(".",A1743,1)-5),0)</f>
        <v>0</v>
      </c>
      <c r="D1743" t="str">
        <f t="shared" si="98"/>
        <v/>
      </c>
      <c r="E1743" t="str">
        <f>SUBSTITUTE(IF(LEFT(A1743,3)="Câu",MID(A1743,FIND(".",A1743,1)+2,LEN(A1743)),""),CHAR(34),CHAR(92)&amp;CHAR(34))</f>
        <v/>
      </c>
      <c r="F1743" t="str">
        <f t="shared" si="97"/>
        <v/>
      </c>
      <c r="G1743" t="str">
        <f>SUBSTITUTE(B1744,CHAR(34),CHAR(92)&amp;CHAR(34))</f>
        <v>Để cảnh báo những đoạn nền đường yếu, đoạn đường đang theo dõi lún mà việc vận hành xe ở tốc độ cao có thể gây nguy hiểm.</v>
      </c>
      <c r="H1743" t="str">
        <f>SUBSTITUTE(B1745,CHAR(34),CHAR(92)&amp;CHAR(34))</f>
        <v/>
      </c>
      <c r="I1743" t="str">
        <f>SUBSTITUTE(IF(LEFT(A1746,3)="Câu","",B1746),CHAR(34),CHAR(92)&amp;CHAR(34))</f>
        <v>Để báo trước gần tới đoạn đường có hiện tượng đất đá từ trên ta luy dương sụt lở bất ngờ gây nguy hiểm cho xe cộ và người đi đường.</v>
      </c>
      <c r="J1743" t="str">
        <f>SUBSTITUTE(IF(OR(LEFT(A1747,3)="Câu",I1743=""),"",IF(B1747=0,"",B1747)),CHAR(34),CHAR(92)&amp;CHAR(34))</f>
        <v xml:space="preserve"> Để báo trước nơi có kết cấu mặt đường rời rạc, khi phương tiện đi qua, làm cho các viên đá, sỏi văng lên gây nguy hiểm và mất an toàn cho người và phương tiện tham gia giao thông.</v>
      </c>
      <c r="K1743" t="str">
        <f>SUBSTITUTE(SUBSTITUTE(SUBSTITUTE(SUBSTITUTE(IFERROR(VLOOKUP("Câu "&amp;D1743&amp;".",dapan!$E:$J,6,0),""),"1","A"),"2","B"),"3","C"),"4","D")</f>
        <v/>
      </c>
      <c r="P1743" t="str">
        <f t="shared" si="99"/>
        <v/>
      </c>
      <c r="Q1743" t="str">
        <f t="shared" si="100"/>
        <v/>
      </c>
    </row>
    <row r="1744" spans="1:17" hidden="1" x14ac:dyDescent="0.25">
      <c r="A1744">
        <v>3</v>
      </c>
      <c r="B1744" t="s">
        <v>1262</v>
      </c>
      <c r="C1744">
        <f>IFERROR(COUNTIFS($A$1:A1744,"Câu "&amp;"*")-MID(A1744,5,FIND(".",A1744,1)-5),0)</f>
        <v>0</v>
      </c>
      <c r="D1744" t="str">
        <f t="shared" si="98"/>
        <v/>
      </c>
      <c r="E1744" t="str">
        <f>SUBSTITUTE(IF(LEFT(A1744,3)="Câu",MID(A1744,FIND(".",A1744,1)+2,LEN(A1744)),""),CHAR(34),CHAR(92)&amp;CHAR(34))</f>
        <v/>
      </c>
      <c r="F1744" t="str">
        <f t="shared" si="97"/>
        <v/>
      </c>
      <c r="G1744" t="str">
        <f>SUBSTITUTE(B1745,CHAR(34),CHAR(92)&amp;CHAR(34))</f>
        <v/>
      </c>
      <c r="H1744" t="str">
        <f>SUBSTITUTE(B1746,CHAR(34),CHAR(92)&amp;CHAR(34))</f>
        <v>Để báo trước gần tới đoạn đường có hiện tượng đất đá từ trên ta luy dương sụt lở bất ngờ gây nguy hiểm cho xe cộ và người đi đường.</v>
      </c>
      <c r="I1744" t="str">
        <f>SUBSTITUTE(IF(LEFT(A1747,3)="Câu","",B1747),CHAR(34),CHAR(92)&amp;CHAR(34))</f>
        <v xml:space="preserve"> Để báo trước nơi có kết cấu mặt đường rời rạc, khi phương tiện đi qua, làm cho các viên đá, sỏi văng lên gây nguy hiểm và mất an toàn cho người và phương tiện tham gia giao thông.</v>
      </c>
      <c r="J1744" t="str">
        <f>SUBSTITUTE(IF(OR(LEFT(A1748,3)="Câu",I1744=""),"",IF(B1748=0,"",B1748)),CHAR(34),CHAR(92)&amp;CHAR(34))</f>
        <v>Để cảnh báo những đoạn nền đường yếu, đoạn đường đang theo dõi lún mà việc vận hành xe ở tốc độ cao có thể gây nguy hiểm.</v>
      </c>
      <c r="K1744" t="str">
        <f>SUBSTITUTE(SUBSTITUTE(SUBSTITUTE(SUBSTITUTE(IFERROR(VLOOKUP("Câu "&amp;D1744&amp;".",dapan!$E:$J,6,0),""),"1","A"),"2","B"),"3","C"),"4","D")</f>
        <v/>
      </c>
      <c r="P1744" t="str">
        <f t="shared" si="99"/>
        <v/>
      </c>
      <c r="Q1744" t="str">
        <f t="shared" si="100"/>
        <v/>
      </c>
    </row>
    <row r="1745" spans="1:17" x14ac:dyDescent="0.25">
      <c r="A1745" t="s">
        <v>1263</v>
      </c>
      <c r="C1745">
        <f>IFERROR(COUNTIFS($A$1:A1745,"Câu "&amp;"*")-MID(A1745,5,FIND(".",A1745,1)-5),0)</f>
        <v>0</v>
      </c>
      <c r="D1745">
        <f t="shared" si="98"/>
        <v>423</v>
      </c>
      <c r="E1745" t="str">
        <f>SUBSTITUTE(IF(LEFT(A1745,3)="Câu",MID(A1745,FIND(".",A1745,1)+2,LEN(A1745)),""),CHAR(34),CHAR(92)&amp;CHAR(34))</f>
        <v>Biển báo này có ý nghĩa như thế nào?</v>
      </c>
      <c r="F1745" t="str">
        <f t="shared" si="97"/>
        <v>q423.jpg</v>
      </c>
      <c r="G1745" t="str">
        <f>SUBSTITUTE(B1746,CHAR(34),CHAR(92)&amp;CHAR(34))</f>
        <v>Để báo trước gần tới đoạn đường có hiện tượng đất đá từ trên ta luy dương sụt lở bất ngờ gây nguy hiểm cho xe cộ và người đi đường.</v>
      </c>
      <c r="H1745" t="str">
        <f>SUBSTITUTE(B1747,CHAR(34),CHAR(92)&amp;CHAR(34))</f>
        <v xml:space="preserve"> Để báo trước nơi có kết cấu mặt đường rời rạc, khi phương tiện đi qua, làm cho các viên đá, sỏi văng lên gây nguy hiểm và mất an toàn cho người và phương tiện tham gia giao thông.</v>
      </c>
      <c r="I1745" t="str">
        <f>SUBSTITUTE(IF(LEFT(A1748,3)="Câu","",B1748),CHAR(34),CHAR(92)&amp;CHAR(34))</f>
        <v>Để cảnh báo những đoạn nền đường yếu, đoạn đường đang theo dõi lún mà việc vận hành xe ở tốc độ cao có thể gây nguy hiểm.</v>
      </c>
      <c r="J1745" t="str">
        <f>SUBSTITUTE(IF(OR(LEFT(A1749,3)="Câu",I1745=""),"",IF(B1749=0,"",B1749)),CHAR(34),CHAR(92)&amp;CHAR(34))</f>
        <v/>
      </c>
      <c r="K1745" t="str">
        <f ca="1">SUBSTITUTE(SUBSTITUTE(SUBSTITUTE(SUBSTITUTE(IFERROR(VLOOKUP("Câu "&amp;D1745&amp;".",dapan!$E:$J,6,0),""),"1","A"),"2","B"),"3","C"),"4","D")</f>
        <v>B</v>
      </c>
      <c r="P1745">
        <f t="shared" si="99"/>
        <v>423</v>
      </c>
      <c r="Q1745" t="str">
        <f t="shared" ca="1" si="100"/>
        <v>{"num":423,"id":423,"q":"Biển báo này có ý nghĩa như thế nào?","img":"q423.jpg","opts":{"A":"Để báo trước gần tới đoạn đường có hiện tượng đất đá từ trên ta luy dương sụt lở bất ngờ gây nguy hiểm cho xe cộ và người đi đường.","B":" Để báo trước nơi có kết cấu mặt đường rời rạc, khi phương tiện đi qua, làm cho các viên đá, sỏi văng lên gây nguy hiểm và mất an toàn cho người và phương tiện tham gia giao thông.","C":"Để cảnh báo những đoạn nền đường yếu, đoạn đường đang theo dõi lún mà việc vận hành xe ở tốc độ cao có thể gây nguy hiểm."},"answer":"B"},</v>
      </c>
    </row>
    <row r="1746" spans="1:17" hidden="1" x14ac:dyDescent="0.25">
      <c r="A1746">
        <v>1</v>
      </c>
      <c r="B1746" t="s">
        <v>1257</v>
      </c>
      <c r="C1746">
        <f>IFERROR(COUNTIFS($A$1:A1746,"Câu "&amp;"*")-MID(A1746,5,FIND(".",A1746,1)-5),0)</f>
        <v>0</v>
      </c>
      <c r="D1746" t="str">
        <f t="shared" si="98"/>
        <v/>
      </c>
      <c r="E1746" t="str">
        <f>SUBSTITUTE(IF(LEFT(A1746,3)="Câu",MID(A1746,FIND(".",A1746,1)+2,LEN(A1746)),""),CHAR(34),CHAR(92)&amp;CHAR(34))</f>
        <v/>
      </c>
      <c r="F1746" t="str">
        <f t="shared" si="97"/>
        <v/>
      </c>
      <c r="G1746" t="str">
        <f>SUBSTITUTE(B1747,CHAR(34),CHAR(92)&amp;CHAR(34))</f>
        <v xml:space="preserve"> Để báo trước nơi có kết cấu mặt đường rời rạc, khi phương tiện đi qua, làm cho các viên đá, sỏi văng lên gây nguy hiểm và mất an toàn cho người và phương tiện tham gia giao thông.</v>
      </c>
      <c r="H1746" t="str">
        <f>SUBSTITUTE(B1748,CHAR(34),CHAR(92)&amp;CHAR(34))</f>
        <v>Để cảnh báo những đoạn nền đường yếu, đoạn đường đang theo dõi lún mà việc vận hành xe ở tốc độ cao có thể gây nguy hiểm.</v>
      </c>
      <c r="I1746" t="str">
        <f>SUBSTITUTE(IF(LEFT(A1749,3)="Câu","",B1749),CHAR(34),CHAR(92)&amp;CHAR(34))</f>
        <v/>
      </c>
      <c r="J1746" t="str">
        <f>SUBSTITUTE(IF(OR(LEFT(A1750,3)="Câu",I1746=""),"",IF(B1750=0,"",B1750)),CHAR(34),CHAR(92)&amp;CHAR(34))</f>
        <v/>
      </c>
      <c r="K1746" t="str">
        <f>SUBSTITUTE(SUBSTITUTE(SUBSTITUTE(SUBSTITUTE(IFERROR(VLOOKUP("Câu "&amp;D1746&amp;".",dapan!$E:$J,6,0),""),"1","A"),"2","B"),"3","C"),"4","D")</f>
        <v/>
      </c>
      <c r="P1746" t="str">
        <f t="shared" si="99"/>
        <v/>
      </c>
      <c r="Q1746" t="str">
        <f t="shared" si="100"/>
        <v/>
      </c>
    </row>
    <row r="1747" spans="1:17" hidden="1" x14ac:dyDescent="0.25">
      <c r="A1747">
        <v>2</v>
      </c>
      <c r="B1747" t="s">
        <v>1264</v>
      </c>
      <c r="C1747">
        <f>IFERROR(COUNTIFS($A$1:A1747,"Câu "&amp;"*")-MID(A1747,5,FIND(".",A1747,1)-5),0)</f>
        <v>0</v>
      </c>
      <c r="D1747" t="str">
        <f t="shared" si="98"/>
        <v/>
      </c>
      <c r="E1747" t="str">
        <f>SUBSTITUTE(IF(LEFT(A1747,3)="Câu",MID(A1747,FIND(".",A1747,1)+2,LEN(A1747)),""),CHAR(34),CHAR(92)&amp;CHAR(34))</f>
        <v/>
      </c>
      <c r="F1747" t="str">
        <f t="shared" si="97"/>
        <v/>
      </c>
      <c r="G1747" t="str">
        <f>SUBSTITUTE(B1748,CHAR(34),CHAR(92)&amp;CHAR(34))</f>
        <v>Để cảnh báo những đoạn nền đường yếu, đoạn đường đang theo dõi lún mà việc vận hành xe ở tốc độ cao có thể gây nguy hiểm.</v>
      </c>
      <c r="H1747" t="str">
        <f>SUBSTITUTE(B1749,CHAR(34),CHAR(92)&amp;CHAR(34))</f>
        <v/>
      </c>
      <c r="I1747" t="str">
        <f>SUBSTITUTE(IF(LEFT(A1750,3)="Câu","",B1750),CHAR(34),CHAR(92)&amp;CHAR(34))</f>
        <v xml:space="preserve"> Đi chậm, quan sát và dừng lại nếu gặp gia súc trên đường.</v>
      </c>
      <c r="J1747" t="str">
        <f>SUBSTITUTE(IF(OR(LEFT(A1751,3)="Câu",I1747=""),"",IF(B1751=0,"",B1751)),CHAR(34),CHAR(92)&amp;CHAR(34))</f>
        <v>Bấm còi to để gia súc tránh đường và nhanh chóng di chuyển qua đoạn đường có gia súc.</v>
      </c>
      <c r="K1747" t="str">
        <f>SUBSTITUTE(SUBSTITUTE(SUBSTITUTE(SUBSTITUTE(IFERROR(VLOOKUP("Câu "&amp;D1747&amp;".",dapan!$E:$J,6,0),""),"1","A"),"2","B"),"3","C"),"4","D")</f>
        <v/>
      </c>
      <c r="P1747" t="str">
        <f t="shared" si="99"/>
        <v/>
      </c>
      <c r="Q1747" t="str">
        <f t="shared" si="100"/>
        <v/>
      </c>
    </row>
    <row r="1748" spans="1:17" hidden="1" x14ac:dyDescent="0.25">
      <c r="A1748">
        <v>3</v>
      </c>
      <c r="B1748" t="s">
        <v>1262</v>
      </c>
      <c r="C1748">
        <f>IFERROR(COUNTIFS($A$1:A1748,"Câu "&amp;"*")-MID(A1748,5,FIND(".",A1748,1)-5),0)</f>
        <v>0</v>
      </c>
      <c r="D1748" t="str">
        <f t="shared" si="98"/>
        <v/>
      </c>
      <c r="E1748" t="str">
        <f>SUBSTITUTE(IF(LEFT(A1748,3)="Câu",MID(A1748,FIND(".",A1748,1)+2,LEN(A1748)),""),CHAR(34),CHAR(92)&amp;CHAR(34))</f>
        <v/>
      </c>
      <c r="F1748" t="str">
        <f t="shared" si="97"/>
        <v/>
      </c>
      <c r="G1748" t="str">
        <f>SUBSTITUTE(B1749,CHAR(34),CHAR(92)&amp;CHAR(34))</f>
        <v/>
      </c>
      <c r="H1748" t="str">
        <f>SUBSTITUTE(B1750,CHAR(34),CHAR(92)&amp;CHAR(34))</f>
        <v xml:space="preserve"> Đi chậm, quan sát và dừng lại nếu gặp gia súc trên đường.</v>
      </c>
      <c r="I1748" t="str">
        <f>SUBSTITUTE(IF(LEFT(A1751,3)="Câu","",B1751),CHAR(34),CHAR(92)&amp;CHAR(34))</f>
        <v>Bấm còi to để gia súc tránh đường và nhanh chóng di chuyển qua đoạn đường có gia súc.</v>
      </c>
      <c r="J1748" t="str">
        <f>SUBSTITUTE(IF(OR(LEFT(A1752,3)="Câu",I1748=""),"",IF(B1752=0,"",B1752)),CHAR(34),CHAR(92)&amp;CHAR(34))</f>
        <v/>
      </c>
      <c r="K1748" t="str">
        <f>SUBSTITUTE(SUBSTITUTE(SUBSTITUTE(SUBSTITUTE(IFERROR(VLOOKUP("Câu "&amp;D1748&amp;".",dapan!$E:$J,6,0),""),"1","A"),"2","B"),"3","C"),"4","D")</f>
        <v/>
      </c>
      <c r="P1748" t="str">
        <f t="shared" si="99"/>
        <v/>
      </c>
      <c r="Q1748" t="str">
        <f t="shared" si="100"/>
        <v/>
      </c>
    </row>
    <row r="1749" spans="1:17" x14ac:dyDescent="0.25">
      <c r="A1749" t="s">
        <v>1265</v>
      </c>
      <c r="C1749">
        <f>IFERROR(COUNTIFS($A$1:A1749,"Câu "&amp;"*")-MID(A1749,5,FIND(".",A1749,1)-5),0)</f>
        <v>0</v>
      </c>
      <c r="D1749">
        <f t="shared" si="98"/>
        <v>424</v>
      </c>
      <c r="E1749" t="str">
        <f>SUBSTITUTE(IF(LEFT(A1749,3)="Câu",MID(A1749,FIND(".",A1749,1)+2,LEN(A1749)),""),CHAR(34),CHAR(92)&amp;CHAR(34))</f>
        <v>Gặp biển báo này người lái xe phải xử lý thế nào?</v>
      </c>
      <c r="F1749" t="str">
        <f t="shared" si="97"/>
        <v>q424.jpg</v>
      </c>
      <c r="G1749" t="str">
        <f>SUBSTITUTE(B1750,CHAR(34),CHAR(92)&amp;CHAR(34))</f>
        <v xml:space="preserve"> Đi chậm, quan sát và dừng lại nếu gặp gia súc trên đường.</v>
      </c>
      <c r="H1749" t="str">
        <f>SUBSTITUTE(B1751,CHAR(34),CHAR(92)&amp;CHAR(34))</f>
        <v>Bấm còi to để gia súc tránh đường và nhanh chóng di chuyển qua đoạn đường có gia súc.</v>
      </c>
      <c r="I1749" t="str">
        <f>SUBSTITUTE(IF(LEFT(A1752,3)="Câu","",B1752),CHAR(34),CHAR(92)&amp;CHAR(34))</f>
        <v/>
      </c>
      <c r="J1749" t="str">
        <f>SUBSTITUTE(IF(OR(LEFT(A1753,3)="Câu",I1749=""),"",IF(B1753=0,"",B1753)),CHAR(34),CHAR(92)&amp;CHAR(34))</f>
        <v/>
      </c>
      <c r="K1749" t="str">
        <f ca="1">SUBSTITUTE(SUBSTITUTE(SUBSTITUTE(SUBSTITUTE(IFERROR(VLOOKUP("Câu "&amp;D1749&amp;".",dapan!$E:$J,6,0),""),"1","A"),"2","B"),"3","C"),"4","D")</f>
        <v>A</v>
      </c>
      <c r="P1749">
        <f t="shared" si="99"/>
        <v>424</v>
      </c>
      <c r="Q1749" t="str">
        <f t="shared" ca="1" si="100"/>
        <v>{"num":424,"id":424,"q":"Gặp biển báo này người lái xe phải xử lý thế nào?","img":"q424.jpg","opts":{"A":" Đi chậm, quan sát và dừng lại nếu gặp gia súc trên đường.","B":"Bấm còi to để gia súc tránh đường và nhanh chóng di chuyển qua đoạn đường có gia súc."},"answer":"A"},</v>
      </c>
    </row>
    <row r="1750" spans="1:17" hidden="1" x14ac:dyDescent="0.25">
      <c r="A1750">
        <v>1</v>
      </c>
      <c r="B1750" t="s">
        <v>1266</v>
      </c>
      <c r="C1750">
        <f>IFERROR(COUNTIFS($A$1:A1750,"Câu "&amp;"*")-MID(A1750,5,FIND(".",A1750,1)-5),0)</f>
        <v>0</v>
      </c>
      <c r="D1750" t="str">
        <f t="shared" si="98"/>
        <v/>
      </c>
      <c r="E1750" t="str">
        <f>SUBSTITUTE(IF(LEFT(A1750,3)="Câu",MID(A1750,FIND(".",A1750,1)+2,LEN(A1750)),""),CHAR(34),CHAR(92)&amp;CHAR(34))</f>
        <v/>
      </c>
      <c r="F1750" t="str">
        <f t="shared" si="97"/>
        <v/>
      </c>
      <c r="G1750" t="str">
        <f>SUBSTITUTE(B1751,CHAR(34),CHAR(92)&amp;CHAR(34))</f>
        <v>Bấm còi to để gia súc tránh đường và nhanh chóng di chuyển qua đoạn đường có gia súc.</v>
      </c>
      <c r="H1750" t="str">
        <f>SUBSTITUTE(B1752,CHAR(34),CHAR(92)&amp;CHAR(34))</f>
        <v/>
      </c>
      <c r="I1750" t="str">
        <f>SUBSTITUTE(IF(LEFT(A1753,3)="Câu","",B1753),CHAR(34),CHAR(92)&amp;CHAR(34))</f>
        <v>Báo hiệu khu vực nguy hiểm thường xuyên có sét đánh.</v>
      </c>
      <c r="J1750" t="str">
        <f>SUBSTITUTE(IF(OR(LEFT(A1754,3)="Câu",I1750=""),"",IF(B1754=0,"",B1754)),CHAR(34),CHAR(92)&amp;CHAR(34))</f>
        <v xml:space="preserve"> Báo hiệu khu vực có đường dây điện cắt ngang phía trên tuyến đường.</v>
      </c>
      <c r="K1750" t="str">
        <f>SUBSTITUTE(SUBSTITUTE(SUBSTITUTE(SUBSTITUTE(IFERROR(VLOOKUP("Câu "&amp;D1750&amp;".",dapan!$E:$J,6,0),""),"1","A"),"2","B"),"3","C"),"4","D")</f>
        <v/>
      </c>
      <c r="P1750" t="str">
        <f t="shared" si="99"/>
        <v/>
      </c>
      <c r="Q1750" t="str">
        <f t="shared" si="100"/>
        <v/>
      </c>
    </row>
    <row r="1751" spans="1:17" hidden="1" x14ac:dyDescent="0.25">
      <c r="A1751">
        <v>2</v>
      </c>
      <c r="B1751" t="s">
        <v>1267</v>
      </c>
      <c r="C1751">
        <f>IFERROR(COUNTIFS($A$1:A1751,"Câu "&amp;"*")-MID(A1751,5,FIND(".",A1751,1)-5),0)</f>
        <v>0</v>
      </c>
      <c r="D1751" t="str">
        <f t="shared" si="98"/>
        <v/>
      </c>
      <c r="E1751" t="str">
        <f>SUBSTITUTE(IF(LEFT(A1751,3)="Câu",MID(A1751,FIND(".",A1751,1)+2,LEN(A1751)),""),CHAR(34),CHAR(92)&amp;CHAR(34))</f>
        <v/>
      </c>
      <c r="F1751" t="str">
        <f t="shared" ref="F1751:F1814" si="101">IF(D1751="","","q"&amp;TEXT(D1751,"000")&amp;".jpg")</f>
        <v/>
      </c>
      <c r="G1751" t="str">
        <f>SUBSTITUTE(B1752,CHAR(34),CHAR(92)&amp;CHAR(34))</f>
        <v/>
      </c>
      <c r="H1751" t="str">
        <f>SUBSTITUTE(B1753,CHAR(34),CHAR(92)&amp;CHAR(34))</f>
        <v>Báo hiệu khu vực nguy hiểm thường xuyên có sét đánh.</v>
      </c>
      <c r="I1751" t="str">
        <f>SUBSTITUTE(IF(LEFT(A1754,3)="Câu","",B1754),CHAR(34),CHAR(92)&amp;CHAR(34))</f>
        <v xml:space="preserve"> Báo hiệu khu vực có đường dây điện cắt ngang phía trên tuyến đường.</v>
      </c>
      <c r="J1751" t="str">
        <f>SUBSTITUTE(IF(OR(LEFT(A1755,3)="Câu",I1751=""),"",IF(B1755=0,"",B1755)),CHAR(34),CHAR(92)&amp;CHAR(34))</f>
        <v/>
      </c>
      <c r="K1751" t="str">
        <f>SUBSTITUTE(SUBSTITUTE(SUBSTITUTE(SUBSTITUTE(IFERROR(VLOOKUP("Câu "&amp;D1751&amp;".",dapan!$E:$J,6,0),""),"1","A"),"2","B"),"3","C"),"4","D")</f>
        <v/>
      </c>
      <c r="P1751" t="str">
        <f t="shared" si="99"/>
        <v/>
      </c>
      <c r="Q1751" t="str">
        <f t="shared" si="100"/>
        <v/>
      </c>
    </row>
    <row r="1752" spans="1:17" x14ac:dyDescent="0.25">
      <c r="A1752" t="s">
        <v>1268</v>
      </c>
      <c r="C1752">
        <f>IFERROR(COUNTIFS($A$1:A1752,"Câu "&amp;"*")-MID(A1752,5,FIND(".",A1752,1)-5),0)</f>
        <v>0</v>
      </c>
      <c r="D1752">
        <f t="shared" si="98"/>
        <v>425</v>
      </c>
      <c r="E1752" t="str">
        <f>SUBSTITUTE(IF(LEFT(A1752,3)="Câu",MID(A1752,FIND(".",A1752,1)+2,LEN(A1752)),""),CHAR(34),CHAR(92)&amp;CHAR(34))</f>
        <v>Biển báo này có ý nghĩa như thế nào?</v>
      </c>
      <c r="F1752" t="str">
        <f t="shared" si="101"/>
        <v>q425.jpg</v>
      </c>
      <c r="G1752" t="str">
        <f>SUBSTITUTE(B1753,CHAR(34),CHAR(92)&amp;CHAR(34))</f>
        <v>Báo hiệu khu vực nguy hiểm thường xuyên có sét đánh.</v>
      </c>
      <c r="H1752" t="str">
        <f>SUBSTITUTE(B1754,CHAR(34),CHAR(92)&amp;CHAR(34))</f>
        <v xml:space="preserve"> Báo hiệu khu vực có đường dây điện cắt ngang phía trên tuyến đường.</v>
      </c>
      <c r="I1752" t="str">
        <f>SUBSTITUTE(IF(LEFT(A1755,3)="Câu","",B1755),CHAR(34),CHAR(92)&amp;CHAR(34))</f>
        <v/>
      </c>
      <c r="J1752" t="str">
        <f>SUBSTITUTE(IF(OR(LEFT(A1756,3)="Câu",I1752=""),"",IF(B1756=0,"",B1756)),CHAR(34),CHAR(92)&amp;CHAR(34))</f>
        <v/>
      </c>
      <c r="K1752" t="str">
        <f ca="1">SUBSTITUTE(SUBSTITUTE(SUBSTITUTE(SUBSTITUTE(IFERROR(VLOOKUP("Câu "&amp;D1752&amp;".",dapan!$E:$J,6,0),""),"1","A"),"2","B"),"3","C"),"4","D")</f>
        <v>B</v>
      </c>
      <c r="P1752">
        <f t="shared" si="99"/>
        <v>425</v>
      </c>
      <c r="Q1752" t="str">
        <f t="shared" ca="1" si="100"/>
        <v>{"num":425,"id":425,"q":"Biển báo này có ý nghĩa như thế nào?","img":"q425.jpg","opts":{"A":"Báo hiệu khu vực nguy hiểm thường xuyên có sét đánh.","B":" Báo hiệu khu vực có đường dây điện cắt ngang phía trên tuyến đường."},"answer":"B"},</v>
      </c>
    </row>
    <row r="1753" spans="1:17" hidden="1" x14ac:dyDescent="0.25">
      <c r="A1753">
        <v>1</v>
      </c>
      <c r="B1753" t="s">
        <v>1269</v>
      </c>
      <c r="C1753">
        <f>IFERROR(COUNTIFS($A$1:A1753,"Câu "&amp;"*")-MID(A1753,5,FIND(".",A1753,1)-5),0)</f>
        <v>0</v>
      </c>
      <c r="D1753" t="str">
        <f t="shared" ref="D1753:D1816" si="102">IF(LEFT(A1753,3)="Câu",VALUE(MID(A1753,5,FIND(".",A1753,1)-5)),"")</f>
        <v/>
      </c>
      <c r="E1753" t="str">
        <f>SUBSTITUTE(IF(LEFT(A1753,3)="Câu",MID(A1753,FIND(".",A1753,1)+2,LEN(A1753)),""),CHAR(34),CHAR(92)&amp;CHAR(34))</f>
        <v/>
      </c>
      <c r="F1753" t="str">
        <f t="shared" si="101"/>
        <v/>
      </c>
      <c r="G1753" t="str">
        <f>SUBSTITUTE(B1754,CHAR(34),CHAR(92)&amp;CHAR(34))</f>
        <v xml:space="preserve"> Báo hiệu khu vực có đường dây điện cắt ngang phía trên tuyến đường.</v>
      </c>
      <c r="H1753" t="str">
        <f>SUBSTITUTE(B1755,CHAR(34),CHAR(92)&amp;CHAR(34))</f>
        <v/>
      </c>
      <c r="I1753" t="str">
        <f>SUBSTITUTE(IF(LEFT(A1756,3)="Câu","",B1756),CHAR(34),CHAR(92)&amp;CHAR(34))</f>
        <v>Biển 1.</v>
      </c>
      <c r="J1753" t="str">
        <f>SUBSTITUTE(IF(OR(LEFT(A1757,3)="Câu",I1753=""),"",IF(B1757=0,"",B1757)),CHAR(34),CHAR(92)&amp;CHAR(34))</f>
        <v xml:space="preserve"> Biển 2.</v>
      </c>
      <c r="K1753" t="str">
        <f>SUBSTITUTE(SUBSTITUTE(SUBSTITUTE(SUBSTITUTE(IFERROR(VLOOKUP("Câu "&amp;D1753&amp;".",dapan!$E:$J,6,0),""),"1","A"),"2","B"),"3","C"),"4","D")</f>
        <v/>
      </c>
      <c r="P1753" t="str">
        <f t="shared" si="99"/>
        <v/>
      </c>
      <c r="Q1753" t="str">
        <f t="shared" si="100"/>
        <v/>
      </c>
    </row>
    <row r="1754" spans="1:17" hidden="1" x14ac:dyDescent="0.25">
      <c r="A1754">
        <v>2</v>
      </c>
      <c r="B1754" t="s">
        <v>1270</v>
      </c>
      <c r="C1754">
        <f>IFERROR(COUNTIFS($A$1:A1754,"Câu "&amp;"*")-MID(A1754,5,FIND(".",A1754,1)-5),0)</f>
        <v>0</v>
      </c>
      <c r="D1754" t="str">
        <f t="shared" si="102"/>
        <v/>
      </c>
      <c r="E1754" t="str">
        <f>SUBSTITUTE(IF(LEFT(A1754,3)="Câu",MID(A1754,FIND(".",A1754,1)+2,LEN(A1754)),""),CHAR(34),CHAR(92)&amp;CHAR(34))</f>
        <v/>
      </c>
      <c r="F1754" t="str">
        <f t="shared" si="101"/>
        <v/>
      </c>
      <c r="G1754" t="str">
        <f>SUBSTITUTE(B1755,CHAR(34),CHAR(92)&amp;CHAR(34))</f>
        <v/>
      </c>
      <c r="H1754" t="str">
        <f>SUBSTITUTE(B1756,CHAR(34),CHAR(92)&amp;CHAR(34))</f>
        <v>Biển 1.</v>
      </c>
      <c r="I1754" t="str">
        <f>SUBSTITUTE(IF(LEFT(A1757,3)="Câu","",B1757),CHAR(34),CHAR(92)&amp;CHAR(34))</f>
        <v xml:space="preserve"> Biển 2.</v>
      </c>
      <c r="J1754" t="str">
        <f>SUBSTITUTE(IF(OR(LEFT(A1758,3)="Câu",I1754=""),"",IF(B1758=0,"",B1758)),CHAR(34),CHAR(92)&amp;CHAR(34))</f>
        <v>Cả hai biển.</v>
      </c>
      <c r="K1754" t="str">
        <f>SUBSTITUTE(SUBSTITUTE(SUBSTITUTE(SUBSTITUTE(IFERROR(VLOOKUP("Câu "&amp;D1754&amp;".",dapan!$E:$J,6,0),""),"1","A"),"2","B"),"3","C"),"4","D")</f>
        <v/>
      </c>
      <c r="P1754" t="str">
        <f t="shared" si="99"/>
        <v/>
      </c>
      <c r="Q1754" t="str">
        <f t="shared" si="100"/>
        <v/>
      </c>
    </row>
    <row r="1755" spans="1:17" x14ac:dyDescent="0.25">
      <c r="A1755" t="s">
        <v>1271</v>
      </c>
      <c r="C1755">
        <f>IFERROR(COUNTIFS($A$1:A1755,"Câu "&amp;"*")-MID(A1755,5,FIND(".",A1755,1)-5),0)</f>
        <v>0</v>
      </c>
      <c r="D1755">
        <f t="shared" si="102"/>
        <v>426</v>
      </c>
      <c r="E1755" t="str">
        <f>SUBSTITUTE(IF(LEFT(A1755,3)="Câu",MID(A1755,FIND(".",A1755,1)+2,LEN(A1755)),""),CHAR(34),CHAR(92)&amp;CHAR(34))</f>
        <v>Biển nào báo hiệu các phương tiện phải đi đúng làn đường quy định và tuân thủ tốc độ tối đa cho phép?</v>
      </c>
      <c r="F1755" t="str">
        <f t="shared" si="101"/>
        <v>q426.jpg</v>
      </c>
      <c r="G1755" t="str">
        <f>SUBSTITUTE(B1756,CHAR(34),CHAR(92)&amp;CHAR(34))</f>
        <v>Biển 1.</v>
      </c>
      <c r="H1755" t="str">
        <f>SUBSTITUTE(B1757,CHAR(34),CHAR(92)&amp;CHAR(34))</f>
        <v xml:space="preserve"> Biển 2.</v>
      </c>
      <c r="I1755" t="str">
        <f>SUBSTITUTE(IF(LEFT(A1758,3)="Câu","",B1758),CHAR(34),CHAR(92)&amp;CHAR(34))</f>
        <v>Cả hai biển.</v>
      </c>
      <c r="J1755" t="str">
        <f>SUBSTITUTE(IF(OR(LEFT(A1759,3)="Câu",I1755=""),"",IF(B1759=0,"",B1759)),CHAR(34),CHAR(92)&amp;CHAR(34))</f>
        <v/>
      </c>
      <c r="K1755" t="str">
        <f ca="1">SUBSTITUTE(SUBSTITUTE(SUBSTITUTE(SUBSTITUTE(IFERROR(VLOOKUP("Câu "&amp;D1755&amp;".",dapan!$E:$J,6,0),""),"1","A"),"2","B"),"3","C"),"4","D")</f>
        <v>B</v>
      </c>
      <c r="P1755">
        <f t="shared" si="99"/>
        <v>426</v>
      </c>
      <c r="Q1755" t="str">
        <f t="shared" ca="1" si="100"/>
        <v>{"num":426,"id":426,"q":"Biển nào báo hiệu các phương tiện phải đi đúng làn đường quy định và tuân thủ tốc độ tối đa cho phép?","img":"q426.jpg","opts":{"A":"Biển 1.","B":" Biển 2.","C":"Cả hai biển."},"answer":"B"},</v>
      </c>
    </row>
    <row r="1756" spans="1:17" hidden="1" x14ac:dyDescent="0.25">
      <c r="A1756">
        <v>1</v>
      </c>
      <c r="B1756" t="s">
        <v>1075</v>
      </c>
      <c r="C1756">
        <f>IFERROR(COUNTIFS($A$1:A1756,"Câu "&amp;"*")-MID(A1756,5,FIND(".",A1756,1)-5),0)</f>
        <v>0</v>
      </c>
      <c r="D1756" t="str">
        <f t="shared" si="102"/>
        <v/>
      </c>
      <c r="E1756" t="str">
        <f>SUBSTITUTE(IF(LEFT(A1756,3)="Câu",MID(A1756,FIND(".",A1756,1)+2,LEN(A1756)),""),CHAR(34),CHAR(92)&amp;CHAR(34))</f>
        <v/>
      </c>
      <c r="F1756" t="str">
        <f t="shared" si="101"/>
        <v/>
      </c>
      <c r="G1756" t="str">
        <f>SUBSTITUTE(B1757,CHAR(34),CHAR(92)&amp;CHAR(34))</f>
        <v xml:space="preserve"> Biển 2.</v>
      </c>
      <c r="H1756" t="str">
        <f>SUBSTITUTE(B1758,CHAR(34),CHAR(92)&amp;CHAR(34))</f>
        <v>Cả hai biển.</v>
      </c>
      <c r="I1756" t="str">
        <f>SUBSTITUTE(IF(LEFT(A1759,3)="Câu","",B1759),CHAR(34),CHAR(92)&amp;CHAR(34))</f>
        <v/>
      </c>
      <c r="J1756" t="str">
        <f>SUBSTITUTE(IF(OR(LEFT(A1760,3)="Câu",I1756=""),"",IF(B1760=0,"",B1760)),CHAR(34),CHAR(92)&amp;CHAR(34))</f>
        <v/>
      </c>
      <c r="K1756" t="str">
        <f>SUBSTITUTE(SUBSTITUTE(SUBSTITUTE(SUBSTITUTE(IFERROR(VLOOKUP("Câu "&amp;D1756&amp;".",dapan!$E:$J,6,0),""),"1","A"),"2","B"),"3","C"),"4","D")</f>
        <v/>
      </c>
      <c r="P1756" t="str">
        <f t="shared" si="99"/>
        <v/>
      </c>
      <c r="Q1756" t="str">
        <f t="shared" si="100"/>
        <v/>
      </c>
    </row>
    <row r="1757" spans="1:17" hidden="1" x14ac:dyDescent="0.25">
      <c r="A1757">
        <v>2</v>
      </c>
      <c r="B1757" t="s">
        <v>1090</v>
      </c>
      <c r="C1757">
        <f>IFERROR(COUNTIFS($A$1:A1757,"Câu "&amp;"*")-MID(A1757,5,FIND(".",A1757,1)-5),0)</f>
        <v>0</v>
      </c>
      <c r="D1757" t="str">
        <f t="shared" si="102"/>
        <v/>
      </c>
      <c r="E1757" t="str">
        <f>SUBSTITUTE(IF(LEFT(A1757,3)="Câu",MID(A1757,FIND(".",A1757,1)+2,LEN(A1757)),""),CHAR(34),CHAR(92)&amp;CHAR(34))</f>
        <v/>
      </c>
      <c r="F1757" t="str">
        <f t="shared" si="101"/>
        <v/>
      </c>
      <c r="G1757" t="str">
        <f>SUBSTITUTE(B1758,CHAR(34),CHAR(92)&amp;CHAR(34))</f>
        <v>Cả hai biển.</v>
      </c>
      <c r="H1757" t="str">
        <f>SUBSTITUTE(B1759,CHAR(34),CHAR(92)&amp;CHAR(34))</f>
        <v/>
      </c>
      <c r="I1757" t="str">
        <f>SUBSTITUTE(IF(LEFT(A1760,3)="Câu","",B1760),CHAR(34),CHAR(92)&amp;CHAR(34))</f>
        <v>Biển 1.</v>
      </c>
      <c r="J1757" t="str">
        <f>SUBSTITUTE(IF(OR(LEFT(A1761,3)="Câu",I1757=""),"",IF(B1761=0,"",B1761)),CHAR(34),CHAR(92)&amp;CHAR(34))</f>
        <v>Biển 2.</v>
      </c>
      <c r="K1757" t="str">
        <f>SUBSTITUTE(SUBSTITUTE(SUBSTITUTE(SUBSTITUTE(IFERROR(VLOOKUP("Câu "&amp;D1757&amp;".",dapan!$E:$J,6,0),""),"1","A"),"2","B"),"3","C"),"4","D")</f>
        <v/>
      </c>
      <c r="P1757" t="str">
        <f t="shared" si="99"/>
        <v/>
      </c>
      <c r="Q1757" t="str">
        <f t="shared" si="100"/>
        <v/>
      </c>
    </row>
    <row r="1758" spans="1:17" hidden="1" x14ac:dyDescent="0.25">
      <c r="A1758">
        <v>3</v>
      </c>
      <c r="B1758" t="s">
        <v>1095</v>
      </c>
      <c r="C1758">
        <f>IFERROR(COUNTIFS($A$1:A1758,"Câu "&amp;"*")-MID(A1758,5,FIND(".",A1758,1)-5),0)</f>
        <v>0</v>
      </c>
      <c r="D1758" t="str">
        <f t="shared" si="102"/>
        <v/>
      </c>
      <c r="E1758" t="str">
        <f>SUBSTITUTE(IF(LEFT(A1758,3)="Câu",MID(A1758,FIND(".",A1758,1)+2,LEN(A1758)),""),CHAR(34),CHAR(92)&amp;CHAR(34))</f>
        <v/>
      </c>
      <c r="F1758" t="str">
        <f t="shared" si="101"/>
        <v/>
      </c>
      <c r="G1758" t="str">
        <f>SUBSTITUTE(B1759,CHAR(34),CHAR(92)&amp;CHAR(34))</f>
        <v/>
      </c>
      <c r="H1758" t="str">
        <f>SUBSTITUTE(B1760,CHAR(34),CHAR(92)&amp;CHAR(34))</f>
        <v>Biển 1.</v>
      </c>
      <c r="I1758" t="str">
        <f>SUBSTITUTE(IF(LEFT(A1761,3)="Câu","",B1761),CHAR(34),CHAR(92)&amp;CHAR(34))</f>
        <v>Biển 2.</v>
      </c>
      <c r="J1758" t="str">
        <f>SUBSTITUTE(IF(OR(LEFT(A1762,3)="Câu",I1758=""),"",IF(B1762=0,"",B1762)),CHAR(34),CHAR(92)&amp;CHAR(34))</f>
        <v xml:space="preserve"> Cả hai biển.</v>
      </c>
      <c r="K1758" t="str">
        <f>SUBSTITUTE(SUBSTITUTE(SUBSTITUTE(SUBSTITUTE(IFERROR(VLOOKUP("Câu "&amp;D1758&amp;".",dapan!$E:$J,6,0),""),"1","A"),"2","B"),"3","C"),"4","D")</f>
        <v/>
      </c>
      <c r="P1758" t="str">
        <f t="shared" si="99"/>
        <v/>
      </c>
      <c r="Q1758" t="str">
        <f t="shared" si="100"/>
        <v/>
      </c>
    </row>
    <row r="1759" spans="1:17" x14ac:dyDescent="0.25">
      <c r="A1759" t="s">
        <v>1272</v>
      </c>
      <c r="C1759">
        <f>IFERROR(COUNTIFS($A$1:A1759,"Câu "&amp;"*")-MID(A1759,5,FIND(".",A1759,1)-5),0)</f>
        <v>0</v>
      </c>
      <c r="D1759">
        <f t="shared" si="102"/>
        <v>427</v>
      </c>
      <c r="E1759" t="str">
        <f>SUBSTITUTE(IF(LEFT(A1759,3)="Câu",MID(A1759,FIND(".",A1759,1)+2,LEN(A1759)),""),CHAR(34),CHAR(92)&amp;CHAR(34))</f>
        <v>Biển nào báo hiệu các phương tiện phải tuân thủ tốc độ tối đa cho phép trên từng làn đường?</v>
      </c>
      <c r="F1759" t="str">
        <f t="shared" si="101"/>
        <v>q427.jpg</v>
      </c>
      <c r="G1759" t="str">
        <f>SUBSTITUTE(B1760,CHAR(34),CHAR(92)&amp;CHAR(34))</f>
        <v>Biển 1.</v>
      </c>
      <c r="H1759" t="str">
        <f>SUBSTITUTE(B1761,CHAR(34),CHAR(92)&amp;CHAR(34))</f>
        <v>Biển 2.</v>
      </c>
      <c r="I1759" t="str">
        <f>SUBSTITUTE(IF(LEFT(A1762,3)="Câu","",B1762),CHAR(34),CHAR(92)&amp;CHAR(34))</f>
        <v xml:space="preserve"> Cả hai biển.</v>
      </c>
      <c r="J1759" t="str">
        <f>SUBSTITUTE(IF(OR(LEFT(A1763,3)="Câu",I1759=""),"",IF(B1763=0,"",B1763)),CHAR(34),CHAR(92)&amp;CHAR(34))</f>
        <v/>
      </c>
      <c r="K1759" t="str">
        <f ca="1">SUBSTITUTE(SUBSTITUTE(SUBSTITUTE(SUBSTITUTE(IFERROR(VLOOKUP("Câu "&amp;D1759&amp;".",dapan!$E:$J,6,0),""),"1","A"),"2","B"),"3","C"),"4","D")</f>
        <v>C</v>
      </c>
      <c r="P1759">
        <f t="shared" si="99"/>
        <v>427</v>
      </c>
      <c r="Q1759" t="str">
        <f t="shared" ca="1" si="100"/>
        <v>{"num":427,"id":427,"q":"Biển nào báo hiệu các phương tiện phải tuân thủ tốc độ tối đa cho phép trên từng làn đường?","img":"q427.jpg","opts":{"A":"Biển 1.","B":"Biển 2.","C":" Cả hai biển."},"answer":"C"},</v>
      </c>
    </row>
    <row r="1760" spans="1:17" hidden="1" x14ac:dyDescent="0.25">
      <c r="A1760">
        <v>1</v>
      </c>
      <c r="B1760" t="s">
        <v>1075</v>
      </c>
      <c r="C1760">
        <f>IFERROR(COUNTIFS($A$1:A1760,"Câu "&amp;"*")-MID(A1760,5,FIND(".",A1760,1)-5),0)</f>
        <v>0</v>
      </c>
      <c r="D1760" t="str">
        <f t="shared" si="102"/>
        <v/>
      </c>
      <c r="E1760" t="str">
        <f>SUBSTITUTE(IF(LEFT(A1760,3)="Câu",MID(A1760,FIND(".",A1760,1)+2,LEN(A1760)),""),CHAR(34),CHAR(92)&amp;CHAR(34))</f>
        <v/>
      </c>
      <c r="F1760" t="str">
        <f t="shared" si="101"/>
        <v/>
      </c>
      <c r="G1760" t="str">
        <f>SUBSTITUTE(B1761,CHAR(34),CHAR(92)&amp;CHAR(34))</f>
        <v>Biển 2.</v>
      </c>
      <c r="H1760" t="str">
        <f>SUBSTITUTE(B1762,CHAR(34),CHAR(92)&amp;CHAR(34))</f>
        <v xml:space="preserve"> Cả hai biển.</v>
      </c>
      <c r="I1760" t="str">
        <f>SUBSTITUTE(IF(LEFT(A1763,3)="Câu","",B1763),CHAR(34),CHAR(92)&amp;CHAR(34))</f>
        <v/>
      </c>
      <c r="J1760" t="str">
        <f>SUBSTITUTE(IF(OR(LEFT(A1764,3)="Câu",I1760=""),"",IF(B1764=0,"",B1764)),CHAR(34),CHAR(92)&amp;CHAR(34))</f>
        <v/>
      </c>
      <c r="K1760" t="str">
        <f>SUBSTITUTE(SUBSTITUTE(SUBSTITUTE(SUBSTITUTE(IFERROR(VLOOKUP("Câu "&amp;D1760&amp;".",dapan!$E:$J,6,0),""),"1","A"),"2","B"),"3","C"),"4","D")</f>
        <v/>
      </c>
      <c r="P1760" t="str">
        <f t="shared" si="99"/>
        <v/>
      </c>
      <c r="Q1760" t="str">
        <f t="shared" si="100"/>
        <v/>
      </c>
    </row>
    <row r="1761" spans="1:17" hidden="1" x14ac:dyDescent="0.25">
      <c r="A1761">
        <v>2</v>
      </c>
      <c r="B1761" t="s">
        <v>1068</v>
      </c>
      <c r="C1761">
        <f>IFERROR(COUNTIFS($A$1:A1761,"Câu "&amp;"*")-MID(A1761,5,FIND(".",A1761,1)-5),0)</f>
        <v>0</v>
      </c>
      <c r="D1761" t="str">
        <f t="shared" si="102"/>
        <v/>
      </c>
      <c r="E1761" t="str">
        <f>SUBSTITUTE(IF(LEFT(A1761,3)="Câu",MID(A1761,FIND(".",A1761,1)+2,LEN(A1761)),""),CHAR(34),CHAR(92)&amp;CHAR(34))</f>
        <v/>
      </c>
      <c r="F1761" t="str">
        <f t="shared" si="101"/>
        <v/>
      </c>
      <c r="G1761" t="str">
        <f>SUBSTITUTE(B1762,CHAR(34),CHAR(92)&amp;CHAR(34))</f>
        <v xml:space="preserve"> Cả hai biển.</v>
      </c>
      <c r="H1761" t="str">
        <f>SUBSTITUTE(B1763,CHAR(34),CHAR(92)&amp;CHAR(34))</f>
        <v/>
      </c>
      <c r="I1761" t="str">
        <f>SUBSTITUTE(IF(LEFT(A1764,3)="Câu","",B1764),CHAR(34),CHAR(92)&amp;CHAR(34))</f>
        <v xml:space="preserve"> Biển 1.</v>
      </c>
      <c r="J1761" t="str">
        <f>SUBSTITUTE(IF(OR(LEFT(A1765,3)="Câu",I1761=""),"",IF(B1765=0,"",B1765)),CHAR(34),CHAR(92)&amp;CHAR(34))</f>
        <v>Biển 2.</v>
      </c>
      <c r="K1761" t="str">
        <f>SUBSTITUTE(SUBSTITUTE(SUBSTITUTE(SUBSTITUTE(IFERROR(VLOOKUP("Câu "&amp;D1761&amp;".",dapan!$E:$J,6,0),""),"1","A"),"2","B"),"3","C"),"4","D")</f>
        <v/>
      </c>
      <c r="P1761" t="str">
        <f t="shared" si="99"/>
        <v/>
      </c>
      <c r="Q1761" t="str">
        <f t="shared" si="100"/>
        <v/>
      </c>
    </row>
    <row r="1762" spans="1:17" hidden="1" x14ac:dyDescent="0.25">
      <c r="A1762">
        <v>3</v>
      </c>
      <c r="B1762" t="s">
        <v>1081</v>
      </c>
      <c r="C1762">
        <f>IFERROR(COUNTIFS($A$1:A1762,"Câu "&amp;"*")-MID(A1762,5,FIND(".",A1762,1)-5),0)</f>
        <v>0</v>
      </c>
      <c r="D1762" t="str">
        <f t="shared" si="102"/>
        <v/>
      </c>
      <c r="E1762" t="str">
        <f>SUBSTITUTE(IF(LEFT(A1762,3)="Câu",MID(A1762,FIND(".",A1762,1)+2,LEN(A1762)),""),CHAR(34),CHAR(92)&amp;CHAR(34))</f>
        <v/>
      </c>
      <c r="F1762" t="str">
        <f t="shared" si="101"/>
        <v/>
      </c>
      <c r="G1762" t="str">
        <f>SUBSTITUTE(B1763,CHAR(34),CHAR(92)&amp;CHAR(34))</f>
        <v/>
      </c>
      <c r="H1762" t="str">
        <f>SUBSTITUTE(B1764,CHAR(34),CHAR(92)&amp;CHAR(34))</f>
        <v xml:space="preserve"> Biển 1.</v>
      </c>
      <c r="I1762" t="str">
        <f>SUBSTITUTE(IF(LEFT(A1765,3)="Câu","",B1765),CHAR(34),CHAR(92)&amp;CHAR(34))</f>
        <v>Biển 2.</v>
      </c>
      <c r="J1762" t="str">
        <f>SUBSTITUTE(IF(OR(LEFT(A1766,3)="Câu",I1762=""),"",IF(B1766=0,"",B1766)),CHAR(34),CHAR(92)&amp;CHAR(34))</f>
        <v/>
      </c>
      <c r="K1762" t="str">
        <f>SUBSTITUTE(SUBSTITUTE(SUBSTITUTE(SUBSTITUTE(IFERROR(VLOOKUP("Câu "&amp;D1762&amp;".",dapan!$E:$J,6,0),""),"1","A"),"2","B"),"3","C"),"4","D")</f>
        <v/>
      </c>
      <c r="P1762" t="str">
        <f t="shared" si="99"/>
        <v/>
      </c>
      <c r="Q1762" t="str">
        <f t="shared" si="100"/>
        <v/>
      </c>
    </row>
    <row r="1763" spans="1:17" x14ac:dyDescent="0.25">
      <c r="A1763" t="s">
        <v>1273</v>
      </c>
      <c r="C1763">
        <f>IFERROR(COUNTIFS($A$1:A1763,"Câu "&amp;"*")-MID(A1763,5,FIND(".",A1763,1)-5),0)</f>
        <v>0</v>
      </c>
      <c r="D1763">
        <f t="shared" si="102"/>
        <v>428</v>
      </c>
      <c r="E1763" t="str">
        <f>SUBSTITUTE(IF(LEFT(A1763,3)="Câu",MID(A1763,FIND(".",A1763,1)+2,LEN(A1763)),""),CHAR(34),CHAR(92)&amp;CHAR(34))</f>
        <v>Biển nào báo hiệu \"Đường dành cho xe ô tô\"?</v>
      </c>
      <c r="F1763" t="str">
        <f t="shared" si="101"/>
        <v>q428.jpg</v>
      </c>
      <c r="G1763" t="str">
        <f>SUBSTITUTE(B1764,CHAR(34),CHAR(92)&amp;CHAR(34))</f>
        <v xml:space="preserve"> Biển 1.</v>
      </c>
      <c r="H1763" t="str">
        <f>SUBSTITUTE(B1765,CHAR(34),CHAR(92)&amp;CHAR(34))</f>
        <v>Biển 2.</v>
      </c>
      <c r="I1763" t="str">
        <f>SUBSTITUTE(IF(LEFT(A1766,3)="Câu","",B1766),CHAR(34),CHAR(92)&amp;CHAR(34))</f>
        <v/>
      </c>
      <c r="J1763" t="str">
        <f>SUBSTITUTE(IF(OR(LEFT(A1767,3)="Câu",I1763=""),"",IF(B1767=0,"",B1767)),CHAR(34),CHAR(92)&amp;CHAR(34))</f>
        <v/>
      </c>
      <c r="K1763" t="str">
        <f ca="1">SUBSTITUTE(SUBSTITUTE(SUBSTITUTE(SUBSTITUTE(IFERROR(VLOOKUP("Câu "&amp;D1763&amp;".",dapan!$E:$J,6,0),""),"1","A"),"2","B"),"3","C"),"4","D")</f>
        <v>A</v>
      </c>
      <c r="P1763">
        <f t="shared" si="99"/>
        <v>428</v>
      </c>
      <c r="Q1763" t="str">
        <f t="shared" ca="1" si="100"/>
        <v>{"num":428,"id":428,"q":"Biển nào báo hiệu \"Đường dành cho xe ô tô\"?","img":"q428.jpg","opts":{"A":" Biển 1.","B":"Biển 2."},"answer":"A"},</v>
      </c>
    </row>
    <row r="1764" spans="1:17" hidden="1" x14ac:dyDescent="0.25">
      <c r="A1764">
        <v>1</v>
      </c>
      <c r="B1764" t="s">
        <v>1066</v>
      </c>
      <c r="C1764">
        <f>IFERROR(COUNTIFS($A$1:A1764,"Câu "&amp;"*")-MID(A1764,5,FIND(".",A1764,1)-5),0)</f>
        <v>0</v>
      </c>
      <c r="D1764" t="str">
        <f t="shared" si="102"/>
        <v/>
      </c>
      <c r="E1764" t="str">
        <f>SUBSTITUTE(IF(LEFT(A1764,3)="Câu",MID(A1764,FIND(".",A1764,1)+2,LEN(A1764)),""),CHAR(34),CHAR(92)&amp;CHAR(34))</f>
        <v/>
      </c>
      <c r="F1764" t="str">
        <f t="shared" si="101"/>
        <v/>
      </c>
      <c r="G1764" t="str">
        <f>SUBSTITUTE(B1765,CHAR(34),CHAR(92)&amp;CHAR(34))</f>
        <v>Biển 2.</v>
      </c>
      <c r="H1764" t="str">
        <f>SUBSTITUTE(B1766,CHAR(34),CHAR(92)&amp;CHAR(34))</f>
        <v/>
      </c>
      <c r="I1764" t="str">
        <f>SUBSTITUTE(IF(LEFT(A1767,3)="Câu","",B1767),CHAR(34),CHAR(92)&amp;CHAR(34))</f>
        <v>Biển 1.</v>
      </c>
      <c r="J1764" t="str">
        <f>SUBSTITUTE(IF(OR(LEFT(A1768,3)="Câu",I1764=""),"",IF(B1768=0,"",B1768)),CHAR(34),CHAR(92)&amp;CHAR(34))</f>
        <v xml:space="preserve"> Biển 2.</v>
      </c>
      <c r="K1764" t="str">
        <f>SUBSTITUTE(SUBSTITUTE(SUBSTITUTE(SUBSTITUTE(IFERROR(VLOOKUP("Câu "&amp;D1764&amp;".",dapan!$E:$J,6,0),""),"1","A"),"2","B"),"3","C"),"4","D")</f>
        <v/>
      </c>
      <c r="P1764" t="str">
        <f t="shared" si="99"/>
        <v/>
      </c>
      <c r="Q1764" t="str">
        <f t="shared" si="100"/>
        <v/>
      </c>
    </row>
    <row r="1765" spans="1:17" hidden="1" x14ac:dyDescent="0.25">
      <c r="A1765">
        <v>2</v>
      </c>
      <c r="B1765" t="s">
        <v>1068</v>
      </c>
      <c r="C1765">
        <f>IFERROR(COUNTIFS($A$1:A1765,"Câu "&amp;"*")-MID(A1765,5,FIND(".",A1765,1)-5),0)</f>
        <v>0</v>
      </c>
      <c r="D1765" t="str">
        <f t="shared" si="102"/>
        <v/>
      </c>
      <c r="E1765" t="str">
        <f>SUBSTITUTE(IF(LEFT(A1765,3)="Câu",MID(A1765,FIND(".",A1765,1)+2,LEN(A1765)),""),CHAR(34),CHAR(92)&amp;CHAR(34))</f>
        <v/>
      </c>
      <c r="F1765" t="str">
        <f t="shared" si="101"/>
        <v/>
      </c>
      <c r="G1765" t="str">
        <f>SUBSTITUTE(B1766,CHAR(34),CHAR(92)&amp;CHAR(34))</f>
        <v/>
      </c>
      <c r="H1765" t="str">
        <f>SUBSTITUTE(B1767,CHAR(34),CHAR(92)&amp;CHAR(34))</f>
        <v>Biển 1.</v>
      </c>
      <c r="I1765" t="str">
        <f>SUBSTITUTE(IF(LEFT(A1768,3)="Câu","",B1768),CHAR(34),CHAR(92)&amp;CHAR(34))</f>
        <v xml:space="preserve"> Biển 2.</v>
      </c>
      <c r="J1765" t="str">
        <f>SUBSTITUTE(IF(OR(LEFT(A1769,3)="Câu",I1765=""),"",IF(B1769=0,"",B1769)),CHAR(34),CHAR(92)&amp;CHAR(34))</f>
        <v/>
      </c>
      <c r="K1765" t="str">
        <f>SUBSTITUTE(SUBSTITUTE(SUBSTITUTE(SUBSTITUTE(IFERROR(VLOOKUP("Câu "&amp;D1765&amp;".",dapan!$E:$J,6,0),""),"1","A"),"2","B"),"3","C"),"4","D")</f>
        <v/>
      </c>
      <c r="P1765" t="str">
        <f t="shared" si="99"/>
        <v/>
      </c>
      <c r="Q1765" t="str">
        <f t="shared" si="100"/>
        <v/>
      </c>
    </row>
    <row r="1766" spans="1:17" x14ac:dyDescent="0.25">
      <c r="A1766" t="s">
        <v>1274</v>
      </c>
      <c r="C1766">
        <f>IFERROR(COUNTIFS($A$1:A1766,"Câu "&amp;"*")-MID(A1766,5,FIND(".",A1766,1)-5),0)</f>
        <v>0</v>
      </c>
      <c r="D1766">
        <f t="shared" si="102"/>
        <v>429</v>
      </c>
      <c r="E1766" t="str">
        <f>SUBSTITUTE(IF(LEFT(A1766,3)="Câu",MID(A1766,FIND(".",A1766,1)+2,LEN(A1766)),""),CHAR(34),CHAR(92)&amp;CHAR(34))</f>
        <v>Biển nào báo hiệu \"Hết đoạn đường dành cho xe ô tô\"?</v>
      </c>
      <c r="F1766" t="str">
        <f t="shared" si="101"/>
        <v>q429.jpg</v>
      </c>
      <c r="G1766" t="str">
        <f>SUBSTITUTE(B1767,CHAR(34),CHAR(92)&amp;CHAR(34))</f>
        <v>Biển 1.</v>
      </c>
      <c r="H1766" t="str">
        <f>SUBSTITUTE(B1768,CHAR(34),CHAR(92)&amp;CHAR(34))</f>
        <v xml:space="preserve"> Biển 2.</v>
      </c>
      <c r="I1766" t="str">
        <f>SUBSTITUTE(IF(LEFT(A1769,3)="Câu","",B1769),CHAR(34),CHAR(92)&amp;CHAR(34))</f>
        <v/>
      </c>
      <c r="J1766" t="str">
        <f>SUBSTITUTE(IF(OR(LEFT(A1770,3)="Câu",I1766=""),"",IF(B1770=0,"",B1770)),CHAR(34),CHAR(92)&amp;CHAR(34))</f>
        <v/>
      </c>
      <c r="K1766" t="str">
        <f ca="1">SUBSTITUTE(SUBSTITUTE(SUBSTITUTE(SUBSTITUTE(IFERROR(VLOOKUP("Câu "&amp;D1766&amp;".",dapan!$E:$J,6,0),""),"1","A"),"2","B"),"3","C"),"4","D")</f>
        <v>B</v>
      </c>
      <c r="P1766">
        <f t="shared" si="99"/>
        <v>429</v>
      </c>
      <c r="Q1766" t="str">
        <f t="shared" ca="1" si="100"/>
        <v>{"num":429,"id":429,"q":"Biển nào báo hiệu \"Hết đoạn đường dành cho xe ô tô\"?","img":"q429.jpg","opts":{"A":"Biển 1.","B":" Biển 2."},"answer":"B"},</v>
      </c>
    </row>
    <row r="1767" spans="1:17" hidden="1" x14ac:dyDescent="0.25">
      <c r="A1767">
        <v>1</v>
      </c>
      <c r="B1767" t="s">
        <v>1075</v>
      </c>
      <c r="C1767">
        <f>IFERROR(COUNTIFS($A$1:A1767,"Câu "&amp;"*")-MID(A1767,5,FIND(".",A1767,1)-5),0)</f>
        <v>0</v>
      </c>
      <c r="D1767" t="str">
        <f t="shared" si="102"/>
        <v/>
      </c>
      <c r="E1767" t="str">
        <f>SUBSTITUTE(IF(LEFT(A1767,3)="Câu",MID(A1767,FIND(".",A1767,1)+2,LEN(A1767)),""),CHAR(34),CHAR(92)&amp;CHAR(34))</f>
        <v/>
      </c>
      <c r="F1767" t="str">
        <f t="shared" si="101"/>
        <v/>
      </c>
      <c r="G1767" t="str">
        <f>SUBSTITUTE(B1768,CHAR(34),CHAR(92)&amp;CHAR(34))</f>
        <v xml:space="preserve"> Biển 2.</v>
      </c>
      <c r="H1767" t="str">
        <f>SUBSTITUTE(B1769,CHAR(34),CHAR(92)&amp;CHAR(34))</f>
        <v/>
      </c>
      <c r="I1767" t="str">
        <f>SUBSTITUTE(IF(LEFT(A1770,3)="Câu","",B1770),CHAR(34),CHAR(92)&amp;CHAR(34))</f>
        <v xml:space="preserve"> Biển 1.</v>
      </c>
      <c r="J1767" t="str">
        <f>SUBSTITUTE(IF(OR(LEFT(A1771,3)="Câu",I1767=""),"",IF(B1771=0,"",B1771)),CHAR(34),CHAR(92)&amp;CHAR(34))</f>
        <v>Biển 2.</v>
      </c>
      <c r="K1767" t="str">
        <f>SUBSTITUTE(SUBSTITUTE(SUBSTITUTE(SUBSTITUTE(IFERROR(VLOOKUP("Câu "&amp;D1767&amp;".",dapan!$E:$J,6,0),""),"1","A"),"2","B"),"3","C"),"4","D")</f>
        <v/>
      </c>
      <c r="P1767" t="str">
        <f t="shared" si="99"/>
        <v/>
      </c>
      <c r="Q1767" t="str">
        <f t="shared" si="100"/>
        <v/>
      </c>
    </row>
    <row r="1768" spans="1:17" hidden="1" x14ac:dyDescent="0.25">
      <c r="A1768">
        <v>2</v>
      </c>
      <c r="B1768" t="s">
        <v>1090</v>
      </c>
      <c r="C1768">
        <f>IFERROR(COUNTIFS($A$1:A1768,"Câu "&amp;"*")-MID(A1768,5,FIND(".",A1768,1)-5),0)</f>
        <v>0</v>
      </c>
      <c r="D1768" t="str">
        <f t="shared" si="102"/>
        <v/>
      </c>
      <c r="E1768" t="str">
        <f>SUBSTITUTE(IF(LEFT(A1768,3)="Câu",MID(A1768,FIND(".",A1768,1)+2,LEN(A1768)),""),CHAR(34),CHAR(92)&amp;CHAR(34))</f>
        <v/>
      </c>
      <c r="F1768" t="str">
        <f t="shared" si="101"/>
        <v/>
      </c>
      <c r="G1768" t="str">
        <f>SUBSTITUTE(B1769,CHAR(34),CHAR(92)&amp;CHAR(34))</f>
        <v/>
      </c>
      <c r="H1768" t="str">
        <f>SUBSTITUTE(B1770,CHAR(34),CHAR(92)&amp;CHAR(34))</f>
        <v xml:space="preserve"> Biển 1.</v>
      </c>
      <c r="I1768" t="str">
        <f>SUBSTITUTE(IF(LEFT(A1771,3)="Câu","",B1771),CHAR(34),CHAR(92)&amp;CHAR(34))</f>
        <v>Biển 2.</v>
      </c>
      <c r="J1768" t="str">
        <f>SUBSTITUTE(IF(OR(LEFT(A1772,3)="Câu",I1768=""),"",IF(B1772=0,"",B1772)),CHAR(34),CHAR(92)&amp;CHAR(34))</f>
        <v/>
      </c>
      <c r="K1768" t="str">
        <f>SUBSTITUTE(SUBSTITUTE(SUBSTITUTE(SUBSTITUTE(IFERROR(VLOOKUP("Câu "&amp;D1768&amp;".",dapan!$E:$J,6,0),""),"1","A"),"2","B"),"3","C"),"4","D")</f>
        <v/>
      </c>
      <c r="P1768" t="str">
        <f t="shared" si="99"/>
        <v/>
      </c>
      <c r="Q1768" t="str">
        <f t="shared" si="100"/>
        <v/>
      </c>
    </row>
    <row r="1769" spans="1:17" x14ac:dyDescent="0.25">
      <c r="A1769" t="s">
        <v>1275</v>
      </c>
      <c r="C1769">
        <f>IFERROR(COUNTIFS($A$1:A1769,"Câu "&amp;"*")-MID(A1769,5,FIND(".",A1769,1)-5),0)</f>
        <v>0</v>
      </c>
      <c r="D1769">
        <f t="shared" si="102"/>
        <v>430</v>
      </c>
      <c r="E1769" t="str">
        <f>SUBSTITUTE(IF(LEFT(A1769,3)="Câu",MID(A1769,FIND(".",A1769,1)+2,LEN(A1769)),""),CHAR(34),CHAR(92)&amp;CHAR(34))</f>
        <v>Khi gặp biển nào thì các phương tiện không được đi vào, trừ xe ô tô và xe mô tô?</v>
      </c>
      <c r="F1769" t="str">
        <f t="shared" si="101"/>
        <v>q430.jpg</v>
      </c>
      <c r="G1769" t="str">
        <f>SUBSTITUTE(B1770,CHAR(34),CHAR(92)&amp;CHAR(34))</f>
        <v xml:space="preserve"> Biển 1.</v>
      </c>
      <c r="H1769" t="str">
        <f>SUBSTITUTE(B1771,CHAR(34),CHAR(92)&amp;CHAR(34))</f>
        <v>Biển 2.</v>
      </c>
      <c r="I1769" t="str">
        <f>SUBSTITUTE(IF(LEFT(A1772,3)="Câu","",B1772),CHAR(34),CHAR(92)&amp;CHAR(34))</f>
        <v/>
      </c>
      <c r="J1769" t="str">
        <f>SUBSTITUTE(IF(OR(LEFT(A1773,3)="Câu",I1769=""),"",IF(B1773=0,"",B1773)),CHAR(34),CHAR(92)&amp;CHAR(34))</f>
        <v/>
      </c>
      <c r="K1769" t="str">
        <f ca="1">SUBSTITUTE(SUBSTITUTE(SUBSTITUTE(SUBSTITUTE(IFERROR(VLOOKUP("Câu "&amp;D1769&amp;".",dapan!$E:$J,6,0),""),"1","A"),"2","B"),"3","C"),"4","D")</f>
        <v>A</v>
      </c>
      <c r="P1769">
        <f t="shared" si="99"/>
        <v>430</v>
      </c>
      <c r="Q1769" t="str">
        <f t="shared" ca="1" si="100"/>
        <v>{"num":430,"id":430,"q":"Khi gặp biển nào thì các phương tiện không được đi vào, trừ xe ô tô và xe mô tô?","img":"q430.jpg","opts":{"A":" Biển 1.","B":"Biển 2."},"answer":"A"},</v>
      </c>
    </row>
    <row r="1770" spans="1:17" hidden="1" x14ac:dyDescent="0.25">
      <c r="A1770">
        <v>1</v>
      </c>
      <c r="B1770" t="s">
        <v>1066</v>
      </c>
      <c r="C1770">
        <f>IFERROR(COUNTIFS($A$1:A1770,"Câu "&amp;"*")-MID(A1770,5,FIND(".",A1770,1)-5),0)</f>
        <v>0</v>
      </c>
      <c r="D1770" t="str">
        <f t="shared" si="102"/>
        <v/>
      </c>
      <c r="E1770" t="str">
        <f>SUBSTITUTE(IF(LEFT(A1770,3)="Câu",MID(A1770,FIND(".",A1770,1)+2,LEN(A1770)),""),CHAR(34),CHAR(92)&amp;CHAR(34))</f>
        <v/>
      </c>
      <c r="F1770" t="str">
        <f t="shared" si="101"/>
        <v/>
      </c>
      <c r="G1770" t="str">
        <f>SUBSTITUTE(B1771,CHAR(34),CHAR(92)&amp;CHAR(34))</f>
        <v>Biển 2.</v>
      </c>
      <c r="H1770" t="str">
        <f>SUBSTITUTE(B1772,CHAR(34),CHAR(92)&amp;CHAR(34))</f>
        <v/>
      </c>
      <c r="I1770" t="str">
        <f>SUBSTITUTE(IF(LEFT(A1773,3)="Câu","",B1773),CHAR(34),CHAR(92)&amp;CHAR(34))</f>
        <v>Chỉ hướng đi phải theo.</v>
      </c>
      <c r="J1770" t="str">
        <f>SUBSTITUTE(IF(OR(LEFT(A1774,3)="Câu",I1770=""),"",IF(B1774=0,"",B1774)),CHAR(34),CHAR(92)&amp;CHAR(34))</f>
        <v xml:space="preserve"> Biển báo hiệu cho người lái xe biết số lượng làn đường trên mặt đường và hướng đi trên mỗi làn đường phải theo.</v>
      </c>
      <c r="K1770" t="str">
        <f>SUBSTITUTE(SUBSTITUTE(SUBSTITUTE(SUBSTITUTE(IFERROR(VLOOKUP("Câu "&amp;D1770&amp;".",dapan!$E:$J,6,0),""),"1","A"),"2","B"),"3","C"),"4","D")</f>
        <v/>
      </c>
      <c r="P1770" t="str">
        <f t="shared" si="99"/>
        <v/>
      </c>
      <c r="Q1770" t="str">
        <f t="shared" si="100"/>
        <v/>
      </c>
    </row>
    <row r="1771" spans="1:17" hidden="1" x14ac:dyDescent="0.25">
      <c r="A1771">
        <v>2</v>
      </c>
      <c r="B1771" t="s">
        <v>1068</v>
      </c>
      <c r="C1771">
        <f>IFERROR(COUNTIFS($A$1:A1771,"Câu "&amp;"*")-MID(A1771,5,FIND(".",A1771,1)-5),0)</f>
        <v>0</v>
      </c>
      <c r="D1771" t="str">
        <f t="shared" si="102"/>
        <v/>
      </c>
      <c r="E1771" t="str">
        <f>SUBSTITUTE(IF(LEFT(A1771,3)="Câu",MID(A1771,FIND(".",A1771,1)+2,LEN(A1771)),""),CHAR(34),CHAR(92)&amp;CHAR(34))</f>
        <v/>
      </c>
      <c r="F1771" t="str">
        <f t="shared" si="101"/>
        <v/>
      </c>
      <c r="G1771" t="str">
        <f>SUBSTITUTE(B1772,CHAR(34),CHAR(92)&amp;CHAR(34))</f>
        <v/>
      </c>
      <c r="H1771" t="str">
        <f>SUBSTITUTE(B1773,CHAR(34),CHAR(92)&amp;CHAR(34))</f>
        <v>Chỉ hướng đi phải theo.</v>
      </c>
      <c r="I1771" t="str">
        <f>SUBSTITUTE(IF(LEFT(A1774,3)="Câu","",B1774),CHAR(34),CHAR(92)&amp;CHAR(34))</f>
        <v xml:space="preserve"> Biển báo hiệu cho người lái xe biết số lượng làn đường trên mặt đường và hướng đi trên mỗi làn đường phải theo.</v>
      </c>
      <c r="J1771" t="str">
        <f>SUBSTITUTE(IF(OR(LEFT(A1775,3)="Câu",I1771=""),"",IF(B1775=0,"",B1775)),CHAR(34),CHAR(92)&amp;CHAR(34))</f>
        <v>Chỉ hướng đường phải theo.</v>
      </c>
      <c r="K1771" t="str">
        <f>SUBSTITUTE(SUBSTITUTE(SUBSTITUTE(SUBSTITUTE(IFERROR(VLOOKUP("Câu "&amp;D1771&amp;".",dapan!$E:$J,6,0),""),"1","A"),"2","B"),"3","C"),"4","D")</f>
        <v/>
      </c>
      <c r="P1771" t="str">
        <f t="shared" si="99"/>
        <v/>
      </c>
      <c r="Q1771" t="str">
        <f t="shared" si="100"/>
        <v/>
      </c>
    </row>
    <row r="1772" spans="1:17" x14ac:dyDescent="0.25">
      <c r="A1772" t="s">
        <v>1276</v>
      </c>
      <c r="C1772">
        <f>IFERROR(COUNTIFS($A$1:A1772,"Câu "&amp;"*")-MID(A1772,5,FIND(".",A1772,1)-5),0)</f>
        <v>0</v>
      </c>
      <c r="D1772">
        <f t="shared" si="102"/>
        <v>431</v>
      </c>
      <c r="E1772" t="str">
        <f>SUBSTITUTE(IF(LEFT(A1772,3)="Câu",MID(A1772,FIND(".",A1772,1)+2,LEN(A1772)),""),CHAR(34),CHAR(92)&amp;CHAR(34))</f>
        <v>Biển này có ý nghĩa như thế nào?</v>
      </c>
      <c r="F1772" t="str">
        <f t="shared" si="101"/>
        <v>q431.jpg</v>
      </c>
      <c r="G1772" t="str">
        <f>SUBSTITUTE(B1773,CHAR(34),CHAR(92)&amp;CHAR(34))</f>
        <v>Chỉ hướng đi phải theo.</v>
      </c>
      <c r="H1772" t="str">
        <f>SUBSTITUTE(B1774,CHAR(34),CHAR(92)&amp;CHAR(34))</f>
        <v xml:space="preserve"> Biển báo hiệu cho người lái xe biết số lượng làn đường trên mặt đường và hướng đi trên mỗi làn đường phải theo.</v>
      </c>
      <c r="I1772" t="str">
        <f>SUBSTITUTE(IF(LEFT(A1775,3)="Câu","",B1775),CHAR(34),CHAR(92)&amp;CHAR(34))</f>
        <v>Chỉ hướng đường phải theo.</v>
      </c>
      <c r="J1772" t="str">
        <f>SUBSTITUTE(IF(OR(LEFT(A1776,3)="Câu",I1772=""),"",IF(B1776=0,"",B1776)),CHAR(34),CHAR(92)&amp;CHAR(34))</f>
        <v/>
      </c>
      <c r="K1772" t="str">
        <f ca="1">SUBSTITUTE(SUBSTITUTE(SUBSTITUTE(SUBSTITUTE(IFERROR(VLOOKUP("Câu "&amp;D1772&amp;".",dapan!$E:$J,6,0),""),"1","A"),"2","B"),"3","C"),"4","D")</f>
        <v>B</v>
      </c>
      <c r="P1772">
        <f t="shared" si="99"/>
        <v>431</v>
      </c>
      <c r="Q1772" t="str">
        <f t="shared" ca="1" si="100"/>
        <v>{"num":431,"id":431,"q":"Biển này có ý nghĩa như thế nào?","img":"q431.jpg","opts":{"A":"Chỉ hướng đi phải theo.","B":" Biển báo hiệu cho người lái xe biết số lượng làn đường trên mặt đường và hướng đi trên mỗi làn đường phải theo.","C":"Chỉ hướng đường phải theo."},"answer":"B"},</v>
      </c>
    </row>
    <row r="1773" spans="1:17" hidden="1" x14ac:dyDescent="0.25">
      <c r="A1773">
        <v>1</v>
      </c>
      <c r="B1773" t="s">
        <v>1277</v>
      </c>
      <c r="C1773">
        <f>IFERROR(COUNTIFS($A$1:A1773,"Câu "&amp;"*")-MID(A1773,5,FIND(".",A1773,1)-5),0)</f>
        <v>0</v>
      </c>
      <c r="D1773" t="str">
        <f t="shared" si="102"/>
        <v/>
      </c>
      <c r="E1773" t="str">
        <f>SUBSTITUTE(IF(LEFT(A1773,3)="Câu",MID(A1773,FIND(".",A1773,1)+2,LEN(A1773)),""),CHAR(34),CHAR(92)&amp;CHAR(34))</f>
        <v/>
      </c>
      <c r="F1773" t="str">
        <f t="shared" si="101"/>
        <v/>
      </c>
      <c r="G1773" t="str">
        <f>SUBSTITUTE(B1774,CHAR(34),CHAR(92)&amp;CHAR(34))</f>
        <v xml:space="preserve"> Biển báo hiệu cho người lái xe biết số lượng làn đường trên mặt đường và hướng đi trên mỗi làn đường phải theo.</v>
      </c>
      <c r="H1773" t="str">
        <f>SUBSTITUTE(B1775,CHAR(34),CHAR(92)&amp;CHAR(34))</f>
        <v>Chỉ hướng đường phải theo.</v>
      </c>
      <c r="I1773" t="str">
        <f>SUBSTITUTE(IF(LEFT(A1776,3)="Câu","",B1776),CHAR(34),CHAR(92)&amp;CHAR(34))</f>
        <v/>
      </c>
      <c r="J1773" t="str">
        <f>SUBSTITUTE(IF(OR(LEFT(A1777,3)="Câu",I1773=""),"",IF(B1777=0,"",B1777)),CHAR(34),CHAR(92)&amp;CHAR(34))</f>
        <v/>
      </c>
      <c r="K1773" t="str">
        <f>SUBSTITUTE(SUBSTITUTE(SUBSTITUTE(SUBSTITUTE(IFERROR(VLOOKUP("Câu "&amp;D1773&amp;".",dapan!$E:$J,6,0),""),"1","A"),"2","B"),"3","C"),"4","D")</f>
        <v/>
      </c>
      <c r="P1773" t="str">
        <f t="shared" si="99"/>
        <v/>
      </c>
      <c r="Q1773" t="str">
        <f t="shared" si="100"/>
        <v/>
      </c>
    </row>
    <row r="1774" spans="1:17" hidden="1" x14ac:dyDescent="0.25">
      <c r="A1774">
        <v>2</v>
      </c>
      <c r="B1774" t="s">
        <v>1278</v>
      </c>
      <c r="C1774">
        <f>IFERROR(COUNTIFS($A$1:A1774,"Câu "&amp;"*")-MID(A1774,5,FIND(".",A1774,1)-5),0)</f>
        <v>0</v>
      </c>
      <c r="D1774" t="str">
        <f t="shared" si="102"/>
        <v/>
      </c>
      <c r="E1774" t="str">
        <f>SUBSTITUTE(IF(LEFT(A1774,3)="Câu",MID(A1774,FIND(".",A1774,1)+2,LEN(A1774)),""),CHAR(34),CHAR(92)&amp;CHAR(34))</f>
        <v/>
      </c>
      <c r="F1774" t="str">
        <f t="shared" si="101"/>
        <v/>
      </c>
      <c r="G1774" t="str">
        <f>SUBSTITUTE(B1775,CHAR(34),CHAR(92)&amp;CHAR(34))</f>
        <v>Chỉ hướng đường phải theo.</v>
      </c>
      <c r="H1774" t="str">
        <f>SUBSTITUTE(B1776,CHAR(34),CHAR(92)&amp;CHAR(34))</f>
        <v/>
      </c>
      <c r="I1774" t="str">
        <f>SUBSTITUTE(IF(LEFT(A1777,3)="Câu","",B1777),CHAR(34),CHAR(92)&amp;CHAR(34))</f>
        <v>Biển 1.</v>
      </c>
      <c r="J1774" t="str">
        <f>SUBSTITUTE(IF(OR(LEFT(A1778,3)="Câu",I1774=""),"",IF(B1778=0,"",B1778)),CHAR(34),CHAR(92)&amp;CHAR(34))</f>
        <v>Biển 2.</v>
      </c>
      <c r="K1774" t="str">
        <f>SUBSTITUTE(SUBSTITUTE(SUBSTITUTE(SUBSTITUTE(IFERROR(VLOOKUP("Câu "&amp;D1774&amp;".",dapan!$E:$J,6,0),""),"1","A"),"2","B"),"3","C"),"4","D")</f>
        <v/>
      </c>
      <c r="P1774" t="str">
        <f t="shared" si="99"/>
        <v/>
      </c>
      <c r="Q1774" t="str">
        <f t="shared" si="100"/>
        <v/>
      </c>
    </row>
    <row r="1775" spans="1:17" hidden="1" x14ac:dyDescent="0.25">
      <c r="A1775">
        <v>3</v>
      </c>
      <c r="B1775" t="s">
        <v>1279</v>
      </c>
      <c r="C1775">
        <f>IFERROR(COUNTIFS($A$1:A1775,"Câu "&amp;"*")-MID(A1775,5,FIND(".",A1775,1)-5),0)</f>
        <v>0</v>
      </c>
      <c r="D1775" t="str">
        <f t="shared" si="102"/>
        <v/>
      </c>
      <c r="E1775" t="str">
        <f>SUBSTITUTE(IF(LEFT(A1775,3)="Câu",MID(A1775,FIND(".",A1775,1)+2,LEN(A1775)),""),CHAR(34),CHAR(92)&amp;CHAR(34))</f>
        <v/>
      </c>
      <c r="F1775" t="str">
        <f t="shared" si="101"/>
        <v/>
      </c>
      <c r="G1775" t="str">
        <f>SUBSTITUTE(B1776,CHAR(34),CHAR(92)&amp;CHAR(34))</f>
        <v/>
      </c>
      <c r="H1775" t="str">
        <f>SUBSTITUTE(B1777,CHAR(34),CHAR(92)&amp;CHAR(34))</f>
        <v>Biển 1.</v>
      </c>
      <c r="I1775" t="str">
        <f>SUBSTITUTE(IF(LEFT(A1778,3)="Câu","",B1778),CHAR(34),CHAR(92)&amp;CHAR(34))</f>
        <v>Biển 2.</v>
      </c>
      <c r="J1775" t="str">
        <f>SUBSTITUTE(IF(OR(LEFT(A1779,3)="Câu",I1775=""),"",IF(B1779=0,"",B1779)),CHAR(34),CHAR(92)&amp;CHAR(34))</f>
        <v xml:space="preserve"> Không biển nào.</v>
      </c>
      <c r="K1775" t="str">
        <f>SUBSTITUTE(SUBSTITUTE(SUBSTITUTE(SUBSTITUTE(IFERROR(VLOOKUP("Câu "&amp;D1775&amp;".",dapan!$E:$J,6,0),""),"1","A"),"2","B"),"3","C"),"4","D")</f>
        <v/>
      </c>
      <c r="P1775" t="str">
        <f t="shared" si="99"/>
        <v/>
      </c>
      <c r="Q1775" t="str">
        <f t="shared" si="100"/>
        <v/>
      </c>
    </row>
    <row r="1776" spans="1:17" x14ac:dyDescent="0.25">
      <c r="A1776" t="s">
        <v>1280</v>
      </c>
      <c r="C1776">
        <f>IFERROR(COUNTIFS($A$1:A1776,"Câu "&amp;"*")-MID(A1776,5,FIND(".",A1776,1)-5),0)</f>
        <v>0</v>
      </c>
      <c r="D1776">
        <f t="shared" si="102"/>
        <v>432</v>
      </c>
      <c r="E1776" t="str">
        <f>SUBSTITUTE(IF(LEFT(A1776,3)="Câu",MID(A1776,FIND(".",A1776,1)+2,LEN(A1776)),""),CHAR(34),CHAR(92)&amp;CHAR(34))</f>
        <v>Biển nào (đặt trước ngã ba, ngã tư) cho phép xe được rẽ sang hướng khác?</v>
      </c>
      <c r="F1776" t="str">
        <f t="shared" si="101"/>
        <v>q432.jpg</v>
      </c>
      <c r="G1776" t="str">
        <f>SUBSTITUTE(B1777,CHAR(34),CHAR(92)&amp;CHAR(34))</f>
        <v>Biển 1.</v>
      </c>
      <c r="H1776" t="str">
        <f>SUBSTITUTE(B1778,CHAR(34),CHAR(92)&amp;CHAR(34))</f>
        <v>Biển 2.</v>
      </c>
      <c r="I1776" t="str">
        <f>SUBSTITUTE(IF(LEFT(A1779,3)="Câu","",B1779),CHAR(34),CHAR(92)&amp;CHAR(34))</f>
        <v xml:space="preserve"> Không biển nào.</v>
      </c>
      <c r="J1776" t="str">
        <f>SUBSTITUTE(IF(OR(LEFT(A1780,3)="Câu",I1776=""),"",IF(B1780=0,"",B1780)),CHAR(34),CHAR(92)&amp;CHAR(34))</f>
        <v/>
      </c>
      <c r="K1776" t="str">
        <f ca="1">SUBSTITUTE(SUBSTITUTE(SUBSTITUTE(SUBSTITUTE(IFERROR(VLOOKUP("Câu "&amp;D1776&amp;".",dapan!$E:$J,6,0),""),"1","A"),"2","B"),"3","C"),"4","D")</f>
        <v>C</v>
      </c>
      <c r="P1776">
        <f t="shared" si="99"/>
        <v>432</v>
      </c>
      <c r="Q1776" t="str">
        <f t="shared" ca="1" si="100"/>
        <v>{"num":432,"id":432,"q":"Biển nào (đặt trước ngã ba, ngã tư) cho phép xe được rẽ sang hướng khác?","img":"q432.jpg","opts":{"A":"Biển 1.","B":"Biển 2.","C":" Không biển nào."},"answer":"C"},</v>
      </c>
    </row>
    <row r="1777" spans="1:17" hidden="1" x14ac:dyDescent="0.25">
      <c r="A1777">
        <v>1</v>
      </c>
      <c r="B1777" t="s">
        <v>1075</v>
      </c>
      <c r="C1777">
        <f>IFERROR(COUNTIFS($A$1:A1777,"Câu "&amp;"*")-MID(A1777,5,FIND(".",A1777,1)-5),0)</f>
        <v>0</v>
      </c>
      <c r="D1777" t="str">
        <f t="shared" si="102"/>
        <v/>
      </c>
      <c r="E1777" t="str">
        <f>SUBSTITUTE(IF(LEFT(A1777,3)="Câu",MID(A1777,FIND(".",A1777,1)+2,LEN(A1777)),""),CHAR(34),CHAR(92)&amp;CHAR(34))</f>
        <v/>
      </c>
      <c r="F1777" t="str">
        <f t="shared" si="101"/>
        <v/>
      </c>
      <c r="G1777" t="str">
        <f>SUBSTITUTE(B1778,CHAR(34),CHAR(92)&amp;CHAR(34))</f>
        <v>Biển 2.</v>
      </c>
      <c r="H1777" t="str">
        <f>SUBSTITUTE(B1779,CHAR(34),CHAR(92)&amp;CHAR(34))</f>
        <v xml:space="preserve"> Không biển nào.</v>
      </c>
      <c r="I1777" t="str">
        <f>SUBSTITUTE(IF(LEFT(A1780,3)="Câu","",B1780),CHAR(34),CHAR(92)&amp;CHAR(34))</f>
        <v/>
      </c>
      <c r="J1777" t="str">
        <f>SUBSTITUTE(IF(OR(LEFT(A1781,3)="Câu",I1777=""),"",IF(B1781=0,"",B1781)),CHAR(34),CHAR(92)&amp;CHAR(34))</f>
        <v/>
      </c>
      <c r="K1777" t="str">
        <f>SUBSTITUTE(SUBSTITUTE(SUBSTITUTE(SUBSTITUTE(IFERROR(VLOOKUP("Câu "&amp;D1777&amp;".",dapan!$E:$J,6,0),""),"1","A"),"2","B"),"3","C"),"4","D")</f>
        <v/>
      </c>
      <c r="P1777" t="str">
        <f t="shared" si="99"/>
        <v/>
      </c>
      <c r="Q1777" t="str">
        <f t="shared" si="100"/>
        <v/>
      </c>
    </row>
    <row r="1778" spans="1:17" hidden="1" x14ac:dyDescent="0.25">
      <c r="A1778">
        <v>2</v>
      </c>
      <c r="B1778" t="s">
        <v>1068</v>
      </c>
      <c r="C1778">
        <f>IFERROR(COUNTIFS($A$1:A1778,"Câu "&amp;"*")-MID(A1778,5,FIND(".",A1778,1)-5),0)</f>
        <v>0</v>
      </c>
      <c r="D1778" t="str">
        <f t="shared" si="102"/>
        <v/>
      </c>
      <c r="E1778" t="str">
        <f>SUBSTITUTE(IF(LEFT(A1778,3)="Câu",MID(A1778,FIND(".",A1778,1)+2,LEN(A1778)),""),CHAR(34),CHAR(92)&amp;CHAR(34))</f>
        <v/>
      </c>
      <c r="F1778" t="str">
        <f t="shared" si="101"/>
        <v/>
      </c>
      <c r="G1778" t="str">
        <f>SUBSTITUTE(B1779,CHAR(34),CHAR(92)&amp;CHAR(34))</f>
        <v xml:space="preserve"> Không biển nào.</v>
      </c>
      <c r="H1778" t="str">
        <f>SUBSTITUTE(B1780,CHAR(34),CHAR(92)&amp;CHAR(34))</f>
        <v/>
      </c>
      <c r="I1778" t="str">
        <f>SUBSTITUTE(IF(LEFT(A1781,3)="Câu","",B1781),CHAR(34),CHAR(92)&amp;CHAR(34))</f>
        <v xml:space="preserve"> Biển 1.</v>
      </c>
      <c r="J1778" t="str">
        <f>SUBSTITUTE(IF(OR(LEFT(A1782,3)="Câu",I1778=""),"",IF(B1782=0,"",B1782)),CHAR(34),CHAR(92)&amp;CHAR(34))</f>
        <v>Biển 2.</v>
      </c>
      <c r="K1778" t="str">
        <f>SUBSTITUTE(SUBSTITUTE(SUBSTITUTE(SUBSTITUTE(IFERROR(VLOOKUP("Câu "&amp;D1778&amp;".",dapan!$E:$J,6,0),""),"1","A"),"2","B"),"3","C"),"4","D")</f>
        <v/>
      </c>
      <c r="P1778" t="str">
        <f t="shared" si="99"/>
        <v/>
      </c>
      <c r="Q1778" t="str">
        <f t="shared" si="100"/>
        <v/>
      </c>
    </row>
    <row r="1779" spans="1:17" hidden="1" x14ac:dyDescent="0.25">
      <c r="A1779">
        <v>3</v>
      </c>
      <c r="B1779" t="s">
        <v>1281</v>
      </c>
      <c r="C1779">
        <f>IFERROR(COUNTIFS($A$1:A1779,"Câu "&amp;"*")-MID(A1779,5,FIND(".",A1779,1)-5),0)</f>
        <v>0</v>
      </c>
      <c r="D1779" t="str">
        <f t="shared" si="102"/>
        <v/>
      </c>
      <c r="E1779" t="str">
        <f>SUBSTITUTE(IF(LEFT(A1779,3)="Câu",MID(A1779,FIND(".",A1779,1)+2,LEN(A1779)),""),CHAR(34),CHAR(92)&amp;CHAR(34))</f>
        <v/>
      </c>
      <c r="F1779" t="str">
        <f t="shared" si="101"/>
        <v/>
      </c>
      <c r="G1779" t="str">
        <f>SUBSTITUTE(B1780,CHAR(34),CHAR(92)&amp;CHAR(34))</f>
        <v/>
      </c>
      <c r="H1779" t="str">
        <f>SUBSTITUTE(B1781,CHAR(34),CHAR(92)&amp;CHAR(34))</f>
        <v xml:space="preserve"> Biển 1.</v>
      </c>
      <c r="I1779" t="str">
        <f>SUBSTITUTE(IF(LEFT(A1782,3)="Câu","",B1782),CHAR(34),CHAR(92)&amp;CHAR(34))</f>
        <v>Biển 2.</v>
      </c>
      <c r="J1779" t="str">
        <f>SUBSTITUTE(IF(OR(LEFT(A1783,3)="Câu",I1779=""),"",IF(B1783=0,"",B1783)),CHAR(34),CHAR(92)&amp;CHAR(34))</f>
        <v/>
      </c>
      <c r="K1779" t="str">
        <f>SUBSTITUTE(SUBSTITUTE(SUBSTITUTE(SUBSTITUTE(IFERROR(VLOOKUP("Câu "&amp;D1779&amp;".",dapan!$E:$J,6,0),""),"1","A"),"2","B"),"3","C"),"4","D")</f>
        <v/>
      </c>
      <c r="P1779" t="str">
        <f t="shared" si="99"/>
        <v/>
      </c>
      <c r="Q1779" t="str">
        <f t="shared" si="100"/>
        <v/>
      </c>
    </row>
    <row r="1780" spans="1:17" x14ac:dyDescent="0.25">
      <c r="A1780" t="s">
        <v>1282</v>
      </c>
      <c r="C1780">
        <f>IFERROR(COUNTIFS($A$1:A1780,"Câu "&amp;"*")-MID(A1780,5,FIND(".",A1780,1)-5),0)</f>
        <v>0</v>
      </c>
      <c r="D1780">
        <f t="shared" si="102"/>
        <v>433</v>
      </c>
      <c r="E1780" t="str">
        <f>SUBSTITUTE(IF(LEFT(A1780,3)="Câu",MID(A1780,FIND(".",A1780,1)+2,LEN(A1780)),""),CHAR(34),CHAR(92)&amp;CHAR(34))</f>
        <v>Biển nào báo hiệu \"Hướng đi thẳng phải theo\"?</v>
      </c>
      <c r="F1780" t="str">
        <f t="shared" si="101"/>
        <v>q433.jpg</v>
      </c>
      <c r="G1780" t="str">
        <f>SUBSTITUTE(B1781,CHAR(34),CHAR(92)&amp;CHAR(34))</f>
        <v xml:space="preserve"> Biển 1.</v>
      </c>
      <c r="H1780" t="str">
        <f>SUBSTITUTE(B1782,CHAR(34),CHAR(92)&amp;CHAR(34))</f>
        <v>Biển 2.</v>
      </c>
      <c r="I1780" t="str">
        <f>SUBSTITUTE(IF(LEFT(A1783,3)="Câu","",B1783),CHAR(34),CHAR(92)&amp;CHAR(34))</f>
        <v/>
      </c>
      <c r="J1780" t="str">
        <f>SUBSTITUTE(IF(OR(LEFT(A1784,3)="Câu",I1780=""),"",IF(B1784=0,"",B1784)),CHAR(34),CHAR(92)&amp;CHAR(34))</f>
        <v/>
      </c>
      <c r="K1780" t="str">
        <f ca="1">SUBSTITUTE(SUBSTITUTE(SUBSTITUTE(SUBSTITUTE(IFERROR(VLOOKUP("Câu "&amp;D1780&amp;".",dapan!$E:$J,6,0),""),"1","A"),"2","B"),"3","C"),"4","D")</f>
        <v>A</v>
      </c>
      <c r="P1780">
        <f t="shared" si="99"/>
        <v>433</v>
      </c>
      <c r="Q1780" t="str">
        <f t="shared" ca="1" si="100"/>
        <v>{"num":433,"id":433,"q":"Biển nào báo hiệu \"Hướng đi thẳng phải theo\"?","img":"q433.jpg","opts":{"A":" Biển 1.","B":"Biển 2."},"answer":"A"},</v>
      </c>
    </row>
    <row r="1781" spans="1:17" hidden="1" x14ac:dyDescent="0.25">
      <c r="A1781">
        <v>1</v>
      </c>
      <c r="B1781" t="s">
        <v>1066</v>
      </c>
      <c r="C1781">
        <f>IFERROR(COUNTIFS($A$1:A1781,"Câu "&amp;"*")-MID(A1781,5,FIND(".",A1781,1)-5),0)</f>
        <v>0</v>
      </c>
      <c r="D1781" t="str">
        <f t="shared" si="102"/>
        <v/>
      </c>
      <c r="E1781" t="str">
        <f>SUBSTITUTE(IF(LEFT(A1781,3)="Câu",MID(A1781,FIND(".",A1781,1)+2,LEN(A1781)),""),CHAR(34),CHAR(92)&amp;CHAR(34))</f>
        <v/>
      </c>
      <c r="F1781" t="str">
        <f t="shared" si="101"/>
        <v/>
      </c>
      <c r="G1781" t="str">
        <f>SUBSTITUTE(B1782,CHAR(34),CHAR(92)&amp;CHAR(34))</f>
        <v>Biển 2.</v>
      </c>
      <c r="H1781" t="str">
        <f>SUBSTITUTE(B1783,CHAR(34),CHAR(92)&amp;CHAR(34))</f>
        <v/>
      </c>
      <c r="I1781" t="str">
        <f>SUBSTITUTE(IF(LEFT(A1784,3)="Câu","",B1784),CHAR(34),CHAR(92)&amp;CHAR(34))</f>
        <v>Biển 1.</v>
      </c>
      <c r="J1781" t="str">
        <f>SUBSTITUTE(IF(OR(LEFT(A1785,3)="Câu",I1781=""),"",IF(B1785=0,"",B1785)),CHAR(34),CHAR(92)&amp;CHAR(34))</f>
        <v xml:space="preserve"> Biển 2.</v>
      </c>
      <c r="K1781" t="str">
        <f>SUBSTITUTE(SUBSTITUTE(SUBSTITUTE(SUBSTITUTE(IFERROR(VLOOKUP("Câu "&amp;D1781&amp;".",dapan!$E:$J,6,0),""),"1","A"),"2","B"),"3","C"),"4","D")</f>
        <v/>
      </c>
      <c r="P1781" t="str">
        <f t="shared" si="99"/>
        <v/>
      </c>
      <c r="Q1781" t="str">
        <f t="shared" si="100"/>
        <v/>
      </c>
    </row>
    <row r="1782" spans="1:17" hidden="1" x14ac:dyDescent="0.25">
      <c r="A1782">
        <v>2</v>
      </c>
      <c r="B1782" t="s">
        <v>1068</v>
      </c>
      <c r="C1782">
        <f>IFERROR(COUNTIFS($A$1:A1782,"Câu "&amp;"*")-MID(A1782,5,FIND(".",A1782,1)-5),0)</f>
        <v>0</v>
      </c>
      <c r="D1782" t="str">
        <f t="shared" si="102"/>
        <v/>
      </c>
      <c r="E1782" t="str">
        <f>SUBSTITUTE(IF(LEFT(A1782,3)="Câu",MID(A1782,FIND(".",A1782,1)+2,LEN(A1782)),""),CHAR(34),CHAR(92)&amp;CHAR(34))</f>
        <v/>
      </c>
      <c r="F1782" t="str">
        <f t="shared" si="101"/>
        <v/>
      </c>
      <c r="G1782" t="str">
        <f>SUBSTITUTE(B1783,CHAR(34),CHAR(92)&amp;CHAR(34))</f>
        <v/>
      </c>
      <c r="H1782" t="str">
        <f>SUBSTITUTE(B1784,CHAR(34),CHAR(92)&amp;CHAR(34))</f>
        <v>Biển 1.</v>
      </c>
      <c r="I1782" t="str">
        <f>SUBSTITUTE(IF(LEFT(A1785,3)="Câu","",B1785),CHAR(34),CHAR(92)&amp;CHAR(34))</f>
        <v xml:space="preserve"> Biển 2.</v>
      </c>
      <c r="J1782" t="str">
        <f>SUBSTITUTE(IF(OR(LEFT(A1786,3)="Câu",I1782=""),"",IF(B1786=0,"",B1786)),CHAR(34),CHAR(92)&amp;CHAR(34))</f>
        <v>Cả hai biển.</v>
      </c>
      <c r="K1782" t="str">
        <f>SUBSTITUTE(SUBSTITUTE(SUBSTITUTE(SUBSTITUTE(IFERROR(VLOOKUP("Câu "&amp;D1782&amp;".",dapan!$E:$J,6,0),""),"1","A"),"2","B"),"3","C"),"4","D")</f>
        <v/>
      </c>
      <c r="P1782" t="str">
        <f t="shared" si="99"/>
        <v/>
      </c>
      <c r="Q1782" t="str">
        <f t="shared" si="100"/>
        <v/>
      </c>
    </row>
    <row r="1783" spans="1:17" x14ac:dyDescent="0.25">
      <c r="A1783" t="s">
        <v>1283</v>
      </c>
      <c r="C1783">
        <f>IFERROR(COUNTIFS($A$1:A1783,"Câu "&amp;"*")-MID(A1783,5,FIND(".",A1783,1)-5),0)</f>
        <v>0</v>
      </c>
      <c r="D1783">
        <f t="shared" si="102"/>
        <v>434</v>
      </c>
      <c r="E1783" t="str">
        <f>SUBSTITUTE(IF(LEFT(A1783,3)="Câu",MID(A1783,FIND(".",A1783,1)+2,LEN(A1783)),""),CHAR(34),CHAR(92)&amp;CHAR(34))</f>
        <v>Biển nào báo hiệu \"Đường một chiều\"?</v>
      </c>
      <c r="F1783" t="str">
        <f t="shared" si="101"/>
        <v>q434.jpg</v>
      </c>
      <c r="G1783" t="str">
        <f>SUBSTITUTE(B1784,CHAR(34),CHAR(92)&amp;CHAR(34))</f>
        <v>Biển 1.</v>
      </c>
      <c r="H1783" t="str">
        <f>SUBSTITUTE(B1785,CHAR(34),CHAR(92)&amp;CHAR(34))</f>
        <v xml:space="preserve"> Biển 2.</v>
      </c>
      <c r="I1783" t="str">
        <f>SUBSTITUTE(IF(LEFT(A1786,3)="Câu","",B1786),CHAR(34),CHAR(92)&amp;CHAR(34))</f>
        <v>Cả hai biển.</v>
      </c>
      <c r="J1783" t="str">
        <f>SUBSTITUTE(IF(OR(LEFT(A1787,3)="Câu",I1783=""),"",IF(B1787=0,"",B1787)),CHAR(34),CHAR(92)&amp;CHAR(34))</f>
        <v/>
      </c>
      <c r="K1783" t="str">
        <f ca="1">SUBSTITUTE(SUBSTITUTE(SUBSTITUTE(SUBSTITUTE(IFERROR(VLOOKUP("Câu "&amp;D1783&amp;".",dapan!$E:$J,6,0),""),"1","A"),"2","B"),"3","C"),"4","D")</f>
        <v>B</v>
      </c>
      <c r="P1783">
        <f t="shared" si="99"/>
        <v>434</v>
      </c>
      <c r="Q1783" t="str">
        <f t="shared" ca="1" si="100"/>
        <v>{"num":434,"id":434,"q":"Biển nào báo hiệu \"Đường một chiều\"?","img":"q434.jpg","opts":{"A":"Biển 1.","B":" Biển 2.","C":"Cả hai biển."},"answer":"B"},</v>
      </c>
    </row>
    <row r="1784" spans="1:17" hidden="1" x14ac:dyDescent="0.25">
      <c r="A1784">
        <v>1</v>
      </c>
      <c r="B1784" t="s">
        <v>1075</v>
      </c>
      <c r="C1784">
        <f>IFERROR(COUNTIFS($A$1:A1784,"Câu "&amp;"*")-MID(A1784,5,FIND(".",A1784,1)-5),0)</f>
        <v>0</v>
      </c>
      <c r="D1784" t="str">
        <f t="shared" si="102"/>
        <v/>
      </c>
      <c r="E1784" t="str">
        <f>SUBSTITUTE(IF(LEFT(A1784,3)="Câu",MID(A1784,FIND(".",A1784,1)+2,LEN(A1784)),""),CHAR(34),CHAR(92)&amp;CHAR(34))</f>
        <v/>
      </c>
      <c r="F1784" t="str">
        <f t="shared" si="101"/>
        <v/>
      </c>
      <c r="G1784" t="str">
        <f>SUBSTITUTE(B1785,CHAR(34),CHAR(92)&amp;CHAR(34))</f>
        <v xml:space="preserve"> Biển 2.</v>
      </c>
      <c r="H1784" t="str">
        <f>SUBSTITUTE(B1786,CHAR(34),CHAR(92)&amp;CHAR(34))</f>
        <v>Cả hai biển.</v>
      </c>
      <c r="I1784" t="str">
        <f>SUBSTITUTE(IF(LEFT(A1787,3)="Câu","",B1787),CHAR(34),CHAR(92)&amp;CHAR(34))</f>
        <v/>
      </c>
      <c r="J1784" t="str">
        <f>SUBSTITUTE(IF(OR(LEFT(A1788,3)="Câu",I1784=""),"",IF(B1788=0,"",B1788)),CHAR(34),CHAR(92)&amp;CHAR(34))</f>
        <v/>
      </c>
      <c r="K1784" t="str">
        <f>SUBSTITUTE(SUBSTITUTE(SUBSTITUTE(SUBSTITUTE(IFERROR(VLOOKUP("Câu "&amp;D1784&amp;".",dapan!$E:$J,6,0),""),"1","A"),"2","B"),"3","C"),"4","D")</f>
        <v/>
      </c>
      <c r="P1784" t="str">
        <f t="shared" si="99"/>
        <v/>
      </c>
      <c r="Q1784" t="str">
        <f t="shared" si="100"/>
        <v/>
      </c>
    </row>
    <row r="1785" spans="1:17" hidden="1" x14ac:dyDescent="0.25">
      <c r="A1785">
        <v>2</v>
      </c>
      <c r="B1785" t="s">
        <v>1090</v>
      </c>
      <c r="C1785">
        <f>IFERROR(COUNTIFS($A$1:A1785,"Câu "&amp;"*")-MID(A1785,5,FIND(".",A1785,1)-5),0)</f>
        <v>0</v>
      </c>
      <c r="D1785" t="str">
        <f t="shared" si="102"/>
        <v/>
      </c>
      <c r="E1785" t="str">
        <f>SUBSTITUTE(IF(LEFT(A1785,3)="Câu",MID(A1785,FIND(".",A1785,1)+2,LEN(A1785)),""),CHAR(34),CHAR(92)&amp;CHAR(34))</f>
        <v/>
      </c>
      <c r="F1785" t="str">
        <f t="shared" si="101"/>
        <v/>
      </c>
      <c r="G1785" t="str">
        <f>SUBSTITUTE(B1786,CHAR(34),CHAR(92)&amp;CHAR(34))</f>
        <v>Cả hai biển.</v>
      </c>
      <c r="H1785" t="str">
        <f>SUBSTITUTE(B1787,CHAR(34),CHAR(92)&amp;CHAR(34))</f>
        <v/>
      </c>
      <c r="I1785" t="str">
        <f>SUBSTITUTE(IF(LEFT(A1788,3)="Câu","",B1788),CHAR(34),CHAR(92)&amp;CHAR(34))</f>
        <v xml:space="preserve"> Biển 1.</v>
      </c>
      <c r="J1785" t="str">
        <f>SUBSTITUTE(IF(OR(LEFT(A1789,3)="Câu",I1785=""),"",IF(B1789=0,"",B1789)),CHAR(34),CHAR(92)&amp;CHAR(34))</f>
        <v>Biển 2.</v>
      </c>
      <c r="K1785" t="str">
        <f>SUBSTITUTE(SUBSTITUTE(SUBSTITUTE(SUBSTITUTE(IFERROR(VLOOKUP("Câu "&amp;D1785&amp;".",dapan!$E:$J,6,0),""),"1","A"),"2","B"),"3","C"),"4","D")</f>
        <v/>
      </c>
      <c r="P1785" t="str">
        <f t="shared" si="99"/>
        <v/>
      </c>
      <c r="Q1785" t="str">
        <f t="shared" si="100"/>
        <v/>
      </c>
    </row>
    <row r="1786" spans="1:17" hidden="1" x14ac:dyDescent="0.25">
      <c r="A1786">
        <v>3</v>
      </c>
      <c r="B1786" t="s">
        <v>1095</v>
      </c>
      <c r="C1786">
        <f>IFERROR(COUNTIFS($A$1:A1786,"Câu "&amp;"*")-MID(A1786,5,FIND(".",A1786,1)-5),0)</f>
        <v>0</v>
      </c>
      <c r="D1786" t="str">
        <f t="shared" si="102"/>
        <v/>
      </c>
      <c r="E1786" t="str">
        <f>SUBSTITUTE(IF(LEFT(A1786,3)="Câu",MID(A1786,FIND(".",A1786,1)+2,LEN(A1786)),""),CHAR(34),CHAR(92)&amp;CHAR(34))</f>
        <v/>
      </c>
      <c r="F1786" t="str">
        <f t="shared" si="101"/>
        <v/>
      </c>
      <c r="G1786" t="str">
        <f>SUBSTITUTE(B1787,CHAR(34),CHAR(92)&amp;CHAR(34))</f>
        <v/>
      </c>
      <c r="H1786" t="str">
        <f>SUBSTITUTE(B1788,CHAR(34),CHAR(92)&amp;CHAR(34))</f>
        <v xml:space="preserve"> Biển 1.</v>
      </c>
      <c r="I1786" t="str">
        <f>SUBSTITUTE(IF(LEFT(A1789,3)="Câu","",B1789),CHAR(34),CHAR(92)&amp;CHAR(34))</f>
        <v>Biển 2.</v>
      </c>
      <c r="J1786" t="str">
        <f>SUBSTITUTE(IF(OR(LEFT(A1790,3)="Câu",I1786=""),"",IF(B1790=0,"",B1790)),CHAR(34),CHAR(92)&amp;CHAR(34))</f>
        <v>Biển 3.</v>
      </c>
      <c r="K1786" t="str">
        <f>SUBSTITUTE(SUBSTITUTE(SUBSTITUTE(SUBSTITUTE(IFERROR(VLOOKUP("Câu "&amp;D1786&amp;".",dapan!$E:$J,6,0),""),"1","A"),"2","B"),"3","C"),"4","D")</f>
        <v/>
      </c>
      <c r="P1786" t="str">
        <f t="shared" si="99"/>
        <v/>
      </c>
      <c r="Q1786" t="str">
        <f t="shared" si="100"/>
        <v/>
      </c>
    </row>
    <row r="1787" spans="1:17" x14ac:dyDescent="0.25">
      <c r="A1787" t="s">
        <v>1284</v>
      </c>
      <c r="C1787">
        <f>IFERROR(COUNTIFS($A$1:A1787,"Câu "&amp;"*")-MID(A1787,5,FIND(".",A1787,1)-5),0)</f>
        <v>0</v>
      </c>
      <c r="D1787">
        <f t="shared" si="102"/>
        <v>435</v>
      </c>
      <c r="E1787" t="str">
        <f>SUBSTITUTE(IF(LEFT(A1787,3)="Câu",MID(A1787,FIND(".",A1787,1)+2,LEN(A1787)),""),CHAR(34),CHAR(92)&amp;CHAR(34))</f>
        <v>Trong các biển dưới đây biển nào là biển \"Hết tốc độ tối đa cho phép\"?</v>
      </c>
      <c r="F1787" t="str">
        <f t="shared" si="101"/>
        <v>q435.jpg</v>
      </c>
      <c r="G1787" t="str">
        <f>SUBSTITUTE(B1788,CHAR(34),CHAR(92)&amp;CHAR(34))</f>
        <v xml:space="preserve"> Biển 1.</v>
      </c>
      <c r="H1787" t="str">
        <f>SUBSTITUTE(B1789,CHAR(34),CHAR(92)&amp;CHAR(34))</f>
        <v>Biển 2.</v>
      </c>
      <c r="I1787" t="str">
        <f>SUBSTITUTE(IF(LEFT(A1790,3)="Câu","",B1790),CHAR(34),CHAR(92)&amp;CHAR(34))</f>
        <v>Biển 3.</v>
      </c>
      <c r="J1787" t="str">
        <f>SUBSTITUTE(IF(OR(LEFT(A1791,3)="Câu",I1787=""),"",IF(B1791=0,"",B1791)),CHAR(34),CHAR(92)&amp;CHAR(34))</f>
        <v>Cả ba biển.</v>
      </c>
      <c r="K1787" t="str">
        <f ca="1">SUBSTITUTE(SUBSTITUTE(SUBSTITUTE(SUBSTITUTE(IFERROR(VLOOKUP("Câu "&amp;D1787&amp;".",dapan!$E:$J,6,0),""),"1","A"),"2","B"),"3","C"),"4","D")</f>
        <v>A</v>
      </c>
      <c r="P1787">
        <f t="shared" si="99"/>
        <v>435</v>
      </c>
      <c r="Q1787" t="str">
        <f t="shared" ca="1" si="100"/>
        <v>{"num":435,"id":435,"q":"Trong các biển dưới đây biển nào là biển \"Hết tốc độ tối đa cho phép\"?","img":"q435.jpg","opts":{"A":" Biển 1.","B":"Biển 2.","C":"Biển 3.","D":"Cả ba biển."},"answer":"A"},</v>
      </c>
    </row>
    <row r="1788" spans="1:17" hidden="1" x14ac:dyDescent="0.25">
      <c r="A1788">
        <v>1</v>
      </c>
      <c r="B1788" t="s">
        <v>1066</v>
      </c>
      <c r="C1788">
        <f>IFERROR(COUNTIFS($A$1:A1788,"Câu "&amp;"*")-MID(A1788,5,FIND(".",A1788,1)-5),0)</f>
        <v>0</v>
      </c>
      <c r="D1788" t="str">
        <f t="shared" si="102"/>
        <v/>
      </c>
      <c r="E1788" t="str">
        <f>SUBSTITUTE(IF(LEFT(A1788,3)="Câu",MID(A1788,FIND(".",A1788,1)+2,LEN(A1788)),""),CHAR(34),CHAR(92)&amp;CHAR(34))</f>
        <v/>
      </c>
      <c r="F1788" t="str">
        <f t="shared" si="101"/>
        <v/>
      </c>
      <c r="G1788" t="str">
        <f>SUBSTITUTE(B1789,CHAR(34),CHAR(92)&amp;CHAR(34))</f>
        <v>Biển 2.</v>
      </c>
      <c r="H1788" t="str">
        <f>SUBSTITUTE(B1790,CHAR(34),CHAR(92)&amp;CHAR(34))</f>
        <v>Biển 3.</v>
      </c>
      <c r="I1788" t="str">
        <f>SUBSTITUTE(IF(LEFT(A1791,3)="Câu","",B1791),CHAR(34),CHAR(92)&amp;CHAR(34))</f>
        <v>Cả ba biển.</v>
      </c>
      <c r="J1788" t="str">
        <f>SUBSTITUTE(IF(OR(LEFT(A1792,3)="Câu",I1788=""),"",IF(B1792=0,"",B1792)),CHAR(34),CHAR(92)&amp;CHAR(34))</f>
        <v/>
      </c>
      <c r="K1788" t="str">
        <f>SUBSTITUTE(SUBSTITUTE(SUBSTITUTE(SUBSTITUTE(IFERROR(VLOOKUP("Câu "&amp;D1788&amp;".",dapan!$E:$J,6,0),""),"1","A"),"2","B"),"3","C"),"4","D")</f>
        <v/>
      </c>
      <c r="P1788" t="str">
        <f t="shared" si="99"/>
        <v/>
      </c>
      <c r="Q1788" t="str">
        <f t="shared" si="100"/>
        <v/>
      </c>
    </row>
    <row r="1789" spans="1:17" hidden="1" x14ac:dyDescent="0.25">
      <c r="A1789">
        <v>2</v>
      </c>
      <c r="B1789" t="s">
        <v>1068</v>
      </c>
      <c r="C1789">
        <f>IFERROR(COUNTIFS($A$1:A1789,"Câu "&amp;"*")-MID(A1789,5,FIND(".",A1789,1)-5),0)</f>
        <v>0</v>
      </c>
      <c r="D1789" t="str">
        <f t="shared" si="102"/>
        <v/>
      </c>
      <c r="E1789" t="str">
        <f>SUBSTITUTE(IF(LEFT(A1789,3)="Câu",MID(A1789,FIND(".",A1789,1)+2,LEN(A1789)),""),CHAR(34),CHAR(92)&amp;CHAR(34))</f>
        <v/>
      </c>
      <c r="F1789" t="str">
        <f t="shared" si="101"/>
        <v/>
      </c>
      <c r="G1789" t="str">
        <f>SUBSTITUTE(B1790,CHAR(34),CHAR(92)&amp;CHAR(34))</f>
        <v>Biển 3.</v>
      </c>
      <c r="H1789" t="str">
        <f>SUBSTITUTE(B1791,CHAR(34),CHAR(92)&amp;CHAR(34))</f>
        <v>Cả ba biển.</v>
      </c>
      <c r="I1789" t="str">
        <f>SUBSTITUTE(IF(LEFT(A1792,3)="Câu","",B1792),CHAR(34),CHAR(92)&amp;CHAR(34))</f>
        <v/>
      </c>
      <c r="J1789" t="str">
        <f>SUBSTITUTE(IF(OR(LEFT(A1793,3)="Câu",I1789=""),"",IF(B1793=0,"",B1793)),CHAR(34),CHAR(92)&amp;CHAR(34))</f>
        <v/>
      </c>
      <c r="K1789" t="str">
        <f>SUBSTITUTE(SUBSTITUTE(SUBSTITUTE(SUBSTITUTE(IFERROR(VLOOKUP("Câu "&amp;D1789&amp;".",dapan!$E:$J,6,0),""),"1","A"),"2","B"),"3","C"),"4","D")</f>
        <v/>
      </c>
      <c r="P1789" t="str">
        <f t="shared" si="99"/>
        <v/>
      </c>
      <c r="Q1789" t="str">
        <f t="shared" si="100"/>
        <v/>
      </c>
    </row>
    <row r="1790" spans="1:17" hidden="1" x14ac:dyDescent="0.25">
      <c r="A1790">
        <v>3</v>
      </c>
      <c r="B1790" t="s">
        <v>1083</v>
      </c>
      <c r="C1790">
        <f>IFERROR(COUNTIFS($A$1:A1790,"Câu "&amp;"*")-MID(A1790,5,FIND(".",A1790,1)-5),0)</f>
        <v>0</v>
      </c>
      <c r="D1790" t="str">
        <f t="shared" si="102"/>
        <v/>
      </c>
      <c r="E1790" t="str">
        <f>SUBSTITUTE(IF(LEFT(A1790,3)="Câu",MID(A1790,FIND(".",A1790,1)+2,LEN(A1790)),""),CHAR(34),CHAR(92)&amp;CHAR(34))</f>
        <v/>
      </c>
      <c r="F1790" t="str">
        <f t="shared" si="101"/>
        <v/>
      </c>
      <c r="G1790" t="str">
        <f>SUBSTITUTE(B1791,CHAR(34),CHAR(92)&amp;CHAR(34))</f>
        <v>Cả ba biển.</v>
      </c>
      <c r="H1790" t="str">
        <f>SUBSTITUTE(B1792,CHAR(34),CHAR(92)&amp;CHAR(34))</f>
        <v/>
      </c>
      <c r="I1790" t="str">
        <f>SUBSTITUTE(IF(LEFT(A1793,3)="Câu","",B1793),CHAR(34),CHAR(92)&amp;CHAR(34))</f>
        <v>Biển 1.</v>
      </c>
      <c r="J1790" t="str">
        <f>SUBSTITUTE(IF(OR(LEFT(A1794,3)="Câu",I1790=""),"",IF(B1794=0,"",B1794)),CHAR(34),CHAR(92)&amp;CHAR(34))</f>
        <v>Biển 2.</v>
      </c>
      <c r="K1790" t="str">
        <f>SUBSTITUTE(SUBSTITUTE(SUBSTITUTE(SUBSTITUTE(IFERROR(VLOOKUP("Câu "&amp;D1790&amp;".",dapan!$E:$J,6,0),""),"1","A"),"2","B"),"3","C"),"4","D")</f>
        <v/>
      </c>
      <c r="P1790" t="str">
        <f t="shared" si="99"/>
        <v/>
      </c>
      <c r="Q1790" t="str">
        <f t="shared" si="100"/>
        <v/>
      </c>
    </row>
    <row r="1791" spans="1:17" hidden="1" x14ac:dyDescent="0.25">
      <c r="A1791">
        <v>4</v>
      </c>
      <c r="B1791" t="s">
        <v>1071</v>
      </c>
      <c r="C1791">
        <f>IFERROR(COUNTIFS($A$1:A1791,"Câu "&amp;"*")-MID(A1791,5,FIND(".",A1791,1)-5),0)</f>
        <v>0</v>
      </c>
      <c r="D1791" t="str">
        <f t="shared" si="102"/>
        <v/>
      </c>
      <c r="E1791" t="str">
        <f>SUBSTITUTE(IF(LEFT(A1791,3)="Câu",MID(A1791,FIND(".",A1791,1)+2,LEN(A1791)),""),CHAR(34),CHAR(92)&amp;CHAR(34))</f>
        <v/>
      </c>
      <c r="F1791" t="str">
        <f t="shared" si="101"/>
        <v/>
      </c>
      <c r="G1791" t="str">
        <f>SUBSTITUTE(B1792,CHAR(34),CHAR(92)&amp;CHAR(34))</f>
        <v/>
      </c>
      <c r="H1791" t="str">
        <f>SUBSTITUTE(B1793,CHAR(34),CHAR(92)&amp;CHAR(34))</f>
        <v>Biển 1.</v>
      </c>
      <c r="I1791" t="str">
        <f>SUBSTITUTE(IF(LEFT(A1794,3)="Câu","",B1794),CHAR(34),CHAR(92)&amp;CHAR(34))</f>
        <v>Biển 2.</v>
      </c>
      <c r="J1791" t="str">
        <f>SUBSTITUTE(IF(OR(LEFT(A1795,3)="Câu",I1791=""),"",IF(B1795=0,"",B1795)),CHAR(34),CHAR(92)&amp;CHAR(34))</f>
        <v>Biển 3.</v>
      </c>
      <c r="K1791" t="str">
        <f>SUBSTITUTE(SUBSTITUTE(SUBSTITUTE(SUBSTITUTE(IFERROR(VLOOKUP("Câu "&amp;D1791&amp;".",dapan!$E:$J,6,0),""),"1","A"),"2","B"),"3","C"),"4","D")</f>
        <v/>
      </c>
      <c r="P1791" t="str">
        <f t="shared" si="99"/>
        <v/>
      </c>
      <c r="Q1791" t="str">
        <f t="shared" si="100"/>
        <v/>
      </c>
    </row>
    <row r="1792" spans="1:17" x14ac:dyDescent="0.25">
      <c r="A1792" t="s">
        <v>1285</v>
      </c>
      <c r="C1792">
        <f>IFERROR(COUNTIFS($A$1:A1792,"Câu "&amp;"*")-MID(A1792,5,FIND(".",A1792,1)-5),0)</f>
        <v>0</v>
      </c>
      <c r="D1792">
        <f t="shared" si="102"/>
        <v>436</v>
      </c>
      <c r="E1792" t="str">
        <f>SUBSTITUTE(IF(LEFT(A1792,3)="Câu",MID(A1792,FIND(".",A1792,1)+2,LEN(A1792)),""),CHAR(34),CHAR(92)&amp;CHAR(34))</f>
        <v>Hiệu lực của biển \"Tốc độ tối đa cho phép\" hết tác dụng khi gặp biển nào dưới đây?</v>
      </c>
      <c r="F1792" t="str">
        <f t="shared" si="101"/>
        <v>q436.jpg</v>
      </c>
      <c r="G1792" t="str">
        <f>SUBSTITUTE(B1793,CHAR(34),CHAR(92)&amp;CHAR(34))</f>
        <v>Biển 1.</v>
      </c>
      <c r="H1792" t="str">
        <f>SUBSTITUTE(B1794,CHAR(34),CHAR(92)&amp;CHAR(34))</f>
        <v>Biển 2.</v>
      </c>
      <c r="I1792" t="str">
        <f>SUBSTITUTE(IF(LEFT(A1795,3)="Câu","",B1795),CHAR(34),CHAR(92)&amp;CHAR(34))</f>
        <v>Biển 3.</v>
      </c>
      <c r="J1792" t="str">
        <f>SUBSTITUTE(IF(OR(LEFT(A1796,3)="Câu",I1792=""),"",IF(B1796=0,"",B1796)),CHAR(34),CHAR(92)&amp;CHAR(34))</f>
        <v xml:space="preserve"> Biển 1 và biển 2.</v>
      </c>
      <c r="K1792" t="str">
        <f ca="1">SUBSTITUTE(SUBSTITUTE(SUBSTITUTE(SUBSTITUTE(IFERROR(VLOOKUP("Câu "&amp;D1792&amp;".",dapan!$E:$J,6,0),""),"1","A"),"2","B"),"3","C"),"4","D")</f>
        <v>D</v>
      </c>
      <c r="P1792">
        <f t="shared" si="99"/>
        <v>436</v>
      </c>
      <c r="Q1792" t="str">
        <f t="shared" ca="1" si="100"/>
        <v>{"num":436,"id":436,"q":"Hiệu lực của biển \"Tốc độ tối đa cho phép\" hết tác dụng khi gặp biển nào dưới đây?","img":"q436.jpg","opts":{"A":"Biển 1.","B":"Biển 2.","C":"Biển 3.","D":" Biển 1 và biển 2."},"answer":"D"},</v>
      </c>
    </row>
    <row r="1793" spans="1:17" hidden="1" x14ac:dyDescent="0.25">
      <c r="A1793">
        <v>1</v>
      </c>
      <c r="B1793" t="s">
        <v>1075</v>
      </c>
      <c r="C1793">
        <f>IFERROR(COUNTIFS($A$1:A1793,"Câu "&amp;"*")-MID(A1793,5,FIND(".",A1793,1)-5),0)</f>
        <v>0</v>
      </c>
      <c r="D1793" t="str">
        <f t="shared" si="102"/>
        <v/>
      </c>
      <c r="E1793" t="str">
        <f>SUBSTITUTE(IF(LEFT(A1793,3)="Câu",MID(A1793,FIND(".",A1793,1)+2,LEN(A1793)),""),CHAR(34),CHAR(92)&amp;CHAR(34))</f>
        <v/>
      </c>
      <c r="F1793" t="str">
        <f t="shared" si="101"/>
        <v/>
      </c>
      <c r="G1793" t="str">
        <f>SUBSTITUTE(B1794,CHAR(34),CHAR(92)&amp;CHAR(34))</f>
        <v>Biển 2.</v>
      </c>
      <c r="H1793" t="str">
        <f>SUBSTITUTE(B1795,CHAR(34),CHAR(92)&amp;CHAR(34))</f>
        <v>Biển 3.</v>
      </c>
      <c r="I1793" t="str">
        <f>SUBSTITUTE(IF(LEFT(A1796,3)="Câu","",B1796),CHAR(34),CHAR(92)&amp;CHAR(34))</f>
        <v xml:space="preserve"> Biển 1 và biển 2.</v>
      </c>
      <c r="J1793" t="str">
        <f>SUBSTITUTE(IF(OR(LEFT(A1797,3)="Câu",I1793=""),"",IF(B1797=0,"",B1797)),CHAR(34),CHAR(92)&amp;CHAR(34))</f>
        <v/>
      </c>
      <c r="K1793" t="str">
        <f>SUBSTITUTE(SUBSTITUTE(SUBSTITUTE(SUBSTITUTE(IFERROR(VLOOKUP("Câu "&amp;D1793&amp;".",dapan!$E:$J,6,0),""),"1","A"),"2","B"),"3","C"),"4","D")</f>
        <v/>
      </c>
      <c r="P1793" t="str">
        <f t="shared" si="99"/>
        <v/>
      </c>
      <c r="Q1793" t="str">
        <f t="shared" si="100"/>
        <v/>
      </c>
    </row>
    <row r="1794" spans="1:17" hidden="1" x14ac:dyDescent="0.25">
      <c r="A1794">
        <v>2</v>
      </c>
      <c r="B1794" t="s">
        <v>1068</v>
      </c>
      <c r="C1794">
        <f>IFERROR(COUNTIFS($A$1:A1794,"Câu "&amp;"*")-MID(A1794,5,FIND(".",A1794,1)-5),0)</f>
        <v>0</v>
      </c>
      <c r="D1794" t="str">
        <f t="shared" si="102"/>
        <v/>
      </c>
      <c r="E1794" t="str">
        <f>SUBSTITUTE(IF(LEFT(A1794,3)="Câu",MID(A1794,FIND(".",A1794,1)+2,LEN(A1794)),""),CHAR(34),CHAR(92)&amp;CHAR(34))</f>
        <v/>
      </c>
      <c r="F1794" t="str">
        <f t="shared" si="101"/>
        <v/>
      </c>
      <c r="G1794" t="str">
        <f>SUBSTITUTE(B1795,CHAR(34),CHAR(92)&amp;CHAR(34))</f>
        <v>Biển 3.</v>
      </c>
      <c r="H1794" t="str">
        <f>SUBSTITUTE(B1796,CHAR(34),CHAR(92)&amp;CHAR(34))</f>
        <v xml:space="preserve"> Biển 1 và biển 2.</v>
      </c>
      <c r="I1794" t="str">
        <f>SUBSTITUTE(IF(LEFT(A1797,3)="Câu","",B1797),CHAR(34),CHAR(92)&amp;CHAR(34))</f>
        <v/>
      </c>
      <c r="J1794" t="str">
        <f>SUBSTITUTE(IF(OR(LEFT(A1798,3)="Câu",I1794=""),"",IF(B1798=0,"",B1798)),CHAR(34),CHAR(92)&amp;CHAR(34))</f>
        <v/>
      </c>
      <c r="K1794" t="str">
        <f>SUBSTITUTE(SUBSTITUTE(SUBSTITUTE(SUBSTITUTE(IFERROR(VLOOKUP("Câu "&amp;D1794&amp;".",dapan!$E:$J,6,0),""),"1","A"),"2","B"),"3","C"),"4","D")</f>
        <v/>
      </c>
      <c r="P1794" t="str">
        <f t="shared" si="99"/>
        <v/>
      </c>
      <c r="Q1794" t="str">
        <f t="shared" si="100"/>
        <v/>
      </c>
    </row>
    <row r="1795" spans="1:17" hidden="1" x14ac:dyDescent="0.25">
      <c r="A1795">
        <v>3</v>
      </c>
      <c r="B1795" t="s">
        <v>1083</v>
      </c>
      <c r="C1795">
        <f>IFERROR(COUNTIFS($A$1:A1795,"Câu "&amp;"*")-MID(A1795,5,FIND(".",A1795,1)-5),0)</f>
        <v>0</v>
      </c>
      <c r="D1795" t="str">
        <f t="shared" si="102"/>
        <v/>
      </c>
      <c r="E1795" t="str">
        <f>SUBSTITUTE(IF(LEFT(A1795,3)="Câu",MID(A1795,FIND(".",A1795,1)+2,LEN(A1795)),""),CHAR(34),CHAR(92)&amp;CHAR(34))</f>
        <v/>
      </c>
      <c r="F1795" t="str">
        <f t="shared" si="101"/>
        <v/>
      </c>
      <c r="G1795" t="str">
        <f>SUBSTITUTE(B1796,CHAR(34),CHAR(92)&amp;CHAR(34))</f>
        <v xml:space="preserve"> Biển 1 và biển 2.</v>
      </c>
      <c r="H1795" t="str">
        <f>SUBSTITUTE(B1797,CHAR(34),CHAR(92)&amp;CHAR(34))</f>
        <v/>
      </c>
      <c r="I1795" t="str">
        <f>SUBSTITUTE(IF(LEFT(A1798,3)="Câu","",B1798),CHAR(34),CHAR(92)&amp;CHAR(34))</f>
        <v>Biển 1.</v>
      </c>
      <c r="J1795" t="str">
        <f>SUBSTITUTE(IF(OR(LEFT(A1799,3)="Câu",I1795=""),"",IF(B1799=0,"",B1799)),CHAR(34),CHAR(92)&amp;CHAR(34))</f>
        <v>Biển 2.</v>
      </c>
      <c r="K1795" t="str">
        <f>SUBSTITUTE(SUBSTITUTE(SUBSTITUTE(SUBSTITUTE(IFERROR(VLOOKUP("Câu "&amp;D1795&amp;".",dapan!$E:$J,6,0),""),"1","A"),"2","B"),"3","C"),"4","D")</f>
        <v/>
      </c>
      <c r="P1795" t="str">
        <f t="shared" ref="P1795:P1858" si="103">D1795</f>
        <v/>
      </c>
      <c r="Q1795" t="str">
        <f t="shared" ref="Q1795:Q1858" si="104">IF(D1795="","",CHAR(123)&amp;CHAR(34)&amp;"num"&amp;CHAR(34)&amp;":"&amp;P1795&amp;","&amp;CHAR(34)&amp;"id"&amp;CHAR(34)&amp;":"&amp;D1795&amp;","
&amp;CHAR(34)&amp;"q"&amp;CHAR(34)&amp;":"&amp;CHAR(34)&amp;E1795&amp;CHAR(34)&amp;","
&amp;IF(F1795="","",CHAR(34)&amp;"img"&amp;CHAR(34)&amp;":"&amp;CHAR(34)&amp;F1795&amp;CHAR(34)&amp;",")
&amp;CHAR(34)&amp;"opts"&amp;CHAR(34)&amp;":"&amp;CHAR(123)&amp;CHAR(34)&amp;"A"&amp;CHAR(34)&amp;":"&amp;CHAR(34)&amp;G1795&amp;CHAR(34)&amp;","&amp;CHAR(34)&amp;"B"&amp;CHAR(34)&amp;":"&amp;CHAR(34)&amp;H1795&amp;CHAR(34)
&amp;IF(I1795="","",","&amp;CHAR(34)&amp;"C"&amp;CHAR(34)&amp;":"&amp;CHAR(34)&amp;I1795&amp;CHAR(34))&amp;IF(J1795="","",","&amp;CHAR(34)&amp;"D"&amp;CHAR(34)&amp;":"&amp;CHAR(34)&amp;J1795&amp;CHAR(34))&amp;CHAR(125)&amp;","
&amp;CHAR(34)&amp;"answer"&amp;CHAR(34)&amp;":"&amp;CHAR(34)&amp;K1795&amp;CHAR(34)
&amp;IF(L1795="","",","&amp;CHAR(34)&amp;"danger"&amp;CHAR(34)&amp;":"&amp;CHAR(34)&amp;"true"&amp;CHAR(34))
&amp;IF(M1795="","",","&amp;CHAR(34)&amp;"explain"&amp;CHAR(34)&amp;":"&amp;CHAR(34)&amp;M1795&amp;CHAR(34))
&amp;IF(N1795="","",","&amp;CHAR(34)&amp;"explainImg"&amp;CHAR(34)&amp;":"&amp;CHAR(34)&amp;N1795&amp;CHAR(34))
&amp;IF(O1795="","",","&amp;CHAR(34)&amp;"shuffle"&amp;CHAR(34)&amp;":"&amp;CHAR(34)&amp;"false"&amp;CHAR(34))&amp;CHAR(125)&amp;",")</f>
        <v/>
      </c>
    </row>
    <row r="1796" spans="1:17" hidden="1" x14ac:dyDescent="0.25">
      <c r="A1796">
        <v>4</v>
      </c>
      <c r="B1796" t="s">
        <v>1079</v>
      </c>
      <c r="C1796">
        <f>IFERROR(COUNTIFS($A$1:A1796,"Câu "&amp;"*")-MID(A1796,5,FIND(".",A1796,1)-5),0)</f>
        <v>0</v>
      </c>
      <c r="D1796" t="str">
        <f t="shared" si="102"/>
        <v/>
      </c>
      <c r="E1796" t="str">
        <f>SUBSTITUTE(IF(LEFT(A1796,3)="Câu",MID(A1796,FIND(".",A1796,1)+2,LEN(A1796)),""),CHAR(34),CHAR(92)&amp;CHAR(34))</f>
        <v/>
      </c>
      <c r="F1796" t="str">
        <f t="shared" si="101"/>
        <v/>
      </c>
      <c r="G1796" t="str">
        <f>SUBSTITUTE(B1797,CHAR(34),CHAR(92)&amp;CHAR(34))</f>
        <v/>
      </c>
      <c r="H1796" t="str">
        <f>SUBSTITUTE(B1798,CHAR(34),CHAR(92)&amp;CHAR(34))</f>
        <v>Biển 1.</v>
      </c>
      <c r="I1796" t="str">
        <f>SUBSTITUTE(IF(LEFT(A1799,3)="Câu","",B1799),CHAR(34),CHAR(92)&amp;CHAR(34))</f>
        <v>Biển 2.</v>
      </c>
      <c r="J1796" t="str">
        <f>SUBSTITUTE(IF(OR(LEFT(A1800,3)="Câu",I1796=""),"",IF(B1800=0,"",B1800)),CHAR(34),CHAR(92)&amp;CHAR(34))</f>
        <v xml:space="preserve"> Biển 3.</v>
      </c>
      <c r="K1796" t="str">
        <f>SUBSTITUTE(SUBSTITUTE(SUBSTITUTE(SUBSTITUTE(IFERROR(VLOOKUP("Câu "&amp;D1796&amp;".",dapan!$E:$J,6,0),""),"1","A"),"2","B"),"3","C"),"4","D")</f>
        <v/>
      </c>
      <c r="P1796" t="str">
        <f t="shared" si="103"/>
        <v/>
      </c>
      <c r="Q1796" t="str">
        <f t="shared" si="104"/>
        <v/>
      </c>
    </row>
    <row r="1797" spans="1:17" x14ac:dyDescent="0.25">
      <c r="A1797" t="s">
        <v>1286</v>
      </c>
      <c r="C1797">
        <f>IFERROR(COUNTIFS($A$1:A1797,"Câu "&amp;"*")-MID(A1797,5,FIND(".",A1797,1)-5),0)</f>
        <v>0</v>
      </c>
      <c r="D1797">
        <f t="shared" si="102"/>
        <v>437</v>
      </c>
      <c r="E1797" t="str">
        <f>SUBSTITUTE(IF(LEFT(A1797,3)="Câu",MID(A1797,FIND(".",A1797,1)+2,LEN(A1797)),""),CHAR(34),CHAR(92)&amp;CHAR(34))</f>
        <v>Trong các biển dưới đây biển nào là biển \"Hết tốc độ tối thiểu\"?</v>
      </c>
      <c r="F1797" t="str">
        <f t="shared" si="101"/>
        <v>q437.jpg</v>
      </c>
      <c r="G1797" t="str">
        <f>SUBSTITUTE(B1798,CHAR(34),CHAR(92)&amp;CHAR(34))</f>
        <v>Biển 1.</v>
      </c>
      <c r="H1797" t="str">
        <f>SUBSTITUTE(B1799,CHAR(34),CHAR(92)&amp;CHAR(34))</f>
        <v>Biển 2.</v>
      </c>
      <c r="I1797" t="str">
        <f>SUBSTITUTE(IF(LEFT(A1800,3)="Câu","",B1800),CHAR(34),CHAR(92)&amp;CHAR(34))</f>
        <v xml:space="preserve"> Biển 3.</v>
      </c>
      <c r="J1797" t="str">
        <f>SUBSTITUTE(IF(OR(LEFT(A1801,3)="Câu",I1797=""),"",IF(B1801=0,"",B1801)),CHAR(34),CHAR(92)&amp;CHAR(34))</f>
        <v>Cả ba biển.</v>
      </c>
      <c r="K1797" t="str">
        <f ca="1">SUBSTITUTE(SUBSTITUTE(SUBSTITUTE(SUBSTITUTE(IFERROR(VLOOKUP("Câu "&amp;D1797&amp;".",dapan!$E:$J,6,0),""),"1","A"),"2","B"),"3","C"),"4","D")</f>
        <v>C</v>
      </c>
      <c r="P1797">
        <f t="shared" si="103"/>
        <v>437</v>
      </c>
      <c r="Q1797" t="str">
        <f t="shared" ca="1" si="104"/>
        <v>{"num":437,"id":437,"q":"Trong các biển dưới đây biển nào là biển \"Hết tốc độ tối thiểu\"?","img":"q437.jpg","opts":{"A":"Biển 1.","B":"Biển 2.","C":" Biển 3.","D":"Cả ba biển."},"answer":"C"},</v>
      </c>
    </row>
    <row r="1798" spans="1:17" hidden="1" x14ac:dyDescent="0.25">
      <c r="A1798">
        <v>1</v>
      </c>
      <c r="B1798" t="s">
        <v>1075</v>
      </c>
      <c r="C1798">
        <f>IFERROR(COUNTIFS($A$1:A1798,"Câu "&amp;"*")-MID(A1798,5,FIND(".",A1798,1)-5),0)</f>
        <v>0</v>
      </c>
      <c r="D1798" t="str">
        <f t="shared" si="102"/>
        <v/>
      </c>
      <c r="E1798" t="str">
        <f>SUBSTITUTE(IF(LEFT(A1798,3)="Câu",MID(A1798,FIND(".",A1798,1)+2,LEN(A1798)),""),CHAR(34),CHAR(92)&amp;CHAR(34))</f>
        <v/>
      </c>
      <c r="F1798" t="str">
        <f t="shared" si="101"/>
        <v/>
      </c>
      <c r="G1798" t="str">
        <f>SUBSTITUTE(B1799,CHAR(34),CHAR(92)&amp;CHAR(34))</f>
        <v>Biển 2.</v>
      </c>
      <c r="H1798" t="str">
        <f>SUBSTITUTE(B1800,CHAR(34),CHAR(92)&amp;CHAR(34))</f>
        <v xml:space="preserve"> Biển 3.</v>
      </c>
      <c r="I1798" t="str">
        <f>SUBSTITUTE(IF(LEFT(A1801,3)="Câu","",B1801),CHAR(34),CHAR(92)&amp;CHAR(34))</f>
        <v>Cả ba biển.</v>
      </c>
      <c r="J1798" t="str">
        <f>SUBSTITUTE(IF(OR(LEFT(A1802,3)="Câu",I1798=""),"",IF(B1802=0,"",B1802)),CHAR(34),CHAR(92)&amp;CHAR(34))</f>
        <v/>
      </c>
      <c r="K1798" t="str">
        <f>SUBSTITUTE(SUBSTITUTE(SUBSTITUTE(SUBSTITUTE(IFERROR(VLOOKUP("Câu "&amp;D1798&amp;".",dapan!$E:$J,6,0),""),"1","A"),"2","B"),"3","C"),"4","D")</f>
        <v/>
      </c>
      <c r="P1798" t="str">
        <f t="shared" si="103"/>
        <v/>
      </c>
      <c r="Q1798" t="str">
        <f t="shared" si="104"/>
        <v/>
      </c>
    </row>
    <row r="1799" spans="1:17" hidden="1" x14ac:dyDescent="0.25">
      <c r="A1799">
        <v>2</v>
      </c>
      <c r="B1799" t="s">
        <v>1068</v>
      </c>
      <c r="C1799">
        <f>IFERROR(COUNTIFS($A$1:A1799,"Câu "&amp;"*")-MID(A1799,5,FIND(".",A1799,1)-5),0)</f>
        <v>0</v>
      </c>
      <c r="D1799" t="str">
        <f t="shared" si="102"/>
        <v/>
      </c>
      <c r="E1799" t="str">
        <f>SUBSTITUTE(IF(LEFT(A1799,3)="Câu",MID(A1799,FIND(".",A1799,1)+2,LEN(A1799)),""),CHAR(34),CHAR(92)&amp;CHAR(34))</f>
        <v/>
      </c>
      <c r="F1799" t="str">
        <f t="shared" si="101"/>
        <v/>
      </c>
      <c r="G1799" t="str">
        <f>SUBSTITUTE(B1800,CHAR(34),CHAR(92)&amp;CHAR(34))</f>
        <v xml:space="preserve"> Biển 3.</v>
      </c>
      <c r="H1799" t="str">
        <f>SUBSTITUTE(B1801,CHAR(34),CHAR(92)&amp;CHAR(34))</f>
        <v>Cả ba biển.</v>
      </c>
      <c r="I1799" t="str">
        <f>SUBSTITUTE(IF(LEFT(A1802,3)="Câu","",B1802),CHAR(34),CHAR(92)&amp;CHAR(34))</f>
        <v/>
      </c>
      <c r="J1799" t="str">
        <f>SUBSTITUTE(IF(OR(LEFT(A1803,3)="Câu",I1799=""),"",IF(B1803=0,"",B1803)),CHAR(34),CHAR(92)&amp;CHAR(34))</f>
        <v/>
      </c>
      <c r="K1799" t="str">
        <f>SUBSTITUTE(SUBSTITUTE(SUBSTITUTE(SUBSTITUTE(IFERROR(VLOOKUP("Câu "&amp;D1799&amp;".",dapan!$E:$J,6,0),""),"1","A"),"2","B"),"3","C"),"4","D")</f>
        <v/>
      </c>
      <c r="P1799" t="str">
        <f t="shared" si="103"/>
        <v/>
      </c>
      <c r="Q1799" t="str">
        <f t="shared" si="104"/>
        <v/>
      </c>
    </row>
    <row r="1800" spans="1:17" hidden="1" x14ac:dyDescent="0.25">
      <c r="A1800">
        <v>3</v>
      </c>
      <c r="B1800" t="s">
        <v>1114</v>
      </c>
      <c r="C1800">
        <f>IFERROR(COUNTIFS($A$1:A1800,"Câu "&amp;"*")-MID(A1800,5,FIND(".",A1800,1)-5),0)</f>
        <v>0</v>
      </c>
      <c r="D1800" t="str">
        <f t="shared" si="102"/>
        <v/>
      </c>
      <c r="E1800" t="str">
        <f>SUBSTITUTE(IF(LEFT(A1800,3)="Câu",MID(A1800,FIND(".",A1800,1)+2,LEN(A1800)),""),CHAR(34),CHAR(92)&amp;CHAR(34))</f>
        <v/>
      </c>
      <c r="F1800" t="str">
        <f t="shared" si="101"/>
        <v/>
      </c>
      <c r="G1800" t="str">
        <f>SUBSTITUTE(B1801,CHAR(34),CHAR(92)&amp;CHAR(34))</f>
        <v>Cả ba biển.</v>
      </c>
      <c r="H1800" t="str">
        <f>SUBSTITUTE(B1802,CHAR(34),CHAR(92)&amp;CHAR(34))</f>
        <v/>
      </c>
      <c r="I1800" t="str">
        <f>SUBSTITUTE(IF(LEFT(A1803,3)="Câu","",B1803),CHAR(34),CHAR(92)&amp;CHAR(34))</f>
        <v>Biển 1.</v>
      </c>
      <c r="J1800" t="str">
        <f>SUBSTITUTE(IF(OR(LEFT(A1804,3)="Câu",I1800=""),"",IF(B1804=0,"",B1804)),CHAR(34),CHAR(92)&amp;CHAR(34))</f>
        <v>Biển 2.</v>
      </c>
      <c r="K1800" t="str">
        <f>SUBSTITUTE(SUBSTITUTE(SUBSTITUTE(SUBSTITUTE(IFERROR(VLOOKUP("Câu "&amp;D1800&amp;".",dapan!$E:$J,6,0),""),"1","A"),"2","B"),"3","C"),"4","D")</f>
        <v/>
      </c>
      <c r="P1800" t="str">
        <f t="shared" si="103"/>
        <v/>
      </c>
      <c r="Q1800" t="str">
        <f t="shared" si="104"/>
        <v/>
      </c>
    </row>
    <row r="1801" spans="1:17" hidden="1" x14ac:dyDescent="0.25">
      <c r="A1801">
        <v>4</v>
      </c>
      <c r="B1801" t="s">
        <v>1071</v>
      </c>
      <c r="C1801">
        <f>IFERROR(COUNTIFS($A$1:A1801,"Câu "&amp;"*")-MID(A1801,5,FIND(".",A1801,1)-5),0)</f>
        <v>0</v>
      </c>
      <c r="D1801" t="str">
        <f t="shared" si="102"/>
        <v/>
      </c>
      <c r="E1801" t="str">
        <f>SUBSTITUTE(IF(LEFT(A1801,3)="Câu",MID(A1801,FIND(".",A1801,1)+2,LEN(A1801)),""),CHAR(34),CHAR(92)&amp;CHAR(34))</f>
        <v/>
      </c>
      <c r="F1801" t="str">
        <f t="shared" si="101"/>
        <v/>
      </c>
      <c r="G1801" t="str">
        <f>SUBSTITUTE(B1802,CHAR(34),CHAR(92)&amp;CHAR(34))</f>
        <v/>
      </c>
      <c r="H1801" t="str">
        <f>SUBSTITUTE(B1803,CHAR(34),CHAR(92)&amp;CHAR(34))</f>
        <v>Biển 1.</v>
      </c>
      <c r="I1801" t="str">
        <f>SUBSTITUTE(IF(LEFT(A1804,3)="Câu","",B1804),CHAR(34),CHAR(92)&amp;CHAR(34))</f>
        <v>Biển 2.</v>
      </c>
      <c r="J1801" t="str">
        <f>SUBSTITUTE(IF(OR(LEFT(A1805,3)="Câu",I1801=""),"",IF(B1805=0,"",B1805)),CHAR(34),CHAR(92)&amp;CHAR(34))</f>
        <v>Biển 3.</v>
      </c>
      <c r="K1801" t="str">
        <f>SUBSTITUTE(SUBSTITUTE(SUBSTITUTE(SUBSTITUTE(IFERROR(VLOOKUP("Câu "&amp;D1801&amp;".",dapan!$E:$J,6,0),""),"1","A"),"2","B"),"3","C"),"4","D")</f>
        <v/>
      </c>
      <c r="P1801" t="str">
        <f t="shared" si="103"/>
        <v/>
      </c>
      <c r="Q1801" t="str">
        <f t="shared" si="104"/>
        <v/>
      </c>
    </row>
    <row r="1802" spans="1:17" x14ac:dyDescent="0.25">
      <c r="A1802" t="s">
        <v>1287</v>
      </c>
      <c r="C1802">
        <f>IFERROR(COUNTIFS($A$1:A1802,"Câu "&amp;"*")-MID(A1802,5,FIND(".",A1802,1)-5),0)</f>
        <v>0</v>
      </c>
      <c r="D1802">
        <f t="shared" si="102"/>
        <v>438</v>
      </c>
      <c r="E1802" t="str">
        <f>SUBSTITUTE(IF(LEFT(A1802,3)="Câu",MID(A1802,FIND(".",A1802,1)+2,LEN(A1802)),""),CHAR(34),CHAR(92)&amp;CHAR(34))</f>
        <v>Biển nào dưới đây báo hiệu hết cấm vượt?</v>
      </c>
      <c r="F1802" t="str">
        <f t="shared" si="101"/>
        <v>q438.jpg</v>
      </c>
      <c r="G1802" t="str">
        <f>SUBSTITUTE(B1803,CHAR(34),CHAR(92)&amp;CHAR(34))</f>
        <v>Biển 1.</v>
      </c>
      <c r="H1802" t="str">
        <f>SUBSTITUTE(B1804,CHAR(34),CHAR(92)&amp;CHAR(34))</f>
        <v>Biển 2.</v>
      </c>
      <c r="I1802" t="str">
        <f>SUBSTITUTE(IF(LEFT(A1805,3)="Câu","",B1805),CHAR(34),CHAR(92)&amp;CHAR(34))</f>
        <v>Biển 3.</v>
      </c>
      <c r="J1802" t="str">
        <f>SUBSTITUTE(IF(OR(LEFT(A1806,3)="Câu",I1802=""),"",IF(B1806=0,"",B1806)),CHAR(34),CHAR(92)&amp;CHAR(34))</f>
        <v xml:space="preserve"> Biển 2 và biển 3.</v>
      </c>
      <c r="K1802" t="str">
        <f ca="1">SUBSTITUTE(SUBSTITUTE(SUBSTITUTE(SUBSTITUTE(IFERROR(VLOOKUP("Câu "&amp;D1802&amp;".",dapan!$E:$J,6,0),""),"1","A"),"2","B"),"3","C"),"4","D")</f>
        <v>D</v>
      </c>
      <c r="P1802">
        <f t="shared" si="103"/>
        <v>438</v>
      </c>
      <c r="Q1802" t="str">
        <f t="shared" ca="1" si="104"/>
        <v>{"num":438,"id":438,"q":"Biển nào dưới đây báo hiệu hết cấm vượt?","img":"q438.jpg","opts":{"A":"Biển 1.","B":"Biển 2.","C":"Biển 3.","D":" Biển 2 và biển 3."},"answer":"D"},</v>
      </c>
    </row>
    <row r="1803" spans="1:17" hidden="1" x14ac:dyDescent="0.25">
      <c r="A1803">
        <v>1</v>
      </c>
      <c r="B1803" t="s">
        <v>1075</v>
      </c>
      <c r="C1803">
        <f>IFERROR(COUNTIFS($A$1:A1803,"Câu "&amp;"*")-MID(A1803,5,FIND(".",A1803,1)-5),0)</f>
        <v>0</v>
      </c>
      <c r="D1803" t="str">
        <f t="shared" si="102"/>
        <v/>
      </c>
      <c r="E1803" t="str">
        <f>SUBSTITUTE(IF(LEFT(A1803,3)="Câu",MID(A1803,FIND(".",A1803,1)+2,LEN(A1803)),""),CHAR(34),CHAR(92)&amp;CHAR(34))</f>
        <v/>
      </c>
      <c r="F1803" t="str">
        <f t="shared" si="101"/>
        <v/>
      </c>
      <c r="G1803" t="str">
        <f>SUBSTITUTE(B1804,CHAR(34),CHAR(92)&amp;CHAR(34))</f>
        <v>Biển 2.</v>
      </c>
      <c r="H1803" t="str">
        <f>SUBSTITUTE(B1805,CHAR(34),CHAR(92)&amp;CHAR(34))</f>
        <v>Biển 3.</v>
      </c>
      <c r="I1803" t="str">
        <f>SUBSTITUTE(IF(LEFT(A1806,3)="Câu","",B1806),CHAR(34),CHAR(92)&amp;CHAR(34))</f>
        <v xml:space="preserve"> Biển 2 và biển 3.</v>
      </c>
      <c r="J1803" t="str">
        <f>SUBSTITUTE(IF(OR(LEFT(A1807,3)="Câu",I1803=""),"",IF(B1807=0,"",B1807)),CHAR(34),CHAR(92)&amp;CHAR(34))</f>
        <v/>
      </c>
      <c r="K1803" t="str">
        <f>SUBSTITUTE(SUBSTITUTE(SUBSTITUTE(SUBSTITUTE(IFERROR(VLOOKUP("Câu "&amp;D1803&amp;".",dapan!$E:$J,6,0),""),"1","A"),"2","B"),"3","C"),"4","D")</f>
        <v/>
      </c>
      <c r="P1803" t="str">
        <f t="shared" si="103"/>
        <v/>
      </c>
      <c r="Q1803" t="str">
        <f t="shared" si="104"/>
        <v/>
      </c>
    </row>
    <row r="1804" spans="1:17" hidden="1" x14ac:dyDescent="0.25">
      <c r="A1804">
        <v>2</v>
      </c>
      <c r="B1804" t="s">
        <v>1068</v>
      </c>
      <c r="C1804">
        <f>IFERROR(COUNTIFS($A$1:A1804,"Câu "&amp;"*")-MID(A1804,5,FIND(".",A1804,1)-5),0)</f>
        <v>0</v>
      </c>
      <c r="D1804" t="str">
        <f t="shared" si="102"/>
        <v/>
      </c>
      <c r="E1804" t="str">
        <f>SUBSTITUTE(IF(LEFT(A1804,3)="Câu",MID(A1804,FIND(".",A1804,1)+2,LEN(A1804)),""),CHAR(34),CHAR(92)&amp;CHAR(34))</f>
        <v/>
      </c>
      <c r="F1804" t="str">
        <f t="shared" si="101"/>
        <v/>
      </c>
      <c r="G1804" t="str">
        <f>SUBSTITUTE(B1805,CHAR(34),CHAR(92)&amp;CHAR(34))</f>
        <v>Biển 3.</v>
      </c>
      <c r="H1804" t="str">
        <f>SUBSTITUTE(B1806,CHAR(34),CHAR(92)&amp;CHAR(34))</f>
        <v xml:space="preserve"> Biển 2 và biển 3.</v>
      </c>
      <c r="I1804" t="str">
        <f>SUBSTITUTE(IF(LEFT(A1807,3)="Câu","",B1807),CHAR(34),CHAR(92)&amp;CHAR(34))</f>
        <v/>
      </c>
      <c r="J1804" t="str">
        <f>SUBSTITUTE(IF(OR(LEFT(A1808,3)="Câu",I1804=""),"",IF(B1808=0,"",B1808)),CHAR(34),CHAR(92)&amp;CHAR(34))</f>
        <v/>
      </c>
      <c r="K1804" t="str">
        <f>SUBSTITUTE(SUBSTITUTE(SUBSTITUTE(SUBSTITUTE(IFERROR(VLOOKUP("Câu "&amp;D1804&amp;".",dapan!$E:$J,6,0),""),"1","A"),"2","B"),"3","C"),"4","D")</f>
        <v/>
      </c>
      <c r="P1804" t="str">
        <f t="shared" si="103"/>
        <v/>
      </c>
      <c r="Q1804" t="str">
        <f t="shared" si="104"/>
        <v/>
      </c>
    </row>
    <row r="1805" spans="1:17" hidden="1" x14ac:dyDescent="0.25">
      <c r="A1805">
        <v>3</v>
      </c>
      <c r="B1805" t="s">
        <v>1083</v>
      </c>
      <c r="C1805">
        <f>IFERROR(COUNTIFS($A$1:A1805,"Câu "&amp;"*")-MID(A1805,5,FIND(".",A1805,1)-5),0)</f>
        <v>0</v>
      </c>
      <c r="D1805" t="str">
        <f t="shared" si="102"/>
        <v/>
      </c>
      <c r="E1805" t="str">
        <f>SUBSTITUTE(IF(LEFT(A1805,3)="Câu",MID(A1805,FIND(".",A1805,1)+2,LEN(A1805)),""),CHAR(34),CHAR(92)&amp;CHAR(34))</f>
        <v/>
      </c>
      <c r="F1805" t="str">
        <f t="shared" si="101"/>
        <v/>
      </c>
      <c r="G1805" t="str">
        <f>SUBSTITUTE(B1806,CHAR(34),CHAR(92)&amp;CHAR(34))</f>
        <v xml:space="preserve"> Biển 2 và biển 3.</v>
      </c>
      <c r="H1805" t="str">
        <f>SUBSTITUTE(B1807,CHAR(34),CHAR(92)&amp;CHAR(34))</f>
        <v/>
      </c>
      <c r="I1805" t="str">
        <f>SUBSTITUTE(IF(LEFT(A1808,3)="Câu","",B1808),CHAR(34),CHAR(92)&amp;CHAR(34))</f>
        <v>Biển 1.</v>
      </c>
      <c r="J1805" t="str">
        <f>SUBSTITUTE(IF(OR(LEFT(A1809,3)="Câu",I1805=""),"",IF(B1809=0,"",B1809)),CHAR(34),CHAR(92)&amp;CHAR(34))</f>
        <v xml:space="preserve"> Biển 2.</v>
      </c>
      <c r="K1805" t="str">
        <f>SUBSTITUTE(SUBSTITUTE(SUBSTITUTE(SUBSTITUTE(IFERROR(VLOOKUP("Câu "&amp;D1805&amp;".",dapan!$E:$J,6,0),""),"1","A"),"2","B"),"3","C"),"4","D")</f>
        <v/>
      </c>
      <c r="P1805" t="str">
        <f t="shared" si="103"/>
        <v/>
      </c>
      <c r="Q1805" t="str">
        <f t="shared" si="104"/>
        <v/>
      </c>
    </row>
    <row r="1806" spans="1:17" hidden="1" x14ac:dyDescent="0.25">
      <c r="A1806">
        <v>4</v>
      </c>
      <c r="B1806" t="s">
        <v>1076</v>
      </c>
      <c r="C1806">
        <f>IFERROR(COUNTIFS($A$1:A1806,"Câu "&amp;"*")-MID(A1806,5,FIND(".",A1806,1)-5),0)</f>
        <v>0</v>
      </c>
      <c r="D1806" t="str">
        <f t="shared" si="102"/>
        <v/>
      </c>
      <c r="E1806" t="str">
        <f>SUBSTITUTE(IF(LEFT(A1806,3)="Câu",MID(A1806,FIND(".",A1806,1)+2,LEN(A1806)),""),CHAR(34),CHAR(92)&amp;CHAR(34))</f>
        <v/>
      </c>
      <c r="F1806" t="str">
        <f t="shared" si="101"/>
        <v/>
      </c>
      <c r="G1806" t="str">
        <f>SUBSTITUTE(B1807,CHAR(34),CHAR(92)&amp;CHAR(34))</f>
        <v/>
      </c>
      <c r="H1806" t="str">
        <f>SUBSTITUTE(B1808,CHAR(34),CHAR(92)&amp;CHAR(34))</f>
        <v>Biển 1.</v>
      </c>
      <c r="I1806" t="str">
        <f>SUBSTITUTE(IF(LEFT(A1809,3)="Câu","",B1809),CHAR(34),CHAR(92)&amp;CHAR(34))</f>
        <v xml:space="preserve"> Biển 2.</v>
      </c>
      <c r="J1806" t="str">
        <f>SUBSTITUTE(IF(OR(LEFT(A1810,3)="Câu",I1806=""),"",IF(B1810=0,"",B1810)),CHAR(34),CHAR(92)&amp;CHAR(34))</f>
        <v>Biển 3.</v>
      </c>
      <c r="K1806" t="str">
        <f>SUBSTITUTE(SUBSTITUTE(SUBSTITUTE(SUBSTITUTE(IFERROR(VLOOKUP("Câu "&amp;D1806&amp;".",dapan!$E:$J,6,0),""),"1","A"),"2","B"),"3","C"),"4","D")</f>
        <v/>
      </c>
      <c r="P1806" t="str">
        <f t="shared" si="103"/>
        <v/>
      </c>
      <c r="Q1806" t="str">
        <f t="shared" si="104"/>
        <v/>
      </c>
    </row>
    <row r="1807" spans="1:17" x14ac:dyDescent="0.25">
      <c r="A1807" t="s">
        <v>1288</v>
      </c>
      <c r="C1807">
        <f>IFERROR(COUNTIFS($A$1:A1807,"Câu "&amp;"*")-MID(A1807,5,FIND(".",A1807,1)-5),0)</f>
        <v>0</v>
      </c>
      <c r="D1807">
        <f t="shared" si="102"/>
        <v>439</v>
      </c>
      <c r="E1807" t="str">
        <f>SUBSTITUTE(IF(LEFT(A1807,3)="Câu",MID(A1807,FIND(".",A1807,1)+2,LEN(A1807)),""),CHAR(34),CHAR(92)&amp;CHAR(34))</f>
        <v>Trong các biển dưới đây biển nào là biển \"Hết mọi lệnh cấm\"?</v>
      </c>
      <c r="F1807" t="str">
        <f t="shared" si="101"/>
        <v>q439.jpg</v>
      </c>
      <c r="G1807" t="str">
        <f>SUBSTITUTE(B1808,CHAR(34),CHAR(92)&amp;CHAR(34))</f>
        <v>Biển 1.</v>
      </c>
      <c r="H1807" t="str">
        <f>SUBSTITUTE(B1809,CHAR(34),CHAR(92)&amp;CHAR(34))</f>
        <v xml:space="preserve"> Biển 2.</v>
      </c>
      <c r="I1807" t="str">
        <f>SUBSTITUTE(IF(LEFT(A1810,3)="Câu","",B1810),CHAR(34),CHAR(92)&amp;CHAR(34))</f>
        <v>Biển 3.</v>
      </c>
      <c r="J1807" t="str">
        <f>SUBSTITUTE(IF(OR(LEFT(A1811,3)="Câu",I1807=""),"",IF(B1811=0,"",B1811)),CHAR(34),CHAR(92)&amp;CHAR(34))</f>
        <v>Cả ba biển.</v>
      </c>
      <c r="K1807" t="str">
        <f ca="1">SUBSTITUTE(SUBSTITUTE(SUBSTITUTE(SUBSTITUTE(IFERROR(VLOOKUP("Câu "&amp;D1807&amp;".",dapan!$E:$J,6,0),""),"1","A"),"2","B"),"3","C"),"4","D")</f>
        <v>B</v>
      </c>
      <c r="P1807">
        <f t="shared" si="103"/>
        <v>439</v>
      </c>
      <c r="Q1807" t="str">
        <f t="shared" ca="1" si="104"/>
        <v>{"num":439,"id":439,"q":"Trong các biển dưới đây biển nào là biển \"Hết mọi lệnh cấm\"?","img":"q439.jpg","opts":{"A":"Biển 1.","B":" Biển 2.","C":"Biển 3.","D":"Cả ba biển."},"answer":"B"},</v>
      </c>
    </row>
    <row r="1808" spans="1:17" hidden="1" x14ac:dyDescent="0.25">
      <c r="A1808">
        <v>1</v>
      </c>
      <c r="B1808" t="s">
        <v>1075</v>
      </c>
      <c r="C1808">
        <f>IFERROR(COUNTIFS($A$1:A1808,"Câu "&amp;"*")-MID(A1808,5,FIND(".",A1808,1)-5),0)</f>
        <v>0</v>
      </c>
      <c r="D1808" t="str">
        <f t="shared" si="102"/>
        <v/>
      </c>
      <c r="E1808" t="str">
        <f>SUBSTITUTE(IF(LEFT(A1808,3)="Câu",MID(A1808,FIND(".",A1808,1)+2,LEN(A1808)),""),CHAR(34),CHAR(92)&amp;CHAR(34))</f>
        <v/>
      </c>
      <c r="F1808" t="str">
        <f t="shared" si="101"/>
        <v/>
      </c>
      <c r="G1808" t="str">
        <f>SUBSTITUTE(B1809,CHAR(34),CHAR(92)&amp;CHAR(34))</f>
        <v xml:space="preserve"> Biển 2.</v>
      </c>
      <c r="H1808" t="str">
        <f>SUBSTITUTE(B1810,CHAR(34),CHAR(92)&amp;CHAR(34))</f>
        <v>Biển 3.</v>
      </c>
      <c r="I1808" t="str">
        <f>SUBSTITUTE(IF(LEFT(A1811,3)="Câu","",B1811),CHAR(34),CHAR(92)&amp;CHAR(34))</f>
        <v>Cả ba biển.</v>
      </c>
      <c r="J1808" t="str">
        <f>SUBSTITUTE(IF(OR(LEFT(A1812,3)="Câu",I1808=""),"",IF(B1812=0,"",B1812)),CHAR(34),CHAR(92)&amp;CHAR(34))</f>
        <v/>
      </c>
      <c r="K1808" t="str">
        <f>SUBSTITUTE(SUBSTITUTE(SUBSTITUTE(SUBSTITUTE(IFERROR(VLOOKUP("Câu "&amp;D1808&amp;".",dapan!$E:$J,6,0),""),"1","A"),"2","B"),"3","C"),"4","D")</f>
        <v/>
      </c>
      <c r="P1808" t="str">
        <f t="shared" si="103"/>
        <v/>
      </c>
      <c r="Q1808" t="str">
        <f t="shared" si="104"/>
        <v/>
      </c>
    </row>
    <row r="1809" spans="1:17" hidden="1" x14ac:dyDescent="0.25">
      <c r="A1809">
        <v>2</v>
      </c>
      <c r="B1809" t="s">
        <v>1090</v>
      </c>
      <c r="C1809">
        <f>IFERROR(COUNTIFS($A$1:A1809,"Câu "&amp;"*")-MID(A1809,5,FIND(".",A1809,1)-5),0)</f>
        <v>0</v>
      </c>
      <c r="D1809" t="str">
        <f t="shared" si="102"/>
        <v/>
      </c>
      <c r="E1809" t="str">
        <f>SUBSTITUTE(IF(LEFT(A1809,3)="Câu",MID(A1809,FIND(".",A1809,1)+2,LEN(A1809)),""),CHAR(34),CHAR(92)&amp;CHAR(34))</f>
        <v/>
      </c>
      <c r="F1809" t="str">
        <f t="shared" si="101"/>
        <v/>
      </c>
      <c r="G1809" t="str">
        <f>SUBSTITUTE(B1810,CHAR(34),CHAR(92)&amp;CHAR(34))</f>
        <v>Biển 3.</v>
      </c>
      <c r="H1809" t="str">
        <f>SUBSTITUTE(B1811,CHAR(34),CHAR(92)&amp;CHAR(34))</f>
        <v>Cả ba biển.</v>
      </c>
      <c r="I1809" t="str">
        <f>SUBSTITUTE(IF(LEFT(A1812,3)="Câu","",B1812),CHAR(34),CHAR(92)&amp;CHAR(34))</f>
        <v/>
      </c>
      <c r="J1809" t="str">
        <f>SUBSTITUTE(IF(OR(LEFT(A1813,3)="Câu",I1809=""),"",IF(B1813=0,"",B1813)),CHAR(34),CHAR(92)&amp;CHAR(34))</f>
        <v/>
      </c>
      <c r="K1809" t="str">
        <f>SUBSTITUTE(SUBSTITUTE(SUBSTITUTE(SUBSTITUTE(IFERROR(VLOOKUP("Câu "&amp;D1809&amp;".",dapan!$E:$J,6,0),""),"1","A"),"2","B"),"3","C"),"4","D")</f>
        <v/>
      </c>
      <c r="P1809" t="str">
        <f t="shared" si="103"/>
        <v/>
      </c>
      <c r="Q1809" t="str">
        <f t="shared" si="104"/>
        <v/>
      </c>
    </row>
    <row r="1810" spans="1:17" hidden="1" x14ac:dyDescent="0.25">
      <c r="A1810">
        <v>3</v>
      </c>
      <c r="B1810" t="s">
        <v>1083</v>
      </c>
      <c r="C1810">
        <f>IFERROR(COUNTIFS($A$1:A1810,"Câu "&amp;"*")-MID(A1810,5,FIND(".",A1810,1)-5),0)</f>
        <v>0</v>
      </c>
      <c r="D1810" t="str">
        <f t="shared" si="102"/>
        <v/>
      </c>
      <c r="E1810" t="str">
        <f>SUBSTITUTE(IF(LEFT(A1810,3)="Câu",MID(A1810,FIND(".",A1810,1)+2,LEN(A1810)),""),CHAR(34),CHAR(92)&amp;CHAR(34))</f>
        <v/>
      </c>
      <c r="F1810" t="str">
        <f t="shared" si="101"/>
        <v/>
      </c>
      <c r="G1810" t="str">
        <f>SUBSTITUTE(B1811,CHAR(34),CHAR(92)&amp;CHAR(34))</f>
        <v>Cả ba biển.</v>
      </c>
      <c r="H1810" t="str">
        <f>SUBSTITUTE(B1812,CHAR(34),CHAR(92)&amp;CHAR(34))</f>
        <v/>
      </c>
      <c r="I1810" t="str">
        <f>SUBSTITUTE(IF(LEFT(A1813,3)="Câu","",B1813),CHAR(34),CHAR(92)&amp;CHAR(34))</f>
        <v>Biển 1.</v>
      </c>
      <c r="J1810" t="str">
        <f>SUBSTITUTE(IF(OR(LEFT(A1814,3)="Câu",I1810=""),"",IF(B1814=0,"",B1814)),CHAR(34),CHAR(92)&amp;CHAR(34))</f>
        <v>Biển 2.</v>
      </c>
      <c r="K1810" t="str">
        <f>SUBSTITUTE(SUBSTITUTE(SUBSTITUTE(SUBSTITUTE(IFERROR(VLOOKUP("Câu "&amp;D1810&amp;".",dapan!$E:$J,6,0),""),"1","A"),"2","B"),"3","C"),"4","D")</f>
        <v/>
      </c>
      <c r="P1810" t="str">
        <f t="shared" si="103"/>
        <v/>
      </c>
      <c r="Q1810" t="str">
        <f t="shared" si="104"/>
        <v/>
      </c>
    </row>
    <row r="1811" spans="1:17" hidden="1" x14ac:dyDescent="0.25">
      <c r="A1811">
        <v>4</v>
      </c>
      <c r="B1811" t="s">
        <v>1071</v>
      </c>
      <c r="C1811">
        <f>IFERROR(COUNTIFS($A$1:A1811,"Câu "&amp;"*")-MID(A1811,5,FIND(".",A1811,1)-5),0)</f>
        <v>0</v>
      </c>
      <c r="D1811" t="str">
        <f t="shared" si="102"/>
        <v/>
      </c>
      <c r="E1811" t="str">
        <f>SUBSTITUTE(IF(LEFT(A1811,3)="Câu",MID(A1811,FIND(".",A1811,1)+2,LEN(A1811)),""),CHAR(34),CHAR(92)&amp;CHAR(34))</f>
        <v/>
      </c>
      <c r="F1811" t="str">
        <f t="shared" si="101"/>
        <v/>
      </c>
      <c r="G1811" t="str">
        <f>SUBSTITUTE(B1812,CHAR(34),CHAR(92)&amp;CHAR(34))</f>
        <v/>
      </c>
      <c r="H1811" t="str">
        <f>SUBSTITUTE(B1813,CHAR(34),CHAR(92)&amp;CHAR(34))</f>
        <v>Biển 1.</v>
      </c>
      <c r="I1811" t="str">
        <f>SUBSTITUTE(IF(LEFT(A1814,3)="Câu","",B1814),CHAR(34),CHAR(92)&amp;CHAR(34))</f>
        <v>Biển 2.</v>
      </c>
      <c r="J1811" t="str">
        <f>SUBSTITUTE(IF(OR(LEFT(A1815,3)="Câu",I1811=""),"",IF(B1815=0,"",B1815)),CHAR(34),CHAR(92)&amp;CHAR(34))</f>
        <v xml:space="preserve"> Biển 3.</v>
      </c>
      <c r="K1811" t="str">
        <f>SUBSTITUTE(SUBSTITUTE(SUBSTITUTE(SUBSTITUTE(IFERROR(VLOOKUP("Câu "&amp;D1811&amp;".",dapan!$E:$J,6,0),""),"1","A"),"2","B"),"3","C"),"4","D")</f>
        <v/>
      </c>
      <c r="P1811" t="str">
        <f t="shared" si="103"/>
        <v/>
      </c>
      <c r="Q1811" t="str">
        <f t="shared" si="104"/>
        <v/>
      </c>
    </row>
    <row r="1812" spans="1:17" x14ac:dyDescent="0.25">
      <c r="A1812" t="s">
        <v>1289</v>
      </c>
      <c r="C1812">
        <f>IFERROR(COUNTIFS($A$1:A1812,"Câu "&amp;"*")-MID(A1812,5,FIND(".",A1812,1)-5),0)</f>
        <v>0</v>
      </c>
      <c r="D1812">
        <f t="shared" si="102"/>
        <v>440</v>
      </c>
      <c r="E1812" t="str">
        <f>SUBSTITUTE(IF(LEFT(A1812,3)="Câu",MID(A1812,FIND(".",A1812,1)+2,LEN(A1812)),""),CHAR(34),CHAR(92)&amp;CHAR(34))</f>
        <v>Biển nào cho phép được quay đầu xe đi theo hướng ngược lại khi đặt biển trước ngã ba, ngã tư?</v>
      </c>
      <c r="F1812" t="str">
        <f t="shared" si="101"/>
        <v>q440.jpg</v>
      </c>
      <c r="G1812" t="str">
        <f>SUBSTITUTE(B1813,CHAR(34),CHAR(92)&amp;CHAR(34))</f>
        <v>Biển 1.</v>
      </c>
      <c r="H1812" t="str">
        <f>SUBSTITUTE(B1814,CHAR(34),CHAR(92)&amp;CHAR(34))</f>
        <v>Biển 2.</v>
      </c>
      <c r="I1812" t="str">
        <f>SUBSTITUTE(IF(LEFT(A1815,3)="Câu","",B1815),CHAR(34),CHAR(92)&amp;CHAR(34))</f>
        <v xml:space="preserve"> Biển 3.</v>
      </c>
      <c r="J1812" t="str">
        <f>SUBSTITUTE(IF(OR(LEFT(A1816,3)="Câu",I1812=""),"",IF(B1816=0,"",B1816)),CHAR(34),CHAR(92)&amp;CHAR(34))</f>
        <v>Không biển nào.</v>
      </c>
      <c r="K1812" t="str">
        <f ca="1">SUBSTITUTE(SUBSTITUTE(SUBSTITUTE(SUBSTITUTE(IFERROR(VLOOKUP("Câu "&amp;D1812&amp;".",dapan!$E:$J,6,0),""),"1","A"),"2","B"),"3","C"),"4","D")</f>
        <v>C</v>
      </c>
      <c r="P1812">
        <f t="shared" si="103"/>
        <v>440</v>
      </c>
      <c r="Q1812" t="str">
        <f t="shared" ca="1" si="104"/>
        <v>{"num":440,"id":440,"q":"Biển nào cho phép được quay đầu xe đi theo hướng ngược lại khi đặt biển trước ngã ba, ngã tư?","img":"q440.jpg","opts":{"A":"Biển 1.","B":"Biển 2.","C":" Biển 3.","D":"Không biển nào."},"answer":"C"},</v>
      </c>
    </row>
    <row r="1813" spans="1:17" hidden="1" x14ac:dyDescent="0.25">
      <c r="A1813">
        <v>1</v>
      </c>
      <c r="B1813" t="s">
        <v>1075</v>
      </c>
      <c r="C1813">
        <f>IFERROR(COUNTIFS($A$1:A1813,"Câu "&amp;"*")-MID(A1813,5,FIND(".",A1813,1)-5),0)</f>
        <v>0</v>
      </c>
      <c r="D1813" t="str">
        <f t="shared" si="102"/>
        <v/>
      </c>
      <c r="E1813" t="str">
        <f>SUBSTITUTE(IF(LEFT(A1813,3)="Câu",MID(A1813,FIND(".",A1813,1)+2,LEN(A1813)),""),CHAR(34),CHAR(92)&amp;CHAR(34))</f>
        <v/>
      </c>
      <c r="F1813" t="str">
        <f t="shared" si="101"/>
        <v/>
      </c>
      <c r="G1813" t="str">
        <f>SUBSTITUTE(B1814,CHAR(34),CHAR(92)&amp;CHAR(34))</f>
        <v>Biển 2.</v>
      </c>
      <c r="H1813" t="str">
        <f>SUBSTITUTE(B1815,CHAR(34),CHAR(92)&amp;CHAR(34))</f>
        <v xml:space="preserve"> Biển 3.</v>
      </c>
      <c r="I1813" t="str">
        <f>SUBSTITUTE(IF(LEFT(A1816,3)="Câu","",B1816),CHAR(34),CHAR(92)&amp;CHAR(34))</f>
        <v>Không biển nào.</v>
      </c>
      <c r="J1813" t="str">
        <f>SUBSTITUTE(IF(OR(LEFT(A1817,3)="Câu",I1813=""),"",IF(B1817=0,"",B1817)),CHAR(34),CHAR(92)&amp;CHAR(34))</f>
        <v/>
      </c>
      <c r="K1813" t="str">
        <f>SUBSTITUTE(SUBSTITUTE(SUBSTITUTE(SUBSTITUTE(IFERROR(VLOOKUP("Câu "&amp;D1813&amp;".",dapan!$E:$J,6,0),""),"1","A"),"2","B"),"3","C"),"4","D")</f>
        <v/>
      </c>
      <c r="P1813" t="str">
        <f t="shared" si="103"/>
        <v/>
      </c>
      <c r="Q1813" t="str">
        <f t="shared" si="104"/>
        <v/>
      </c>
    </row>
    <row r="1814" spans="1:17" hidden="1" x14ac:dyDescent="0.25">
      <c r="A1814">
        <v>2</v>
      </c>
      <c r="B1814" t="s">
        <v>1068</v>
      </c>
      <c r="C1814">
        <f>IFERROR(COUNTIFS($A$1:A1814,"Câu "&amp;"*")-MID(A1814,5,FIND(".",A1814,1)-5),0)</f>
        <v>0</v>
      </c>
      <c r="D1814" t="str">
        <f t="shared" si="102"/>
        <v/>
      </c>
      <c r="E1814" t="str">
        <f>SUBSTITUTE(IF(LEFT(A1814,3)="Câu",MID(A1814,FIND(".",A1814,1)+2,LEN(A1814)),""),CHAR(34),CHAR(92)&amp;CHAR(34))</f>
        <v/>
      </c>
      <c r="F1814" t="str">
        <f t="shared" si="101"/>
        <v/>
      </c>
      <c r="G1814" t="str">
        <f>SUBSTITUTE(B1815,CHAR(34),CHAR(92)&amp;CHAR(34))</f>
        <v xml:space="preserve"> Biển 3.</v>
      </c>
      <c r="H1814" t="str">
        <f>SUBSTITUTE(B1816,CHAR(34),CHAR(92)&amp;CHAR(34))</f>
        <v>Không biển nào.</v>
      </c>
      <c r="I1814" t="str">
        <f>SUBSTITUTE(IF(LEFT(A1817,3)="Câu","",B1817),CHAR(34),CHAR(92)&amp;CHAR(34))</f>
        <v/>
      </c>
      <c r="J1814" t="str">
        <f>SUBSTITUTE(IF(OR(LEFT(A1818,3)="Câu",I1814=""),"",IF(B1818=0,"",B1818)),CHAR(34),CHAR(92)&amp;CHAR(34))</f>
        <v/>
      </c>
      <c r="K1814" t="str">
        <f>SUBSTITUTE(SUBSTITUTE(SUBSTITUTE(SUBSTITUTE(IFERROR(VLOOKUP("Câu "&amp;D1814&amp;".",dapan!$E:$J,6,0),""),"1","A"),"2","B"),"3","C"),"4","D")</f>
        <v/>
      </c>
      <c r="P1814" t="str">
        <f t="shared" si="103"/>
        <v/>
      </c>
      <c r="Q1814" t="str">
        <f t="shared" si="104"/>
        <v/>
      </c>
    </row>
    <row r="1815" spans="1:17" hidden="1" x14ac:dyDescent="0.25">
      <c r="A1815">
        <v>3</v>
      </c>
      <c r="B1815" t="s">
        <v>1114</v>
      </c>
      <c r="C1815">
        <f>IFERROR(COUNTIFS($A$1:A1815,"Câu "&amp;"*")-MID(A1815,5,FIND(".",A1815,1)-5),0)</f>
        <v>0</v>
      </c>
      <c r="D1815" t="str">
        <f t="shared" si="102"/>
        <v/>
      </c>
      <c r="E1815" t="str">
        <f>SUBSTITUTE(IF(LEFT(A1815,3)="Câu",MID(A1815,FIND(".",A1815,1)+2,LEN(A1815)),""),CHAR(34),CHAR(92)&amp;CHAR(34))</f>
        <v/>
      </c>
      <c r="F1815" t="str">
        <f t="shared" ref="F1815:F1878" si="105">IF(D1815="","","q"&amp;TEXT(D1815,"000")&amp;".jpg")</f>
        <v/>
      </c>
      <c r="G1815" t="str">
        <f>SUBSTITUTE(B1816,CHAR(34),CHAR(92)&amp;CHAR(34))</f>
        <v>Không biển nào.</v>
      </c>
      <c r="H1815" t="str">
        <f>SUBSTITUTE(B1817,CHAR(34),CHAR(92)&amp;CHAR(34))</f>
        <v/>
      </c>
      <c r="I1815" t="str">
        <f>SUBSTITUTE(IF(LEFT(A1818,3)="Câu","",B1818),CHAR(34),CHAR(92)&amp;CHAR(34))</f>
        <v xml:space="preserve"> Biển 1.</v>
      </c>
      <c r="J1815" t="str">
        <f>SUBSTITUTE(IF(OR(LEFT(A1819,3)="Câu",I1815=""),"",IF(B1819=0,"",B1819)),CHAR(34),CHAR(92)&amp;CHAR(34))</f>
        <v>Biển 2.</v>
      </c>
      <c r="K1815" t="str">
        <f>SUBSTITUTE(SUBSTITUTE(SUBSTITUTE(SUBSTITUTE(IFERROR(VLOOKUP("Câu "&amp;D1815&amp;".",dapan!$E:$J,6,0),""),"1","A"),"2","B"),"3","C"),"4","D")</f>
        <v/>
      </c>
      <c r="P1815" t="str">
        <f t="shared" si="103"/>
        <v/>
      </c>
      <c r="Q1815" t="str">
        <f t="shared" si="104"/>
        <v/>
      </c>
    </row>
    <row r="1816" spans="1:17" hidden="1" x14ac:dyDescent="0.25">
      <c r="A1816">
        <v>4</v>
      </c>
      <c r="B1816" t="s">
        <v>1085</v>
      </c>
      <c r="C1816">
        <f>IFERROR(COUNTIFS($A$1:A1816,"Câu "&amp;"*")-MID(A1816,5,FIND(".",A1816,1)-5),0)</f>
        <v>0</v>
      </c>
      <c r="D1816" t="str">
        <f t="shared" si="102"/>
        <v/>
      </c>
      <c r="E1816" t="str">
        <f>SUBSTITUTE(IF(LEFT(A1816,3)="Câu",MID(A1816,FIND(".",A1816,1)+2,LEN(A1816)),""),CHAR(34),CHAR(92)&amp;CHAR(34))</f>
        <v/>
      </c>
      <c r="F1816" t="str">
        <f t="shared" si="105"/>
        <v/>
      </c>
      <c r="G1816" t="str">
        <f>SUBSTITUTE(B1817,CHAR(34),CHAR(92)&amp;CHAR(34))</f>
        <v/>
      </c>
      <c r="H1816" t="str">
        <f>SUBSTITUTE(B1818,CHAR(34),CHAR(92)&amp;CHAR(34))</f>
        <v xml:space="preserve"> Biển 1.</v>
      </c>
      <c r="I1816" t="str">
        <f>SUBSTITUTE(IF(LEFT(A1819,3)="Câu","",B1819),CHAR(34),CHAR(92)&amp;CHAR(34))</f>
        <v>Biển 2.</v>
      </c>
      <c r="J1816" t="str">
        <f>SUBSTITUTE(IF(OR(LEFT(A1820,3)="Câu",I1816=""),"",IF(B1820=0,"",B1820)),CHAR(34),CHAR(92)&amp;CHAR(34))</f>
        <v>Biển 3.</v>
      </c>
      <c r="K1816" t="str">
        <f>SUBSTITUTE(SUBSTITUTE(SUBSTITUTE(SUBSTITUTE(IFERROR(VLOOKUP("Câu "&amp;D1816&amp;".",dapan!$E:$J,6,0),""),"1","A"),"2","B"),"3","C"),"4","D")</f>
        <v/>
      </c>
      <c r="P1816" t="str">
        <f t="shared" si="103"/>
        <v/>
      </c>
      <c r="Q1816" t="str">
        <f t="shared" si="104"/>
        <v/>
      </c>
    </row>
    <row r="1817" spans="1:17" x14ac:dyDescent="0.25">
      <c r="A1817" t="s">
        <v>1290</v>
      </c>
      <c r="C1817">
        <f>IFERROR(COUNTIFS($A$1:A1817,"Câu "&amp;"*")-MID(A1817,5,FIND(".",A1817,1)-5),0)</f>
        <v>0</v>
      </c>
      <c r="D1817">
        <f t="shared" ref="D1817:D1880" si="106">IF(LEFT(A1817,3)="Câu",VALUE(MID(A1817,5,FIND(".",A1817,1)-5)),"")</f>
        <v>441</v>
      </c>
      <c r="E1817" t="str">
        <f>SUBSTITUTE(IF(LEFT(A1817,3)="Câu",MID(A1817,FIND(".",A1817,1)+2,LEN(A1817)),""),CHAR(34),CHAR(92)&amp;CHAR(34))</f>
        <v>Biển nào không cho phép rẽ phải?</v>
      </c>
      <c r="F1817" t="str">
        <f t="shared" si="105"/>
        <v>q441.jpg</v>
      </c>
      <c r="G1817" t="str">
        <f>SUBSTITUTE(B1818,CHAR(34),CHAR(92)&amp;CHAR(34))</f>
        <v xml:space="preserve"> Biển 1.</v>
      </c>
      <c r="H1817" t="str">
        <f>SUBSTITUTE(B1819,CHAR(34),CHAR(92)&amp;CHAR(34))</f>
        <v>Biển 2.</v>
      </c>
      <c r="I1817" t="str">
        <f>SUBSTITUTE(IF(LEFT(A1820,3)="Câu","",B1820),CHAR(34),CHAR(92)&amp;CHAR(34))</f>
        <v>Biển 3.</v>
      </c>
      <c r="J1817" t="str">
        <f>SUBSTITUTE(IF(OR(LEFT(A1821,3)="Câu",I1817=""),"",IF(B1821=0,"",B1821)),CHAR(34),CHAR(92)&amp;CHAR(34))</f>
        <v>Biển 1 và biển 3.</v>
      </c>
      <c r="K1817" t="str">
        <f ca="1">SUBSTITUTE(SUBSTITUTE(SUBSTITUTE(SUBSTITUTE(IFERROR(VLOOKUP("Câu "&amp;D1817&amp;".",dapan!$E:$J,6,0),""),"1","A"),"2","B"),"3","C"),"4","D")</f>
        <v>A</v>
      </c>
      <c r="P1817">
        <f t="shared" si="103"/>
        <v>441</v>
      </c>
      <c r="Q1817" t="str">
        <f t="shared" ca="1" si="104"/>
        <v>{"num":441,"id":441,"q":"Biển nào không cho phép rẽ phải?","img":"q441.jpg","opts":{"A":" Biển 1.","B":"Biển 2.","C":"Biển 3.","D":"Biển 1 và biển 3."},"answer":"A"},</v>
      </c>
    </row>
    <row r="1818" spans="1:17" hidden="1" x14ac:dyDescent="0.25">
      <c r="A1818">
        <v>1</v>
      </c>
      <c r="B1818" t="s">
        <v>1066</v>
      </c>
      <c r="C1818">
        <f>IFERROR(COUNTIFS($A$1:A1818,"Câu "&amp;"*")-MID(A1818,5,FIND(".",A1818,1)-5),0)</f>
        <v>0</v>
      </c>
      <c r="D1818" t="str">
        <f t="shared" si="106"/>
        <v/>
      </c>
      <c r="E1818" t="str">
        <f>SUBSTITUTE(IF(LEFT(A1818,3)="Câu",MID(A1818,FIND(".",A1818,1)+2,LEN(A1818)),""),CHAR(34),CHAR(92)&amp;CHAR(34))</f>
        <v/>
      </c>
      <c r="F1818" t="str">
        <f t="shared" si="105"/>
        <v/>
      </c>
      <c r="G1818" t="str">
        <f>SUBSTITUTE(B1819,CHAR(34),CHAR(92)&amp;CHAR(34))</f>
        <v>Biển 2.</v>
      </c>
      <c r="H1818" t="str">
        <f>SUBSTITUTE(B1820,CHAR(34),CHAR(92)&amp;CHAR(34))</f>
        <v>Biển 3.</v>
      </c>
      <c r="I1818" t="str">
        <f>SUBSTITUTE(IF(LEFT(A1821,3)="Câu","",B1821),CHAR(34),CHAR(92)&amp;CHAR(34))</f>
        <v>Biển 1 và biển 3.</v>
      </c>
      <c r="J1818" t="str">
        <f>SUBSTITUTE(IF(OR(LEFT(A1822,3)="Câu",I1818=""),"",IF(B1822=0,"",B1822)),CHAR(34),CHAR(92)&amp;CHAR(34))</f>
        <v/>
      </c>
      <c r="K1818" t="str">
        <f>SUBSTITUTE(SUBSTITUTE(SUBSTITUTE(SUBSTITUTE(IFERROR(VLOOKUP("Câu "&amp;D1818&amp;".",dapan!$E:$J,6,0),""),"1","A"),"2","B"),"3","C"),"4","D")</f>
        <v/>
      </c>
      <c r="P1818" t="str">
        <f t="shared" si="103"/>
        <v/>
      </c>
      <c r="Q1818" t="str">
        <f t="shared" si="104"/>
        <v/>
      </c>
    </row>
    <row r="1819" spans="1:17" hidden="1" x14ac:dyDescent="0.25">
      <c r="A1819">
        <v>2</v>
      </c>
      <c r="B1819" t="s">
        <v>1068</v>
      </c>
      <c r="C1819">
        <f>IFERROR(COUNTIFS($A$1:A1819,"Câu "&amp;"*")-MID(A1819,5,FIND(".",A1819,1)-5),0)</f>
        <v>0</v>
      </c>
      <c r="D1819" t="str">
        <f t="shared" si="106"/>
        <v/>
      </c>
      <c r="E1819" t="str">
        <f>SUBSTITUTE(IF(LEFT(A1819,3)="Câu",MID(A1819,FIND(".",A1819,1)+2,LEN(A1819)),""),CHAR(34),CHAR(92)&amp;CHAR(34))</f>
        <v/>
      </c>
      <c r="F1819" t="str">
        <f t="shared" si="105"/>
        <v/>
      </c>
      <c r="G1819" t="str">
        <f>SUBSTITUTE(B1820,CHAR(34),CHAR(92)&amp;CHAR(34))</f>
        <v>Biển 3.</v>
      </c>
      <c r="H1819" t="str">
        <f>SUBSTITUTE(B1821,CHAR(34),CHAR(92)&amp;CHAR(34))</f>
        <v>Biển 1 và biển 3.</v>
      </c>
      <c r="I1819" t="str">
        <f>SUBSTITUTE(IF(LEFT(A1822,3)="Câu","",B1822),CHAR(34),CHAR(92)&amp;CHAR(34))</f>
        <v/>
      </c>
      <c r="J1819" t="str">
        <f>SUBSTITUTE(IF(OR(LEFT(A1823,3)="Câu",I1819=""),"",IF(B1823=0,"",B1823)),CHAR(34),CHAR(92)&amp;CHAR(34))</f>
        <v/>
      </c>
      <c r="K1819" t="str">
        <f>SUBSTITUTE(SUBSTITUTE(SUBSTITUTE(SUBSTITUTE(IFERROR(VLOOKUP("Câu "&amp;D1819&amp;".",dapan!$E:$J,6,0),""),"1","A"),"2","B"),"3","C"),"4","D")</f>
        <v/>
      </c>
      <c r="P1819" t="str">
        <f t="shared" si="103"/>
        <v/>
      </c>
      <c r="Q1819" t="str">
        <f t="shared" si="104"/>
        <v/>
      </c>
    </row>
    <row r="1820" spans="1:17" hidden="1" x14ac:dyDescent="0.25">
      <c r="A1820">
        <v>3</v>
      </c>
      <c r="B1820" t="s">
        <v>1083</v>
      </c>
      <c r="C1820">
        <f>IFERROR(COUNTIFS($A$1:A1820,"Câu "&amp;"*")-MID(A1820,5,FIND(".",A1820,1)-5),0)</f>
        <v>0</v>
      </c>
      <c r="D1820" t="str">
        <f t="shared" si="106"/>
        <v/>
      </c>
      <c r="E1820" t="str">
        <f>SUBSTITUTE(IF(LEFT(A1820,3)="Câu",MID(A1820,FIND(".",A1820,1)+2,LEN(A1820)),""),CHAR(34),CHAR(92)&amp;CHAR(34))</f>
        <v/>
      </c>
      <c r="F1820" t="str">
        <f t="shared" si="105"/>
        <v/>
      </c>
      <c r="G1820" t="str">
        <f>SUBSTITUTE(B1821,CHAR(34),CHAR(92)&amp;CHAR(34))</f>
        <v>Biển 1 và biển 3.</v>
      </c>
      <c r="H1820" t="str">
        <f>SUBSTITUTE(B1822,CHAR(34),CHAR(92)&amp;CHAR(34))</f>
        <v/>
      </c>
      <c r="I1820" t="str">
        <f>SUBSTITUTE(IF(LEFT(A1823,3)="Câu","",B1823),CHAR(34),CHAR(92)&amp;CHAR(34))</f>
        <v xml:space="preserve"> Biển 1 và biển 2.</v>
      </c>
      <c r="J1820" t="str">
        <f>SUBSTITUTE(IF(OR(LEFT(A1824,3)="Câu",I1820=""),"",IF(B1824=0,"",B1824)),CHAR(34),CHAR(92)&amp;CHAR(34))</f>
        <v>Biển 1 và biển 3.</v>
      </c>
      <c r="K1820" t="str">
        <f>SUBSTITUTE(SUBSTITUTE(SUBSTITUTE(SUBSTITUTE(IFERROR(VLOOKUP("Câu "&amp;D1820&amp;".",dapan!$E:$J,6,0),""),"1","A"),"2","B"),"3","C"),"4","D")</f>
        <v/>
      </c>
      <c r="P1820" t="str">
        <f t="shared" si="103"/>
        <v/>
      </c>
      <c r="Q1820" t="str">
        <f t="shared" si="104"/>
        <v/>
      </c>
    </row>
    <row r="1821" spans="1:17" hidden="1" x14ac:dyDescent="0.25">
      <c r="A1821">
        <v>4</v>
      </c>
      <c r="B1821" t="s">
        <v>1077</v>
      </c>
      <c r="C1821">
        <f>IFERROR(COUNTIFS($A$1:A1821,"Câu "&amp;"*")-MID(A1821,5,FIND(".",A1821,1)-5),0)</f>
        <v>0</v>
      </c>
      <c r="D1821" t="str">
        <f t="shared" si="106"/>
        <v/>
      </c>
      <c r="E1821" t="str">
        <f>SUBSTITUTE(IF(LEFT(A1821,3)="Câu",MID(A1821,FIND(".",A1821,1)+2,LEN(A1821)),""),CHAR(34),CHAR(92)&amp;CHAR(34))</f>
        <v/>
      </c>
      <c r="F1821" t="str">
        <f t="shared" si="105"/>
        <v/>
      </c>
      <c r="G1821" t="str">
        <f>SUBSTITUTE(B1822,CHAR(34),CHAR(92)&amp;CHAR(34))</f>
        <v/>
      </c>
      <c r="H1821" t="str">
        <f>SUBSTITUTE(B1823,CHAR(34),CHAR(92)&amp;CHAR(34))</f>
        <v xml:space="preserve"> Biển 1 và biển 2.</v>
      </c>
      <c r="I1821" t="str">
        <f>SUBSTITUTE(IF(LEFT(A1824,3)="Câu","",B1824),CHAR(34),CHAR(92)&amp;CHAR(34))</f>
        <v>Biển 1 và biển 3.</v>
      </c>
      <c r="J1821" t="str">
        <f>SUBSTITUTE(IF(OR(LEFT(A1825,3)="Câu",I1821=""),"",IF(B1825=0,"",B1825)),CHAR(34),CHAR(92)&amp;CHAR(34))</f>
        <v>Biển 2 và biển 3.</v>
      </c>
      <c r="K1821" t="str">
        <f>SUBSTITUTE(SUBSTITUTE(SUBSTITUTE(SUBSTITUTE(IFERROR(VLOOKUP("Câu "&amp;D1821&amp;".",dapan!$E:$J,6,0),""),"1","A"),"2","B"),"3","C"),"4","D")</f>
        <v/>
      </c>
      <c r="P1821" t="str">
        <f t="shared" si="103"/>
        <v/>
      </c>
      <c r="Q1821" t="str">
        <f t="shared" si="104"/>
        <v/>
      </c>
    </row>
    <row r="1822" spans="1:17" x14ac:dyDescent="0.25">
      <c r="A1822" t="s">
        <v>1291</v>
      </c>
      <c r="C1822">
        <f>IFERROR(COUNTIFS($A$1:A1822,"Câu "&amp;"*")-MID(A1822,5,FIND(".",A1822,1)-5),0)</f>
        <v>0</v>
      </c>
      <c r="D1822">
        <f t="shared" si="106"/>
        <v>442</v>
      </c>
      <c r="E1822" t="str">
        <f>SUBSTITUTE(IF(LEFT(A1822,3)="Câu",MID(A1822,FIND(".",A1822,1)+2,LEN(A1822)),""),CHAR(34),CHAR(92)&amp;CHAR(34))</f>
        <v>Khi đến chỗ giao nhau, gặp biển nào thì người lái xe không được cho xe đi thẳng, phải rẽ sang hướng khác?</v>
      </c>
      <c r="F1822" t="str">
        <f t="shared" si="105"/>
        <v>q442.jpg</v>
      </c>
      <c r="G1822" t="str">
        <f>SUBSTITUTE(B1823,CHAR(34),CHAR(92)&amp;CHAR(34))</f>
        <v xml:space="preserve"> Biển 1 và biển 2.</v>
      </c>
      <c r="H1822" t="str">
        <f>SUBSTITUTE(B1824,CHAR(34),CHAR(92)&amp;CHAR(34))</f>
        <v>Biển 1 và biển 3.</v>
      </c>
      <c r="I1822" t="str">
        <f>SUBSTITUTE(IF(LEFT(A1825,3)="Câu","",B1825),CHAR(34),CHAR(92)&amp;CHAR(34))</f>
        <v>Biển 2 và biển 3.</v>
      </c>
      <c r="J1822" t="str">
        <f>SUBSTITUTE(IF(OR(LEFT(A1826,3)="Câu",I1822=""),"",IF(B1826=0,"",B1826)),CHAR(34),CHAR(92)&amp;CHAR(34))</f>
        <v>Cả ba biển.</v>
      </c>
      <c r="K1822" t="str">
        <f ca="1">SUBSTITUTE(SUBSTITUTE(SUBSTITUTE(SUBSTITUTE(IFERROR(VLOOKUP("Câu "&amp;D1822&amp;".",dapan!$E:$J,6,0),""),"1","A"),"2","B"),"3","C"),"4","D")</f>
        <v>A</v>
      </c>
      <c r="P1822">
        <f t="shared" si="103"/>
        <v>442</v>
      </c>
      <c r="Q1822" t="str">
        <f t="shared" ca="1" si="104"/>
        <v>{"num":442,"id":442,"q":"Khi đến chỗ giao nhau, gặp biển nào thì người lái xe không được cho xe đi thẳng, phải rẽ sang hướng khác?","img":"q442.jpg","opts":{"A":" Biển 1 và biển 2.","B":"Biển 1 và biển 3.","C":"Biển 2 và biển 3.","D":"Cả ba biển."},"answer":"A"},</v>
      </c>
    </row>
    <row r="1823" spans="1:17" hidden="1" x14ac:dyDescent="0.25">
      <c r="A1823">
        <v>1</v>
      </c>
      <c r="B1823" t="s">
        <v>1079</v>
      </c>
      <c r="C1823">
        <f>IFERROR(COUNTIFS($A$1:A1823,"Câu "&amp;"*")-MID(A1823,5,FIND(".",A1823,1)-5),0)</f>
        <v>0</v>
      </c>
      <c r="D1823" t="str">
        <f t="shared" si="106"/>
        <v/>
      </c>
      <c r="E1823" t="str">
        <f>SUBSTITUTE(IF(LEFT(A1823,3)="Câu",MID(A1823,FIND(".",A1823,1)+2,LEN(A1823)),""),CHAR(34),CHAR(92)&amp;CHAR(34))</f>
        <v/>
      </c>
      <c r="F1823" t="str">
        <f t="shared" si="105"/>
        <v/>
      </c>
      <c r="G1823" t="str">
        <f>SUBSTITUTE(B1824,CHAR(34),CHAR(92)&amp;CHAR(34))</f>
        <v>Biển 1 và biển 3.</v>
      </c>
      <c r="H1823" t="str">
        <f>SUBSTITUTE(B1825,CHAR(34),CHAR(92)&amp;CHAR(34))</f>
        <v>Biển 2 và biển 3.</v>
      </c>
      <c r="I1823" t="str">
        <f>SUBSTITUTE(IF(LEFT(A1826,3)="Câu","",B1826),CHAR(34),CHAR(92)&amp;CHAR(34))</f>
        <v>Cả ba biển.</v>
      </c>
      <c r="J1823" t="str">
        <f>SUBSTITUTE(IF(OR(LEFT(A1827,3)="Câu",I1823=""),"",IF(B1827=0,"",B1827)),CHAR(34),CHAR(92)&amp;CHAR(34))</f>
        <v/>
      </c>
      <c r="K1823" t="str">
        <f>SUBSTITUTE(SUBSTITUTE(SUBSTITUTE(SUBSTITUTE(IFERROR(VLOOKUP("Câu "&amp;D1823&amp;".",dapan!$E:$J,6,0),""),"1","A"),"2","B"),"3","C"),"4","D")</f>
        <v/>
      </c>
      <c r="P1823" t="str">
        <f t="shared" si="103"/>
        <v/>
      </c>
      <c r="Q1823" t="str">
        <f t="shared" si="104"/>
        <v/>
      </c>
    </row>
    <row r="1824" spans="1:17" hidden="1" x14ac:dyDescent="0.25">
      <c r="A1824">
        <v>2</v>
      </c>
      <c r="B1824" t="s">
        <v>1077</v>
      </c>
      <c r="C1824">
        <f>IFERROR(COUNTIFS($A$1:A1824,"Câu "&amp;"*")-MID(A1824,5,FIND(".",A1824,1)-5),0)</f>
        <v>0</v>
      </c>
      <c r="D1824" t="str">
        <f t="shared" si="106"/>
        <v/>
      </c>
      <c r="E1824" t="str">
        <f>SUBSTITUTE(IF(LEFT(A1824,3)="Câu",MID(A1824,FIND(".",A1824,1)+2,LEN(A1824)),""),CHAR(34),CHAR(92)&amp;CHAR(34))</f>
        <v/>
      </c>
      <c r="F1824" t="str">
        <f t="shared" si="105"/>
        <v/>
      </c>
      <c r="G1824" t="str">
        <f>SUBSTITUTE(B1825,CHAR(34),CHAR(92)&amp;CHAR(34))</f>
        <v>Biển 2 và biển 3.</v>
      </c>
      <c r="H1824" t="str">
        <f>SUBSTITUTE(B1826,CHAR(34),CHAR(92)&amp;CHAR(34))</f>
        <v>Cả ba biển.</v>
      </c>
      <c r="I1824" t="str">
        <f>SUBSTITUTE(IF(LEFT(A1827,3)="Câu","",B1827),CHAR(34),CHAR(92)&amp;CHAR(34))</f>
        <v/>
      </c>
      <c r="J1824" t="str">
        <f>SUBSTITUTE(IF(OR(LEFT(A1828,3)="Câu",I1824=""),"",IF(B1828=0,"",B1828)),CHAR(34),CHAR(92)&amp;CHAR(34))</f>
        <v/>
      </c>
      <c r="K1824" t="str">
        <f>SUBSTITUTE(SUBSTITUTE(SUBSTITUTE(SUBSTITUTE(IFERROR(VLOOKUP("Câu "&amp;D1824&amp;".",dapan!$E:$J,6,0),""),"1","A"),"2","B"),"3","C"),"4","D")</f>
        <v/>
      </c>
      <c r="P1824" t="str">
        <f t="shared" si="103"/>
        <v/>
      </c>
      <c r="Q1824" t="str">
        <f t="shared" si="104"/>
        <v/>
      </c>
    </row>
    <row r="1825" spans="1:17" hidden="1" x14ac:dyDescent="0.25">
      <c r="A1825">
        <v>3</v>
      </c>
      <c r="B1825" t="s">
        <v>1072</v>
      </c>
      <c r="C1825">
        <f>IFERROR(COUNTIFS($A$1:A1825,"Câu "&amp;"*")-MID(A1825,5,FIND(".",A1825,1)-5),0)</f>
        <v>0</v>
      </c>
      <c r="D1825" t="str">
        <f t="shared" si="106"/>
        <v/>
      </c>
      <c r="E1825" t="str">
        <f>SUBSTITUTE(IF(LEFT(A1825,3)="Câu",MID(A1825,FIND(".",A1825,1)+2,LEN(A1825)),""),CHAR(34),CHAR(92)&amp;CHAR(34))</f>
        <v/>
      </c>
      <c r="F1825" t="str">
        <f t="shared" si="105"/>
        <v/>
      </c>
      <c r="G1825" t="str">
        <f>SUBSTITUTE(B1826,CHAR(34),CHAR(92)&amp;CHAR(34))</f>
        <v>Cả ba biển.</v>
      </c>
      <c r="H1825" t="str">
        <f>SUBSTITUTE(B1827,CHAR(34),CHAR(92)&amp;CHAR(34))</f>
        <v/>
      </c>
      <c r="I1825" t="str">
        <f>SUBSTITUTE(IF(LEFT(A1828,3)="Câu","",B1828),CHAR(34),CHAR(92)&amp;CHAR(34))</f>
        <v>Biển 1.</v>
      </c>
      <c r="J1825" t="str">
        <f>SUBSTITUTE(IF(OR(LEFT(A1829,3)="Câu",I1825=""),"",IF(B1829=0,"",B1829)),CHAR(34),CHAR(92)&amp;CHAR(34))</f>
        <v>Biển 2.</v>
      </c>
      <c r="K1825" t="str">
        <f>SUBSTITUTE(SUBSTITUTE(SUBSTITUTE(SUBSTITUTE(IFERROR(VLOOKUP("Câu "&amp;D1825&amp;".",dapan!$E:$J,6,0),""),"1","A"),"2","B"),"3","C"),"4","D")</f>
        <v/>
      </c>
      <c r="P1825" t="str">
        <f t="shared" si="103"/>
        <v/>
      </c>
      <c r="Q1825" t="str">
        <f t="shared" si="104"/>
        <v/>
      </c>
    </row>
    <row r="1826" spans="1:17" hidden="1" x14ac:dyDescent="0.25">
      <c r="A1826">
        <v>4</v>
      </c>
      <c r="B1826" t="s">
        <v>1071</v>
      </c>
      <c r="C1826">
        <f>IFERROR(COUNTIFS($A$1:A1826,"Câu "&amp;"*")-MID(A1826,5,FIND(".",A1826,1)-5),0)</f>
        <v>0</v>
      </c>
      <c r="D1826" t="str">
        <f t="shared" si="106"/>
        <v/>
      </c>
      <c r="E1826" t="str">
        <f>SUBSTITUTE(IF(LEFT(A1826,3)="Câu",MID(A1826,FIND(".",A1826,1)+2,LEN(A1826)),""),CHAR(34),CHAR(92)&amp;CHAR(34))</f>
        <v/>
      </c>
      <c r="F1826" t="str">
        <f t="shared" si="105"/>
        <v/>
      </c>
      <c r="G1826" t="str">
        <f>SUBSTITUTE(B1827,CHAR(34),CHAR(92)&amp;CHAR(34))</f>
        <v/>
      </c>
      <c r="H1826" t="str">
        <f>SUBSTITUTE(B1828,CHAR(34),CHAR(92)&amp;CHAR(34))</f>
        <v>Biển 1.</v>
      </c>
      <c r="I1826" t="str">
        <f>SUBSTITUTE(IF(LEFT(A1829,3)="Câu","",B1829),CHAR(34),CHAR(92)&amp;CHAR(34))</f>
        <v>Biển 2.</v>
      </c>
      <c r="J1826" t="str">
        <f>SUBSTITUTE(IF(OR(LEFT(A1830,3)="Câu",I1826=""),"",IF(B1830=0,"",B1830)),CHAR(34),CHAR(92)&amp;CHAR(34))</f>
        <v xml:space="preserve"> Cả hai biển.</v>
      </c>
      <c r="K1826" t="str">
        <f>SUBSTITUTE(SUBSTITUTE(SUBSTITUTE(SUBSTITUTE(IFERROR(VLOOKUP("Câu "&amp;D1826&amp;".",dapan!$E:$J,6,0),""),"1","A"),"2","B"),"3","C"),"4","D")</f>
        <v/>
      </c>
      <c r="P1826" t="str">
        <f t="shared" si="103"/>
        <v/>
      </c>
      <c r="Q1826" t="str">
        <f t="shared" si="104"/>
        <v/>
      </c>
    </row>
    <row r="1827" spans="1:17" x14ac:dyDescent="0.25">
      <c r="A1827" t="s">
        <v>1292</v>
      </c>
      <c r="C1827">
        <f>IFERROR(COUNTIFS($A$1:A1827,"Câu "&amp;"*")-MID(A1827,5,FIND(".",A1827,1)-5),0)</f>
        <v>0</v>
      </c>
      <c r="D1827">
        <f t="shared" si="106"/>
        <v>443</v>
      </c>
      <c r="E1827" t="str">
        <f>SUBSTITUTE(IF(LEFT(A1827,3)="Câu",MID(A1827,FIND(".",A1827,1)+2,LEN(A1827)),""),CHAR(34),CHAR(92)&amp;CHAR(34))</f>
        <v>Biển nào cho phép quay đầu xe?</v>
      </c>
      <c r="F1827" t="str">
        <f t="shared" si="105"/>
        <v>q443.jpg</v>
      </c>
      <c r="G1827" t="str">
        <f>SUBSTITUTE(B1828,CHAR(34),CHAR(92)&amp;CHAR(34))</f>
        <v>Biển 1.</v>
      </c>
      <c r="H1827" t="str">
        <f>SUBSTITUTE(B1829,CHAR(34),CHAR(92)&amp;CHAR(34))</f>
        <v>Biển 2.</v>
      </c>
      <c r="I1827" t="str">
        <f>SUBSTITUTE(IF(LEFT(A1830,3)="Câu","",B1830),CHAR(34),CHAR(92)&amp;CHAR(34))</f>
        <v xml:space="preserve"> Cả hai biển.</v>
      </c>
      <c r="J1827" t="str">
        <f>SUBSTITUTE(IF(OR(LEFT(A1831,3)="Câu",I1827=""),"",IF(B1831=0,"",B1831)),CHAR(34),CHAR(92)&amp;CHAR(34))</f>
        <v/>
      </c>
      <c r="K1827" t="str">
        <f ca="1">SUBSTITUTE(SUBSTITUTE(SUBSTITUTE(SUBSTITUTE(IFERROR(VLOOKUP("Câu "&amp;D1827&amp;".",dapan!$E:$J,6,0),""),"1","A"),"2","B"),"3","C"),"4","D")</f>
        <v>C</v>
      </c>
      <c r="P1827">
        <f t="shared" si="103"/>
        <v>443</v>
      </c>
      <c r="Q1827" t="str">
        <f t="shared" ca="1" si="104"/>
        <v>{"num":443,"id":443,"q":"Biển nào cho phép quay đầu xe?","img":"q443.jpg","opts":{"A":"Biển 1.","B":"Biển 2.","C":" Cả hai biển."},"answer":"C"},</v>
      </c>
    </row>
    <row r="1828" spans="1:17" hidden="1" x14ac:dyDescent="0.25">
      <c r="A1828">
        <v>1</v>
      </c>
      <c r="B1828" t="s">
        <v>1075</v>
      </c>
      <c r="C1828">
        <f>IFERROR(COUNTIFS($A$1:A1828,"Câu "&amp;"*")-MID(A1828,5,FIND(".",A1828,1)-5),0)</f>
        <v>0</v>
      </c>
      <c r="D1828" t="str">
        <f t="shared" si="106"/>
        <v/>
      </c>
      <c r="E1828" t="str">
        <f>SUBSTITUTE(IF(LEFT(A1828,3)="Câu",MID(A1828,FIND(".",A1828,1)+2,LEN(A1828)),""),CHAR(34),CHAR(92)&amp;CHAR(34))</f>
        <v/>
      </c>
      <c r="F1828" t="str">
        <f t="shared" si="105"/>
        <v/>
      </c>
      <c r="G1828" t="str">
        <f>SUBSTITUTE(B1829,CHAR(34),CHAR(92)&amp;CHAR(34))</f>
        <v>Biển 2.</v>
      </c>
      <c r="H1828" t="str">
        <f>SUBSTITUTE(B1830,CHAR(34),CHAR(92)&amp;CHAR(34))</f>
        <v xml:space="preserve"> Cả hai biển.</v>
      </c>
      <c r="I1828" t="str">
        <f>SUBSTITUTE(IF(LEFT(A1831,3)="Câu","",B1831),CHAR(34),CHAR(92)&amp;CHAR(34))</f>
        <v/>
      </c>
      <c r="J1828" t="str">
        <f>SUBSTITUTE(IF(OR(LEFT(A1832,3)="Câu",I1828=""),"",IF(B1832=0,"",B1832)),CHAR(34),CHAR(92)&amp;CHAR(34))</f>
        <v/>
      </c>
      <c r="K1828" t="str">
        <f>SUBSTITUTE(SUBSTITUTE(SUBSTITUTE(SUBSTITUTE(IFERROR(VLOOKUP("Câu "&amp;D1828&amp;".",dapan!$E:$J,6,0),""),"1","A"),"2","B"),"3","C"),"4","D")</f>
        <v/>
      </c>
      <c r="P1828" t="str">
        <f t="shared" si="103"/>
        <v/>
      </c>
      <c r="Q1828" t="str">
        <f t="shared" si="104"/>
        <v/>
      </c>
    </row>
    <row r="1829" spans="1:17" hidden="1" x14ac:dyDescent="0.25">
      <c r="A1829">
        <v>2</v>
      </c>
      <c r="B1829" t="s">
        <v>1068</v>
      </c>
      <c r="C1829">
        <f>IFERROR(COUNTIFS($A$1:A1829,"Câu "&amp;"*")-MID(A1829,5,FIND(".",A1829,1)-5),0)</f>
        <v>0</v>
      </c>
      <c r="D1829" t="str">
        <f t="shared" si="106"/>
        <v/>
      </c>
      <c r="E1829" t="str">
        <f>SUBSTITUTE(IF(LEFT(A1829,3)="Câu",MID(A1829,FIND(".",A1829,1)+2,LEN(A1829)),""),CHAR(34),CHAR(92)&amp;CHAR(34))</f>
        <v/>
      </c>
      <c r="F1829" t="str">
        <f t="shared" si="105"/>
        <v/>
      </c>
      <c r="G1829" t="str">
        <f>SUBSTITUTE(B1830,CHAR(34),CHAR(92)&amp;CHAR(34))</f>
        <v xml:space="preserve"> Cả hai biển.</v>
      </c>
      <c r="H1829" t="str">
        <f>SUBSTITUTE(B1831,CHAR(34),CHAR(92)&amp;CHAR(34))</f>
        <v/>
      </c>
      <c r="I1829" t="str">
        <f>SUBSTITUTE(IF(LEFT(A1832,3)="Câu","",B1832),CHAR(34),CHAR(92)&amp;CHAR(34))</f>
        <v>Biển 1.</v>
      </c>
      <c r="J1829" t="str">
        <f>SUBSTITUTE(IF(OR(LEFT(A1833,3)="Câu",I1829=""),"",IF(B1833=0,"",B1833)),CHAR(34),CHAR(92)&amp;CHAR(34))</f>
        <v>Biển 2.</v>
      </c>
      <c r="K1829" t="str">
        <f>SUBSTITUTE(SUBSTITUTE(SUBSTITUTE(SUBSTITUTE(IFERROR(VLOOKUP("Câu "&amp;D1829&amp;".",dapan!$E:$J,6,0),""),"1","A"),"2","B"),"3","C"),"4","D")</f>
        <v/>
      </c>
      <c r="P1829" t="str">
        <f t="shared" si="103"/>
        <v/>
      </c>
      <c r="Q1829" t="str">
        <f t="shared" si="104"/>
        <v/>
      </c>
    </row>
    <row r="1830" spans="1:17" hidden="1" x14ac:dyDescent="0.25">
      <c r="A1830">
        <v>3</v>
      </c>
      <c r="B1830" t="s">
        <v>1081</v>
      </c>
      <c r="C1830">
        <f>IFERROR(COUNTIFS($A$1:A1830,"Câu "&amp;"*")-MID(A1830,5,FIND(".",A1830,1)-5),0)</f>
        <v>0</v>
      </c>
      <c r="D1830" t="str">
        <f t="shared" si="106"/>
        <v/>
      </c>
      <c r="E1830" t="str">
        <f>SUBSTITUTE(IF(LEFT(A1830,3)="Câu",MID(A1830,FIND(".",A1830,1)+2,LEN(A1830)),""),CHAR(34),CHAR(92)&amp;CHAR(34))</f>
        <v/>
      </c>
      <c r="F1830" t="str">
        <f t="shared" si="105"/>
        <v/>
      </c>
      <c r="G1830" t="str">
        <f>SUBSTITUTE(B1831,CHAR(34),CHAR(92)&amp;CHAR(34))</f>
        <v/>
      </c>
      <c r="H1830" t="str">
        <f>SUBSTITUTE(B1832,CHAR(34),CHAR(92)&amp;CHAR(34))</f>
        <v>Biển 1.</v>
      </c>
      <c r="I1830" t="str">
        <f>SUBSTITUTE(IF(LEFT(A1833,3)="Câu","",B1833),CHAR(34),CHAR(92)&amp;CHAR(34))</f>
        <v>Biển 2.</v>
      </c>
      <c r="J1830" t="str">
        <f>SUBSTITUTE(IF(OR(LEFT(A1834,3)="Câu",I1830=""),"",IF(B1834=0,"",B1834)),CHAR(34),CHAR(92)&amp;CHAR(34))</f>
        <v xml:space="preserve"> Biển 3.</v>
      </c>
      <c r="K1830" t="str">
        <f>SUBSTITUTE(SUBSTITUTE(SUBSTITUTE(SUBSTITUTE(IFERROR(VLOOKUP("Câu "&amp;D1830&amp;".",dapan!$E:$J,6,0),""),"1","A"),"2","B"),"3","C"),"4","D")</f>
        <v/>
      </c>
      <c r="P1830" t="str">
        <f t="shared" si="103"/>
        <v/>
      </c>
      <c r="Q1830" t="str">
        <f t="shared" si="104"/>
        <v/>
      </c>
    </row>
    <row r="1831" spans="1:17" x14ac:dyDescent="0.25">
      <c r="A1831" t="s">
        <v>1293</v>
      </c>
      <c r="C1831">
        <f>IFERROR(COUNTIFS($A$1:A1831,"Câu "&amp;"*")-MID(A1831,5,FIND(".",A1831,1)-5),0)</f>
        <v>0</v>
      </c>
      <c r="D1831">
        <f t="shared" si="106"/>
        <v>444</v>
      </c>
      <c r="E1831" t="str">
        <f>SUBSTITUTE(IF(LEFT(A1831,3)="Câu",MID(A1831,FIND(".",A1831,1)+2,LEN(A1831)),""),CHAR(34),CHAR(92)&amp;CHAR(34))</f>
        <v>Biển nào chỉ dẫn tên đường trên các tuyến đường đối ngoại?</v>
      </c>
      <c r="F1831" t="str">
        <f t="shared" si="105"/>
        <v>q444.jpg</v>
      </c>
      <c r="G1831" t="str">
        <f>SUBSTITUTE(B1832,CHAR(34),CHAR(92)&amp;CHAR(34))</f>
        <v>Biển 1.</v>
      </c>
      <c r="H1831" t="str">
        <f>SUBSTITUTE(B1833,CHAR(34),CHAR(92)&amp;CHAR(34))</f>
        <v>Biển 2.</v>
      </c>
      <c r="I1831" t="str">
        <f>SUBSTITUTE(IF(LEFT(A1834,3)="Câu","",B1834),CHAR(34),CHAR(92)&amp;CHAR(34))</f>
        <v xml:space="preserve"> Biển 3.</v>
      </c>
      <c r="J1831" t="str">
        <f>SUBSTITUTE(IF(OR(LEFT(A1835,3)="Câu",I1831=""),"",IF(B1835=0,"",B1835)),CHAR(34),CHAR(92)&amp;CHAR(34))</f>
        <v>Biển 1 và biển 2.</v>
      </c>
      <c r="K1831" t="str">
        <f ca="1">SUBSTITUTE(SUBSTITUTE(SUBSTITUTE(SUBSTITUTE(IFERROR(VLOOKUP("Câu "&amp;D1831&amp;".",dapan!$E:$J,6,0),""),"1","A"),"2","B"),"3","C"),"4","D")</f>
        <v>C</v>
      </c>
      <c r="P1831">
        <f t="shared" si="103"/>
        <v>444</v>
      </c>
      <c r="Q1831" t="str">
        <f t="shared" ca="1" si="104"/>
        <v>{"num":444,"id":444,"q":"Biển nào chỉ dẫn tên đường trên các tuyến đường đối ngoại?","img":"q444.jpg","opts":{"A":"Biển 1.","B":"Biển 2.","C":" Biển 3.","D":"Biển 1 và biển 2."},"answer":"C"},</v>
      </c>
    </row>
    <row r="1832" spans="1:17" hidden="1" x14ac:dyDescent="0.25">
      <c r="A1832">
        <v>1</v>
      </c>
      <c r="B1832" t="s">
        <v>1075</v>
      </c>
      <c r="C1832">
        <f>IFERROR(COUNTIFS($A$1:A1832,"Câu "&amp;"*")-MID(A1832,5,FIND(".",A1832,1)-5),0)</f>
        <v>0</v>
      </c>
      <c r="D1832" t="str">
        <f t="shared" si="106"/>
        <v/>
      </c>
      <c r="E1832" t="str">
        <f>SUBSTITUTE(IF(LEFT(A1832,3)="Câu",MID(A1832,FIND(".",A1832,1)+2,LEN(A1832)),""),CHAR(34),CHAR(92)&amp;CHAR(34))</f>
        <v/>
      </c>
      <c r="F1832" t="str">
        <f t="shared" si="105"/>
        <v/>
      </c>
      <c r="G1832" t="str">
        <f>SUBSTITUTE(B1833,CHAR(34),CHAR(92)&amp;CHAR(34))</f>
        <v>Biển 2.</v>
      </c>
      <c r="H1832" t="str">
        <f>SUBSTITUTE(B1834,CHAR(34),CHAR(92)&amp;CHAR(34))</f>
        <v xml:space="preserve"> Biển 3.</v>
      </c>
      <c r="I1832" t="str">
        <f>SUBSTITUTE(IF(LEFT(A1835,3)="Câu","",B1835),CHAR(34),CHAR(92)&amp;CHAR(34))</f>
        <v>Biển 1 và biển 2.</v>
      </c>
      <c r="J1832" t="str">
        <f>SUBSTITUTE(IF(OR(LEFT(A1836,3)="Câu",I1832=""),"",IF(B1836=0,"",B1836)),CHAR(34),CHAR(92)&amp;CHAR(34))</f>
        <v/>
      </c>
      <c r="K1832" t="str">
        <f>SUBSTITUTE(SUBSTITUTE(SUBSTITUTE(SUBSTITUTE(IFERROR(VLOOKUP("Câu "&amp;D1832&amp;".",dapan!$E:$J,6,0),""),"1","A"),"2","B"),"3","C"),"4","D")</f>
        <v/>
      </c>
      <c r="P1832" t="str">
        <f t="shared" si="103"/>
        <v/>
      </c>
      <c r="Q1832" t="str">
        <f t="shared" si="104"/>
        <v/>
      </c>
    </row>
    <row r="1833" spans="1:17" hidden="1" x14ac:dyDescent="0.25">
      <c r="A1833">
        <v>2</v>
      </c>
      <c r="B1833" t="s">
        <v>1068</v>
      </c>
      <c r="C1833">
        <f>IFERROR(COUNTIFS($A$1:A1833,"Câu "&amp;"*")-MID(A1833,5,FIND(".",A1833,1)-5),0)</f>
        <v>0</v>
      </c>
      <c r="D1833" t="str">
        <f t="shared" si="106"/>
        <v/>
      </c>
      <c r="E1833" t="str">
        <f>SUBSTITUTE(IF(LEFT(A1833,3)="Câu",MID(A1833,FIND(".",A1833,1)+2,LEN(A1833)),""),CHAR(34),CHAR(92)&amp;CHAR(34))</f>
        <v/>
      </c>
      <c r="F1833" t="str">
        <f t="shared" si="105"/>
        <v/>
      </c>
      <c r="G1833" t="str">
        <f>SUBSTITUTE(B1834,CHAR(34),CHAR(92)&amp;CHAR(34))</f>
        <v xml:space="preserve"> Biển 3.</v>
      </c>
      <c r="H1833" t="str">
        <f>SUBSTITUTE(B1835,CHAR(34),CHAR(92)&amp;CHAR(34))</f>
        <v>Biển 1 và biển 2.</v>
      </c>
      <c r="I1833" t="str">
        <f>SUBSTITUTE(IF(LEFT(A1836,3)="Câu","",B1836),CHAR(34),CHAR(92)&amp;CHAR(34))</f>
        <v/>
      </c>
      <c r="J1833" t="str">
        <f>SUBSTITUTE(IF(OR(LEFT(A1837,3)="Câu",I1833=""),"",IF(B1837=0,"",B1837)),CHAR(34),CHAR(92)&amp;CHAR(34))</f>
        <v/>
      </c>
      <c r="K1833" t="str">
        <f>SUBSTITUTE(SUBSTITUTE(SUBSTITUTE(SUBSTITUTE(IFERROR(VLOOKUP("Câu "&amp;D1833&amp;".",dapan!$E:$J,6,0),""),"1","A"),"2","B"),"3","C"),"4","D")</f>
        <v/>
      </c>
      <c r="P1833" t="str">
        <f t="shared" si="103"/>
        <v/>
      </c>
      <c r="Q1833" t="str">
        <f t="shared" si="104"/>
        <v/>
      </c>
    </row>
    <row r="1834" spans="1:17" hidden="1" x14ac:dyDescent="0.25">
      <c r="A1834">
        <v>3</v>
      </c>
      <c r="B1834" t="s">
        <v>1114</v>
      </c>
      <c r="C1834">
        <f>IFERROR(COUNTIFS($A$1:A1834,"Câu "&amp;"*")-MID(A1834,5,FIND(".",A1834,1)-5),0)</f>
        <v>0</v>
      </c>
      <c r="D1834" t="str">
        <f t="shared" si="106"/>
        <v/>
      </c>
      <c r="E1834" t="str">
        <f>SUBSTITUTE(IF(LEFT(A1834,3)="Câu",MID(A1834,FIND(".",A1834,1)+2,LEN(A1834)),""),CHAR(34),CHAR(92)&amp;CHAR(34))</f>
        <v/>
      </c>
      <c r="F1834" t="str">
        <f t="shared" si="105"/>
        <v/>
      </c>
      <c r="G1834" t="str">
        <f>SUBSTITUTE(B1835,CHAR(34),CHAR(92)&amp;CHAR(34))</f>
        <v>Biển 1 và biển 2.</v>
      </c>
      <c r="H1834" t="str">
        <f>SUBSTITUTE(B1836,CHAR(34),CHAR(92)&amp;CHAR(34))</f>
        <v/>
      </c>
      <c r="I1834" t="str">
        <f>SUBSTITUTE(IF(LEFT(A1837,3)="Câu","",B1837),CHAR(34),CHAR(92)&amp;CHAR(34))</f>
        <v xml:space="preserve"> Biển chỉ dẫn hết cấm đỗ xe theo giờ trong khu vực.</v>
      </c>
      <c r="J1834" t="str">
        <f>SUBSTITUTE(IF(OR(LEFT(A1838,3)="Câu",I1834=""),"",IF(B1838=0,"",B1838)),CHAR(34),CHAR(92)&amp;CHAR(34))</f>
        <v>Biển chỉ dẫn hết hiệu lực khu vực đỗ xe trên các tuyến đường đối ngoại.</v>
      </c>
      <c r="K1834" t="str">
        <f>SUBSTITUTE(SUBSTITUTE(SUBSTITUTE(SUBSTITUTE(IFERROR(VLOOKUP("Câu "&amp;D1834&amp;".",dapan!$E:$J,6,0),""),"1","A"),"2","B"),"3","C"),"4","D")</f>
        <v/>
      </c>
      <c r="P1834" t="str">
        <f t="shared" si="103"/>
        <v/>
      </c>
      <c r="Q1834" t="str">
        <f t="shared" si="104"/>
        <v/>
      </c>
    </row>
    <row r="1835" spans="1:17" hidden="1" x14ac:dyDescent="0.25">
      <c r="A1835">
        <v>4</v>
      </c>
      <c r="B1835" t="s">
        <v>1086</v>
      </c>
      <c r="C1835">
        <f>IFERROR(COUNTIFS($A$1:A1835,"Câu "&amp;"*")-MID(A1835,5,FIND(".",A1835,1)-5),0)</f>
        <v>0</v>
      </c>
      <c r="D1835" t="str">
        <f t="shared" si="106"/>
        <v/>
      </c>
      <c r="E1835" t="str">
        <f>SUBSTITUTE(IF(LEFT(A1835,3)="Câu",MID(A1835,FIND(".",A1835,1)+2,LEN(A1835)),""),CHAR(34),CHAR(92)&amp;CHAR(34))</f>
        <v/>
      </c>
      <c r="F1835" t="str">
        <f t="shared" si="105"/>
        <v/>
      </c>
      <c r="G1835" t="str">
        <f>SUBSTITUTE(B1836,CHAR(34),CHAR(92)&amp;CHAR(34))</f>
        <v/>
      </c>
      <c r="H1835" t="str">
        <f>SUBSTITUTE(B1837,CHAR(34),CHAR(92)&amp;CHAR(34))</f>
        <v xml:space="preserve"> Biển chỉ dẫn hết cấm đỗ xe theo giờ trong khu vực.</v>
      </c>
      <c r="I1835" t="str">
        <f>SUBSTITUTE(IF(LEFT(A1838,3)="Câu","",B1838),CHAR(34),CHAR(92)&amp;CHAR(34))</f>
        <v>Biển chỉ dẫn hết hiệu lực khu vực đỗ xe trên các tuyến đường đối ngoại.</v>
      </c>
      <c r="J1835" t="str">
        <f>SUBSTITUTE(IF(OR(LEFT(A1839,3)="Câu",I1835=""),"",IF(B1839=0,"",B1839)),CHAR(34),CHAR(92)&amp;CHAR(34))</f>
        <v>Biển chỉ dẫn khu vực đỗ xe trên các tuyến đường đối ngoại.</v>
      </c>
      <c r="K1835" t="str">
        <f>SUBSTITUTE(SUBSTITUTE(SUBSTITUTE(SUBSTITUTE(IFERROR(VLOOKUP("Câu "&amp;D1835&amp;".",dapan!$E:$J,6,0),""),"1","A"),"2","B"),"3","C"),"4","D")</f>
        <v/>
      </c>
      <c r="P1835" t="str">
        <f t="shared" si="103"/>
        <v/>
      </c>
      <c r="Q1835" t="str">
        <f t="shared" si="104"/>
        <v/>
      </c>
    </row>
    <row r="1836" spans="1:17" x14ac:dyDescent="0.25">
      <c r="A1836" t="s">
        <v>1294</v>
      </c>
      <c r="C1836">
        <f>IFERROR(COUNTIFS($A$1:A1836,"Câu "&amp;"*")-MID(A1836,5,FIND(".",A1836,1)-5),0)</f>
        <v>0</v>
      </c>
      <c r="D1836">
        <f t="shared" si="106"/>
        <v>445</v>
      </c>
      <c r="E1836" t="str">
        <f>SUBSTITUTE(IF(LEFT(A1836,3)="Câu",MID(A1836,FIND(".",A1836,1)+2,LEN(A1836)),""),CHAR(34),CHAR(92)&amp;CHAR(34))</f>
        <v>Biển số 1 có ý nghĩa như thế nào?</v>
      </c>
      <c r="F1836" t="str">
        <f t="shared" si="105"/>
        <v>q445.jpg</v>
      </c>
      <c r="G1836" t="str">
        <f>SUBSTITUTE(B1837,CHAR(34),CHAR(92)&amp;CHAR(34))</f>
        <v xml:space="preserve"> Biển chỉ dẫn hết cấm đỗ xe theo giờ trong khu vực.</v>
      </c>
      <c r="H1836" t="str">
        <f>SUBSTITUTE(B1838,CHAR(34),CHAR(92)&amp;CHAR(34))</f>
        <v>Biển chỉ dẫn hết hiệu lực khu vực đỗ xe trên các tuyến đường đối ngoại.</v>
      </c>
      <c r="I1836" t="str">
        <f>SUBSTITUTE(IF(LEFT(A1839,3)="Câu","",B1839),CHAR(34),CHAR(92)&amp;CHAR(34))</f>
        <v>Biển chỉ dẫn khu vực đỗ xe trên các tuyến đường đối ngoại.</v>
      </c>
      <c r="J1836" t="str">
        <f>SUBSTITUTE(IF(OR(LEFT(A1840,3)="Câu",I1836=""),"",IF(B1840=0,"",B1840)),CHAR(34),CHAR(92)&amp;CHAR(34))</f>
        <v/>
      </c>
      <c r="K1836" t="str">
        <f ca="1">SUBSTITUTE(SUBSTITUTE(SUBSTITUTE(SUBSTITUTE(IFERROR(VLOOKUP("Câu "&amp;D1836&amp;".",dapan!$E:$J,6,0),""),"1","A"),"2","B"),"3","C"),"4","D")</f>
        <v>A</v>
      </c>
      <c r="P1836">
        <f t="shared" si="103"/>
        <v>445</v>
      </c>
      <c r="Q1836" t="str">
        <f t="shared" ca="1" si="104"/>
        <v>{"num":445,"id":445,"q":"Biển số 1 có ý nghĩa như thế nào?","img":"q445.jpg","opts":{"A":" Biển chỉ dẫn hết cấm đỗ xe theo giờ trong khu vực.","B":"Biển chỉ dẫn hết hiệu lực khu vực đỗ xe trên các tuyến đường đối ngoại.","C":"Biển chỉ dẫn khu vực đỗ xe trên các tuyến đường đối ngoại."},"answer":"A"},</v>
      </c>
    </row>
    <row r="1837" spans="1:17" hidden="1" x14ac:dyDescent="0.25">
      <c r="A1837">
        <v>1</v>
      </c>
      <c r="B1837" t="s">
        <v>1295</v>
      </c>
      <c r="C1837">
        <f>IFERROR(COUNTIFS($A$1:A1837,"Câu "&amp;"*")-MID(A1837,5,FIND(".",A1837,1)-5),0)</f>
        <v>0</v>
      </c>
      <c r="D1837" t="str">
        <f t="shared" si="106"/>
        <v/>
      </c>
      <c r="E1837" t="str">
        <f>SUBSTITUTE(IF(LEFT(A1837,3)="Câu",MID(A1837,FIND(".",A1837,1)+2,LEN(A1837)),""),CHAR(34),CHAR(92)&amp;CHAR(34))</f>
        <v/>
      </c>
      <c r="F1837" t="str">
        <f t="shared" si="105"/>
        <v/>
      </c>
      <c r="G1837" t="str">
        <f>SUBSTITUTE(B1838,CHAR(34),CHAR(92)&amp;CHAR(34))</f>
        <v>Biển chỉ dẫn hết hiệu lực khu vực đỗ xe trên các tuyến đường đối ngoại.</v>
      </c>
      <c r="H1837" t="str">
        <f>SUBSTITUTE(B1839,CHAR(34),CHAR(92)&amp;CHAR(34))</f>
        <v>Biển chỉ dẫn khu vực đỗ xe trên các tuyến đường đối ngoại.</v>
      </c>
      <c r="I1837" t="str">
        <f>SUBSTITUTE(IF(LEFT(A1840,3)="Câu","",B1840),CHAR(34),CHAR(92)&amp;CHAR(34))</f>
        <v/>
      </c>
      <c r="J1837" t="str">
        <f>SUBSTITUTE(IF(OR(LEFT(A1841,3)="Câu",I1837=""),"",IF(B1841=0,"",B1841)),CHAR(34),CHAR(92)&amp;CHAR(34))</f>
        <v/>
      </c>
      <c r="K1837" t="str">
        <f>SUBSTITUTE(SUBSTITUTE(SUBSTITUTE(SUBSTITUTE(IFERROR(VLOOKUP("Câu "&amp;D1837&amp;".",dapan!$E:$J,6,0),""),"1","A"),"2","B"),"3","C"),"4","D")</f>
        <v/>
      </c>
      <c r="P1837" t="str">
        <f t="shared" si="103"/>
        <v/>
      </c>
      <c r="Q1837" t="str">
        <f t="shared" si="104"/>
        <v/>
      </c>
    </row>
    <row r="1838" spans="1:17" hidden="1" x14ac:dyDescent="0.25">
      <c r="A1838">
        <v>2</v>
      </c>
      <c r="B1838" t="s">
        <v>1296</v>
      </c>
      <c r="C1838">
        <f>IFERROR(COUNTIFS($A$1:A1838,"Câu "&amp;"*")-MID(A1838,5,FIND(".",A1838,1)-5),0)</f>
        <v>0</v>
      </c>
      <c r="D1838" t="str">
        <f t="shared" si="106"/>
        <v/>
      </c>
      <c r="E1838" t="str">
        <f>SUBSTITUTE(IF(LEFT(A1838,3)="Câu",MID(A1838,FIND(".",A1838,1)+2,LEN(A1838)),""),CHAR(34),CHAR(92)&amp;CHAR(34))</f>
        <v/>
      </c>
      <c r="F1838" t="str">
        <f t="shared" si="105"/>
        <v/>
      </c>
      <c r="G1838" t="str">
        <f>SUBSTITUTE(B1839,CHAR(34),CHAR(92)&amp;CHAR(34))</f>
        <v>Biển chỉ dẫn khu vực đỗ xe trên các tuyến đường đối ngoại.</v>
      </c>
      <c r="H1838" t="str">
        <f>SUBSTITUTE(B1840,CHAR(34),CHAR(92)&amp;CHAR(34))</f>
        <v/>
      </c>
      <c r="I1838" t="str">
        <f>SUBSTITUTE(IF(LEFT(A1841,3)="Câu","",B1841),CHAR(34),CHAR(92)&amp;CHAR(34))</f>
        <v>Biển chỉ dẫn khu vực cấm đỗ xe trên các tuyến đường đối ngoại.</v>
      </c>
      <c r="J1838" t="str">
        <f>SUBSTITUTE(IF(OR(LEFT(A1842,3)="Câu",I1838=""),"",IF(B1842=0,"",B1842)),CHAR(34),CHAR(92)&amp;CHAR(34))</f>
        <v>Biển chỉ dẫn khu vực đỗ xe trên các tuyến đường đối ngoại.</v>
      </c>
      <c r="K1838" t="str">
        <f>SUBSTITUTE(SUBSTITUTE(SUBSTITUTE(SUBSTITUTE(IFERROR(VLOOKUP("Câu "&amp;D1838&amp;".",dapan!$E:$J,6,0),""),"1","A"),"2","B"),"3","C"),"4","D")</f>
        <v/>
      </c>
      <c r="P1838" t="str">
        <f t="shared" si="103"/>
        <v/>
      </c>
      <c r="Q1838" t="str">
        <f t="shared" si="104"/>
        <v/>
      </c>
    </row>
    <row r="1839" spans="1:17" hidden="1" x14ac:dyDescent="0.25">
      <c r="A1839">
        <v>3</v>
      </c>
      <c r="B1839" t="s">
        <v>1297</v>
      </c>
      <c r="C1839">
        <f>IFERROR(COUNTIFS($A$1:A1839,"Câu "&amp;"*")-MID(A1839,5,FIND(".",A1839,1)-5),0)</f>
        <v>0</v>
      </c>
      <c r="D1839" t="str">
        <f t="shared" si="106"/>
        <v/>
      </c>
      <c r="E1839" t="str">
        <f>SUBSTITUTE(IF(LEFT(A1839,3)="Câu",MID(A1839,FIND(".",A1839,1)+2,LEN(A1839)),""),CHAR(34),CHAR(92)&amp;CHAR(34))</f>
        <v/>
      </c>
      <c r="F1839" t="str">
        <f t="shared" si="105"/>
        <v/>
      </c>
      <c r="G1839" t="str">
        <f>SUBSTITUTE(B1840,CHAR(34),CHAR(92)&amp;CHAR(34))</f>
        <v/>
      </c>
      <c r="H1839" t="str">
        <f>SUBSTITUTE(B1841,CHAR(34),CHAR(92)&amp;CHAR(34))</f>
        <v>Biển chỉ dẫn khu vực cấm đỗ xe trên các tuyến đường đối ngoại.</v>
      </c>
      <c r="I1839" t="str">
        <f>SUBSTITUTE(IF(LEFT(A1842,3)="Câu","",B1842),CHAR(34),CHAR(92)&amp;CHAR(34))</f>
        <v>Biển chỉ dẫn khu vực đỗ xe trên các tuyến đường đối ngoại.</v>
      </c>
      <c r="J1839" t="str">
        <f>SUBSTITUTE(IF(OR(LEFT(A1843,3)="Câu",I1839=""),"",IF(B1843=0,"",B1843)),CHAR(34),CHAR(92)&amp;CHAR(34))</f>
        <v xml:space="preserve"> Biển hạn chế tốc độ tối đa trong khu vực.</v>
      </c>
      <c r="K1839" t="str">
        <f>SUBSTITUTE(SUBSTITUTE(SUBSTITUTE(SUBSTITUTE(IFERROR(VLOOKUP("Câu "&amp;D1839&amp;".",dapan!$E:$J,6,0),""),"1","A"),"2","B"),"3","C"),"4","D")</f>
        <v/>
      </c>
      <c r="P1839" t="str">
        <f t="shared" si="103"/>
        <v/>
      </c>
      <c r="Q1839" t="str">
        <f t="shared" si="104"/>
        <v/>
      </c>
    </row>
    <row r="1840" spans="1:17" x14ac:dyDescent="0.25">
      <c r="A1840" t="s">
        <v>1298</v>
      </c>
      <c r="C1840">
        <f>IFERROR(COUNTIFS($A$1:A1840,"Câu "&amp;"*")-MID(A1840,5,FIND(".",A1840,1)-5),0)</f>
        <v>0</v>
      </c>
      <c r="D1840">
        <f t="shared" si="106"/>
        <v>446</v>
      </c>
      <c r="E1840" t="str">
        <f>SUBSTITUTE(IF(LEFT(A1840,3)="Câu",MID(A1840,FIND(".",A1840,1)+2,LEN(A1840)),""),CHAR(34),CHAR(92)&amp;CHAR(34))</f>
        <v>Biển số 3 có ý nghĩa như thế nào?</v>
      </c>
      <c r="F1840" t="str">
        <f t="shared" si="105"/>
        <v>q446.jpg</v>
      </c>
      <c r="G1840" t="str">
        <f>SUBSTITUTE(B1841,CHAR(34),CHAR(92)&amp;CHAR(34))</f>
        <v>Biển chỉ dẫn khu vực cấm đỗ xe trên các tuyến đường đối ngoại.</v>
      </c>
      <c r="H1840" t="str">
        <f>SUBSTITUTE(B1842,CHAR(34),CHAR(92)&amp;CHAR(34))</f>
        <v>Biển chỉ dẫn khu vực đỗ xe trên các tuyến đường đối ngoại.</v>
      </c>
      <c r="I1840" t="str">
        <f>SUBSTITUTE(IF(LEFT(A1843,3)="Câu","",B1843),CHAR(34),CHAR(92)&amp;CHAR(34))</f>
        <v xml:space="preserve"> Biển hạn chế tốc độ tối đa trong khu vực.</v>
      </c>
      <c r="J1840" t="str">
        <f>SUBSTITUTE(IF(OR(LEFT(A1844,3)="Câu",I1840=""),"",IF(B1844=0,"",B1844)),CHAR(34),CHAR(92)&amp;CHAR(34))</f>
        <v>Biển chỉ dẫn hết hiệu lực khu vực cấm đỗ xe theo giờ trên các tuyến đường đối ngoại.</v>
      </c>
      <c r="K1840" t="str">
        <f ca="1">SUBSTITUTE(SUBSTITUTE(SUBSTITUTE(SUBSTITUTE(IFERROR(VLOOKUP("Câu "&amp;D1840&amp;".",dapan!$E:$J,6,0),""),"1","A"),"2","B"),"3","C"),"4","D")</f>
        <v>C</v>
      </c>
      <c r="P1840">
        <f t="shared" si="103"/>
        <v>446</v>
      </c>
      <c r="Q1840" t="str">
        <f t="shared" ca="1" si="104"/>
        <v>{"num":446,"id":446,"q":"Biển số 3 có ý nghĩa như thế nào?","img":"q446.jpg","opts":{"A":"Biển chỉ dẫn khu vực cấm đỗ xe trên các tuyến đường đối ngoại.","B":"Biển chỉ dẫn khu vực đỗ xe trên các tuyến đường đối ngoại.","C":" Biển hạn chế tốc độ tối đa trong khu vực.","D":"Biển chỉ dẫn hết hiệu lực khu vực cấm đỗ xe theo giờ trên các tuyến đường đối ngoại."},"answer":"C"},</v>
      </c>
    </row>
    <row r="1841" spans="1:17" hidden="1" x14ac:dyDescent="0.25">
      <c r="A1841">
        <v>1</v>
      </c>
      <c r="B1841" t="s">
        <v>1299</v>
      </c>
      <c r="C1841">
        <f>IFERROR(COUNTIFS($A$1:A1841,"Câu "&amp;"*")-MID(A1841,5,FIND(".",A1841,1)-5),0)</f>
        <v>0</v>
      </c>
      <c r="D1841" t="str">
        <f t="shared" si="106"/>
        <v/>
      </c>
      <c r="E1841" t="str">
        <f>SUBSTITUTE(IF(LEFT(A1841,3)="Câu",MID(A1841,FIND(".",A1841,1)+2,LEN(A1841)),""),CHAR(34),CHAR(92)&amp;CHAR(34))</f>
        <v/>
      </c>
      <c r="F1841" t="str">
        <f t="shared" si="105"/>
        <v/>
      </c>
      <c r="G1841" t="str">
        <f>SUBSTITUTE(B1842,CHAR(34),CHAR(92)&amp;CHAR(34))</f>
        <v>Biển chỉ dẫn khu vực đỗ xe trên các tuyến đường đối ngoại.</v>
      </c>
      <c r="H1841" t="str">
        <f>SUBSTITUTE(B1843,CHAR(34),CHAR(92)&amp;CHAR(34))</f>
        <v xml:space="preserve"> Biển hạn chế tốc độ tối đa trong khu vực.</v>
      </c>
      <c r="I1841" t="str">
        <f>SUBSTITUTE(IF(LEFT(A1844,3)="Câu","",B1844),CHAR(34),CHAR(92)&amp;CHAR(34))</f>
        <v>Biển chỉ dẫn hết hiệu lực khu vực cấm đỗ xe theo giờ trên các tuyến đường đối ngoại.</v>
      </c>
      <c r="J1841" t="str">
        <f>SUBSTITUTE(IF(OR(LEFT(A1845,3)="Câu",I1841=""),"",IF(B1845=0,"",B1845)),CHAR(34),CHAR(92)&amp;CHAR(34))</f>
        <v/>
      </c>
      <c r="K1841" t="str">
        <f>SUBSTITUTE(SUBSTITUTE(SUBSTITUTE(SUBSTITUTE(IFERROR(VLOOKUP("Câu "&amp;D1841&amp;".",dapan!$E:$J,6,0),""),"1","A"),"2","B"),"3","C"),"4","D")</f>
        <v/>
      </c>
      <c r="P1841" t="str">
        <f t="shared" si="103"/>
        <v/>
      </c>
      <c r="Q1841" t="str">
        <f t="shared" si="104"/>
        <v/>
      </c>
    </row>
    <row r="1842" spans="1:17" hidden="1" x14ac:dyDescent="0.25">
      <c r="A1842">
        <v>2</v>
      </c>
      <c r="B1842" t="s">
        <v>1297</v>
      </c>
      <c r="C1842">
        <f>IFERROR(COUNTIFS($A$1:A1842,"Câu "&amp;"*")-MID(A1842,5,FIND(".",A1842,1)-5),0)</f>
        <v>0</v>
      </c>
      <c r="D1842" t="str">
        <f t="shared" si="106"/>
        <v/>
      </c>
      <c r="E1842" t="str">
        <f>SUBSTITUTE(IF(LEFT(A1842,3)="Câu",MID(A1842,FIND(".",A1842,1)+2,LEN(A1842)),""),CHAR(34),CHAR(92)&amp;CHAR(34))</f>
        <v/>
      </c>
      <c r="F1842" t="str">
        <f t="shared" si="105"/>
        <v/>
      </c>
      <c r="G1842" t="str">
        <f>SUBSTITUTE(B1843,CHAR(34),CHAR(92)&amp;CHAR(34))</f>
        <v xml:space="preserve"> Biển hạn chế tốc độ tối đa trong khu vực.</v>
      </c>
      <c r="H1842" t="str">
        <f>SUBSTITUTE(B1844,CHAR(34),CHAR(92)&amp;CHAR(34))</f>
        <v>Biển chỉ dẫn hết hiệu lực khu vực cấm đỗ xe theo giờ trên các tuyến đường đối ngoại.</v>
      </c>
      <c r="I1842" t="str">
        <f>SUBSTITUTE(IF(LEFT(A1845,3)="Câu","",B1845),CHAR(34),CHAR(92)&amp;CHAR(34))</f>
        <v/>
      </c>
      <c r="J1842" t="str">
        <f>SUBSTITUTE(IF(OR(LEFT(A1846,3)="Câu",I1842=""),"",IF(B1846=0,"",B1846)),CHAR(34),CHAR(92)&amp;CHAR(34))</f>
        <v/>
      </c>
      <c r="K1842" t="str">
        <f>SUBSTITUTE(SUBSTITUTE(SUBSTITUTE(SUBSTITUTE(IFERROR(VLOOKUP("Câu "&amp;D1842&amp;".",dapan!$E:$J,6,0),""),"1","A"),"2","B"),"3","C"),"4","D")</f>
        <v/>
      </c>
      <c r="P1842" t="str">
        <f t="shared" si="103"/>
        <v/>
      </c>
      <c r="Q1842" t="str">
        <f t="shared" si="104"/>
        <v/>
      </c>
    </row>
    <row r="1843" spans="1:17" hidden="1" x14ac:dyDescent="0.25">
      <c r="A1843">
        <v>3</v>
      </c>
      <c r="B1843" t="s">
        <v>1300</v>
      </c>
      <c r="C1843">
        <f>IFERROR(COUNTIFS($A$1:A1843,"Câu "&amp;"*")-MID(A1843,5,FIND(".",A1843,1)-5),0)</f>
        <v>0</v>
      </c>
      <c r="D1843" t="str">
        <f t="shared" si="106"/>
        <v/>
      </c>
      <c r="E1843" t="str">
        <f>SUBSTITUTE(IF(LEFT(A1843,3)="Câu",MID(A1843,FIND(".",A1843,1)+2,LEN(A1843)),""),CHAR(34),CHAR(92)&amp;CHAR(34))</f>
        <v/>
      </c>
      <c r="F1843" t="str">
        <f t="shared" si="105"/>
        <v/>
      </c>
      <c r="G1843" t="str">
        <f>SUBSTITUTE(B1844,CHAR(34),CHAR(92)&amp;CHAR(34))</f>
        <v>Biển chỉ dẫn hết hiệu lực khu vực cấm đỗ xe theo giờ trên các tuyến đường đối ngoại.</v>
      </c>
      <c r="H1843" t="str">
        <f>SUBSTITUTE(B1845,CHAR(34),CHAR(92)&amp;CHAR(34))</f>
        <v/>
      </c>
      <c r="I1843" t="str">
        <f>SUBSTITUTE(IF(LEFT(A1846,3)="Câu","",B1846),CHAR(34),CHAR(92)&amp;CHAR(34))</f>
        <v>Biển 1.</v>
      </c>
      <c r="J1843" t="str">
        <f>SUBSTITUTE(IF(OR(LEFT(A1847,3)="Câu",I1843=""),"",IF(B1847=0,"",B1847)),CHAR(34),CHAR(92)&amp;CHAR(34))</f>
        <v xml:space="preserve"> Biển 2.</v>
      </c>
      <c r="K1843" t="str">
        <f>SUBSTITUTE(SUBSTITUTE(SUBSTITUTE(SUBSTITUTE(IFERROR(VLOOKUP("Câu "&amp;D1843&amp;".",dapan!$E:$J,6,0),""),"1","A"),"2","B"),"3","C"),"4","D")</f>
        <v/>
      </c>
      <c r="P1843" t="str">
        <f t="shared" si="103"/>
        <v/>
      </c>
      <c r="Q1843" t="str">
        <f t="shared" si="104"/>
        <v/>
      </c>
    </row>
    <row r="1844" spans="1:17" hidden="1" x14ac:dyDescent="0.25">
      <c r="A1844">
        <v>4</v>
      </c>
      <c r="B1844" t="s">
        <v>1301</v>
      </c>
      <c r="C1844">
        <f>IFERROR(COUNTIFS($A$1:A1844,"Câu "&amp;"*")-MID(A1844,5,FIND(".",A1844,1)-5),0)</f>
        <v>0</v>
      </c>
      <c r="D1844" t="str">
        <f t="shared" si="106"/>
        <v/>
      </c>
      <c r="E1844" t="str">
        <f>SUBSTITUTE(IF(LEFT(A1844,3)="Câu",MID(A1844,FIND(".",A1844,1)+2,LEN(A1844)),""),CHAR(34),CHAR(92)&amp;CHAR(34))</f>
        <v/>
      </c>
      <c r="F1844" t="str">
        <f t="shared" si="105"/>
        <v/>
      </c>
      <c r="G1844" t="str">
        <f>SUBSTITUTE(B1845,CHAR(34),CHAR(92)&amp;CHAR(34))</f>
        <v/>
      </c>
      <c r="H1844" t="str">
        <f>SUBSTITUTE(B1846,CHAR(34),CHAR(92)&amp;CHAR(34))</f>
        <v>Biển 1.</v>
      </c>
      <c r="I1844" t="str">
        <f>SUBSTITUTE(IF(LEFT(A1847,3)="Câu","",B1847),CHAR(34),CHAR(92)&amp;CHAR(34))</f>
        <v xml:space="preserve"> Biển 2.</v>
      </c>
      <c r="J1844" t="str">
        <f>SUBSTITUTE(IF(OR(LEFT(A1848,3)="Câu",I1844=""),"",IF(B1848=0,"",B1848)),CHAR(34),CHAR(92)&amp;CHAR(34))</f>
        <v>Biển 3.</v>
      </c>
      <c r="K1844" t="str">
        <f>SUBSTITUTE(SUBSTITUTE(SUBSTITUTE(SUBSTITUTE(IFERROR(VLOOKUP("Câu "&amp;D1844&amp;".",dapan!$E:$J,6,0),""),"1","A"),"2","B"),"3","C"),"4","D")</f>
        <v/>
      </c>
      <c r="P1844" t="str">
        <f t="shared" si="103"/>
        <v/>
      </c>
      <c r="Q1844" t="str">
        <f t="shared" si="104"/>
        <v/>
      </c>
    </row>
    <row r="1845" spans="1:17" x14ac:dyDescent="0.25">
      <c r="A1845" t="s">
        <v>1302</v>
      </c>
      <c r="C1845">
        <f>IFERROR(COUNTIFS($A$1:A1845,"Câu "&amp;"*")-MID(A1845,5,FIND(".",A1845,1)-5),0)</f>
        <v>0</v>
      </c>
      <c r="D1845">
        <f t="shared" si="106"/>
        <v>447</v>
      </c>
      <c r="E1845" t="str">
        <f>SUBSTITUTE(IF(LEFT(A1845,3)="Câu",MID(A1845,FIND(".",A1845,1)+2,LEN(A1845)),""),CHAR(34),CHAR(92)&amp;CHAR(34))</f>
        <v>Biển nào báo hiệu \"Đường phía trước có làn đường dành cho ô tô khách\"?</v>
      </c>
      <c r="F1845" t="str">
        <f t="shared" si="105"/>
        <v>q447.jpg</v>
      </c>
      <c r="G1845" t="str">
        <f>SUBSTITUTE(B1846,CHAR(34),CHAR(92)&amp;CHAR(34))</f>
        <v>Biển 1.</v>
      </c>
      <c r="H1845" t="str">
        <f>SUBSTITUTE(B1847,CHAR(34),CHAR(92)&amp;CHAR(34))</f>
        <v xml:space="preserve"> Biển 2.</v>
      </c>
      <c r="I1845" t="str">
        <f>SUBSTITUTE(IF(LEFT(A1848,3)="Câu","",B1848),CHAR(34),CHAR(92)&amp;CHAR(34))</f>
        <v>Biển 3.</v>
      </c>
      <c r="J1845" t="str">
        <f>SUBSTITUTE(IF(OR(LEFT(A1849,3)="Câu",I1845=""),"",IF(B1849=0,"",B1849)),CHAR(34),CHAR(92)&amp;CHAR(34))</f>
        <v/>
      </c>
      <c r="K1845" t="str">
        <f ca="1">SUBSTITUTE(SUBSTITUTE(SUBSTITUTE(SUBSTITUTE(IFERROR(VLOOKUP("Câu "&amp;D1845&amp;".",dapan!$E:$J,6,0),""),"1","A"),"2","B"),"3","C"),"4","D")</f>
        <v>B</v>
      </c>
      <c r="P1845">
        <f t="shared" si="103"/>
        <v>447</v>
      </c>
      <c r="Q1845" t="str">
        <f t="shared" ca="1" si="104"/>
        <v>{"num":447,"id":447,"q":"Biển nào báo hiệu \"Đường phía trước có làn đường dành cho ô tô khách\"?","img":"q447.jpg","opts":{"A":"Biển 1.","B":" Biển 2.","C":"Biển 3."},"answer":"B"},</v>
      </c>
    </row>
    <row r="1846" spans="1:17" hidden="1" x14ac:dyDescent="0.25">
      <c r="A1846">
        <v>1</v>
      </c>
      <c r="B1846" t="s">
        <v>1075</v>
      </c>
      <c r="C1846">
        <f>IFERROR(COUNTIFS($A$1:A1846,"Câu "&amp;"*")-MID(A1846,5,FIND(".",A1846,1)-5),0)</f>
        <v>0</v>
      </c>
      <c r="D1846" t="str">
        <f t="shared" si="106"/>
        <v/>
      </c>
      <c r="E1846" t="str">
        <f>SUBSTITUTE(IF(LEFT(A1846,3)="Câu",MID(A1846,FIND(".",A1846,1)+2,LEN(A1846)),""),CHAR(34),CHAR(92)&amp;CHAR(34))</f>
        <v/>
      </c>
      <c r="F1846" t="str">
        <f t="shared" si="105"/>
        <v/>
      </c>
      <c r="G1846" t="str">
        <f>SUBSTITUTE(B1847,CHAR(34),CHAR(92)&amp;CHAR(34))</f>
        <v xml:space="preserve"> Biển 2.</v>
      </c>
      <c r="H1846" t="str">
        <f>SUBSTITUTE(B1848,CHAR(34),CHAR(92)&amp;CHAR(34))</f>
        <v>Biển 3.</v>
      </c>
      <c r="I1846" t="str">
        <f>SUBSTITUTE(IF(LEFT(A1849,3)="Câu","",B1849),CHAR(34),CHAR(92)&amp;CHAR(34))</f>
        <v/>
      </c>
      <c r="J1846" t="str">
        <f>SUBSTITUTE(IF(OR(LEFT(A1850,3)="Câu",I1846=""),"",IF(B1850=0,"",B1850)),CHAR(34),CHAR(92)&amp;CHAR(34))</f>
        <v/>
      </c>
      <c r="K1846" t="str">
        <f>SUBSTITUTE(SUBSTITUTE(SUBSTITUTE(SUBSTITUTE(IFERROR(VLOOKUP("Câu "&amp;D1846&amp;".",dapan!$E:$J,6,0),""),"1","A"),"2","B"),"3","C"),"4","D")</f>
        <v/>
      </c>
      <c r="P1846" t="str">
        <f t="shared" si="103"/>
        <v/>
      </c>
      <c r="Q1846" t="str">
        <f t="shared" si="104"/>
        <v/>
      </c>
    </row>
    <row r="1847" spans="1:17" hidden="1" x14ac:dyDescent="0.25">
      <c r="A1847">
        <v>2</v>
      </c>
      <c r="B1847" t="s">
        <v>1090</v>
      </c>
      <c r="C1847">
        <f>IFERROR(COUNTIFS($A$1:A1847,"Câu "&amp;"*")-MID(A1847,5,FIND(".",A1847,1)-5),0)</f>
        <v>0</v>
      </c>
      <c r="D1847" t="str">
        <f t="shared" si="106"/>
        <v/>
      </c>
      <c r="E1847" t="str">
        <f>SUBSTITUTE(IF(LEFT(A1847,3)="Câu",MID(A1847,FIND(".",A1847,1)+2,LEN(A1847)),""),CHAR(34),CHAR(92)&amp;CHAR(34))</f>
        <v/>
      </c>
      <c r="F1847" t="str">
        <f t="shared" si="105"/>
        <v/>
      </c>
      <c r="G1847" t="str">
        <f>SUBSTITUTE(B1848,CHAR(34),CHAR(92)&amp;CHAR(34))</f>
        <v>Biển 3.</v>
      </c>
      <c r="H1847" t="str">
        <f>SUBSTITUTE(B1849,CHAR(34),CHAR(92)&amp;CHAR(34))</f>
        <v/>
      </c>
      <c r="I1847" t="str">
        <f>SUBSTITUTE(IF(LEFT(A1850,3)="Câu","",B1850),CHAR(34),CHAR(92)&amp;CHAR(34))</f>
        <v>Biển 1.</v>
      </c>
      <c r="J1847" t="str">
        <f>SUBSTITUTE(IF(OR(LEFT(A1851,3)="Câu",I1847=""),"",IF(B1851=0,"",B1851)),CHAR(34),CHAR(92)&amp;CHAR(34))</f>
        <v>Biển 2.</v>
      </c>
      <c r="K1847" t="str">
        <f>SUBSTITUTE(SUBSTITUTE(SUBSTITUTE(SUBSTITUTE(IFERROR(VLOOKUP("Câu "&amp;D1847&amp;".",dapan!$E:$J,6,0),""),"1","A"),"2","B"),"3","C"),"4","D")</f>
        <v/>
      </c>
      <c r="P1847" t="str">
        <f t="shared" si="103"/>
        <v/>
      </c>
      <c r="Q1847" t="str">
        <f t="shared" si="104"/>
        <v/>
      </c>
    </row>
    <row r="1848" spans="1:17" hidden="1" x14ac:dyDescent="0.25">
      <c r="A1848">
        <v>3</v>
      </c>
      <c r="B1848" t="s">
        <v>1083</v>
      </c>
      <c r="C1848">
        <f>IFERROR(COUNTIFS($A$1:A1848,"Câu "&amp;"*")-MID(A1848,5,FIND(".",A1848,1)-5),0)</f>
        <v>0</v>
      </c>
      <c r="D1848" t="str">
        <f t="shared" si="106"/>
        <v/>
      </c>
      <c r="E1848" t="str">
        <f>SUBSTITUTE(IF(LEFT(A1848,3)="Câu",MID(A1848,FIND(".",A1848,1)+2,LEN(A1848)),""),CHAR(34),CHAR(92)&amp;CHAR(34))</f>
        <v/>
      </c>
      <c r="F1848" t="str">
        <f t="shared" si="105"/>
        <v/>
      </c>
      <c r="G1848" t="str">
        <f>SUBSTITUTE(B1849,CHAR(34),CHAR(92)&amp;CHAR(34))</f>
        <v/>
      </c>
      <c r="H1848" t="str">
        <f>SUBSTITUTE(B1850,CHAR(34),CHAR(92)&amp;CHAR(34))</f>
        <v>Biển 1.</v>
      </c>
      <c r="I1848" t="str">
        <f>SUBSTITUTE(IF(LEFT(A1851,3)="Câu","",B1851),CHAR(34),CHAR(92)&amp;CHAR(34))</f>
        <v>Biển 2.</v>
      </c>
      <c r="J1848" t="str">
        <f>SUBSTITUTE(IF(OR(LEFT(A1852,3)="Câu",I1848=""),"",IF(B1852=0,"",B1852)),CHAR(34),CHAR(92)&amp;CHAR(34))</f>
        <v xml:space="preserve"> Biển 3.</v>
      </c>
      <c r="K1848" t="str">
        <f>SUBSTITUTE(SUBSTITUTE(SUBSTITUTE(SUBSTITUTE(IFERROR(VLOOKUP("Câu "&amp;D1848&amp;".",dapan!$E:$J,6,0),""),"1","A"),"2","B"),"3","C"),"4","D")</f>
        <v/>
      </c>
      <c r="P1848" t="str">
        <f t="shared" si="103"/>
        <v/>
      </c>
      <c r="Q1848" t="str">
        <f t="shared" si="104"/>
        <v/>
      </c>
    </row>
    <row r="1849" spans="1:17" x14ac:dyDescent="0.25">
      <c r="A1849" t="s">
        <v>1303</v>
      </c>
      <c r="C1849">
        <f>IFERROR(COUNTIFS($A$1:A1849,"Câu "&amp;"*")-MID(A1849,5,FIND(".",A1849,1)-5),0)</f>
        <v>0</v>
      </c>
      <c r="D1849">
        <f t="shared" si="106"/>
        <v>448</v>
      </c>
      <c r="E1849" t="str">
        <f>SUBSTITUTE(IF(LEFT(A1849,3)="Câu",MID(A1849,FIND(".",A1849,1)+2,LEN(A1849)),""),CHAR(34),CHAR(92)&amp;CHAR(34))</f>
        <v>Biển nào báo hiệu \"Rẽ ra đường có làn đường dành cho ô tô khách\"?</v>
      </c>
      <c r="F1849" t="str">
        <f t="shared" si="105"/>
        <v>q448.jpg</v>
      </c>
      <c r="G1849" t="str">
        <f>SUBSTITUTE(B1850,CHAR(34),CHAR(92)&amp;CHAR(34))</f>
        <v>Biển 1.</v>
      </c>
      <c r="H1849" t="str">
        <f>SUBSTITUTE(B1851,CHAR(34),CHAR(92)&amp;CHAR(34))</f>
        <v>Biển 2.</v>
      </c>
      <c r="I1849" t="str">
        <f>SUBSTITUTE(IF(LEFT(A1852,3)="Câu","",B1852),CHAR(34),CHAR(92)&amp;CHAR(34))</f>
        <v xml:space="preserve"> Biển 3.</v>
      </c>
      <c r="J1849" t="str">
        <f>SUBSTITUTE(IF(OR(LEFT(A1853,3)="Câu",I1849=""),"",IF(B1853=0,"",B1853)),CHAR(34),CHAR(92)&amp;CHAR(34))</f>
        <v/>
      </c>
      <c r="K1849" t="str">
        <f ca="1">SUBSTITUTE(SUBSTITUTE(SUBSTITUTE(SUBSTITUTE(IFERROR(VLOOKUP("Câu "&amp;D1849&amp;".",dapan!$E:$J,6,0),""),"1","A"),"2","B"),"3","C"),"4","D")</f>
        <v>C</v>
      </c>
      <c r="P1849">
        <f t="shared" si="103"/>
        <v>448</v>
      </c>
      <c r="Q1849" t="str">
        <f t="shared" ca="1" si="104"/>
        <v>{"num":448,"id":448,"q":"Biển nào báo hiệu \"Rẽ ra đường có làn đường dành cho ô tô khách\"?","img":"q448.jpg","opts":{"A":"Biển 1.","B":"Biển 2.","C":" Biển 3."},"answer":"C"},</v>
      </c>
    </row>
    <row r="1850" spans="1:17" hidden="1" x14ac:dyDescent="0.25">
      <c r="A1850">
        <v>1</v>
      </c>
      <c r="B1850" t="s">
        <v>1075</v>
      </c>
      <c r="C1850">
        <f>IFERROR(COUNTIFS($A$1:A1850,"Câu "&amp;"*")-MID(A1850,5,FIND(".",A1850,1)-5),0)</f>
        <v>0</v>
      </c>
      <c r="D1850" t="str">
        <f t="shared" si="106"/>
        <v/>
      </c>
      <c r="E1850" t="str">
        <f>SUBSTITUTE(IF(LEFT(A1850,3)="Câu",MID(A1850,FIND(".",A1850,1)+2,LEN(A1850)),""),CHAR(34),CHAR(92)&amp;CHAR(34))</f>
        <v/>
      </c>
      <c r="F1850" t="str">
        <f t="shared" si="105"/>
        <v/>
      </c>
      <c r="G1850" t="str">
        <f>SUBSTITUTE(B1851,CHAR(34),CHAR(92)&amp;CHAR(34))</f>
        <v>Biển 2.</v>
      </c>
      <c r="H1850" t="str">
        <f>SUBSTITUTE(B1852,CHAR(34),CHAR(92)&amp;CHAR(34))</f>
        <v xml:space="preserve"> Biển 3.</v>
      </c>
      <c r="I1850" t="str">
        <f>SUBSTITUTE(IF(LEFT(A1853,3)="Câu","",B1853),CHAR(34),CHAR(92)&amp;CHAR(34))</f>
        <v/>
      </c>
      <c r="J1850" t="str">
        <f>SUBSTITUTE(IF(OR(LEFT(A1854,3)="Câu",I1850=""),"",IF(B1854=0,"",B1854)),CHAR(34),CHAR(92)&amp;CHAR(34))</f>
        <v/>
      </c>
      <c r="K1850" t="str">
        <f>SUBSTITUTE(SUBSTITUTE(SUBSTITUTE(SUBSTITUTE(IFERROR(VLOOKUP("Câu "&amp;D1850&amp;".",dapan!$E:$J,6,0),""),"1","A"),"2","B"),"3","C"),"4","D")</f>
        <v/>
      </c>
      <c r="P1850" t="str">
        <f t="shared" si="103"/>
        <v/>
      </c>
      <c r="Q1850" t="str">
        <f t="shared" si="104"/>
        <v/>
      </c>
    </row>
    <row r="1851" spans="1:17" hidden="1" x14ac:dyDescent="0.25">
      <c r="A1851">
        <v>2</v>
      </c>
      <c r="B1851" t="s">
        <v>1068</v>
      </c>
      <c r="C1851">
        <f>IFERROR(COUNTIFS($A$1:A1851,"Câu "&amp;"*")-MID(A1851,5,FIND(".",A1851,1)-5),0)</f>
        <v>0</v>
      </c>
      <c r="D1851" t="str">
        <f t="shared" si="106"/>
        <v/>
      </c>
      <c r="E1851" t="str">
        <f>SUBSTITUTE(IF(LEFT(A1851,3)="Câu",MID(A1851,FIND(".",A1851,1)+2,LEN(A1851)),""),CHAR(34),CHAR(92)&amp;CHAR(34))</f>
        <v/>
      </c>
      <c r="F1851" t="str">
        <f t="shared" si="105"/>
        <v/>
      </c>
      <c r="G1851" t="str">
        <f>SUBSTITUTE(B1852,CHAR(34),CHAR(92)&amp;CHAR(34))</f>
        <v xml:space="preserve"> Biển 3.</v>
      </c>
      <c r="H1851" t="str">
        <f>SUBSTITUTE(B1853,CHAR(34),CHAR(92)&amp;CHAR(34))</f>
        <v/>
      </c>
      <c r="I1851" t="str">
        <f>SUBSTITUTE(IF(LEFT(A1854,3)="Câu","",B1854),CHAR(34),CHAR(92)&amp;CHAR(34))</f>
        <v xml:space="preserve"> Biển 1 và 2.</v>
      </c>
      <c r="J1851" t="str">
        <f>SUBSTITUTE(IF(OR(LEFT(A1855,3)="Câu",I1851=""),"",IF(B1855=0,"",B1855)),CHAR(34),CHAR(92)&amp;CHAR(34))</f>
        <v>Cả ba biển.</v>
      </c>
      <c r="K1851" t="str">
        <f>SUBSTITUTE(SUBSTITUTE(SUBSTITUTE(SUBSTITUTE(IFERROR(VLOOKUP("Câu "&amp;D1851&amp;".",dapan!$E:$J,6,0),""),"1","A"),"2","B"),"3","C"),"4","D")</f>
        <v/>
      </c>
      <c r="P1851" t="str">
        <f t="shared" si="103"/>
        <v/>
      </c>
      <c r="Q1851" t="str">
        <f t="shared" si="104"/>
        <v/>
      </c>
    </row>
    <row r="1852" spans="1:17" hidden="1" x14ac:dyDescent="0.25">
      <c r="A1852">
        <v>3</v>
      </c>
      <c r="B1852" t="s">
        <v>1114</v>
      </c>
      <c r="C1852">
        <f>IFERROR(COUNTIFS($A$1:A1852,"Câu "&amp;"*")-MID(A1852,5,FIND(".",A1852,1)-5),0)</f>
        <v>0</v>
      </c>
      <c r="D1852" t="str">
        <f t="shared" si="106"/>
        <v/>
      </c>
      <c r="E1852" t="str">
        <f>SUBSTITUTE(IF(LEFT(A1852,3)="Câu",MID(A1852,FIND(".",A1852,1)+2,LEN(A1852)),""),CHAR(34),CHAR(92)&amp;CHAR(34))</f>
        <v/>
      </c>
      <c r="F1852" t="str">
        <f t="shared" si="105"/>
        <v/>
      </c>
      <c r="G1852" t="str">
        <f>SUBSTITUTE(B1853,CHAR(34),CHAR(92)&amp;CHAR(34))</f>
        <v/>
      </c>
      <c r="H1852" t="str">
        <f>SUBSTITUTE(B1854,CHAR(34),CHAR(92)&amp;CHAR(34))</f>
        <v xml:space="preserve"> Biển 1 và 2.</v>
      </c>
      <c r="I1852" t="str">
        <f>SUBSTITUTE(IF(LEFT(A1855,3)="Câu","",B1855),CHAR(34),CHAR(92)&amp;CHAR(34))</f>
        <v>Cả ba biển.</v>
      </c>
      <c r="J1852" t="str">
        <f>SUBSTITUTE(IF(OR(LEFT(A1856,3)="Câu",I1852=""),"",IF(B1856=0,"",B1856)),CHAR(34),CHAR(92)&amp;CHAR(34))</f>
        <v>Không biển nào.</v>
      </c>
      <c r="K1852" t="str">
        <f>SUBSTITUTE(SUBSTITUTE(SUBSTITUTE(SUBSTITUTE(IFERROR(VLOOKUP("Câu "&amp;D1852&amp;".",dapan!$E:$J,6,0),""),"1","A"),"2","B"),"3","C"),"4","D")</f>
        <v/>
      </c>
      <c r="P1852" t="str">
        <f t="shared" si="103"/>
        <v/>
      </c>
      <c r="Q1852" t="str">
        <f t="shared" si="104"/>
        <v/>
      </c>
    </row>
    <row r="1853" spans="1:17" x14ac:dyDescent="0.25">
      <c r="A1853" t="s">
        <v>1304</v>
      </c>
      <c r="C1853">
        <f>IFERROR(COUNTIFS($A$1:A1853,"Câu "&amp;"*")-MID(A1853,5,FIND(".",A1853,1)-5),0)</f>
        <v>0</v>
      </c>
      <c r="D1853">
        <f t="shared" si="106"/>
        <v>449</v>
      </c>
      <c r="E1853" t="str">
        <f>SUBSTITUTE(IF(LEFT(A1853,3)="Câu",MID(A1853,FIND(".",A1853,1)+2,LEN(A1853)),""),CHAR(34),CHAR(92)&amp;CHAR(34))</f>
        <v>Biển nào đặt trên đường chính trước khi đến nơi đường giao nhau để rẽ vào đường cụt?</v>
      </c>
      <c r="F1853" t="str">
        <f t="shared" si="105"/>
        <v>q449.jpg</v>
      </c>
      <c r="G1853" t="str">
        <f>SUBSTITUTE(B1854,CHAR(34),CHAR(92)&amp;CHAR(34))</f>
        <v xml:space="preserve"> Biển 1 và 2.</v>
      </c>
      <c r="H1853" t="str">
        <f>SUBSTITUTE(B1855,CHAR(34),CHAR(92)&amp;CHAR(34))</f>
        <v>Cả ba biển.</v>
      </c>
      <c r="I1853" t="str">
        <f>SUBSTITUTE(IF(LEFT(A1856,3)="Câu","",B1856),CHAR(34),CHAR(92)&amp;CHAR(34))</f>
        <v>Không biển nào.</v>
      </c>
      <c r="J1853" t="str">
        <f>SUBSTITUTE(IF(OR(LEFT(A1857,3)="Câu",I1853=""),"",IF(B1857=0,"",B1857)),CHAR(34),CHAR(92)&amp;CHAR(34))</f>
        <v/>
      </c>
      <c r="K1853" t="str">
        <f ca="1">SUBSTITUTE(SUBSTITUTE(SUBSTITUTE(SUBSTITUTE(IFERROR(VLOOKUP("Câu "&amp;D1853&amp;".",dapan!$E:$J,6,0),""),"1","A"),"2","B"),"3","C"),"4","D")</f>
        <v>A</v>
      </c>
      <c r="P1853">
        <f t="shared" si="103"/>
        <v>449</v>
      </c>
      <c r="Q1853" t="str">
        <f t="shared" ca="1" si="104"/>
        <v>{"num":449,"id":449,"q":"Biển nào đặt trên đường chính trước khi đến nơi đường giao nhau để rẽ vào đường cụt?","img":"q449.jpg","opts":{"A":" Biển 1 và 2.","B":"Cả ba biển.","C":"Không biển nào."},"answer":"A"},</v>
      </c>
    </row>
    <row r="1854" spans="1:17" hidden="1" x14ac:dyDescent="0.25">
      <c r="A1854">
        <v>1</v>
      </c>
      <c r="B1854" t="s">
        <v>1305</v>
      </c>
      <c r="C1854">
        <f>IFERROR(COUNTIFS($A$1:A1854,"Câu "&amp;"*")-MID(A1854,5,FIND(".",A1854,1)-5),0)</f>
        <v>0</v>
      </c>
      <c r="D1854" t="str">
        <f t="shared" si="106"/>
        <v/>
      </c>
      <c r="E1854" t="str">
        <f>SUBSTITUTE(IF(LEFT(A1854,3)="Câu",MID(A1854,FIND(".",A1854,1)+2,LEN(A1854)),""),CHAR(34),CHAR(92)&amp;CHAR(34))</f>
        <v/>
      </c>
      <c r="F1854" t="str">
        <f t="shared" si="105"/>
        <v/>
      </c>
      <c r="G1854" t="str">
        <f>SUBSTITUTE(B1855,CHAR(34),CHAR(92)&amp;CHAR(34))</f>
        <v>Cả ba biển.</v>
      </c>
      <c r="H1854" t="str">
        <f>SUBSTITUTE(B1856,CHAR(34),CHAR(92)&amp;CHAR(34))</f>
        <v>Không biển nào.</v>
      </c>
      <c r="I1854" t="str">
        <f>SUBSTITUTE(IF(LEFT(A1857,3)="Câu","",B1857),CHAR(34),CHAR(92)&amp;CHAR(34))</f>
        <v/>
      </c>
      <c r="J1854" t="str">
        <f>SUBSTITUTE(IF(OR(LEFT(A1858,3)="Câu",I1854=""),"",IF(B1858=0,"",B1858)),CHAR(34),CHAR(92)&amp;CHAR(34))</f>
        <v/>
      </c>
      <c r="K1854" t="str">
        <f>SUBSTITUTE(SUBSTITUTE(SUBSTITUTE(SUBSTITUTE(IFERROR(VLOOKUP("Câu "&amp;D1854&amp;".",dapan!$E:$J,6,0),""),"1","A"),"2","B"),"3","C"),"4","D")</f>
        <v/>
      </c>
      <c r="P1854" t="str">
        <f t="shared" si="103"/>
        <v/>
      </c>
      <c r="Q1854" t="str">
        <f t="shared" si="104"/>
        <v/>
      </c>
    </row>
    <row r="1855" spans="1:17" hidden="1" x14ac:dyDescent="0.25">
      <c r="A1855">
        <v>2</v>
      </c>
      <c r="B1855" t="s">
        <v>1071</v>
      </c>
      <c r="C1855">
        <f>IFERROR(COUNTIFS($A$1:A1855,"Câu "&amp;"*")-MID(A1855,5,FIND(".",A1855,1)-5),0)</f>
        <v>0</v>
      </c>
      <c r="D1855" t="str">
        <f t="shared" si="106"/>
        <v/>
      </c>
      <c r="E1855" t="str">
        <f>SUBSTITUTE(IF(LEFT(A1855,3)="Câu",MID(A1855,FIND(".",A1855,1)+2,LEN(A1855)),""),CHAR(34),CHAR(92)&amp;CHAR(34))</f>
        <v/>
      </c>
      <c r="F1855" t="str">
        <f t="shared" si="105"/>
        <v/>
      </c>
      <c r="G1855" t="str">
        <f>SUBSTITUTE(B1856,CHAR(34),CHAR(92)&amp;CHAR(34))</f>
        <v>Không biển nào.</v>
      </c>
      <c r="H1855" t="str">
        <f>SUBSTITUTE(B1857,CHAR(34),CHAR(92)&amp;CHAR(34))</f>
        <v/>
      </c>
      <c r="I1855" t="str">
        <f>SUBSTITUTE(IF(LEFT(A1858,3)="Câu","",B1858),CHAR(34),CHAR(92)&amp;CHAR(34))</f>
        <v xml:space="preserve"> Biển 1.</v>
      </c>
      <c r="J1855" t="str">
        <f>SUBSTITUTE(IF(OR(LEFT(A1859,3)="Câu",I1855=""),"",IF(B1859=0,"",B1859)),CHAR(34),CHAR(92)&amp;CHAR(34))</f>
        <v>Biển 2.</v>
      </c>
      <c r="K1855" t="str">
        <f>SUBSTITUTE(SUBSTITUTE(SUBSTITUTE(SUBSTITUTE(IFERROR(VLOOKUP("Câu "&amp;D1855&amp;".",dapan!$E:$J,6,0),""),"1","A"),"2","B"),"3","C"),"4","D")</f>
        <v/>
      </c>
      <c r="P1855" t="str">
        <f t="shared" si="103"/>
        <v/>
      </c>
      <c r="Q1855" t="str">
        <f t="shared" si="104"/>
        <v/>
      </c>
    </row>
    <row r="1856" spans="1:17" hidden="1" x14ac:dyDescent="0.25">
      <c r="A1856">
        <v>3</v>
      </c>
      <c r="B1856" t="s">
        <v>1085</v>
      </c>
      <c r="C1856">
        <f>IFERROR(COUNTIFS($A$1:A1856,"Câu "&amp;"*")-MID(A1856,5,FIND(".",A1856,1)-5),0)</f>
        <v>0</v>
      </c>
      <c r="D1856" t="str">
        <f t="shared" si="106"/>
        <v/>
      </c>
      <c r="E1856" t="str">
        <f>SUBSTITUTE(IF(LEFT(A1856,3)="Câu",MID(A1856,FIND(".",A1856,1)+2,LEN(A1856)),""),CHAR(34),CHAR(92)&amp;CHAR(34))</f>
        <v/>
      </c>
      <c r="F1856" t="str">
        <f t="shared" si="105"/>
        <v/>
      </c>
      <c r="G1856" t="str">
        <f>SUBSTITUTE(B1857,CHAR(34),CHAR(92)&amp;CHAR(34))</f>
        <v/>
      </c>
      <c r="H1856" t="str">
        <f>SUBSTITUTE(B1858,CHAR(34),CHAR(92)&amp;CHAR(34))</f>
        <v xml:space="preserve"> Biển 1.</v>
      </c>
      <c r="I1856" t="str">
        <f>SUBSTITUTE(IF(LEFT(A1859,3)="Câu","",B1859),CHAR(34),CHAR(92)&amp;CHAR(34))</f>
        <v>Biển 2.</v>
      </c>
      <c r="J1856" t="str">
        <f>SUBSTITUTE(IF(OR(LEFT(A1860,3)="Câu",I1856=""),"",IF(B1860=0,"",B1860)),CHAR(34),CHAR(92)&amp;CHAR(34))</f>
        <v>Cả hai biển.</v>
      </c>
      <c r="K1856" t="str">
        <f>SUBSTITUTE(SUBSTITUTE(SUBSTITUTE(SUBSTITUTE(IFERROR(VLOOKUP("Câu "&amp;D1856&amp;".",dapan!$E:$J,6,0),""),"1","A"),"2","B"),"3","C"),"4","D")</f>
        <v/>
      </c>
      <c r="P1856" t="str">
        <f t="shared" si="103"/>
        <v/>
      </c>
      <c r="Q1856" t="str">
        <f t="shared" si="104"/>
        <v/>
      </c>
    </row>
    <row r="1857" spans="1:17" x14ac:dyDescent="0.25">
      <c r="A1857" t="s">
        <v>1306</v>
      </c>
      <c r="C1857">
        <f>IFERROR(COUNTIFS($A$1:A1857,"Câu "&amp;"*")-MID(A1857,5,FIND(".",A1857,1)-5),0)</f>
        <v>0</v>
      </c>
      <c r="D1857">
        <f t="shared" si="106"/>
        <v>450</v>
      </c>
      <c r="E1857" t="str">
        <f>SUBSTITUTE(IF(LEFT(A1857,3)="Câu",MID(A1857,FIND(".",A1857,1)+2,LEN(A1857)),""),CHAR(34),CHAR(92)&amp;CHAR(34))</f>
        <v>Biển nào chỉ dẫn cho người đi bộ sử dụng cầu vượt qua đường?</v>
      </c>
      <c r="F1857" t="str">
        <f t="shared" si="105"/>
        <v>q450.jpg</v>
      </c>
      <c r="G1857" t="str">
        <f>SUBSTITUTE(B1858,CHAR(34),CHAR(92)&amp;CHAR(34))</f>
        <v xml:space="preserve"> Biển 1.</v>
      </c>
      <c r="H1857" t="str">
        <f>SUBSTITUTE(B1859,CHAR(34),CHAR(92)&amp;CHAR(34))</f>
        <v>Biển 2.</v>
      </c>
      <c r="I1857" t="str">
        <f>SUBSTITUTE(IF(LEFT(A1860,3)="Câu","",B1860),CHAR(34),CHAR(92)&amp;CHAR(34))</f>
        <v>Cả hai biển.</v>
      </c>
      <c r="J1857" t="str">
        <f>SUBSTITUTE(IF(OR(LEFT(A1861,3)="Câu",I1857=""),"",IF(B1861=0,"",B1861)),CHAR(34),CHAR(92)&amp;CHAR(34))</f>
        <v>Không biển nào.</v>
      </c>
      <c r="K1857" t="str">
        <f ca="1">SUBSTITUTE(SUBSTITUTE(SUBSTITUTE(SUBSTITUTE(IFERROR(VLOOKUP("Câu "&amp;D1857&amp;".",dapan!$E:$J,6,0),""),"1","A"),"2","B"),"3","C"),"4","D")</f>
        <v>A</v>
      </c>
      <c r="P1857">
        <f t="shared" si="103"/>
        <v>450</v>
      </c>
      <c r="Q1857" t="str">
        <f t="shared" ca="1" si="104"/>
        <v>{"num":450,"id":450,"q":"Biển nào chỉ dẫn cho người đi bộ sử dụng cầu vượt qua đường?","img":"q450.jpg","opts":{"A":" Biển 1.","B":"Biển 2.","C":"Cả hai biển.","D":"Không biển nào."},"answer":"A"},</v>
      </c>
    </row>
    <row r="1858" spans="1:17" hidden="1" x14ac:dyDescent="0.25">
      <c r="A1858">
        <v>1</v>
      </c>
      <c r="B1858" t="s">
        <v>1066</v>
      </c>
      <c r="C1858">
        <f>IFERROR(COUNTIFS($A$1:A1858,"Câu "&amp;"*")-MID(A1858,5,FIND(".",A1858,1)-5),0)</f>
        <v>0</v>
      </c>
      <c r="D1858" t="str">
        <f t="shared" si="106"/>
        <v/>
      </c>
      <c r="E1858" t="str">
        <f>SUBSTITUTE(IF(LEFT(A1858,3)="Câu",MID(A1858,FIND(".",A1858,1)+2,LEN(A1858)),""),CHAR(34),CHAR(92)&amp;CHAR(34))</f>
        <v/>
      </c>
      <c r="F1858" t="str">
        <f t="shared" si="105"/>
        <v/>
      </c>
      <c r="G1858" t="str">
        <f>SUBSTITUTE(B1859,CHAR(34),CHAR(92)&amp;CHAR(34))</f>
        <v>Biển 2.</v>
      </c>
      <c r="H1858" t="str">
        <f>SUBSTITUTE(B1860,CHAR(34),CHAR(92)&amp;CHAR(34))</f>
        <v>Cả hai biển.</v>
      </c>
      <c r="I1858" t="str">
        <f>SUBSTITUTE(IF(LEFT(A1861,3)="Câu","",B1861),CHAR(34),CHAR(92)&amp;CHAR(34))</f>
        <v>Không biển nào.</v>
      </c>
      <c r="J1858" t="str">
        <f>SUBSTITUTE(IF(OR(LEFT(A1862,3)="Câu",I1858=""),"",IF(B1862=0,"",B1862)),CHAR(34),CHAR(92)&amp;CHAR(34))</f>
        <v/>
      </c>
      <c r="K1858" t="str">
        <f>SUBSTITUTE(SUBSTITUTE(SUBSTITUTE(SUBSTITUTE(IFERROR(VLOOKUP("Câu "&amp;D1858&amp;".",dapan!$E:$J,6,0),""),"1","A"),"2","B"),"3","C"),"4","D")</f>
        <v/>
      </c>
      <c r="P1858" t="str">
        <f t="shared" si="103"/>
        <v/>
      </c>
      <c r="Q1858" t="str">
        <f t="shared" si="104"/>
        <v/>
      </c>
    </row>
    <row r="1859" spans="1:17" hidden="1" x14ac:dyDescent="0.25">
      <c r="A1859">
        <v>2</v>
      </c>
      <c r="B1859" t="s">
        <v>1068</v>
      </c>
      <c r="C1859">
        <f>IFERROR(COUNTIFS($A$1:A1859,"Câu "&amp;"*")-MID(A1859,5,FIND(".",A1859,1)-5),0)</f>
        <v>0</v>
      </c>
      <c r="D1859" t="str">
        <f t="shared" si="106"/>
        <v/>
      </c>
      <c r="E1859" t="str">
        <f>SUBSTITUTE(IF(LEFT(A1859,3)="Câu",MID(A1859,FIND(".",A1859,1)+2,LEN(A1859)),""),CHAR(34),CHAR(92)&amp;CHAR(34))</f>
        <v/>
      </c>
      <c r="F1859" t="str">
        <f t="shared" si="105"/>
        <v/>
      </c>
      <c r="G1859" t="str">
        <f>SUBSTITUTE(B1860,CHAR(34),CHAR(92)&amp;CHAR(34))</f>
        <v>Cả hai biển.</v>
      </c>
      <c r="H1859" t="str">
        <f>SUBSTITUTE(B1861,CHAR(34),CHAR(92)&amp;CHAR(34))</f>
        <v>Không biển nào.</v>
      </c>
      <c r="I1859" t="str">
        <f>SUBSTITUTE(IF(LEFT(A1862,3)="Câu","",B1862),CHAR(34),CHAR(92)&amp;CHAR(34))</f>
        <v/>
      </c>
      <c r="J1859" t="str">
        <f>SUBSTITUTE(IF(OR(LEFT(A1863,3)="Câu",I1859=""),"",IF(B1863=0,"",B1863)),CHAR(34),CHAR(92)&amp;CHAR(34))</f>
        <v/>
      </c>
      <c r="K1859" t="str">
        <f>SUBSTITUTE(SUBSTITUTE(SUBSTITUTE(SUBSTITUTE(IFERROR(VLOOKUP("Câu "&amp;D1859&amp;".",dapan!$E:$J,6,0),""),"1","A"),"2","B"),"3","C"),"4","D")</f>
        <v/>
      </c>
      <c r="P1859" t="str">
        <f t="shared" ref="P1859:P1922" si="107">D1859</f>
        <v/>
      </c>
      <c r="Q1859" t="str">
        <f t="shared" ref="Q1859:Q1922" si="108">IF(D1859="","",CHAR(123)&amp;CHAR(34)&amp;"num"&amp;CHAR(34)&amp;":"&amp;P1859&amp;","&amp;CHAR(34)&amp;"id"&amp;CHAR(34)&amp;":"&amp;D1859&amp;","
&amp;CHAR(34)&amp;"q"&amp;CHAR(34)&amp;":"&amp;CHAR(34)&amp;E1859&amp;CHAR(34)&amp;","
&amp;IF(F1859="","",CHAR(34)&amp;"img"&amp;CHAR(34)&amp;":"&amp;CHAR(34)&amp;F1859&amp;CHAR(34)&amp;",")
&amp;CHAR(34)&amp;"opts"&amp;CHAR(34)&amp;":"&amp;CHAR(123)&amp;CHAR(34)&amp;"A"&amp;CHAR(34)&amp;":"&amp;CHAR(34)&amp;G1859&amp;CHAR(34)&amp;","&amp;CHAR(34)&amp;"B"&amp;CHAR(34)&amp;":"&amp;CHAR(34)&amp;H1859&amp;CHAR(34)
&amp;IF(I1859="","",","&amp;CHAR(34)&amp;"C"&amp;CHAR(34)&amp;":"&amp;CHAR(34)&amp;I1859&amp;CHAR(34))&amp;IF(J1859="","",","&amp;CHAR(34)&amp;"D"&amp;CHAR(34)&amp;":"&amp;CHAR(34)&amp;J1859&amp;CHAR(34))&amp;CHAR(125)&amp;","
&amp;CHAR(34)&amp;"answer"&amp;CHAR(34)&amp;":"&amp;CHAR(34)&amp;K1859&amp;CHAR(34)
&amp;IF(L1859="","",","&amp;CHAR(34)&amp;"danger"&amp;CHAR(34)&amp;":"&amp;CHAR(34)&amp;"true"&amp;CHAR(34))
&amp;IF(M1859="","",","&amp;CHAR(34)&amp;"explain"&amp;CHAR(34)&amp;":"&amp;CHAR(34)&amp;M1859&amp;CHAR(34))
&amp;IF(N1859="","",","&amp;CHAR(34)&amp;"explainImg"&amp;CHAR(34)&amp;":"&amp;CHAR(34)&amp;N1859&amp;CHAR(34))
&amp;IF(O1859="","",","&amp;CHAR(34)&amp;"shuffle"&amp;CHAR(34)&amp;":"&amp;CHAR(34)&amp;"false"&amp;CHAR(34))&amp;CHAR(125)&amp;",")</f>
        <v/>
      </c>
    </row>
    <row r="1860" spans="1:17" hidden="1" x14ac:dyDescent="0.25">
      <c r="A1860">
        <v>3</v>
      </c>
      <c r="B1860" t="s">
        <v>1095</v>
      </c>
      <c r="C1860">
        <f>IFERROR(COUNTIFS($A$1:A1860,"Câu "&amp;"*")-MID(A1860,5,FIND(".",A1860,1)-5),0)</f>
        <v>0</v>
      </c>
      <c r="D1860" t="str">
        <f t="shared" si="106"/>
        <v/>
      </c>
      <c r="E1860" t="str">
        <f>SUBSTITUTE(IF(LEFT(A1860,3)="Câu",MID(A1860,FIND(".",A1860,1)+2,LEN(A1860)),""),CHAR(34),CHAR(92)&amp;CHAR(34))</f>
        <v/>
      </c>
      <c r="F1860" t="str">
        <f t="shared" si="105"/>
        <v/>
      </c>
      <c r="G1860" t="str">
        <f>SUBSTITUTE(B1861,CHAR(34),CHAR(92)&amp;CHAR(34))</f>
        <v>Không biển nào.</v>
      </c>
      <c r="H1860" t="str">
        <f>SUBSTITUTE(B1862,CHAR(34),CHAR(92)&amp;CHAR(34))</f>
        <v/>
      </c>
      <c r="I1860" t="str">
        <f>SUBSTITUTE(IF(LEFT(A1863,3)="Câu","",B1863),CHAR(34),CHAR(92)&amp;CHAR(34))</f>
        <v>Biển 1.</v>
      </c>
      <c r="J1860" t="str">
        <f>SUBSTITUTE(IF(OR(LEFT(A1864,3)="Câu",I1860=""),"",IF(B1864=0,"",B1864)),CHAR(34),CHAR(92)&amp;CHAR(34))</f>
        <v xml:space="preserve"> Biển 2.</v>
      </c>
      <c r="K1860" t="str">
        <f>SUBSTITUTE(SUBSTITUTE(SUBSTITUTE(SUBSTITUTE(IFERROR(VLOOKUP("Câu "&amp;D1860&amp;".",dapan!$E:$J,6,0),""),"1","A"),"2","B"),"3","C"),"4","D")</f>
        <v/>
      </c>
      <c r="P1860" t="str">
        <f t="shared" si="107"/>
        <v/>
      </c>
      <c r="Q1860" t="str">
        <f t="shared" si="108"/>
        <v/>
      </c>
    </row>
    <row r="1861" spans="1:17" hidden="1" x14ac:dyDescent="0.25">
      <c r="A1861">
        <v>4</v>
      </c>
      <c r="B1861" t="s">
        <v>1085</v>
      </c>
      <c r="C1861">
        <f>IFERROR(COUNTIFS($A$1:A1861,"Câu "&amp;"*")-MID(A1861,5,FIND(".",A1861,1)-5),0)</f>
        <v>0</v>
      </c>
      <c r="D1861" t="str">
        <f t="shared" si="106"/>
        <v/>
      </c>
      <c r="E1861" t="str">
        <f>SUBSTITUTE(IF(LEFT(A1861,3)="Câu",MID(A1861,FIND(".",A1861,1)+2,LEN(A1861)),""),CHAR(34),CHAR(92)&amp;CHAR(34))</f>
        <v/>
      </c>
      <c r="F1861" t="str">
        <f t="shared" si="105"/>
        <v/>
      </c>
      <c r="G1861" t="str">
        <f>SUBSTITUTE(B1862,CHAR(34),CHAR(92)&amp;CHAR(34))</f>
        <v/>
      </c>
      <c r="H1861" t="str">
        <f>SUBSTITUTE(B1863,CHAR(34),CHAR(92)&amp;CHAR(34))</f>
        <v>Biển 1.</v>
      </c>
      <c r="I1861" t="str">
        <f>SUBSTITUTE(IF(LEFT(A1864,3)="Câu","",B1864),CHAR(34),CHAR(92)&amp;CHAR(34))</f>
        <v xml:space="preserve"> Biển 2.</v>
      </c>
      <c r="J1861" t="str">
        <f>SUBSTITUTE(IF(OR(LEFT(A1865,3)="Câu",I1861=""),"",IF(B1865=0,"",B1865)),CHAR(34),CHAR(92)&amp;CHAR(34))</f>
        <v>Cả hai biển.</v>
      </c>
      <c r="K1861" t="str">
        <f>SUBSTITUTE(SUBSTITUTE(SUBSTITUTE(SUBSTITUTE(IFERROR(VLOOKUP("Câu "&amp;D1861&amp;".",dapan!$E:$J,6,0),""),"1","A"),"2","B"),"3","C"),"4","D")</f>
        <v/>
      </c>
      <c r="P1861" t="str">
        <f t="shared" si="107"/>
        <v/>
      </c>
      <c r="Q1861" t="str">
        <f t="shared" si="108"/>
        <v/>
      </c>
    </row>
    <row r="1862" spans="1:17" x14ac:dyDescent="0.25">
      <c r="A1862" t="s">
        <v>1307</v>
      </c>
      <c r="C1862">
        <f>IFERROR(COUNTIFS($A$1:A1862,"Câu "&amp;"*")-MID(A1862,5,FIND(".",A1862,1)-5),0)</f>
        <v>0</v>
      </c>
      <c r="D1862">
        <f t="shared" si="106"/>
        <v>451</v>
      </c>
      <c r="E1862" t="str">
        <f>SUBSTITUTE(IF(LEFT(A1862,3)="Câu",MID(A1862,FIND(".",A1862,1)+2,LEN(A1862)),""),CHAR(34),CHAR(92)&amp;CHAR(34))</f>
        <v>Biển nào chỉ dẫn cho người đi bộ sử dụng hầm chui qua đường?</v>
      </c>
      <c r="F1862" t="str">
        <f t="shared" si="105"/>
        <v>q451.jpg</v>
      </c>
      <c r="G1862" t="str">
        <f>SUBSTITUTE(B1863,CHAR(34),CHAR(92)&amp;CHAR(34))</f>
        <v>Biển 1.</v>
      </c>
      <c r="H1862" t="str">
        <f>SUBSTITUTE(B1864,CHAR(34),CHAR(92)&amp;CHAR(34))</f>
        <v xml:space="preserve"> Biển 2.</v>
      </c>
      <c r="I1862" t="str">
        <f>SUBSTITUTE(IF(LEFT(A1865,3)="Câu","",B1865),CHAR(34),CHAR(92)&amp;CHAR(34))</f>
        <v>Cả hai biển.</v>
      </c>
      <c r="J1862" t="str">
        <f>SUBSTITUTE(IF(OR(LEFT(A1866,3)="Câu",I1862=""),"",IF(B1866=0,"",B1866)),CHAR(34),CHAR(92)&amp;CHAR(34))</f>
        <v>Không biển nào.</v>
      </c>
      <c r="K1862" t="str">
        <f ca="1">SUBSTITUTE(SUBSTITUTE(SUBSTITUTE(SUBSTITUTE(IFERROR(VLOOKUP("Câu "&amp;D1862&amp;".",dapan!$E:$J,6,0),""),"1","A"),"2","B"),"3","C"),"4","D")</f>
        <v>B</v>
      </c>
      <c r="P1862">
        <f t="shared" si="107"/>
        <v>451</v>
      </c>
      <c r="Q1862" t="str">
        <f t="shared" ca="1" si="108"/>
        <v>{"num":451,"id":451,"q":"Biển nào chỉ dẫn cho người đi bộ sử dụng hầm chui qua đường?","img":"q451.jpg","opts":{"A":"Biển 1.","B":" Biển 2.","C":"Cả hai biển.","D":"Không biển nào."},"answer":"B"},</v>
      </c>
    </row>
    <row r="1863" spans="1:17" hidden="1" x14ac:dyDescent="0.25">
      <c r="A1863">
        <v>1</v>
      </c>
      <c r="B1863" t="s">
        <v>1075</v>
      </c>
      <c r="C1863">
        <f>IFERROR(COUNTIFS($A$1:A1863,"Câu "&amp;"*")-MID(A1863,5,FIND(".",A1863,1)-5),0)</f>
        <v>0</v>
      </c>
      <c r="D1863" t="str">
        <f t="shared" si="106"/>
        <v/>
      </c>
      <c r="E1863" t="str">
        <f>SUBSTITUTE(IF(LEFT(A1863,3)="Câu",MID(A1863,FIND(".",A1863,1)+2,LEN(A1863)),""),CHAR(34),CHAR(92)&amp;CHAR(34))</f>
        <v/>
      </c>
      <c r="F1863" t="str">
        <f t="shared" si="105"/>
        <v/>
      </c>
      <c r="G1863" t="str">
        <f>SUBSTITUTE(B1864,CHAR(34),CHAR(92)&amp;CHAR(34))</f>
        <v xml:space="preserve"> Biển 2.</v>
      </c>
      <c r="H1863" t="str">
        <f>SUBSTITUTE(B1865,CHAR(34),CHAR(92)&amp;CHAR(34))</f>
        <v>Cả hai biển.</v>
      </c>
      <c r="I1863" t="str">
        <f>SUBSTITUTE(IF(LEFT(A1866,3)="Câu","",B1866),CHAR(34),CHAR(92)&amp;CHAR(34))</f>
        <v>Không biển nào.</v>
      </c>
      <c r="J1863" t="str">
        <f>SUBSTITUTE(IF(OR(LEFT(A1867,3)="Câu",I1863=""),"",IF(B1867=0,"",B1867)),CHAR(34),CHAR(92)&amp;CHAR(34))</f>
        <v/>
      </c>
      <c r="K1863" t="str">
        <f>SUBSTITUTE(SUBSTITUTE(SUBSTITUTE(SUBSTITUTE(IFERROR(VLOOKUP("Câu "&amp;D1863&amp;".",dapan!$E:$J,6,0),""),"1","A"),"2","B"),"3","C"),"4","D")</f>
        <v/>
      </c>
      <c r="P1863" t="str">
        <f t="shared" si="107"/>
        <v/>
      </c>
      <c r="Q1863" t="str">
        <f t="shared" si="108"/>
        <v/>
      </c>
    </row>
    <row r="1864" spans="1:17" hidden="1" x14ac:dyDescent="0.25">
      <c r="A1864">
        <v>2</v>
      </c>
      <c r="B1864" t="s">
        <v>1090</v>
      </c>
      <c r="C1864">
        <f>IFERROR(COUNTIFS($A$1:A1864,"Câu "&amp;"*")-MID(A1864,5,FIND(".",A1864,1)-5),0)</f>
        <v>0</v>
      </c>
      <c r="D1864" t="str">
        <f t="shared" si="106"/>
        <v/>
      </c>
      <c r="E1864" t="str">
        <f>SUBSTITUTE(IF(LEFT(A1864,3)="Câu",MID(A1864,FIND(".",A1864,1)+2,LEN(A1864)),""),CHAR(34),CHAR(92)&amp;CHAR(34))</f>
        <v/>
      </c>
      <c r="F1864" t="str">
        <f t="shared" si="105"/>
        <v/>
      </c>
      <c r="G1864" t="str">
        <f>SUBSTITUTE(B1865,CHAR(34),CHAR(92)&amp;CHAR(34))</f>
        <v>Cả hai biển.</v>
      </c>
      <c r="H1864" t="str">
        <f>SUBSTITUTE(B1866,CHAR(34),CHAR(92)&amp;CHAR(34))</f>
        <v>Không biển nào.</v>
      </c>
      <c r="I1864" t="str">
        <f>SUBSTITUTE(IF(LEFT(A1867,3)="Câu","",B1867),CHAR(34),CHAR(92)&amp;CHAR(34))</f>
        <v/>
      </c>
      <c r="J1864" t="str">
        <f>SUBSTITUTE(IF(OR(LEFT(A1868,3)="Câu",I1864=""),"",IF(B1868=0,"",B1868)),CHAR(34),CHAR(92)&amp;CHAR(34))</f>
        <v/>
      </c>
      <c r="K1864" t="str">
        <f>SUBSTITUTE(SUBSTITUTE(SUBSTITUTE(SUBSTITUTE(IFERROR(VLOOKUP("Câu "&amp;D1864&amp;".",dapan!$E:$J,6,0),""),"1","A"),"2","B"),"3","C"),"4","D")</f>
        <v/>
      </c>
      <c r="P1864" t="str">
        <f t="shared" si="107"/>
        <v/>
      </c>
      <c r="Q1864" t="str">
        <f t="shared" si="108"/>
        <v/>
      </c>
    </row>
    <row r="1865" spans="1:17" hidden="1" x14ac:dyDescent="0.25">
      <c r="A1865">
        <v>3</v>
      </c>
      <c r="B1865" t="s">
        <v>1095</v>
      </c>
      <c r="C1865">
        <f>IFERROR(COUNTIFS($A$1:A1865,"Câu "&amp;"*")-MID(A1865,5,FIND(".",A1865,1)-5),0)</f>
        <v>0</v>
      </c>
      <c r="D1865" t="str">
        <f t="shared" si="106"/>
        <v/>
      </c>
      <c r="E1865" t="str">
        <f>SUBSTITUTE(IF(LEFT(A1865,3)="Câu",MID(A1865,FIND(".",A1865,1)+2,LEN(A1865)),""),CHAR(34),CHAR(92)&amp;CHAR(34))</f>
        <v/>
      </c>
      <c r="F1865" t="str">
        <f t="shared" si="105"/>
        <v/>
      </c>
      <c r="G1865" t="str">
        <f>SUBSTITUTE(B1866,CHAR(34),CHAR(92)&amp;CHAR(34))</f>
        <v>Không biển nào.</v>
      </c>
      <c r="H1865" t="str">
        <f>SUBSTITUTE(B1867,CHAR(34),CHAR(92)&amp;CHAR(34))</f>
        <v/>
      </c>
      <c r="I1865" t="str">
        <f>SUBSTITUTE(IF(LEFT(A1868,3)="Câu","",B1868),CHAR(34),CHAR(92)&amp;CHAR(34))</f>
        <v>Biển 1.</v>
      </c>
      <c r="J1865" t="str">
        <f>SUBSTITUTE(IF(OR(LEFT(A1869,3)="Câu",I1865=""),"",IF(B1869=0,"",B1869)),CHAR(34),CHAR(92)&amp;CHAR(34))</f>
        <v xml:space="preserve"> Biển 2.</v>
      </c>
      <c r="K1865" t="str">
        <f>SUBSTITUTE(SUBSTITUTE(SUBSTITUTE(SUBSTITUTE(IFERROR(VLOOKUP("Câu "&amp;D1865&amp;".",dapan!$E:$J,6,0),""),"1","A"),"2","B"),"3","C"),"4","D")</f>
        <v/>
      </c>
      <c r="P1865" t="str">
        <f t="shared" si="107"/>
        <v/>
      </c>
      <c r="Q1865" t="str">
        <f t="shared" si="108"/>
        <v/>
      </c>
    </row>
    <row r="1866" spans="1:17" hidden="1" x14ac:dyDescent="0.25">
      <c r="A1866">
        <v>4</v>
      </c>
      <c r="B1866" t="s">
        <v>1085</v>
      </c>
      <c r="C1866">
        <f>IFERROR(COUNTIFS($A$1:A1866,"Câu "&amp;"*")-MID(A1866,5,FIND(".",A1866,1)-5),0)</f>
        <v>0</v>
      </c>
      <c r="D1866" t="str">
        <f t="shared" si="106"/>
        <v/>
      </c>
      <c r="E1866" t="str">
        <f>SUBSTITUTE(IF(LEFT(A1866,3)="Câu",MID(A1866,FIND(".",A1866,1)+2,LEN(A1866)),""),CHAR(34),CHAR(92)&amp;CHAR(34))</f>
        <v/>
      </c>
      <c r="F1866" t="str">
        <f t="shared" si="105"/>
        <v/>
      </c>
      <c r="G1866" t="str">
        <f>SUBSTITUTE(B1867,CHAR(34),CHAR(92)&amp;CHAR(34))</f>
        <v/>
      </c>
      <c r="H1866" t="str">
        <f>SUBSTITUTE(B1868,CHAR(34),CHAR(92)&amp;CHAR(34))</f>
        <v>Biển 1.</v>
      </c>
      <c r="I1866" t="str">
        <f>SUBSTITUTE(IF(LEFT(A1869,3)="Câu","",B1869),CHAR(34),CHAR(92)&amp;CHAR(34))</f>
        <v xml:space="preserve"> Biển 2.</v>
      </c>
      <c r="J1866" t="str">
        <f>SUBSTITUTE(IF(OR(LEFT(A1870,3)="Câu",I1866=""),"",IF(B1870=0,"",B1870)),CHAR(34),CHAR(92)&amp;CHAR(34))</f>
        <v>Biển 3.</v>
      </c>
      <c r="K1866" t="str">
        <f>SUBSTITUTE(SUBSTITUTE(SUBSTITUTE(SUBSTITUTE(IFERROR(VLOOKUP("Câu "&amp;D1866&amp;".",dapan!$E:$J,6,0),""),"1","A"),"2","B"),"3","C"),"4","D")</f>
        <v/>
      </c>
      <c r="P1866" t="str">
        <f t="shared" si="107"/>
        <v/>
      </c>
      <c r="Q1866" t="str">
        <f t="shared" si="108"/>
        <v/>
      </c>
    </row>
    <row r="1867" spans="1:17" x14ac:dyDescent="0.25">
      <c r="A1867" t="s">
        <v>1308</v>
      </c>
      <c r="C1867">
        <f>IFERROR(COUNTIFS($A$1:A1867,"Câu "&amp;"*")-MID(A1867,5,FIND(".",A1867,1)-5),0)</f>
        <v>0</v>
      </c>
      <c r="D1867">
        <f t="shared" si="106"/>
        <v>452</v>
      </c>
      <c r="E1867" t="str">
        <f>SUBSTITUTE(IF(LEFT(A1867,3)="Câu",MID(A1867,FIND(".",A1867,1)+2,LEN(A1867)),""),CHAR(34),CHAR(92)&amp;CHAR(34))</f>
        <v>Biển nào báo hiệu \"Nơi đỗ xe dành cho người khuyết tật\"?</v>
      </c>
      <c r="F1867" t="str">
        <f t="shared" si="105"/>
        <v>q452.jpg</v>
      </c>
      <c r="G1867" t="str">
        <f>SUBSTITUTE(B1868,CHAR(34),CHAR(92)&amp;CHAR(34))</f>
        <v>Biển 1.</v>
      </c>
      <c r="H1867" t="str">
        <f>SUBSTITUTE(B1869,CHAR(34),CHAR(92)&amp;CHAR(34))</f>
        <v xml:space="preserve"> Biển 2.</v>
      </c>
      <c r="I1867" t="str">
        <f>SUBSTITUTE(IF(LEFT(A1870,3)="Câu","",B1870),CHAR(34),CHAR(92)&amp;CHAR(34))</f>
        <v>Biển 3.</v>
      </c>
      <c r="J1867" t="str">
        <f>SUBSTITUTE(IF(OR(LEFT(A1871,3)="Câu",I1867=""),"",IF(B1871=0,"",B1871)),CHAR(34),CHAR(92)&amp;CHAR(34))</f>
        <v/>
      </c>
      <c r="K1867" t="str">
        <f ca="1">SUBSTITUTE(SUBSTITUTE(SUBSTITUTE(SUBSTITUTE(IFERROR(VLOOKUP("Câu "&amp;D1867&amp;".",dapan!$E:$J,6,0),""),"1","A"),"2","B"),"3","C"),"4","D")</f>
        <v>B</v>
      </c>
      <c r="P1867">
        <f t="shared" si="107"/>
        <v>452</v>
      </c>
      <c r="Q1867" t="str">
        <f t="shared" ca="1" si="108"/>
        <v>{"num":452,"id":452,"q":"Biển nào báo hiệu \"Nơi đỗ xe dành cho người khuyết tật\"?","img":"q452.jpg","opts":{"A":"Biển 1.","B":" Biển 2.","C":"Biển 3."},"answer":"B"},</v>
      </c>
    </row>
    <row r="1868" spans="1:17" hidden="1" x14ac:dyDescent="0.25">
      <c r="A1868">
        <v>1</v>
      </c>
      <c r="B1868" t="s">
        <v>1075</v>
      </c>
      <c r="C1868">
        <f>IFERROR(COUNTIFS($A$1:A1868,"Câu "&amp;"*")-MID(A1868,5,FIND(".",A1868,1)-5),0)</f>
        <v>0</v>
      </c>
      <c r="D1868" t="str">
        <f t="shared" si="106"/>
        <v/>
      </c>
      <c r="E1868" t="str">
        <f>SUBSTITUTE(IF(LEFT(A1868,3)="Câu",MID(A1868,FIND(".",A1868,1)+2,LEN(A1868)),""),CHAR(34),CHAR(92)&amp;CHAR(34))</f>
        <v/>
      </c>
      <c r="F1868" t="str">
        <f t="shared" si="105"/>
        <v/>
      </c>
      <c r="G1868" t="str">
        <f>SUBSTITUTE(B1869,CHAR(34),CHAR(92)&amp;CHAR(34))</f>
        <v xml:space="preserve"> Biển 2.</v>
      </c>
      <c r="H1868" t="str">
        <f>SUBSTITUTE(B1870,CHAR(34),CHAR(92)&amp;CHAR(34))</f>
        <v>Biển 3.</v>
      </c>
      <c r="I1868" t="str">
        <f>SUBSTITUTE(IF(LEFT(A1871,3)="Câu","",B1871),CHAR(34),CHAR(92)&amp;CHAR(34))</f>
        <v/>
      </c>
      <c r="J1868" t="str">
        <f>SUBSTITUTE(IF(OR(LEFT(A1872,3)="Câu",I1868=""),"",IF(B1872=0,"",B1872)),CHAR(34),CHAR(92)&amp;CHAR(34))</f>
        <v/>
      </c>
      <c r="K1868" t="str">
        <f>SUBSTITUTE(SUBSTITUTE(SUBSTITUTE(SUBSTITUTE(IFERROR(VLOOKUP("Câu "&amp;D1868&amp;".",dapan!$E:$J,6,0),""),"1","A"),"2","B"),"3","C"),"4","D")</f>
        <v/>
      </c>
      <c r="P1868" t="str">
        <f t="shared" si="107"/>
        <v/>
      </c>
      <c r="Q1868" t="str">
        <f t="shared" si="108"/>
        <v/>
      </c>
    </row>
    <row r="1869" spans="1:17" hidden="1" x14ac:dyDescent="0.25">
      <c r="A1869">
        <v>2</v>
      </c>
      <c r="B1869" t="s">
        <v>1090</v>
      </c>
      <c r="C1869">
        <f>IFERROR(COUNTIFS($A$1:A1869,"Câu "&amp;"*")-MID(A1869,5,FIND(".",A1869,1)-5),0)</f>
        <v>0</v>
      </c>
      <c r="D1869" t="str">
        <f t="shared" si="106"/>
        <v/>
      </c>
      <c r="E1869" t="str">
        <f>SUBSTITUTE(IF(LEFT(A1869,3)="Câu",MID(A1869,FIND(".",A1869,1)+2,LEN(A1869)),""),CHAR(34),CHAR(92)&amp;CHAR(34))</f>
        <v/>
      </c>
      <c r="F1869" t="str">
        <f t="shared" si="105"/>
        <v/>
      </c>
      <c r="G1869" t="str">
        <f>SUBSTITUTE(B1870,CHAR(34),CHAR(92)&amp;CHAR(34))</f>
        <v>Biển 3.</v>
      </c>
      <c r="H1869" t="str">
        <f>SUBSTITUTE(B1871,CHAR(34),CHAR(92)&amp;CHAR(34))</f>
        <v/>
      </c>
      <c r="I1869" t="str">
        <f>SUBSTITUTE(IF(LEFT(A1872,3)="Câu","",B1872),CHAR(34),CHAR(92)&amp;CHAR(34))</f>
        <v>Đỗ xe hoàn toàn trên hè phố.</v>
      </c>
      <c r="J1869" t="str">
        <f>SUBSTITUTE(IF(OR(LEFT(A1873,3)="Câu",I1869=""),"",IF(B1873=0,"",B1873)),CHAR(34),CHAR(92)&amp;CHAR(34))</f>
        <v>Đỗ xe hoàn toàn dưới lòng đường.</v>
      </c>
      <c r="K1869" t="str">
        <f>SUBSTITUTE(SUBSTITUTE(SUBSTITUTE(SUBSTITUTE(IFERROR(VLOOKUP("Câu "&amp;D1869&amp;".",dapan!$E:$J,6,0),""),"1","A"),"2","B"),"3","C"),"4","D")</f>
        <v/>
      </c>
      <c r="P1869" t="str">
        <f t="shared" si="107"/>
        <v/>
      </c>
      <c r="Q1869" t="str">
        <f t="shared" si="108"/>
        <v/>
      </c>
    </row>
    <row r="1870" spans="1:17" hidden="1" x14ac:dyDescent="0.25">
      <c r="A1870">
        <v>3</v>
      </c>
      <c r="B1870" t="s">
        <v>1083</v>
      </c>
      <c r="C1870">
        <f>IFERROR(COUNTIFS($A$1:A1870,"Câu "&amp;"*")-MID(A1870,5,FIND(".",A1870,1)-5),0)</f>
        <v>0</v>
      </c>
      <c r="D1870" t="str">
        <f t="shared" si="106"/>
        <v/>
      </c>
      <c r="E1870" t="str">
        <f>SUBSTITUTE(IF(LEFT(A1870,3)="Câu",MID(A1870,FIND(".",A1870,1)+2,LEN(A1870)),""),CHAR(34),CHAR(92)&amp;CHAR(34))</f>
        <v/>
      </c>
      <c r="F1870" t="str">
        <f t="shared" si="105"/>
        <v/>
      </c>
      <c r="G1870" t="str">
        <f>SUBSTITUTE(B1871,CHAR(34),CHAR(92)&amp;CHAR(34))</f>
        <v/>
      </c>
      <c r="H1870" t="str">
        <f>SUBSTITUTE(B1872,CHAR(34),CHAR(92)&amp;CHAR(34))</f>
        <v>Đỗ xe hoàn toàn trên hè phố.</v>
      </c>
      <c r="I1870" t="str">
        <f>SUBSTITUTE(IF(LEFT(A1873,3)="Câu","",B1873),CHAR(34),CHAR(92)&amp;CHAR(34))</f>
        <v>Đỗ xe hoàn toàn dưới lòng đường.</v>
      </c>
      <c r="J1870" t="str">
        <f>SUBSTITUTE(IF(OR(LEFT(A1874,3)="Câu",I1870=""),"",IF(B1874=0,"",B1874)),CHAR(34),CHAR(92)&amp;CHAR(34))</f>
        <v xml:space="preserve"> Đỗ từ 1/2 thân xe trở lên trên hè phố.</v>
      </c>
      <c r="K1870" t="str">
        <f>SUBSTITUTE(SUBSTITUTE(SUBSTITUTE(SUBSTITUTE(IFERROR(VLOOKUP("Câu "&amp;D1870&amp;".",dapan!$E:$J,6,0),""),"1","A"),"2","B"),"3","C"),"4","D")</f>
        <v/>
      </c>
      <c r="P1870" t="str">
        <f t="shared" si="107"/>
        <v/>
      </c>
      <c r="Q1870" t="str">
        <f t="shared" si="108"/>
        <v/>
      </c>
    </row>
    <row r="1871" spans="1:17" x14ac:dyDescent="0.25">
      <c r="A1871" t="s">
        <v>1309</v>
      </c>
      <c r="C1871">
        <f>IFERROR(COUNTIFS($A$1:A1871,"Câu "&amp;"*")-MID(A1871,5,FIND(".",A1871,1)-5),0)</f>
        <v>0</v>
      </c>
      <c r="D1871">
        <f t="shared" si="106"/>
        <v>453</v>
      </c>
      <c r="E1871" t="str">
        <f>SUBSTITUTE(IF(LEFT(A1871,3)="Câu",MID(A1871,FIND(".",A1871,1)+2,LEN(A1871)),""),CHAR(34),CHAR(92)&amp;CHAR(34))</f>
        <v>Gặp biển báo này, người lái xe phải đỗ xe như thế nào?</v>
      </c>
      <c r="F1871" t="str">
        <f t="shared" si="105"/>
        <v>q453.jpg</v>
      </c>
      <c r="G1871" t="str">
        <f>SUBSTITUTE(B1872,CHAR(34),CHAR(92)&amp;CHAR(34))</f>
        <v>Đỗ xe hoàn toàn trên hè phố.</v>
      </c>
      <c r="H1871" t="str">
        <f>SUBSTITUTE(B1873,CHAR(34),CHAR(92)&amp;CHAR(34))</f>
        <v>Đỗ xe hoàn toàn dưới lòng đường.</v>
      </c>
      <c r="I1871" t="str">
        <f>SUBSTITUTE(IF(LEFT(A1874,3)="Câu","",B1874),CHAR(34),CHAR(92)&amp;CHAR(34))</f>
        <v xml:space="preserve"> Đỗ từ 1/2 thân xe trở lên trên hè phố.</v>
      </c>
      <c r="J1871" t="str">
        <f>SUBSTITUTE(IF(OR(LEFT(A1875,3)="Câu",I1871=""),"",IF(B1875=0,"",B1875)),CHAR(34),CHAR(92)&amp;CHAR(34))</f>
        <v/>
      </c>
      <c r="K1871" t="str">
        <f ca="1">SUBSTITUTE(SUBSTITUTE(SUBSTITUTE(SUBSTITUTE(IFERROR(VLOOKUP("Câu "&amp;D1871&amp;".",dapan!$E:$J,6,0),""),"1","A"),"2","B"),"3","C"),"4","D")</f>
        <v>C</v>
      </c>
      <c r="P1871">
        <f t="shared" si="107"/>
        <v>453</v>
      </c>
      <c r="Q1871" t="str">
        <f t="shared" ca="1" si="108"/>
        <v>{"num":453,"id":453,"q":"Gặp biển báo này, người lái xe phải đỗ xe như thế nào?","img":"q453.jpg","opts":{"A":"Đỗ xe hoàn toàn trên hè phố.","B":"Đỗ xe hoàn toàn dưới lòng đường.","C":" Đỗ từ 1/2 thân xe trở lên trên hè phố."},"answer":"C"},</v>
      </c>
    </row>
    <row r="1872" spans="1:17" hidden="1" x14ac:dyDescent="0.25">
      <c r="A1872">
        <v>1</v>
      </c>
      <c r="B1872" t="s">
        <v>1310</v>
      </c>
      <c r="C1872">
        <f>IFERROR(COUNTIFS($A$1:A1872,"Câu "&amp;"*")-MID(A1872,5,FIND(".",A1872,1)-5),0)</f>
        <v>0</v>
      </c>
      <c r="D1872" t="str">
        <f t="shared" si="106"/>
        <v/>
      </c>
      <c r="E1872" t="str">
        <f>SUBSTITUTE(IF(LEFT(A1872,3)="Câu",MID(A1872,FIND(".",A1872,1)+2,LEN(A1872)),""),CHAR(34),CHAR(92)&amp;CHAR(34))</f>
        <v/>
      </c>
      <c r="F1872" t="str">
        <f t="shared" si="105"/>
        <v/>
      </c>
      <c r="G1872" t="str">
        <f>SUBSTITUTE(B1873,CHAR(34),CHAR(92)&amp;CHAR(34))</f>
        <v>Đỗ xe hoàn toàn dưới lòng đường.</v>
      </c>
      <c r="H1872" t="str">
        <f>SUBSTITUTE(B1874,CHAR(34),CHAR(92)&amp;CHAR(34))</f>
        <v xml:space="preserve"> Đỗ từ 1/2 thân xe trở lên trên hè phố.</v>
      </c>
      <c r="I1872" t="str">
        <f>SUBSTITUTE(IF(LEFT(A1875,3)="Câu","",B1875),CHAR(34),CHAR(92)&amp;CHAR(34))</f>
        <v/>
      </c>
      <c r="J1872" t="str">
        <f>SUBSTITUTE(IF(OR(LEFT(A1876,3)="Câu",I1872=""),"",IF(B1876=0,"",B1876)),CHAR(34),CHAR(92)&amp;CHAR(34))</f>
        <v/>
      </c>
      <c r="K1872" t="str">
        <f>SUBSTITUTE(SUBSTITUTE(SUBSTITUTE(SUBSTITUTE(IFERROR(VLOOKUP("Câu "&amp;D1872&amp;".",dapan!$E:$J,6,0),""),"1","A"),"2","B"),"3","C"),"4","D")</f>
        <v/>
      </c>
      <c r="P1872" t="str">
        <f t="shared" si="107"/>
        <v/>
      </c>
      <c r="Q1872" t="str">
        <f t="shared" si="108"/>
        <v/>
      </c>
    </row>
    <row r="1873" spans="1:17" hidden="1" x14ac:dyDescent="0.25">
      <c r="A1873">
        <v>2</v>
      </c>
      <c r="B1873" t="s">
        <v>1311</v>
      </c>
      <c r="C1873">
        <f>IFERROR(COUNTIFS($A$1:A1873,"Câu "&amp;"*")-MID(A1873,5,FIND(".",A1873,1)-5),0)</f>
        <v>0</v>
      </c>
      <c r="D1873" t="str">
        <f t="shared" si="106"/>
        <v/>
      </c>
      <c r="E1873" t="str">
        <f>SUBSTITUTE(IF(LEFT(A1873,3)="Câu",MID(A1873,FIND(".",A1873,1)+2,LEN(A1873)),""),CHAR(34),CHAR(92)&amp;CHAR(34))</f>
        <v/>
      </c>
      <c r="F1873" t="str">
        <f t="shared" si="105"/>
        <v/>
      </c>
      <c r="G1873" t="str">
        <f>SUBSTITUTE(B1874,CHAR(34),CHAR(92)&amp;CHAR(34))</f>
        <v xml:space="preserve"> Đỗ từ 1/2 thân xe trở lên trên hè phố.</v>
      </c>
      <c r="H1873" t="str">
        <f>SUBSTITUTE(B1875,CHAR(34),CHAR(92)&amp;CHAR(34))</f>
        <v/>
      </c>
      <c r="I1873" t="str">
        <f>SUBSTITUTE(IF(LEFT(A1876,3)="Câu","",B1876),CHAR(34),CHAR(92)&amp;CHAR(34))</f>
        <v>Dừng xe tại khu vực có trạm Cảnh sát giao thông.</v>
      </c>
      <c r="J1873" t="str">
        <f>SUBSTITUTE(IF(OR(LEFT(A1877,3)="Câu",I1873=""),"",IF(B1877=0,"",B1877)),CHAR(34),CHAR(92)&amp;CHAR(34))</f>
        <v>Tiếp tục lưu thông với tốc độ bình thường.</v>
      </c>
      <c r="K1873" t="str">
        <f>SUBSTITUTE(SUBSTITUTE(SUBSTITUTE(SUBSTITUTE(IFERROR(VLOOKUP("Câu "&amp;D1873&amp;".",dapan!$E:$J,6,0),""),"1","A"),"2","B"),"3","C"),"4","D")</f>
        <v/>
      </c>
      <c r="P1873" t="str">
        <f t="shared" si="107"/>
        <v/>
      </c>
      <c r="Q1873" t="str">
        <f t="shared" si="108"/>
        <v/>
      </c>
    </row>
    <row r="1874" spans="1:17" hidden="1" x14ac:dyDescent="0.25">
      <c r="A1874">
        <v>3</v>
      </c>
      <c r="B1874" t="s">
        <v>1312</v>
      </c>
      <c r="C1874">
        <f>IFERROR(COUNTIFS($A$1:A1874,"Câu "&amp;"*")-MID(A1874,5,FIND(".",A1874,1)-5),0)</f>
        <v>0</v>
      </c>
      <c r="D1874" t="str">
        <f t="shared" si="106"/>
        <v/>
      </c>
      <c r="E1874" t="str">
        <f>SUBSTITUTE(IF(LEFT(A1874,3)="Câu",MID(A1874,FIND(".",A1874,1)+2,LEN(A1874)),""),CHAR(34),CHAR(92)&amp;CHAR(34))</f>
        <v/>
      </c>
      <c r="F1874" t="str">
        <f t="shared" si="105"/>
        <v/>
      </c>
      <c r="G1874" t="str">
        <f>SUBSTITUTE(B1875,CHAR(34),CHAR(92)&amp;CHAR(34))</f>
        <v/>
      </c>
      <c r="H1874" t="str">
        <f>SUBSTITUTE(B1876,CHAR(34),CHAR(92)&amp;CHAR(34))</f>
        <v>Dừng xe tại khu vực có trạm Cảnh sát giao thông.</v>
      </c>
      <c r="I1874" t="str">
        <f>SUBSTITUTE(IF(LEFT(A1877,3)="Câu","",B1877),CHAR(34),CHAR(92)&amp;CHAR(34))</f>
        <v>Tiếp tục lưu thông với tốc độ bình thường.</v>
      </c>
      <c r="J1874" t="str">
        <f>SUBSTITUTE(IF(OR(LEFT(A1878,3)="Câu",I1874=""),"",IF(B1878=0,"",B1878)),CHAR(34),CHAR(92)&amp;CHAR(34))</f>
        <v xml:space="preserve"> Phải giảm tốc độ đến mức an toàn và không được vượt khi đi qua khu vực này.</v>
      </c>
      <c r="K1874" t="str">
        <f>SUBSTITUTE(SUBSTITUTE(SUBSTITUTE(SUBSTITUTE(IFERROR(VLOOKUP("Câu "&amp;D1874&amp;".",dapan!$E:$J,6,0),""),"1","A"),"2","B"),"3","C"),"4","D")</f>
        <v/>
      </c>
      <c r="P1874" t="str">
        <f t="shared" si="107"/>
        <v/>
      </c>
      <c r="Q1874" t="str">
        <f t="shared" si="108"/>
        <v/>
      </c>
    </row>
    <row r="1875" spans="1:17" x14ac:dyDescent="0.25">
      <c r="A1875" t="s">
        <v>1313</v>
      </c>
      <c r="C1875">
        <f>IFERROR(COUNTIFS($A$1:A1875,"Câu "&amp;"*")-MID(A1875,5,FIND(".",A1875,1)-5),0)</f>
        <v>0</v>
      </c>
      <c r="D1875">
        <f t="shared" si="106"/>
        <v>454</v>
      </c>
      <c r="E1875" t="str">
        <f>SUBSTITUTE(IF(LEFT(A1875,3)="Câu",MID(A1875,FIND(".",A1875,1)+2,LEN(A1875)),""),CHAR(34),CHAR(92)&amp;CHAR(34))</f>
        <v>Gặp biển báo này, người tham gia giao thông phải xử lý như thế nào?</v>
      </c>
      <c r="F1875" t="str">
        <f t="shared" si="105"/>
        <v>q454.jpg</v>
      </c>
      <c r="G1875" t="str">
        <f>SUBSTITUTE(B1876,CHAR(34),CHAR(92)&amp;CHAR(34))</f>
        <v>Dừng xe tại khu vực có trạm Cảnh sát giao thông.</v>
      </c>
      <c r="H1875" t="str">
        <f>SUBSTITUTE(B1877,CHAR(34),CHAR(92)&amp;CHAR(34))</f>
        <v>Tiếp tục lưu thông với tốc độ bình thường.</v>
      </c>
      <c r="I1875" t="str">
        <f>SUBSTITUTE(IF(LEFT(A1878,3)="Câu","",B1878),CHAR(34),CHAR(92)&amp;CHAR(34))</f>
        <v xml:space="preserve"> Phải giảm tốc độ đến mức an toàn và không được vượt khi đi qua khu vực này.</v>
      </c>
      <c r="J1875" t="str">
        <f>SUBSTITUTE(IF(OR(LEFT(A1879,3)="Câu",I1875=""),"",IF(B1879=0,"",B1879)),CHAR(34),CHAR(92)&amp;CHAR(34))</f>
        <v/>
      </c>
      <c r="K1875" t="str">
        <f ca="1">SUBSTITUTE(SUBSTITUTE(SUBSTITUTE(SUBSTITUTE(IFERROR(VLOOKUP("Câu "&amp;D1875&amp;".",dapan!$E:$J,6,0),""),"1","A"),"2","B"),"3","C"),"4","D")</f>
        <v>C</v>
      </c>
      <c r="P1875">
        <f t="shared" si="107"/>
        <v>454</v>
      </c>
      <c r="Q1875" t="str">
        <f t="shared" ca="1" si="108"/>
        <v>{"num":454,"id":454,"q":"Gặp biển báo này, người tham gia giao thông phải xử lý như thế nào?","img":"q454.jpg","opts":{"A":"Dừng xe tại khu vực có trạm Cảnh sát giao thông.","B":"Tiếp tục lưu thông với tốc độ bình thường.","C":" Phải giảm tốc độ đến mức an toàn và không được vượt khi đi qua khu vực này."},"answer":"C"},</v>
      </c>
    </row>
    <row r="1876" spans="1:17" hidden="1" x14ac:dyDescent="0.25">
      <c r="A1876">
        <v>1</v>
      </c>
      <c r="B1876" t="s">
        <v>1314</v>
      </c>
      <c r="C1876">
        <f>IFERROR(COUNTIFS($A$1:A1876,"Câu "&amp;"*")-MID(A1876,5,FIND(".",A1876,1)-5),0)</f>
        <v>0</v>
      </c>
      <c r="D1876" t="str">
        <f t="shared" si="106"/>
        <v/>
      </c>
      <c r="E1876" t="str">
        <f>SUBSTITUTE(IF(LEFT(A1876,3)="Câu",MID(A1876,FIND(".",A1876,1)+2,LEN(A1876)),""),CHAR(34),CHAR(92)&amp;CHAR(34))</f>
        <v/>
      </c>
      <c r="F1876" t="str">
        <f t="shared" si="105"/>
        <v/>
      </c>
      <c r="G1876" t="str">
        <f>SUBSTITUTE(B1877,CHAR(34),CHAR(92)&amp;CHAR(34))</f>
        <v>Tiếp tục lưu thông với tốc độ bình thường.</v>
      </c>
      <c r="H1876" t="str">
        <f>SUBSTITUTE(B1878,CHAR(34),CHAR(92)&amp;CHAR(34))</f>
        <v xml:space="preserve"> Phải giảm tốc độ đến mức an toàn và không được vượt khi đi qua khu vực này.</v>
      </c>
      <c r="I1876" t="str">
        <f>SUBSTITUTE(IF(LEFT(A1879,3)="Câu","",B1879),CHAR(34),CHAR(92)&amp;CHAR(34))</f>
        <v/>
      </c>
      <c r="J1876" t="str">
        <f>SUBSTITUTE(IF(OR(LEFT(A1880,3)="Câu",I1876=""),"",IF(B1880=0,"",B1880)),CHAR(34),CHAR(92)&amp;CHAR(34))</f>
        <v/>
      </c>
      <c r="K1876" t="str">
        <f>SUBSTITUTE(SUBSTITUTE(SUBSTITUTE(SUBSTITUTE(IFERROR(VLOOKUP("Câu "&amp;D1876&amp;".",dapan!$E:$J,6,0),""),"1","A"),"2","B"),"3","C"),"4","D")</f>
        <v/>
      </c>
      <c r="P1876" t="str">
        <f t="shared" si="107"/>
        <v/>
      </c>
      <c r="Q1876" t="str">
        <f t="shared" si="108"/>
        <v/>
      </c>
    </row>
    <row r="1877" spans="1:17" hidden="1" x14ac:dyDescent="0.25">
      <c r="A1877">
        <v>2</v>
      </c>
      <c r="B1877" t="s">
        <v>1315</v>
      </c>
      <c r="C1877">
        <f>IFERROR(COUNTIFS($A$1:A1877,"Câu "&amp;"*")-MID(A1877,5,FIND(".",A1877,1)-5),0)</f>
        <v>0</v>
      </c>
      <c r="D1877" t="str">
        <f t="shared" si="106"/>
        <v/>
      </c>
      <c r="E1877" t="str">
        <f>SUBSTITUTE(IF(LEFT(A1877,3)="Câu",MID(A1877,FIND(".",A1877,1)+2,LEN(A1877)),""),CHAR(34),CHAR(92)&amp;CHAR(34))</f>
        <v/>
      </c>
      <c r="F1877" t="str">
        <f t="shared" si="105"/>
        <v/>
      </c>
      <c r="G1877" t="str">
        <f>SUBSTITUTE(B1878,CHAR(34),CHAR(92)&amp;CHAR(34))</f>
        <v xml:space="preserve"> Phải giảm tốc độ đến mức an toàn và không được vượt khi đi qua khu vực này.</v>
      </c>
      <c r="H1877" t="str">
        <f>SUBSTITUTE(B1879,CHAR(34),CHAR(92)&amp;CHAR(34))</f>
        <v/>
      </c>
      <c r="I1877" t="str">
        <f>SUBSTITUTE(IF(LEFT(A1880,3)="Câu","",B1880),CHAR(34),CHAR(92)&amp;CHAR(34))</f>
        <v xml:space="preserve"> Bắt buộc.</v>
      </c>
      <c r="J1877" t="str">
        <f>SUBSTITUTE(IF(OR(LEFT(A1881,3)="Câu",I1877=""),"",IF(B1881=0,"",B1881)),CHAR(34),CHAR(92)&amp;CHAR(34))</f>
        <v>Không bắt buộc.</v>
      </c>
      <c r="K1877" t="str">
        <f>SUBSTITUTE(SUBSTITUTE(SUBSTITUTE(SUBSTITUTE(IFERROR(VLOOKUP("Câu "&amp;D1877&amp;".",dapan!$E:$J,6,0),""),"1","A"),"2","B"),"3","C"),"4","D")</f>
        <v/>
      </c>
      <c r="P1877" t="str">
        <f t="shared" si="107"/>
        <v/>
      </c>
      <c r="Q1877" t="str">
        <f t="shared" si="108"/>
        <v/>
      </c>
    </row>
    <row r="1878" spans="1:17" hidden="1" x14ac:dyDescent="0.25">
      <c r="A1878">
        <v>3</v>
      </c>
      <c r="B1878" t="s">
        <v>1316</v>
      </c>
      <c r="C1878">
        <f>IFERROR(COUNTIFS($A$1:A1878,"Câu "&amp;"*")-MID(A1878,5,FIND(".",A1878,1)-5),0)</f>
        <v>0</v>
      </c>
      <c r="D1878" t="str">
        <f t="shared" si="106"/>
        <v/>
      </c>
      <c r="E1878" t="str">
        <f>SUBSTITUTE(IF(LEFT(A1878,3)="Câu",MID(A1878,FIND(".",A1878,1)+2,LEN(A1878)),""),CHAR(34),CHAR(92)&amp;CHAR(34))</f>
        <v/>
      </c>
      <c r="F1878" t="str">
        <f t="shared" si="105"/>
        <v/>
      </c>
      <c r="G1878" t="str">
        <f>SUBSTITUTE(B1879,CHAR(34),CHAR(92)&amp;CHAR(34))</f>
        <v/>
      </c>
      <c r="H1878" t="str">
        <f>SUBSTITUTE(B1880,CHAR(34),CHAR(92)&amp;CHAR(34))</f>
        <v xml:space="preserve"> Bắt buộc.</v>
      </c>
      <c r="I1878" t="str">
        <f>SUBSTITUTE(IF(LEFT(A1881,3)="Câu","",B1881),CHAR(34),CHAR(92)&amp;CHAR(34))</f>
        <v>Không bắt buộc.</v>
      </c>
      <c r="J1878" t="str">
        <f>SUBSTITUTE(IF(OR(LEFT(A1882,3)="Câu",I1878=""),"",IF(B1882=0,"",B1882)),CHAR(34),CHAR(92)&amp;CHAR(34))</f>
        <v/>
      </c>
      <c r="K1878" t="str">
        <f>SUBSTITUTE(SUBSTITUTE(SUBSTITUTE(SUBSTITUTE(IFERROR(VLOOKUP("Câu "&amp;D1878&amp;".",dapan!$E:$J,6,0),""),"1","A"),"2","B"),"3","C"),"4","D")</f>
        <v/>
      </c>
      <c r="P1878" t="str">
        <f t="shared" si="107"/>
        <v/>
      </c>
      <c r="Q1878" t="str">
        <f t="shared" si="108"/>
        <v/>
      </c>
    </row>
    <row r="1879" spans="1:17" x14ac:dyDescent="0.25">
      <c r="A1879" t="s">
        <v>1317</v>
      </c>
      <c r="C1879">
        <f>IFERROR(COUNTIFS($A$1:A1879,"Câu "&amp;"*")-MID(A1879,5,FIND(".",A1879,1)-5),0)</f>
        <v>0</v>
      </c>
      <c r="D1879">
        <f t="shared" si="106"/>
        <v>455</v>
      </c>
      <c r="E1879" t="str">
        <f>SUBSTITUTE(IF(LEFT(A1879,3)="Câu",MID(A1879,FIND(".",A1879,1)+2,LEN(A1879)),""),CHAR(34),CHAR(92)&amp;CHAR(34))</f>
        <v>Gặp biển báo dưới đây, người lái xe có bắt buộc phải chạy vòng theo đảo an toàn theo hướng mũi tên khi muốn chuyển hướng hay không?</v>
      </c>
      <c r="F1879" t="str">
        <f t="shared" ref="F1879:F1942" si="109">IF(D1879="","","q"&amp;TEXT(D1879,"000")&amp;".jpg")</f>
        <v>q455.jpg</v>
      </c>
      <c r="G1879" t="str">
        <f>SUBSTITUTE(B1880,CHAR(34),CHAR(92)&amp;CHAR(34))</f>
        <v xml:space="preserve"> Bắt buộc.</v>
      </c>
      <c r="H1879" t="str">
        <f>SUBSTITUTE(B1881,CHAR(34),CHAR(92)&amp;CHAR(34))</f>
        <v>Không bắt buộc.</v>
      </c>
      <c r="I1879" t="str">
        <f>SUBSTITUTE(IF(LEFT(A1882,3)="Câu","",B1882),CHAR(34),CHAR(92)&amp;CHAR(34))</f>
        <v/>
      </c>
      <c r="J1879" t="str">
        <f>SUBSTITUTE(IF(OR(LEFT(A1883,3)="Câu",I1879=""),"",IF(B1883=0,"",B1883)),CHAR(34),CHAR(92)&amp;CHAR(34))</f>
        <v/>
      </c>
      <c r="K1879" t="str">
        <f ca="1">SUBSTITUTE(SUBSTITUTE(SUBSTITUTE(SUBSTITUTE(IFERROR(VLOOKUP("Câu "&amp;D1879&amp;".",dapan!$E:$J,6,0),""),"1","A"),"2","B"),"3","C"),"4","D")</f>
        <v>A</v>
      </c>
      <c r="P1879">
        <f t="shared" si="107"/>
        <v>455</v>
      </c>
      <c r="Q1879" t="str">
        <f t="shared" ca="1" si="108"/>
        <v>{"num":455,"id":455,"q":"Gặp biển báo dưới đây, người lái xe có bắt buộc phải chạy vòng theo đảo an toàn theo hướng mũi tên khi muốn chuyển hướng hay không?","img":"q455.jpg","opts":{"A":" Bắt buộc.","B":"Không bắt buộc."},"answer":"A"},</v>
      </c>
    </row>
    <row r="1880" spans="1:17" hidden="1" x14ac:dyDescent="0.25">
      <c r="A1880">
        <v>1</v>
      </c>
      <c r="B1880" t="s">
        <v>942</v>
      </c>
      <c r="C1880">
        <f>IFERROR(COUNTIFS($A$1:A1880,"Câu "&amp;"*")-MID(A1880,5,FIND(".",A1880,1)-5),0)</f>
        <v>0</v>
      </c>
      <c r="D1880" t="str">
        <f t="shared" si="106"/>
        <v/>
      </c>
      <c r="E1880" t="str">
        <f>SUBSTITUTE(IF(LEFT(A1880,3)="Câu",MID(A1880,FIND(".",A1880,1)+2,LEN(A1880)),""),CHAR(34),CHAR(92)&amp;CHAR(34))</f>
        <v/>
      </c>
      <c r="F1880" t="str">
        <f t="shared" si="109"/>
        <v/>
      </c>
      <c r="G1880" t="str">
        <f>SUBSTITUTE(B1881,CHAR(34),CHAR(92)&amp;CHAR(34))</f>
        <v>Không bắt buộc.</v>
      </c>
      <c r="H1880" t="str">
        <f>SUBSTITUTE(B1882,CHAR(34),CHAR(92)&amp;CHAR(34))</f>
        <v/>
      </c>
      <c r="I1880" t="str">
        <f>SUBSTITUTE(IF(LEFT(A1883,3)="Câu","",B1883),CHAR(34),CHAR(92)&amp;CHAR(34))</f>
        <v>Biển 1.</v>
      </c>
      <c r="J1880" t="str">
        <f>SUBSTITUTE(IF(OR(LEFT(A1884,3)="Câu",I1880=""),"",IF(B1884=0,"",B1884)),CHAR(34),CHAR(92)&amp;CHAR(34))</f>
        <v xml:space="preserve"> Biển 2.</v>
      </c>
      <c r="K1880" t="str">
        <f>SUBSTITUTE(SUBSTITUTE(SUBSTITUTE(SUBSTITUTE(IFERROR(VLOOKUP("Câu "&amp;D1880&amp;".",dapan!$E:$J,6,0),""),"1","A"),"2","B"),"3","C"),"4","D")</f>
        <v/>
      </c>
      <c r="P1880" t="str">
        <f t="shared" si="107"/>
        <v/>
      </c>
      <c r="Q1880" t="str">
        <f t="shared" si="108"/>
        <v/>
      </c>
    </row>
    <row r="1881" spans="1:17" hidden="1" x14ac:dyDescent="0.25">
      <c r="A1881">
        <v>2</v>
      </c>
      <c r="B1881" t="s">
        <v>941</v>
      </c>
      <c r="C1881">
        <f>IFERROR(COUNTIFS($A$1:A1881,"Câu "&amp;"*")-MID(A1881,5,FIND(".",A1881,1)-5),0)</f>
        <v>0</v>
      </c>
      <c r="D1881" t="str">
        <f t="shared" ref="D1881:D1944" si="110">IF(LEFT(A1881,3)="Câu",VALUE(MID(A1881,5,FIND(".",A1881,1)-5)),"")</f>
        <v/>
      </c>
      <c r="E1881" t="str">
        <f>SUBSTITUTE(IF(LEFT(A1881,3)="Câu",MID(A1881,FIND(".",A1881,1)+2,LEN(A1881)),""),CHAR(34),CHAR(92)&amp;CHAR(34))</f>
        <v/>
      </c>
      <c r="F1881" t="str">
        <f t="shared" si="109"/>
        <v/>
      </c>
      <c r="G1881" t="str">
        <f>SUBSTITUTE(B1882,CHAR(34),CHAR(92)&amp;CHAR(34))</f>
        <v/>
      </c>
      <c r="H1881" t="str">
        <f>SUBSTITUTE(B1883,CHAR(34),CHAR(92)&amp;CHAR(34))</f>
        <v>Biển 1.</v>
      </c>
      <c r="I1881" t="str">
        <f>SUBSTITUTE(IF(LEFT(A1884,3)="Câu","",B1884),CHAR(34),CHAR(92)&amp;CHAR(34))</f>
        <v xml:space="preserve"> Biển 2.</v>
      </c>
      <c r="J1881" t="str">
        <f>SUBSTITUTE(IF(OR(LEFT(A1885,3)="Câu",I1881=""),"",IF(B1885=0,"",B1885)),CHAR(34),CHAR(92)&amp;CHAR(34))</f>
        <v>Biển 3.</v>
      </c>
      <c r="K1881" t="str">
        <f>SUBSTITUTE(SUBSTITUTE(SUBSTITUTE(SUBSTITUTE(IFERROR(VLOOKUP("Câu "&amp;D1881&amp;".",dapan!$E:$J,6,0),""),"1","A"),"2","B"),"3","C"),"4","D")</f>
        <v/>
      </c>
      <c r="P1881" t="str">
        <f t="shared" si="107"/>
        <v/>
      </c>
      <c r="Q1881" t="str">
        <f t="shared" si="108"/>
        <v/>
      </c>
    </row>
    <row r="1882" spans="1:17" x14ac:dyDescent="0.25">
      <c r="A1882" t="s">
        <v>1318</v>
      </c>
      <c r="C1882">
        <f>IFERROR(COUNTIFS($A$1:A1882,"Câu "&amp;"*")-MID(A1882,5,FIND(".",A1882,1)-5),0)</f>
        <v>0</v>
      </c>
      <c r="D1882">
        <f t="shared" si="110"/>
        <v>456</v>
      </c>
      <c r="E1882" t="str">
        <f>SUBSTITUTE(IF(LEFT(A1882,3)="Câu",MID(A1882,FIND(".",A1882,1)+2,LEN(A1882)),""),CHAR(34),CHAR(92)&amp;CHAR(34))</f>
        <v>Biển nào dưới đây chỉ dẫn địa giới hành chính giữa các thành phố, tỉnh, huyện?</v>
      </c>
      <c r="F1882" t="str">
        <f t="shared" si="109"/>
        <v>q456.jpg</v>
      </c>
      <c r="G1882" t="str">
        <f>SUBSTITUTE(B1883,CHAR(34),CHAR(92)&amp;CHAR(34))</f>
        <v>Biển 1.</v>
      </c>
      <c r="H1882" t="str">
        <f>SUBSTITUTE(B1884,CHAR(34),CHAR(92)&amp;CHAR(34))</f>
        <v xml:space="preserve"> Biển 2.</v>
      </c>
      <c r="I1882" t="str">
        <f>SUBSTITUTE(IF(LEFT(A1885,3)="Câu","",B1885),CHAR(34),CHAR(92)&amp;CHAR(34))</f>
        <v>Biển 3.</v>
      </c>
      <c r="J1882" t="str">
        <f>SUBSTITUTE(IF(OR(LEFT(A1886,3)="Câu",I1882=""),"",IF(B1886=0,"",B1886)),CHAR(34),CHAR(92)&amp;CHAR(34))</f>
        <v/>
      </c>
      <c r="K1882" t="str">
        <f ca="1">SUBSTITUTE(SUBSTITUTE(SUBSTITUTE(SUBSTITUTE(IFERROR(VLOOKUP("Câu "&amp;D1882&amp;".",dapan!$E:$J,6,0),""),"1","A"),"2","B"),"3","C"),"4","D")</f>
        <v>B</v>
      </c>
      <c r="P1882">
        <f t="shared" si="107"/>
        <v>456</v>
      </c>
      <c r="Q1882" t="str">
        <f t="shared" ca="1" si="108"/>
        <v>{"num":456,"id":456,"q":"Biển nào dưới đây chỉ dẫn địa giới hành chính giữa các thành phố, tỉnh, huyện?","img":"q456.jpg","opts":{"A":"Biển 1.","B":" Biển 2.","C":"Biển 3."},"answer":"B"},</v>
      </c>
    </row>
    <row r="1883" spans="1:17" hidden="1" x14ac:dyDescent="0.25">
      <c r="A1883">
        <v>1</v>
      </c>
      <c r="B1883" t="s">
        <v>1075</v>
      </c>
      <c r="C1883">
        <f>IFERROR(COUNTIFS($A$1:A1883,"Câu "&amp;"*")-MID(A1883,5,FIND(".",A1883,1)-5),0)</f>
        <v>0</v>
      </c>
      <c r="D1883" t="str">
        <f t="shared" si="110"/>
        <v/>
      </c>
      <c r="E1883" t="str">
        <f>SUBSTITUTE(IF(LEFT(A1883,3)="Câu",MID(A1883,FIND(".",A1883,1)+2,LEN(A1883)),""),CHAR(34),CHAR(92)&amp;CHAR(34))</f>
        <v/>
      </c>
      <c r="F1883" t="str">
        <f t="shared" si="109"/>
        <v/>
      </c>
      <c r="G1883" t="str">
        <f>SUBSTITUTE(B1884,CHAR(34),CHAR(92)&amp;CHAR(34))</f>
        <v xml:space="preserve"> Biển 2.</v>
      </c>
      <c r="H1883" t="str">
        <f>SUBSTITUTE(B1885,CHAR(34),CHAR(92)&amp;CHAR(34))</f>
        <v>Biển 3.</v>
      </c>
      <c r="I1883" t="str">
        <f>SUBSTITUTE(IF(LEFT(A1886,3)="Câu","",B1886),CHAR(34),CHAR(92)&amp;CHAR(34))</f>
        <v/>
      </c>
      <c r="J1883" t="str">
        <f>SUBSTITUTE(IF(OR(LEFT(A1887,3)="Câu",I1883=""),"",IF(B1887=0,"",B1887)),CHAR(34),CHAR(92)&amp;CHAR(34))</f>
        <v/>
      </c>
      <c r="K1883" t="str">
        <f>SUBSTITUTE(SUBSTITUTE(SUBSTITUTE(SUBSTITUTE(IFERROR(VLOOKUP("Câu "&amp;D1883&amp;".",dapan!$E:$J,6,0),""),"1","A"),"2","B"),"3","C"),"4","D")</f>
        <v/>
      </c>
      <c r="P1883" t="str">
        <f t="shared" si="107"/>
        <v/>
      </c>
      <c r="Q1883" t="str">
        <f t="shared" si="108"/>
        <v/>
      </c>
    </row>
    <row r="1884" spans="1:17" hidden="1" x14ac:dyDescent="0.25">
      <c r="A1884">
        <v>2</v>
      </c>
      <c r="B1884" t="s">
        <v>1090</v>
      </c>
      <c r="C1884">
        <f>IFERROR(COUNTIFS($A$1:A1884,"Câu "&amp;"*")-MID(A1884,5,FIND(".",A1884,1)-5),0)</f>
        <v>0</v>
      </c>
      <c r="D1884" t="str">
        <f t="shared" si="110"/>
        <v/>
      </c>
      <c r="E1884" t="str">
        <f>SUBSTITUTE(IF(LEFT(A1884,3)="Câu",MID(A1884,FIND(".",A1884,1)+2,LEN(A1884)),""),CHAR(34),CHAR(92)&amp;CHAR(34))</f>
        <v/>
      </c>
      <c r="F1884" t="str">
        <f t="shared" si="109"/>
        <v/>
      </c>
      <c r="G1884" t="str">
        <f>SUBSTITUTE(B1885,CHAR(34),CHAR(92)&amp;CHAR(34))</f>
        <v>Biển 3.</v>
      </c>
      <c r="H1884" t="str">
        <f>SUBSTITUTE(B1886,CHAR(34),CHAR(92)&amp;CHAR(34))</f>
        <v/>
      </c>
      <c r="I1884" t="str">
        <f>SUBSTITUTE(IF(LEFT(A1887,3)="Câu","",B1887),CHAR(34),CHAR(92)&amp;CHAR(34))</f>
        <v>Biển 2 và biển 3.</v>
      </c>
      <c r="J1884" t="str">
        <f>SUBSTITUTE(IF(OR(LEFT(A1888,3)="Câu",I1884=""),"",IF(B1888=0,"",B1888)),CHAR(34),CHAR(92)&amp;CHAR(34))</f>
        <v>Biển 1 và biển 2.</v>
      </c>
      <c r="K1884" t="str">
        <f>SUBSTITUTE(SUBSTITUTE(SUBSTITUTE(SUBSTITUTE(IFERROR(VLOOKUP("Câu "&amp;D1884&amp;".",dapan!$E:$J,6,0),""),"1","A"),"2","B"),"3","C"),"4","D")</f>
        <v/>
      </c>
      <c r="P1884" t="str">
        <f t="shared" si="107"/>
        <v/>
      </c>
      <c r="Q1884" t="str">
        <f t="shared" si="108"/>
        <v/>
      </c>
    </row>
    <row r="1885" spans="1:17" hidden="1" x14ac:dyDescent="0.25">
      <c r="A1885">
        <v>3</v>
      </c>
      <c r="B1885" t="s">
        <v>1083</v>
      </c>
      <c r="C1885">
        <f>IFERROR(COUNTIFS($A$1:A1885,"Câu "&amp;"*")-MID(A1885,5,FIND(".",A1885,1)-5),0)</f>
        <v>0</v>
      </c>
      <c r="D1885" t="str">
        <f t="shared" si="110"/>
        <v/>
      </c>
      <c r="E1885" t="str">
        <f>SUBSTITUTE(IF(LEFT(A1885,3)="Câu",MID(A1885,FIND(".",A1885,1)+2,LEN(A1885)),""),CHAR(34),CHAR(92)&amp;CHAR(34))</f>
        <v/>
      </c>
      <c r="F1885" t="str">
        <f t="shared" si="109"/>
        <v/>
      </c>
      <c r="G1885" t="str">
        <f>SUBSTITUTE(B1886,CHAR(34),CHAR(92)&amp;CHAR(34))</f>
        <v/>
      </c>
      <c r="H1885" t="str">
        <f>SUBSTITUTE(B1887,CHAR(34),CHAR(92)&amp;CHAR(34))</f>
        <v>Biển 2 và biển 3.</v>
      </c>
      <c r="I1885" t="str">
        <f>SUBSTITUTE(IF(LEFT(A1888,3)="Câu","",B1888),CHAR(34),CHAR(92)&amp;CHAR(34))</f>
        <v>Biển 1 và biển 2.</v>
      </c>
      <c r="J1885" t="str">
        <f>SUBSTITUTE(IF(OR(LEFT(A1889,3)="Câu",I1885=""),"",IF(B1889=0,"",B1889)),CHAR(34),CHAR(92)&amp;CHAR(34))</f>
        <v xml:space="preserve"> Biển 1 và biển 3.</v>
      </c>
      <c r="K1885" t="str">
        <f>SUBSTITUTE(SUBSTITUTE(SUBSTITUTE(SUBSTITUTE(IFERROR(VLOOKUP("Câu "&amp;D1885&amp;".",dapan!$E:$J,6,0),""),"1","A"),"2","B"),"3","C"),"4","D")</f>
        <v/>
      </c>
      <c r="P1885" t="str">
        <f t="shared" si="107"/>
        <v/>
      </c>
      <c r="Q1885" t="str">
        <f t="shared" si="108"/>
        <v/>
      </c>
    </row>
    <row r="1886" spans="1:17" x14ac:dyDescent="0.25">
      <c r="A1886" t="s">
        <v>1319</v>
      </c>
      <c r="C1886">
        <f>IFERROR(COUNTIFS($A$1:A1886,"Câu "&amp;"*")-MID(A1886,5,FIND(".",A1886,1)-5),0)</f>
        <v>0</v>
      </c>
      <c r="D1886">
        <f t="shared" si="110"/>
        <v>457</v>
      </c>
      <c r="E1886" t="str">
        <f>SUBSTITUTE(IF(LEFT(A1886,3)="Câu",MID(A1886,FIND(".",A1886,1)+2,LEN(A1886)),""),CHAR(34),CHAR(92)&amp;CHAR(34))</f>
        <v>Biển nào báo hiệu \"Cầu vượt liên thông\"?</v>
      </c>
      <c r="F1886" t="str">
        <f t="shared" si="109"/>
        <v>q457.jpg</v>
      </c>
      <c r="G1886" t="str">
        <f>SUBSTITUTE(B1887,CHAR(34),CHAR(92)&amp;CHAR(34))</f>
        <v>Biển 2 và biển 3.</v>
      </c>
      <c r="H1886" t="str">
        <f>SUBSTITUTE(B1888,CHAR(34),CHAR(92)&amp;CHAR(34))</f>
        <v>Biển 1 và biển 2.</v>
      </c>
      <c r="I1886" t="str">
        <f>SUBSTITUTE(IF(LEFT(A1889,3)="Câu","",B1889),CHAR(34),CHAR(92)&amp;CHAR(34))</f>
        <v xml:space="preserve"> Biển 1 và biển 3.</v>
      </c>
      <c r="J1886" t="str">
        <f>SUBSTITUTE(IF(OR(LEFT(A1890,3)="Câu",I1886=""),"",IF(B1890=0,"",B1890)),CHAR(34),CHAR(92)&amp;CHAR(34))</f>
        <v>Cả ba biển.</v>
      </c>
      <c r="K1886" t="str">
        <f ca="1">SUBSTITUTE(SUBSTITUTE(SUBSTITUTE(SUBSTITUTE(IFERROR(VLOOKUP("Câu "&amp;D1886&amp;".",dapan!$E:$J,6,0),""),"1","A"),"2","B"),"3","C"),"4","D")</f>
        <v>C</v>
      </c>
      <c r="P1886">
        <f t="shared" si="107"/>
        <v>457</v>
      </c>
      <c r="Q1886" t="str">
        <f t="shared" ca="1" si="108"/>
        <v>{"num":457,"id":457,"q":"Biển nào báo hiệu \"Cầu vượt liên thông\"?","img":"q457.jpg","opts":{"A":"Biển 2 và biển 3.","B":"Biển 1 và biển 2.","C":" Biển 1 và biển 3.","D":"Cả ba biển."},"answer":"C"},</v>
      </c>
    </row>
    <row r="1887" spans="1:17" hidden="1" x14ac:dyDescent="0.25">
      <c r="A1887">
        <v>1</v>
      </c>
      <c r="B1887" t="s">
        <v>1072</v>
      </c>
      <c r="C1887">
        <f>IFERROR(COUNTIFS($A$1:A1887,"Câu "&amp;"*")-MID(A1887,5,FIND(".",A1887,1)-5),0)</f>
        <v>0</v>
      </c>
      <c r="D1887" t="str">
        <f t="shared" si="110"/>
        <v/>
      </c>
      <c r="E1887" t="str">
        <f>SUBSTITUTE(IF(LEFT(A1887,3)="Câu",MID(A1887,FIND(".",A1887,1)+2,LEN(A1887)),""),CHAR(34),CHAR(92)&amp;CHAR(34))</f>
        <v/>
      </c>
      <c r="F1887" t="str">
        <f t="shared" si="109"/>
        <v/>
      </c>
      <c r="G1887" t="str">
        <f>SUBSTITUTE(B1888,CHAR(34),CHAR(92)&amp;CHAR(34))</f>
        <v>Biển 1 và biển 2.</v>
      </c>
      <c r="H1887" t="str">
        <f>SUBSTITUTE(B1889,CHAR(34),CHAR(92)&amp;CHAR(34))</f>
        <v xml:space="preserve"> Biển 1 và biển 3.</v>
      </c>
      <c r="I1887" t="str">
        <f>SUBSTITUTE(IF(LEFT(A1890,3)="Câu","",B1890),CHAR(34),CHAR(92)&amp;CHAR(34))</f>
        <v>Cả ba biển.</v>
      </c>
      <c r="J1887" t="str">
        <f>SUBSTITUTE(IF(OR(LEFT(A1891,3)="Câu",I1887=""),"",IF(B1891=0,"",B1891)),CHAR(34),CHAR(92)&amp;CHAR(34))</f>
        <v/>
      </c>
      <c r="K1887" t="str">
        <f>SUBSTITUTE(SUBSTITUTE(SUBSTITUTE(SUBSTITUTE(IFERROR(VLOOKUP("Câu "&amp;D1887&amp;".",dapan!$E:$J,6,0),""),"1","A"),"2","B"),"3","C"),"4","D")</f>
        <v/>
      </c>
      <c r="P1887" t="str">
        <f t="shared" si="107"/>
        <v/>
      </c>
      <c r="Q1887" t="str">
        <f t="shared" si="108"/>
        <v/>
      </c>
    </row>
    <row r="1888" spans="1:17" hidden="1" x14ac:dyDescent="0.25">
      <c r="A1888">
        <v>2</v>
      </c>
      <c r="B1888" t="s">
        <v>1086</v>
      </c>
      <c r="C1888">
        <f>IFERROR(COUNTIFS($A$1:A1888,"Câu "&amp;"*")-MID(A1888,5,FIND(".",A1888,1)-5),0)</f>
        <v>0</v>
      </c>
      <c r="D1888" t="str">
        <f t="shared" si="110"/>
        <v/>
      </c>
      <c r="E1888" t="str">
        <f>SUBSTITUTE(IF(LEFT(A1888,3)="Câu",MID(A1888,FIND(".",A1888,1)+2,LEN(A1888)),""),CHAR(34),CHAR(92)&amp;CHAR(34))</f>
        <v/>
      </c>
      <c r="F1888" t="str">
        <f t="shared" si="109"/>
        <v/>
      </c>
      <c r="G1888" t="str">
        <f>SUBSTITUTE(B1889,CHAR(34),CHAR(92)&amp;CHAR(34))</f>
        <v xml:space="preserve"> Biển 1 và biển 3.</v>
      </c>
      <c r="H1888" t="str">
        <f>SUBSTITUTE(B1890,CHAR(34),CHAR(92)&amp;CHAR(34))</f>
        <v>Cả ba biển.</v>
      </c>
      <c r="I1888" t="str">
        <f>SUBSTITUTE(IF(LEFT(A1891,3)="Câu","",B1891),CHAR(34),CHAR(92)&amp;CHAR(34))</f>
        <v/>
      </c>
      <c r="J1888" t="str">
        <f>SUBSTITUTE(IF(OR(LEFT(A1892,3)="Câu",I1888=""),"",IF(B1892=0,"",B1892)),CHAR(34),CHAR(92)&amp;CHAR(34))</f>
        <v/>
      </c>
      <c r="K1888" t="str">
        <f>SUBSTITUTE(SUBSTITUTE(SUBSTITUTE(SUBSTITUTE(IFERROR(VLOOKUP("Câu "&amp;D1888&amp;".",dapan!$E:$J,6,0),""),"1","A"),"2","B"),"3","C"),"4","D")</f>
        <v/>
      </c>
      <c r="P1888" t="str">
        <f t="shared" si="107"/>
        <v/>
      </c>
      <c r="Q1888" t="str">
        <f t="shared" si="108"/>
        <v/>
      </c>
    </row>
    <row r="1889" spans="1:17" hidden="1" x14ac:dyDescent="0.25">
      <c r="A1889">
        <v>3</v>
      </c>
      <c r="B1889" t="s">
        <v>1088</v>
      </c>
      <c r="C1889">
        <f>IFERROR(COUNTIFS($A$1:A1889,"Câu "&amp;"*")-MID(A1889,5,FIND(".",A1889,1)-5),0)</f>
        <v>0</v>
      </c>
      <c r="D1889" t="str">
        <f t="shared" si="110"/>
        <v/>
      </c>
      <c r="E1889" t="str">
        <f>SUBSTITUTE(IF(LEFT(A1889,3)="Câu",MID(A1889,FIND(".",A1889,1)+2,LEN(A1889)),""),CHAR(34),CHAR(92)&amp;CHAR(34))</f>
        <v/>
      </c>
      <c r="F1889" t="str">
        <f t="shared" si="109"/>
        <v/>
      </c>
      <c r="G1889" t="str">
        <f>SUBSTITUTE(B1890,CHAR(34),CHAR(92)&amp;CHAR(34))</f>
        <v>Cả ba biển.</v>
      </c>
      <c r="H1889" t="str">
        <f>SUBSTITUTE(B1891,CHAR(34),CHAR(92)&amp;CHAR(34))</f>
        <v/>
      </c>
      <c r="I1889" t="str">
        <f>SUBSTITUTE(IF(LEFT(A1892,3)="Câu","",B1892),CHAR(34),CHAR(92)&amp;CHAR(34))</f>
        <v>Đi thẳng hoặc rẽ trái trên cầu vượt.</v>
      </c>
      <c r="J1889" t="str">
        <f>SUBSTITUTE(IF(OR(LEFT(A1893,3)="Câu",I1889=""),"",IF(B1893=0,"",B1893)),CHAR(34),CHAR(92)&amp;CHAR(34))</f>
        <v>Đi thẳng hoặc rẽ phải trên cầu vượt.</v>
      </c>
      <c r="K1889" t="str">
        <f>SUBSTITUTE(SUBSTITUTE(SUBSTITUTE(SUBSTITUTE(IFERROR(VLOOKUP("Câu "&amp;D1889&amp;".",dapan!$E:$J,6,0),""),"1","A"),"2","B"),"3","C"),"4","D")</f>
        <v/>
      </c>
      <c r="P1889" t="str">
        <f t="shared" si="107"/>
        <v/>
      </c>
      <c r="Q1889" t="str">
        <f t="shared" si="108"/>
        <v/>
      </c>
    </row>
    <row r="1890" spans="1:17" hidden="1" x14ac:dyDescent="0.25">
      <c r="A1890">
        <v>4</v>
      </c>
      <c r="B1890" t="s">
        <v>1071</v>
      </c>
      <c r="C1890">
        <f>IFERROR(COUNTIFS($A$1:A1890,"Câu "&amp;"*")-MID(A1890,5,FIND(".",A1890,1)-5),0)</f>
        <v>0</v>
      </c>
      <c r="D1890" t="str">
        <f t="shared" si="110"/>
        <v/>
      </c>
      <c r="E1890" t="str">
        <f>SUBSTITUTE(IF(LEFT(A1890,3)="Câu",MID(A1890,FIND(".",A1890,1)+2,LEN(A1890)),""),CHAR(34),CHAR(92)&amp;CHAR(34))</f>
        <v/>
      </c>
      <c r="F1890" t="str">
        <f t="shared" si="109"/>
        <v/>
      </c>
      <c r="G1890" t="str">
        <f>SUBSTITUTE(B1891,CHAR(34),CHAR(92)&amp;CHAR(34))</f>
        <v/>
      </c>
      <c r="H1890" t="str">
        <f>SUBSTITUTE(B1892,CHAR(34),CHAR(92)&amp;CHAR(34))</f>
        <v>Đi thẳng hoặc rẽ trái trên cầu vượt.</v>
      </c>
      <c r="I1890" t="str">
        <f>SUBSTITUTE(IF(LEFT(A1893,3)="Câu","",B1893),CHAR(34),CHAR(92)&amp;CHAR(34))</f>
        <v>Đi thẳng hoặc rẽ phải trên cầu vượt.</v>
      </c>
      <c r="J1890" t="str">
        <f>SUBSTITUTE(IF(OR(LEFT(A1894,3)="Câu",I1890=""),"",IF(B1894=0,"",B1894)),CHAR(34),CHAR(92)&amp;CHAR(34))</f>
        <v xml:space="preserve"> Báo hiệu cầu vượt liên thông.</v>
      </c>
      <c r="K1890" t="str">
        <f>SUBSTITUTE(SUBSTITUTE(SUBSTITUTE(SUBSTITUTE(IFERROR(VLOOKUP("Câu "&amp;D1890&amp;".",dapan!$E:$J,6,0),""),"1","A"),"2","B"),"3","C"),"4","D")</f>
        <v/>
      </c>
      <c r="P1890" t="str">
        <f t="shared" si="107"/>
        <v/>
      </c>
      <c r="Q1890" t="str">
        <f t="shared" si="108"/>
        <v/>
      </c>
    </row>
    <row r="1891" spans="1:17" x14ac:dyDescent="0.25">
      <c r="A1891" t="s">
        <v>1320</v>
      </c>
      <c r="C1891">
        <f>IFERROR(COUNTIFS($A$1:A1891,"Câu "&amp;"*")-MID(A1891,5,FIND(".",A1891,1)-5),0)</f>
        <v>0</v>
      </c>
      <c r="D1891">
        <f t="shared" si="110"/>
        <v>458</v>
      </c>
      <c r="E1891" t="str">
        <f>SUBSTITUTE(IF(LEFT(A1891,3)="Câu",MID(A1891,FIND(".",A1891,1)+2,LEN(A1891)),""),CHAR(34),CHAR(92)&amp;CHAR(34))</f>
        <v>Biển số 1 có ý nghĩa như thế nào?</v>
      </c>
      <c r="F1891" t="str">
        <f t="shared" si="109"/>
        <v>q458.jpg</v>
      </c>
      <c r="G1891" t="str">
        <f>SUBSTITUTE(B1892,CHAR(34),CHAR(92)&amp;CHAR(34))</f>
        <v>Đi thẳng hoặc rẽ trái trên cầu vượt.</v>
      </c>
      <c r="H1891" t="str">
        <f>SUBSTITUTE(B1893,CHAR(34),CHAR(92)&amp;CHAR(34))</f>
        <v>Đi thẳng hoặc rẽ phải trên cầu vượt.</v>
      </c>
      <c r="I1891" t="str">
        <f>SUBSTITUTE(IF(LEFT(A1894,3)="Câu","",B1894),CHAR(34),CHAR(92)&amp;CHAR(34))</f>
        <v xml:space="preserve"> Báo hiệu cầu vượt liên thông.</v>
      </c>
      <c r="J1891" t="str">
        <f>SUBSTITUTE(IF(OR(LEFT(A1895,3)="Câu",I1891=""),"",IF(B1895=0,"",B1895)),CHAR(34),CHAR(92)&amp;CHAR(34))</f>
        <v/>
      </c>
      <c r="K1891" t="str">
        <f ca="1">SUBSTITUTE(SUBSTITUTE(SUBSTITUTE(SUBSTITUTE(IFERROR(VLOOKUP("Câu "&amp;D1891&amp;".",dapan!$E:$J,6,0),""),"1","A"),"2","B"),"3","C"),"4","D")</f>
        <v>C</v>
      </c>
      <c r="P1891">
        <f t="shared" si="107"/>
        <v>458</v>
      </c>
      <c r="Q1891" t="str">
        <f t="shared" ca="1" si="108"/>
        <v>{"num":458,"id":458,"q":"Biển số 1 có ý nghĩa như thế nào?","img":"q458.jpg","opts":{"A":"Đi thẳng hoặc rẽ trái trên cầu vượt.","B":"Đi thẳng hoặc rẽ phải trên cầu vượt.","C":" Báo hiệu cầu vượt liên thông."},"answer":"C"},</v>
      </c>
    </row>
    <row r="1892" spans="1:17" hidden="1" x14ac:dyDescent="0.25">
      <c r="A1892">
        <v>1</v>
      </c>
      <c r="B1892" t="s">
        <v>1321</v>
      </c>
      <c r="C1892">
        <f>IFERROR(COUNTIFS($A$1:A1892,"Câu "&amp;"*")-MID(A1892,5,FIND(".",A1892,1)-5),0)</f>
        <v>0</v>
      </c>
      <c r="D1892" t="str">
        <f t="shared" si="110"/>
        <v/>
      </c>
      <c r="E1892" t="str">
        <f>SUBSTITUTE(IF(LEFT(A1892,3)="Câu",MID(A1892,FIND(".",A1892,1)+2,LEN(A1892)),""),CHAR(34),CHAR(92)&amp;CHAR(34))</f>
        <v/>
      </c>
      <c r="F1892" t="str">
        <f t="shared" si="109"/>
        <v/>
      </c>
      <c r="G1892" t="str">
        <f>SUBSTITUTE(B1893,CHAR(34),CHAR(92)&amp;CHAR(34))</f>
        <v>Đi thẳng hoặc rẽ phải trên cầu vượt.</v>
      </c>
      <c r="H1892" t="str">
        <f>SUBSTITUTE(B1894,CHAR(34),CHAR(92)&amp;CHAR(34))</f>
        <v xml:space="preserve"> Báo hiệu cầu vượt liên thông.</v>
      </c>
      <c r="I1892" t="str">
        <f>SUBSTITUTE(IF(LEFT(A1895,3)="Câu","",B1895),CHAR(34),CHAR(92)&amp;CHAR(34))</f>
        <v/>
      </c>
      <c r="J1892" t="str">
        <f>SUBSTITUTE(IF(OR(LEFT(A1896,3)="Câu",I1892=""),"",IF(B1896=0,"",B1896)),CHAR(34),CHAR(92)&amp;CHAR(34))</f>
        <v/>
      </c>
      <c r="K1892" t="str">
        <f>SUBSTITUTE(SUBSTITUTE(SUBSTITUTE(SUBSTITUTE(IFERROR(VLOOKUP("Câu "&amp;D1892&amp;".",dapan!$E:$J,6,0),""),"1","A"),"2","B"),"3","C"),"4","D")</f>
        <v/>
      </c>
      <c r="P1892" t="str">
        <f t="shared" si="107"/>
        <v/>
      </c>
      <c r="Q1892" t="str">
        <f t="shared" si="108"/>
        <v/>
      </c>
    </row>
    <row r="1893" spans="1:17" hidden="1" x14ac:dyDescent="0.25">
      <c r="A1893">
        <v>2</v>
      </c>
      <c r="B1893" t="s">
        <v>1322</v>
      </c>
      <c r="C1893">
        <f>IFERROR(COUNTIFS($A$1:A1893,"Câu "&amp;"*")-MID(A1893,5,FIND(".",A1893,1)-5),0)</f>
        <v>0</v>
      </c>
      <c r="D1893" t="str">
        <f t="shared" si="110"/>
        <v/>
      </c>
      <c r="E1893" t="str">
        <f>SUBSTITUTE(IF(LEFT(A1893,3)="Câu",MID(A1893,FIND(".",A1893,1)+2,LEN(A1893)),""),CHAR(34),CHAR(92)&amp;CHAR(34))</f>
        <v/>
      </c>
      <c r="F1893" t="str">
        <f t="shared" si="109"/>
        <v/>
      </c>
      <c r="G1893" t="str">
        <f>SUBSTITUTE(B1894,CHAR(34),CHAR(92)&amp;CHAR(34))</f>
        <v xml:space="preserve"> Báo hiệu cầu vượt liên thông.</v>
      </c>
      <c r="H1893" t="str">
        <f>SUBSTITUTE(B1895,CHAR(34),CHAR(92)&amp;CHAR(34))</f>
        <v/>
      </c>
      <c r="I1893" t="str">
        <f>SUBSTITUTE(IF(LEFT(A1896,3)="Câu","",B1896),CHAR(34),CHAR(92)&amp;CHAR(34))</f>
        <v xml:space="preserve"> Biển 1 và biển 2.</v>
      </c>
      <c r="J1893" t="str">
        <f>SUBSTITUTE(IF(OR(LEFT(A1897,3)="Câu",I1893=""),"",IF(B1897=0,"",B1897)),CHAR(34),CHAR(92)&amp;CHAR(34))</f>
        <v>Biển 1 và biển 3.</v>
      </c>
      <c r="K1893" t="str">
        <f>SUBSTITUTE(SUBSTITUTE(SUBSTITUTE(SUBSTITUTE(IFERROR(VLOOKUP("Câu "&amp;D1893&amp;".",dapan!$E:$J,6,0),""),"1","A"),"2","B"),"3","C"),"4","D")</f>
        <v/>
      </c>
      <c r="P1893" t="str">
        <f t="shared" si="107"/>
        <v/>
      </c>
      <c r="Q1893" t="str">
        <f t="shared" si="108"/>
        <v/>
      </c>
    </row>
    <row r="1894" spans="1:17" hidden="1" x14ac:dyDescent="0.25">
      <c r="A1894">
        <v>3</v>
      </c>
      <c r="B1894" t="s">
        <v>1323</v>
      </c>
      <c r="C1894">
        <f>IFERROR(COUNTIFS($A$1:A1894,"Câu "&amp;"*")-MID(A1894,5,FIND(".",A1894,1)-5),0)</f>
        <v>0</v>
      </c>
      <c r="D1894" t="str">
        <f t="shared" si="110"/>
        <v/>
      </c>
      <c r="E1894" t="str">
        <f>SUBSTITUTE(IF(LEFT(A1894,3)="Câu",MID(A1894,FIND(".",A1894,1)+2,LEN(A1894)),""),CHAR(34),CHAR(92)&amp;CHAR(34))</f>
        <v/>
      </c>
      <c r="F1894" t="str">
        <f t="shared" si="109"/>
        <v/>
      </c>
      <c r="G1894" t="str">
        <f>SUBSTITUTE(B1895,CHAR(34),CHAR(92)&amp;CHAR(34))</f>
        <v/>
      </c>
      <c r="H1894" t="str">
        <f>SUBSTITUTE(B1896,CHAR(34),CHAR(92)&amp;CHAR(34))</f>
        <v xml:space="preserve"> Biển 1 và biển 2.</v>
      </c>
      <c r="I1894" t="str">
        <f>SUBSTITUTE(IF(LEFT(A1897,3)="Câu","",B1897),CHAR(34),CHAR(92)&amp;CHAR(34))</f>
        <v>Biển 1 và biển 3.</v>
      </c>
      <c r="J1894" t="str">
        <f>SUBSTITUTE(IF(OR(LEFT(A1898,3)="Câu",I1894=""),"",IF(B1898=0,"",B1898)),CHAR(34),CHAR(92)&amp;CHAR(34))</f>
        <v>Biển 2 và biển 3.</v>
      </c>
      <c r="K1894" t="str">
        <f>SUBSTITUTE(SUBSTITUTE(SUBSTITUTE(SUBSTITUTE(IFERROR(VLOOKUP("Câu "&amp;D1894&amp;".",dapan!$E:$J,6,0),""),"1","A"),"2","B"),"3","C"),"4","D")</f>
        <v/>
      </c>
      <c r="P1894" t="str">
        <f t="shared" si="107"/>
        <v/>
      </c>
      <c r="Q1894" t="str">
        <f t="shared" si="108"/>
        <v/>
      </c>
    </row>
    <row r="1895" spans="1:17" x14ac:dyDescent="0.25">
      <c r="A1895" t="s">
        <v>1324</v>
      </c>
      <c r="C1895">
        <f>IFERROR(COUNTIFS($A$1:A1895,"Câu "&amp;"*")-MID(A1895,5,FIND(".",A1895,1)-5),0)</f>
        <v>0</v>
      </c>
      <c r="D1895">
        <f t="shared" si="110"/>
        <v>459</v>
      </c>
      <c r="E1895" t="str">
        <f>SUBSTITUTE(IF(LEFT(A1895,3)="Câu",MID(A1895,FIND(".",A1895,1)+2,LEN(A1895)),""),CHAR(34),CHAR(92)&amp;CHAR(34))</f>
        <v>Biển nào báo hiệu \"Tuyến đường cầu vượt cắt qua\"?</v>
      </c>
      <c r="F1895" t="str">
        <f t="shared" si="109"/>
        <v>q459.jpg</v>
      </c>
      <c r="G1895" t="str">
        <f>SUBSTITUTE(B1896,CHAR(34),CHAR(92)&amp;CHAR(34))</f>
        <v xml:space="preserve"> Biển 1 và biển 2.</v>
      </c>
      <c r="H1895" t="str">
        <f>SUBSTITUTE(B1897,CHAR(34),CHAR(92)&amp;CHAR(34))</f>
        <v>Biển 1 và biển 3.</v>
      </c>
      <c r="I1895" t="str">
        <f>SUBSTITUTE(IF(LEFT(A1898,3)="Câu","",B1898),CHAR(34),CHAR(92)&amp;CHAR(34))</f>
        <v>Biển 2 và biển 3.</v>
      </c>
      <c r="J1895" t="str">
        <f>SUBSTITUTE(IF(OR(LEFT(A1899,3)="Câu",I1895=""),"",IF(B1899=0,"",B1899)),CHAR(34),CHAR(92)&amp;CHAR(34))</f>
        <v/>
      </c>
      <c r="K1895" t="str">
        <f ca="1">SUBSTITUTE(SUBSTITUTE(SUBSTITUTE(SUBSTITUTE(IFERROR(VLOOKUP("Câu "&amp;D1895&amp;".",dapan!$E:$J,6,0),""),"1","A"),"2","B"),"3","C"),"4","D")</f>
        <v>A</v>
      </c>
      <c r="P1895">
        <f t="shared" si="107"/>
        <v>459</v>
      </c>
      <c r="Q1895" t="str">
        <f t="shared" ca="1" si="108"/>
        <v>{"num":459,"id":459,"q":"Biển nào báo hiệu \"Tuyến đường cầu vượt cắt qua\"?","img":"q459.jpg","opts":{"A":" Biển 1 và biển 2.","B":"Biển 1 và biển 3.","C":"Biển 2 và biển 3."},"answer":"A"},</v>
      </c>
    </row>
    <row r="1896" spans="1:17" hidden="1" x14ac:dyDescent="0.25">
      <c r="A1896">
        <v>1</v>
      </c>
      <c r="B1896" t="s">
        <v>1079</v>
      </c>
      <c r="C1896">
        <f>IFERROR(COUNTIFS($A$1:A1896,"Câu "&amp;"*")-MID(A1896,5,FIND(".",A1896,1)-5),0)</f>
        <v>0</v>
      </c>
      <c r="D1896" t="str">
        <f t="shared" si="110"/>
        <v/>
      </c>
      <c r="E1896" t="str">
        <f>SUBSTITUTE(IF(LEFT(A1896,3)="Câu",MID(A1896,FIND(".",A1896,1)+2,LEN(A1896)),""),CHAR(34),CHAR(92)&amp;CHAR(34))</f>
        <v/>
      </c>
      <c r="F1896" t="str">
        <f t="shared" si="109"/>
        <v/>
      </c>
      <c r="G1896" t="str">
        <f>SUBSTITUTE(B1897,CHAR(34),CHAR(92)&amp;CHAR(34))</f>
        <v>Biển 1 và biển 3.</v>
      </c>
      <c r="H1896" t="str">
        <f>SUBSTITUTE(B1898,CHAR(34),CHAR(92)&amp;CHAR(34))</f>
        <v>Biển 2 và biển 3.</v>
      </c>
      <c r="I1896" t="str">
        <f>SUBSTITUTE(IF(LEFT(A1899,3)="Câu","",B1899),CHAR(34),CHAR(92)&amp;CHAR(34))</f>
        <v/>
      </c>
      <c r="J1896" t="str">
        <f>SUBSTITUTE(IF(OR(LEFT(A1900,3)="Câu",I1896=""),"",IF(B1900=0,"",B1900)),CHAR(34),CHAR(92)&amp;CHAR(34))</f>
        <v/>
      </c>
      <c r="K1896" t="str">
        <f>SUBSTITUTE(SUBSTITUTE(SUBSTITUTE(SUBSTITUTE(IFERROR(VLOOKUP("Câu "&amp;D1896&amp;".",dapan!$E:$J,6,0),""),"1","A"),"2","B"),"3","C"),"4","D")</f>
        <v/>
      </c>
      <c r="P1896" t="str">
        <f t="shared" si="107"/>
        <v/>
      </c>
      <c r="Q1896" t="str">
        <f t="shared" si="108"/>
        <v/>
      </c>
    </row>
    <row r="1897" spans="1:17" hidden="1" x14ac:dyDescent="0.25">
      <c r="A1897">
        <v>2</v>
      </c>
      <c r="B1897" t="s">
        <v>1077</v>
      </c>
      <c r="C1897">
        <f>IFERROR(COUNTIFS($A$1:A1897,"Câu "&amp;"*")-MID(A1897,5,FIND(".",A1897,1)-5),0)</f>
        <v>0</v>
      </c>
      <c r="D1897" t="str">
        <f t="shared" si="110"/>
        <v/>
      </c>
      <c r="E1897" t="str">
        <f>SUBSTITUTE(IF(LEFT(A1897,3)="Câu",MID(A1897,FIND(".",A1897,1)+2,LEN(A1897)),""),CHAR(34),CHAR(92)&amp;CHAR(34))</f>
        <v/>
      </c>
      <c r="F1897" t="str">
        <f t="shared" si="109"/>
        <v/>
      </c>
      <c r="G1897" t="str">
        <f>SUBSTITUTE(B1898,CHAR(34),CHAR(92)&amp;CHAR(34))</f>
        <v>Biển 2 và biển 3.</v>
      </c>
      <c r="H1897" t="str">
        <f>SUBSTITUTE(B1899,CHAR(34),CHAR(92)&amp;CHAR(34))</f>
        <v/>
      </c>
      <c r="I1897" t="str">
        <f>SUBSTITUTE(IF(LEFT(A1900,3)="Câu","",B1900),CHAR(34),CHAR(92)&amp;CHAR(34))</f>
        <v xml:space="preserve"> Chỉ dẫn khoảng cách đến làn đường cứu nạn (làn thoát xe khẩn cấp).</v>
      </c>
      <c r="J1897" t="str">
        <f>SUBSTITUTE(IF(OR(LEFT(A1901,3)="Câu",I1897=""),"",IF(B1901=0,"",B1901)),CHAR(34),CHAR(92)&amp;CHAR(34))</f>
        <v>Báo hiệu đường cụt phía trước.</v>
      </c>
      <c r="K1897" t="str">
        <f>SUBSTITUTE(SUBSTITUTE(SUBSTITUTE(SUBSTITUTE(IFERROR(VLOOKUP("Câu "&amp;D1897&amp;".",dapan!$E:$J,6,0),""),"1","A"),"2","B"),"3","C"),"4","D")</f>
        <v/>
      </c>
      <c r="P1897" t="str">
        <f t="shared" si="107"/>
        <v/>
      </c>
      <c r="Q1897" t="str">
        <f t="shared" si="108"/>
        <v/>
      </c>
    </row>
    <row r="1898" spans="1:17" hidden="1" x14ac:dyDescent="0.25">
      <c r="A1898">
        <v>3</v>
      </c>
      <c r="B1898" t="s">
        <v>1072</v>
      </c>
      <c r="C1898">
        <f>IFERROR(COUNTIFS($A$1:A1898,"Câu "&amp;"*")-MID(A1898,5,FIND(".",A1898,1)-5),0)</f>
        <v>0</v>
      </c>
      <c r="D1898" t="str">
        <f t="shared" si="110"/>
        <v/>
      </c>
      <c r="E1898" t="str">
        <f>SUBSTITUTE(IF(LEFT(A1898,3)="Câu",MID(A1898,FIND(".",A1898,1)+2,LEN(A1898)),""),CHAR(34),CHAR(92)&amp;CHAR(34))</f>
        <v/>
      </c>
      <c r="F1898" t="str">
        <f t="shared" si="109"/>
        <v/>
      </c>
      <c r="G1898" t="str">
        <f>SUBSTITUTE(B1899,CHAR(34),CHAR(92)&amp;CHAR(34))</f>
        <v/>
      </c>
      <c r="H1898" t="str">
        <f>SUBSTITUTE(B1900,CHAR(34),CHAR(92)&amp;CHAR(34))</f>
        <v xml:space="preserve"> Chỉ dẫn khoảng cách đến làn đường cứu nạn (làn thoát xe khẩn cấp).</v>
      </c>
      <c r="I1898" t="str">
        <f>SUBSTITUTE(IF(LEFT(A1901,3)="Câu","",B1901),CHAR(34),CHAR(92)&amp;CHAR(34))</f>
        <v>Báo hiệu đường cụt phía trước.</v>
      </c>
      <c r="J1898" t="str">
        <f>SUBSTITUTE(IF(OR(LEFT(A1902,3)="Câu",I1898=""),"",IF(B1902=0,"",B1902)),CHAR(34),CHAR(92)&amp;CHAR(34))</f>
        <v>Báo hiệu nút giao gần nhất phía trước.</v>
      </c>
      <c r="K1898" t="str">
        <f>SUBSTITUTE(SUBSTITUTE(SUBSTITUTE(SUBSTITUTE(IFERROR(VLOOKUP("Câu "&amp;D1898&amp;".",dapan!$E:$J,6,0),""),"1","A"),"2","B"),"3","C"),"4","D")</f>
        <v/>
      </c>
      <c r="P1898" t="str">
        <f t="shared" si="107"/>
        <v/>
      </c>
      <c r="Q1898" t="str">
        <f t="shared" si="108"/>
        <v/>
      </c>
    </row>
    <row r="1899" spans="1:17" x14ac:dyDescent="0.25">
      <c r="A1899" t="s">
        <v>1325</v>
      </c>
      <c r="C1899">
        <f>IFERROR(COUNTIFS($A$1:A1899,"Câu "&amp;"*")-MID(A1899,5,FIND(".",A1899,1)-5),0)</f>
        <v>0</v>
      </c>
      <c r="D1899">
        <f t="shared" si="110"/>
        <v>460</v>
      </c>
      <c r="E1899" t="str">
        <f>SUBSTITUTE(IF(LEFT(A1899,3)="Câu",MID(A1899,FIND(".",A1899,1)+2,LEN(A1899)),""),CHAR(34),CHAR(92)&amp;CHAR(34))</f>
        <v>Biển báo dưới đây có ý nghĩa như thế nào?</v>
      </c>
      <c r="F1899" t="str">
        <f t="shared" si="109"/>
        <v>q460.jpg</v>
      </c>
      <c r="G1899" t="str">
        <f>SUBSTITUTE(B1900,CHAR(34),CHAR(92)&amp;CHAR(34))</f>
        <v xml:space="preserve"> Chỉ dẫn khoảng cách đến làn đường cứu nạn (làn thoát xe khẩn cấp).</v>
      </c>
      <c r="H1899" t="str">
        <f>SUBSTITUTE(B1901,CHAR(34),CHAR(92)&amp;CHAR(34))</f>
        <v>Báo hiệu đường cụt phía trước.</v>
      </c>
      <c r="I1899" t="str">
        <f>SUBSTITUTE(IF(LEFT(A1902,3)="Câu","",B1902),CHAR(34),CHAR(92)&amp;CHAR(34))</f>
        <v>Báo hiệu nút giao gần nhất phía trước.</v>
      </c>
      <c r="J1899" t="str">
        <f>SUBSTITUTE(IF(OR(LEFT(A1903,3)="Câu",I1899=""),"",IF(B1903=0,"",B1903)),CHAR(34),CHAR(92)&amp;CHAR(34))</f>
        <v>Báo hiệu trạm dừng nghỉ phía trước.</v>
      </c>
      <c r="K1899" t="str">
        <f ca="1">SUBSTITUTE(SUBSTITUTE(SUBSTITUTE(SUBSTITUTE(IFERROR(VLOOKUP("Câu "&amp;D1899&amp;".",dapan!$E:$J,6,0),""),"1","A"),"2","B"),"3","C"),"4","D")</f>
        <v>A</v>
      </c>
      <c r="P1899">
        <f t="shared" si="107"/>
        <v>460</v>
      </c>
      <c r="Q1899" t="str">
        <f t="shared" ca="1" si="108"/>
        <v>{"num":460,"id":460,"q":"Biển báo dưới đây có ý nghĩa như thế nào?","img":"q460.jpg","opts":{"A":" Chỉ dẫn khoảng cách đến làn đường cứu nạn (làn thoát xe khẩn cấp).","B":"Báo hiệu đường cụt phía trước.","C":"Báo hiệu nút giao gần nhất phía trước.","D":"Báo hiệu trạm dừng nghỉ phía trước."},"answer":"A"},</v>
      </c>
    </row>
    <row r="1900" spans="1:17" hidden="1" x14ac:dyDescent="0.25">
      <c r="A1900">
        <v>1</v>
      </c>
      <c r="B1900" t="s">
        <v>1326</v>
      </c>
      <c r="C1900">
        <f>IFERROR(COUNTIFS($A$1:A1900,"Câu "&amp;"*")-MID(A1900,5,FIND(".",A1900,1)-5),0)</f>
        <v>0</v>
      </c>
      <c r="D1900" t="str">
        <f t="shared" si="110"/>
        <v/>
      </c>
      <c r="E1900" t="str">
        <f>SUBSTITUTE(IF(LEFT(A1900,3)="Câu",MID(A1900,FIND(".",A1900,1)+2,LEN(A1900)),""),CHAR(34),CHAR(92)&amp;CHAR(34))</f>
        <v/>
      </c>
      <c r="F1900" t="str">
        <f t="shared" si="109"/>
        <v/>
      </c>
      <c r="G1900" t="str">
        <f>SUBSTITUTE(B1901,CHAR(34),CHAR(92)&amp;CHAR(34))</f>
        <v>Báo hiệu đường cụt phía trước.</v>
      </c>
      <c r="H1900" t="str">
        <f>SUBSTITUTE(B1902,CHAR(34),CHAR(92)&amp;CHAR(34))</f>
        <v>Báo hiệu nút giao gần nhất phía trước.</v>
      </c>
      <c r="I1900" t="str">
        <f>SUBSTITUTE(IF(LEFT(A1903,3)="Câu","",B1903),CHAR(34),CHAR(92)&amp;CHAR(34))</f>
        <v>Báo hiệu trạm dừng nghỉ phía trước.</v>
      </c>
      <c r="J1900" t="str">
        <f>SUBSTITUTE(IF(OR(LEFT(A1904,3)="Câu",I1900=""),"",IF(B1904=0,"",B1904)),CHAR(34),CHAR(92)&amp;CHAR(34))</f>
        <v/>
      </c>
      <c r="K1900" t="str">
        <f>SUBSTITUTE(SUBSTITUTE(SUBSTITUTE(SUBSTITUTE(IFERROR(VLOOKUP("Câu "&amp;D1900&amp;".",dapan!$E:$J,6,0),""),"1","A"),"2","B"),"3","C"),"4","D")</f>
        <v/>
      </c>
      <c r="P1900" t="str">
        <f t="shared" si="107"/>
        <v/>
      </c>
      <c r="Q1900" t="str">
        <f t="shared" si="108"/>
        <v/>
      </c>
    </row>
    <row r="1901" spans="1:17" hidden="1" x14ac:dyDescent="0.25">
      <c r="A1901">
        <v>2</v>
      </c>
      <c r="B1901" t="s">
        <v>1327</v>
      </c>
      <c r="C1901">
        <f>IFERROR(COUNTIFS($A$1:A1901,"Câu "&amp;"*")-MID(A1901,5,FIND(".",A1901,1)-5),0)</f>
        <v>0</v>
      </c>
      <c r="D1901" t="str">
        <f t="shared" si="110"/>
        <v/>
      </c>
      <c r="E1901" t="str">
        <f>SUBSTITUTE(IF(LEFT(A1901,3)="Câu",MID(A1901,FIND(".",A1901,1)+2,LEN(A1901)),""),CHAR(34),CHAR(92)&amp;CHAR(34))</f>
        <v/>
      </c>
      <c r="F1901" t="str">
        <f t="shared" si="109"/>
        <v/>
      </c>
      <c r="G1901" t="str">
        <f>SUBSTITUTE(B1902,CHAR(34),CHAR(92)&amp;CHAR(34))</f>
        <v>Báo hiệu nút giao gần nhất phía trước.</v>
      </c>
      <c r="H1901" t="str">
        <f>SUBSTITUTE(B1903,CHAR(34),CHAR(92)&amp;CHAR(34))</f>
        <v>Báo hiệu trạm dừng nghỉ phía trước.</v>
      </c>
      <c r="I1901" t="str">
        <f>SUBSTITUTE(IF(LEFT(A1904,3)="Câu","",B1904),CHAR(34),CHAR(92)&amp;CHAR(34))</f>
        <v/>
      </c>
      <c r="J1901" t="str">
        <f>SUBSTITUTE(IF(OR(LEFT(A1905,3)="Câu",I1901=""),"",IF(B1905=0,"",B1905)),CHAR(34),CHAR(92)&amp;CHAR(34))</f>
        <v/>
      </c>
      <c r="K1901" t="str">
        <f>SUBSTITUTE(SUBSTITUTE(SUBSTITUTE(SUBSTITUTE(IFERROR(VLOOKUP("Câu "&amp;D1901&amp;".",dapan!$E:$J,6,0),""),"1","A"),"2","B"),"3","C"),"4","D")</f>
        <v/>
      </c>
      <c r="P1901" t="str">
        <f t="shared" si="107"/>
        <v/>
      </c>
      <c r="Q1901" t="str">
        <f t="shared" si="108"/>
        <v/>
      </c>
    </row>
    <row r="1902" spans="1:17" hidden="1" x14ac:dyDescent="0.25">
      <c r="A1902">
        <v>3</v>
      </c>
      <c r="B1902" t="s">
        <v>1328</v>
      </c>
      <c r="C1902">
        <f>IFERROR(COUNTIFS($A$1:A1902,"Câu "&amp;"*")-MID(A1902,5,FIND(".",A1902,1)-5),0)</f>
        <v>0</v>
      </c>
      <c r="D1902" t="str">
        <f t="shared" si="110"/>
        <v/>
      </c>
      <c r="E1902" t="str">
        <f>SUBSTITUTE(IF(LEFT(A1902,3)="Câu",MID(A1902,FIND(".",A1902,1)+2,LEN(A1902)),""),CHAR(34),CHAR(92)&amp;CHAR(34))</f>
        <v/>
      </c>
      <c r="F1902" t="str">
        <f t="shared" si="109"/>
        <v/>
      </c>
      <c r="G1902" t="str">
        <f>SUBSTITUTE(B1903,CHAR(34),CHAR(92)&amp;CHAR(34))</f>
        <v>Báo hiệu trạm dừng nghỉ phía trước.</v>
      </c>
      <c r="H1902" t="str">
        <f>SUBSTITUTE(B1904,CHAR(34),CHAR(92)&amp;CHAR(34))</f>
        <v/>
      </c>
      <c r="I1902" t="str">
        <f>SUBSTITUTE(IF(LEFT(A1905,3)="Câu","",B1905),CHAR(34),CHAR(92)&amp;CHAR(34))</f>
        <v xml:space="preserve"> Được phép chuyển sang làn khác.</v>
      </c>
      <c r="J1902" t="str">
        <f>SUBSTITUTE(IF(OR(LEFT(A1906,3)="Câu",I1902=""),"",IF(B1906=0,"",B1906)),CHAR(34),CHAR(92)&amp;CHAR(34))</f>
        <v>Không được phép chuyển sang làn khác, chỉ được đi trong làn quy định theo biển.</v>
      </c>
      <c r="K1902" t="str">
        <f>SUBSTITUTE(SUBSTITUTE(SUBSTITUTE(SUBSTITUTE(IFERROR(VLOOKUP("Câu "&amp;D1902&amp;".",dapan!$E:$J,6,0),""),"1","A"),"2","B"),"3","C"),"4","D")</f>
        <v/>
      </c>
      <c r="P1902" t="str">
        <f t="shared" si="107"/>
        <v/>
      </c>
      <c r="Q1902" t="str">
        <f t="shared" si="108"/>
        <v/>
      </c>
    </row>
    <row r="1903" spans="1:17" hidden="1" x14ac:dyDescent="0.25">
      <c r="A1903">
        <v>4</v>
      </c>
      <c r="B1903" t="s">
        <v>1329</v>
      </c>
      <c r="C1903">
        <f>IFERROR(COUNTIFS($A$1:A1903,"Câu "&amp;"*")-MID(A1903,5,FIND(".",A1903,1)-5),0)</f>
        <v>0</v>
      </c>
      <c r="D1903" t="str">
        <f t="shared" si="110"/>
        <v/>
      </c>
      <c r="E1903" t="str">
        <f>SUBSTITUTE(IF(LEFT(A1903,3)="Câu",MID(A1903,FIND(".",A1903,1)+2,LEN(A1903)),""),CHAR(34),CHAR(92)&amp;CHAR(34))</f>
        <v/>
      </c>
      <c r="F1903" t="str">
        <f t="shared" si="109"/>
        <v/>
      </c>
      <c r="G1903" t="str">
        <f>SUBSTITUTE(B1904,CHAR(34),CHAR(92)&amp;CHAR(34))</f>
        <v/>
      </c>
      <c r="H1903" t="str">
        <f>SUBSTITUTE(B1905,CHAR(34),CHAR(92)&amp;CHAR(34))</f>
        <v xml:space="preserve"> Được phép chuyển sang làn khác.</v>
      </c>
      <c r="I1903" t="str">
        <f>SUBSTITUTE(IF(LEFT(A1906,3)="Câu","",B1906),CHAR(34),CHAR(92)&amp;CHAR(34))</f>
        <v>Không được phép chuyển sang làn khác, chỉ được đi trong làn quy định theo biển.</v>
      </c>
      <c r="J1903" t="str">
        <f>SUBSTITUTE(IF(OR(LEFT(A1907,3)="Câu",I1903=""),"",IF(B1907=0,"",B1907)),CHAR(34),CHAR(92)&amp;CHAR(34))</f>
        <v/>
      </c>
      <c r="K1903" t="str">
        <f>SUBSTITUTE(SUBSTITUTE(SUBSTITUTE(SUBSTITUTE(IFERROR(VLOOKUP("Câu "&amp;D1903&amp;".",dapan!$E:$J,6,0),""),"1","A"),"2","B"),"3","C"),"4","D")</f>
        <v/>
      </c>
      <c r="P1903" t="str">
        <f t="shared" si="107"/>
        <v/>
      </c>
      <c r="Q1903" t="str">
        <f t="shared" si="108"/>
        <v/>
      </c>
    </row>
    <row r="1904" spans="1:17" x14ac:dyDescent="0.25">
      <c r="A1904" t="s">
        <v>1330</v>
      </c>
      <c r="C1904">
        <f>IFERROR(COUNTIFS($A$1:A1904,"Câu "&amp;"*")-MID(A1904,5,FIND(".",A1904,1)-5),0)</f>
        <v>0</v>
      </c>
      <c r="D1904">
        <f t="shared" si="110"/>
        <v>461</v>
      </c>
      <c r="E1904" t="str">
        <f>SUBSTITUTE(IF(LEFT(A1904,3)="Câu",MID(A1904,FIND(".",A1904,1)+2,LEN(A1904)),""),CHAR(34),CHAR(92)&amp;CHAR(34))</f>
        <v>Tại đoạn đường có biển \"Làn đường dành riêng cho từng loại xe\" dưới đây, các phương tiện có được phép chuyển sang làn khác để đi theo hành trình mong muốn khi đến gần nơi đường bộ giao nhau hay không?</v>
      </c>
      <c r="F1904" t="str">
        <f t="shared" si="109"/>
        <v>q461.jpg</v>
      </c>
      <c r="G1904" t="str">
        <f>SUBSTITUTE(B1905,CHAR(34),CHAR(92)&amp;CHAR(34))</f>
        <v xml:space="preserve"> Được phép chuyển sang làn khác.</v>
      </c>
      <c r="H1904" t="str">
        <f>SUBSTITUTE(B1906,CHAR(34),CHAR(92)&amp;CHAR(34))</f>
        <v>Không được phép chuyển sang làn khác, chỉ được đi trong làn quy định theo biển.</v>
      </c>
      <c r="I1904" t="str">
        <f>SUBSTITUTE(IF(LEFT(A1907,3)="Câu","",B1907),CHAR(34),CHAR(92)&amp;CHAR(34))</f>
        <v/>
      </c>
      <c r="J1904" t="str">
        <f>SUBSTITUTE(IF(OR(LEFT(A1908,3)="Câu",I1904=""),"",IF(B1908=0,"",B1908)),CHAR(34),CHAR(92)&amp;CHAR(34))</f>
        <v/>
      </c>
      <c r="K1904" t="str">
        <f ca="1">SUBSTITUTE(SUBSTITUTE(SUBSTITUTE(SUBSTITUTE(IFERROR(VLOOKUP("Câu "&amp;D1904&amp;".",dapan!$E:$J,6,0),""),"1","A"),"2","B"),"3","C"),"4","D")</f>
        <v>A</v>
      </c>
      <c r="P1904">
        <f t="shared" si="107"/>
        <v>461</v>
      </c>
      <c r="Q1904" t="str">
        <f t="shared" ca="1" si="108"/>
        <v>{"num":461,"id":461,"q":"Tại đoạn đường có biển \"Làn đường dành riêng cho từng loại xe\" dưới đây, các phương tiện có được phép chuyển sang làn khác để đi theo hành trình mong muốn khi đến gần nơi đường bộ giao nhau hay không?","img":"q461.jpg","opts":{"A":" Được phép chuyển sang làn khác.","B":"Không được phép chuyển sang làn khác, chỉ được đi trong làn quy định theo biển."},"answer":"A"},</v>
      </c>
    </row>
    <row r="1905" spans="1:17" hidden="1" x14ac:dyDescent="0.25">
      <c r="A1905">
        <v>1</v>
      </c>
      <c r="B1905" t="s">
        <v>1331</v>
      </c>
      <c r="C1905">
        <f>IFERROR(COUNTIFS($A$1:A1905,"Câu "&amp;"*")-MID(A1905,5,FIND(".",A1905,1)-5),0)</f>
        <v>0</v>
      </c>
      <c r="D1905" t="str">
        <f t="shared" si="110"/>
        <v/>
      </c>
      <c r="E1905" t="str">
        <f>SUBSTITUTE(IF(LEFT(A1905,3)="Câu",MID(A1905,FIND(".",A1905,1)+2,LEN(A1905)),""),CHAR(34),CHAR(92)&amp;CHAR(34))</f>
        <v/>
      </c>
      <c r="F1905" t="str">
        <f t="shared" si="109"/>
        <v/>
      </c>
      <c r="G1905" t="str">
        <f>SUBSTITUTE(B1906,CHAR(34),CHAR(92)&amp;CHAR(34))</f>
        <v>Không được phép chuyển sang làn khác, chỉ được đi trong làn quy định theo biển.</v>
      </c>
      <c r="H1905" t="str">
        <f>SUBSTITUTE(B1907,CHAR(34),CHAR(92)&amp;CHAR(34))</f>
        <v/>
      </c>
      <c r="I1905" t="str">
        <f>SUBSTITUTE(IF(LEFT(A1908,3)="Câu","",B1908),CHAR(34),CHAR(92)&amp;CHAR(34))</f>
        <v xml:space="preserve"> Có.</v>
      </c>
      <c r="J1905" t="str">
        <f>SUBSTITUTE(IF(OR(LEFT(A1909,3)="Câu",I1905=""),"",IF(B1909=0,"",B1909)),CHAR(34),CHAR(92)&amp;CHAR(34))</f>
        <v>Không.</v>
      </c>
      <c r="K1905" t="str">
        <f>SUBSTITUTE(SUBSTITUTE(SUBSTITUTE(SUBSTITUTE(IFERROR(VLOOKUP("Câu "&amp;D1905&amp;".",dapan!$E:$J,6,0),""),"1","A"),"2","B"),"3","C"),"4","D")</f>
        <v/>
      </c>
      <c r="P1905" t="str">
        <f t="shared" si="107"/>
        <v/>
      </c>
      <c r="Q1905" t="str">
        <f t="shared" si="108"/>
        <v/>
      </c>
    </row>
    <row r="1906" spans="1:17" hidden="1" x14ac:dyDescent="0.25">
      <c r="A1906">
        <v>2</v>
      </c>
      <c r="B1906" t="s">
        <v>1332</v>
      </c>
      <c r="C1906">
        <f>IFERROR(COUNTIFS($A$1:A1906,"Câu "&amp;"*")-MID(A1906,5,FIND(".",A1906,1)-5),0)</f>
        <v>0</v>
      </c>
      <c r="D1906" t="str">
        <f t="shared" si="110"/>
        <v/>
      </c>
      <c r="E1906" t="str">
        <f>SUBSTITUTE(IF(LEFT(A1906,3)="Câu",MID(A1906,FIND(".",A1906,1)+2,LEN(A1906)),""),CHAR(34),CHAR(92)&amp;CHAR(34))</f>
        <v/>
      </c>
      <c r="F1906" t="str">
        <f t="shared" si="109"/>
        <v/>
      </c>
      <c r="G1906" t="str">
        <f>SUBSTITUTE(B1907,CHAR(34),CHAR(92)&amp;CHAR(34))</f>
        <v/>
      </c>
      <c r="H1906" t="str">
        <f>SUBSTITUTE(B1908,CHAR(34),CHAR(92)&amp;CHAR(34))</f>
        <v xml:space="preserve"> Có.</v>
      </c>
      <c r="I1906" t="str">
        <f>SUBSTITUTE(IF(LEFT(A1909,3)="Câu","",B1909),CHAR(34),CHAR(92)&amp;CHAR(34))</f>
        <v>Không.</v>
      </c>
      <c r="J1906" t="str">
        <f>SUBSTITUTE(IF(OR(LEFT(A1910,3)="Câu",I1906=""),"",IF(B1910=0,"",B1910)),CHAR(34),CHAR(92)&amp;CHAR(34))</f>
        <v/>
      </c>
      <c r="K1906" t="str">
        <f>SUBSTITUTE(SUBSTITUTE(SUBSTITUTE(SUBSTITUTE(IFERROR(VLOOKUP("Câu "&amp;D1906&amp;".",dapan!$E:$J,6,0),""),"1","A"),"2","B"),"3","C"),"4","D")</f>
        <v/>
      </c>
      <c r="P1906" t="str">
        <f t="shared" si="107"/>
        <v/>
      </c>
      <c r="Q1906" t="str">
        <f t="shared" si="108"/>
        <v/>
      </c>
    </row>
    <row r="1907" spans="1:17" x14ac:dyDescent="0.25">
      <c r="A1907" t="s">
        <v>1333</v>
      </c>
      <c r="C1907">
        <f>IFERROR(COUNTIFS($A$1:A1907,"Câu "&amp;"*")-MID(A1907,5,FIND(".",A1907,1)-5),0)</f>
        <v>0</v>
      </c>
      <c r="D1907">
        <f t="shared" si="110"/>
        <v>462</v>
      </c>
      <c r="E1907" t="str">
        <f>SUBSTITUTE(IF(LEFT(A1907,3)="Câu",MID(A1907,FIND(".",A1907,1)+2,LEN(A1907)),""),CHAR(34),CHAR(92)&amp;CHAR(34))</f>
        <v>Tại đoạn đường có cắm biển dưới đây, xe tải và xe khách có được phép đi vào không?</v>
      </c>
      <c r="F1907" t="str">
        <f t="shared" si="109"/>
        <v>q462.jpg</v>
      </c>
      <c r="G1907" t="str">
        <f>SUBSTITUTE(B1908,CHAR(34),CHAR(92)&amp;CHAR(34))</f>
        <v xml:space="preserve"> Có.</v>
      </c>
      <c r="H1907" t="str">
        <f>SUBSTITUTE(B1909,CHAR(34),CHAR(92)&amp;CHAR(34))</f>
        <v>Không.</v>
      </c>
      <c r="I1907" t="str">
        <f>SUBSTITUTE(IF(LEFT(A1910,3)="Câu","",B1910),CHAR(34),CHAR(92)&amp;CHAR(34))</f>
        <v/>
      </c>
      <c r="J1907" t="str">
        <f>SUBSTITUTE(IF(OR(LEFT(A1911,3)="Câu",I1907=""),"",IF(B1911=0,"",B1911)),CHAR(34),CHAR(92)&amp;CHAR(34))</f>
        <v/>
      </c>
      <c r="K1907" t="str">
        <f ca="1">SUBSTITUTE(SUBSTITUTE(SUBSTITUTE(SUBSTITUTE(IFERROR(VLOOKUP("Câu "&amp;D1907&amp;".",dapan!$E:$J,6,0),""),"1","A"),"2","B"),"3","C"),"4","D")</f>
        <v>A</v>
      </c>
      <c r="P1907">
        <f t="shared" si="107"/>
        <v>462</v>
      </c>
      <c r="Q1907" t="str">
        <f t="shared" ca="1" si="108"/>
        <v>{"num":462,"id":462,"q":"Tại đoạn đường có cắm biển dưới đây, xe tải và xe khách có được phép đi vào không?","img":"q462.jpg","opts":{"A":" Có.","B":"Không."},"answer":"A"},</v>
      </c>
    </row>
    <row r="1908" spans="1:17" hidden="1" x14ac:dyDescent="0.25">
      <c r="A1908">
        <v>1</v>
      </c>
      <c r="B1908" t="s">
        <v>1141</v>
      </c>
      <c r="C1908">
        <f>IFERROR(COUNTIFS($A$1:A1908,"Câu "&amp;"*")-MID(A1908,5,FIND(".",A1908,1)-5),0)</f>
        <v>0</v>
      </c>
      <c r="D1908" t="str">
        <f t="shared" si="110"/>
        <v/>
      </c>
      <c r="E1908" t="str">
        <f>SUBSTITUTE(IF(LEFT(A1908,3)="Câu",MID(A1908,FIND(".",A1908,1)+2,LEN(A1908)),""),CHAR(34),CHAR(92)&amp;CHAR(34))</f>
        <v/>
      </c>
      <c r="F1908" t="str">
        <f t="shared" si="109"/>
        <v/>
      </c>
      <c r="G1908" t="str">
        <f>SUBSTITUTE(B1909,CHAR(34),CHAR(92)&amp;CHAR(34))</f>
        <v>Không.</v>
      </c>
      <c r="H1908" t="str">
        <f>SUBSTITUTE(B1910,CHAR(34),CHAR(92)&amp;CHAR(34))</f>
        <v/>
      </c>
      <c r="I1908" t="str">
        <f>SUBSTITUTE(IF(LEFT(A1911,3)="Câu","",B1911),CHAR(34),CHAR(92)&amp;CHAR(34))</f>
        <v>Có.</v>
      </c>
      <c r="J1908" t="str">
        <f>SUBSTITUTE(IF(OR(LEFT(A1912,3)="Câu",I1908=""),"",IF(B1912=0,"",B1912)),CHAR(34),CHAR(92)&amp;CHAR(34))</f>
        <v xml:space="preserve"> Không.</v>
      </c>
      <c r="K1908" t="str">
        <f>SUBSTITUTE(SUBSTITUTE(SUBSTITUTE(SUBSTITUTE(IFERROR(VLOOKUP("Câu "&amp;D1908&amp;".",dapan!$E:$J,6,0),""),"1","A"),"2","B"),"3","C"),"4","D")</f>
        <v/>
      </c>
      <c r="P1908" t="str">
        <f t="shared" si="107"/>
        <v/>
      </c>
      <c r="Q1908" t="str">
        <f t="shared" si="108"/>
        <v/>
      </c>
    </row>
    <row r="1909" spans="1:17" hidden="1" x14ac:dyDescent="0.25">
      <c r="A1909">
        <v>2</v>
      </c>
      <c r="B1909" t="s">
        <v>1142</v>
      </c>
      <c r="C1909">
        <f>IFERROR(COUNTIFS($A$1:A1909,"Câu "&amp;"*")-MID(A1909,5,FIND(".",A1909,1)-5),0)</f>
        <v>0</v>
      </c>
      <c r="D1909" t="str">
        <f t="shared" si="110"/>
        <v/>
      </c>
      <c r="E1909" t="str">
        <f>SUBSTITUTE(IF(LEFT(A1909,3)="Câu",MID(A1909,FIND(".",A1909,1)+2,LEN(A1909)),""),CHAR(34),CHAR(92)&amp;CHAR(34))</f>
        <v/>
      </c>
      <c r="F1909" t="str">
        <f t="shared" si="109"/>
        <v/>
      </c>
      <c r="G1909" t="str">
        <f>SUBSTITUTE(B1910,CHAR(34),CHAR(92)&amp;CHAR(34))</f>
        <v/>
      </c>
      <c r="H1909" t="str">
        <f>SUBSTITUTE(B1911,CHAR(34),CHAR(92)&amp;CHAR(34))</f>
        <v>Có.</v>
      </c>
      <c r="I1909" t="str">
        <f>SUBSTITUTE(IF(LEFT(A1912,3)="Câu","",B1912),CHAR(34),CHAR(92)&amp;CHAR(34))</f>
        <v xml:space="preserve"> Không.</v>
      </c>
      <c r="J1909" t="str">
        <f>SUBSTITUTE(IF(OR(LEFT(A1913,3)="Câu",I1909=""),"",IF(B1913=0,"",B1913)),CHAR(34),CHAR(92)&amp;CHAR(34))</f>
        <v/>
      </c>
      <c r="K1909" t="str">
        <f>SUBSTITUTE(SUBSTITUTE(SUBSTITUTE(SUBSTITUTE(IFERROR(VLOOKUP("Câu "&amp;D1909&amp;".",dapan!$E:$J,6,0),""),"1","A"),"2","B"),"3","C"),"4","D")</f>
        <v/>
      </c>
      <c r="P1909" t="str">
        <f t="shared" si="107"/>
        <v/>
      </c>
      <c r="Q1909" t="str">
        <f t="shared" si="108"/>
        <v/>
      </c>
    </row>
    <row r="1910" spans="1:17" x14ac:dyDescent="0.25">
      <c r="A1910" t="s">
        <v>1334</v>
      </c>
      <c r="C1910">
        <f>IFERROR(COUNTIFS($A$1:A1910,"Câu "&amp;"*")-MID(A1910,5,FIND(".",A1910,1)-5),0)</f>
        <v>0</v>
      </c>
      <c r="D1910">
        <f t="shared" si="110"/>
        <v>463</v>
      </c>
      <c r="E1910" t="str">
        <f>SUBSTITUTE(IF(LEFT(A1910,3)="Câu",MID(A1910,FIND(".",A1910,1)+2,LEN(A1910)),""),CHAR(34),CHAR(92)&amp;CHAR(34))</f>
        <v>Tại đoạn đường có cắm biển dưới đây, xe tải và xe khách có được phép đi vào không?</v>
      </c>
      <c r="F1910" t="str">
        <f t="shared" si="109"/>
        <v>q463.jpg</v>
      </c>
      <c r="G1910" t="str">
        <f>SUBSTITUTE(B1911,CHAR(34),CHAR(92)&amp;CHAR(34))</f>
        <v>Có.</v>
      </c>
      <c r="H1910" t="str">
        <f>SUBSTITUTE(B1912,CHAR(34),CHAR(92)&amp;CHAR(34))</f>
        <v xml:space="preserve"> Không.</v>
      </c>
      <c r="I1910" t="str">
        <f>SUBSTITUTE(IF(LEFT(A1913,3)="Câu","",B1913),CHAR(34),CHAR(92)&amp;CHAR(34))</f>
        <v/>
      </c>
      <c r="J1910" t="str">
        <f>SUBSTITUTE(IF(OR(LEFT(A1914,3)="Câu",I1910=""),"",IF(B1914=0,"",B1914)),CHAR(34),CHAR(92)&amp;CHAR(34))</f>
        <v/>
      </c>
      <c r="K1910" t="str">
        <f ca="1">SUBSTITUTE(SUBSTITUTE(SUBSTITUTE(SUBSTITUTE(IFERROR(VLOOKUP("Câu "&amp;D1910&amp;".",dapan!$E:$J,6,0),""),"1","A"),"2","B"),"3","C"),"4","D")</f>
        <v>B</v>
      </c>
      <c r="P1910">
        <f t="shared" si="107"/>
        <v>463</v>
      </c>
      <c r="Q1910" t="str">
        <f t="shared" ca="1" si="108"/>
        <v>{"num":463,"id":463,"q":"Tại đoạn đường có cắm biển dưới đây, xe tải và xe khách có được phép đi vào không?","img":"q463.jpg","opts":{"A":"Có.","B":" Không."},"answer":"B"},</v>
      </c>
    </row>
    <row r="1911" spans="1:17" hidden="1" x14ac:dyDescent="0.25">
      <c r="A1911">
        <v>1</v>
      </c>
      <c r="B1911" t="s">
        <v>429</v>
      </c>
      <c r="C1911">
        <f>IFERROR(COUNTIFS($A$1:A1911,"Câu "&amp;"*")-MID(A1911,5,FIND(".",A1911,1)-5),0)</f>
        <v>0</v>
      </c>
      <c r="D1911" t="str">
        <f t="shared" si="110"/>
        <v/>
      </c>
      <c r="E1911" t="str">
        <f>SUBSTITUTE(IF(LEFT(A1911,3)="Câu",MID(A1911,FIND(".",A1911,1)+2,LEN(A1911)),""),CHAR(34),CHAR(92)&amp;CHAR(34))</f>
        <v/>
      </c>
      <c r="F1911" t="str">
        <f t="shared" si="109"/>
        <v/>
      </c>
      <c r="G1911" t="str">
        <f>SUBSTITUTE(B1912,CHAR(34),CHAR(92)&amp;CHAR(34))</f>
        <v xml:space="preserve"> Không.</v>
      </c>
      <c r="H1911" t="str">
        <f>SUBSTITUTE(B1913,CHAR(34),CHAR(92)&amp;CHAR(34))</f>
        <v/>
      </c>
      <c r="I1911" t="str">
        <f>SUBSTITUTE(IF(LEFT(A1914,3)="Câu","",B1914),CHAR(34),CHAR(92)&amp;CHAR(34))</f>
        <v>Biển 1.</v>
      </c>
      <c r="J1911" t="str">
        <f>SUBSTITUTE(IF(OR(LEFT(A1915,3)="Câu",I1911=""),"",IF(B1915=0,"",B1915)),CHAR(34),CHAR(92)&amp;CHAR(34))</f>
        <v xml:space="preserve"> Biển 2.</v>
      </c>
      <c r="K1911" t="str">
        <f>SUBSTITUTE(SUBSTITUTE(SUBSTITUTE(SUBSTITUTE(IFERROR(VLOOKUP("Câu "&amp;D1911&amp;".",dapan!$E:$J,6,0),""),"1","A"),"2","B"),"3","C"),"4","D")</f>
        <v/>
      </c>
      <c r="P1911" t="str">
        <f t="shared" si="107"/>
        <v/>
      </c>
      <c r="Q1911" t="str">
        <f t="shared" si="108"/>
        <v/>
      </c>
    </row>
    <row r="1912" spans="1:17" hidden="1" x14ac:dyDescent="0.25">
      <c r="A1912">
        <v>2</v>
      </c>
      <c r="B1912" t="s">
        <v>430</v>
      </c>
      <c r="C1912">
        <f>IFERROR(COUNTIFS($A$1:A1912,"Câu "&amp;"*")-MID(A1912,5,FIND(".",A1912,1)-5),0)</f>
        <v>0</v>
      </c>
      <c r="D1912" t="str">
        <f t="shared" si="110"/>
        <v/>
      </c>
      <c r="E1912" t="str">
        <f>SUBSTITUTE(IF(LEFT(A1912,3)="Câu",MID(A1912,FIND(".",A1912,1)+2,LEN(A1912)),""),CHAR(34),CHAR(92)&amp;CHAR(34))</f>
        <v/>
      </c>
      <c r="F1912" t="str">
        <f t="shared" si="109"/>
        <v/>
      </c>
      <c r="G1912" t="str">
        <f>SUBSTITUTE(B1913,CHAR(34),CHAR(92)&amp;CHAR(34))</f>
        <v/>
      </c>
      <c r="H1912" t="str">
        <f>SUBSTITUTE(B1914,CHAR(34),CHAR(92)&amp;CHAR(34))</f>
        <v>Biển 1.</v>
      </c>
      <c r="I1912" t="str">
        <f>SUBSTITUTE(IF(LEFT(A1915,3)="Câu","",B1915),CHAR(34),CHAR(92)&amp;CHAR(34))</f>
        <v xml:space="preserve"> Biển 2.</v>
      </c>
      <c r="J1912" t="str">
        <f>SUBSTITUTE(IF(OR(LEFT(A1916,3)="Câu",I1912=""),"",IF(B1916=0,"",B1916)),CHAR(34),CHAR(92)&amp;CHAR(34))</f>
        <v>Biển 3.</v>
      </c>
      <c r="K1912" t="str">
        <f>SUBSTITUTE(SUBSTITUTE(SUBSTITUTE(SUBSTITUTE(IFERROR(VLOOKUP("Câu "&amp;D1912&amp;".",dapan!$E:$J,6,0),""),"1","A"),"2","B"),"3","C"),"4","D")</f>
        <v/>
      </c>
      <c r="P1912" t="str">
        <f t="shared" si="107"/>
        <v/>
      </c>
      <c r="Q1912" t="str">
        <f t="shared" si="108"/>
        <v/>
      </c>
    </row>
    <row r="1913" spans="1:17" x14ac:dyDescent="0.25">
      <c r="A1913" t="s">
        <v>1335</v>
      </c>
      <c r="C1913">
        <f>IFERROR(COUNTIFS($A$1:A1913,"Câu "&amp;"*")-MID(A1913,5,FIND(".",A1913,1)-5),0)</f>
        <v>0</v>
      </c>
      <c r="D1913">
        <f t="shared" si="110"/>
        <v>464</v>
      </c>
      <c r="E1913" t="str">
        <f>SUBSTITUTE(IF(LEFT(A1913,3)="Câu",MID(A1913,FIND(".",A1913,1)+2,LEN(A1913)),""),CHAR(34),CHAR(92)&amp;CHAR(34))</f>
        <v>Biển nào báo hiệu kết thúc đường cao tốc?</v>
      </c>
      <c r="F1913" t="str">
        <f t="shared" si="109"/>
        <v>q464.jpg</v>
      </c>
      <c r="G1913" t="str">
        <f>SUBSTITUTE(B1914,CHAR(34),CHAR(92)&amp;CHAR(34))</f>
        <v>Biển 1.</v>
      </c>
      <c r="H1913" t="str">
        <f>SUBSTITUTE(B1915,CHAR(34),CHAR(92)&amp;CHAR(34))</f>
        <v xml:space="preserve"> Biển 2.</v>
      </c>
      <c r="I1913" t="str">
        <f>SUBSTITUTE(IF(LEFT(A1916,3)="Câu","",B1916),CHAR(34),CHAR(92)&amp;CHAR(34))</f>
        <v>Biển 3.</v>
      </c>
      <c r="J1913" t="str">
        <f>SUBSTITUTE(IF(OR(LEFT(A1917,3)="Câu",I1913=""),"",IF(B1917=0,"",B1917)),CHAR(34),CHAR(92)&amp;CHAR(34))</f>
        <v/>
      </c>
      <c r="K1913" t="str">
        <f ca="1">SUBSTITUTE(SUBSTITUTE(SUBSTITUTE(SUBSTITUTE(IFERROR(VLOOKUP("Câu "&amp;D1913&amp;".",dapan!$E:$J,6,0),""),"1","A"),"2","B"),"3","C"),"4","D")</f>
        <v>B</v>
      </c>
      <c r="P1913">
        <f t="shared" si="107"/>
        <v>464</v>
      </c>
      <c r="Q1913" t="str">
        <f t="shared" ca="1" si="108"/>
        <v>{"num":464,"id":464,"q":"Biển nào báo hiệu kết thúc đường cao tốc?","img":"q464.jpg","opts":{"A":"Biển 1.","B":" Biển 2.","C":"Biển 3."},"answer":"B"},</v>
      </c>
    </row>
    <row r="1914" spans="1:17" hidden="1" x14ac:dyDescent="0.25">
      <c r="A1914">
        <v>1</v>
      </c>
      <c r="B1914" t="s">
        <v>1075</v>
      </c>
      <c r="C1914">
        <f>IFERROR(COUNTIFS($A$1:A1914,"Câu "&amp;"*")-MID(A1914,5,FIND(".",A1914,1)-5),0)</f>
        <v>0</v>
      </c>
      <c r="D1914" t="str">
        <f t="shared" si="110"/>
        <v/>
      </c>
      <c r="E1914" t="str">
        <f>SUBSTITUTE(IF(LEFT(A1914,3)="Câu",MID(A1914,FIND(".",A1914,1)+2,LEN(A1914)),""),CHAR(34),CHAR(92)&amp;CHAR(34))</f>
        <v/>
      </c>
      <c r="F1914" t="str">
        <f t="shared" si="109"/>
        <v/>
      </c>
      <c r="G1914" t="str">
        <f>SUBSTITUTE(B1915,CHAR(34),CHAR(92)&amp;CHAR(34))</f>
        <v xml:space="preserve"> Biển 2.</v>
      </c>
      <c r="H1914" t="str">
        <f>SUBSTITUTE(B1916,CHAR(34),CHAR(92)&amp;CHAR(34))</f>
        <v>Biển 3.</v>
      </c>
      <c r="I1914" t="str">
        <f>SUBSTITUTE(IF(LEFT(A1917,3)="Câu","",B1917),CHAR(34),CHAR(92)&amp;CHAR(34))</f>
        <v/>
      </c>
      <c r="J1914" t="str">
        <f>SUBSTITUTE(IF(OR(LEFT(A1918,3)="Câu",I1914=""),"",IF(B1918=0,"",B1918)),CHAR(34),CHAR(92)&amp;CHAR(34))</f>
        <v/>
      </c>
      <c r="K1914" t="str">
        <f>SUBSTITUTE(SUBSTITUTE(SUBSTITUTE(SUBSTITUTE(IFERROR(VLOOKUP("Câu "&amp;D1914&amp;".",dapan!$E:$J,6,0),""),"1","A"),"2","B"),"3","C"),"4","D")</f>
        <v/>
      </c>
      <c r="P1914" t="str">
        <f t="shared" si="107"/>
        <v/>
      </c>
      <c r="Q1914" t="str">
        <f t="shared" si="108"/>
        <v/>
      </c>
    </row>
    <row r="1915" spans="1:17" hidden="1" x14ac:dyDescent="0.25">
      <c r="A1915">
        <v>2</v>
      </c>
      <c r="B1915" t="s">
        <v>1090</v>
      </c>
      <c r="C1915">
        <f>IFERROR(COUNTIFS($A$1:A1915,"Câu "&amp;"*")-MID(A1915,5,FIND(".",A1915,1)-5),0)</f>
        <v>0</v>
      </c>
      <c r="D1915" t="str">
        <f t="shared" si="110"/>
        <v/>
      </c>
      <c r="E1915" t="str">
        <f>SUBSTITUTE(IF(LEFT(A1915,3)="Câu",MID(A1915,FIND(".",A1915,1)+2,LEN(A1915)),""),CHAR(34),CHAR(92)&amp;CHAR(34))</f>
        <v/>
      </c>
      <c r="F1915" t="str">
        <f t="shared" si="109"/>
        <v/>
      </c>
      <c r="G1915" t="str">
        <f>SUBSTITUTE(B1916,CHAR(34),CHAR(92)&amp;CHAR(34))</f>
        <v>Biển 3.</v>
      </c>
      <c r="H1915" t="str">
        <f>SUBSTITUTE(B1917,CHAR(34),CHAR(92)&amp;CHAR(34))</f>
        <v/>
      </c>
      <c r="I1915" t="str">
        <f>SUBSTITUTE(IF(LEFT(A1918,3)="Câu","",B1918),CHAR(34),CHAR(92)&amp;CHAR(34))</f>
        <v>Chỉ dẫn sắp đến vị trí nhập làn xe.</v>
      </c>
      <c r="J1915" t="str">
        <f>SUBSTITUTE(IF(OR(LEFT(A1919,3)="Câu",I1915=""),"",IF(B1919=0,"",B1919)),CHAR(34),CHAR(92)&amp;CHAR(34))</f>
        <v xml:space="preserve"> Chỉ dẫn vị trí nhập làn xe cách 250 m.</v>
      </c>
      <c r="K1915" t="str">
        <f>SUBSTITUTE(SUBSTITUTE(SUBSTITUTE(SUBSTITUTE(IFERROR(VLOOKUP("Câu "&amp;D1915&amp;".",dapan!$E:$J,6,0),""),"1","A"),"2","B"),"3","C"),"4","D")</f>
        <v/>
      </c>
      <c r="P1915" t="str">
        <f t="shared" si="107"/>
        <v/>
      </c>
      <c r="Q1915" t="str">
        <f t="shared" si="108"/>
        <v/>
      </c>
    </row>
    <row r="1916" spans="1:17" hidden="1" x14ac:dyDescent="0.25">
      <c r="A1916">
        <v>3</v>
      </c>
      <c r="B1916" t="s">
        <v>1083</v>
      </c>
      <c r="C1916">
        <f>IFERROR(COUNTIFS($A$1:A1916,"Câu "&amp;"*")-MID(A1916,5,FIND(".",A1916,1)-5),0)</f>
        <v>0</v>
      </c>
      <c r="D1916" t="str">
        <f t="shared" si="110"/>
        <v/>
      </c>
      <c r="E1916" t="str">
        <f>SUBSTITUTE(IF(LEFT(A1916,3)="Câu",MID(A1916,FIND(".",A1916,1)+2,LEN(A1916)),""),CHAR(34),CHAR(92)&amp;CHAR(34))</f>
        <v/>
      </c>
      <c r="F1916" t="str">
        <f t="shared" si="109"/>
        <v/>
      </c>
      <c r="G1916" t="str">
        <f>SUBSTITUTE(B1917,CHAR(34),CHAR(92)&amp;CHAR(34))</f>
        <v/>
      </c>
      <c r="H1916" t="str">
        <f>SUBSTITUTE(B1918,CHAR(34),CHAR(92)&amp;CHAR(34))</f>
        <v>Chỉ dẫn sắp đến vị trí nhập làn xe.</v>
      </c>
      <c r="I1916" t="str">
        <f>SUBSTITUTE(IF(LEFT(A1919,3)="Câu","",B1919),CHAR(34),CHAR(92)&amp;CHAR(34))</f>
        <v xml:space="preserve"> Chỉ dẫn vị trí nhập làn xe cách 250 m.</v>
      </c>
      <c r="J1916" t="str">
        <f>SUBSTITUTE(IF(OR(LEFT(A1920,3)="Câu",I1916=""),"",IF(B1920=0,"",B1920)),CHAR(34),CHAR(92)&amp;CHAR(34))</f>
        <v>Chỉ dẫn vị trí nhập làn cách trạm thu phí 250 m.</v>
      </c>
      <c r="K1916" t="str">
        <f>SUBSTITUTE(SUBSTITUTE(SUBSTITUTE(SUBSTITUTE(IFERROR(VLOOKUP("Câu "&amp;D1916&amp;".",dapan!$E:$J,6,0),""),"1","A"),"2","B"),"3","C"),"4","D")</f>
        <v/>
      </c>
      <c r="P1916" t="str">
        <f t="shared" si="107"/>
        <v/>
      </c>
      <c r="Q1916" t="str">
        <f t="shared" si="108"/>
        <v/>
      </c>
    </row>
    <row r="1917" spans="1:17" x14ac:dyDescent="0.25">
      <c r="A1917" t="s">
        <v>1336</v>
      </c>
      <c r="C1917">
        <f>IFERROR(COUNTIFS($A$1:A1917,"Câu "&amp;"*")-MID(A1917,5,FIND(".",A1917,1)-5),0)</f>
        <v>0</v>
      </c>
      <c r="D1917">
        <f t="shared" si="110"/>
        <v>465</v>
      </c>
      <c r="E1917" t="str">
        <f>SUBSTITUTE(IF(LEFT(A1917,3)="Câu",MID(A1917,FIND(".",A1917,1)+2,LEN(A1917)),""),CHAR(34),CHAR(92)&amp;CHAR(34))</f>
        <v>Biển này có ý nghĩa như thế nào?</v>
      </c>
      <c r="F1917" t="str">
        <f t="shared" si="109"/>
        <v>q465.jpg</v>
      </c>
      <c r="G1917" t="str">
        <f>SUBSTITUTE(B1918,CHAR(34),CHAR(92)&amp;CHAR(34))</f>
        <v>Chỉ dẫn sắp đến vị trí nhập làn xe.</v>
      </c>
      <c r="H1917" t="str">
        <f>SUBSTITUTE(B1919,CHAR(34),CHAR(92)&amp;CHAR(34))</f>
        <v xml:space="preserve"> Chỉ dẫn vị trí nhập làn xe cách 250 m.</v>
      </c>
      <c r="I1917" t="str">
        <f>SUBSTITUTE(IF(LEFT(A1920,3)="Câu","",B1920),CHAR(34),CHAR(92)&amp;CHAR(34))</f>
        <v>Chỉ dẫn vị trí nhập làn cách trạm thu phí 250 m.</v>
      </c>
      <c r="J1917" t="str">
        <f>SUBSTITUTE(IF(OR(LEFT(A1921,3)="Câu",I1917=""),"",IF(B1921=0,"",B1921)),CHAR(34),CHAR(92)&amp;CHAR(34))</f>
        <v/>
      </c>
      <c r="K1917" t="str">
        <f ca="1">SUBSTITUTE(SUBSTITUTE(SUBSTITUTE(SUBSTITUTE(IFERROR(VLOOKUP("Câu "&amp;D1917&amp;".",dapan!$E:$J,6,0),""),"1","A"),"2","B"),"3","C"),"4","D")</f>
        <v>B</v>
      </c>
      <c r="P1917">
        <f t="shared" si="107"/>
        <v>465</v>
      </c>
      <c r="Q1917" t="str">
        <f t="shared" ca="1" si="108"/>
        <v>{"num":465,"id":465,"q":"Biển này có ý nghĩa như thế nào?","img":"q465.jpg","opts":{"A":"Chỉ dẫn sắp đến vị trí nhập làn xe.","B":" Chỉ dẫn vị trí nhập làn xe cách 250 m.","C":"Chỉ dẫn vị trí nhập làn cách trạm thu phí 250 m."},"answer":"B"},</v>
      </c>
    </row>
    <row r="1918" spans="1:17" hidden="1" x14ac:dyDescent="0.25">
      <c r="A1918">
        <v>1</v>
      </c>
      <c r="B1918" t="s">
        <v>1337</v>
      </c>
      <c r="C1918">
        <f>IFERROR(COUNTIFS($A$1:A1918,"Câu "&amp;"*")-MID(A1918,5,FIND(".",A1918,1)-5),0)</f>
        <v>0</v>
      </c>
      <c r="D1918" t="str">
        <f t="shared" si="110"/>
        <v/>
      </c>
      <c r="E1918" t="str">
        <f>SUBSTITUTE(IF(LEFT(A1918,3)="Câu",MID(A1918,FIND(".",A1918,1)+2,LEN(A1918)),""),CHAR(34),CHAR(92)&amp;CHAR(34))</f>
        <v/>
      </c>
      <c r="F1918" t="str">
        <f t="shared" si="109"/>
        <v/>
      </c>
      <c r="G1918" t="str">
        <f>SUBSTITUTE(B1919,CHAR(34),CHAR(92)&amp;CHAR(34))</f>
        <v xml:space="preserve"> Chỉ dẫn vị trí nhập làn xe cách 250 m.</v>
      </c>
      <c r="H1918" t="str">
        <f>SUBSTITUTE(B1920,CHAR(34),CHAR(92)&amp;CHAR(34))</f>
        <v>Chỉ dẫn vị trí nhập làn cách trạm thu phí 250 m.</v>
      </c>
      <c r="I1918" t="str">
        <f>SUBSTITUTE(IF(LEFT(A1921,3)="Câu","",B1921),CHAR(34),CHAR(92)&amp;CHAR(34))</f>
        <v/>
      </c>
      <c r="J1918" t="str">
        <f>SUBSTITUTE(IF(OR(LEFT(A1922,3)="Câu",I1918=""),"",IF(B1922=0,"",B1922)),CHAR(34),CHAR(92)&amp;CHAR(34))</f>
        <v/>
      </c>
      <c r="K1918" t="str">
        <f>SUBSTITUTE(SUBSTITUTE(SUBSTITUTE(SUBSTITUTE(IFERROR(VLOOKUP("Câu "&amp;D1918&amp;".",dapan!$E:$J,6,0),""),"1","A"),"2","B"),"3","C"),"4","D")</f>
        <v/>
      </c>
      <c r="P1918" t="str">
        <f t="shared" si="107"/>
        <v/>
      </c>
      <c r="Q1918" t="str">
        <f t="shared" si="108"/>
        <v/>
      </c>
    </row>
    <row r="1919" spans="1:17" hidden="1" x14ac:dyDescent="0.25">
      <c r="A1919">
        <v>2</v>
      </c>
      <c r="B1919" t="s">
        <v>1338</v>
      </c>
      <c r="C1919">
        <f>IFERROR(COUNTIFS($A$1:A1919,"Câu "&amp;"*")-MID(A1919,5,FIND(".",A1919,1)-5),0)</f>
        <v>0</v>
      </c>
      <c r="D1919" t="str">
        <f t="shared" si="110"/>
        <v/>
      </c>
      <c r="E1919" t="str">
        <f>SUBSTITUTE(IF(LEFT(A1919,3)="Câu",MID(A1919,FIND(".",A1919,1)+2,LEN(A1919)),""),CHAR(34),CHAR(92)&amp;CHAR(34))</f>
        <v/>
      </c>
      <c r="F1919" t="str">
        <f t="shared" si="109"/>
        <v/>
      </c>
      <c r="G1919" t="str">
        <f>SUBSTITUTE(B1920,CHAR(34),CHAR(92)&amp;CHAR(34))</f>
        <v>Chỉ dẫn vị trí nhập làn cách trạm thu phí 250 m.</v>
      </c>
      <c r="H1919" t="str">
        <f>SUBSTITUTE(B1921,CHAR(34),CHAR(92)&amp;CHAR(34))</f>
        <v/>
      </c>
      <c r="I1919" t="str">
        <f>SUBSTITUTE(IF(LEFT(A1922,3)="Câu","",B1922),CHAR(34),CHAR(92)&amp;CHAR(34))</f>
        <v>Biển 1.</v>
      </c>
      <c r="J1919" t="str">
        <f>SUBSTITUTE(IF(OR(LEFT(A1923,3)="Câu",I1919=""),"",IF(B1923=0,"",B1923)),CHAR(34),CHAR(92)&amp;CHAR(34))</f>
        <v>Biển 2.</v>
      </c>
      <c r="K1919" t="str">
        <f>SUBSTITUTE(SUBSTITUTE(SUBSTITUTE(SUBSTITUTE(IFERROR(VLOOKUP("Câu "&amp;D1919&amp;".",dapan!$E:$J,6,0),""),"1","A"),"2","B"),"3","C"),"4","D")</f>
        <v/>
      </c>
      <c r="P1919" t="str">
        <f t="shared" si="107"/>
        <v/>
      </c>
      <c r="Q1919" t="str">
        <f t="shared" si="108"/>
        <v/>
      </c>
    </row>
    <row r="1920" spans="1:17" hidden="1" x14ac:dyDescent="0.25">
      <c r="A1920">
        <v>3</v>
      </c>
      <c r="B1920" t="s">
        <v>1339</v>
      </c>
      <c r="C1920">
        <f>IFERROR(COUNTIFS($A$1:A1920,"Câu "&amp;"*")-MID(A1920,5,FIND(".",A1920,1)-5),0)</f>
        <v>0</v>
      </c>
      <c r="D1920" t="str">
        <f t="shared" si="110"/>
        <v/>
      </c>
      <c r="E1920" t="str">
        <f>SUBSTITUTE(IF(LEFT(A1920,3)="Câu",MID(A1920,FIND(".",A1920,1)+2,LEN(A1920)),""),CHAR(34),CHAR(92)&amp;CHAR(34))</f>
        <v/>
      </c>
      <c r="F1920" t="str">
        <f t="shared" si="109"/>
        <v/>
      </c>
      <c r="G1920" t="str">
        <f>SUBSTITUTE(B1921,CHAR(34),CHAR(92)&amp;CHAR(34))</f>
        <v/>
      </c>
      <c r="H1920" t="str">
        <f>SUBSTITUTE(B1922,CHAR(34),CHAR(92)&amp;CHAR(34))</f>
        <v>Biển 1.</v>
      </c>
      <c r="I1920" t="str">
        <f>SUBSTITUTE(IF(LEFT(A1923,3)="Câu","",B1923),CHAR(34),CHAR(92)&amp;CHAR(34))</f>
        <v>Biển 2.</v>
      </c>
      <c r="J1920" t="str">
        <f>SUBSTITUTE(IF(OR(LEFT(A1924,3)="Câu",I1920=""),"",IF(B1924=0,"",B1924)),CHAR(34),CHAR(92)&amp;CHAR(34))</f>
        <v xml:space="preserve"> Cả hai biển.</v>
      </c>
      <c r="K1920" t="str">
        <f>SUBSTITUTE(SUBSTITUTE(SUBSTITUTE(SUBSTITUTE(IFERROR(VLOOKUP("Câu "&amp;D1920&amp;".",dapan!$E:$J,6,0),""),"1","A"),"2","B"),"3","C"),"4","D")</f>
        <v/>
      </c>
      <c r="P1920" t="str">
        <f t="shared" si="107"/>
        <v/>
      </c>
      <c r="Q1920" t="str">
        <f t="shared" si="108"/>
        <v/>
      </c>
    </row>
    <row r="1921" spans="1:17" x14ac:dyDescent="0.25">
      <c r="A1921" t="s">
        <v>1340</v>
      </c>
      <c r="C1921">
        <f>IFERROR(COUNTIFS($A$1:A1921,"Câu "&amp;"*")-MID(A1921,5,FIND(".",A1921,1)-5),0)</f>
        <v>0</v>
      </c>
      <c r="D1921">
        <f t="shared" si="110"/>
        <v>466</v>
      </c>
      <c r="E1921" t="str">
        <f>SUBSTITUTE(IF(LEFT(A1921,3)="Câu",MID(A1921,FIND(".",A1921,1)+2,LEN(A1921)),""),CHAR(34),CHAR(92)&amp;CHAR(34))</f>
        <v>Biển nào chỉ dẫn nhập làn xe?</v>
      </c>
      <c r="F1921" t="str">
        <f t="shared" si="109"/>
        <v>q466.jpg</v>
      </c>
      <c r="G1921" t="str">
        <f>SUBSTITUTE(B1922,CHAR(34),CHAR(92)&amp;CHAR(34))</f>
        <v>Biển 1.</v>
      </c>
      <c r="H1921" t="str">
        <f>SUBSTITUTE(B1923,CHAR(34),CHAR(92)&amp;CHAR(34))</f>
        <v>Biển 2.</v>
      </c>
      <c r="I1921" t="str">
        <f>SUBSTITUTE(IF(LEFT(A1924,3)="Câu","",B1924),CHAR(34),CHAR(92)&amp;CHAR(34))</f>
        <v xml:space="preserve"> Cả hai biển.</v>
      </c>
      <c r="J1921" t="str">
        <f>SUBSTITUTE(IF(OR(LEFT(A1925,3)="Câu",I1921=""),"",IF(B1925=0,"",B1925)),CHAR(34),CHAR(92)&amp;CHAR(34))</f>
        <v/>
      </c>
      <c r="K1921" t="str">
        <f ca="1">SUBSTITUTE(SUBSTITUTE(SUBSTITUTE(SUBSTITUTE(IFERROR(VLOOKUP("Câu "&amp;D1921&amp;".",dapan!$E:$J,6,0),""),"1","A"),"2","B"),"3","C"),"4","D")</f>
        <v>C</v>
      </c>
      <c r="P1921">
        <f t="shared" si="107"/>
        <v>466</v>
      </c>
      <c r="Q1921" t="str">
        <f t="shared" ca="1" si="108"/>
        <v>{"num":466,"id":466,"q":"Biển nào chỉ dẫn nhập làn xe?","img":"q466.jpg","opts":{"A":"Biển 1.","B":"Biển 2.","C":" Cả hai biển."},"answer":"C"},</v>
      </c>
    </row>
    <row r="1922" spans="1:17" hidden="1" x14ac:dyDescent="0.25">
      <c r="A1922">
        <v>1</v>
      </c>
      <c r="B1922" t="s">
        <v>1075</v>
      </c>
      <c r="C1922">
        <f>IFERROR(COUNTIFS($A$1:A1922,"Câu "&amp;"*")-MID(A1922,5,FIND(".",A1922,1)-5),0)</f>
        <v>0</v>
      </c>
      <c r="D1922" t="str">
        <f t="shared" si="110"/>
        <v/>
      </c>
      <c r="E1922" t="str">
        <f>SUBSTITUTE(IF(LEFT(A1922,3)="Câu",MID(A1922,FIND(".",A1922,1)+2,LEN(A1922)),""),CHAR(34),CHAR(92)&amp;CHAR(34))</f>
        <v/>
      </c>
      <c r="F1922" t="str">
        <f t="shared" si="109"/>
        <v/>
      </c>
      <c r="G1922" t="str">
        <f>SUBSTITUTE(B1923,CHAR(34),CHAR(92)&amp;CHAR(34))</f>
        <v>Biển 2.</v>
      </c>
      <c r="H1922" t="str">
        <f>SUBSTITUTE(B1924,CHAR(34),CHAR(92)&amp;CHAR(34))</f>
        <v xml:space="preserve"> Cả hai biển.</v>
      </c>
      <c r="I1922" t="str">
        <f>SUBSTITUTE(IF(LEFT(A1925,3)="Câu","",B1925),CHAR(34),CHAR(92)&amp;CHAR(34))</f>
        <v/>
      </c>
      <c r="J1922" t="str">
        <f>SUBSTITUTE(IF(OR(LEFT(A1926,3)="Câu",I1922=""),"",IF(B1926=0,"",B1926)),CHAR(34),CHAR(92)&amp;CHAR(34))</f>
        <v/>
      </c>
      <c r="K1922" t="str">
        <f>SUBSTITUTE(SUBSTITUTE(SUBSTITUTE(SUBSTITUTE(IFERROR(VLOOKUP("Câu "&amp;D1922&amp;".",dapan!$E:$J,6,0),""),"1","A"),"2","B"),"3","C"),"4","D")</f>
        <v/>
      </c>
      <c r="P1922" t="str">
        <f t="shared" si="107"/>
        <v/>
      </c>
      <c r="Q1922" t="str">
        <f t="shared" si="108"/>
        <v/>
      </c>
    </row>
    <row r="1923" spans="1:17" hidden="1" x14ac:dyDescent="0.25">
      <c r="A1923">
        <v>2</v>
      </c>
      <c r="B1923" t="s">
        <v>1068</v>
      </c>
      <c r="C1923">
        <f>IFERROR(COUNTIFS($A$1:A1923,"Câu "&amp;"*")-MID(A1923,5,FIND(".",A1923,1)-5),0)</f>
        <v>0</v>
      </c>
      <c r="D1923" t="str">
        <f t="shared" si="110"/>
        <v/>
      </c>
      <c r="E1923" t="str">
        <f>SUBSTITUTE(IF(LEFT(A1923,3)="Câu",MID(A1923,FIND(".",A1923,1)+2,LEN(A1923)),""),CHAR(34),CHAR(92)&amp;CHAR(34))</f>
        <v/>
      </c>
      <c r="F1923" t="str">
        <f t="shared" si="109"/>
        <v/>
      </c>
      <c r="G1923" t="str">
        <f>SUBSTITUTE(B1924,CHAR(34),CHAR(92)&amp;CHAR(34))</f>
        <v xml:space="preserve"> Cả hai biển.</v>
      </c>
      <c r="H1923" t="str">
        <f>SUBSTITUTE(B1925,CHAR(34),CHAR(92)&amp;CHAR(34))</f>
        <v/>
      </c>
      <c r="I1923" t="str">
        <f>SUBSTITUTE(IF(LEFT(A1926,3)="Câu","",B1926),CHAR(34),CHAR(92)&amp;CHAR(34))</f>
        <v>Bắt đầu đường cao tốc.</v>
      </c>
      <c r="J1923" t="str">
        <f>SUBSTITUTE(IF(OR(LEFT(A1927,3)="Câu",I1923=""),"",IF(B1927=0,"",B1927)),CHAR(34),CHAR(92)&amp;CHAR(34))</f>
        <v>Chỉ dẫn địa giới đường cao tốc, chiều dài đường cao tốc.</v>
      </c>
      <c r="K1923" t="str">
        <f>SUBSTITUTE(SUBSTITUTE(SUBSTITUTE(SUBSTITUTE(IFERROR(VLOOKUP("Câu "&amp;D1923&amp;".",dapan!$E:$J,6,0),""),"1","A"),"2","B"),"3","C"),"4","D")</f>
        <v/>
      </c>
      <c r="P1923" t="str">
        <f t="shared" ref="P1923:P1986" si="111">D1923</f>
        <v/>
      </c>
      <c r="Q1923" t="str">
        <f t="shared" ref="Q1923:Q1986" si="112">IF(D1923="","",CHAR(123)&amp;CHAR(34)&amp;"num"&amp;CHAR(34)&amp;":"&amp;P1923&amp;","&amp;CHAR(34)&amp;"id"&amp;CHAR(34)&amp;":"&amp;D1923&amp;","
&amp;CHAR(34)&amp;"q"&amp;CHAR(34)&amp;":"&amp;CHAR(34)&amp;E1923&amp;CHAR(34)&amp;","
&amp;IF(F1923="","",CHAR(34)&amp;"img"&amp;CHAR(34)&amp;":"&amp;CHAR(34)&amp;F1923&amp;CHAR(34)&amp;",")
&amp;CHAR(34)&amp;"opts"&amp;CHAR(34)&amp;":"&amp;CHAR(123)&amp;CHAR(34)&amp;"A"&amp;CHAR(34)&amp;":"&amp;CHAR(34)&amp;G1923&amp;CHAR(34)&amp;","&amp;CHAR(34)&amp;"B"&amp;CHAR(34)&amp;":"&amp;CHAR(34)&amp;H1923&amp;CHAR(34)
&amp;IF(I1923="","",","&amp;CHAR(34)&amp;"C"&amp;CHAR(34)&amp;":"&amp;CHAR(34)&amp;I1923&amp;CHAR(34))&amp;IF(J1923="","",","&amp;CHAR(34)&amp;"D"&amp;CHAR(34)&amp;":"&amp;CHAR(34)&amp;J1923&amp;CHAR(34))&amp;CHAR(125)&amp;","
&amp;CHAR(34)&amp;"answer"&amp;CHAR(34)&amp;":"&amp;CHAR(34)&amp;K1923&amp;CHAR(34)
&amp;IF(L1923="","",","&amp;CHAR(34)&amp;"danger"&amp;CHAR(34)&amp;":"&amp;CHAR(34)&amp;"true"&amp;CHAR(34))
&amp;IF(M1923="","",","&amp;CHAR(34)&amp;"explain"&amp;CHAR(34)&amp;":"&amp;CHAR(34)&amp;M1923&amp;CHAR(34))
&amp;IF(N1923="","",","&amp;CHAR(34)&amp;"explainImg"&amp;CHAR(34)&amp;":"&amp;CHAR(34)&amp;N1923&amp;CHAR(34))
&amp;IF(O1923="","",","&amp;CHAR(34)&amp;"shuffle"&amp;CHAR(34)&amp;":"&amp;CHAR(34)&amp;"false"&amp;CHAR(34))&amp;CHAR(125)&amp;",")</f>
        <v/>
      </c>
    </row>
    <row r="1924" spans="1:17" hidden="1" x14ac:dyDescent="0.25">
      <c r="A1924">
        <v>3</v>
      </c>
      <c r="B1924" t="s">
        <v>1081</v>
      </c>
      <c r="C1924">
        <f>IFERROR(COUNTIFS($A$1:A1924,"Câu "&amp;"*")-MID(A1924,5,FIND(".",A1924,1)-5),0)</f>
        <v>0</v>
      </c>
      <c r="D1924" t="str">
        <f t="shared" si="110"/>
        <v/>
      </c>
      <c r="E1924" t="str">
        <f>SUBSTITUTE(IF(LEFT(A1924,3)="Câu",MID(A1924,FIND(".",A1924,1)+2,LEN(A1924)),""),CHAR(34),CHAR(92)&amp;CHAR(34))</f>
        <v/>
      </c>
      <c r="F1924" t="str">
        <f t="shared" si="109"/>
        <v/>
      </c>
      <c r="G1924" t="str">
        <f>SUBSTITUTE(B1925,CHAR(34),CHAR(92)&amp;CHAR(34))</f>
        <v/>
      </c>
      <c r="H1924" t="str">
        <f>SUBSTITUTE(B1926,CHAR(34),CHAR(92)&amp;CHAR(34))</f>
        <v>Bắt đầu đường cao tốc.</v>
      </c>
      <c r="I1924" t="str">
        <f>SUBSTITUTE(IF(LEFT(A1927,3)="Câu","",B1927),CHAR(34),CHAR(92)&amp;CHAR(34))</f>
        <v>Chỉ dẫn địa giới đường cao tốc, chiều dài đường cao tốc.</v>
      </c>
      <c r="J1924" t="str">
        <f>SUBSTITUTE(IF(OR(LEFT(A1928,3)="Câu",I1924=""),"",IF(B1928=0,"",B1928)),CHAR(34),CHAR(92)&amp;CHAR(34))</f>
        <v>Tên và ký hiệu đường cao tốc, giá trị hạn chế tốc độ tối đa và tối thiểu.</v>
      </c>
      <c r="K1924" t="str">
        <f>SUBSTITUTE(SUBSTITUTE(SUBSTITUTE(SUBSTITUTE(IFERROR(VLOOKUP("Câu "&amp;D1924&amp;".",dapan!$E:$J,6,0),""),"1","A"),"2","B"),"3","C"),"4","D")</f>
        <v/>
      </c>
      <c r="P1924" t="str">
        <f t="shared" si="111"/>
        <v/>
      </c>
      <c r="Q1924" t="str">
        <f t="shared" si="112"/>
        <v/>
      </c>
    </row>
    <row r="1925" spans="1:17" x14ac:dyDescent="0.25">
      <c r="A1925" t="s">
        <v>1341</v>
      </c>
      <c r="C1925">
        <f>IFERROR(COUNTIFS($A$1:A1925,"Câu "&amp;"*")-MID(A1925,5,FIND(".",A1925,1)-5),0)</f>
        <v>0</v>
      </c>
      <c r="D1925">
        <f t="shared" si="110"/>
        <v>467</v>
      </c>
      <c r="E1925" t="str">
        <f>SUBSTITUTE(IF(LEFT(A1925,3)="Câu",MID(A1925,FIND(".",A1925,1)+2,LEN(A1925)),""),CHAR(34),CHAR(92)&amp;CHAR(34))</f>
        <v>Biển này có ý nghĩa như thế nào?</v>
      </c>
      <c r="F1925" t="str">
        <f t="shared" si="109"/>
        <v>q467.jpg</v>
      </c>
      <c r="G1925" t="str">
        <f>SUBSTITUTE(B1926,CHAR(34),CHAR(92)&amp;CHAR(34))</f>
        <v>Bắt đầu đường cao tốc.</v>
      </c>
      <c r="H1925" t="str">
        <f>SUBSTITUTE(B1927,CHAR(34),CHAR(92)&amp;CHAR(34))</f>
        <v>Chỉ dẫn địa giới đường cao tốc, chiều dài đường cao tốc.</v>
      </c>
      <c r="I1925" t="str">
        <f>SUBSTITUTE(IF(LEFT(A1928,3)="Câu","",B1928),CHAR(34),CHAR(92)&amp;CHAR(34))</f>
        <v>Tên và ký hiệu đường cao tốc, giá trị hạn chế tốc độ tối đa và tối thiểu.</v>
      </c>
      <c r="J1925" t="str">
        <f>SUBSTITUTE(IF(OR(LEFT(A1929,3)="Câu",I1925=""),"",IF(B1929=0,"",B1929)),CHAR(34),CHAR(92)&amp;CHAR(34))</f>
        <v xml:space="preserve"> Ý 1 và ý 3.</v>
      </c>
      <c r="K1925" t="str">
        <f ca="1">SUBSTITUTE(SUBSTITUTE(SUBSTITUTE(SUBSTITUTE(IFERROR(VLOOKUP("Câu "&amp;D1925&amp;".",dapan!$E:$J,6,0),""),"1","A"),"2","B"),"3","C"),"4","D")</f>
        <v>D</v>
      </c>
      <c r="P1925">
        <f t="shared" si="111"/>
        <v>467</v>
      </c>
      <c r="Q1925" t="str">
        <f t="shared" ca="1" si="112"/>
        <v>{"num":467,"id":467,"q":"Biển này có ý nghĩa như thế nào?","img":"q467.jpg","opts":{"A":"Bắt đầu đường cao tốc.","B":"Chỉ dẫn địa giới đường cao tốc, chiều dài đường cao tốc.","C":"Tên và ký hiệu đường cao tốc, giá trị hạn chế tốc độ tối đa và tối thiểu.","D":" Ý 1 và ý 3."},"answer":"D"},</v>
      </c>
    </row>
    <row r="1926" spans="1:17" hidden="1" x14ac:dyDescent="0.25">
      <c r="A1926">
        <v>1</v>
      </c>
      <c r="B1926" t="s">
        <v>1342</v>
      </c>
      <c r="C1926">
        <f>IFERROR(COUNTIFS($A$1:A1926,"Câu "&amp;"*")-MID(A1926,5,FIND(".",A1926,1)-5),0)</f>
        <v>0</v>
      </c>
      <c r="D1926" t="str">
        <f t="shared" si="110"/>
        <v/>
      </c>
      <c r="E1926" t="str">
        <f>SUBSTITUTE(IF(LEFT(A1926,3)="Câu",MID(A1926,FIND(".",A1926,1)+2,LEN(A1926)),""),CHAR(34),CHAR(92)&amp;CHAR(34))</f>
        <v/>
      </c>
      <c r="F1926" t="str">
        <f t="shared" si="109"/>
        <v/>
      </c>
      <c r="G1926" t="str">
        <f>SUBSTITUTE(B1927,CHAR(34),CHAR(92)&amp;CHAR(34))</f>
        <v>Chỉ dẫn địa giới đường cao tốc, chiều dài đường cao tốc.</v>
      </c>
      <c r="H1926" t="str">
        <f>SUBSTITUTE(B1928,CHAR(34),CHAR(92)&amp;CHAR(34))</f>
        <v>Tên và ký hiệu đường cao tốc, giá trị hạn chế tốc độ tối đa và tối thiểu.</v>
      </c>
      <c r="I1926" t="str">
        <f>SUBSTITUTE(IF(LEFT(A1929,3)="Câu","",B1929),CHAR(34),CHAR(92)&amp;CHAR(34))</f>
        <v xml:space="preserve"> Ý 1 và ý 3.</v>
      </c>
      <c r="J1926" t="str">
        <f>SUBSTITUTE(IF(OR(LEFT(A1930,3)="Câu",I1926=""),"",IF(B1930=0,"",B1930)),CHAR(34),CHAR(92)&amp;CHAR(34))</f>
        <v/>
      </c>
      <c r="K1926" t="str">
        <f>SUBSTITUTE(SUBSTITUTE(SUBSTITUTE(SUBSTITUTE(IFERROR(VLOOKUP("Câu "&amp;D1926&amp;".",dapan!$E:$J,6,0),""),"1","A"),"2","B"),"3","C"),"4","D")</f>
        <v/>
      </c>
      <c r="P1926" t="str">
        <f t="shared" si="111"/>
        <v/>
      </c>
      <c r="Q1926" t="str">
        <f t="shared" si="112"/>
        <v/>
      </c>
    </row>
    <row r="1927" spans="1:17" hidden="1" x14ac:dyDescent="0.25">
      <c r="A1927">
        <v>2</v>
      </c>
      <c r="B1927" t="s">
        <v>1343</v>
      </c>
      <c r="C1927">
        <f>IFERROR(COUNTIFS($A$1:A1927,"Câu "&amp;"*")-MID(A1927,5,FIND(".",A1927,1)-5),0)</f>
        <v>0</v>
      </c>
      <c r="D1927" t="str">
        <f t="shared" si="110"/>
        <v/>
      </c>
      <c r="E1927" t="str">
        <f>SUBSTITUTE(IF(LEFT(A1927,3)="Câu",MID(A1927,FIND(".",A1927,1)+2,LEN(A1927)),""),CHAR(34),CHAR(92)&amp;CHAR(34))</f>
        <v/>
      </c>
      <c r="F1927" t="str">
        <f t="shared" si="109"/>
        <v/>
      </c>
      <c r="G1927" t="str">
        <f>SUBSTITUTE(B1928,CHAR(34),CHAR(92)&amp;CHAR(34))</f>
        <v>Tên và ký hiệu đường cao tốc, giá trị hạn chế tốc độ tối đa và tối thiểu.</v>
      </c>
      <c r="H1927" t="str">
        <f>SUBSTITUTE(B1929,CHAR(34),CHAR(92)&amp;CHAR(34))</f>
        <v xml:space="preserve"> Ý 1 và ý 3.</v>
      </c>
      <c r="I1927" t="str">
        <f>SUBSTITUTE(IF(LEFT(A1930,3)="Câu","",B1930),CHAR(34),CHAR(92)&amp;CHAR(34))</f>
        <v/>
      </c>
      <c r="J1927" t="str">
        <f>SUBSTITUTE(IF(OR(LEFT(A1931,3)="Câu",I1927=""),"",IF(B1931=0,"",B1931)),CHAR(34),CHAR(92)&amp;CHAR(34))</f>
        <v/>
      </c>
      <c r="K1927" t="str">
        <f>SUBSTITUTE(SUBSTITUTE(SUBSTITUTE(SUBSTITUTE(IFERROR(VLOOKUP("Câu "&amp;D1927&amp;".",dapan!$E:$J,6,0),""),"1","A"),"2","B"),"3","C"),"4","D")</f>
        <v/>
      </c>
      <c r="P1927" t="str">
        <f t="shared" si="111"/>
        <v/>
      </c>
      <c r="Q1927" t="str">
        <f t="shared" si="112"/>
        <v/>
      </c>
    </row>
    <row r="1928" spans="1:17" hidden="1" x14ac:dyDescent="0.25">
      <c r="A1928">
        <v>3</v>
      </c>
      <c r="B1928" t="s">
        <v>1344</v>
      </c>
      <c r="C1928">
        <f>IFERROR(COUNTIFS($A$1:A1928,"Câu "&amp;"*")-MID(A1928,5,FIND(".",A1928,1)-5),0)</f>
        <v>0</v>
      </c>
      <c r="D1928" t="str">
        <f t="shared" si="110"/>
        <v/>
      </c>
      <c r="E1928" t="str">
        <f>SUBSTITUTE(IF(LEFT(A1928,3)="Câu",MID(A1928,FIND(".",A1928,1)+2,LEN(A1928)),""),CHAR(34),CHAR(92)&amp;CHAR(34))</f>
        <v/>
      </c>
      <c r="F1928" t="str">
        <f t="shared" si="109"/>
        <v/>
      </c>
      <c r="G1928" t="str">
        <f>SUBSTITUTE(B1929,CHAR(34),CHAR(92)&amp;CHAR(34))</f>
        <v xml:space="preserve"> Ý 1 và ý 3.</v>
      </c>
      <c r="H1928" t="str">
        <f>SUBSTITUTE(B1930,CHAR(34),CHAR(92)&amp;CHAR(34))</f>
        <v/>
      </c>
      <c r="I1928" t="str">
        <f>SUBSTITUTE(IF(LEFT(A1931,3)="Câu","",B1931),CHAR(34),CHAR(92)&amp;CHAR(34))</f>
        <v xml:space="preserve"> Xăng dầu, ăn uống, thông tin, sửa chữa xe.</v>
      </c>
      <c r="J1928" t="str">
        <f>SUBSTITUTE(IF(OR(LEFT(A1932,3)="Câu",I1928=""),"",IF(B1932=0,"",B1932)),CHAR(34),CHAR(92)&amp;CHAR(34))</f>
        <v>Xăng dầu, ăn uống, nhà nghỉ, sửa chữa xe.</v>
      </c>
      <c r="K1928" t="str">
        <f>SUBSTITUTE(SUBSTITUTE(SUBSTITUTE(SUBSTITUTE(IFERROR(VLOOKUP("Câu "&amp;D1928&amp;".",dapan!$E:$J,6,0),""),"1","A"),"2","B"),"3","C"),"4","D")</f>
        <v/>
      </c>
      <c r="P1928" t="str">
        <f t="shared" si="111"/>
        <v/>
      </c>
      <c r="Q1928" t="str">
        <f t="shared" si="112"/>
        <v/>
      </c>
    </row>
    <row r="1929" spans="1:17" hidden="1" x14ac:dyDescent="0.25">
      <c r="A1929">
        <v>4</v>
      </c>
      <c r="B1929" t="s">
        <v>776</v>
      </c>
      <c r="C1929">
        <f>IFERROR(COUNTIFS($A$1:A1929,"Câu "&amp;"*")-MID(A1929,5,FIND(".",A1929,1)-5),0)</f>
        <v>0</v>
      </c>
      <c r="D1929" t="str">
        <f t="shared" si="110"/>
        <v/>
      </c>
      <c r="E1929" t="str">
        <f>SUBSTITUTE(IF(LEFT(A1929,3)="Câu",MID(A1929,FIND(".",A1929,1)+2,LEN(A1929)),""),CHAR(34),CHAR(92)&amp;CHAR(34))</f>
        <v/>
      </c>
      <c r="F1929" t="str">
        <f t="shared" si="109"/>
        <v/>
      </c>
      <c r="G1929" t="str">
        <f>SUBSTITUTE(B1930,CHAR(34),CHAR(92)&amp;CHAR(34))</f>
        <v/>
      </c>
      <c r="H1929" t="str">
        <f>SUBSTITUTE(B1931,CHAR(34),CHAR(92)&amp;CHAR(34))</f>
        <v xml:space="preserve"> Xăng dầu, ăn uống, thông tin, sửa chữa xe.</v>
      </c>
      <c r="I1929" t="str">
        <f>SUBSTITUTE(IF(LEFT(A1932,3)="Câu","",B1932),CHAR(34),CHAR(92)&amp;CHAR(34))</f>
        <v>Xăng dầu, ăn uống, nhà nghỉ, sửa chữa xe.</v>
      </c>
      <c r="J1929" t="str">
        <f>SUBSTITUTE(IF(OR(LEFT(A1933,3)="Câu",I1929=""),"",IF(B1933=0,"",B1933)),CHAR(34),CHAR(92)&amp;CHAR(34))</f>
        <v>Xăng dầu, ăn uống, cấp cứu, sửa chữa xe.</v>
      </c>
      <c r="K1929" t="str">
        <f>SUBSTITUTE(SUBSTITUTE(SUBSTITUTE(SUBSTITUTE(IFERROR(VLOOKUP("Câu "&amp;D1929&amp;".",dapan!$E:$J,6,0),""),"1","A"),"2","B"),"3","C"),"4","D")</f>
        <v/>
      </c>
      <c r="P1929" t="str">
        <f t="shared" si="111"/>
        <v/>
      </c>
      <c r="Q1929" t="str">
        <f t="shared" si="112"/>
        <v/>
      </c>
    </row>
    <row r="1930" spans="1:17" x14ac:dyDescent="0.25">
      <c r="A1930" t="s">
        <v>1345</v>
      </c>
      <c r="C1930">
        <f>IFERROR(COUNTIFS($A$1:A1930,"Câu "&amp;"*")-MID(A1930,5,FIND(".",A1930,1)-5),0)</f>
        <v>0</v>
      </c>
      <c r="D1930">
        <f t="shared" si="110"/>
        <v>468</v>
      </c>
      <c r="E1930" t="str">
        <f>SUBSTITUTE(IF(LEFT(A1930,3)="Câu",MID(A1930,FIND(".",A1930,1)+2,LEN(A1930)),""),CHAR(34),CHAR(92)&amp;CHAR(34))</f>
        <v>Ý nghĩa các biểu tượng ghi trên biển chỉ dẫn là như thế nào?</v>
      </c>
      <c r="F1930" t="str">
        <f t="shared" si="109"/>
        <v>q468.jpg</v>
      </c>
      <c r="G1930" t="str">
        <f>SUBSTITUTE(B1931,CHAR(34),CHAR(92)&amp;CHAR(34))</f>
        <v xml:space="preserve"> Xăng dầu, ăn uống, thông tin, sửa chữa xe.</v>
      </c>
      <c r="H1930" t="str">
        <f>SUBSTITUTE(B1932,CHAR(34),CHAR(92)&amp;CHAR(34))</f>
        <v>Xăng dầu, ăn uống, nhà nghỉ, sửa chữa xe.</v>
      </c>
      <c r="I1930" t="str">
        <f>SUBSTITUTE(IF(LEFT(A1933,3)="Câu","",B1933),CHAR(34),CHAR(92)&amp;CHAR(34))</f>
        <v>Xăng dầu, ăn uống, cấp cứu, sửa chữa xe.</v>
      </c>
      <c r="J1930" t="str">
        <f>SUBSTITUTE(IF(OR(LEFT(A1934,3)="Câu",I1930=""),"",IF(B1934=0,"",B1934)),CHAR(34),CHAR(92)&amp;CHAR(34))</f>
        <v/>
      </c>
      <c r="K1930" t="str">
        <f ca="1">SUBSTITUTE(SUBSTITUTE(SUBSTITUTE(SUBSTITUTE(IFERROR(VLOOKUP("Câu "&amp;D1930&amp;".",dapan!$E:$J,6,0),""),"1","A"),"2","B"),"3","C"),"4","D")</f>
        <v>A</v>
      </c>
      <c r="P1930">
        <f t="shared" si="111"/>
        <v>468</v>
      </c>
      <c r="Q1930" t="str">
        <f t="shared" ca="1" si="112"/>
        <v>{"num":468,"id":468,"q":"Ý nghĩa các biểu tượng ghi trên biển chỉ dẫn là như thế nào?","img":"q468.jpg","opts":{"A":" Xăng dầu, ăn uống, thông tin, sửa chữa xe.","B":"Xăng dầu, ăn uống, nhà nghỉ, sửa chữa xe.","C":"Xăng dầu, ăn uống, cấp cứu, sửa chữa xe."},"answer":"A"},</v>
      </c>
    </row>
    <row r="1931" spans="1:17" hidden="1" x14ac:dyDescent="0.25">
      <c r="A1931">
        <v>1</v>
      </c>
      <c r="B1931" t="s">
        <v>1346</v>
      </c>
      <c r="C1931">
        <f>IFERROR(COUNTIFS($A$1:A1931,"Câu "&amp;"*")-MID(A1931,5,FIND(".",A1931,1)-5),0)</f>
        <v>0</v>
      </c>
      <c r="D1931" t="str">
        <f t="shared" si="110"/>
        <v/>
      </c>
      <c r="E1931" t="str">
        <f>SUBSTITUTE(IF(LEFT(A1931,3)="Câu",MID(A1931,FIND(".",A1931,1)+2,LEN(A1931)),""),CHAR(34),CHAR(92)&amp;CHAR(34))</f>
        <v/>
      </c>
      <c r="F1931" t="str">
        <f t="shared" si="109"/>
        <v/>
      </c>
      <c r="G1931" t="str">
        <f>SUBSTITUTE(B1932,CHAR(34),CHAR(92)&amp;CHAR(34))</f>
        <v>Xăng dầu, ăn uống, nhà nghỉ, sửa chữa xe.</v>
      </c>
      <c r="H1931" t="str">
        <f>SUBSTITUTE(B1933,CHAR(34),CHAR(92)&amp;CHAR(34))</f>
        <v>Xăng dầu, ăn uống, cấp cứu, sửa chữa xe.</v>
      </c>
      <c r="I1931" t="str">
        <f>SUBSTITUTE(IF(LEFT(A1934,3)="Câu","",B1934),CHAR(34),CHAR(92)&amp;CHAR(34))</f>
        <v/>
      </c>
      <c r="J1931" t="str">
        <f>SUBSTITUTE(IF(OR(LEFT(A1935,3)="Câu",I1931=""),"",IF(B1935=0,"",B1935)),CHAR(34),CHAR(92)&amp;CHAR(34))</f>
        <v/>
      </c>
      <c r="K1931" t="str">
        <f>SUBSTITUTE(SUBSTITUTE(SUBSTITUTE(SUBSTITUTE(IFERROR(VLOOKUP("Câu "&amp;D1931&amp;".",dapan!$E:$J,6,0),""),"1","A"),"2","B"),"3","C"),"4","D")</f>
        <v/>
      </c>
      <c r="P1931" t="str">
        <f t="shared" si="111"/>
        <v/>
      </c>
      <c r="Q1931" t="str">
        <f t="shared" si="112"/>
        <v/>
      </c>
    </row>
    <row r="1932" spans="1:17" hidden="1" x14ac:dyDescent="0.25">
      <c r="A1932">
        <v>2</v>
      </c>
      <c r="B1932" t="s">
        <v>1347</v>
      </c>
      <c r="C1932">
        <f>IFERROR(COUNTIFS($A$1:A1932,"Câu "&amp;"*")-MID(A1932,5,FIND(".",A1932,1)-5),0)</f>
        <v>0</v>
      </c>
      <c r="D1932" t="str">
        <f t="shared" si="110"/>
        <v/>
      </c>
      <c r="E1932" t="str">
        <f>SUBSTITUTE(IF(LEFT(A1932,3)="Câu",MID(A1932,FIND(".",A1932,1)+2,LEN(A1932)),""),CHAR(34),CHAR(92)&amp;CHAR(34))</f>
        <v/>
      </c>
      <c r="F1932" t="str">
        <f t="shared" si="109"/>
        <v/>
      </c>
      <c r="G1932" t="str">
        <f>SUBSTITUTE(B1933,CHAR(34),CHAR(92)&amp;CHAR(34))</f>
        <v>Xăng dầu, ăn uống, cấp cứu, sửa chữa xe.</v>
      </c>
      <c r="H1932" t="str">
        <f>SUBSTITUTE(B1934,CHAR(34),CHAR(92)&amp;CHAR(34))</f>
        <v/>
      </c>
      <c r="I1932" t="str">
        <f>SUBSTITUTE(IF(LEFT(A1935,3)="Câu","",B1935),CHAR(34),CHAR(92)&amp;CHAR(34))</f>
        <v>Chỉ dẫn đến trạm kiểm tra tải trọng xe.</v>
      </c>
      <c r="J1932" t="str">
        <f>SUBSTITUTE(IF(OR(LEFT(A1936,3)="Câu",I1932=""),"",IF(B1936=0,"",B1936)),CHAR(34),CHAR(92)&amp;CHAR(34))</f>
        <v>Chỉ dẫn hướng rẽ vào nơi đặt trạm kiểm tra tải trọng xe.</v>
      </c>
      <c r="K1932" t="str">
        <f>SUBSTITUTE(SUBSTITUTE(SUBSTITUTE(SUBSTITUTE(IFERROR(VLOOKUP("Câu "&amp;D1932&amp;".",dapan!$E:$J,6,0),""),"1","A"),"2","B"),"3","C"),"4","D")</f>
        <v/>
      </c>
      <c r="P1932" t="str">
        <f t="shared" si="111"/>
        <v/>
      </c>
      <c r="Q1932" t="str">
        <f t="shared" si="112"/>
        <v/>
      </c>
    </row>
    <row r="1933" spans="1:17" hidden="1" x14ac:dyDescent="0.25">
      <c r="A1933">
        <v>3</v>
      </c>
      <c r="B1933" t="s">
        <v>1348</v>
      </c>
      <c r="C1933">
        <f>IFERROR(COUNTIFS($A$1:A1933,"Câu "&amp;"*")-MID(A1933,5,FIND(".",A1933,1)-5),0)</f>
        <v>0</v>
      </c>
      <c r="D1933" t="str">
        <f t="shared" si="110"/>
        <v/>
      </c>
      <c r="E1933" t="str">
        <f>SUBSTITUTE(IF(LEFT(A1933,3)="Câu",MID(A1933,FIND(".",A1933,1)+2,LEN(A1933)),""),CHAR(34),CHAR(92)&amp;CHAR(34))</f>
        <v/>
      </c>
      <c r="F1933" t="str">
        <f t="shared" si="109"/>
        <v/>
      </c>
      <c r="G1933" t="str">
        <f>SUBSTITUTE(B1934,CHAR(34),CHAR(92)&amp;CHAR(34))</f>
        <v/>
      </c>
      <c r="H1933" t="str">
        <f>SUBSTITUTE(B1935,CHAR(34),CHAR(92)&amp;CHAR(34))</f>
        <v>Chỉ dẫn đến trạm kiểm tra tải trọng xe.</v>
      </c>
      <c r="I1933" t="str">
        <f>SUBSTITUTE(IF(LEFT(A1936,3)="Câu","",B1936),CHAR(34),CHAR(92)&amp;CHAR(34))</f>
        <v>Chỉ dẫn hướng rẽ vào nơi đặt trạm kiểm tra tải trọng xe.</v>
      </c>
      <c r="J1933" t="str">
        <f>SUBSTITUTE(IF(OR(LEFT(A1937,3)="Câu",I1933=""),"",IF(B1937=0,"",B1937)),CHAR(34),CHAR(92)&amp;CHAR(34))</f>
        <v xml:space="preserve"> Chỉ dẫn khoảng cách đến trạm kiểm tra tải trọng xe cách 750 m.</v>
      </c>
      <c r="K1933" t="str">
        <f>SUBSTITUTE(SUBSTITUTE(SUBSTITUTE(SUBSTITUTE(IFERROR(VLOOKUP("Câu "&amp;D1933&amp;".",dapan!$E:$J,6,0),""),"1","A"),"2","B"),"3","C"),"4","D")</f>
        <v/>
      </c>
      <c r="P1933" t="str">
        <f t="shared" si="111"/>
        <v/>
      </c>
      <c r="Q1933" t="str">
        <f t="shared" si="112"/>
        <v/>
      </c>
    </row>
    <row r="1934" spans="1:17" x14ac:dyDescent="0.25">
      <c r="A1934" t="s">
        <v>1349</v>
      </c>
      <c r="C1934">
        <f>IFERROR(COUNTIFS($A$1:A1934,"Câu "&amp;"*")-MID(A1934,5,FIND(".",A1934,1)-5),0)</f>
        <v>0</v>
      </c>
      <c r="D1934">
        <f t="shared" si="110"/>
        <v>469</v>
      </c>
      <c r="E1934" t="str">
        <f>SUBSTITUTE(IF(LEFT(A1934,3)="Câu",MID(A1934,FIND(".",A1934,1)+2,LEN(A1934)),""),CHAR(34),CHAR(92)&amp;CHAR(34))</f>
        <v>Biển này có ý nghĩa như thế nào?</v>
      </c>
      <c r="F1934" t="str">
        <f t="shared" si="109"/>
        <v>q469.jpg</v>
      </c>
      <c r="G1934" t="str">
        <f>SUBSTITUTE(B1935,CHAR(34),CHAR(92)&amp;CHAR(34))</f>
        <v>Chỉ dẫn đến trạm kiểm tra tải trọng xe.</v>
      </c>
      <c r="H1934" t="str">
        <f>SUBSTITUTE(B1936,CHAR(34),CHAR(92)&amp;CHAR(34))</f>
        <v>Chỉ dẫn hướng rẽ vào nơi đặt trạm kiểm tra tải trọng xe.</v>
      </c>
      <c r="I1934" t="str">
        <f>SUBSTITUTE(IF(LEFT(A1937,3)="Câu","",B1937),CHAR(34),CHAR(92)&amp;CHAR(34))</f>
        <v xml:space="preserve"> Chỉ dẫn khoảng cách đến trạm kiểm tra tải trọng xe cách 750 m.</v>
      </c>
      <c r="J1934" t="str">
        <f>SUBSTITUTE(IF(OR(LEFT(A1938,3)="Câu",I1934=""),"",IF(B1938=0,"",B1938)),CHAR(34),CHAR(92)&amp;CHAR(34))</f>
        <v/>
      </c>
      <c r="K1934" t="str">
        <f ca="1">SUBSTITUTE(SUBSTITUTE(SUBSTITUTE(SUBSTITUTE(IFERROR(VLOOKUP("Câu "&amp;D1934&amp;".",dapan!$E:$J,6,0),""),"1","A"),"2","B"),"3","C"),"4","D")</f>
        <v>C</v>
      </c>
      <c r="P1934">
        <f t="shared" si="111"/>
        <v>469</v>
      </c>
      <c r="Q1934" t="str">
        <f t="shared" ca="1" si="112"/>
        <v>{"num":469,"id":469,"q":"Biển này có ý nghĩa như thế nào?","img":"q469.jpg","opts":{"A":"Chỉ dẫn đến trạm kiểm tra tải trọng xe.","B":"Chỉ dẫn hướng rẽ vào nơi đặt trạm kiểm tra tải trọng xe.","C":" Chỉ dẫn khoảng cách đến trạm kiểm tra tải trọng xe cách 750 m."},"answer":"C"},</v>
      </c>
    </row>
    <row r="1935" spans="1:17" hidden="1" x14ac:dyDescent="0.25">
      <c r="A1935">
        <v>1</v>
      </c>
      <c r="B1935" t="s">
        <v>1350</v>
      </c>
      <c r="C1935">
        <f>IFERROR(COUNTIFS($A$1:A1935,"Câu "&amp;"*")-MID(A1935,5,FIND(".",A1935,1)-5),0)</f>
        <v>0</v>
      </c>
      <c r="D1935" t="str">
        <f t="shared" si="110"/>
        <v/>
      </c>
      <c r="E1935" t="str">
        <f>SUBSTITUTE(IF(LEFT(A1935,3)="Câu",MID(A1935,FIND(".",A1935,1)+2,LEN(A1935)),""),CHAR(34),CHAR(92)&amp;CHAR(34))</f>
        <v/>
      </c>
      <c r="F1935" t="str">
        <f t="shared" si="109"/>
        <v/>
      </c>
      <c r="G1935" t="str">
        <f>SUBSTITUTE(B1936,CHAR(34),CHAR(92)&amp;CHAR(34))</f>
        <v>Chỉ dẫn hướng rẽ vào nơi đặt trạm kiểm tra tải trọng xe.</v>
      </c>
      <c r="H1935" t="str">
        <f>SUBSTITUTE(B1937,CHAR(34),CHAR(92)&amp;CHAR(34))</f>
        <v xml:space="preserve"> Chỉ dẫn khoảng cách đến trạm kiểm tra tải trọng xe cách 750 m.</v>
      </c>
      <c r="I1935" t="str">
        <f>SUBSTITUTE(IF(LEFT(A1938,3)="Câu","",B1938),CHAR(34),CHAR(92)&amp;CHAR(34))</f>
        <v/>
      </c>
      <c r="J1935" t="str">
        <f>SUBSTITUTE(IF(OR(LEFT(A1939,3)="Câu",I1935=""),"",IF(B1939=0,"",B1939)),CHAR(34),CHAR(92)&amp;CHAR(34))</f>
        <v/>
      </c>
      <c r="K1935" t="str">
        <f>SUBSTITUTE(SUBSTITUTE(SUBSTITUTE(SUBSTITUTE(IFERROR(VLOOKUP("Câu "&amp;D1935&amp;".",dapan!$E:$J,6,0),""),"1","A"),"2","B"),"3","C"),"4","D")</f>
        <v/>
      </c>
      <c r="P1935" t="str">
        <f t="shared" si="111"/>
        <v/>
      </c>
      <c r="Q1935" t="str">
        <f t="shared" si="112"/>
        <v/>
      </c>
    </row>
    <row r="1936" spans="1:17" hidden="1" x14ac:dyDescent="0.25">
      <c r="A1936">
        <v>2</v>
      </c>
      <c r="B1936" t="s">
        <v>1351</v>
      </c>
      <c r="C1936">
        <f>IFERROR(COUNTIFS($A$1:A1936,"Câu "&amp;"*")-MID(A1936,5,FIND(".",A1936,1)-5),0)</f>
        <v>0</v>
      </c>
      <c r="D1936" t="str">
        <f t="shared" si="110"/>
        <v/>
      </c>
      <c r="E1936" t="str">
        <f>SUBSTITUTE(IF(LEFT(A1936,3)="Câu",MID(A1936,FIND(".",A1936,1)+2,LEN(A1936)),""),CHAR(34),CHAR(92)&amp;CHAR(34))</f>
        <v/>
      </c>
      <c r="F1936" t="str">
        <f t="shared" si="109"/>
        <v/>
      </c>
      <c r="G1936" t="str">
        <f>SUBSTITUTE(B1937,CHAR(34),CHAR(92)&amp;CHAR(34))</f>
        <v xml:space="preserve"> Chỉ dẫn khoảng cách đến trạm kiểm tra tải trọng xe cách 750 m.</v>
      </c>
      <c r="H1936" t="str">
        <f>SUBSTITUTE(B1938,CHAR(34),CHAR(92)&amp;CHAR(34))</f>
        <v/>
      </c>
      <c r="I1936" t="str">
        <f>SUBSTITUTE(IF(LEFT(A1939,3)="Câu","",B1939),CHAR(34),CHAR(92)&amp;CHAR(34))</f>
        <v xml:space="preserve"> Biển 1.</v>
      </c>
      <c r="J1936" t="str">
        <f>SUBSTITUTE(IF(OR(LEFT(A1940,3)="Câu",I1936=""),"",IF(B1940=0,"",B1940)),CHAR(34),CHAR(92)&amp;CHAR(34))</f>
        <v>Biển 2.</v>
      </c>
      <c r="K1936" t="str">
        <f>SUBSTITUTE(SUBSTITUTE(SUBSTITUTE(SUBSTITUTE(IFERROR(VLOOKUP("Câu "&amp;D1936&amp;".",dapan!$E:$J,6,0),""),"1","A"),"2","B"),"3","C"),"4","D")</f>
        <v/>
      </c>
      <c r="P1936" t="str">
        <f t="shared" si="111"/>
        <v/>
      </c>
      <c r="Q1936" t="str">
        <f t="shared" si="112"/>
        <v/>
      </c>
    </row>
    <row r="1937" spans="1:17" hidden="1" x14ac:dyDescent="0.25">
      <c r="A1937">
        <v>3</v>
      </c>
      <c r="B1937" t="s">
        <v>1352</v>
      </c>
      <c r="C1937">
        <f>IFERROR(COUNTIFS($A$1:A1937,"Câu "&amp;"*")-MID(A1937,5,FIND(".",A1937,1)-5),0)</f>
        <v>0</v>
      </c>
      <c r="D1937" t="str">
        <f t="shared" si="110"/>
        <v/>
      </c>
      <c r="E1937" t="str">
        <f>SUBSTITUTE(IF(LEFT(A1937,3)="Câu",MID(A1937,FIND(".",A1937,1)+2,LEN(A1937)),""),CHAR(34),CHAR(92)&amp;CHAR(34))</f>
        <v/>
      </c>
      <c r="F1937" t="str">
        <f t="shared" si="109"/>
        <v/>
      </c>
      <c r="G1937" t="str">
        <f>SUBSTITUTE(B1938,CHAR(34),CHAR(92)&amp;CHAR(34))</f>
        <v/>
      </c>
      <c r="H1937" t="str">
        <f>SUBSTITUTE(B1939,CHAR(34),CHAR(92)&amp;CHAR(34))</f>
        <v xml:space="preserve"> Biển 1.</v>
      </c>
      <c r="I1937" t="str">
        <f>SUBSTITUTE(IF(LEFT(A1940,3)="Câu","",B1940),CHAR(34),CHAR(92)&amp;CHAR(34))</f>
        <v>Biển 2.</v>
      </c>
      <c r="J1937" t="str">
        <f>SUBSTITUTE(IF(OR(LEFT(A1941,3)="Câu",I1937=""),"",IF(B1941=0,"",B1941)),CHAR(34),CHAR(92)&amp;CHAR(34))</f>
        <v>Biển 3.</v>
      </c>
      <c r="K1937" t="str">
        <f>SUBSTITUTE(SUBSTITUTE(SUBSTITUTE(SUBSTITUTE(IFERROR(VLOOKUP("Câu "&amp;D1937&amp;".",dapan!$E:$J,6,0),""),"1","A"),"2","B"),"3","C"),"4","D")</f>
        <v/>
      </c>
      <c r="P1937" t="str">
        <f t="shared" si="111"/>
        <v/>
      </c>
      <c r="Q1937" t="str">
        <f t="shared" si="112"/>
        <v/>
      </c>
    </row>
    <row r="1938" spans="1:17" x14ac:dyDescent="0.25">
      <c r="A1938" t="s">
        <v>1353</v>
      </c>
      <c r="C1938">
        <f>IFERROR(COUNTIFS($A$1:A1938,"Câu "&amp;"*")-MID(A1938,5,FIND(".",A1938,1)-5),0)</f>
        <v>0</v>
      </c>
      <c r="D1938">
        <f t="shared" si="110"/>
        <v>470</v>
      </c>
      <c r="E1938" t="str">
        <f>SUBSTITUTE(IF(LEFT(A1938,3)="Câu",MID(A1938,FIND(".",A1938,1)+2,LEN(A1938)),""),CHAR(34),CHAR(92)&amp;CHAR(34))</f>
        <v>Trên đường cao tốc, gặp biển nào thì người lái xe đi theo hướng bên trái để tránh chướng ngại vật?</v>
      </c>
      <c r="F1938" t="str">
        <f t="shared" si="109"/>
        <v>q470.jpg</v>
      </c>
      <c r="G1938" t="str">
        <f>SUBSTITUTE(B1939,CHAR(34),CHAR(92)&amp;CHAR(34))</f>
        <v xml:space="preserve"> Biển 1.</v>
      </c>
      <c r="H1938" t="str">
        <f>SUBSTITUTE(B1940,CHAR(34),CHAR(92)&amp;CHAR(34))</f>
        <v>Biển 2.</v>
      </c>
      <c r="I1938" t="str">
        <f>SUBSTITUTE(IF(LEFT(A1941,3)="Câu","",B1941),CHAR(34),CHAR(92)&amp;CHAR(34))</f>
        <v>Biển 3.</v>
      </c>
      <c r="J1938" t="str">
        <f>SUBSTITUTE(IF(OR(LEFT(A1942,3)="Câu",I1938=""),"",IF(B1942=0,"",B1942)),CHAR(34),CHAR(92)&amp;CHAR(34))</f>
        <v/>
      </c>
      <c r="K1938" t="str">
        <f ca="1">SUBSTITUTE(SUBSTITUTE(SUBSTITUTE(SUBSTITUTE(IFERROR(VLOOKUP("Câu "&amp;D1938&amp;".",dapan!$E:$J,6,0),""),"1","A"),"2","B"),"3","C"),"4","D")</f>
        <v>A</v>
      </c>
      <c r="P1938">
        <f t="shared" si="111"/>
        <v>470</v>
      </c>
      <c r="Q1938" t="str">
        <f t="shared" ca="1" si="112"/>
        <v>{"num":470,"id":470,"q":"Trên đường cao tốc, gặp biển nào thì người lái xe đi theo hướng bên trái để tránh chướng ngại vật?","img":"q470.jpg","opts":{"A":" Biển 1.","B":"Biển 2.","C":"Biển 3."},"answer":"A"},</v>
      </c>
    </row>
    <row r="1939" spans="1:17" hidden="1" x14ac:dyDescent="0.25">
      <c r="A1939">
        <v>1</v>
      </c>
      <c r="B1939" t="s">
        <v>1066</v>
      </c>
      <c r="C1939">
        <f>IFERROR(COUNTIFS($A$1:A1939,"Câu "&amp;"*")-MID(A1939,5,FIND(".",A1939,1)-5),0)</f>
        <v>0</v>
      </c>
      <c r="D1939" t="str">
        <f t="shared" si="110"/>
        <v/>
      </c>
      <c r="E1939" t="str">
        <f>SUBSTITUTE(IF(LEFT(A1939,3)="Câu",MID(A1939,FIND(".",A1939,1)+2,LEN(A1939)),""),CHAR(34),CHAR(92)&amp;CHAR(34))</f>
        <v/>
      </c>
      <c r="F1939" t="str">
        <f t="shared" si="109"/>
        <v/>
      </c>
      <c r="G1939" t="str">
        <f>SUBSTITUTE(B1940,CHAR(34),CHAR(92)&amp;CHAR(34))</f>
        <v>Biển 2.</v>
      </c>
      <c r="H1939" t="str">
        <f>SUBSTITUTE(B1941,CHAR(34),CHAR(92)&amp;CHAR(34))</f>
        <v>Biển 3.</v>
      </c>
      <c r="I1939" t="str">
        <f>SUBSTITUTE(IF(LEFT(A1942,3)="Câu","",B1942),CHAR(34),CHAR(92)&amp;CHAR(34))</f>
        <v/>
      </c>
      <c r="J1939" t="str">
        <f>SUBSTITUTE(IF(OR(LEFT(A1943,3)="Câu",I1939=""),"",IF(B1943=0,"",B1943)),CHAR(34),CHAR(92)&amp;CHAR(34))</f>
        <v/>
      </c>
      <c r="K1939" t="str">
        <f>SUBSTITUTE(SUBSTITUTE(SUBSTITUTE(SUBSTITUTE(IFERROR(VLOOKUP("Câu "&amp;D1939&amp;".",dapan!$E:$J,6,0),""),"1","A"),"2","B"),"3","C"),"4","D")</f>
        <v/>
      </c>
      <c r="P1939" t="str">
        <f t="shared" si="111"/>
        <v/>
      </c>
      <c r="Q1939" t="str">
        <f t="shared" si="112"/>
        <v/>
      </c>
    </row>
    <row r="1940" spans="1:17" hidden="1" x14ac:dyDescent="0.25">
      <c r="A1940">
        <v>2</v>
      </c>
      <c r="B1940" t="s">
        <v>1068</v>
      </c>
      <c r="C1940">
        <f>IFERROR(COUNTIFS($A$1:A1940,"Câu "&amp;"*")-MID(A1940,5,FIND(".",A1940,1)-5),0)</f>
        <v>0</v>
      </c>
      <c r="D1940" t="str">
        <f t="shared" si="110"/>
        <v/>
      </c>
      <c r="E1940" t="str">
        <f>SUBSTITUTE(IF(LEFT(A1940,3)="Câu",MID(A1940,FIND(".",A1940,1)+2,LEN(A1940)),""),CHAR(34),CHAR(92)&amp;CHAR(34))</f>
        <v/>
      </c>
      <c r="F1940" t="str">
        <f t="shared" si="109"/>
        <v/>
      </c>
      <c r="G1940" t="str">
        <f>SUBSTITUTE(B1941,CHAR(34),CHAR(92)&amp;CHAR(34))</f>
        <v>Biển 3.</v>
      </c>
      <c r="H1940" t="str">
        <f>SUBSTITUTE(B1942,CHAR(34),CHAR(92)&amp;CHAR(34))</f>
        <v/>
      </c>
      <c r="I1940" t="str">
        <f>SUBSTITUTE(IF(LEFT(A1943,3)="Câu","",B1943),CHAR(34),CHAR(92)&amp;CHAR(34))</f>
        <v>Biển 1.</v>
      </c>
      <c r="J1940" t="str">
        <f>SUBSTITUTE(IF(OR(LEFT(A1944,3)="Câu",I1940=""),"",IF(B1944=0,"",B1944)),CHAR(34),CHAR(92)&amp;CHAR(34))</f>
        <v>Biển 2.</v>
      </c>
      <c r="K1940" t="str">
        <f>SUBSTITUTE(SUBSTITUTE(SUBSTITUTE(SUBSTITUTE(IFERROR(VLOOKUP("Câu "&amp;D1940&amp;".",dapan!$E:$J,6,0),""),"1","A"),"2","B"),"3","C"),"4","D")</f>
        <v/>
      </c>
      <c r="P1940" t="str">
        <f t="shared" si="111"/>
        <v/>
      </c>
      <c r="Q1940" t="str">
        <f t="shared" si="112"/>
        <v/>
      </c>
    </row>
    <row r="1941" spans="1:17" hidden="1" x14ac:dyDescent="0.25">
      <c r="A1941">
        <v>3</v>
      </c>
      <c r="B1941" t="s">
        <v>1083</v>
      </c>
      <c r="C1941">
        <f>IFERROR(COUNTIFS($A$1:A1941,"Câu "&amp;"*")-MID(A1941,5,FIND(".",A1941,1)-5),0)</f>
        <v>0</v>
      </c>
      <c r="D1941" t="str">
        <f t="shared" si="110"/>
        <v/>
      </c>
      <c r="E1941" t="str">
        <f>SUBSTITUTE(IF(LEFT(A1941,3)="Câu",MID(A1941,FIND(".",A1941,1)+2,LEN(A1941)),""),CHAR(34),CHAR(92)&amp;CHAR(34))</f>
        <v/>
      </c>
      <c r="F1941" t="str">
        <f t="shared" si="109"/>
        <v/>
      </c>
      <c r="G1941" t="str">
        <f>SUBSTITUTE(B1942,CHAR(34),CHAR(92)&amp;CHAR(34))</f>
        <v/>
      </c>
      <c r="H1941" t="str">
        <f>SUBSTITUTE(B1943,CHAR(34),CHAR(92)&amp;CHAR(34))</f>
        <v>Biển 1.</v>
      </c>
      <c r="I1941" t="str">
        <f>SUBSTITUTE(IF(LEFT(A1944,3)="Câu","",B1944),CHAR(34),CHAR(92)&amp;CHAR(34))</f>
        <v>Biển 2.</v>
      </c>
      <c r="J1941" t="str">
        <f>SUBSTITUTE(IF(OR(LEFT(A1945,3)="Câu",I1941=""),"",IF(B1945=0,"",B1945)),CHAR(34),CHAR(92)&amp;CHAR(34))</f>
        <v xml:space="preserve"> Biển 3.</v>
      </c>
      <c r="K1941" t="str">
        <f>SUBSTITUTE(SUBSTITUTE(SUBSTITUTE(SUBSTITUTE(IFERROR(VLOOKUP("Câu "&amp;D1941&amp;".",dapan!$E:$J,6,0),""),"1","A"),"2","B"),"3","C"),"4","D")</f>
        <v/>
      </c>
      <c r="P1941" t="str">
        <f t="shared" si="111"/>
        <v/>
      </c>
      <c r="Q1941" t="str">
        <f t="shared" si="112"/>
        <v/>
      </c>
    </row>
    <row r="1942" spans="1:17" x14ac:dyDescent="0.25">
      <c r="A1942" t="s">
        <v>1354</v>
      </c>
      <c r="C1942">
        <f>IFERROR(COUNTIFS($A$1:A1942,"Câu "&amp;"*")-MID(A1942,5,FIND(".",A1942,1)-5),0)</f>
        <v>0</v>
      </c>
      <c r="D1942">
        <f t="shared" si="110"/>
        <v>471</v>
      </c>
      <c r="E1942" t="str">
        <f>SUBSTITUTE(IF(LEFT(A1942,3)="Câu",MID(A1942,FIND(".",A1942,1)+2,LEN(A1942)),""),CHAR(34),CHAR(92)&amp;CHAR(34))</f>
        <v>Trên đường cao tốc, gặp biển nào thì người lái xe đi theo hướng bên phải để tránh chướng ngại vật?</v>
      </c>
      <c r="F1942" t="str">
        <f t="shared" si="109"/>
        <v>q471.jpg</v>
      </c>
      <c r="G1942" t="str">
        <f>SUBSTITUTE(B1943,CHAR(34),CHAR(92)&amp;CHAR(34))</f>
        <v>Biển 1.</v>
      </c>
      <c r="H1942" t="str">
        <f>SUBSTITUTE(B1944,CHAR(34),CHAR(92)&amp;CHAR(34))</f>
        <v>Biển 2.</v>
      </c>
      <c r="I1942" t="str">
        <f>SUBSTITUTE(IF(LEFT(A1945,3)="Câu","",B1945),CHAR(34),CHAR(92)&amp;CHAR(34))</f>
        <v xml:space="preserve"> Biển 3.</v>
      </c>
      <c r="J1942" t="str">
        <f>SUBSTITUTE(IF(OR(LEFT(A1946,3)="Câu",I1942=""),"",IF(B1946=0,"",B1946)),CHAR(34),CHAR(92)&amp;CHAR(34))</f>
        <v/>
      </c>
      <c r="K1942" t="str">
        <f ca="1">SUBSTITUTE(SUBSTITUTE(SUBSTITUTE(SUBSTITUTE(IFERROR(VLOOKUP("Câu "&amp;D1942&amp;".",dapan!$E:$J,6,0),""),"1","A"),"2","B"),"3","C"),"4","D")</f>
        <v>C</v>
      </c>
      <c r="P1942">
        <f t="shared" si="111"/>
        <v>471</v>
      </c>
      <c r="Q1942" t="str">
        <f t="shared" ca="1" si="112"/>
        <v>{"num":471,"id":471,"q":"Trên đường cao tốc, gặp biển nào thì người lái xe đi theo hướng bên phải để tránh chướng ngại vật?","img":"q471.jpg","opts":{"A":"Biển 1.","B":"Biển 2.","C":" Biển 3."},"answer":"C"},</v>
      </c>
    </row>
    <row r="1943" spans="1:17" hidden="1" x14ac:dyDescent="0.25">
      <c r="A1943">
        <v>1</v>
      </c>
      <c r="B1943" t="s">
        <v>1075</v>
      </c>
      <c r="C1943">
        <f>IFERROR(COUNTIFS($A$1:A1943,"Câu "&amp;"*")-MID(A1943,5,FIND(".",A1943,1)-5),0)</f>
        <v>0</v>
      </c>
      <c r="D1943" t="str">
        <f t="shared" si="110"/>
        <v/>
      </c>
      <c r="E1943" t="str">
        <f>SUBSTITUTE(IF(LEFT(A1943,3)="Câu",MID(A1943,FIND(".",A1943,1)+2,LEN(A1943)),""),CHAR(34),CHAR(92)&amp;CHAR(34))</f>
        <v/>
      </c>
      <c r="F1943" t="str">
        <f t="shared" ref="F1943:F2004" si="113">IF(D1943="","","q"&amp;TEXT(D1943,"000")&amp;".jpg")</f>
        <v/>
      </c>
      <c r="G1943" t="str">
        <f>SUBSTITUTE(B1944,CHAR(34),CHAR(92)&amp;CHAR(34))</f>
        <v>Biển 2.</v>
      </c>
      <c r="H1943" t="str">
        <f>SUBSTITUTE(B1945,CHAR(34),CHAR(92)&amp;CHAR(34))</f>
        <v xml:space="preserve"> Biển 3.</v>
      </c>
      <c r="I1943" t="str">
        <f>SUBSTITUTE(IF(LEFT(A1946,3)="Câu","",B1946),CHAR(34),CHAR(92)&amp;CHAR(34))</f>
        <v/>
      </c>
      <c r="J1943" t="str">
        <f>SUBSTITUTE(IF(OR(LEFT(A1947,3)="Câu",I1943=""),"",IF(B1947=0,"",B1947)),CHAR(34),CHAR(92)&amp;CHAR(34))</f>
        <v/>
      </c>
      <c r="K1943" t="str">
        <f>SUBSTITUTE(SUBSTITUTE(SUBSTITUTE(SUBSTITUTE(IFERROR(VLOOKUP("Câu "&amp;D1943&amp;".",dapan!$E:$J,6,0),""),"1","A"),"2","B"),"3","C"),"4","D")</f>
        <v/>
      </c>
      <c r="P1943" t="str">
        <f t="shared" si="111"/>
        <v/>
      </c>
      <c r="Q1943" t="str">
        <f t="shared" si="112"/>
        <v/>
      </c>
    </row>
    <row r="1944" spans="1:17" hidden="1" x14ac:dyDescent="0.25">
      <c r="A1944">
        <v>2</v>
      </c>
      <c r="B1944" t="s">
        <v>1068</v>
      </c>
      <c r="C1944">
        <f>IFERROR(COUNTIFS($A$1:A1944,"Câu "&amp;"*")-MID(A1944,5,FIND(".",A1944,1)-5),0)</f>
        <v>0</v>
      </c>
      <c r="D1944" t="str">
        <f t="shared" si="110"/>
        <v/>
      </c>
      <c r="E1944" t="str">
        <f>SUBSTITUTE(IF(LEFT(A1944,3)="Câu",MID(A1944,FIND(".",A1944,1)+2,LEN(A1944)),""),CHAR(34),CHAR(92)&amp;CHAR(34))</f>
        <v/>
      </c>
      <c r="F1944" t="str">
        <f t="shared" si="113"/>
        <v/>
      </c>
      <c r="G1944" t="str">
        <f>SUBSTITUTE(B1945,CHAR(34),CHAR(92)&amp;CHAR(34))</f>
        <v xml:space="preserve"> Biển 3.</v>
      </c>
      <c r="H1944" t="str">
        <f>SUBSTITUTE(B1946,CHAR(34),CHAR(92)&amp;CHAR(34))</f>
        <v/>
      </c>
      <c r="I1944" t="str">
        <f>SUBSTITUTE(IF(LEFT(A1947,3)="Câu","",B1947),CHAR(34),CHAR(92)&amp;CHAR(34))</f>
        <v>Biển 1.</v>
      </c>
      <c r="J1944" t="str">
        <f>SUBSTITUTE(IF(OR(LEFT(A1948,3)="Câu",I1944=""),"",IF(B1948=0,"",B1948)),CHAR(34),CHAR(92)&amp;CHAR(34))</f>
        <v xml:space="preserve"> Biển 2.</v>
      </c>
      <c r="K1944" t="str">
        <f>SUBSTITUTE(SUBSTITUTE(SUBSTITUTE(SUBSTITUTE(IFERROR(VLOOKUP("Câu "&amp;D1944&amp;".",dapan!$E:$J,6,0),""),"1","A"),"2","B"),"3","C"),"4","D")</f>
        <v/>
      </c>
      <c r="P1944" t="str">
        <f t="shared" si="111"/>
        <v/>
      </c>
      <c r="Q1944" t="str">
        <f t="shared" si="112"/>
        <v/>
      </c>
    </row>
    <row r="1945" spans="1:17" hidden="1" x14ac:dyDescent="0.25">
      <c r="A1945">
        <v>3</v>
      </c>
      <c r="B1945" t="s">
        <v>1114</v>
      </c>
      <c r="C1945">
        <f>IFERROR(COUNTIFS($A$1:A1945,"Câu "&amp;"*")-MID(A1945,5,FIND(".",A1945,1)-5),0)</f>
        <v>0</v>
      </c>
      <c r="D1945" t="str">
        <f t="shared" ref="D1945:D2008" si="114">IF(LEFT(A1945,3)="Câu",VALUE(MID(A1945,5,FIND(".",A1945,1)-5)),"")</f>
        <v/>
      </c>
      <c r="E1945" t="str">
        <f>SUBSTITUTE(IF(LEFT(A1945,3)="Câu",MID(A1945,FIND(".",A1945,1)+2,LEN(A1945)),""),CHAR(34),CHAR(92)&amp;CHAR(34))</f>
        <v/>
      </c>
      <c r="F1945" t="str">
        <f t="shared" si="113"/>
        <v/>
      </c>
      <c r="G1945" t="str">
        <f>SUBSTITUTE(B1946,CHAR(34),CHAR(92)&amp;CHAR(34))</f>
        <v/>
      </c>
      <c r="H1945" t="str">
        <f>SUBSTITUTE(B1947,CHAR(34),CHAR(92)&amp;CHAR(34))</f>
        <v>Biển 1.</v>
      </c>
      <c r="I1945" t="str">
        <f>SUBSTITUTE(IF(LEFT(A1948,3)="Câu","",B1948),CHAR(34),CHAR(92)&amp;CHAR(34))</f>
        <v xml:space="preserve"> Biển 2.</v>
      </c>
      <c r="J1945" t="str">
        <f>SUBSTITUTE(IF(OR(LEFT(A1949,3)="Câu",I1945=""),"",IF(B1949=0,"",B1949)),CHAR(34),CHAR(92)&amp;CHAR(34))</f>
        <v>Biển 3.</v>
      </c>
      <c r="K1945" t="str">
        <f>SUBSTITUTE(SUBSTITUTE(SUBSTITUTE(SUBSTITUTE(IFERROR(VLOOKUP("Câu "&amp;D1945&amp;".",dapan!$E:$J,6,0),""),"1","A"),"2","B"),"3","C"),"4","D")</f>
        <v/>
      </c>
      <c r="P1945" t="str">
        <f t="shared" si="111"/>
        <v/>
      </c>
      <c r="Q1945" t="str">
        <f t="shared" si="112"/>
        <v/>
      </c>
    </row>
    <row r="1946" spans="1:17" x14ac:dyDescent="0.25">
      <c r="A1946" t="s">
        <v>1355</v>
      </c>
      <c r="C1946">
        <f>IFERROR(COUNTIFS($A$1:A1946,"Câu "&amp;"*")-MID(A1946,5,FIND(".",A1946,1)-5),0)</f>
        <v>0</v>
      </c>
      <c r="D1946">
        <f t="shared" si="114"/>
        <v>472</v>
      </c>
      <c r="E1946" t="str">
        <f>SUBSTITUTE(IF(LEFT(A1946,3)="Câu",MID(A1946,FIND(".",A1946,1)+2,LEN(A1946)),""),CHAR(34),CHAR(92)&amp;CHAR(34))</f>
        <v>Trên đường cao tốc, gặp biển nào thì người lái xe đi được cả hai hướng (bên trái hoặc bên phải) để tránh chướng ngại vật?</v>
      </c>
      <c r="F1946" t="str">
        <f t="shared" si="113"/>
        <v>q472.jpg</v>
      </c>
      <c r="G1946" t="str">
        <f>SUBSTITUTE(B1947,CHAR(34),CHAR(92)&amp;CHAR(34))</f>
        <v>Biển 1.</v>
      </c>
      <c r="H1946" t="str">
        <f>SUBSTITUTE(B1948,CHAR(34),CHAR(92)&amp;CHAR(34))</f>
        <v xml:space="preserve"> Biển 2.</v>
      </c>
      <c r="I1946" t="str">
        <f>SUBSTITUTE(IF(LEFT(A1949,3)="Câu","",B1949),CHAR(34),CHAR(92)&amp;CHAR(34))</f>
        <v>Biển 3.</v>
      </c>
      <c r="J1946" t="str">
        <f>SUBSTITUTE(IF(OR(LEFT(A1950,3)="Câu",I1946=""),"",IF(B1950=0,"",B1950)),CHAR(34),CHAR(92)&amp;CHAR(34))</f>
        <v/>
      </c>
      <c r="K1946" t="str">
        <f ca="1">SUBSTITUTE(SUBSTITUTE(SUBSTITUTE(SUBSTITUTE(IFERROR(VLOOKUP("Câu "&amp;D1946&amp;".",dapan!$E:$J,6,0),""),"1","A"),"2","B"),"3","C"),"4","D")</f>
        <v>B</v>
      </c>
      <c r="P1946">
        <f t="shared" si="111"/>
        <v>472</v>
      </c>
      <c r="Q1946" t="str">
        <f t="shared" ca="1" si="112"/>
        <v>{"num":472,"id":472,"q":"Trên đường cao tốc, gặp biển nào thì người lái xe đi được cả hai hướng (bên trái hoặc bên phải) để tránh chướng ngại vật?","img":"q472.jpg","opts":{"A":"Biển 1.","B":" Biển 2.","C":"Biển 3."},"answer":"B"},</v>
      </c>
    </row>
    <row r="1947" spans="1:17" hidden="1" x14ac:dyDescent="0.25">
      <c r="A1947">
        <v>1</v>
      </c>
      <c r="B1947" t="s">
        <v>1075</v>
      </c>
      <c r="C1947">
        <f>IFERROR(COUNTIFS($A$1:A1947,"Câu "&amp;"*")-MID(A1947,5,FIND(".",A1947,1)-5),0)</f>
        <v>0</v>
      </c>
      <c r="D1947" t="str">
        <f t="shared" si="114"/>
        <v/>
      </c>
      <c r="E1947" t="str">
        <f>SUBSTITUTE(IF(LEFT(A1947,3)="Câu",MID(A1947,FIND(".",A1947,1)+2,LEN(A1947)),""),CHAR(34),CHAR(92)&amp;CHAR(34))</f>
        <v/>
      </c>
      <c r="F1947" t="str">
        <f t="shared" si="113"/>
        <v/>
      </c>
      <c r="G1947" t="str">
        <f>SUBSTITUTE(B1948,CHAR(34),CHAR(92)&amp;CHAR(34))</f>
        <v xml:space="preserve"> Biển 2.</v>
      </c>
      <c r="H1947" t="str">
        <f>SUBSTITUTE(B1949,CHAR(34),CHAR(92)&amp;CHAR(34))</f>
        <v>Biển 3.</v>
      </c>
      <c r="I1947" t="str">
        <f>SUBSTITUTE(IF(LEFT(A1950,3)="Câu","",B1950),CHAR(34),CHAR(92)&amp;CHAR(34))</f>
        <v/>
      </c>
      <c r="J1947" t="str">
        <f>SUBSTITUTE(IF(OR(LEFT(A1951,3)="Câu",I1947=""),"",IF(B1951=0,"",B1951)),CHAR(34),CHAR(92)&amp;CHAR(34))</f>
        <v/>
      </c>
      <c r="K1947" t="str">
        <f>SUBSTITUTE(SUBSTITUTE(SUBSTITUTE(SUBSTITUTE(IFERROR(VLOOKUP("Câu "&amp;D1947&amp;".",dapan!$E:$J,6,0),""),"1","A"),"2","B"),"3","C"),"4","D")</f>
        <v/>
      </c>
      <c r="P1947" t="str">
        <f t="shared" si="111"/>
        <v/>
      </c>
      <c r="Q1947" t="str">
        <f t="shared" si="112"/>
        <v/>
      </c>
    </row>
    <row r="1948" spans="1:17" hidden="1" x14ac:dyDescent="0.25">
      <c r="A1948">
        <v>2</v>
      </c>
      <c r="B1948" t="s">
        <v>1090</v>
      </c>
      <c r="C1948">
        <f>IFERROR(COUNTIFS($A$1:A1948,"Câu "&amp;"*")-MID(A1948,5,FIND(".",A1948,1)-5),0)</f>
        <v>0</v>
      </c>
      <c r="D1948" t="str">
        <f t="shared" si="114"/>
        <v/>
      </c>
      <c r="E1948" t="str">
        <f>SUBSTITUTE(IF(LEFT(A1948,3)="Câu",MID(A1948,FIND(".",A1948,1)+2,LEN(A1948)),""),CHAR(34),CHAR(92)&amp;CHAR(34))</f>
        <v/>
      </c>
      <c r="F1948" t="str">
        <f t="shared" si="113"/>
        <v/>
      </c>
      <c r="G1948" t="str">
        <f>SUBSTITUTE(B1949,CHAR(34),CHAR(92)&amp;CHAR(34))</f>
        <v>Biển 3.</v>
      </c>
      <c r="H1948" t="str">
        <f>SUBSTITUTE(B1950,CHAR(34),CHAR(92)&amp;CHAR(34))</f>
        <v/>
      </c>
      <c r="I1948" t="str">
        <f>SUBSTITUTE(IF(LEFT(A1951,3)="Câu","",B1951),CHAR(34),CHAR(92)&amp;CHAR(34))</f>
        <v>Biển 1 và biển 2.</v>
      </c>
      <c r="J1948" t="str">
        <f>SUBSTITUTE(IF(OR(LEFT(A1952,3)="Câu",I1948=""),"",IF(B1952=0,"",B1952)),CHAR(34),CHAR(92)&amp;CHAR(34))</f>
        <v xml:space="preserve"> Biển 1 và biển 3.</v>
      </c>
      <c r="K1948" t="str">
        <f>SUBSTITUTE(SUBSTITUTE(SUBSTITUTE(SUBSTITUTE(IFERROR(VLOOKUP("Câu "&amp;D1948&amp;".",dapan!$E:$J,6,0),""),"1","A"),"2","B"),"3","C"),"4","D")</f>
        <v/>
      </c>
      <c r="P1948" t="str">
        <f t="shared" si="111"/>
        <v/>
      </c>
      <c r="Q1948" t="str">
        <f t="shared" si="112"/>
        <v/>
      </c>
    </row>
    <row r="1949" spans="1:17" hidden="1" x14ac:dyDescent="0.25">
      <c r="A1949">
        <v>3</v>
      </c>
      <c r="B1949" t="s">
        <v>1083</v>
      </c>
      <c r="C1949">
        <f>IFERROR(COUNTIFS($A$1:A1949,"Câu "&amp;"*")-MID(A1949,5,FIND(".",A1949,1)-5),0)</f>
        <v>0</v>
      </c>
      <c r="D1949" t="str">
        <f t="shared" si="114"/>
        <v/>
      </c>
      <c r="E1949" t="str">
        <f>SUBSTITUTE(IF(LEFT(A1949,3)="Câu",MID(A1949,FIND(".",A1949,1)+2,LEN(A1949)),""),CHAR(34),CHAR(92)&amp;CHAR(34))</f>
        <v/>
      </c>
      <c r="F1949" t="str">
        <f t="shared" si="113"/>
        <v/>
      </c>
      <c r="G1949" t="str">
        <f>SUBSTITUTE(B1950,CHAR(34),CHAR(92)&amp;CHAR(34))</f>
        <v/>
      </c>
      <c r="H1949" t="str">
        <f>SUBSTITUTE(B1951,CHAR(34),CHAR(92)&amp;CHAR(34))</f>
        <v>Biển 1 và biển 2.</v>
      </c>
      <c r="I1949" t="str">
        <f>SUBSTITUTE(IF(LEFT(A1952,3)="Câu","",B1952),CHAR(34),CHAR(92)&amp;CHAR(34))</f>
        <v xml:space="preserve"> Biển 1 và biển 3.</v>
      </c>
      <c r="J1949" t="str">
        <f>SUBSTITUTE(IF(OR(LEFT(A1953,3)="Câu",I1949=""),"",IF(B1953=0,"",B1953)),CHAR(34),CHAR(92)&amp;CHAR(34))</f>
        <v>Biển 2.</v>
      </c>
      <c r="K1949" t="str">
        <f>SUBSTITUTE(SUBSTITUTE(SUBSTITUTE(SUBSTITUTE(IFERROR(VLOOKUP("Câu "&amp;D1949&amp;".",dapan!$E:$J,6,0),""),"1","A"),"2","B"),"3","C"),"4","D")</f>
        <v/>
      </c>
      <c r="P1949" t="str">
        <f t="shared" si="111"/>
        <v/>
      </c>
      <c r="Q1949" t="str">
        <f t="shared" si="112"/>
        <v/>
      </c>
    </row>
    <row r="1950" spans="1:17" x14ac:dyDescent="0.25">
      <c r="A1950" t="s">
        <v>1356</v>
      </c>
      <c r="C1950">
        <f>IFERROR(COUNTIFS($A$1:A1950,"Câu "&amp;"*")-MID(A1950,5,FIND(".",A1950,1)-5),0)</f>
        <v>0</v>
      </c>
      <c r="D1950">
        <f t="shared" si="114"/>
        <v>473</v>
      </c>
      <c r="E1950" t="str">
        <f>SUBSTITUTE(IF(LEFT(A1950,3)="Câu",MID(A1950,FIND(".",A1950,1)+2,LEN(A1950)),""),CHAR(34),CHAR(92)&amp;CHAR(34))</f>
        <v>Trên đường cao tốc, gặp biển nào người lái xe phải chú ý đổi hướng đi khi sắp vào đường cong nguy hiểm?</v>
      </c>
      <c r="F1950" t="str">
        <f t="shared" si="113"/>
        <v>q473.jpg</v>
      </c>
      <c r="G1950" t="str">
        <f>SUBSTITUTE(B1951,CHAR(34),CHAR(92)&amp;CHAR(34))</f>
        <v>Biển 1 và biển 2.</v>
      </c>
      <c r="H1950" t="str">
        <f>SUBSTITUTE(B1952,CHAR(34),CHAR(92)&amp;CHAR(34))</f>
        <v xml:space="preserve"> Biển 1 và biển 3.</v>
      </c>
      <c r="I1950" t="str">
        <f>SUBSTITUTE(IF(LEFT(A1953,3)="Câu","",B1953),CHAR(34),CHAR(92)&amp;CHAR(34))</f>
        <v>Biển 2.</v>
      </c>
      <c r="J1950" t="str">
        <f>SUBSTITUTE(IF(OR(LEFT(A1954,3)="Câu",I1950=""),"",IF(B1954=0,"",B1954)),CHAR(34),CHAR(92)&amp;CHAR(34))</f>
        <v>Biển 3.</v>
      </c>
      <c r="K1950" t="str">
        <f ca="1">SUBSTITUTE(SUBSTITUTE(SUBSTITUTE(SUBSTITUTE(IFERROR(VLOOKUP("Câu "&amp;D1950&amp;".",dapan!$E:$J,6,0),""),"1","A"),"2","B"),"3","C"),"4","D")</f>
        <v>B</v>
      </c>
      <c r="P1950">
        <f t="shared" si="111"/>
        <v>473</v>
      </c>
      <c r="Q1950" t="str">
        <f t="shared" ca="1" si="112"/>
        <v>{"num":473,"id":473,"q":"Trên đường cao tốc, gặp biển nào người lái xe phải chú ý đổi hướng đi khi sắp vào đường cong nguy hiểm?","img":"q473.jpg","opts":{"A":"Biển 1 và biển 2.","B":" Biển 1 và biển 3.","C":"Biển 2.","D":"Biển 3."},"answer":"B"},</v>
      </c>
    </row>
    <row r="1951" spans="1:17" hidden="1" x14ac:dyDescent="0.25">
      <c r="A1951">
        <v>1</v>
      </c>
      <c r="B1951" t="s">
        <v>1086</v>
      </c>
      <c r="C1951">
        <f>IFERROR(COUNTIFS($A$1:A1951,"Câu "&amp;"*")-MID(A1951,5,FIND(".",A1951,1)-5),0)</f>
        <v>0</v>
      </c>
      <c r="D1951" t="str">
        <f t="shared" si="114"/>
        <v/>
      </c>
      <c r="E1951" t="str">
        <f>SUBSTITUTE(IF(LEFT(A1951,3)="Câu",MID(A1951,FIND(".",A1951,1)+2,LEN(A1951)),""),CHAR(34),CHAR(92)&amp;CHAR(34))</f>
        <v/>
      </c>
      <c r="F1951" t="str">
        <f t="shared" si="113"/>
        <v/>
      </c>
      <c r="G1951" t="str">
        <f>SUBSTITUTE(B1952,CHAR(34),CHAR(92)&amp;CHAR(34))</f>
        <v xml:space="preserve"> Biển 1 và biển 3.</v>
      </c>
      <c r="H1951" t="str">
        <f>SUBSTITUTE(B1953,CHAR(34),CHAR(92)&amp;CHAR(34))</f>
        <v>Biển 2.</v>
      </c>
      <c r="I1951" t="str">
        <f>SUBSTITUTE(IF(LEFT(A1954,3)="Câu","",B1954),CHAR(34),CHAR(92)&amp;CHAR(34))</f>
        <v>Biển 3.</v>
      </c>
      <c r="J1951" t="str">
        <f>SUBSTITUTE(IF(OR(LEFT(A1955,3)="Câu",I1951=""),"",IF(B1955=0,"",B1955)),CHAR(34),CHAR(92)&amp;CHAR(34))</f>
        <v/>
      </c>
      <c r="K1951" t="str">
        <f>SUBSTITUTE(SUBSTITUTE(SUBSTITUTE(SUBSTITUTE(IFERROR(VLOOKUP("Câu "&amp;D1951&amp;".",dapan!$E:$J,6,0),""),"1","A"),"2","B"),"3","C"),"4","D")</f>
        <v/>
      </c>
      <c r="P1951" t="str">
        <f t="shared" si="111"/>
        <v/>
      </c>
      <c r="Q1951" t="str">
        <f t="shared" si="112"/>
        <v/>
      </c>
    </row>
    <row r="1952" spans="1:17" hidden="1" x14ac:dyDescent="0.25">
      <c r="A1952">
        <v>2</v>
      </c>
      <c r="B1952" t="s">
        <v>1088</v>
      </c>
      <c r="C1952">
        <f>IFERROR(COUNTIFS($A$1:A1952,"Câu "&amp;"*")-MID(A1952,5,FIND(".",A1952,1)-5),0)</f>
        <v>0</v>
      </c>
      <c r="D1952" t="str">
        <f t="shared" si="114"/>
        <v/>
      </c>
      <c r="E1952" t="str">
        <f>SUBSTITUTE(IF(LEFT(A1952,3)="Câu",MID(A1952,FIND(".",A1952,1)+2,LEN(A1952)),""),CHAR(34),CHAR(92)&amp;CHAR(34))</f>
        <v/>
      </c>
      <c r="F1952" t="str">
        <f t="shared" si="113"/>
        <v/>
      </c>
      <c r="G1952" t="str">
        <f>SUBSTITUTE(B1953,CHAR(34),CHAR(92)&amp;CHAR(34))</f>
        <v>Biển 2.</v>
      </c>
      <c r="H1952" t="str">
        <f>SUBSTITUTE(B1954,CHAR(34),CHAR(92)&amp;CHAR(34))</f>
        <v>Biển 3.</v>
      </c>
      <c r="I1952" t="str">
        <f>SUBSTITUTE(IF(LEFT(A1955,3)="Câu","",B1955),CHAR(34),CHAR(92)&amp;CHAR(34))</f>
        <v/>
      </c>
      <c r="J1952" t="str">
        <f>SUBSTITUTE(IF(OR(LEFT(A1956,3)="Câu",I1952=""),"",IF(B1956=0,"",B1956)),CHAR(34),CHAR(92)&amp;CHAR(34))</f>
        <v/>
      </c>
      <c r="K1952" t="str">
        <f>SUBSTITUTE(SUBSTITUTE(SUBSTITUTE(SUBSTITUTE(IFERROR(VLOOKUP("Câu "&amp;D1952&amp;".",dapan!$E:$J,6,0),""),"1","A"),"2","B"),"3","C"),"4","D")</f>
        <v/>
      </c>
      <c r="P1952" t="str">
        <f t="shared" si="111"/>
        <v/>
      </c>
      <c r="Q1952" t="str">
        <f t="shared" si="112"/>
        <v/>
      </c>
    </row>
    <row r="1953" spans="1:17" hidden="1" x14ac:dyDescent="0.25">
      <c r="A1953">
        <v>3</v>
      </c>
      <c r="B1953" t="s">
        <v>1068</v>
      </c>
      <c r="C1953">
        <f>IFERROR(COUNTIFS($A$1:A1953,"Câu "&amp;"*")-MID(A1953,5,FIND(".",A1953,1)-5),0)</f>
        <v>0</v>
      </c>
      <c r="D1953" t="str">
        <f t="shared" si="114"/>
        <v/>
      </c>
      <c r="E1953" t="str">
        <f>SUBSTITUTE(IF(LEFT(A1953,3)="Câu",MID(A1953,FIND(".",A1953,1)+2,LEN(A1953)),""),CHAR(34),CHAR(92)&amp;CHAR(34))</f>
        <v/>
      </c>
      <c r="F1953" t="str">
        <f t="shared" si="113"/>
        <v/>
      </c>
      <c r="G1953" t="str">
        <f>SUBSTITUTE(B1954,CHAR(34),CHAR(92)&amp;CHAR(34))</f>
        <v>Biển 3.</v>
      </c>
      <c r="H1953" t="str">
        <f>SUBSTITUTE(B1955,CHAR(34),CHAR(92)&amp;CHAR(34))</f>
        <v/>
      </c>
      <c r="I1953" t="str">
        <f>SUBSTITUTE(IF(LEFT(A1956,3)="Câu","",B1956),CHAR(34),CHAR(92)&amp;CHAR(34))</f>
        <v>Biển 1.</v>
      </c>
      <c r="J1953" t="str">
        <f>SUBSTITUTE(IF(OR(LEFT(A1957,3)="Câu",I1953=""),"",IF(B1957=0,"",B1957)),CHAR(34),CHAR(92)&amp;CHAR(34))</f>
        <v xml:space="preserve"> Biển 2.</v>
      </c>
      <c r="K1953" t="str">
        <f>SUBSTITUTE(SUBSTITUTE(SUBSTITUTE(SUBSTITUTE(IFERROR(VLOOKUP("Câu "&amp;D1953&amp;".",dapan!$E:$J,6,0),""),"1","A"),"2","B"),"3","C"),"4","D")</f>
        <v/>
      </c>
      <c r="P1953" t="str">
        <f t="shared" si="111"/>
        <v/>
      </c>
      <c r="Q1953" t="str">
        <f t="shared" si="112"/>
        <v/>
      </c>
    </row>
    <row r="1954" spans="1:17" hidden="1" x14ac:dyDescent="0.25">
      <c r="A1954">
        <v>4</v>
      </c>
      <c r="B1954" t="s">
        <v>1083</v>
      </c>
      <c r="C1954">
        <f>IFERROR(COUNTIFS($A$1:A1954,"Câu "&amp;"*")-MID(A1954,5,FIND(".",A1954,1)-5),0)</f>
        <v>0</v>
      </c>
      <c r="D1954" t="str">
        <f t="shared" si="114"/>
        <v/>
      </c>
      <c r="E1954" t="str">
        <f>SUBSTITUTE(IF(LEFT(A1954,3)="Câu",MID(A1954,FIND(".",A1954,1)+2,LEN(A1954)),""),CHAR(34),CHAR(92)&amp;CHAR(34))</f>
        <v/>
      </c>
      <c r="F1954" t="str">
        <f t="shared" si="113"/>
        <v/>
      </c>
      <c r="G1954" t="str">
        <f>SUBSTITUTE(B1955,CHAR(34),CHAR(92)&amp;CHAR(34))</f>
        <v/>
      </c>
      <c r="H1954" t="str">
        <f>SUBSTITUTE(B1956,CHAR(34),CHAR(92)&amp;CHAR(34))</f>
        <v>Biển 1.</v>
      </c>
      <c r="I1954" t="str">
        <f>SUBSTITUTE(IF(LEFT(A1957,3)="Câu","",B1957),CHAR(34),CHAR(92)&amp;CHAR(34))</f>
        <v xml:space="preserve"> Biển 2.</v>
      </c>
      <c r="J1954" t="str">
        <f>SUBSTITUTE(IF(OR(LEFT(A1958,3)="Câu",I1954=""),"",IF(B1958=0,"",B1958)),CHAR(34),CHAR(92)&amp;CHAR(34))</f>
        <v/>
      </c>
      <c r="K1954" t="str">
        <f>SUBSTITUTE(SUBSTITUTE(SUBSTITUTE(SUBSTITUTE(IFERROR(VLOOKUP("Câu "&amp;D1954&amp;".",dapan!$E:$J,6,0),""),"1","A"),"2","B"),"3","C"),"4","D")</f>
        <v/>
      </c>
      <c r="P1954" t="str">
        <f t="shared" si="111"/>
        <v/>
      </c>
      <c r="Q1954" t="str">
        <f t="shared" si="112"/>
        <v/>
      </c>
    </row>
    <row r="1955" spans="1:17" x14ac:dyDescent="0.25">
      <c r="A1955" t="s">
        <v>1357</v>
      </c>
      <c r="C1955">
        <f>IFERROR(COUNTIFS($A$1:A1955,"Câu "&amp;"*")-MID(A1955,5,FIND(".",A1955,1)-5),0)</f>
        <v>0</v>
      </c>
      <c r="D1955">
        <f t="shared" si="114"/>
        <v>474</v>
      </c>
      <c r="E1955" t="str">
        <f>SUBSTITUTE(IF(LEFT(A1955,3)="Câu",MID(A1955,FIND(".",A1955,1)+2,LEN(A1955)),""),CHAR(34),CHAR(92)&amp;CHAR(34))</f>
        <v>Biển nào chỉ dẫn người lái xe đi được cả hai hướng?</v>
      </c>
      <c r="F1955" t="str">
        <f t="shared" si="113"/>
        <v>q474.jpg</v>
      </c>
      <c r="G1955" t="str">
        <f>SUBSTITUTE(B1956,CHAR(34),CHAR(92)&amp;CHAR(34))</f>
        <v>Biển 1.</v>
      </c>
      <c r="H1955" t="str">
        <f>SUBSTITUTE(B1957,CHAR(34),CHAR(92)&amp;CHAR(34))</f>
        <v xml:space="preserve"> Biển 2.</v>
      </c>
      <c r="I1955" t="str">
        <f>SUBSTITUTE(IF(LEFT(A1958,3)="Câu","",B1958),CHAR(34),CHAR(92)&amp;CHAR(34))</f>
        <v/>
      </c>
      <c r="J1955" t="str">
        <f>SUBSTITUTE(IF(OR(LEFT(A1959,3)="Câu",I1955=""),"",IF(B1959=0,"",B1959)),CHAR(34),CHAR(92)&amp;CHAR(34))</f>
        <v/>
      </c>
      <c r="K1955" t="str">
        <f ca="1">SUBSTITUTE(SUBSTITUTE(SUBSTITUTE(SUBSTITUTE(IFERROR(VLOOKUP("Câu "&amp;D1955&amp;".",dapan!$E:$J,6,0),""),"1","A"),"2","B"),"3","C"),"4","D")</f>
        <v>B</v>
      </c>
      <c r="P1955">
        <f t="shared" si="111"/>
        <v>474</v>
      </c>
      <c r="Q1955" t="str">
        <f t="shared" ca="1" si="112"/>
        <v>{"num":474,"id":474,"q":"Biển nào chỉ dẫn người lái xe đi được cả hai hướng?","img":"q474.jpg","opts":{"A":"Biển 1.","B":" Biển 2."},"answer":"B"},</v>
      </c>
    </row>
    <row r="1956" spans="1:17" hidden="1" x14ac:dyDescent="0.25">
      <c r="A1956">
        <v>1</v>
      </c>
      <c r="B1956" t="s">
        <v>1075</v>
      </c>
      <c r="C1956">
        <f>IFERROR(COUNTIFS($A$1:A1956,"Câu "&amp;"*")-MID(A1956,5,FIND(".",A1956,1)-5),0)</f>
        <v>0</v>
      </c>
      <c r="D1956" t="str">
        <f t="shared" si="114"/>
        <v/>
      </c>
      <c r="E1956" t="str">
        <f>SUBSTITUTE(IF(LEFT(A1956,3)="Câu",MID(A1956,FIND(".",A1956,1)+2,LEN(A1956)),""),CHAR(34),CHAR(92)&amp;CHAR(34))</f>
        <v/>
      </c>
      <c r="F1956" t="str">
        <f t="shared" si="113"/>
        <v/>
      </c>
      <c r="G1956" t="str">
        <f>SUBSTITUTE(B1957,CHAR(34),CHAR(92)&amp;CHAR(34))</f>
        <v xml:space="preserve"> Biển 2.</v>
      </c>
      <c r="H1956" t="str">
        <f>SUBSTITUTE(B1958,CHAR(34),CHAR(92)&amp;CHAR(34))</f>
        <v/>
      </c>
      <c r="I1956" t="str">
        <f>SUBSTITUTE(IF(LEFT(A1959,3)="Câu","",B1959),CHAR(34),CHAR(92)&amp;CHAR(34))</f>
        <v>Chỉ dẫn chướng ngại vật phía trước để cảnh báo phía trước có sự cản trở lưu thông bình thường (nằm bên trong phần xe chạy hay ngay sát phần đường xe chạy) và chỉ dẫn hướng đi qua đó cần đặt biển.</v>
      </c>
      <c r="J1956" t="str">
        <f>SUBSTITUTE(IF(OR(LEFT(A1960,3)="Câu",I1956=""),"",IF(B1960=0,"",B1960)),CHAR(34),CHAR(92)&amp;CHAR(34))</f>
        <v xml:space="preserve"> Chỉ dẫn hướng rẽ để nhắc người điều khiển phương tiện chuẩn bị đổi hướng đi khi sắp vào đường cong nguy hiểm, có bán kính cong nhỏ.</v>
      </c>
      <c r="K1956" t="str">
        <f>SUBSTITUTE(SUBSTITUTE(SUBSTITUTE(SUBSTITUTE(IFERROR(VLOOKUP("Câu "&amp;D1956&amp;".",dapan!$E:$J,6,0),""),"1","A"),"2","B"),"3","C"),"4","D")</f>
        <v/>
      </c>
      <c r="P1956" t="str">
        <f t="shared" si="111"/>
        <v/>
      </c>
      <c r="Q1956" t="str">
        <f t="shared" si="112"/>
        <v/>
      </c>
    </row>
    <row r="1957" spans="1:17" hidden="1" x14ac:dyDescent="0.25">
      <c r="A1957">
        <v>2</v>
      </c>
      <c r="B1957" t="s">
        <v>1090</v>
      </c>
      <c r="C1957">
        <f>IFERROR(COUNTIFS($A$1:A1957,"Câu "&amp;"*")-MID(A1957,5,FIND(".",A1957,1)-5),0)</f>
        <v>0</v>
      </c>
      <c r="D1957" t="str">
        <f t="shared" si="114"/>
        <v/>
      </c>
      <c r="E1957" t="str">
        <f>SUBSTITUTE(IF(LEFT(A1957,3)="Câu",MID(A1957,FIND(".",A1957,1)+2,LEN(A1957)),""),CHAR(34),CHAR(92)&amp;CHAR(34))</f>
        <v/>
      </c>
      <c r="F1957" t="str">
        <f t="shared" si="113"/>
        <v/>
      </c>
      <c r="G1957" t="str">
        <f>SUBSTITUTE(B1958,CHAR(34),CHAR(92)&amp;CHAR(34))</f>
        <v/>
      </c>
      <c r="H1957" t="str">
        <f>SUBSTITUTE(B1959,CHAR(34),CHAR(92)&amp;CHAR(34))</f>
        <v>Chỉ dẫn chướng ngại vật phía trước để cảnh báo phía trước có sự cản trở lưu thông bình thường (nằm bên trong phần xe chạy hay ngay sát phần đường xe chạy) và chỉ dẫn hướng đi qua đó cần đặt biển.</v>
      </c>
      <c r="I1957" t="str">
        <f>SUBSTITUTE(IF(LEFT(A1960,3)="Câu","",B1960),CHAR(34),CHAR(92)&amp;CHAR(34))</f>
        <v xml:space="preserve"> Chỉ dẫn hướng rẽ để nhắc người điều khiển phương tiện chuẩn bị đổi hướng đi khi sắp vào đường cong nguy hiểm, có bán kính cong nhỏ.</v>
      </c>
      <c r="J1957" t="str">
        <f>SUBSTITUTE(IF(OR(LEFT(A1961,3)="Câu",I1957=""),"",IF(B1961=0,"",B1961)),CHAR(34),CHAR(92)&amp;CHAR(34))</f>
        <v/>
      </c>
      <c r="K1957" t="str">
        <f>SUBSTITUTE(SUBSTITUTE(SUBSTITUTE(SUBSTITUTE(IFERROR(VLOOKUP("Câu "&amp;D1957&amp;".",dapan!$E:$J,6,0),""),"1","A"),"2","B"),"3","C"),"4","D")</f>
        <v/>
      </c>
      <c r="P1957" t="str">
        <f t="shared" si="111"/>
        <v/>
      </c>
      <c r="Q1957" t="str">
        <f t="shared" si="112"/>
        <v/>
      </c>
    </row>
    <row r="1958" spans="1:17" x14ac:dyDescent="0.25">
      <c r="A1958" t="s">
        <v>1358</v>
      </c>
      <c r="C1958">
        <f>IFERROR(COUNTIFS($A$1:A1958,"Câu "&amp;"*")-MID(A1958,5,FIND(".",A1958,1)-5),0)</f>
        <v>0</v>
      </c>
      <c r="D1958">
        <f t="shared" si="114"/>
        <v>475</v>
      </c>
      <c r="E1958" t="str">
        <f>SUBSTITUTE(IF(LEFT(A1958,3)="Câu",MID(A1958,FIND(".",A1958,1)+2,LEN(A1958)),""),CHAR(34),CHAR(92)&amp;CHAR(34))</f>
        <v>Biển này có ý nghĩa như thế nào?</v>
      </c>
      <c r="F1958" t="str">
        <f t="shared" si="113"/>
        <v>q475.jpg</v>
      </c>
      <c r="G1958" t="str">
        <f>SUBSTITUTE(B1959,CHAR(34),CHAR(92)&amp;CHAR(34))</f>
        <v>Chỉ dẫn chướng ngại vật phía trước để cảnh báo phía trước có sự cản trở lưu thông bình thường (nằm bên trong phần xe chạy hay ngay sát phần đường xe chạy) và chỉ dẫn hướng đi qua đó cần đặt biển.</v>
      </c>
      <c r="H1958" t="str">
        <f>SUBSTITUTE(B1960,CHAR(34),CHAR(92)&amp;CHAR(34))</f>
        <v xml:space="preserve"> Chỉ dẫn hướng rẽ để nhắc người điều khiển phương tiện chuẩn bị đổi hướng đi khi sắp vào đường cong nguy hiểm, có bán kính cong nhỏ.</v>
      </c>
      <c r="I1958" t="str">
        <f>SUBSTITUTE(IF(LEFT(A1961,3)="Câu","",B1961),CHAR(34),CHAR(92)&amp;CHAR(34))</f>
        <v/>
      </c>
      <c r="J1958" t="str">
        <f>SUBSTITUTE(IF(OR(LEFT(A1962,3)="Câu",I1958=""),"",IF(B1962=0,"",B1962)),CHAR(34),CHAR(92)&amp;CHAR(34))</f>
        <v/>
      </c>
      <c r="K1958" t="str">
        <f ca="1">SUBSTITUTE(SUBSTITUTE(SUBSTITUTE(SUBSTITUTE(IFERROR(VLOOKUP("Câu "&amp;D1958&amp;".",dapan!$E:$J,6,0),""),"1","A"),"2","B"),"3","C"),"4","D")</f>
        <v>B</v>
      </c>
      <c r="P1958">
        <f t="shared" si="111"/>
        <v>475</v>
      </c>
      <c r="Q1958" t="str">
        <f t="shared" ca="1" si="112"/>
        <v>{"num":475,"id":475,"q":"Biển này có ý nghĩa như thế nào?","img":"q475.jpg","opts":{"A":"Chỉ dẫn chướng ngại vật phía trước để cảnh báo phía trước có sự cản trở lưu thông bình thường (nằm bên trong phần xe chạy hay ngay sát phần đường xe chạy) và chỉ dẫn hướng đi qua đó cần đặt biển.","B":" Chỉ dẫn hướng rẽ để nhắc người điều khiển phương tiện chuẩn bị đổi hướng đi khi sắp vào đường cong nguy hiểm, có bán kính cong nhỏ."},"answer":"B"},</v>
      </c>
    </row>
    <row r="1959" spans="1:17" hidden="1" x14ac:dyDescent="0.25">
      <c r="A1959">
        <v>1</v>
      </c>
      <c r="B1959" t="s">
        <v>1359</v>
      </c>
      <c r="C1959">
        <f>IFERROR(COUNTIFS($A$1:A1959,"Câu "&amp;"*")-MID(A1959,5,FIND(".",A1959,1)-5),0)</f>
        <v>0</v>
      </c>
      <c r="D1959" t="str">
        <f t="shared" si="114"/>
        <v/>
      </c>
      <c r="E1959" t="str">
        <f>SUBSTITUTE(IF(LEFT(A1959,3)="Câu",MID(A1959,FIND(".",A1959,1)+2,LEN(A1959)),""),CHAR(34),CHAR(92)&amp;CHAR(34))</f>
        <v/>
      </c>
      <c r="F1959" t="str">
        <f t="shared" si="113"/>
        <v/>
      </c>
      <c r="G1959" t="str">
        <f>SUBSTITUTE(B1960,CHAR(34),CHAR(92)&amp;CHAR(34))</f>
        <v xml:space="preserve"> Chỉ dẫn hướng rẽ để nhắc người điều khiển phương tiện chuẩn bị đổi hướng đi khi sắp vào đường cong nguy hiểm, có bán kính cong nhỏ.</v>
      </c>
      <c r="H1959" t="str">
        <f>SUBSTITUTE(B1961,CHAR(34),CHAR(92)&amp;CHAR(34))</f>
        <v/>
      </c>
      <c r="I1959" t="str">
        <f>SUBSTITUTE(IF(LEFT(A1962,3)="Câu","",B1962),CHAR(34),CHAR(92)&amp;CHAR(34))</f>
        <v>Vạch 1.</v>
      </c>
      <c r="J1959" t="str">
        <f>SUBSTITUTE(IF(OR(LEFT(A1963,3)="Câu",I1959=""),"",IF(B1963=0,"",B1963)),CHAR(34),CHAR(92)&amp;CHAR(34))</f>
        <v>Vạch 2 và vạch 3.</v>
      </c>
      <c r="K1959" t="str">
        <f>SUBSTITUTE(SUBSTITUTE(SUBSTITUTE(SUBSTITUTE(IFERROR(VLOOKUP("Câu "&amp;D1959&amp;".",dapan!$E:$J,6,0),""),"1","A"),"2","B"),"3","C"),"4","D")</f>
        <v/>
      </c>
      <c r="P1959" t="str">
        <f t="shared" si="111"/>
        <v/>
      </c>
      <c r="Q1959" t="str">
        <f t="shared" si="112"/>
        <v/>
      </c>
    </row>
    <row r="1960" spans="1:17" hidden="1" x14ac:dyDescent="0.25">
      <c r="A1960">
        <v>2</v>
      </c>
      <c r="B1960" t="s">
        <v>1360</v>
      </c>
      <c r="C1960">
        <f>IFERROR(COUNTIFS($A$1:A1960,"Câu "&amp;"*")-MID(A1960,5,FIND(".",A1960,1)-5),0)</f>
        <v>0</v>
      </c>
      <c r="D1960" t="str">
        <f t="shared" si="114"/>
        <v/>
      </c>
      <c r="E1960" t="str">
        <f>SUBSTITUTE(IF(LEFT(A1960,3)="Câu",MID(A1960,FIND(".",A1960,1)+2,LEN(A1960)),""),CHAR(34),CHAR(92)&amp;CHAR(34))</f>
        <v/>
      </c>
      <c r="F1960" t="str">
        <f t="shared" si="113"/>
        <v/>
      </c>
      <c r="G1960" t="str">
        <f>SUBSTITUTE(B1961,CHAR(34),CHAR(92)&amp;CHAR(34))</f>
        <v/>
      </c>
      <c r="H1960" t="str">
        <f>SUBSTITUTE(B1962,CHAR(34),CHAR(92)&amp;CHAR(34))</f>
        <v>Vạch 1.</v>
      </c>
      <c r="I1960" t="str">
        <f>SUBSTITUTE(IF(LEFT(A1963,3)="Câu","",B1963),CHAR(34),CHAR(92)&amp;CHAR(34))</f>
        <v>Vạch 2 và vạch 3.</v>
      </c>
      <c r="J1960" t="str">
        <f>SUBSTITUTE(IF(OR(LEFT(A1964,3)="Câu",I1960=""),"",IF(B1964=0,"",B1964)),CHAR(34),CHAR(92)&amp;CHAR(34))</f>
        <v xml:space="preserve"> Vạch 3.</v>
      </c>
      <c r="K1960" t="str">
        <f>SUBSTITUTE(SUBSTITUTE(SUBSTITUTE(SUBSTITUTE(IFERROR(VLOOKUP("Câu "&amp;D1960&amp;".",dapan!$E:$J,6,0),""),"1","A"),"2","B"),"3","C"),"4","D")</f>
        <v/>
      </c>
      <c r="P1960" t="str">
        <f t="shared" si="111"/>
        <v/>
      </c>
      <c r="Q1960" t="str">
        <f t="shared" si="112"/>
        <v/>
      </c>
    </row>
    <row r="1961" spans="1:17" x14ac:dyDescent="0.25">
      <c r="A1961" t="s">
        <v>1361</v>
      </c>
      <c r="C1961">
        <f>IFERROR(COUNTIFS($A$1:A1961,"Câu "&amp;"*")-MID(A1961,5,FIND(".",A1961,1)-5),0)</f>
        <v>0</v>
      </c>
      <c r="D1961">
        <f t="shared" si="114"/>
        <v>476</v>
      </c>
      <c r="E1961" t="str">
        <f>SUBSTITUTE(IF(LEFT(A1961,3)="Câu",MID(A1961,FIND(".",A1961,1)+2,LEN(A1961)),""),CHAR(34),CHAR(92)&amp;CHAR(34))</f>
        <v>Vạch mũi tên chỉ hướng trên mặt đường nào dưới đây cho phép xe chỉ được đi thẳng và rẽ phải?</v>
      </c>
      <c r="F1961" t="str">
        <f t="shared" si="113"/>
        <v>q476.jpg</v>
      </c>
      <c r="G1961" t="str">
        <f>SUBSTITUTE(B1962,CHAR(34),CHAR(92)&amp;CHAR(34))</f>
        <v>Vạch 1.</v>
      </c>
      <c r="H1961" t="str">
        <f>SUBSTITUTE(B1963,CHAR(34),CHAR(92)&amp;CHAR(34))</f>
        <v>Vạch 2 và vạch 3.</v>
      </c>
      <c r="I1961" t="str">
        <f>SUBSTITUTE(IF(LEFT(A1964,3)="Câu","",B1964),CHAR(34),CHAR(92)&amp;CHAR(34))</f>
        <v xml:space="preserve"> Vạch 3.</v>
      </c>
      <c r="J1961" t="str">
        <f>SUBSTITUTE(IF(OR(LEFT(A1965,3)="Câu",I1961=""),"",IF(B1965=0,"",B1965)),CHAR(34),CHAR(92)&amp;CHAR(34))</f>
        <v>Vạch 1 và vạch 2.</v>
      </c>
      <c r="K1961" t="str">
        <f ca="1">SUBSTITUTE(SUBSTITUTE(SUBSTITUTE(SUBSTITUTE(IFERROR(VLOOKUP("Câu "&amp;D1961&amp;".",dapan!$E:$J,6,0),""),"1","A"),"2","B"),"3","C"),"4","D")</f>
        <v>C</v>
      </c>
      <c r="P1961">
        <f t="shared" si="111"/>
        <v>476</v>
      </c>
      <c r="Q1961" t="str">
        <f t="shared" ca="1" si="112"/>
        <v>{"num":476,"id":476,"q":"Vạch mũi tên chỉ hướng trên mặt đường nào dưới đây cho phép xe chỉ được đi thẳng và rẽ phải?","img":"q476.jpg","opts":{"A":"Vạch 1.","B":"Vạch 2 và vạch 3.","C":" Vạch 3.","D":"Vạch 1 và vạch 2."},"answer":"C"},</v>
      </c>
    </row>
    <row r="1962" spans="1:17" hidden="1" x14ac:dyDescent="0.25">
      <c r="A1962">
        <v>1</v>
      </c>
      <c r="B1962" t="s">
        <v>1362</v>
      </c>
      <c r="C1962">
        <f>IFERROR(COUNTIFS($A$1:A1962,"Câu "&amp;"*")-MID(A1962,5,FIND(".",A1962,1)-5),0)</f>
        <v>0</v>
      </c>
      <c r="D1962" t="str">
        <f t="shared" si="114"/>
        <v/>
      </c>
      <c r="E1962" t="str">
        <f>SUBSTITUTE(IF(LEFT(A1962,3)="Câu",MID(A1962,FIND(".",A1962,1)+2,LEN(A1962)),""),CHAR(34),CHAR(92)&amp;CHAR(34))</f>
        <v/>
      </c>
      <c r="F1962" t="str">
        <f t="shared" si="113"/>
        <v/>
      </c>
      <c r="G1962" t="str">
        <f>SUBSTITUTE(B1963,CHAR(34),CHAR(92)&amp;CHAR(34))</f>
        <v>Vạch 2 và vạch 3.</v>
      </c>
      <c r="H1962" t="str">
        <f>SUBSTITUTE(B1964,CHAR(34),CHAR(92)&amp;CHAR(34))</f>
        <v xml:space="preserve"> Vạch 3.</v>
      </c>
      <c r="I1962" t="str">
        <f>SUBSTITUTE(IF(LEFT(A1965,3)="Câu","",B1965),CHAR(34),CHAR(92)&amp;CHAR(34))</f>
        <v>Vạch 1 và vạch 2.</v>
      </c>
      <c r="J1962" t="str">
        <f>SUBSTITUTE(IF(OR(LEFT(A1966,3)="Câu",I1962=""),"",IF(B1966=0,"",B1966)),CHAR(34),CHAR(92)&amp;CHAR(34))</f>
        <v/>
      </c>
      <c r="K1962" t="str">
        <f>SUBSTITUTE(SUBSTITUTE(SUBSTITUTE(SUBSTITUTE(IFERROR(VLOOKUP("Câu "&amp;D1962&amp;".",dapan!$E:$J,6,0),""),"1","A"),"2","B"),"3","C"),"4","D")</f>
        <v/>
      </c>
      <c r="P1962" t="str">
        <f t="shared" si="111"/>
        <v/>
      </c>
      <c r="Q1962" t="str">
        <f t="shared" si="112"/>
        <v/>
      </c>
    </row>
    <row r="1963" spans="1:17" hidden="1" x14ac:dyDescent="0.25">
      <c r="A1963">
        <v>2</v>
      </c>
      <c r="B1963" t="s">
        <v>1363</v>
      </c>
      <c r="C1963">
        <f>IFERROR(COUNTIFS($A$1:A1963,"Câu "&amp;"*")-MID(A1963,5,FIND(".",A1963,1)-5),0)</f>
        <v>0</v>
      </c>
      <c r="D1963" t="str">
        <f t="shared" si="114"/>
        <v/>
      </c>
      <c r="E1963" t="str">
        <f>SUBSTITUTE(IF(LEFT(A1963,3)="Câu",MID(A1963,FIND(".",A1963,1)+2,LEN(A1963)),""),CHAR(34),CHAR(92)&amp;CHAR(34))</f>
        <v/>
      </c>
      <c r="F1963" t="str">
        <f t="shared" si="113"/>
        <v/>
      </c>
      <c r="G1963" t="str">
        <f>SUBSTITUTE(B1964,CHAR(34),CHAR(92)&amp;CHAR(34))</f>
        <v xml:space="preserve"> Vạch 3.</v>
      </c>
      <c r="H1963" t="str">
        <f>SUBSTITUTE(B1965,CHAR(34),CHAR(92)&amp;CHAR(34))</f>
        <v>Vạch 1 và vạch 2.</v>
      </c>
      <c r="I1963" t="str">
        <f>SUBSTITUTE(IF(LEFT(A1966,3)="Câu","",B1966),CHAR(34),CHAR(92)&amp;CHAR(34))</f>
        <v/>
      </c>
      <c r="J1963" t="str">
        <f>SUBSTITUTE(IF(OR(LEFT(A1967,3)="Câu",I1963=""),"",IF(B1967=0,"",B1967)),CHAR(34),CHAR(92)&amp;CHAR(34))</f>
        <v/>
      </c>
      <c r="K1963" t="str">
        <f>SUBSTITUTE(SUBSTITUTE(SUBSTITUTE(SUBSTITUTE(IFERROR(VLOOKUP("Câu "&amp;D1963&amp;".",dapan!$E:$J,6,0),""),"1","A"),"2","B"),"3","C"),"4","D")</f>
        <v/>
      </c>
      <c r="P1963" t="str">
        <f t="shared" si="111"/>
        <v/>
      </c>
      <c r="Q1963" t="str">
        <f t="shared" si="112"/>
        <v/>
      </c>
    </row>
    <row r="1964" spans="1:17" hidden="1" x14ac:dyDescent="0.25">
      <c r="A1964">
        <v>3</v>
      </c>
      <c r="B1964" t="s">
        <v>1364</v>
      </c>
      <c r="C1964">
        <f>IFERROR(COUNTIFS($A$1:A1964,"Câu "&amp;"*")-MID(A1964,5,FIND(".",A1964,1)-5),0)</f>
        <v>0</v>
      </c>
      <c r="D1964" t="str">
        <f t="shared" si="114"/>
        <v/>
      </c>
      <c r="E1964" t="str">
        <f>SUBSTITUTE(IF(LEFT(A1964,3)="Câu",MID(A1964,FIND(".",A1964,1)+2,LEN(A1964)),""),CHAR(34),CHAR(92)&amp;CHAR(34))</f>
        <v/>
      </c>
      <c r="F1964" t="str">
        <f t="shared" si="113"/>
        <v/>
      </c>
      <c r="G1964" t="str">
        <f>SUBSTITUTE(B1965,CHAR(34),CHAR(92)&amp;CHAR(34))</f>
        <v>Vạch 1 và vạch 2.</v>
      </c>
      <c r="H1964" t="str">
        <f>SUBSTITUTE(B1966,CHAR(34),CHAR(92)&amp;CHAR(34))</f>
        <v/>
      </c>
      <c r="I1964" t="str">
        <f>SUBSTITUTE(IF(LEFT(A1967,3)="Câu","",B1967),CHAR(34),CHAR(92)&amp;CHAR(34))</f>
        <v>Vạch 1.</v>
      </c>
      <c r="J1964" t="str">
        <f>SUBSTITUTE(IF(OR(LEFT(A1968,3)="Câu",I1964=""),"",IF(B1968=0,"",B1968)),CHAR(34),CHAR(92)&amp;CHAR(34))</f>
        <v>Vạch 2.</v>
      </c>
      <c r="K1964" t="str">
        <f>SUBSTITUTE(SUBSTITUTE(SUBSTITUTE(SUBSTITUTE(IFERROR(VLOOKUP("Câu "&amp;D1964&amp;".",dapan!$E:$J,6,0),""),"1","A"),"2","B"),"3","C"),"4","D")</f>
        <v/>
      </c>
      <c r="P1964" t="str">
        <f t="shared" si="111"/>
        <v/>
      </c>
      <c r="Q1964" t="str">
        <f t="shared" si="112"/>
        <v/>
      </c>
    </row>
    <row r="1965" spans="1:17" hidden="1" x14ac:dyDescent="0.25">
      <c r="A1965">
        <v>4</v>
      </c>
      <c r="B1965" t="s">
        <v>1365</v>
      </c>
      <c r="C1965">
        <f>IFERROR(COUNTIFS($A$1:A1965,"Câu "&amp;"*")-MID(A1965,5,FIND(".",A1965,1)-5),0)</f>
        <v>0</v>
      </c>
      <c r="D1965" t="str">
        <f t="shared" si="114"/>
        <v/>
      </c>
      <c r="E1965" t="str">
        <f>SUBSTITUTE(IF(LEFT(A1965,3)="Câu",MID(A1965,FIND(".",A1965,1)+2,LEN(A1965)),""),CHAR(34),CHAR(92)&amp;CHAR(34))</f>
        <v/>
      </c>
      <c r="F1965" t="str">
        <f t="shared" si="113"/>
        <v/>
      </c>
      <c r="G1965" t="str">
        <f>SUBSTITUTE(B1966,CHAR(34),CHAR(92)&amp;CHAR(34))</f>
        <v/>
      </c>
      <c r="H1965" t="str">
        <f>SUBSTITUTE(B1967,CHAR(34),CHAR(92)&amp;CHAR(34))</f>
        <v>Vạch 1.</v>
      </c>
      <c r="I1965" t="str">
        <f>SUBSTITUTE(IF(LEFT(A1968,3)="Câu","",B1968),CHAR(34),CHAR(92)&amp;CHAR(34))</f>
        <v>Vạch 2.</v>
      </c>
      <c r="J1965" t="str">
        <f>SUBSTITUTE(IF(OR(LEFT(A1969,3)="Câu",I1965=""),"",IF(B1969=0,"",B1969)),CHAR(34),CHAR(92)&amp;CHAR(34))</f>
        <v>Vạch 3.</v>
      </c>
      <c r="K1965" t="str">
        <f>SUBSTITUTE(SUBSTITUTE(SUBSTITUTE(SUBSTITUTE(IFERROR(VLOOKUP("Câu "&amp;D1965&amp;".",dapan!$E:$J,6,0),""),"1","A"),"2","B"),"3","C"),"4","D")</f>
        <v/>
      </c>
      <c r="P1965" t="str">
        <f t="shared" si="111"/>
        <v/>
      </c>
      <c r="Q1965" t="str">
        <f t="shared" si="112"/>
        <v/>
      </c>
    </row>
    <row r="1966" spans="1:17" x14ac:dyDescent="0.25">
      <c r="A1966" t="s">
        <v>1366</v>
      </c>
      <c r="C1966">
        <f>IFERROR(COUNTIFS($A$1:A1966,"Câu "&amp;"*")-MID(A1966,5,FIND(".",A1966,1)-5),0)</f>
        <v>0</v>
      </c>
      <c r="D1966">
        <f t="shared" si="114"/>
        <v>477</v>
      </c>
      <c r="E1966" t="str">
        <f>SUBSTITUTE(IF(LEFT(A1966,3)="Câu",MID(A1966,FIND(".",A1966,1)+2,LEN(A1966)),""),CHAR(34),CHAR(92)&amp;CHAR(34))</f>
        <v>Vạch kẻ đường nào dưới đây là vạch phân chia các làn xe cùng chiều?</v>
      </c>
      <c r="F1966" t="str">
        <f t="shared" si="113"/>
        <v>q477.jpg</v>
      </c>
      <c r="G1966" t="str">
        <f>SUBSTITUTE(B1967,CHAR(34),CHAR(92)&amp;CHAR(34))</f>
        <v>Vạch 1.</v>
      </c>
      <c r="H1966" t="str">
        <f>SUBSTITUTE(B1968,CHAR(34),CHAR(92)&amp;CHAR(34))</f>
        <v>Vạch 2.</v>
      </c>
      <c r="I1966" t="str">
        <f>SUBSTITUTE(IF(LEFT(A1969,3)="Câu","",B1969),CHAR(34),CHAR(92)&amp;CHAR(34))</f>
        <v>Vạch 3.</v>
      </c>
      <c r="J1966" t="str">
        <f>SUBSTITUTE(IF(OR(LEFT(A1970,3)="Câu",I1966=""),"",IF(B1970=0,"",B1970)),CHAR(34),CHAR(92)&amp;CHAR(34))</f>
        <v xml:space="preserve"> Vạch 1 và vạch 2.</v>
      </c>
      <c r="K1966" t="str">
        <f ca="1">SUBSTITUTE(SUBSTITUTE(SUBSTITUTE(SUBSTITUTE(IFERROR(VLOOKUP("Câu "&amp;D1966&amp;".",dapan!$E:$J,6,0),""),"1","A"),"2","B"),"3","C"),"4","D")</f>
        <v>D</v>
      </c>
      <c r="P1966">
        <f t="shared" si="111"/>
        <v>477</v>
      </c>
      <c r="Q1966" t="str">
        <f t="shared" ca="1" si="112"/>
        <v>{"num":477,"id":477,"q":"Vạch kẻ đường nào dưới đây là vạch phân chia các làn xe cùng chiều?","img":"q477.jpg","opts":{"A":"Vạch 1.","B":"Vạch 2.","C":"Vạch 3.","D":" Vạch 1 và vạch 2."},"answer":"D"},</v>
      </c>
    </row>
    <row r="1967" spans="1:17" hidden="1" x14ac:dyDescent="0.25">
      <c r="A1967">
        <v>1</v>
      </c>
      <c r="B1967" t="s">
        <v>1362</v>
      </c>
      <c r="C1967">
        <f>IFERROR(COUNTIFS($A$1:A1967,"Câu "&amp;"*")-MID(A1967,5,FIND(".",A1967,1)-5),0)</f>
        <v>0</v>
      </c>
      <c r="D1967" t="str">
        <f t="shared" si="114"/>
        <v/>
      </c>
      <c r="E1967" t="str">
        <f>SUBSTITUTE(IF(LEFT(A1967,3)="Câu",MID(A1967,FIND(".",A1967,1)+2,LEN(A1967)),""),CHAR(34),CHAR(92)&amp;CHAR(34))</f>
        <v/>
      </c>
      <c r="F1967" t="str">
        <f t="shared" si="113"/>
        <v/>
      </c>
      <c r="G1967" t="str">
        <f>SUBSTITUTE(B1968,CHAR(34),CHAR(92)&amp;CHAR(34))</f>
        <v>Vạch 2.</v>
      </c>
      <c r="H1967" t="str">
        <f>SUBSTITUTE(B1969,CHAR(34),CHAR(92)&amp;CHAR(34))</f>
        <v>Vạch 3.</v>
      </c>
      <c r="I1967" t="str">
        <f>SUBSTITUTE(IF(LEFT(A1970,3)="Câu","",B1970),CHAR(34),CHAR(92)&amp;CHAR(34))</f>
        <v xml:space="preserve"> Vạch 1 và vạch 2.</v>
      </c>
      <c r="J1967" t="str">
        <f>SUBSTITUTE(IF(OR(LEFT(A1971,3)="Câu",I1967=""),"",IF(B1971=0,"",B1971)),CHAR(34),CHAR(92)&amp;CHAR(34))</f>
        <v/>
      </c>
      <c r="K1967" t="str">
        <f>SUBSTITUTE(SUBSTITUTE(SUBSTITUTE(SUBSTITUTE(IFERROR(VLOOKUP("Câu "&amp;D1967&amp;".",dapan!$E:$J,6,0),""),"1","A"),"2","B"),"3","C"),"4","D")</f>
        <v/>
      </c>
      <c r="P1967" t="str">
        <f t="shared" si="111"/>
        <v/>
      </c>
      <c r="Q1967" t="str">
        <f t="shared" si="112"/>
        <v/>
      </c>
    </row>
    <row r="1968" spans="1:17" hidden="1" x14ac:dyDescent="0.25">
      <c r="A1968">
        <v>2</v>
      </c>
      <c r="B1968" t="s">
        <v>1367</v>
      </c>
      <c r="C1968">
        <f>IFERROR(COUNTIFS($A$1:A1968,"Câu "&amp;"*")-MID(A1968,5,FIND(".",A1968,1)-5),0)</f>
        <v>0</v>
      </c>
      <c r="D1968" t="str">
        <f t="shared" si="114"/>
        <v/>
      </c>
      <c r="E1968" t="str">
        <f>SUBSTITUTE(IF(LEFT(A1968,3)="Câu",MID(A1968,FIND(".",A1968,1)+2,LEN(A1968)),""),CHAR(34),CHAR(92)&amp;CHAR(34))</f>
        <v/>
      </c>
      <c r="F1968" t="str">
        <f t="shared" si="113"/>
        <v/>
      </c>
      <c r="G1968" t="str">
        <f>SUBSTITUTE(B1969,CHAR(34),CHAR(92)&amp;CHAR(34))</f>
        <v>Vạch 3.</v>
      </c>
      <c r="H1968" t="str">
        <f>SUBSTITUTE(B1970,CHAR(34),CHAR(92)&amp;CHAR(34))</f>
        <v xml:space="preserve"> Vạch 1 và vạch 2.</v>
      </c>
      <c r="I1968" t="str">
        <f>SUBSTITUTE(IF(LEFT(A1971,3)="Câu","",B1971),CHAR(34),CHAR(92)&amp;CHAR(34))</f>
        <v/>
      </c>
      <c r="J1968" t="str">
        <f>SUBSTITUTE(IF(OR(LEFT(A1972,3)="Câu",I1968=""),"",IF(B1972=0,"",B1972)),CHAR(34),CHAR(92)&amp;CHAR(34))</f>
        <v/>
      </c>
      <c r="K1968" t="str">
        <f>SUBSTITUTE(SUBSTITUTE(SUBSTITUTE(SUBSTITUTE(IFERROR(VLOOKUP("Câu "&amp;D1968&amp;".",dapan!$E:$J,6,0),""),"1","A"),"2","B"),"3","C"),"4","D")</f>
        <v/>
      </c>
      <c r="P1968" t="str">
        <f t="shared" si="111"/>
        <v/>
      </c>
      <c r="Q1968" t="str">
        <f t="shared" si="112"/>
        <v/>
      </c>
    </row>
    <row r="1969" spans="1:17" hidden="1" x14ac:dyDescent="0.25">
      <c r="A1969">
        <v>3</v>
      </c>
      <c r="B1969" t="s">
        <v>1368</v>
      </c>
      <c r="C1969">
        <f>IFERROR(COUNTIFS($A$1:A1969,"Câu "&amp;"*")-MID(A1969,5,FIND(".",A1969,1)-5),0)</f>
        <v>0</v>
      </c>
      <c r="D1969" t="str">
        <f t="shared" si="114"/>
        <v/>
      </c>
      <c r="E1969" t="str">
        <f>SUBSTITUTE(IF(LEFT(A1969,3)="Câu",MID(A1969,FIND(".",A1969,1)+2,LEN(A1969)),""),CHAR(34),CHAR(92)&amp;CHAR(34))</f>
        <v/>
      </c>
      <c r="F1969" t="str">
        <f t="shared" si="113"/>
        <v/>
      </c>
      <c r="G1969" t="str">
        <f>SUBSTITUTE(B1970,CHAR(34),CHAR(92)&amp;CHAR(34))</f>
        <v xml:space="preserve"> Vạch 1 và vạch 2.</v>
      </c>
      <c r="H1969" t="str">
        <f>SUBSTITUTE(B1971,CHAR(34),CHAR(92)&amp;CHAR(34))</f>
        <v/>
      </c>
      <c r="I1969" t="str">
        <f>SUBSTITUTE(IF(LEFT(A1972,3)="Câu","",B1972),CHAR(34),CHAR(92)&amp;CHAR(34))</f>
        <v>Vạch 1.</v>
      </c>
      <c r="J1969" t="str">
        <f>SUBSTITUTE(IF(OR(LEFT(A1973,3)="Câu",I1969=""),"",IF(B1973=0,"",B1973)),CHAR(34),CHAR(92)&amp;CHAR(34))</f>
        <v xml:space="preserve"> Vạch 2.</v>
      </c>
      <c r="K1969" t="str">
        <f>SUBSTITUTE(SUBSTITUTE(SUBSTITUTE(SUBSTITUTE(IFERROR(VLOOKUP("Câu "&amp;D1969&amp;".",dapan!$E:$J,6,0),""),"1","A"),"2","B"),"3","C"),"4","D")</f>
        <v/>
      </c>
      <c r="P1969" t="str">
        <f t="shared" si="111"/>
        <v/>
      </c>
      <c r="Q1969" t="str">
        <f t="shared" si="112"/>
        <v/>
      </c>
    </row>
    <row r="1970" spans="1:17" hidden="1" x14ac:dyDescent="0.25">
      <c r="A1970">
        <v>4</v>
      </c>
      <c r="B1970" t="s">
        <v>1369</v>
      </c>
      <c r="C1970">
        <f>IFERROR(COUNTIFS($A$1:A1970,"Câu "&amp;"*")-MID(A1970,5,FIND(".",A1970,1)-5),0)</f>
        <v>0</v>
      </c>
      <c r="D1970" t="str">
        <f t="shared" si="114"/>
        <v/>
      </c>
      <c r="E1970" t="str">
        <f>SUBSTITUTE(IF(LEFT(A1970,3)="Câu",MID(A1970,FIND(".",A1970,1)+2,LEN(A1970)),""),CHAR(34),CHAR(92)&amp;CHAR(34))</f>
        <v/>
      </c>
      <c r="F1970" t="str">
        <f t="shared" si="113"/>
        <v/>
      </c>
      <c r="G1970" t="str">
        <f>SUBSTITUTE(B1971,CHAR(34),CHAR(92)&amp;CHAR(34))</f>
        <v/>
      </c>
      <c r="H1970" t="str">
        <f>SUBSTITUTE(B1972,CHAR(34),CHAR(92)&amp;CHAR(34))</f>
        <v>Vạch 1.</v>
      </c>
      <c r="I1970" t="str">
        <f>SUBSTITUTE(IF(LEFT(A1973,3)="Câu","",B1973),CHAR(34),CHAR(92)&amp;CHAR(34))</f>
        <v xml:space="preserve"> Vạch 2.</v>
      </c>
      <c r="J1970" t="str">
        <f>SUBSTITUTE(IF(OR(LEFT(A1974,3)="Câu",I1970=""),"",IF(B1974=0,"",B1974)),CHAR(34),CHAR(92)&amp;CHAR(34))</f>
        <v>Vạch 3.</v>
      </c>
      <c r="K1970" t="str">
        <f>SUBSTITUTE(SUBSTITUTE(SUBSTITUTE(SUBSTITUTE(IFERROR(VLOOKUP("Câu "&amp;D1970&amp;".",dapan!$E:$J,6,0),""),"1","A"),"2","B"),"3","C"),"4","D")</f>
        <v/>
      </c>
      <c r="P1970" t="str">
        <f t="shared" si="111"/>
        <v/>
      </c>
      <c r="Q1970" t="str">
        <f t="shared" si="112"/>
        <v/>
      </c>
    </row>
    <row r="1971" spans="1:17" x14ac:dyDescent="0.25">
      <c r="A1971" t="s">
        <v>1370</v>
      </c>
      <c r="C1971">
        <f>IFERROR(COUNTIFS($A$1:A1971,"Câu "&amp;"*")-MID(A1971,5,FIND(".",A1971,1)-5),0)</f>
        <v>0</v>
      </c>
      <c r="D1971">
        <f t="shared" si="114"/>
        <v>478</v>
      </c>
      <c r="E1971" t="str">
        <f>SUBSTITUTE(IF(LEFT(A1971,3)="Câu",MID(A1971,FIND(".",A1971,1)+2,LEN(A1971)),""),CHAR(34),CHAR(92)&amp;CHAR(34))</f>
        <v>Vạch kẻ đường nào dưới đây là vạch phân chia hai chiều xe chạy (vạch tim đường), xe không được lấn làn, không được đè lên vạch?</v>
      </c>
      <c r="F1971" t="str">
        <f t="shared" si="113"/>
        <v>q478.jpg</v>
      </c>
      <c r="G1971" t="str">
        <f>SUBSTITUTE(B1972,CHAR(34),CHAR(92)&amp;CHAR(34))</f>
        <v>Vạch 1.</v>
      </c>
      <c r="H1971" t="str">
        <f>SUBSTITUTE(B1973,CHAR(34),CHAR(92)&amp;CHAR(34))</f>
        <v xml:space="preserve"> Vạch 2.</v>
      </c>
      <c r="I1971" t="str">
        <f>SUBSTITUTE(IF(LEFT(A1974,3)="Câu","",B1974),CHAR(34),CHAR(92)&amp;CHAR(34))</f>
        <v>Vạch 3.</v>
      </c>
      <c r="J1971" t="str">
        <f>SUBSTITUTE(IF(OR(LEFT(A1975,3)="Câu",I1971=""),"",IF(B1975=0,"",B1975)),CHAR(34),CHAR(92)&amp;CHAR(34))</f>
        <v>Cả ba vạch.</v>
      </c>
      <c r="K1971" t="str">
        <f ca="1">SUBSTITUTE(SUBSTITUTE(SUBSTITUTE(SUBSTITUTE(IFERROR(VLOOKUP("Câu "&amp;D1971&amp;".",dapan!$E:$J,6,0),""),"1","A"),"2","B"),"3","C"),"4","D")</f>
        <v>B</v>
      </c>
      <c r="P1971">
        <f t="shared" si="111"/>
        <v>478</v>
      </c>
      <c r="Q1971" t="str">
        <f t="shared" ca="1" si="112"/>
        <v>{"num":478,"id":478,"q":"Vạch kẻ đường nào dưới đây là vạch phân chia hai chiều xe chạy (vạch tim đường), xe không được lấn làn, không được đè lên vạch?","img":"q478.jpg","opts":{"A":"Vạch 1.","B":" Vạch 2.","C":"Vạch 3.","D":"Cả ba vạch."},"answer":"B"},</v>
      </c>
    </row>
    <row r="1972" spans="1:17" hidden="1" x14ac:dyDescent="0.25">
      <c r="A1972">
        <v>1</v>
      </c>
      <c r="B1972" t="s">
        <v>1362</v>
      </c>
      <c r="C1972">
        <f>IFERROR(COUNTIFS($A$1:A1972,"Câu "&amp;"*")-MID(A1972,5,FIND(".",A1972,1)-5),0)</f>
        <v>0</v>
      </c>
      <c r="D1972" t="str">
        <f t="shared" si="114"/>
        <v/>
      </c>
      <c r="E1972" t="str">
        <f>SUBSTITUTE(IF(LEFT(A1972,3)="Câu",MID(A1972,FIND(".",A1972,1)+2,LEN(A1972)),""),CHAR(34),CHAR(92)&amp;CHAR(34))</f>
        <v/>
      </c>
      <c r="F1972" t="str">
        <f t="shared" si="113"/>
        <v/>
      </c>
      <c r="G1972" t="str">
        <f>SUBSTITUTE(B1973,CHAR(34),CHAR(92)&amp;CHAR(34))</f>
        <v xml:space="preserve"> Vạch 2.</v>
      </c>
      <c r="H1972" t="str">
        <f>SUBSTITUTE(B1974,CHAR(34),CHAR(92)&amp;CHAR(34))</f>
        <v>Vạch 3.</v>
      </c>
      <c r="I1972" t="str">
        <f>SUBSTITUTE(IF(LEFT(A1975,3)="Câu","",B1975),CHAR(34),CHAR(92)&amp;CHAR(34))</f>
        <v>Cả ba vạch.</v>
      </c>
      <c r="J1972" t="str">
        <f>SUBSTITUTE(IF(OR(LEFT(A1976,3)="Câu",I1972=""),"",IF(B1976=0,"",B1976)),CHAR(34),CHAR(92)&amp;CHAR(34))</f>
        <v/>
      </c>
      <c r="K1972" t="str">
        <f>SUBSTITUTE(SUBSTITUTE(SUBSTITUTE(SUBSTITUTE(IFERROR(VLOOKUP("Câu "&amp;D1972&amp;".",dapan!$E:$J,6,0),""),"1","A"),"2","B"),"3","C"),"4","D")</f>
        <v/>
      </c>
      <c r="P1972" t="str">
        <f t="shared" si="111"/>
        <v/>
      </c>
      <c r="Q1972" t="str">
        <f t="shared" si="112"/>
        <v/>
      </c>
    </row>
    <row r="1973" spans="1:17" hidden="1" x14ac:dyDescent="0.25">
      <c r="A1973">
        <v>2</v>
      </c>
      <c r="B1973" t="s">
        <v>1371</v>
      </c>
      <c r="C1973">
        <f>IFERROR(COUNTIFS($A$1:A1973,"Câu "&amp;"*")-MID(A1973,5,FIND(".",A1973,1)-5),0)</f>
        <v>0</v>
      </c>
      <c r="D1973" t="str">
        <f t="shared" si="114"/>
        <v/>
      </c>
      <c r="E1973" t="str">
        <f>SUBSTITUTE(IF(LEFT(A1973,3)="Câu",MID(A1973,FIND(".",A1973,1)+2,LEN(A1973)),""),CHAR(34),CHAR(92)&amp;CHAR(34))</f>
        <v/>
      </c>
      <c r="F1973" t="str">
        <f t="shared" si="113"/>
        <v/>
      </c>
      <c r="G1973" t="str">
        <f>SUBSTITUTE(B1974,CHAR(34),CHAR(92)&amp;CHAR(34))</f>
        <v>Vạch 3.</v>
      </c>
      <c r="H1973" t="str">
        <f>SUBSTITUTE(B1975,CHAR(34),CHAR(92)&amp;CHAR(34))</f>
        <v>Cả ba vạch.</v>
      </c>
      <c r="I1973" t="str">
        <f>SUBSTITUTE(IF(LEFT(A1976,3)="Câu","",B1976),CHAR(34),CHAR(92)&amp;CHAR(34))</f>
        <v/>
      </c>
      <c r="J1973" t="str">
        <f>SUBSTITUTE(IF(OR(LEFT(A1977,3)="Câu",I1973=""),"",IF(B1977=0,"",B1977)),CHAR(34),CHAR(92)&amp;CHAR(34))</f>
        <v/>
      </c>
      <c r="K1973" t="str">
        <f>SUBSTITUTE(SUBSTITUTE(SUBSTITUTE(SUBSTITUTE(IFERROR(VLOOKUP("Câu "&amp;D1973&amp;".",dapan!$E:$J,6,0),""),"1","A"),"2","B"),"3","C"),"4","D")</f>
        <v/>
      </c>
      <c r="P1973" t="str">
        <f t="shared" si="111"/>
        <v/>
      </c>
      <c r="Q1973" t="str">
        <f t="shared" si="112"/>
        <v/>
      </c>
    </row>
    <row r="1974" spans="1:17" hidden="1" x14ac:dyDescent="0.25">
      <c r="A1974">
        <v>3</v>
      </c>
      <c r="B1974" t="s">
        <v>1368</v>
      </c>
      <c r="C1974">
        <f>IFERROR(COUNTIFS($A$1:A1974,"Câu "&amp;"*")-MID(A1974,5,FIND(".",A1974,1)-5),0)</f>
        <v>0</v>
      </c>
      <c r="D1974" t="str">
        <f t="shared" si="114"/>
        <v/>
      </c>
      <c r="E1974" t="str">
        <f>SUBSTITUTE(IF(LEFT(A1974,3)="Câu",MID(A1974,FIND(".",A1974,1)+2,LEN(A1974)),""),CHAR(34),CHAR(92)&amp;CHAR(34))</f>
        <v/>
      </c>
      <c r="F1974" t="str">
        <f t="shared" si="113"/>
        <v/>
      </c>
      <c r="G1974" t="str">
        <f>SUBSTITUTE(B1975,CHAR(34),CHAR(92)&amp;CHAR(34))</f>
        <v>Cả ba vạch.</v>
      </c>
      <c r="H1974" t="str">
        <f>SUBSTITUTE(B1976,CHAR(34),CHAR(92)&amp;CHAR(34))</f>
        <v/>
      </c>
      <c r="I1974" t="str">
        <f>SUBSTITUTE(IF(LEFT(A1977,3)="Câu","",B1977),CHAR(34),CHAR(92)&amp;CHAR(34))</f>
        <v>Vạch 1.</v>
      </c>
      <c r="J1974" t="str">
        <f>SUBSTITUTE(IF(OR(LEFT(A1978,3)="Câu",I1974=""),"",IF(B1978=0,"",B1978)),CHAR(34),CHAR(92)&amp;CHAR(34))</f>
        <v>Vạch 2.</v>
      </c>
      <c r="K1974" t="str">
        <f>SUBSTITUTE(SUBSTITUTE(SUBSTITUTE(SUBSTITUTE(IFERROR(VLOOKUP("Câu "&amp;D1974&amp;".",dapan!$E:$J,6,0),""),"1","A"),"2","B"),"3","C"),"4","D")</f>
        <v/>
      </c>
      <c r="P1974" t="str">
        <f t="shared" si="111"/>
        <v/>
      </c>
      <c r="Q1974" t="str">
        <f t="shared" si="112"/>
        <v/>
      </c>
    </row>
    <row r="1975" spans="1:17" hidden="1" x14ac:dyDescent="0.25">
      <c r="A1975">
        <v>4</v>
      </c>
      <c r="B1975" t="s">
        <v>1372</v>
      </c>
      <c r="C1975">
        <f>IFERROR(COUNTIFS($A$1:A1975,"Câu "&amp;"*")-MID(A1975,5,FIND(".",A1975,1)-5),0)</f>
        <v>0</v>
      </c>
      <c r="D1975" t="str">
        <f t="shared" si="114"/>
        <v/>
      </c>
      <c r="E1975" t="str">
        <f>SUBSTITUTE(IF(LEFT(A1975,3)="Câu",MID(A1975,FIND(".",A1975,1)+2,LEN(A1975)),""),CHAR(34),CHAR(92)&amp;CHAR(34))</f>
        <v/>
      </c>
      <c r="F1975" t="str">
        <f t="shared" si="113"/>
        <v/>
      </c>
      <c r="G1975" t="str">
        <f>SUBSTITUTE(B1976,CHAR(34),CHAR(92)&amp;CHAR(34))</f>
        <v/>
      </c>
      <c r="H1975" t="str">
        <f>SUBSTITUTE(B1977,CHAR(34),CHAR(92)&amp;CHAR(34))</f>
        <v>Vạch 1.</v>
      </c>
      <c r="I1975" t="str">
        <f>SUBSTITUTE(IF(LEFT(A1978,3)="Câu","",B1978),CHAR(34),CHAR(92)&amp;CHAR(34))</f>
        <v>Vạch 2.</v>
      </c>
      <c r="J1975" t="str">
        <f>SUBSTITUTE(IF(OR(LEFT(A1979,3)="Câu",I1975=""),"",IF(B1979=0,"",B1979)),CHAR(34),CHAR(92)&amp;CHAR(34))</f>
        <v>Vạch 3.</v>
      </c>
      <c r="K1975" t="str">
        <f>SUBSTITUTE(SUBSTITUTE(SUBSTITUTE(SUBSTITUTE(IFERROR(VLOOKUP("Câu "&amp;D1975&amp;".",dapan!$E:$J,6,0),""),"1","A"),"2","B"),"3","C"),"4","D")</f>
        <v/>
      </c>
      <c r="P1975" t="str">
        <f t="shared" si="111"/>
        <v/>
      </c>
      <c r="Q1975" t="str">
        <f t="shared" si="112"/>
        <v/>
      </c>
    </row>
    <row r="1976" spans="1:17" x14ac:dyDescent="0.25">
      <c r="A1976" t="s">
        <v>1373</v>
      </c>
      <c r="C1976">
        <f>IFERROR(COUNTIFS($A$1:A1976,"Câu "&amp;"*")-MID(A1976,5,FIND(".",A1976,1)-5),0)</f>
        <v>0</v>
      </c>
      <c r="D1976">
        <f t="shared" si="114"/>
        <v>479</v>
      </c>
      <c r="E1976" t="str">
        <f>SUBSTITUTE(IF(LEFT(A1976,3)="Câu",MID(A1976,FIND(".",A1976,1)+2,LEN(A1976)),""),CHAR(34),CHAR(92)&amp;CHAR(34))</f>
        <v>Vạch kẻ đường nào dưới đây là vạch phân chia hai chiều xe chạy (vạch tim đường)?</v>
      </c>
      <c r="F1976" t="str">
        <f t="shared" si="113"/>
        <v>q479.jpg</v>
      </c>
      <c r="G1976" t="str">
        <f>SUBSTITUTE(B1977,CHAR(34),CHAR(92)&amp;CHAR(34))</f>
        <v>Vạch 1.</v>
      </c>
      <c r="H1976" t="str">
        <f>SUBSTITUTE(B1978,CHAR(34),CHAR(92)&amp;CHAR(34))</f>
        <v>Vạch 2.</v>
      </c>
      <c r="I1976" t="str">
        <f>SUBSTITUTE(IF(LEFT(A1979,3)="Câu","",B1979),CHAR(34),CHAR(92)&amp;CHAR(34))</f>
        <v>Vạch 3.</v>
      </c>
      <c r="J1976" t="str">
        <f>SUBSTITUTE(IF(OR(LEFT(A1980,3)="Câu",I1976=""),"",IF(B1980=0,"",B1980)),CHAR(34),CHAR(92)&amp;CHAR(34))</f>
        <v xml:space="preserve"> Vạch 1 và vạch 3.</v>
      </c>
      <c r="K1976" t="str">
        <f ca="1">SUBSTITUTE(SUBSTITUTE(SUBSTITUTE(SUBSTITUTE(IFERROR(VLOOKUP("Câu "&amp;D1976&amp;".",dapan!$E:$J,6,0),""),"1","A"),"2","B"),"3","C"),"4","D")</f>
        <v>D</v>
      </c>
      <c r="P1976">
        <f t="shared" si="111"/>
        <v>479</v>
      </c>
      <c r="Q1976" t="str">
        <f t="shared" ca="1" si="112"/>
        <v>{"num":479,"id":479,"q":"Vạch kẻ đường nào dưới đây là vạch phân chia hai chiều xe chạy (vạch tim đường)?","img":"q479.jpg","opts":{"A":"Vạch 1.","B":"Vạch 2.","C":"Vạch 3.","D":" Vạch 1 và vạch 3."},"answer":"D"},</v>
      </c>
    </row>
    <row r="1977" spans="1:17" hidden="1" x14ac:dyDescent="0.25">
      <c r="A1977">
        <v>1</v>
      </c>
      <c r="B1977" t="s">
        <v>1362</v>
      </c>
      <c r="C1977">
        <f>IFERROR(COUNTIFS($A$1:A1977,"Câu "&amp;"*")-MID(A1977,5,FIND(".",A1977,1)-5),0)</f>
        <v>0</v>
      </c>
      <c r="D1977" t="str">
        <f t="shared" si="114"/>
        <v/>
      </c>
      <c r="E1977" t="str">
        <f>SUBSTITUTE(IF(LEFT(A1977,3)="Câu",MID(A1977,FIND(".",A1977,1)+2,LEN(A1977)),""),CHAR(34),CHAR(92)&amp;CHAR(34))</f>
        <v/>
      </c>
      <c r="F1977" t="str">
        <f t="shared" si="113"/>
        <v/>
      </c>
      <c r="G1977" t="str">
        <f>SUBSTITUTE(B1978,CHAR(34),CHAR(92)&amp;CHAR(34))</f>
        <v>Vạch 2.</v>
      </c>
      <c r="H1977" t="str">
        <f>SUBSTITUTE(B1979,CHAR(34),CHAR(92)&amp;CHAR(34))</f>
        <v>Vạch 3.</v>
      </c>
      <c r="I1977" t="str">
        <f>SUBSTITUTE(IF(LEFT(A1980,3)="Câu","",B1980),CHAR(34),CHAR(92)&amp;CHAR(34))</f>
        <v xml:space="preserve"> Vạch 1 và vạch 3.</v>
      </c>
      <c r="J1977" t="str">
        <f>SUBSTITUTE(IF(OR(LEFT(A1981,3)="Câu",I1977=""),"",IF(B1981=0,"",B1981)),CHAR(34),CHAR(92)&amp;CHAR(34))</f>
        <v/>
      </c>
      <c r="K1977" t="str">
        <f>SUBSTITUTE(SUBSTITUTE(SUBSTITUTE(SUBSTITUTE(IFERROR(VLOOKUP("Câu "&amp;D1977&amp;".",dapan!$E:$J,6,0),""),"1","A"),"2","B"),"3","C"),"4","D")</f>
        <v/>
      </c>
      <c r="P1977" t="str">
        <f t="shared" si="111"/>
        <v/>
      </c>
      <c r="Q1977" t="str">
        <f t="shared" si="112"/>
        <v/>
      </c>
    </row>
    <row r="1978" spans="1:17" hidden="1" x14ac:dyDescent="0.25">
      <c r="A1978">
        <v>2</v>
      </c>
      <c r="B1978" t="s">
        <v>1367</v>
      </c>
      <c r="C1978">
        <f>IFERROR(COUNTIFS($A$1:A1978,"Câu "&amp;"*")-MID(A1978,5,FIND(".",A1978,1)-5),0)</f>
        <v>0</v>
      </c>
      <c r="D1978" t="str">
        <f t="shared" si="114"/>
        <v/>
      </c>
      <c r="E1978" t="str">
        <f>SUBSTITUTE(IF(LEFT(A1978,3)="Câu",MID(A1978,FIND(".",A1978,1)+2,LEN(A1978)),""),CHAR(34),CHAR(92)&amp;CHAR(34))</f>
        <v/>
      </c>
      <c r="F1978" t="str">
        <f t="shared" si="113"/>
        <v/>
      </c>
      <c r="G1978" t="str">
        <f>SUBSTITUTE(B1979,CHAR(34),CHAR(92)&amp;CHAR(34))</f>
        <v>Vạch 3.</v>
      </c>
      <c r="H1978" t="str">
        <f>SUBSTITUTE(B1980,CHAR(34),CHAR(92)&amp;CHAR(34))</f>
        <v xml:space="preserve"> Vạch 1 và vạch 3.</v>
      </c>
      <c r="I1978" t="str">
        <f>SUBSTITUTE(IF(LEFT(A1981,3)="Câu","",B1981),CHAR(34),CHAR(92)&amp;CHAR(34))</f>
        <v/>
      </c>
      <c r="J1978" t="str">
        <f>SUBSTITUTE(IF(OR(LEFT(A1982,3)="Câu",I1978=""),"",IF(B1982=0,"",B1982)),CHAR(34),CHAR(92)&amp;CHAR(34))</f>
        <v/>
      </c>
      <c r="K1978" t="str">
        <f>SUBSTITUTE(SUBSTITUTE(SUBSTITUTE(SUBSTITUTE(IFERROR(VLOOKUP("Câu "&amp;D1978&amp;".",dapan!$E:$J,6,0),""),"1","A"),"2","B"),"3","C"),"4","D")</f>
        <v/>
      </c>
      <c r="P1978" t="str">
        <f t="shared" si="111"/>
        <v/>
      </c>
      <c r="Q1978" t="str">
        <f t="shared" si="112"/>
        <v/>
      </c>
    </row>
    <row r="1979" spans="1:17" hidden="1" x14ac:dyDescent="0.25">
      <c r="A1979">
        <v>3</v>
      </c>
      <c r="B1979" t="s">
        <v>1368</v>
      </c>
      <c r="C1979">
        <f>IFERROR(COUNTIFS($A$1:A1979,"Câu "&amp;"*")-MID(A1979,5,FIND(".",A1979,1)-5),0)</f>
        <v>0</v>
      </c>
      <c r="D1979" t="str">
        <f t="shared" si="114"/>
        <v/>
      </c>
      <c r="E1979" t="str">
        <f>SUBSTITUTE(IF(LEFT(A1979,3)="Câu",MID(A1979,FIND(".",A1979,1)+2,LEN(A1979)),""),CHAR(34),CHAR(92)&amp;CHAR(34))</f>
        <v/>
      </c>
      <c r="F1979" t="str">
        <f t="shared" si="113"/>
        <v/>
      </c>
      <c r="G1979" t="str">
        <f>SUBSTITUTE(B1980,CHAR(34),CHAR(92)&amp;CHAR(34))</f>
        <v xml:space="preserve"> Vạch 1 và vạch 3.</v>
      </c>
      <c r="H1979" t="str">
        <f>SUBSTITUTE(B1981,CHAR(34),CHAR(92)&amp;CHAR(34))</f>
        <v/>
      </c>
      <c r="I1979" t="str">
        <f>SUBSTITUTE(IF(LEFT(A1982,3)="Câu","",B1982),CHAR(34),CHAR(92)&amp;CHAR(34))</f>
        <v xml:space="preserve"> Phân chia hai chiều xe chạy ngược chiều nhau.</v>
      </c>
      <c r="J1979" t="str">
        <f>SUBSTITUTE(IF(OR(LEFT(A1983,3)="Câu",I1979=""),"",IF(B1983=0,"",B1983)),CHAR(34),CHAR(92)&amp;CHAR(34))</f>
        <v>Phân chia các làn xe chạy cùng chiều nhau.</v>
      </c>
      <c r="K1979" t="str">
        <f>SUBSTITUTE(SUBSTITUTE(SUBSTITUTE(SUBSTITUTE(IFERROR(VLOOKUP("Câu "&amp;D1979&amp;".",dapan!$E:$J,6,0),""),"1","A"),"2","B"),"3","C"),"4","D")</f>
        <v/>
      </c>
      <c r="P1979" t="str">
        <f t="shared" si="111"/>
        <v/>
      </c>
      <c r="Q1979" t="str">
        <f t="shared" si="112"/>
        <v/>
      </c>
    </row>
    <row r="1980" spans="1:17" hidden="1" x14ac:dyDescent="0.25">
      <c r="A1980">
        <v>4</v>
      </c>
      <c r="B1980" t="s">
        <v>1374</v>
      </c>
      <c r="C1980">
        <f>IFERROR(COUNTIFS($A$1:A1980,"Câu "&amp;"*")-MID(A1980,5,FIND(".",A1980,1)-5),0)</f>
        <v>0</v>
      </c>
      <c r="D1980" t="str">
        <f t="shared" si="114"/>
        <v/>
      </c>
      <c r="E1980" t="str">
        <f>SUBSTITUTE(IF(LEFT(A1980,3)="Câu",MID(A1980,FIND(".",A1980,1)+2,LEN(A1980)),""),CHAR(34),CHAR(92)&amp;CHAR(34))</f>
        <v/>
      </c>
      <c r="F1980" t="str">
        <f t="shared" si="113"/>
        <v/>
      </c>
      <c r="G1980" t="str">
        <f>SUBSTITUTE(B1981,CHAR(34),CHAR(92)&amp;CHAR(34))</f>
        <v/>
      </c>
      <c r="H1980" t="str">
        <f>SUBSTITUTE(B1982,CHAR(34),CHAR(92)&amp;CHAR(34))</f>
        <v xml:space="preserve"> Phân chia hai chiều xe chạy ngược chiều nhau.</v>
      </c>
      <c r="I1980" t="str">
        <f>SUBSTITUTE(IF(LEFT(A1983,3)="Câu","",B1983),CHAR(34),CHAR(92)&amp;CHAR(34))</f>
        <v>Phân chia các làn xe chạy cùng chiều nhau.</v>
      </c>
      <c r="J1980" t="str">
        <f>SUBSTITUTE(IF(OR(LEFT(A1984,3)="Câu",I1980=""),"",IF(B1984=0,"",B1984)),CHAR(34),CHAR(92)&amp;CHAR(34))</f>
        <v/>
      </c>
      <c r="K1980" t="str">
        <f>SUBSTITUTE(SUBSTITUTE(SUBSTITUTE(SUBSTITUTE(IFERROR(VLOOKUP("Câu "&amp;D1980&amp;".",dapan!$E:$J,6,0),""),"1","A"),"2","B"),"3","C"),"4","D")</f>
        <v/>
      </c>
      <c r="P1980" t="str">
        <f t="shared" si="111"/>
        <v/>
      </c>
      <c r="Q1980" t="str">
        <f t="shared" si="112"/>
        <v/>
      </c>
    </row>
    <row r="1981" spans="1:17" x14ac:dyDescent="0.25">
      <c r="A1981" t="s">
        <v>1375</v>
      </c>
      <c r="C1981">
        <f>IFERROR(COUNTIFS($A$1:A1981,"Câu "&amp;"*")-MID(A1981,5,FIND(".",A1981,1)-5),0)</f>
        <v>0</v>
      </c>
      <c r="D1981">
        <f t="shared" si="114"/>
        <v>480</v>
      </c>
      <c r="E1981" t="str">
        <f>SUBSTITUTE(IF(LEFT(A1981,3)="Câu",MID(A1981,FIND(".",A1981,1)+2,LEN(A1981)),""),CHAR(34),CHAR(92)&amp;CHAR(34))</f>
        <v>Các vạch dưới đây có tác dụng như thế nào?</v>
      </c>
      <c r="F1981" t="str">
        <f t="shared" si="113"/>
        <v>q480.jpg</v>
      </c>
      <c r="G1981" t="str">
        <f>SUBSTITUTE(B1982,CHAR(34),CHAR(92)&amp;CHAR(34))</f>
        <v xml:space="preserve"> Phân chia hai chiều xe chạy ngược chiều nhau.</v>
      </c>
      <c r="H1981" t="str">
        <f>SUBSTITUTE(B1983,CHAR(34),CHAR(92)&amp;CHAR(34))</f>
        <v>Phân chia các làn xe chạy cùng chiều nhau.</v>
      </c>
      <c r="I1981" t="str">
        <f>SUBSTITUTE(IF(LEFT(A1984,3)="Câu","",B1984),CHAR(34),CHAR(92)&amp;CHAR(34))</f>
        <v/>
      </c>
      <c r="J1981" t="str">
        <f>SUBSTITUTE(IF(OR(LEFT(A1985,3)="Câu",I1981=""),"",IF(B1985=0,"",B1985)),CHAR(34),CHAR(92)&amp;CHAR(34))</f>
        <v/>
      </c>
      <c r="K1981" t="str">
        <f ca="1">SUBSTITUTE(SUBSTITUTE(SUBSTITUTE(SUBSTITUTE(IFERROR(VLOOKUP("Câu "&amp;D1981&amp;".",dapan!$E:$J,6,0),""),"1","A"),"2","B"),"3","C"),"4","D")</f>
        <v>A</v>
      </c>
      <c r="P1981">
        <f t="shared" si="111"/>
        <v>480</v>
      </c>
      <c r="Q1981" t="str">
        <f t="shared" ca="1" si="112"/>
        <v>{"num":480,"id":480,"q":"Các vạch dưới đây có tác dụng như thế nào?","img":"q480.jpg","opts":{"A":" Phân chia hai chiều xe chạy ngược chiều nhau.","B":"Phân chia các làn xe chạy cùng chiều nhau."},"answer":"A"},</v>
      </c>
    </row>
    <row r="1982" spans="1:17" hidden="1" x14ac:dyDescent="0.25">
      <c r="A1982">
        <v>1</v>
      </c>
      <c r="B1982" t="s">
        <v>1376</v>
      </c>
      <c r="C1982">
        <f>IFERROR(COUNTIFS($A$1:A1982,"Câu "&amp;"*")-MID(A1982,5,FIND(".",A1982,1)-5),0)</f>
        <v>0</v>
      </c>
      <c r="D1982" t="str">
        <f t="shared" si="114"/>
        <v/>
      </c>
      <c r="E1982" t="str">
        <f>SUBSTITUTE(IF(LEFT(A1982,3)="Câu",MID(A1982,FIND(".",A1982,1)+2,LEN(A1982)),""),CHAR(34),CHAR(92)&amp;CHAR(34))</f>
        <v/>
      </c>
      <c r="F1982" t="str">
        <f t="shared" si="113"/>
        <v/>
      </c>
      <c r="G1982" t="str">
        <f>SUBSTITUTE(B1983,CHAR(34),CHAR(92)&amp;CHAR(34))</f>
        <v>Phân chia các làn xe chạy cùng chiều nhau.</v>
      </c>
      <c r="H1982" t="str">
        <f>SUBSTITUTE(B1984,CHAR(34),CHAR(92)&amp;CHAR(34))</f>
        <v/>
      </c>
      <c r="I1982" t="str">
        <f>SUBSTITUTE(IF(LEFT(A1985,3)="Câu","",B1985),CHAR(34),CHAR(92)&amp;CHAR(34))</f>
        <v>Phân chia hai chiều xe chạy ngược chiều nhau.</v>
      </c>
      <c r="J1982" t="str">
        <f>SUBSTITUTE(IF(OR(LEFT(A1986,3)="Câu",I1982=""),"",IF(B1986=0,"",B1986)),CHAR(34),CHAR(92)&amp;CHAR(34))</f>
        <v xml:space="preserve"> Phân chia các làn xe chạy cùng chiều nhau.</v>
      </c>
      <c r="K1982" t="str">
        <f>SUBSTITUTE(SUBSTITUTE(SUBSTITUTE(SUBSTITUTE(IFERROR(VLOOKUP("Câu "&amp;D1982&amp;".",dapan!$E:$J,6,0),""),"1","A"),"2","B"),"3","C"),"4","D")</f>
        <v/>
      </c>
      <c r="P1982" t="str">
        <f t="shared" si="111"/>
        <v/>
      </c>
      <c r="Q1982" t="str">
        <f t="shared" si="112"/>
        <v/>
      </c>
    </row>
    <row r="1983" spans="1:17" hidden="1" x14ac:dyDescent="0.25">
      <c r="A1983">
        <v>2</v>
      </c>
      <c r="B1983" t="s">
        <v>1377</v>
      </c>
      <c r="C1983">
        <f>IFERROR(COUNTIFS($A$1:A1983,"Câu "&amp;"*")-MID(A1983,5,FIND(".",A1983,1)-5),0)</f>
        <v>0</v>
      </c>
      <c r="D1983" t="str">
        <f t="shared" si="114"/>
        <v/>
      </c>
      <c r="E1983" t="str">
        <f>SUBSTITUTE(IF(LEFT(A1983,3)="Câu",MID(A1983,FIND(".",A1983,1)+2,LEN(A1983)),""),CHAR(34),CHAR(92)&amp;CHAR(34))</f>
        <v/>
      </c>
      <c r="F1983" t="str">
        <f t="shared" si="113"/>
        <v/>
      </c>
      <c r="G1983" t="str">
        <f>SUBSTITUTE(B1984,CHAR(34),CHAR(92)&amp;CHAR(34))</f>
        <v/>
      </c>
      <c r="H1983" t="str">
        <f>SUBSTITUTE(B1985,CHAR(34),CHAR(92)&amp;CHAR(34))</f>
        <v>Phân chia hai chiều xe chạy ngược chiều nhau.</v>
      </c>
      <c r="I1983" t="str">
        <f>SUBSTITUTE(IF(LEFT(A1986,3)="Câu","",B1986),CHAR(34),CHAR(92)&amp;CHAR(34))</f>
        <v xml:space="preserve"> Phân chia các làn xe chạy cùng chiều nhau.</v>
      </c>
      <c r="J1983" t="str">
        <f>SUBSTITUTE(IF(OR(LEFT(A1987,3)="Câu",I1983=""),"",IF(B1987=0,"",B1987)),CHAR(34),CHAR(92)&amp;CHAR(34))</f>
        <v/>
      </c>
      <c r="K1983" t="str">
        <f>SUBSTITUTE(SUBSTITUTE(SUBSTITUTE(SUBSTITUTE(IFERROR(VLOOKUP("Câu "&amp;D1983&amp;".",dapan!$E:$J,6,0),""),"1","A"),"2","B"),"3","C"),"4","D")</f>
        <v/>
      </c>
      <c r="P1983" t="str">
        <f t="shared" si="111"/>
        <v/>
      </c>
      <c r="Q1983" t="str">
        <f t="shared" si="112"/>
        <v/>
      </c>
    </row>
    <row r="1984" spans="1:17" x14ac:dyDescent="0.25">
      <c r="A1984" t="s">
        <v>1378</v>
      </c>
      <c r="C1984">
        <f>IFERROR(COUNTIFS($A$1:A1984,"Câu "&amp;"*")-MID(A1984,5,FIND(".",A1984,1)-5),0)</f>
        <v>0</v>
      </c>
      <c r="D1984">
        <f t="shared" si="114"/>
        <v>481</v>
      </c>
      <c r="E1984" t="str">
        <f>SUBSTITUTE(IF(LEFT(A1984,3)="Câu",MID(A1984,FIND(".",A1984,1)+2,LEN(A1984)),""),CHAR(34),CHAR(92)&amp;CHAR(34))</f>
        <v>Các vạch dưới đây có tác dụng như thế nào?</v>
      </c>
      <c r="F1984" t="str">
        <f t="shared" si="113"/>
        <v>q481.jpg</v>
      </c>
      <c r="G1984" t="str">
        <f>SUBSTITUTE(B1985,CHAR(34),CHAR(92)&amp;CHAR(34))</f>
        <v>Phân chia hai chiều xe chạy ngược chiều nhau.</v>
      </c>
      <c r="H1984" t="str">
        <f>SUBSTITUTE(B1986,CHAR(34),CHAR(92)&amp;CHAR(34))</f>
        <v xml:space="preserve"> Phân chia các làn xe chạy cùng chiều nhau.</v>
      </c>
      <c r="I1984" t="str">
        <f>SUBSTITUTE(IF(LEFT(A1987,3)="Câu","",B1987),CHAR(34),CHAR(92)&amp;CHAR(34))</f>
        <v/>
      </c>
      <c r="J1984" t="str">
        <f>SUBSTITUTE(IF(OR(LEFT(A1988,3)="Câu",I1984=""),"",IF(B1988=0,"",B1988)),CHAR(34),CHAR(92)&amp;CHAR(34))</f>
        <v/>
      </c>
      <c r="K1984" t="str">
        <f ca="1">SUBSTITUTE(SUBSTITUTE(SUBSTITUTE(SUBSTITUTE(IFERROR(VLOOKUP("Câu "&amp;D1984&amp;".",dapan!$E:$J,6,0),""),"1","A"),"2","B"),"3","C"),"4","D")</f>
        <v>B</v>
      </c>
      <c r="P1984">
        <f t="shared" si="111"/>
        <v>481</v>
      </c>
      <c r="Q1984" t="str">
        <f t="shared" ca="1" si="112"/>
        <v>{"num":481,"id":481,"q":"Các vạch dưới đây có tác dụng như thế nào?","img":"q481.jpg","opts":{"A":"Phân chia hai chiều xe chạy ngược chiều nhau.","B":" Phân chia các làn xe chạy cùng chiều nhau."},"answer":"B"},</v>
      </c>
    </row>
    <row r="1985" spans="1:17" hidden="1" x14ac:dyDescent="0.25">
      <c r="A1985">
        <v>1</v>
      </c>
      <c r="B1985" t="s">
        <v>1379</v>
      </c>
      <c r="C1985">
        <f>IFERROR(COUNTIFS($A$1:A1985,"Câu "&amp;"*")-MID(A1985,5,FIND(".",A1985,1)-5),0)</f>
        <v>0</v>
      </c>
      <c r="D1985" t="str">
        <f t="shared" si="114"/>
        <v/>
      </c>
      <c r="E1985" t="str">
        <f>SUBSTITUTE(IF(LEFT(A1985,3)="Câu",MID(A1985,FIND(".",A1985,1)+2,LEN(A1985)),""),CHAR(34),CHAR(92)&amp;CHAR(34))</f>
        <v/>
      </c>
      <c r="F1985" t="str">
        <f t="shared" si="113"/>
        <v/>
      </c>
      <c r="G1985" t="str">
        <f>SUBSTITUTE(B1986,CHAR(34),CHAR(92)&amp;CHAR(34))</f>
        <v xml:space="preserve"> Phân chia các làn xe chạy cùng chiều nhau.</v>
      </c>
      <c r="H1985" t="str">
        <f>SUBSTITUTE(B1987,CHAR(34),CHAR(92)&amp;CHAR(34))</f>
        <v/>
      </c>
      <c r="I1985" t="str">
        <f>SUBSTITUTE(IF(LEFT(A1988,3)="Câu","",B1988),CHAR(34),CHAR(92)&amp;CHAR(34))</f>
        <v>Vạch 1.</v>
      </c>
      <c r="J1985" t="str">
        <f>SUBSTITUTE(IF(OR(LEFT(A1989,3)="Câu",I1985=""),"",IF(B1989=0,"",B1989)),CHAR(34),CHAR(92)&amp;CHAR(34))</f>
        <v>Vạch 2.</v>
      </c>
      <c r="K1985" t="str">
        <f>SUBSTITUTE(SUBSTITUTE(SUBSTITUTE(SUBSTITUTE(IFERROR(VLOOKUP("Câu "&amp;D1985&amp;".",dapan!$E:$J,6,0),""),"1","A"),"2","B"),"3","C"),"4","D")</f>
        <v/>
      </c>
      <c r="P1985" t="str">
        <f t="shared" si="111"/>
        <v/>
      </c>
      <c r="Q1985" t="str">
        <f t="shared" si="112"/>
        <v/>
      </c>
    </row>
    <row r="1986" spans="1:17" hidden="1" x14ac:dyDescent="0.25">
      <c r="A1986">
        <v>2</v>
      </c>
      <c r="B1986" t="s">
        <v>1380</v>
      </c>
      <c r="C1986">
        <f>IFERROR(COUNTIFS($A$1:A1986,"Câu "&amp;"*")-MID(A1986,5,FIND(".",A1986,1)-5),0)</f>
        <v>0</v>
      </c>
      <c r="D1986" t="str">
        <f t="shared" si="114"/>
        <v/>
      </c>
      <c r="E1986" t="str">
        <f>SUBSTITUTE(IF(LEFT(A1986,3)="Câu",MID(A1986,FIND(".",A1986,1)+2,LEN(A1986)),""),CHAR(34),CHAR(92)&amp;CHAR(34))</f>
        <v/>
      </c>
      <c r="F1986" t="str">
        <f t="shared" si="113"/>
        <v/>
      </c>
      <c r="G1986" t="str">
        <f>SUBSTITUTE(B1987,CHAR(34),CHAR(92)&amp;CHAR(34))</f>
        <v/>
      </c>
      <c r="H1986" t="str">
        <f>SUBSTITUTE(B1988,CHAR(34),CHAR(92)&amp;CHAR(34))</f>
        <v>Vạch 1.</v>
      </c>
      <c r="I1986" t="str">
        <f>SUBSTITUTE(IF(LEFT(A1989,3)="Câu","",B1989),CHAR(34),CHAR(92)&amp;CHAR(34))</f>
        <v>Vạch 2.</v>
      </c>
      <c r="J1986" t="str">
        <f>SUBSTITUTE(IF(OR(LEFT(A1990,3)="Câu",I1986=""),"",IF(B1990=0,"",B1990)),CHAR(34),CHAR(92)&amp;CHAR(34))</f>
        <v>Vạch 3.</v>
      </c>
      <c r="K1986" t="str">
        <f>SUBSTITUTE(SUBSTITUTE(SUBSTITUTE(SUBSTITUTE(IFERROR(VLOOKUP("Câu "&amp;D1986&amp;".",dapan!$E:$J,6,0),""),"1","A"),"2","B"),"3","C"),"4","D")</f>
        <v/>
      </c>
      <c r="P1986" t="str">
        <f t="shared" si="111"/>
        <v/>
      </c>
      <c r="Q1986" t="str">
        <f t="shared" si="112"/>
        <v/>
      </c>
    </row>
    <row r="1987" spans="1:17" x14ac:dyDescent="0.25">
      <c r="A1987" t="s">
        <v>1381</v>
      </c>
      <c r="C1987">
        <f>IFERROR(COUNTIFS($A$1:A1987,"Câu "&amp;"*")-MID(A1987,5,FIND(".",A1987,1)-5),0)</f>
        <v>0</v>
      </c>
      <c r="D1987">
        <f t="shared" si="114"/>
        <v>482</v>
      </c>
      <c r="E1987" t="str">
        <f>SUBSTITUTE(IF(LEFT(A1987,3)="Câu",MID(A1987,FIND(".",A1987,1)+2,LEN(A1987)),""),CHAR(34),CHAR(92)&amp;CHAR(34))</f>
        <v>Khi gặp vạch kẻ đường nào các xe được phép đè vạch?</v>
      </c>
      <c r="F1987" t="str">
        <f t="shared" si="113"/>
        <v>q482.jpg</v>
      </c>
      <c r="G1987" t="str">
        <f>SUBSTITUTE(B1988,CHAR(34),CHAR(92)&amp;CHAR(34))</f>
        <v>Vạch 1.</v>
      </c>
      <c r="H1987" t="str">
        <f>SUBSTITUTE(B1989,CHAR(34),CHAR(92)&amp;CHAR(34))</f>
        <v>Vạch 2.</v>
      </c>
      <c r="I1987" t="str">
        <f>SUBSTITUTE(IF(LEFT(A1990,3)="Câu","",B1990),CHAR(34),CHAR(92)&amp;CHAR(34))</f>
        <v>Vạch 3.</v>
      </c>
      <c r="J1987" t="str">
        <f>SUBSTITUTE(IF(OR(LEFT(A1991,3)="Câu",I1987=""),"",IF(B1991=0,"",B1991)),CHAR(34),CHAR(92)&amp;CHAR(34))</f>
        <v xml:space="preserve"> Vạch 1 và vạch 3.</v>
      </c>
      <c r="K1987" t="str">
        <f ca="1">SUBSTITUTE(SUBSTITUTE(SUBSTITUTE(SUBSTITUTE(IFERROR(VLOOKUP("Câu "&amp;D1987&amp;".",dapan!$E:$J,6,0),""),"1","A"),"2","B"),"3","C"),"4","D")</f>
        <v>D</v>
      </c>
      <c r="P1987">
        <f t="shared" ref="P1987:P2050" si="115">D1987</f>
        <v>482</v>
      </c>
      <c r="Q1987" t="str">
        <f t="shared" ref="Q1987:Q2050" ca="1" si="116">IF(D1987="","",CHAR(123)&amp;CHAR(34)&amp;"num"&amp;CHAR(34)&amp;":"&amp;P1987&amp;","&amp;CHAR(34)&amp;"id"&amp;CHAR(34)&amp;":"&amp;D1987&amp;","
&amp;CHAR(34)&amp;"q"&amp;CHAR(34)&amp;":"&amp;CHAR(34)&amp;E1987&amp;CHAR(34)&amp;","
&amp;IF(F1987="","",CHAR(34)&amp;"img"&amp;CHAR(34)&amp;":"&amp;CHAR(34)&amp;F1987&amp;CHAR(34)&amp;",")
&amp;CHAR(34)&amp;"opts"&amp;CHAR(34)&amp;":"&amp;CHAR(123)&amp;CHAR(34)&amp;"A"&amp;CHAR(34)&amp;":"&amp;CHAR(34)&amp;G1987&amp;CHAR(34)&amp;","&amp;CHAR(34)&amp;"B"&amp;CHAR(34)&amp;":"&amp;CHAR(34)&amp;H1987&amp;CHAR(34)
&amp;IF(I1987="","",","&amp;CHAR(34)&amp;"C"&amp;CHAR(34)&amp;":"&amp;CHAR(34)&amp;I1987&amp;CHAR(34))&amp;IF(J1987="","",","&amp;CHAR(34)&amp;"D"&amp;CHAR(34)&amp;":"&amp;CHAR(34)&amp;J1987&amp;CHAR(34))&amp;CHAR(125)&amp;","
&amp;CHAR(34)&amp;"answer"&amp;CHAR(34)&amp;":"&amp;CHAR(34)&amp;K1987&amp;CHAR(34)
&amp;IF(L1987="","",","&amp;CHAR(34)&amp;"danger"&amp;CHAR(34)&amp;":"&amp;CHAR(34)&amp;"true"&amp;CHAR(34))
&amp;IF(M1987="","",","&amp;CHAR(34)&amp;"explain"&amp;CHAR(34)&amp;":"&amp;CHAR(34)&amp;M1987&amp;CHAR(34))
&amp;IF(N1987="","",","&amp;CHAR(34)&amp;"explainImg"&amp;CHAR(34)&amp;":"&amp;CHAR(34)&amp;N1987&amp;CHAR(34))
&amp;IF(O1987="","",","&amp;CHAR(34)&amp;"shuffle"&amp;CHAR(34)&amp;":"&amp;CHAR(34)&amp;"false"&amp;CHAR(34))&amp;CHAR(125)&amp;",")</f>
        <v>{"num":482,"id":482,"q":"Khi gặp vạch kẻ đường nào các xe được phép đè vạch?","img":"q482.jpg","opts":{"A":"Vạch 1.","B":"Vạch 2.","C":"Vạch 3.","D":" Vạch 1 và vạch 3."},"answer":"D"},</v>
      </c>
    </row>
    <row r="1988" spans="1:17" hidden="1" x14ac:dyDescent="0.25">
      <c r="A1988">
        <v>1</v>
      </c>
      <c r="B1988" t="s">
        <v>1362</v>
      </c>
      <c r="C1988">
        <f>IFERROR(COUNTIFS($A$1:A1988,"Câu "&amp;"*")-MID(A1988,5,FIND(".",A1988,1)-5),0)</f>
        <v>0</v>
      </c>
      <c r="D1988" t="str">
        <f t="shared" si="114"/>
        <v/>
      </c>
      <c r="E1988" t="str">
        <f>SUBSTITUTE(IF(LEFT(A1988,3)="Câu",MID(A1988,FIND(".",A1988,1)+2,LEN(A1988)),""),CHAR(34),CHAR(92)&amp;CHAR(34))</f>
        <v/>
      </c>
      <c r="F1988" t="str">
        <f t="shared" si="113"/>
        <v/>
      </c>
      <c r="G1988" t="str">
        <f>SUBSTITUTE(B1989,CHAR(34),CHAR(92)&amp;CHAR(34))</f>
        <v>Vạch 2.</v>
      </c>
      <c r="H1988" t="str">
        <f>SUBSTITUTE(B1990,CHAR(34),CHAR(92)&amp;CHAR(34))</f>
        <v>Vạch 3.</v>
      </c>
      <c r="I1988" t="str">
        <f>SUBSTITUTE(IF(LEFT(A1991,3)="Câu","",B1991),CHAR(34),CHAR(92)&amp;CHAR(34))</f>
        <v xml:space="preserve"> Vạch 1 và vạch 3.</v>
      </c>
      <c r="J1988" t="str">
        <f>SUBSTITUTE(IF(OR(LEFT(A1992,3)="Câu",I1988=""),"",IF(B1992=0,"",B1992)),CHAR(34),CHAR(92)&amp;CHAR(34))</f>
        <v/>
      </c>
      <c r="K1988" t="str">
        <f>SUBSTITUTE(SUBSTITUTE(SUBSTITUTE(SUBSTITUTE(IFERROR(VLOOKUP("Câu "&amp;D1988&amp;".",dapan!$E:$J,6,0),""),"1","A"),"2","B"),"3","C"),"4","D")</f>
        <v/>
      </c>
      <c r="P1988" t="str">
        <f t="shared" si="115"/>
        <v/>
      </c>
      <c r="Q1988" t="str">
        <f t="shared" si="116"/>
        <v/>
      </c>
    </row>
    <row r="1989" spans="1:17" hidden="1" x14ac:dyDescent="0.25">
      <c r="A1989">
        <v>2</v>
      </c>
      <c r="B1989" t="s">
        <v>1367</v>
      </c>
      <c r="C1989">
        <f>IFERROR(COUNTIFS($A$1:A1989,"Câu "&amp;"*")-MID(A1989,5,FIND(".",A1989,1)-5),0)</f>
        <v>0</v>
      </c>
      <c r="D1989" t="str">
        <f t="shared" si="114"/>
        <v/>
      </c>
      <c r="E1989" t="str">
        <f>SUBSTITUTE(IF(LEFT(A1989,3)="Câu",MID(A1989,FIND(".",A1989,1)+2,LEN(A1989)),""),CHAR(34),CHAR(92)&amp;CHAR(34))</f>
        <v/>
      </c>
      <c r="F1989" t="str">
        <f t="shared" si="113"/>
        <v/>
      </c>
      <c r="G1989" t="str">
        <f>SUBSTITUTE(B1990,CHAR(34),CHAR(92)&amp;CHAR(34))</f>
        <v>Vạch 3.</v>
      </c>
      <c r="H1989" t="str">
        <f>SUBSTITUTE(B1991,CHAR(34),CHAR(92)&amp;CHAR(34))</f>
        <v xml:space="preserve"> Vạch 1 và vạch 3.</v>
      </c>
      <c r="I1989" t="str">
        <f>SUBSTITUTE(IF(LEFT(A1992,3)="Câu","",B1992),CHAR(34),CHAR(92)&amp;CHAR(34))</f>
        <v/>
      </c>
      <c r="J1989" t="str">
        <f>SUBSTITUTE(IF(OR(LEFT(A1993,3)="Câu",I1989=""),"",IF(B1993=0,"",B1993)),CHAR(34),CHAR(92)&amp;CHAR(34))</f>
        <v/>
      </c>
      <c r="K1989" t="str">
        <f>SUBSTITUTE(SUBSTITUTE(SUBSTITUTE(SUBSTITUTE(IFERROR(VLOOKUP("Câu "&amp;D1989&amp;".",dapan!$E:$J,6,0),""),"1","A"),"2","B"),"3","C"),"4","D")</f>
        <v/>
      </c>
      <c r="P1989" t="str">
        <f t="shared" si="115"/>
        <v/>
      </c>
      <c r="Q1989" t="str">
        <f t="shared" si="116"/>
        <v/>
      </c>
    </row>
    <row r="1990" spans="1:17" hidden="1" x14ac:dyDescent="0.25">
      <c r="A1990">
        <v>3</v>
      </c>
      <c r="B1990" t="s">
        <v>1368</v>
      </c>
      <c r="C1990">
        <f>IFERROR(COUNTIFS($A$1:A1990,"Câu "&amp;"*")-MID(A1990,5,FIND(".",A1990,1)-5),0)</f>
        <v>0</v>
      </c>
      <c r="D1990" t="str">
        <f t="shared" si="114"/>
        <v/>
      </c>
      <c r="E1990" t="str">
        <f>SUBSTITUTE(IF(LEFT(A1990,3)="Câu",MID(A1990,FIND(".",A1990,1)+2,LEN(A1990)),""),CHAR(34),CHAR(92)&amp;CHAR(34))</f>
        <v/>
      </c>
      <c r="F1990" t="str">
        <f t="shared" si="113"/>
        <v/>
      </c>
      <c r="G1990" t="str">
        <f>SUBSTITUTE(B1991,CHAR(34),CHAR(92)&amp;CHAR(34))</f>
        <v xml:space="preserve"> Vạch 1 và vạch 3.</v>
      </c>
      <c r="H1990" t="str">
        <f>SUBSTITUTE(B1992,CHAR(34),CHAR(92)&amp;CHAR(34))</f>
        <v/>
      </c>
      <c r="I1990" t="str">
        <f>SUBSTITUTE(IF(LEFT(A1993,3)="Câu","",B1993),CHAR(34),CHAR(92)&amp;CHAR(34))</f>
        <v>Để xác định làn đường.</v>
      </c>
      <c r="J1990" t="str">
        <f>SUBSTITUTE(IF(OR(LEFT(A1994,3)="Câu",I1990=""),"",IF(B1994=0,"",B1994)),CHAR(34),CHAR(92)&amp;CHAR(34))</f>
        <v>Báo hiệu người lái xe chỉ được phép đi thẳng.</v>
      </c>
      <c r="K1990" t="str">
        <f>SUBSTITUTE(SUBSTITUTE(SUBSTITUTE(SUBSTITUTE(IFERROR(VLOOKUP("Câu "&amp;D1990&amp;".",dapan!$E:$J,6,0),""),"1","A"),"2","B"),"3","C"),"4","D")</f>
        <v/>
      </c>
      <c r="P1990" t="str">
        <f t="shared" si="115"/>
        <v/>
      </c>
      <c r="Q1990" t="str">
        <f t="shared" si="116"/>
        <v/>
      </c>
    </row>
    <row r="1991" spans="1:17" hidden="1" x14ac:dyDescent="0.25">
      <c r="A1991">
        <v>4</v>
      </c>
      <c r="B1991" t="s">
        <v>1374</v>
      </c>
      <c r="C1991">
        <f>IFERROR(COUNTIFS($A$1:A1991,"Câu "&amp;"*")-MID(A1991,5,FIND(".",A1991,1)-5),0)</f>
        <v>0</v>
      </c>
      <c r="D1991" t="str">
        <f t="shared" si="114"/>
        <v/>
      </c>
      <c r="E1991" t="str">
        <f>SUBSTITUTE(IF(LEFT(A1991,3)="Câu",MID(A1991,FIND(".",A1991,1)+2,LEN(A1991)),""),CHAR(34),CHAR(92)&amp;CHAR(34))</f>
        <v/>
      </c>
      <c r="F1991" t="str">
        <f t="shared" si="113"/>
        <v/>
      </c>
      <c r="G1991" t="str">
        <f>SUBSTITUTE(B1992,CHAR(34),CHAR(92)&amp;CHAR(34))</f>
        <v/>
      </c>
      <c r="H1991" t="str">
        <f>SUBSTITUTE(B1993,CHAR(34),CHAR(92)&amp;CHAR(34))</f>
        <v>Để xác định làn đường.</v>
      </c>
      <c r="I1991" t="str">
        <f>SUBSTITUTE(IF(LEFT(A1994,3)="Câu","",B1994),CHAR(34),CHAR(92)&amp;CHAR(34))</f>
        <v>Báo hiệu người lái xe chỉ được phép đi thẳng.</v>
      </c>
      <c r="J1991" t="str">
        <f>SUBSTITUTE(IF(OR(LEFT(A1995,3)="Câu",I1991=""),"",IF(B1995=0,"",B1995)),CHAR(34),CHAR(92)&amp;CHAR(34))</f>
        <v xml:space="preserve"> Dùng để xác định khoảng cách giữa các phương tiện trên đường.</v>
      </c>
      <c r="K1991" t="str">
        <f>SUBSTITUTE(SUBSTITUTE(SUBSTITUTE(SUBSTITUTE(IFERROR(VLOOKUP("Câu "&amp;D1991&amp;".",dapan!$E:$J,6,0),""),"1","A"),"2","B"),"3","C"),"4","D")</f>
        <v/>
      </c>
      <c r="P1991" t="str">
        <f t="shared" si="115"/>
        <v/>
      </c>
      <c r="Q1991" t="str">
        <f t="shared" si="116"/>
        <v/>
      </c>
    </row>
    <row r="1992" spans="1:17" x14ac:dyDescent="0.25">
      <c r="A1992" t="s">
        <v>1382</v>
      </c>
      <c r="C1992">
        <f>IFERROR(COUNTIFS($A$1:A1992,"Câu "&amp;"*")-MID(A1992,5,FIND(".",A1992,1)-5),0)</f>
        <v>0</v>
      </c>
      <c r="D1992">
        <f t="shared" si="114"/>
        <v>483</v>
      </c>
      <c r="E1992" t="str">
        <f>SUBSTITUTE(IF(LEFT(A1992,3)="Câu",MID(A1992,FIND(".",A1992,1)+2,LEN(A1992)),""),CHAR(34),CHAR(92)&amp;CHAR(34))</f>
        <v>Vạch dưới đây có tác dụng như thế nào?</v>
      </c>
      <c r="F1992" t="str">
        <f t="shared" si="113"/>
        <v>q483.jpg</v>
      </c>
      <c r="G1992" t="str">
        <f>SUBSTITUTE(B1993,CHAR(34),CHAR(92)&amp;CHAR(34))</f>
        <v>Để xác định làn đường.</v>
      </c>
      <c r="H1992" t="str">
        <f>SUBSTITUTE(B1994,CHAR(34),CHAR(92)&amp;CHAR(34))</f>
        <v>Báo hiệu người lái xe chỉ được phép đi thẳng.</v>
      </c>
      <c r="I1992" t="str">
        <f>SUBSTITUTE(IF(LEFT(A1995,3)="Câu","",B1995),CHAR(34),CHAR(92)&amp;CHAR(34))</f>
        <v xml:space="preserve"> Dùng để xác định khoảng cách giữa các phương tiện trên đường.</v>
      </c>
      <c r="J1992" t="str">
        <f>SUBSTITUTE(IF(OR(LEFT(A1996,3)="Câu",I1992=""),"",IF(B1996=0,"",B1996)),CHAR(34),CHAR(92)&amp;CHAR(34))</f>
        <v/>
      </c>
      <c r="K1992" t="str">
        <f ca="1">SUBSTITUTE(SUBSTITUTE(SUBSTITUTE(SUBSTITUTE(IFERROR(VLOOKUP("Câu "&amp;D1992&amp;".",dapan!$E:$J,6,0),""),"1","A"),"2","B"),"3","C"),"4","D")</f>
        <v>C</v>
      </c>
      <c r="P1992">
        <f t="shared" si="115"/>
        <v>483</v>
      </c>
      <c r="Q1992" t="str">
        <f t="shared" ca="1" si="116"/>
        <v>{"num":483,"id":483,"q":"Vạch dưới đây có tác dụng như thế nào?","img":"q483.jpg","opts":{"A":"Để xác định làn đường.","B":"Báo hiệu người lái xe chỉ được phép đi thẳng.","C":" Dùng để xác định khoảng cách giữa các phương tiện trên đường."},"answer":"C"},</v>
      </c>
    </row>
    <row r="1993" spans="1:17" hidden="1" x14ac:dyDescent="0.25">
      <c r="A1993">
        <v>1</v>
      </c>
      <c r="B1993" t="s">
        <v>1383</v>
      </c>
      <c r="C1993">
        <f>IFERROR(COUNTIFS($A$1:A1993,"Câu "&amp;"*")-MID(A1993,5,FIND(".",A1993,1)-5),0)</f>
        <v>0</v>
      </c>
      <c r="D1993" t="str">
        <f t="shared" si="114"/>
        <v/>
      </c>
      <c r="E1993" t="str">
        <f>SUBSTITUTE(IF(LEFT(A1993,3)="Câu",MID(A1993,FIND(".",A1993,1)+2,LEN(A1993)),""),CHAR(34),CHAR(92)&amp;CHAR(34))</f>
        <v/>
      </c>
      <c r="F1993" t="str">
        <f t="shared" si="113"/>
        <v/>
      </c>
      <c r="G1993" t="str">
        <f>SUBSTITUTE(B1994,CHAR(34),CHAR(92)&amp;CHAR(34))</f>
        <v>Báo hiệu người lái xe chỉ được phép đi thẳng.</v>
      </c>
      <c r="H1993" t="str">
        <f>SUBSTITUTE(B1995,CHAR(34),CHAR(92)&amp;CHAR(34))</f>
        <v xml:space="preserve"> Dùng để xác định khoảng cách giữa các phương tiện trên đường.</v>
      </c>
      <c r="I1993" t="str">
        <f>SUBSTITUTE(IF(LEFT(A1996,3)="Câu","",B1996),CHAR(34),CHAR(92)&amp;CHAR(34))</f>
        <v/>
      </c>
      <c r="J1993" t="str">
        <f>SUBSTITUTE(IF(OR(LEFT(A1997,3)="Câu",I1993=""),"",IF(B1997=0,"",B1997)),CHAR(34),CHAR(92)&amp;CHAR(34))</f>
        <v/>
      </c>
      <c r="K1993" t="str">
        <f>SUBSTITUTE(SUBSTITUTE(SUBSTITUTE(SUBSTITUTE(IFERROR(VLOOKUP("Câu "&amp;D1993&amp;".",dapan!$E:$J,6,0),""),"1","A"),"2","B"),"3","C"),"4","D")</f>
        <v/>
      </c>
      <c r="P1993" t="str">
        <f t="shared" si="115"/>
        <v/>
      </c>
      <c r="Q1993" t="str">
        <f t="shared" si="116"/>
        <v/>
      </c>
    </row>
    <row r="1994" spans="1:17" hidden="1" x14ac:dyDescent="0.25">
      <c r="A1994">
        <v>2</v>
      </c>
      <c r="B1994" t="s">
        <v>1384</v>
      </c>
      <c r="C1994">
        <f>IFERROR(COUNTIFS($A$1:A1994,"Câu "&amp;"*")-MID(A1994,5,FIND(".",A1994,1)-5),0)</f>
        <v>0</v>
      </c>
      <c r="D1994" t="str">
        <f t="shared" si="114"/>
        <v/>
      </c>
      <c r="E1994" t="str">
        <f>SUBSTITUTE(IF(LEFT(A1994,3)="Câu",MID(A1994,FIND(".",A1994,1)+2,LEN(A1994)),""),CHAR(34),CHAR(92)&amp;CHAR(34))</f>
        <v/>
      </c>
      <c r="F1994" t="str">
        <f t="shared" si="113"/>
        <v/>
      </c>
      <c r="G1994" t="str">
        <f>SUBSTITUTE(B1995,CHAR(34),CHAR(92)&amp;CHAR(34))</f>
        <v xml:space="preserve"> Dùng để xác định khoảng cách giữa các phương tiện trên đường.</v>
      </c>
      <c r="H1994" t="str">
        <f>SUBSTITUTE(B1996,CHAR(34),CHAR(92)&amp;CHAR(34))</f>
        <v/>
      </c>
      <c r="I1994" t="str">
        <f>SUBSTITUTE(IF(LEFT(A1997,3)="Câu","",B1997),CHAR(34),CHAR(92)&amp;CHAR(34))</f>
        <v>Báo cho người điều khiển không được dừng phương tiện trong phạm vi phần mặt đường có bố trí vạch để tránh ùn tắc giao thông.</v>
      </c>
      <c r="J1994" t="str">
        <f>SUBSTITUTE(IF(OR(LEFT(A1998,3)="Câu",I1994=""),"",IF(B1998=0,"",B1998)),CHAR(34),CHAR(92)&amp;CHAR(34))</f>
        <v xml:space="preserve"> Báo hiệu sắp đến chỗ có bố trí vạch đi bộ qua đường.</v>
      </c>
      <c r="K1994" t="str">
        <f>SUBSTITUTE(SUBSTITUTE(SUBSTITUTE(SUBSTITUTE(IFERROR(VLOOKUP("Câu "&amp;D1994&amp;".",dapan!$E:$J,6,0),""),"1","A"),"2","B"),"3","C"),"4","D")</f>
        <v/>
      </c>
      <c r="P1994" t="str">
        <f t="shared" si="115"/>
        <v/>
      </c>
      <c r="Q1994" t="str">
        <f t="shared" si="116"/>
        <v/>
      </c>
    </row>
    <row r="1995" spans="1:17" hidden="1" x14ac:dyDescent="0.25">
      <c r="A1995">
        <v>3</v>
      </c>
      <c r="B1995" t="s">
        <v>1385</v>
      </c>
      <c r="C1995">
        <f>IFERROR(COUNTIFS($A$1:A1995,"Câu "&amp;"*")-MID(A1995,5,FIND(".",A1995,1)-5),0)</f>
        <v>0</v>
      </c>
      <c r="D1995" t="str">
        <f t="shared" si="114"/>
        <v/>
      </c>
      <c r="E1995" t="str">
        <f>SUBSTITUTE(IF(LEFT(A1995,3)="Câu",MID(A1995,FIND(".",A1995,1)+2,LEN(A1995)),""),CHAR(34),CHAR(92)&amp;CHAR(34))</f>
        <v/>
      </c>
      <c r="F1995" t="str">
        <f t="shared" si="113"/>
        <v/>
      </c>
      <c r="G1995" t="str">
        <f>SUBSTITUTE(B1996,CHAR(34),CHAR(92)&amp;CHAR(34))</f>
        <v/>
      </c>
      <c r="H1995" t="str">
        <f>SUBSTITUTE(B1997,CHAR(34),CHAR(92)&amp;CHAR(34))</f>
        <v>Báo cho người điều khiển không được dừng phương tiện trong phạm vi phần mặt đường có bố trí vạch để tránh ùn tắc giao thông.</v>
      </c>
      <c r="I1995" t="str">
        <f>SUBSTITUTE(IF(LEFT(A1998,3)="Câu","",B1998),CHAR(34),CHAR(92)&amp;CHAR(34))</f>
        <v xml:space="preserve"> Báo hiệu sắp đến chỗ có bố trí vạch đi bộ qua đường.</v>
      </c>
      <c r="J1995" t="str">
        <f>SUBSTITUTE(IF(OR(LEFT(A1999,3)="Câu",I1995=""),"",IF(B1999=0,"",B1999)),CHAR(34),CHAR(92)&amp;CHAR(34))</f>
        <v>Dùng để xác định khoảng cách giữa các phương tiện trên đường.</v>
      </c>
      <c r="K1995" t="str">
        <f>SUBSTITUTE(SUBSTITUTE(SUBSTITUTE(SUBSTITUTE(IFERROR(VLOOKUP("Câu "&amp;D1995&amp;".",dapan!$E:$J,6,0),""),"1","A"),"2","B"),"3","C"),"4","D")</f>
        <v/>
      </c>
      <c r="P1995" t="str">
        <f t="shared" si="115"/>
        <v/>
      </c>
      <c r="Q1995" t="str">
        <f t="shared" si="116"/>
        <v/>
      </c>
    </row>
    <row r="1996" spans="1:17" x14ac:dyDescent="0.25">
      <c r="A1996" t="s">
        <v>1386</v>
      </c>
      <c r="C1996">
        <f>IFERROR(COUNTIFS($A$1:A1996,"Câu "&amp;"*")-MID(A1996,5,FIND(".",A1996,1)-5),0)</f>
        <v>0</v>
      </c>
      <c r="D1996">
        <f t="shared" si="114"/>
        <v>484</v>
      </c>
      <c r="E1996" t="str">
        <f>SUBSTITUTE(IF(LEFT(A1996,3)="Câu",MID(A1996,FIND(".",A1996,1)+2,LEN(A1996)),""),CHAR(34),CHAR(92)&amp;CHAR(34))</f>
        <v>Vạch dưới đây có ý nghĩa như thế nào?</v>
      </c>
      <c r="F1996" t="str">
        <f t="shared" si="113"/>
        <v>q484.jpg</v>
      </c>
      <c r="G1996" t="str">
        <f>SUBSTITUTE(B1997,CHAR(34),CHAR(92)&amp;CHAR(34))</f>
        <v>Báo cho người điều khiển không được dừng phương tiện trong phạm vi phần mặt đường có bố trí vạch để tránh ùn tắc giao thông.</v>
      </c>
      <c r="H1996" t="str">
        <f>SUBSTITUTE(B1998,CHAR(34),CHAR(92)&amp;CHAR(34))</f>
        <v xml:space="preserve"> Báo hiệu sắp đến chỗ có bố trí vạch đi bộ qua đường.</v>
      </c>
      <c r="I1996" t="str">
        <f>SUBSTITUTE(IF(LEFT(A1999,3)="Câu","",B1999),CHAR(34),CHAR(92)&amp;CHAR(34))</f>
        <v>Dùng để xác định khoảng cách giữa các phương tiện trên đường.</v>
      </c>
      <c r="J1996" t="str">
        <f>SUBSTITUTE(IF(OR(LEFT(A2000,3)="Câu",I1996=""),"",IF(B2000=0,"",B2000)),CHAR(34),CHAR(92)&amp;CHAR(34))</f>
        <v/>
      </c>
      <c r="K1996" t="str">
        <f ca="1">SUBSTITUTE(SUBSTITUTE(SUBSTITUTE(SUBSTITUTE(IFERROR(VLOOKUP("Câu "&amp;D1996&amp;".",dapan!$E:$J,6,0),""),"1","A"),"2","B"),"3","C"),"4","D")</f>
        <v>B</v>
      </c>
      <c r="P1996">
        <f t="shared" si="115"/>
        <v>484</v>
      </c>
      <c r="Q1996" t="str">
        <f t="shared" ca="1" si="116"/>
        <v>{"num":484,"id":484,"q":"Vạch dưới đây có ý nghĩa như thế nào?","img":"q484.jpg","opts":{"A":"Báo cho người điều khiển không được dừng phương tiện trong phạm vi phần mặt đường có bố trí vạch để tránh ùn tắc giao thông.","B":" Báo hiệu sắp đến chỗ có bố trí vạch đi bộ qua đường.","C":"Dùng để xác định khoảng cách giữa các phương tiện trên đường."},"answer":"B"},</v>
      </c>
    </row>
    <row r="1997" spans="1:17" hidden="1" x14ac:dyDescent="0.25">
      <c r="A1997">
        <v>1</v>
      </c>
      <c r="B1997" t="s">
        <v>1387</v>
      </c>
      <c r="C1997">
        <f>IFERROR(COUNTIFS($A$1:A1997,"Câu "&amp;"*")-MID(A1997,5,FIND(".",A1997,1)-5),0)</f>
        <v>0</v>
      </c>
      <c r="D1997" t="str">
        <f t="shared" si="114"/>
        <v/>
      </c>
      <c r="E1997" t="str">
        <f>SUBSTITUTE(IF(LEFT(A1997,3)="Câu",MID(A1997,FIND(".",A1997,1)+2,LEN(A1997)),""),CHAR(34),CHAR(92)&amp;CHAR(34))</f>
        <v/>
      </c>
      <c r="F1997" t="str">
        <f t="shared" si="113"/>
        <v/>
      </c>
      <c r="G1997" t="str">
        <f>SUBSTITUTE(B1998,CHAR(34),CHAR(92)&amp;CHAR(34))</f>
        <v xml:space="preserve"> Báo hiệu sắp đến chỗ có bố trí vạch đi bộ qua đường.</v>
      </c>
      <c r="H1997" t="str">
        <f>SUBSTITUTE(B1999,CHAR(34),CHAR(92)&amp;CHAR(34))</f>
        <v>Dùng để xác định khoảng cách giữa các phương tiện trên đường.</v>
      </c>
      <c r="I1997" t="str">
        <f>SUBSTITUTE(IF(LEFT(A2000,3)="Câu","",B2000),CHAR(34),CHAR(92)&amp;CHAR(34))</f>
        <v/>
      </c>
      <c r="J1997" t="str">
        <f>SUBSTITUTE(IF(OR(LEFT(A2001,3)="Câu",I1997=""),"",IF(B2001=0,"",B2001)),CHAR(34),CHAR(92)&amp;CHAR(34))</f>
        <v/>
      </c>
      <c r="K1997" t="str">
        <f>SUBSTITUTE(SUBSTITUTE(SUBSTITUTE(SUBSTITUTE(IFERROR(VLOOKUP("Câu "&amp;D1997&amp;".",dapan!$E:$J,6,0),""),"1","A"),"2","B"),"3","C"),"4","D")</f>
        <v/>
      </c>
      <c r="P1997" t="str">
        <f t="shared" si="115"/>
        <v/>
      </c>
      <c r="Q1997" t="str">
        <f t="shared" si="116"/>
        <v/>
      </c>
    </row>
    <row r="1998" spans="1:17" hidden="1" x14ac:dyDescent="0.25">
      <c r="A1998">
        <v>2</v>
      </c>
      <c r="B1998" t="s">
        <v>1388</v>
      </c>
      <c r="C1998">
        <f>IFERROR(COUNTIFS($A$1:A1998,"Câu "&amp;"*")-MID(A1998,5,FIND(".",A1998,1)-5),0)</f>
        <v>0</v>
      </c>
      <c r="D1998" t="str">
        <f t="shared" si="114"/>
        <v/>
      </c>
      <c r="E1998" t="str">
        <f>SUBSTITUTE(IF(LEFT(A1998,3)="Câu",MID(A1998,FIND(".",A1998,1)+2,LEN(A1998)),""),CHAR(34),CHAR(92)&amp;CHAR(34))</f>
        <v/>
      </c>
      <c r="F1998" t="str">
        <f t="shared" si="113"/>
        <v/>
      </c>
      <c r="G1998" t="str">
        <f>SUBSTITUTE(B1999,CHAR(34),CHAR(92)&amp;CHAR(34))</f>
        <v>Dùng để xác định khoảng cách giữa các phương tiện trên đường.</v>
      </c>
      <c r="H1998" t="str">
        <f>SUBSTITUTE(B2000,CHAR(34),CHAR(92)&amp;CHAR(34))</f>
        <v/>
      </c>
      <c r="I1998" t="str">
        <f>SUBSTITUTE(IF(LEFT(A2001,3)="Câu","",B2001),CHAR(34),CHAR(92)&amp;CHAR(34))</f>
        <v xml:space="preserve"> Vị trí dừng xe của các phương tiện vận tải hành khách công cộng.</v>
      </c>
      <c r="J1998" t="str">
        <f>SUBSTITUTE(IF(OR(LEFT(A2002,3)="Câu",I1998=""),"",IF(B2002=0,"",B2002)),CHAR(34),CHAR(92)&amp;CHAR(34))</f>
        <v>Báo cho người điều khiển được dừng phương tiện trong phạm vi phần mặt đường có bố trí vạch để tránh ùn tắc giao thông.</v>
      </c>
      <c r="K1998" t="str">
        <f>SUBSTITUTE(SUBSTITUTE(SUBSTITUTE(SUBSTITUTE(IFERROR(VLOOKUP("Câu "&amp;D1998&amp;".",dapan!$E:$J,6,0),""),"1","A"),"2","B"),"3","C"),"4","D")</f>
        <v/>
      </c>
      <c r="P1998" t="str">
        <f t="shared" si="115"/>
        <v/>
      </c>
      <c r="Q1998" t="str">
        <f t="shared" si="116"/>
        <v/>
      </c>
    </row>
    <row r="1999" spans="1:17" hidden="1" x14ac:dyDescent="0.25">
      <c r="A1999">
        <v>3</v>
      </c>
      <c r="B1999" t="s">
        <v>1389</v>
      </c>
      <c r="C1999">
        <f>IFERROR(COUNTIFS($A$1:A1999,"Câu "&amp;"*")-MID(A1999,5,FIND(".",A1999,1)-5),0)</f>
        <v>0</v>
      </c>
      <c r="D1999" t="str">
        <f t="shared" si="114"/>
        <v/>
      </c>
      <c r="E1999" t="str">
        <f>SUBSTITUTE(IF(LEFT(A1999,3)="Câu",MID(A1999,FIND(".",A1999,1)+2,LEN(A1999)),""),CHAR(34),CHAR(92)&amp;CHAR(34))</f>
        <v/>
      </c>
      <c r="F1999" t="str">
        <f t="shared" si="113"/>
        <v/>
      </c>
      <c r="G1999" t="str">
        <f>SUBSTITUTE(B2000,CHAR(34),CHAR(92)&amp;CHAR(34))</f>
        <v/>
      </c>
      <c r="H1999" t="str">
        <f>SUBSTITUTE(B2001,CHAR(34),CHAR(92)&amp;CHAR(34))</f>
        <v xml:space="preserve"> Vị trí dừng xe của các phương tiện vận tải hành khách công cộng.</v>
      </c>
      <c r="I1999" t="str">
        <f>SUBSTITUTE(IF(LEFT(A2002,3)="Câu","",B2002),CHAR(34),CHAR(92)&amp;CHAR(34))</f>
        <v>Báo cho người điều khiển được dừng phương tiện trong phạm vi phần mặt đường có bố trí vạch để tránh ùn tắc giao thông.</v>
      </c>
      <c r="J1999" t="str">
        <f>SUBSTITUTE(IF(OR(LEFT(A2003,3)="Câu",I1999=""),"",IF(B2003=0,"",B2003)),CHAR(34),CHAR(92)&amp;CHAR(34))</f>
        <v>Dùng để xác định vị trí giữa các phương tiện trên đường.</v>
      </c>
      <c r="K1999" t="str">
        <f>SUBSTITUTE(SUBSTITUTE(SUBSTITUTE(SUBSTITUTE(IFERROR(VLOOKUP("Câu "&amp;D1999&amp;".",dapan!$E:$J,6,0),""),"1","A"),"2","B"),"3","C"),"4","D")</f>
        <v/>
      </c>
      <c r="P1999" t="str">
        <f t="shared" si="115"/>
        <v/>
      </c>
      <c r="Q1999" t="str">
        <f t="shared" si="116"/>
        <v/>
      </c>
    </row>
    <row r="2000" spans="1:17" x14ac:dyDescent="0.25">
      <c r="A2000" t="s">
        <v>1390</v>
      </c>
      <c r="C2000">
        <f>IFERROR(COUNTIFS($A$1:A2000,"Câu "&amp;"*")-MID(A2000,5,FIND(".",A2000,1)-5),0)</f>
        <v>0</v>
      </c>
      <c r="D2000">
        <f t="shared" si="114"/>
        <v>485</v>
      </c>
      <c r="E2000" t="str">
        <f>SUBSTITUTE(IF(LEFT(A2000,3)="Câu",MID(A2000,FIND(".",A2000,1)+2,LEN(A2000)),""),CHAR(34),CHAR(92)&amp;CHAR(34))</f>
        <v>Vạch dưới đây có ý nghĩa như thế nào?</v>
      </c>
      <c r="F2000" t="str">
        <f t="shared" si="113"/>
        <v>q485.jpg</v>
      </c>
      <c r="G2000" t="str">
        <f>SUBSTITUTE(B2001,CHAR(34),CHAR(92)&amp;CHAR(34))</f>
        <v xml:space="preserve"> Vị trí dừng xe của các phương tiện vận tải hành khách công cộng.</v>
      </c>
      <c r="H2000" t="str">
        <f>SUBSTITUTE(B2002,CHAR(34),CHAR(92)&amp;CHAR(34))</f>
        <v>Báo cho người điều khiển được dừng phương tiện trong phạm vi phần mặt đường có bố trí vạch để tránh ùn tắc giao thông.</v>
      </c>
      <c r="I2000" t="str">
        <f>SUBSTITUTE(IF(LEFT(A2003,3)="Câu","",B2003),CHAR(34),CHAR(92)&amp;CHAR(34))</f>
        <v>Dùng để xác định vị trí giữa các phương tiện trên đường.</v>
      </c>
      <c r="J2000" t="str">
        <f>SUBSTITUTE(IF(OR(LEFT(A2004,3)="Câu",I2000=""),"",IF(B2004=0,"",B2004)),CHAR(34),CHAR(92)&amp;CHAR(34))</f>
        <v/>
      </c>
      <c r="K2000" t="str">
        <f ca="1">SUBSTITUTE(SUBSTITUTE(SUBSTITUTE(SUBSTITUTE(IFERROR(VLOOKUP("Câu "&amp;D2000&amp;".",dapan!$E:$J,6,0),""),"1","A"),"2","B"),"3","C"),"4","D")</f>
        <v>A</v>
      </c>
      <c r="P2000">
        <f t="shared" si="115"/>
        <v>485</v>
      </c>
      <c r="Q2000" t="str">
        <f t="shared" ca="1" si="116"/>
        <v>{"num":485,"id":485,"q":"Vạch dưới đây có ý nghĩa như thế nào?","img":"q485.jpg","opts":{"A":" Vị trí dừng xe của các phương tiện vận tải hành khách công cộng.","B":"Báo cho người điều khiển được dừng phương tiện trong phạm vi phần mặt đường có bố trí vạch để tránh ùn tắc giao thông.","C":"Dùng để xác định vị trí giữa các phương tiện trên đường."},"answer":"A"},</v>
      </c>
    </row>
    <row r="2001" spans="1:17" hidden="1" x14ac:dyDescent="0.25">
      <c r="A2001">
        <v>1</v>
      </c>
      <c r="B2001" t="s">
        <v>1391</v>
      </c>
      <c r="C2001">
        <f>IFERROR(COUNTIFS($A$1:A2001,"Câu "&amp;"*")-MID(A2001,5,FIND(".",A2001,1)-5),0)</f>
        <v>0</v>
      </c>
      <c r="D2001" t="str">
        <f t="shared" si="114"/>
        <v/>
      </c>
      <c r="E2001" t="str">
        <f>SUBSTITUTE(IF(LEFT(A2001,3)="Câu",MID(A2001,FIND(".",A2001,1)+2,LEN(A2001)),""),CHAR(34),CHAR(92)&amp;CHAR(34))</f>
        <v/>
      </c>
      <c r="F2001" t="str">
        <f t="shared" si="113"/>
        <v/>
      </c>
      <c r="G2001" t="str">
        <f>SUBSTITUTE(B2002,CHAR(34),CHAR(92)&amp;CHAR(34))</f>
        <v>Báo cho người điều khiển được dừng phương tiện trong phạm vi phần mặt đường có bố trí vạch để tránh ùn tắc giao thông.</v>
      </c>
      <c r="H2001" t="str">
        <f>SUBSTITUTE(B2003,CHAR(34),CHAR(92)&amp;CHAR(34))</f>
        <v>Dùng để xác định vị trí giữa các phương tiện trên đường.</v>
      </c>
      <c r="I2001" t="str">
        <f>SUBSTITUTE(IF(LEFT(A2004,3)="Câu","",B2004),CHAR(34),CHAR(92)&amp;CHAR(34))</f>
        <v/>
      </c>
      <c r="J2001" t="str">
        <f>SUBSTITUTE(IF(OR(LEFT(A2005,3)="Câu",I2001=""),"",IF(B2005=0,"",B2005)),CHAR(34),CHAR(92)&amp;CHAR(34))</f>
        <v/>
      </c>
      <c r="K2001" t="str">
        <f>SUBSTITUTE(SUBSTITUTE(SUBSTITUTE(SUBSTITUTE(IFERROR(VLOOKUP("Câu "&amp;D2001&amp;".",dapan!$E:$J,6,0),""),"1","A"),"2","B"),"3","C"),"4","D")</f>
        <v/>
      </c>
      <c r="P2001" t="str">
        <f t="shared" si="115"/>
        <v/>
      </c>
      <c r="Q2001" t="str">
        <f t="shared" si="116"/>
        <v/>
      </c>
    </row>
    <row r="2002" spans="1:17" hidden="1" x14ac:dyDescent="0.25">
      <c r="A2002">
        <v>2</v>
      </c>
      <c r="B2002" t="s">
        <v>1392</v>
      </c>
      <c r="C2002">
        <f>IFERROR(COUNTIFS($A$1:A2002,"Câu "&amp;"*")-MID(A2002,5,FIND(".",A2002,1)-5),0)</f>
        <v>0</v>
      </c>
      <c r="D2002" t="str">
        <f t="shared" si="114"/>
        <v/>
      </c>
      <c r="E2002" t="str">
        <f>SUBSTITUTE(IF(LEFT(A2002,3)="Câu",MID(A2002,FIND(".",A2002,1)+2,LEN(A2002)),""),CHAR(34),CHAR(92)&amp;CHAR(34))</f>
        <v/>
      </c>
      <c r="F2002" t="str">
        <f t="shared" si="113"/>
        <v/>
      </c>
      <c r="G2002" t="str">
        <f>SUBSTITUTE(B2003,CHAR(34),CHAR(92)&amp;CHAR(34))</f>
        <v>Dùng để xác định vị trí giữa các phương tiện trên đường.</v>
      </c>
      <c r="H2002" t="str">
        <f>SUBSTITUTE(B2004,CHAR(34),CHAR(92)&amp;CHAR(34))</f>
        <v/>
      </c>
      <c r="I2002" t="str">
        <f>SUBSTITUTE(IF(LEFT(A2005,3)="Câu","",B2005),CHAR(34),CHAR(92)&amp;CHAR(34))</f>
        <v/>
      </c>
      <c r="J2002" t="str">
        <f>SUBSTITUTE(IF(OR(LEFT(A2006,3)="Câu",I2002=""),"",IF(B2006=0,"",B2006)),CHAR(34),CHAR(92)&amp;CHAR(34))</f>
        <v/>
      </c>
      <c r="K2002" t="str">
        <f>SUBSTITUTE(SUBSTITUTE(SUBSTITUTE(SUBSTITUTE(IFERROR(VLOOKUP("Câu "&amp;D2002&amp;".",dapan!$E:$J,6,0),""),"1","A"),"2","B"),"3","C"),"4","D")</f>
        <v/>
      </c>
      <c r="P2002" t="str">
        <f t="shared" si="115"/>
        <v/>
      </c>
      <c r="Q2002" t="str">
        <f t="shared" si="116"/>
        <v/>
      </c>
    </row>
    <row r="2003" spans="1:17" hidden="1" x14ac:dyDescent="0.25">
      <c r="A2003">
        <v>3</v>
      </c>
      <c r="B2003" t="s">
        <v>1393</v>
      </c>
      <c r="C2003">
        <f>IFERROR(COUNTIFS($A$1:A2003,"Câu "&amp;"*")-MID(A2003,5,FIND(".",A2003,1)-5),0)</f>
        <v>0</v>
      </c>
      <c r="D2003" t="str">
        <f t="shared" si="114"/>
        <v/>
      </c>
      <c r="E2003" t="str">
        <f>SUBSTITUTE(IF(LEFT(A2003,3)="Câu",MID(A2003,FIND(".",A2003,1)+2,LEN(A2003)),""),CHAR(34),CHAR(92)&amp;CHAR(34))</f>
        <v/>
      </c>
      <c r="F2003" t="str">
        <f t="shared" si="113"/>
        <v/>
      </c>
      <c r="G2003" t="str">
        <f>SUBSTITUTE(B2004,CHAR(34),CHAR(92)&amp;CHAR(34))</f>
        <v/>
      </c>
      <c r="H2003" t="str">
        <f>SUBSTITUTE(B2005,CHAR(34),CHAR(92)&amp;CHAR(34))</f>
        <v/>
      </c>
      <c r="I2003" t="str">
        <f>SUBSTITUTE(IF(LEFT(A2006,3)="Câu","",B2006),CHAR(34),CHAR(92)&amp;CHAR(34))</f>
        <v>Xe khách, xe tải, xe mô tô.</v>
      </c>
      <c r="J2003" t="str">
        <f>SUBSTITUTE(IF(OR(LEFT(A2007,3)="Câu",I2003=""),"",IF(B2007=0,"",B2007)),CHAR(34),CHAR(92)&amp;CHAR(34))</f>
        <v>Xe tải, xe mô tô.</v>
      </c>
      <c r="K2003" t="str">
        <f>SUBSTITUTE(SUBSTITUTE(SUBSTITUTE(SUBSTITUTE(IFERROR(VLOOKUP("Câu "&amp;D2003&amp;".",dapan!$E:$J,6,0),""),"1","A"),"2","B"),"3","C"),"4","D")</f>
        <v/>
      </c>
      <c r="P2003" t="str">
        <f t="shared" si="115"/>
        <v/>
      </c>
      <c r="Q2003" t="str">
        <f t="shared" si="116"/>
        <v/>
      </c>
    </row>
    <row r="2004" spans="1:17" hidden="1" x14ac:dyDescent="0.25">
      <c r="A2004" t="s">
        <v>1394</v>
      </c>
      <c r="C2004">
        <f>IFERROR(COUNTIFS($A$1:A2004,"Câu "&amp;"*")-MID(A2004,5,FIND(".",A2004,1)-5),0)</f>
        <v>0</v>
      </c>
      <c r="D2004" t="str">
        <f t="shared" si="114"/>
        <v/>
      </c>
      <c r="E2004" t="str">
        <f>SUBSTITUTE(IF(LEFT(A2004,3)="Câu",MID(A2004,FIND(".",A2004,1)+2,LEN(A2004)),""),CHAR(34),CHAR(92)&amp;CHAR(34))</f>
        <v/>
      </c>
      <c r="F2004" t="str">
        <f t="shared" si="113"/>
        <v/>
      </c>
      <c r="G2004" t="str">
        <f>SUBSTITUTE(B2005,CHAR(34),CHAR(92)&amp;CHAR(34))</f>
        <v/>
      </c>
      <c r="H2004" t="str">
        <f>SUBSTITUTE(B2006,CHAR(34),CHAR(92)&amp;CHAR(34))</f>
        <v>Xe khách, xe tải, xe mô tô.</v>
      </c>
      <c r="I2004" t="str">
        <f>SUBSTITUTE(IF(LEFT(A2007,3)="Câu","",B2007),CHAR(34),CHAR(92)&amp;CHAR(34))</f>
        <v>Xe tải, xe mô tô.</v>
      </c>
      <c r="J2004" t="str">
        <f>SUBSTITUTE(IF(OR(LEFT(A2008,3)="Câu",I2004=""),"",IF(B2008=0,"",B2008)),CHAR(34),CHAR(92)&amp;CHAR(34))</f>
        <v>Chỉ xe con.</v>
      </c>
      <c r="K2004" t="str">
        <f>SUBSTITUTE(SUBSTITUTE(SUBSTITUTE(SUBSTITUTE(IFERROR(VLOOKUP("Câu "&amp;D2004&amp;".",dapan!$E:$J,6,0),""),"1","A"),"2","B"),"3","C"),"4","D")</f>
        <v/>
      </c>
      <c r="P2004" t="str">
        <f t="shared" si="115"/>
        <v/>
      </c>
      <c r="Q2004" t="str">
        <f t="shared" si="116"/>
        <v/>
      </c>
    </row>
    <row r="2005" spans="1:17" x14ac:dyDescent="0.25">
      <c r="A2005" t="s">
        <v>1395</v>
      </c>
      <c r="C2005">
        <f>IFERROR(COUNTIFS($A$1:A2005,"Câu "&amp;"*")-MID(A2005,5,FIND(".",A2005,1)-5),0)</f>
        <v>0</v>
      </c>
      <c r="D2005">
        <f t="shared" si="114"/>
        <v>486</v>
      </c>
      <c r="E2005" t="str">
        <f>SUBSTITUTE(IF(LEFT(A2005,3)="Câu",MID(A2005,FIND(".",A2005,1)+2,LEN(A2005)),""),CHAR(34),CHAR(92)&amp;CHAR(34))</f>
        <v>Theo hướng mũi tên, xe nào chấp hành đúng quy tắc giao thông?</v>
      </c>
      <c r="F2005" t="str">
        <f>IF(D2005="","","q"&amp;TEXT(D2005,"000")&amp;".jpg")</f>
        <v>q486.jpg</v>
      </c>
      <c r="G2005" t="str">
        <f>SUBSTITUTE(B2006,CHAR(34),CHAR(92)&amp;CHAR(34))</f>
        <v>Xe khách, xe tải, xe mô tô.</v>
      </c>
      <c r="H2005" t="str">
        <f>SUBSTITUTE(B2007,CHAR(34),CHAR(92)&amp;CHAR(34))</f>
        <v>Xe tải, xe mô tô.</v>
      </c>
      <c r="I2005" t="str">
        <f>SUBSTITUTE(IF(LEFT(A2008,3)="Câu","",B2008),CHAR(34),CHAR(92)&amp;CHAR(34))</f>
        <v>Chỉ xe con.</v>
      </c>
      <c r="J2005" t="str">
        <f>SUBSTITUTE(IF(OR(LEFT(A2009,3)="Câu",I2005=""),"",IF(B2009=0,"",B2009)),CHAR(34),CHAR(92)&amp;CHAR(34))</f>
        <v/>
      </c>
      <c r="K2005" t="str">
        <f ca="1">SUBSTITUTE(SUBSTITUTE(SUBSTITUTE(SUBSTITUTE(IFERROR(VLOOKUP("Câu "&amp;D2005&amp;".",dapan!$E:$J,6,0),""),"1","A"),"2","B"),"3","C"),"4","D")</f>
        <v>C</v>
      </c>
      <c r="L2005" t="s">
        <v>3081</v>
      </c>
      <c r="M2005" t="s">
        <v>3097</v>
      </c>
      <c r="N2005" t="str">
        <f>F2005</f>
        <v>q486.jpg</v>
      </c>
      <c r="O2005" t="s">
        <v>3081</v>
      </c>
      <c r="P2005">
        <f t="shared" si="115"/>
        <v>486</v>
      </c>
      <c r="Q2005" t="str">
        <f t="shared" ca="1" si="116"/>
        <v>{"num":486,"id":486,"q":"Theo hướng mũi tên, xe nào chấp hành đúng quy tắc giao thông?","img":"q486.jpg","opts":{"A":"Xe khách, xe tải, xe mô tô.","B":"Xe tải, xe mô tô.","C":"Chỉ xe con."},"answer":"C","danger":"true","explain":"giai thích","explainImg":"q486.jpg","shuffle":"false"},</v>
      </c>
    </row>
    <row r="2006" spans="1:17" hidden="1" x14ac:dyDescent="0.25">
      <c r="A2006">
        <v>1</v>
      </c>
      <c r="B2006" t="s">
        <v>1396</v>
      </c>
      <c r="C2006">
        <f>IFERROR(COUNTIFS($A$1:A2006,"Câu "&amp;"*")-MID(A2006,5,FIND(".",A2006,1)-5),0)</f>
        <v>0</v>
      </c>
      <c r="D2006" t="str">
        <f t="shared" si="114"/>
        <v/>
      </c>
      <c r="E2006" t="str">
        <f>SUBSTITUTE(IF(LEFT(A2006,3)="Câu",MID(A2006,FIND(".",A2006,1)+2,LEN(A2006)),""),CHAR(34),CHAR(92)&amp;CHAR(34))</f>
        <v/>
      </c>
      <c r="F2006" t="str">
        <f t="shared" ref="F2006:F2069" si="117">IF(D2006="","","q"&amp;TEXT(D2006,"000")&amp;".jpg")</f>
        <v/>
      </c>
      <c r="G2006" t="str">
        <f>SUBSTITUTE(B2007,CHAR(34),CHAR(92)&amp;CHAR(34))</f>
        <v>Xe tải, xe mô tô.</v>
      </c>
      <c r="H2006" t="str">
        <f>SUBSTITUTE(B2008,CHAR(34),CHAR(92)&amp;CHAR(34))</f>
        <v>Chỉ xe con.</v>
      </c>
      <c r="I2006" t="str">
        <f>SUBSTITUTE(IF(LEFT(A2009,3)="Câu","",B2009),CHAR(34),CHAR(92)&amp;CHAR(34))</f>
        <v/>
      </c>
      <c r="J2006" t="str">
        <f>SUBSTITUTE(IF(OR(LEFT(A2010,3)="Câu",I2006=""),"",IF(B2010=0,"",B2010)),CHAR(34),CHAR(92)&amp;CHAR(34))</f>
        <v/>
      </c>
      <c r="K2006" t="str">
        <f>SUBSTITUTE(SUBSTITUTE(SUBSTITUTE(SUBSTITUTE(IFERROR(VLOOKUP("Câu "&amp;D2006&amp;".",dapan!$E:$J,6,0),""),"1","A"),"2","B"),"3","C"),"4","D")</f>
        <v/>
      </c>
      <c r="P2006" t="str">
        <f t="shared" si="115"/>
        <v/>
      </c>
      <c r="Q2006" t="str">
        <f t="shared" si="116"/>
        <v/>
      </c>
    </row>
    <row r="2007" spans="1:17" hidden="1" x14ac:dyDescent="0.25">
      <c r="A2007">
        <v>2</v>
      </c>
      <c r="B2007" t="s">
        <v>1397</v>
      </c>
      <c r="C2007">
        <f>IFERROR(COUNTIFS($A$1:A2007,"Câu "&amp;"*")-MID(A2007,5,FIND(".",A2007,1)-5),0)</f>
        <v>0</v>
      </c>
      <c r="D2007" t="str">
        <f t="shared" si="114"/>
        <v/>
      </c>
      <c r="E2007" t="str">
        <f>SUBSTITUTE(IF(LEFT(A2007,3)="Câu",MID(A2007,FIND(".",A2007,1)+2,LEN(A2007)),""),CHAR(34),CHAR(92)&amp;CHAR(34))</f>
        <v/>
      </c>
      <c r="F2007" t="str">
        <f t="shared" si="117"/>
        <v/>
      </c>
      <c r="G2007" t="str">
        <f>SUBSTITUTE(B2008,CHAR(34),CHAR(92)&amp;CHAR(34))</f>
        <v>Chỉ xe con.</v>
      </c>
      <c r="H2007" t="str">
        <f>SUBSTITUTE(B2009,CHAR(34),CHAR(92)&amp;CHAR(34))</f>
        <v/>
      </c>
      <c r="I2007" t="str">
        <f>SUBSTITUTE(IF(LEFT(A2010,3)="Câu","",B2010),CHAR(34),CHAR(92)&amp;CHAR(34))</f>
        <v>Xe tải, xe khách, xe con, xe mô tô.</v>
      </c>
      <c r="J2007" t="str">
        <f>SUBSTITUTE(IF(OR(LEFT(A2011,3)="Câu",I2007=""),"",IF(B2011=0,"",B2011)),CHAR(34),CHAR(92)&amp;CHAR(34))</f>
        <v xml:space="preserve"> Xe tải, xe mô tô, xe khách, xe con.</v>
      </c>
      <c r="K2007" t="str">
        <f>SUBSTITUTE(SUBSTITUTE(SUBSTITUTE(SUBSTITUTE(IFERROR(VLOOKUP("Câu "&amp;D2007&amp;".",dapan!$E:$J,6,0),""),"1","A"),"2","B"),"3","C"),"4","D")</f>
        <v/>
      </c>
      <c r="P2007" t="str">
        <f t="shared" si="115"/>
        <v/>
      </c>
      <c r="Q2007" t="str">
        <f t="shared" si="116"/>
        <v/>
      </c>
    </row>
    <row r="2008" spans="1:17" hidden="1" x14ac:dyDescent="0.25">
      <c r="A2008">
        <v>3</v>
      </c>
      <c r="B2008" t="s">
        <v>3098</v>
      </c>
      <c r="C2008">
        <f>IFERROR(COUNTIFS($A$1:A2008,"Câu "&amp;"*")-MID(A2008,5,FIND(".",A2008,1)-5),0)</f>
        <v>0</v>
      </c>
      <c r="D2008" t="str">
        <f t="shared" si="114"/>
        <v/>
      </c>
      <c r="E2008" t="str">
        <f>SUBSTITUTE(IF(LEFT(A2008,3)="Câu",MID(A2008,FIND(".",A2008,1)+2,LEN(A2008)),""),CHAR(34),CHAR(92)&amp;CHAR(34))</f>
        <v/>
      </c>
      <c r="F2008" t="str">
        <f t="shared" si="117"/>
        <v/>
      </c>
      <c r="G2008" t="str">
        <f>SUBSTITUTE(B2009,CHAR(34),CHAR(92)&amp;CHAR(34))</f>
        <v/>
      </c>
      <c r="H2008" t="str">
        <f>SUBSTITUTE(B2010,CHAR(34),CHAR(92)&amp;CHAR(34))</f>
        <v>Xe tải, xe khách, xe con, xe mô tô.</v>
      </c>
      <c r="I2008" t="str">
        <f>SUBSTITUTE(IF(LEFT(A2011,3)="Câu","",B2011),CHAR(34),CHAR(92)&amp;CHAR(34))</f>
        <v xml:space="preserve"> Xe tải, xe mô tô, xe khách, xe con.</v>
      </c>
      <c r="J2008" t="str">
        <f>SUBSTITUTE(IF(OR(LEFT(A2012,3)="Câu",I2008=""),"",IF(B2012=0,"",B2012)),CHAR(34),CHAR(92)&amp;CHAR(34))</f>
        <v>Xe khách, xe tải, xe con, xe mô tô.</v>
      </c>
      <c r="K2008" t="str">
        <f>SUBSTITUTE(SUBSTITUTE(SUBSTITUTE(SUBSTITUTE(IFERROR(VLOOKUP("Câu "&amp;D2008&amp;".",dapan!$E:$J,6,0),""),"1","A"),"2","B"),"3","C"),"4","D")</f>
        <v/>
      </c>
      <c r="P2008" t="str">
        <f t="shared" si="115"/>
        <v/>
      </c>
      <c r="Q2008" t="str">
        <f t="shared" si="116"/>
        <v/>
      </c>
    </row>
    <row r="2009" spans="1:17" x14ac:dyDescent="0.25">
      <c r="A2009" t="s">
        <v>1398</v>
      </c>
      <c r="C2009">
        <f>IFERROR(COUNTIFS($A$1:A2009,"Câu "&amp;"*")-MID(A2009,5,FIND(".",A2009,1)-5),0)</f>
        <v>0</v>
      </c>
      <c r="D2009">
        <f t="shared" ref="D2009:D2072" si="118">IF(LEFT(A2009,3)="Câu",VALUE(MID(A2009,5,FIND(".",A2009,1)-5)),"")</f>
        <v>487</v>
      </c>
      <c r="E2009" t="str">
        <f>SUBSTITUTE(IF(LEFT(A2009,3)="Câu",MID(A2009,FIND(".",A2009,1)+2,LEN(A2009)),""),CHAR(34),CHAR(92)&amp;CHAR(34))</f>
        <v>Theo hướng mũi tên, thứ tự các xe đi như thế nào là đúng quy tắc giao thông?</v>
      </c>
      <c r="F2009" t="str">
        <f t="shared" si="117"/>
        <v>q487.jpg</v>
      </c>
      <c r="G2009" t="str">
        <f>SUBSTITUTE(B2010,CHAR(34),CHAR(92)&amp;CHAR(34))</f>
        <v>Xe tải, xe khách, xe con, xe mô tô.</v>
      </c>
      <c r="H2009" t="str">
        <f>SUBSTITUTE(B2011,CHAR(34),CHAR(92)&amp;CHAR(34))</f>
        <v xml:space="preserve"> Xe tải, xe mô tô, xe khách, xe con.</v>
      </c>
      <c r="I2009" t="str">
        <f>SUBSTITUTE(IF(LEFT(A2012,3)="Câu","",B2012),CHAR(34),CHAR(92)&amp;CHAR(34))</f>
        <v>Xe khách, xe tải, xe con, xe mô tô.</v>
      </c>
      <c r="J2009" t="str">
        <f>SUBSTITUTE(IF(OR(LEFT(A2013,3)="Câu",I2009=""),"",IF(B2013=0,"",B2013)),CHAR(34),CHAR(92)&amp;CHAR(34))</f>
        <v>Xe mô tô, xe khách, xe tải, xe con.</v>
      </c>
      <c r="K2009" t="str">
        <f ca="1">SUBSTITUTE(SUBSTITUTE(SUBSTITUTE(SUBSTITUTE(IFERROR(VLOOKUP("Câu "&amp;D2009&amp;".",dapan!$E:$J,6,0),""),"1","A"),"2","B"),"3","C"),"4","D")</f>
        <v>B</v>
      </c>
      <c r="P2009">
        <f t="shared" si="115"/>
        <v>487</v>
      </c>
      <c r="Q2009" t="str">
        <f t="shared" ca="1" si="116"/>
        <v>{"num":487,"id":487,"q":"Theo hướng mũi tên, thứ tự các xe đi như thế nào là đúng quy tắc giao thông?","img":"q487.jpg","opts":{"A":"Xe tải, xe khách, xe con, xe mô tô.","B":" Xe tải, xe mô tô, xe khách, xe con.","C":"Xe khách, xe tải, xe con, xe mô tô.","D":"Xe mô tô, xe khách, xe tải, xe con."},"answer":"B"},</v>
      </c>
    </row>
    <row r="2010" spans="1:17" hidden="1" x14ac:dyDescent="0.25">
      <c r="A2010">
        <v>1</v>
      </c>
      <c r="B2010" t="s">
        <v>1399</v>
      </c>
      <c r="C2010">
        <f>IFERROR(COUNTIFS($A$1:A2010,"Câu "&amp;"*")-MID(A2010,5,FIND(".",A2010,1)-5),0)</f>
        <v>0</v>
      </c>
      <c r="D2010" t="str">
        <f t="shared" si="118"/>
        <v/>
      </c>
      <c r="E2010" t="str">
        <f>SUBSTITUTE(IF(LEFT(A2010,3)="Câu",MID(A2010,FIND(".",A2010,1)+2,LEN(A2010)),""),CHAR(34),CHAR(92)&amp;CHAR(34))</f>
        <v/>
      </c>
      <c r="F2010" t="str">
        <f t="shared" si="117"/>
        <v/>
      </c>
      <c r="G2010" t="str">
        <f>SUBSTITUTE(B2011,CHAR(34),CHAR(92)&amp;CHAR(34))</f>
        <v xml:space="preserve"> Xe tải, xe mô tô, xe khách, xe con.</v>
      </c>
      <c r="H2010" t="str">
        <f>SUBSTITUTE(B2012,CHAR(34),CHAR(92)&amp;CHAR(34))</f>
        <v>Xe khách, xe tải, xe con, xe mô tô.</v>
      </c>
      <c r="I2010" t="str">
        <f>SUBSTITUTE(IF(LEFT(A2013,3)="Câu","",B2013),CHAR(34),CHAR(92)&amp;CHAR(34))</f>
        <v>Xe mô tô, xe khách, xe tải, xe con.</v>
      </c>
      <c r="J2010" t="str">
        <f>SUBSTITUTE(IF(OR(LEFT(A2014,3)="Câu",I2010=""),"",IF(B2014=0,"",B2014)),CHAR(34),CHAR(92)&amp;CHAR(34))</f>
        <v/>
      </c>
      <c r="K2010" t="str">
        <f>SUBSTITUTE(SUBSTITUTE(SUBSTITUTE(SUBSTITUTE(IFERROR(VLOOKUP("Câu "&amp;D2010&amp;".",dapan!$E:$J,6,0),""),"1","A"),"2","B"),"3","C"),"4","D")</f>
        <v/>
      </c>
      <c r="P2010" t="str">
        <f t="shared" si="115"/>
        <v/>
      </c>
      <c r="Q2010" t="str">
        <f t="shared" si="116"/>
        <v/>
      </c>
    </row>
    <row r="2011" spans="1:17" hidden="1" x14ac:dyDescent="0.25">
      <c r="A2011">
        <v>2</v>
      </c>
      <c r="B2011" t="s">
        <v>1400</v>
      </c>
      <c r="C2011">
        <f>IFERROR(COUNTIFS($A$1:A2011,"Câu "&amp;"*")-MID(A2011,5,FIND(".",A2011,1)-5),0)</f>
        <v>0</v>
      </c>
      <c r="D2011" t="str">
        <f t="shared" si="118"/>
        <v/>
      </c>
      <c r="E2011" t="str">
        <f>SUBSTITUTE(IF(LEFT(A2011,3)="Câu",MID(A2011,FIND(".",A2011,1)+2,LEN(A2011)),""),CHAR(34),CHAR(92)&amp;CHAR(34))</f>
        <v/>
      </c>
      <c r="F2011" t="str">
        <f t="shared" si="117"/>
        <v/>
      </c>
      <c r="G2011" t="str">
        <f>SUBSTITUTE(B2012,CHAR(34),CHAR(92)&amp;CHAR(34))</f>
        <v>Xe khách, xe tải, xe con, xe mô tô.</v>
      </c>
      <c r="H2011" t="str">
        <f>SUBSTITUTE(B2013,CHAR(34),CHAR(92)&amp;CHAR(34))</f>
        <v>Xe mô tô, xe khách, xe tải, xe con.</v>
      </c>
      <c r="I2011" t="str">
        <f>SUBSTITUTE(IF(LEFT(A2014,3)="Câu","",B2014),CHAR(34),CHAR(92)&amp;CHAR(34))</f>
        <v/>
      </c>
      <c r="J2011" t="str">
        <f>SUBSTITUTE(IF(OR(LEFT(A2015,3)="Câu",I2011=""),"",IF(B2015=0,"",B2015)),CHAR(34),CHAR(92)&amp;CHAR(34))</f>
        <v/>
      </c>
      <c r="K2011" t="str">
        <f>SUBSTITUTE(SUBSTITUTE(SUBSTITUTE(SUBSTITUTE(IFERROR(VLOOKUP("Câu "&amp;D2011&amp;".",dapan!$E:$J,6,0),""),"1","A"),"2","B"),"3","C"),"4","D")</f>
        <v/>
      </c>
      <c r="P2011" t="str">
        <f t="shared" si="115"/>
        <v/>
      </c>
      <c r="Q2011" t="str">
        <f t="shared" si="116"/>
        <v/>
      </c>
    </row>
    <row r="2012" spans="1:17" hidden="1" x14ac:dyDescent="0.25">
      <c r="A2012">
        <v>3</v>
      </c>
      <c r="B2012" t="s">
        <v>1401</v>
      </c>
      <c r="C2012">
        <f>IFERROR(COUNTIFS($A$1:A2012,"Câu "&amp;"*")-MID(A2012,5,FIND(".",A2012,1)-5),0)</f>
        <v>0</v>
      </c>
      <c r="D2012" t="str">
        <f t="shared" si="118"/>
        <v/>
      </c>
      <c r="E2012" t="str">
        <f>SUBSTITUTE(IF(LEFT(A2012,3)="Câu",MID(A2012,FIND(".",A2012,1)+2,LEN(A2012)),""),CHAR(34),CHAR(92)&amp;CHAR(34))</f>
        <v/>
      </c>
      <c r="F2012" t="str">
        <f t="shared" si="117"/>
        <v/>
      </c>
      <c r="G2012" t="str">
        <f>SUBSTITUTE(B2013,CHAR(34),CHAR(92)&amp;CHAR(34))</f>
        <v>Xe mô tô, xe khách, xe tải, xe con.</v>
      </c>
      <c r="H2012" t="str">
        <f>SUBSTITUTE(B2014,CHAR(34),CHAR(92)&amp;CHAR(34))</f>
        <v/>
      </c>
      <c r="I2012" t="str">
        <f>SUBSTITUTE(IF(LEFT(A2015,3)="Câu","",B2015),CHAR(34),CHAR(92)&amp;CHAR(34))</f>
        <v xml:space="preserve"> Xe công an đi làm nhiệm vụ khẩn cấp, xe con, xe tải, xe khách.</v>
      </c>
      <c r="J2012" t="str">
        <f>SUBSTITUTE(IF(OR(LEFT(A2016,3)="Câu",I2012=""),"",IF(B2016=0,"",B2016)),CHAR(34),CHAR(92)&amp;CHAR(34))</f>
        <v>Xe công an đi làm nhiệm vụ khẩn cấp, xe khách, xe con, xe tải.</v>
      </c>
      <c r="K2012" t="str">
        <f>SUBSTITUTE(SUBSTITUTE(SUBSTITUTE(SUBSTITUTE(IFERROR(VLOOKUP("Câu "&amp;D2012&amp;".",dapan!$E:$J,6,0),""),"1","A"),"2","B"),"3","C"),"4","D")</f>
        <v/>
      </c>
      <c r="P2012" t="str">
        <f t="shared" si="115"/>
        <v/>
      </c>
      <c r="Q2012" t="str">
        <f t="shared" si="116"/>
        <v/>
      </c>
    </row>
    <row r="2013" spans="1:17" hidden="1" x14ac:dyDescent="0.25">
      <c r="A2013">
        <v>4</v>
      </c>
      <c r="B2013" t="s">
        <v>1402</v>
      </c>
      <c r="C2013">
        <f>IFERROR(COUNTIFS($A$1:A2013,"Câu "&amp;"*")-MID(A2013,5,FIND(".",A2013,1)-5),0)</f>
        <v>0</v>
      </c>
      <c r="D2013" t="str">
        <f t="shared" si="118"/>
        <v/>
      </c>
      <c r="E2013" t="str">
        <f>SUBSTITUTE(IF(LEFT(A2013,3)="Câu",MID(A2013,FIND(".",A2013,1)+2,LEN(A2013)),""),CHAR(34),CHAR(92)&amp;CHAR(34))</f>
        <v/>
      </c>
      <c r="F2013" t="str">
        <f t="shared" si="117"/>
        <v/>
      </c>
      <c r="G2013" t="str">
        <f>SUBSTITUTE(B2014,CHAR(34),CHAR(92)&amp;CHAR(34))</f>
        <v/>
      </c>
      <c r="H2013" t="str">
        <f>SUBSTITUTE(B2015,CHAR(34),CHAR(92)&amp;CHAR(34))</f>
        <v xml:space="preserve"> Xe công an đi làm nhiệm vụ khẩn cấp, xe con, xe tải, xe khách.</v>
      </c>
      <c r="I2013" t="str">
        <f>SUBSTITUTE(IF(LEFT(A2016,3)="Câu","",B2016),CHAR(34),CHAR(92)&amp;CHAR(34))</f>
        <v>Xe công an đi làm nhiệm vụ khẩn cấp, xe khách, xe con, xe tải.</v>
      </c>
      <c r="J2013" t="str">
        <f>SUBSTITUTE(IF(OR(LEFT(A2017,3)="Câu",I2013=""),"",IF(B2017=0,"",B2017)),CHAR(34),CHAR(92)&amp;CHAR(34))</f>
        <v>Xe công an đi làm nhiệm vụ khẩn cấp, xe tải, xe khách, xe con.</v>
      </c>
      <c r="K2013" t="str">
        <f>SUBSTITUTE(SUBSTITUTE(SUBSTITUTE(SUBSTITUTE(IFERROR(VLOOKUP("Câu "&amp;D2013&amp;".",dapan!$E:$J,6,0),""),"1","A"),"2","B"),"3","C"),"4","D")</f>
        <v/>
      </c>
      <c r="P2013" t="str">
        <f t="shared" si="115"/>
        <v/>
      </c>
      <c r="Q2013" t="str">
        <f t="shared" si="116"/>
        <v/>
      </c>
    </row>
    <row r="2014" spans="1:17" x14ac:dyDescent="0.25">
      <c r="A2014" t="s">
        <v>1403</v>
      </c>
      <c r="C2014">
        <f>IFERROR(COUNTIFS($A$1:A2014,"Câu "&amp;"*")-MID(A2014,5,FIND(".",A2014,1)-5),0)</f>
        <v>0</v>
      </c>
      <c r="D2014">
        <f t="shared" si="118"/>
        <v>488</v>
      </c>
      <c r="E2014" t="str">
        <f>SUBSTITUTE(IF(LEFT(A2014,3)="Câu",MID(A2014,FIND(".",A2014,1)+2,LEN(A2014)),""),CHAR(34),CHAR(92)&amp;CHAR(34))</f>
        <v>Theo hướng mũi tên, thứ tự các xe đi như thế nào là đúng quy tắc giao thông?</v>
      </c>
      <c r="F2014" t="str">
        <f t="shared" si="117"/>
        <v>q488.jpg</v>
      </c>
      <c r="G2014" t="str">
        <f>SUBSTITUTE(B2015,CHAR(34),CHAR(92)&amp;CHAR(34))</f>
        <v xml:space="preserve"> Xe công an đi làm nhiệm vụ khẩn cấp, xe con, xe tải, xe khách.</v>
      </c>
      <c r="H2014" t="str">
        <f>SUBSTITUTE(B2016,CHAR(34),CHAR(92)&amp;CHAR(34))</f>
        <v>Xe công an đi làm nhiệm vụ khẩn cấp, xe khách, xe con, xe tải.</v>
      </c>
      <c r="I2014" t="str">
        <f>SUBSTITUTE(IF(LEFT(A2017,3)="Câu","",B2017),CHAR(34),CHAR(92)&amp;CHAR(34))</f>
        <v>Xe công an đi làm nhiệm vụ khẩn cấp, xe tải, xe khách, xe con.</v>
      </c>
      <c r="J2014" t="str">
        <f>SUBSTITUTE(IF(OR(LEFT(A2018,3)="Câu",I2014=""),"",IF(B2018=0,"",B2018)),CHAR(34),CHAR(92)&amp;CHAR(34))</f>
        <v>Xe con, xe công an đi làm nhiệm vụ khẩn cấp, xe tải, xe khách.</v>
      </c>
      <c r="K2014" t="str">
        <f ca="1">SUBSTITUTE(SUBSTITUTE(SUBSTITUTE(SUBSTITUTE(IFERROR(VLOOKUP("Câu "&amp;D2014&amp;".",dapan!$E:$J,6,0),""),"1","A"),"2","B"),"3","C"),"4","D")</f>
        <v>A</v>
      </c>
      <c r="P2014">
        <f t="shared" si="115"/>
        <v>488</v>
      </c>
      <c r="Q2014" t="str">
        <f t="shared" ca="1" si="116"/>
        <v>{"num":488,"id":488,"q":"Theo hướng mũi tên, thứ tự các xe đi như thế nào là đúng quy tắc giao thông?","img":"q488.jpg","opts":{"A":" Xe công an đi làm nhiệm vụ khẩn cấp, xe con, xe tải, xe khách.","B":"Xe công an đi làm nhiệm vụ khẩn cấp, xe khách, xe con, xe tải.","C":"Xe công an đi làm nhiệm vụ khẩn cấp, xe tải, xe khách, xe con.","D":"Xe con, xe công an đi làm nhiệm vụ khẩn cấp, xe tải, xe khách."},"answer":"A"},</v>
      </c>
    </row>
    <row r="2015" spans="1:17" hidden="1" x14ac:dyDescent="0.25">
      <c r="A2015">
        <v>1</v>
      </c>
      <c r="B2015" t="s">
        <v>1404</v>
      </c>
      <c r="C2015">
        <f>IFERROR(COUNTIFS($A$1:A2015,"Câu "&amp;"*")-MID(A2015,5,FIND(".",A2015,1)-5),0)</f>
        <v>0</v>
      </c>
      <c r="D2015" t="str">
        <f t="shared" si="118"/>
        <v/>
      </c>
      <c r="E2015" t="str">
        <f>SUBSTITUTE(IF(LEFT(A2015,3)="Câu",MID(A2015,FIND(".",A2015,1)+2,LEN(A2015)),""),CHAR(34),CHAR(92)&amp;CHAR(34))</f>
        <v/>
      </c>
      <c r="F2015" t="str">
        <f t="shared" si="117"/>
        <v/>
      </c>
      <c r="G2015" t="str">
        <f>SUBSTITUTE(B2016,CHAR(34),CHAR(92)&amp;CHAR(34))</f>
        <v>Xe công an đi làm nhiệm vụ khẩn cấp, xe khách, xe con, xe tải.</v>
      </c>
      <c r="H2015" t="str">
        <f>SUBSTITUTE(B2017,CHAR(34),CHAR(92)&amp;CHAR(34))</f>
        <v>Xe công an đi làm nhiệm vụ khẩn cấp, xe tải, xe khách, xe con.</v>
      </c>
      <c r="I2015" t="str">
        <f>SUBSTITUTE(IF(LEFT(A2018,3)="Câu","",B2018),CHAR(34),CHAR(92)&amp;CHAR(34))</f>
        <v>Xe con, xe công an đi làm nhiệm vụ khẩn cấp, xe tải, xe khách.</v>
      </c>
      <c r="J2015" t="str">
        <f>SUBSTITUTE(IF(OR(LEFT(A2019,3)="Câu",I2015=""),"",IF(B2019=0,"",B2019)),CHAR(34),CHAR(92)&amp;CHAR(34))</f>
        <v/>
      </c>
      <c r="K2015" t="str">
        <f>SUBSTITUTE(SUBSTITUTE(SUBSTITUTE(SUBSTITUTE(IFERROR(VLOOKUP("Câu "&amp;D2015&amp;".",dapan!$E:$J,6,0),""),"1","A"),"2","B"),"3","C"),"4","D")</f>
        <v/>
      </c>
      <c r="P2015" t="str">
        <f t="shared" si="115"/>
        <v/>
      </c>
      <c r="Q2015" t="str">
        <f t="shared" si="116"/>
        <v/>
      </c>
    </row>
    <row r="2016" spans="1:17" hidden="1" x14ac:dyDescent="0.25">
      <c r="A2016">
        <v>2</v>
      </c>
      <c r="B2016" t="s">
        <v>1405</v>
      </c>
      <c r="C2016">
        <f>IFERROR(COUNTIFS($A$1:A2016,"Câu "&amp;"*")-MID(A2016,5,FIND(".",A2016,1)-5),0)</f>
        <v>0</v>
      </c>
      <c r="D2016" t="str">
        <f t="shared" si="118"/>
        <v/>
      </c>
      <c r="E2016" t="str">
        <f>SUBSTITUTE(IF(LEFT(A2016,3)="Câu",MID(A2016,FIND(".",A2016,1)+2,LEN(A2016)),""),CHAR(34),CHAR(92)&amp;CHAR(34))</f>
        <v/>
      </c>
      <c r="F2016" t="str">
        <f t="shared" si="117"/>
        <v/>
      </c>
      <c r="G2016" t="str">
        <f>SUBSTITUTE(B2017,CHAR(34),CHAR(92)&amp;CHAR(34))</f>
        <v>Xe công an đi làm nhiệm vụ khẩn cấp, xe tải, xe khách, xe con.</v>
      </c>
      <c r="H2016" t="str">
        <f>SUBSTITUTE(B2018,CHAR(34),CHAR(92)&amp;CHAR(34))</f>
        <v>Xe con, xe công an đi làm nhiệm vụ khẩn cấp, xe tải, xe khách.</v>
      </c>
      <c r="I2016" t="str">
        <f>SUBSTITUTE(IF(LEFT(A2019,3)="Câu","",B2019),CHAR(34),CHAR(92)&amp;CHAR(34))</f>
        <v/>
      </c>
      <c r="J2016" t="str">
        <f>SUBSTITUTE(IF(OR(LEFT(A2020,3)="Câu",I2016=""),"",IF(B2020=0,"",B2020)),CHAR(34),CHAR(92)&amp;CHAR(34))</f>
        <v/>
      </c>
      <c r="K2016" t="str">
        <f>SUBSTITUTE(SUBSTITUTE(SUBSTITUTE(SUBSTITUTE(IFERROR(VLOOKUP("Câu "&amp;D2016&amp;".",dapan!$E:$J,6,0),""),"1","A"),"2","B"),"3","C"),"4","D")</f>
        <v/>
      </c>
      <c r="P2016" t="str">
        <f t="shared" si="115"/>
        <v/>
      </c>
      <c r="Q2016" t="str">
        <f t="shared" si="116"/>
        <v/>
      </c>
    </row>
    <row r="2017" spans="1:17" hidden="1" x14ac:dyDescent="0.25">
      <c r="A2017">
        <v>3</v>
      </c>
      <c r="B2017" t="s">
        <v>1406</v>
      </c>
      <c r="C2017">
        <f>IFERROR(COUNTIFS($A$1:A2017,"Câu "&amp;"*")-MID(A2017,5,FIND(".",A2017,1)-5),0)</f>
        <v>0</v>
      </c>
      <c r="D2017" t="str">
        <f t="shared" si="118"/>
        <v/>
      </c>
      <c r="E2017" t="str">
        <f>SUBSTITUTE(IF(LEFT(A2017,3)="Câu",MID(A2017,FIND(".",A2017,1)+2,LEN(A2017)),""),CHAR(34),CHAR(92)&amp;CHAR(34))</f>
        <v/>
      </c>
      <c r="F2017" t="str">
        <f t="shared" si="117"/>
        <v/>
      </c>
      <c r="G2017" t="str">
        <f>SUBSTITUTE(B2018,CHAR(34),CHAR(92)&amp;CHAR(34))</f>
        <v>Xe con, xe công an đi làm nhiệm vụ khẩn cấp, xe tải, xe khách.</v>
      </c>
      <c r="H2017" t="str">
        <f>SUBSTITUTE(B2019,CHAR(34),CHAR(92)&amp;CHAR(34))</f>
        <v/>
      </c>
      <c r="I2017" t="str">
        <f>SUBSTITUTE(IF(LEFT(A2020,3)="Câu","",B2020),CHAR(34),CHAR(92)&amp;CHAR(34))</f>
        <v>Xe tải, xe công an đi làm nhiệm vụ khẩn cấp, xe khách, xe con.</v>
      </c>
      <c r="J2017" t="str">
        <f>SUBSTITUTE(IF(OR(LEFT(A2021,3)="Câu",I2017=""),"",IF(B2021=0,"",B2021)),CHAR(34),CHAR(92)&amp;CHAR(34))</f>
        <v>Xe công an đi làm nhiệm vụ khẩn cấp, xe khách, xe con, xe tải.</v>
      </c>
      <c r="K2017" t="str">
        <f>SUBSTITUTE(SUBSTITUTE(SUBSTITUTE(SUBSTITUTE(IFERROR(VLOOKUP("Câu "&amp;D2017&amp;".",dapan!$E:$J,6,0),""),"1","A"),"2","B"),"3","C"),"4","D")</f>
        <v/>
      </c>
      <c r="P2017" t="str">
        <f t="shared" si="115"/>
        <v/>
      </c>
      <c r="Q2017" t="str">
        <f t="shared" si="116"/>
        <v/>
      </c>
    </row>
    <row r="2018" spans="1:17" hidden="1" x14ac:dyDescent="0.25">
      <c r="A2018">
        <v>4</v>
      </c>
      <c r="B2018" t="s">
        <v>1407</v>
      </c>
      <c r="C2018">
        <f>IFERROR(COUNTIFS($A$1:A2018,"Câu "&amp;"*")-MID(A2018,5,FIND(".",A2018,1)-5),0)</f>
        <v>0</v>
      </c>
      <c r="D2018" t="str">
        <f t="shared" si="118"/>
        <v/>
      </c>
      <c r="E2018" t="str">
        <f>SUBSTITUTE(IF(LEFT(A2018,3)="Câu",MID(A2018,FIND(".",A2018,1)+2,LEN(A2018)),""),CHAR(34),CHAR(92)&amp;CHAR(34))</f>
        <v/>
      </c>
      <c r="F2018" t="str">
        <f t="shared" si="117"/>
        <v/>
      </c>
      <c r="G2018" t="str">
        <f>SUBSTITUTE(B2019,CHAR(34),CHAR(92)&amp;CHAR(34))</f>
        <v/>
      </c>
      <c r="H2018" t="str">
        <f>SUBSTITUTE(B2020,CHAR(34),CHAR(92)&amp;CHAR(34))</f>
        <v>Xe tải, xe công an đi làm nhiệm vụ khẩn cấp, xe khách, xe con.</v>
      </c>
      <c r="I2018" t="str">
        <f>SUBSTITUTE(IF(LEFT(A2021,3)="Câu","",B2021),CHAR(34),CHAR(92)&amp;CHAR(34))</f>
        <v>Xe công an đi làm nhiệm vụ khẩn cấp, xe khách, xe con, xe tải.</v>
      </c>
      <c r="J2018" t="str">
        <f>SUBSTITUTE(IF(OR(LEFT(A2022,3)="Câu",I2018=""),"",IF(B2022=0,"",B2022)),CHAR(34),CHAR(92)&amp;CHAR(34))</f>
        <v>Xe công an đi làm nhiệm vụ khẩn cấp, xe con, xe tải, xe khách.</v>
      </c>
      <c r="K2018" t="str">
        <f>SUBSTITUTE(SUBSTITUTE(SUBSTITUTE(SUBSTITUTE(IFERROR(VLOOKUP("Câu "&amp;D2018&amp;".",dapan!$E:$J,6,0),""),"1","A"),"2","B"),"3","C"),"4","D")</f>
        <v/>
      </c>
      <c r="P2018" t="str">
        <f t="shared" si="115"/>
        <v/>
      </c>
      <c r="Q2018" t="str">
        <f t="shared" si="116"/>
        <v/>
      </c>
    </row>
    <row r="2019" spans="1:17" x14ac:dyDescent="0.25">
      <c r="A2019" t="s">
        <v>1408</v>
      </c>
      <c r="C2019">
        <f>IFERROR(COUNTIFS($A$1:A2019,"Câu "&amp;"*")-MID(A2019,5,FIND(".",A2019,1)-5),0)</f>
        <v>0</v>
      </c>
      <c r="D2019">
        <f t="shared" si="118"/>
        <v>489</v>
      </c>
      <c r="E2019" t="str">
        <f>SUBSTITUTE(IF(LEFT(A2019,3)="Câu",MID(A2019,FIND(".",A2019,1)+2,LEN(A2019)),""),CHAR(34),CHAR(92)&amp;CHAR(34))</f>
        <v>Theo hướng mũi tên, thứ tự các xe đi như thế nào là đúng quy tắc giao thông?</v>
      </c>
      <c r="F2019" t="str">
        <f t="shared" si="117"/>
        <v>q489.jpg</v>
      </c>
      <c r="G2019" t="str">
        <f>SUBSTITUTE(B2020,CHAR(34),CHAR(92)&amp;CHAR(34))</f>
        <v>Xe tải, xe công an đi làm nhiệm vụ khẩn cấp, xe khách, xe con.</v>
      </c>
      <c r="H2019" t="str">
        <f>SUBSTITUTE(B2021,CHAR(34),CHAR(92)&amp;CHAR(34))</f>
        <v>Xe công an đi làm nhiệm vụ khẩn cấp, xe khách, xe con, xe tải.</v>
      </c>
      <c r="I2019" t="str">
        <f>SUBSTITUTE(IF(LEFT(A2022,3)="Câu","",B2022),CHAR(34),CHAR(92)&amp;CHAR(34))</f>
        <v>Xe công an đi làm nhiệm vụ khẩn cấp, xe con, xe tải, xe khách.</v>
      </c>
      <c r="J2019" t="str">
        <f>SUBSTITUTE(IF(OR(LEFT(A2023,3)="Câu",I2019=""),"",IF(B2023=0,"",B2023)),CHAR(34),CHAR(92)&amp;CHAR(34))</f>
        <v xml:space="preserve"> Xe công an đi làm nhiệm vụ khẩn cấp, xe tải, xe khách, xe con.</v>
      </c>
      <c r="K2019" t="str">
        <f ca="1">SUBSTITUTE(SUBSTITUTE(SUBSTITUTE(SUBSTITUTE(IFERROR(VLOOKUP("Câu "&amp;D2019&amp;".",dapan!$E:$J,6,0),""),"1","A"),"2","B"),"3","C"),"4","D")</f>
        <v>D</v>
      </c>
      <c r="P2019">
        <f t="shared" si="115"/>
        <v>489</v>
      </c>
      <c r="Q2019" t="str">
        <f t="shared" ca="1" si="116"/>
        <v>{"num":489,"id":489,"q":"Theo hướng mũi tên, thứ tự các xe đi như thế nào là đúng quy tắc giao thông?","img":"q489.jpg","opts":{"A":"Xe tải, xe công an đi làm nhiệm vụ khẩn cấp, xe khách, xe con.","B":"Xe công an đi làm nhiệm vụ khẩn cấp, xe khách, xe con, xe tải.","C":"Xe công an đi làm nhiệm vụ khẩn cấp, xe con, xe tải, xe khách.","D":" Xe công an đi làm nhiệm vụ khẩn cấp, xe tải, xe khách, xe con."},"answer":"D"},</v>
      </c>
    </row>
    <row r="2020" spans="1:17" hidden="1" x14ac:dyDescent="0.25">
      <c r="A2020">
        <v>1</v>
      </c>
      <c r="B2020" t="s">
        <v>1409</v>
      </c>
      <c r="C2020">
        <f>IFERROR(COUNTIFS($A$1:A2020,"Câu "&amp;"*")-MID(A2020,5,FIND(".",A2020,1)-5),0)</f>
        <v>0</v>
      </c>
      <c r="D2020" t="str">
        <f t="shared" si="118"/>
        <v/>
      </c>
      <c r="E2020" t="str">
        <f>SUBSTITUTE(IF(LEFT(A2020,3)="Câu",MID(A2020,FIND(".",A2020,1)+2,LEN(A2020)),""),CHAR(34),CHAR(92)&amp;CHAR(34))</f>
        <v/>
      </c>
      <c r="F2020" t="str">
        <f t="shared" si="117"/>
        <v/>
      </c>
      <c r="G2020" t="str">
        <f>SUBSTITUTE(B2021,CHAR(34),CHAR(92)&amp;CHAR(34))</f>
        <v>Xe công an đi làm nhiệm vụ khẩn cấp, xe khách, xe con, xe tải.</v>
      </c>
      <c r="H2020" t="str">
        <f>SUBSTITUTE(B2022,CHAR(34),CHAR(92)&amp;CHAR(34))</f>
        <v>Xe công an đi làm nhiệm vụ khẩn cấp, xe con, xe tải, xe khách.</v>
      </c>
      <c r="I2020" t="str">
        <f>SUBSTITUTE(IF(LEFT(A2023,3)="Câu","",B2023),CHAR(34),CHAR(92)&amp;CHAR(34))</f>
        <v xml:space="preserve"> Xe công an đi làm nhiệm vụ khẩn cấp, xe tải, xe khách, xe con.</v>
      </c>
      <c r="J2020" t="str">
        <f>SUBSTITUTE(IF(OR(LEFT(A2024,3)="Câu",I2020=""),"",IF(B2024=0,"",B2024)),CHAR(34),CHAR(92)&amp;CHAR(34))</f>
        <v/>
      </c>
      <c r="K2020" t="str">
        <f>SUBSTITUTE(SUBSTITUTE(SUBSTITUTE(SUBSTITUTE(IFERROR(VLOOKUP("Câu "&amp;D2020&amp;".",dapan!$E:$J,6,0),""),"1","A"),"2","B"),"3","C"),"4","D")</f>
        <v/>
      </c>
      <c r="P2020" t="str">
        <f t="shared" si="115"/>
        <v/>
      </c>
      <c r="Q2020" t="str">
        <f t="shared" si="116"/>
        <v/>
      </c>
    </row>
    <row r="2021" spans="1:17" hidden="1" x14ac:dyDescent="0.25">
      <c r="A2021">
        <v>2</v>
      </c>
      <c r="B2021" t="s">
        <v>1405</v>
      </c>
      <c r="C2021">
        <f>IFERROR(COUNTIFS($A$1:A2021,"Câu "&amp;"*")-MID(A2021,5,FIND(".",A2021,1)-5),0)</f>
        <v>0</v>
      </c>
      <c r="D2021" t="str">
        <f t="shared" si="118"/>
        <v/>
      </c>
      <c r="E2021" t="str">
        <f>SUBSTITUTE(IF(LEFT(A2021,3)="Câu",MID(A2021,FIND(".",A2021,1)+2,LEN(A2021)),""),CHAR(34),CHAR(92)&amp;CHAR(34))</f>
        <v/>
      </c>
      <c r="F2021" t="str">
        <f t="shared" si="117"/>
        <v/>
      </c>
      <c r="G2021" t="str">
        <f>SUBSTITUTE(B2022,CHAR(34),CHAR(92)&amp;CHAR(34))</f>
        <v>Xe công an đi làm nhiệm vụ khẩn cấp, xe con, xe tải, xe khách.</v>
      </c>
      <c r="H2021" t="str">
        <f>SUBSTITUTE(B2023,CHAR(34),CHAR(92)&amp;CHAR(34))</f>
        <v xml:space="preserve"> Xe công an đi làm nhiệm vụ khẩn cấp, xe tải, xe khách, xe con.</v>
      </c>
      <c r="I2021" t="str">
        <f>SUBSTITUTE(IF(LEFT(A2024,3)="Câu","",B2024),CHAR(34),CHAR(92)&amp;CHAR(34))</f>
        <v/>
      </c>
      <c r="J2021" t="str">
        <f>SUBSTITUTE(IF(OR(LEFT(A2025,3)="Câu",I2021=""),"",IF(B2025=0,"",B2025)),CHAR(34),CHAR(92)&amp;CHAR(34))</f>
        <v/>
      </c>
      <c r="K2021" t="str">
        <f>SUBSTITUTE(SUBSTITUTE(SUBSTITUTE(SUBSTITUTE(IFERROR(VLOOKUP("Câu "&amp;D2021&amp;".",dapan!$E:$J,6,0),""),"1","A"),"2","B"),"3","C"),"4","D")</f>
        <v/>
      </c>
      <c r="P2021" t="str">
        <f t="shared" si="115"/>
        <v/>
      </c>
      <c r="Q2021" t="str">
        <f t="shared" si="116"/>
        <v/>
      </c>
    </row>
    <row r="2022" spans="1:17" hidden="1" x14ac:dyDescent="0.25">
      <c r="A2022">
        <v>3</v>
      </c>
      <c r="B2022" t="s">
        <v>1410</v>
      </c>
      <c r="C2022">
        <f>IFERROR(COUNTIFS($A$1:A2022,"Câu "&amp;"*")-MID(A2022,5,FIND(".",A2022,1)-5),0)</f>
        <v>0</v>
      </c>
      <c r="D2022" t="str">
        <f t="shared" si="118"/>
        <v/>
      </c>
      <c r="E2022" t="str">
        <f>SUBSTITUTE(IF(LEFT(A2022,3)="Câu",MID(A2022,FIND(".",A2022,1)+2,LEN(A2022)),""),CHAR(34),CHAR(92)&amp;CHAR(34))</f>
        <v/>
      </c>
      <c r="F2022" t="str">
        <f t="shared" si="117"/>
        <v/>
      </c>
      <c r="G2022" t="str">
        <f>SUBSTITUTE(B2023,CHAR(34),CHAR(92)&amp;CHAR(34))</f>
        <v xml:space="preserve"> Xe công an đi làm nhiệm vụ khẩn cấp, xe tải, xe khách, xe con.</v>
      </c>
      <c r="H2022" t="str">
        <f>SUBSTITUTE(B2024,CHAR(34),CHAR(92)&amp;CHAR(34))</f>
        <v/>
      </c>
      <c r="I2022" t="str">
        <f>SUBSTITUTE(IF(LEFT(A2025,3)="Câu","",B2025),CHAR(34),CHAR(92)&amp;CHAR(34))</f>
        <v>Xe tải, xe con, xe mô tô.</v>
      </c>
      <c r="J2022" t="str">
        <f>SUBSTITUTE(IF(OR(LEFT(A2026,3)="Câu",I2022=""),"",IF(B2026=0,"",B2026)),CHAR(34),CHAR(92)&amp;CHAR(34))</f>
        <v>Xe con, xe tải, xe mô tô.</v>
      </c>
      <c r="K2022" t="str">
        <f>SUBSTITUTE(SUBSTITUTE(SUBSTITUTE(SUBSTITUTE(IFERROR(VLOOKUP("Câu "&amp;D2022&amp;".",dapan!$E:$J,6,0),""),"1","A"),"2","B"),"3","C"),"4","D")</f>
        <v/>
      </c>
      <c r="P2022" t="str">
        <f t="shared" si="115"/>
        <v/>
      </c>
      <c r="Q2022" t="str">
        <f t="shared" si="116"/>
        <v/>
      </c>
    </row>
    <row r="2023" spans="1:17" hidden="1" x14ac:dyDescent="0.25">
      <c r="A2023">
        <v>4</v>
      </c>
      <c r="B2023" t="s">
        <v>1411</v>
      </c>
      <c r="C2023">
        <f>IFERROR(COUNTIFS($A$1:A2023,"Câu "&amp;"*")-MID(A2023,5,FIND(".",A2023,1)-5),0)</f>
        <v>0</v>
      </c>
      <c r="D2023" t="str">
        <f t="shared" si="118"/>
        <v/>
      </c>
      <c r="E2023" t="str">
        <f>SUBSTITUTE(IF(LEFT(A2023,3)="Câu",MID(A2023,FIND(".",A2023,1)+2,LEN(A2023)),""),CHAR(34),CHAR(92)&amp;CHAR(34))</f>
        <v/>
      </c>
      <c r="F2023" t="str">
        <f t="shared" si="117"/>
        <v/>
      </c>
      <c r="G2023" t="str">
        <f>SUBSTITUTE(B2024,CHAR(34),CHAR(92)&amp;CHAR(34))</f>
        <v/>
      </c>
      <c r="H2023" t="str">
        <f>SUBSTITUTE(B2025,CHAR(34),CHAR(92)&amp;CHAR(34))</f>
        <v>Xe tải, xe con, xe mô tô.</v>
      </c>
      <c r="I2023" t="str">
        <f>SUBSTITUTE(IF(LEFT(A2026,3)="Câu","",B2026),CHAR(34),CHAR(92)&amp;CHAR(34))</f>
        <v>Xe con, xe tải, xe mô tô.</v>
      </c>
      <c r="J2023" t="str">
        <f>SUBSTITUTE(IF(OR(LEFT(A2027,3)="Câu",I2023=""),"",IF(B2027=0,"",B2027)),CHAR(34),CHAR(92)&amp;CHAR(34))</f>
        <v xml:space="preserve"> Xe mô tô, xe con, xe tải.</v>
      </c>
      <c r="K2023" t="str">
        <f>SUBSTITUTE(SUBSTITUTE(SUBSTITUTE(SUBSTITUTE(IFERROR(VLOOKUP("Câu "&amp;D2023&amp;".",dapan!$E:$J,6,0),""),"1","A"),"2","B"),"3","C"),"4","D")</f>
        <v/>
      </c>
      <c r="P2023" t="str">
        <f t="shared" si="115"/>
        <v/>
      </c>
      <c r="Q2023" t="str">
        <f t="shared" si="116"/>
        <v/>
      </c>
    </row>
    <row r="2024" spans="1:17" x14ac:dyDescent="0.25">
      <c r="A2024" t="s">
        <v>1412</v>
      </c>
      <c r="C2024">
        <f>IFERROR(COUNTIFS($A$1:A2024,"Câu "&amp;"*")-MID(A2024,5,FIND(".",A2024,1)-5),0)</f>
        <v>0</v>
      </c>
      <c r="D2024">
        <f t="shared" si="118"/>
        <v>490</v>
      </c>
      <c r="E2024" t="str">
        <f>SUBSTITUTE(IF(LEFT(A2024,3)="Câu",MID(A2024,FIND(".",A2024,1)+2,LEN(A2024)),""),CHAR(34),CHAR(92)&amp;CHAR(34))</f>
        <v>Theo hướng mũi tên, thứ tự các xe đi như thế nào là đúng quy tắc giao thông?</v>
      </c>
      <c r="F2024" t="str">
        <f t="shared" si="117"/>
        <v>q490.jpg</v>
      </c>
      <c r="G2024" t="str">
        <f>SUBSTITUTE(B2025,CHAR(34),CHAR(92)&amp;CHAR(34))</f>
        <v>Xe tải, xe con, xe mô tô.</v>
      </c>
      <c r="H2024" t="str">
        <f>SUBSTITUTE(B2026,CHAR(34),CHAR(92)&amp;CHAR(34))</f>
        <v>Xe con, xe tải, xe mô tô.</v>
      </c>
      <c r="I2024" t="str">
        <f>SUBSTITUTE(IF(LEFT(A2027,3)="Câu","",B2027),CHAR(34),CHAR(92)&amp;CHAR(34))</f>
        <v xml:space="preserve"> Xe mô tô, xe con, xe tải.</v>
      </c>
      <c r="J2024" t="str">
        <f>SUBSTITUTE(IF(OR(LEFT(A2028,3)="Câu",I2024=""),"",IF(B2028=0,"",B2028)),CHAR(34),CHAR(92)&amp;CHAR(34))</f>
        <v>Xe con, xe mô tô, xe tải.</v>
      </c>
      <c r="K2024" t="str">
        <f ca="1">SUBSTITUTE(SUBSTITUTE(SUBSTITUTE(SUBSTITUTE(IFERROR(VLOOKUP("Câu "&amp;D2024&amp;".",dapan!$E:$J,6,0),""),"1","A"),"2","B"),"3","C"),"4","D")</f>
        <v>C</v>
      </c>
      <c r="P2024">
        <f t="shared" si="115"/>
        <v>490</v>
      </c>
      <c r="Q2024" t="str">
        <f t="shared" ca="1" si="116"/>
        <v>{"num":490,"id":490,"q":"Theo hướng mũi tên, thứ tự các xe đi như thế nào là đúng quy tắc giao thông?","img":"q490.jpg","opts":{"A":"Xe tải, xe con, xe mô tô.","B":"Xe con, xe tải, xe mô tô.","C":" Xe mô tô, xe con, xe tải.","D":"Xe con, xe mô tô, xe tải."},"answer":"C"},</v>
      </c>
    </row>
    <row r="2025" spans="1:17" hidden="1" x14ac:dyDescent="0.25">
      <c r="A2025">
        <v>1</v>
      </c>
      <c r="B2025" t="s">
        <v>1413</v>
      </c>
      <c r="C2025">
        <f>IFERROR(COUNTIFS($A$1:A2025,"Câu "&amp;"*")-MID(A2025,5,FIND(".",A2025,1)-5),0)</f>
        <v>0</v>
      </c>
      <c r="D2025" t="str">
        <f t="shared" si="118"/>
        <v/>
      </c>
      <c r="E2025" t="str">
        <f>SUBSTITUTE(IF(LEFT(A2025,3)="Câu",MID(A2025,FIND(".",A2025,1)+2,LEN(A2025)),""),CHAR(34),CHAR(92)&amp;CHAR(34))</f>
        <v/>
      </c>
      <c r="F2025" t="str">
        <f t="shared" si="117"/>
        <v/>
      </c>
      <c r="G2025" t="str">
        <f>SUBSTITUTE(B2026,CHAR(34),CHAR(92)&amp;CHAR(34))</f>
        <v>Xe con, xe tải, xe mô tô.</v>
      </c>
      <c r="H2025" t="str">
        <f>SUBSTITUTE(B2027,CHAR(34),CHAR(92)&amp;CHAR(34))</f>
        <v xml:space="preserve"> Xe mô tô, xe con, xe tải.</v>
      </c>
      <c r="I2025" t="str">
        <f>SUBSTITUTE(IF(LEFT(A2028,3)="Câu","",B2028),CHAR(34),CHAR(92)&amp;CHAR(34))</f>
        <v>Xe con, xe mô tô, xe tải.</v>
      </c>
      <c r="J2025" t="str">
        <f>SUBSTITUTE(IF(OR(LEFT(A2029,3)="Câu",I2025=""),"",IF(B2029=0,"",B2029)),CHAR(34),CHAR(92)&amp;CHAR(34))</f>
        <v/>
      </c>
      <c r="K2025" t="str">
        <f>SUBSTITUTE(SUBSTITUTE(SUBSTITUTE(SUBSTITUTE(IFERROR(VLOOKUP("Câu "&amp;D2025&amp;".",dapan!$E:$J,6,0),""),"1","A"),"2","B"),"3","C"),"4","D")</f>
        <v/>
      </c>
      <c r="P2025" t="str">
        <f t="shared" si="115"/>
        <v/>
      </c>
      <c r="Q2025" t="str">
        <f t="shared" si="116"/>
        <v/>
      </c>
    </row>
    <row r="2026" spans="1:17" hidden="1" x14ac:dyDescent="0.25">
      <c r="A2026">
        <v>2</v>
      </c>
      <c r="B2026" t="s">
        <v>1414</v>
      </c>
      <c r="C2026">
        <f>IFERROR(COUNTIFS($A$1:A2026,"Câu "&amp;"*")-MID(A2026,5,FIND(".",A2026,1)-5),0)</f>
        <v>0</v>
      </c>
      <c r="D2026" t="str">
        <f t="shared" si="118"/>
        <v/>
      </c>
      <c r="E2026" t="str">
        <f>SUBSTITUTE(IF(LEFT(A2026,3)="Câu",MID(A2026,FIND(".",A2026,1)+2,LEN(A2026)),""),CHAR(34),CHAR(92)&amp;CHAR(34))</f>
        <v/>
      </c>
      <c r="F2026" t="str">
        <f t="shared" si="117"/>
        <v/>
      </c>
      <c r="G2026" t="str">
        <f>SUBSTITUTE(B2027,CHAR(34),CHAR(92)&amp;CHAR(34))</f>
        <v xml:space="preserve"> Xe mô tô, xe con, xe tải.</v>
      </c>
      <c r="H2026" t="str">
        <f>SUBSTITUTE(B2028,CHAR(34),CHAR(92)&amp;CHAR(34))</f>
        <v>Xe con, xe mô tô, xe tải.</v>
      </c>
      <c r="I2026" t="str">
        <f>SUBSTITUTE(IF(LEFT(A2029,3)="Câu","",B2029),CHAR(34),CHAR(92)&amp;CHAR(34))</f>
        <v/>
      </c>
      <c r="J2026" t="str">
        <f>SUBSTITUTE(IF(OR(LEFT(A2030,3)="Câu",I2026=""),"",IF(B2030=0,"",B2030)),CHAR(34),CHAR(92)&amp;CHAR(34))</f>
        <v/>
      </c>
      <c r="K2026" t="str">
        <f>SUBSTITUTE(SUBSTITUTE(SUBSTITUTE(SUBSTITUTE(IFERROR(VLOOKUP("Câu "&amp;D2026&amp;".",dapan!$E:$J,6,0),""),"1","A"),"2","B"),"3","C"),"4","D")</f>
        <v/>
      </c>
      <c r="P2026" t="str">
        <f t="shared" si="115"/>
        <v/>
      </c>
      <c r="Q2026" t="str">
        <f t="shared" si="116"/>
        <v/>
      </c>
    </row>
    <row r="2027" spans="1:17" hidden="1" x14ac:dyDescent="0.25">
      <c r="A2027">
        <v>3</v>
      </c>
      <c r="B2027" t="s">
        <v>1415</v>
      </c>
      <c r="C2027">
        <f>IFERROR(COUNTIFS($A$1:A2027,"Câu "&amp;"*")-MID(A2027,5,FIND(".",A2027,1)-5),0)</f>
        <v>0</v>
      </c>
      <c r="D2027" t="str">
        <f t="shared" si="118"/>
        <v/>
      </c>
      <c r="E2027" t="str">
        <f>SUBSTITUTE(IF(LEFT(A2027,3)="Câu",MID(A2027,FIND(".",A2027,1)+2,LEN(A2027)),""),CHAR(34),CHAR(92)&amp;CHAR(34))</f>
        <v/>
      </c>
      <c r="F2027" t="str">
        <f t="shared" si="117"/>
        <v/>
      </c>
      <c r="G2027" t="str">
        <f>SUBSTITUTE(B2028,CHAR(34),CHAR(92)&amp;CHAR(34))</f>
        <v>Xe con, xe mô tô, xe tải.</v>
      </c>
      <c r="H2027" t="str">
        <f>SUBSTITUTE(B2029,CHAR(34),CHAR(92)&amp;CHAR(34))</f>
        <v/>
      </c>
      <c r="I2027" t="str">
        <f>SUBSTITUTE(IF(LEFT(A2030,3)="Câu","",B2030),CHAR(34),CHAR(92)&amp;CHAR(34))</f>
        <v xml:space="preserve"> Xe con.</v>
      </c>
      <c r="J2027" t="str">
        <f>SUBSTITUTE(IF(OR(LEFT(A2031,3)="Câu",I2027=""),"",IF(B2031=0,"",B2031)),CHAR(34),CHAR(92)&amp;CHAR(34))</f>
        <v>Xe tải.</v>
      </c>
      <c r="K2027" t="str">
        <f>SUBSTITUTE(SUBSTITUTE(SUBSTITUTE(SUBSTITUTE(IFERROR(VLOOKUP("Câu "&amp;D2027&amp;".",dapan!$E:$J,6,0),""),"1","A"),"2","B"),"3","C"),"4","D")</f>
        <v/>
      </c>
      <c r="P2027" t="str">
        <f t="shared" si="115"/>
        <v/>
      </c>
      <c r="Q2027" t="str">
        <f t="shared" si="116"/>
        <v/>
      </c>
    </row>
    <row r="2028" spans="1:17" hidden="1" x14ac:dyDescent="0.25">
      <c r="A2028">
        <v>4</v>
      </c>
      <c r="B2028" t="s">
        <v>1416</v>
      </c>
      <c r="C2028">
        <f>IFERROR(COUNTIFS($A$1:A2028,"Câu "&amp;"*")-MID(A2028,5,FIND(".",A2028,1)-5),0)</f>
        <v>0</v>
      </c>
      <c r="D2028" t="str">
        <f t="shared" si="118"/>
        <v/>
      </c>
      <c r="E2028" t="str">
        <f>SUBSTITUTE(IF(LEFT(A2028,3)="Câu",MID(A2028,FIND(".",A2028,1)+2,LEN(A2028)),""),CHAR(34),CHAR(92)&amp;CHAR(34))</f>
        <v/>
      </c>
      <c r="F2028" t="str">
        <f t="shared" si="117"/>
        <v/>
      </c>
      <c r="G2028" t="str">
        <f>SUBSTITUTE(B2029,CHAR(34),CHAR(92)&amp;CHAR(34))</f>
        <v/>
      </c>
      <c r="H2028" t="str">
        <f>SUBSTITUTE(B2030,CHAR(34),CHAR(92)&amp;CHAR(34))</f>
        <v xml:space="preserve"> Xe con.</v>
      </c>
      <c r="I2028" t="str">
        <f>SUBSTITUTE(IF(LEFT(A2031,3)="Câu","",B2031),CHAR(34),CHAR(92)&amp;CHAR(34))</f>
        <v>Xe tải.</v>
      </c>
      <c r="J2028" t="str">
        <f>SUBSTITUTE(IF(OR(LEFT(A2032,3)="Câu",I2028=""),"",IF(B2032=0,"",B2032)),CHAR(34),CHAR(92)&amp;CHAR(34))</f>
        <v/>
      </c>
      <c r="K2028" t="str">
        <f>SUBSTITUTE(SUBSTITUTE(SUBSTITUTE(SUBSTITUTE(IFERROR(VLOOKUP("Câu "&amp;D2028&amp;".",dapan!$E:$J,6,0),""),"1","A"),"2","B"),"3","C"),"4","D")</f>
        <v/>
      </c>
      <c r="P2028" t="str">
        <f t="shared" si="115"/>
        <v/>
      </c>
      <c r="Q2028" t="str">
        <f t="shared" si="116"/>
        <v/>
      </c>
    </row>
    <row r="2029" spans="1:17" x14ac:dyDescent="0.25">
      <c r="A2029" t="s">
        <v>1417</v>
      </c>
      <c r="C2029">
        <f>IFERROR(COUNTIFS($A$1:A2029,"Câu "&amp;"*")-MID(A2029,5,FIND(".",A2029,1)-5),0)</f>
        <v>0</v>
      </c>
      <c r="D2029">
        <f t="shared" si="118"/>
        <v>491</v>
      </c>
      <c r="E2029" t="str">
        <f>SUBSTITUTE(IF(LEFT(A2029,3)="Câu",MID(A2029,FIND(".",A2029,1)+2,LEN(A2029)),""),CHAR(34),CHAR(92)&amp;CHAR(34))</f>
        <v>Xe nào phải nhường đường trong trường hợp này?</v>
      </c>
      <c r="F2029" t="str">
        <f t="shared" si="117"/>
        <v>q491.jpg</v>
      </c>
      <c r="G2029" t="str">
        <f>SUBSTITUTE(B2030,CHAR(34),CHAR(92)&amp;CHAR(34))</f>
        <v xml:space="preserve"> Xe con.</v>
      </c>
      <c r="H2029" t="str">
        <f>SUBSTITUTE(B2031,CHAR(34),CHAR(92)&amp;CHAR(34))</f>
        <v>Xe tải.</v>
      </c>
      <c r="I2029" t="str">
        <f>SUBSTITUTE(IF(LEFT(A2032,3)="Câu","",B2032),CHAR(34),CHAR(92)&amp;CHAR(34))</f>
        <v/>
      </c>
      <c r="J2029" t="str">
        <f>SUBSTITUTE(IF(OR(LEFT(A2033,3)="Câu",I2029=""),"",IF(B2033=0,"",B2033)),CHAR(34),CHAR(92)&amp;CHAR(34))</f>
        <v/>
      </c>
      <c r="K2029" t="str">
        <f ca="1">SUBSTITUTE(SUBSTITUTE(SUBSTITUTE(SUBSTITUTE(IFERROR(VLOOKUP("Câu "&amp;D2029&amp;".",dapan!$E:$J,6,0),""),"1","A"),"2","B"),"3","C"),"4","D")</f>
        <v>A</v>
      </c>
      <c r="P2029">
        <f t="shared" si="115"/>
        <v>491</v>
      </c>
      <c r="Q2029" t="str">
        <f t="shared" ca="1" si="116"/>
        <v>{"num":491,"id":491,"q":"Xe nào phải nhường đường trong trường hợp này?","img":"q491.jpg","opts":{"A":" Xe con.","B":"Xe tải."},"answer":"A"},</v>
      </c>
    </row>
    <row r="2030" spans="1:17" hidden="1" x14ac:dyDescent="0.25">
      <c r="A2030">
        <v>1</v>
      </c>
      <c r="B2030" t="s">
        <v>1418</v>
      </c>
      <c r="C2030">
        <f>IFERROR(COUNTIFS($A$1:A2030,"Câu "&amp;"*")-MID(A2030,5,FIND(".",A2030,1)-5),0)</f>
        <v>0</v>
      </c>
      <c r="D2030" t="str">
        <f t="shared" si="118"/>
        <v/>
      </c>
      <c r="E2030" t="str">
        <f>SUBSTITUTE(IF(LEFT(A2030,3)="Câu",MID(A2030,FIND(".",A2030,1)+2,LEN(A2030)),""),CHAR(34),CHAR(92)&amp;CHAR(34))</f>
        <v/>
      </c>
      <c r="F2030" t="str">
        <f t="shared" si="117"/>
        <v/>
      </c>
      <c r="G2030" t="str">
        <f>SUBSTITUTE(B2031,CHAR(34),CHAR(92)&amp;CHAR(34))</f>
        <v>Xe tải.</v>
      </c>
      <c r="H2030" t="str">
        <f>SUBSTITUTE(B2032,CHAR(34),CHAR(92)&amp;CHAR(34))</f>
        <v/>
      </c>
      <c r="I2030" t="str">
        <f>SUBSTITUTE(IF(LEFT(A2033,3)="Câu","",B2033),CHAR(34),CHAR(92)&amp;CHAR(34))</f>
        <v>Xe mô tô.</v>
      </c>
      <c r="J2030" t="str">
        <f>SUBSTITUTE(IF(OR(LEFT(A2034,3)="Câu",I2030=""),"",IF(B2034=0,"",B2034)),CHAR(34),CHAR(92)&amp;CHAR(34))</f>
        <v xml:space="preserve"> Xe con.</v>
      </c>
      <c r="K2030" t="str">
        <f>SUBSTITUTE(SUBSTITUTE(SUBSTITUTE(SUBSTITUTE(IFERROR(VLOOKUP("Câu "&amp;D2030&amp;".",dapan!$E:$J,6,0),""),"1","A"),"2","B"),"3","C"),"4","D")</f>
        <v/>
      </c>
      <c r="P2030" t="str">
        <f t="shared" si="115"/>
        <v/>
      </c>
      <c r="Q2030" t="str">
        <f t="shared" si="116"/>
        <v/>
      </c>
    </row>
    <row r="2031" spans="1:17" hidden="1" x14ac:dyDescent="0.25">
      <c r="A2031">
        <v>2</v>
      </c>
      <c r="B2031" t="s">
        <v>1419</v>
      </c>
      <c r="C2031">
        <f>IFERROR(COUNTIFS($A$1:A2031,"Câu "&amp;"*")-MID(A2031,5,FIND(".",A2031,1)-5),0)</f>
        <v>0</v>
      </c>
      <c r="D2031" t="str">
        <f t="shared" si="118"/>
        <v/>
      </c>
      <c r="E2031" t="str">
        <f>SUBSTITUTE(IF(LEFT(A2031,3)="Câu",MID(A2031,FIND(".",A2031,1)+2,LEN(A2031)),""),CHAR(34),CHAR(92)&amp;CHAR(34))</f>
        <v/>
      </c>
      <c r="F2031" t="str">
        <f t="shared" si="117"/>
        <v/>
      </c>
      <c r="G2031" t="str">
        <f>SUBSTITUTE(B2032,CHAR(34),CHAR(92)&amp;CHAR(34))</f>
        <v/>
      </c>
      <c r="H2031" t="str">
        <f>SUBSTITUTE(B2033,CHAR(34),CHAR(92)&amp;CHAR(34))</f>
        <v>Xe mô tô.</v>
      </c>
      <c r="I2031" t="str">
        <f>SUBSTITUTE(IF(LEFT(A2034,3)="Câu","",B2034),CHAR(34),CHAR(92)&amp;CHAR(34))</f>
        <v xml:space="preserve"> Xe con.</v>
      </c>
      <c r="J2031" t="str">
        <f>SUBSTITUTE(IF(OR(LEFT(A2035,3)="Câu",I2031=""),"",IF(B2035=0,"",B2035)),CHAR(34),CHAR(92)&amp;CHAR(34))</f>
        <v/>
      </c>
      <c r="K2031" t="str">
        <f>SUBSTITUTE(SUBSTITUTE(SUBSTITUTE(SUBSTITUTE(IFERROR(VLOOKUP("Câu "&amp;D2031&amp;".",dapan!$E:$J,6,0),""),"1","A"),"2","B"),"3","C"),"4","D")</f>
        <v/>
      </c>
      <c r="P2031" t="str">
        <f t="shared" si="115"/>
        <v/>
      </c>
      <c r="Q2031" t="str">
        <f t="shared" si="116"/>
        <v/>
      </c>
    </row>
    <row r="2032" spans="1:17" x14ac:dyDescent="0.25">
      <c r="A2032" t="s">
        <v>1420</v>
      </c>
      <c r="C2032">
        <f>IFERROR(COUNTIFS($A$1:A2032,"Câu "&amp;"*")-MID(A2032,5,FIND(".",A2032,1)-5),0)</f>
        <v>0</v>
      </c>
      <c r="D2032">
        <f t="shared" si="118"/>
        <v>492</v>
      </c>
      <c r="E2032" t="str">
        <f>SUBSTITUTE(IF(LEFT(A2032,3)="Câu",MID(A2032,FIND(".",A2032,1)+2,LEN(A2032)),""),CHAR(34),CHAR(92)&amp;CHAR(34))</f>
        <v>Trường hợp này xe nào được quyền đi trước?</v>
      </c>
      <c r="F2032" t="str">
        <f t="shared" si="117"/>
        <v>q492.jpg</v>
      </c>
      <c r="G2032" t="str">
        <f>SUBSTITUTE(B2033,CHAR(34),CHAR(92)&amp;CHAR(34))</f>
        <v>Xe mô tô.</v>
      </c>
      <c r="H2032" t="str">
        <f>SUBSTITUTE(B2034,CHAR(34),CHAR(92)&amp;CHAR(34))</f>
        <v xml:space="preserve"> Xe con.</v>
      </c>
      <c r="I2032" t="str">
        <f>SUBSTITUTE(IF(LEFT(A2035,3)="Câu","",B2035),CHAR(34),CHAR(92)&amp;CHAR(34))</f>
        <v/>
      </c>
      <c r="J2032" t="str">
        <f>SUBSTITUTE(IF(OR(LEFT(A2036,3)="Câu",I2032=""),"",IF(B2036=0,"",B2036)),CHAR(34),CHAR(92)&amp;CHAR(34))</f>
        <v/>
      </c>
      <c r="K2032" t="str">
        <f ca="1">SUBSTITUTE(SUBSTITUTE(SUBSTITUTE(SUBSTITUTE(IFERROR(VLOOKUP("Câu "&amp;D2032&amp;".",dapan!$E:$J,6,0),""),"1","A"),"2","B"),"3","C"),"4","D")</f>
        <v>B</v>
      </c>
      <c r="P2032">
        <f t="shared" si="115"/>
        <v>492</v>
      </c>
      <c r="Q2032" t="str">
        <f t="shared" ca="1" si="116"/>
        <v>{"num":492,"id":492,"q":"Trường hợp này xe nào được quyền đi trước?","img":"q492.jpg","opts":{"A":"Xe mô tô.","B":" Xe con."},"answer":"B"},</v>
      </c>
    </row>
    <row r="2033" spans="1:17" hidden="1" x14ac:dyDescent="0.25">
      <c r="A2033">
        <v>1</v>
      </c>
      <c r="B2033" t="s">
        <v>1421</v>
      </c>
      <c r="C2033">
        <f>IFERROR(COUNTIFS($A$1:A2033,"Câu "&amp;"*")-MID(A2033,5,FIND(".",A2033,1)-5),0)</f>
        <v>0</v>
      </c>
      <c r="D2033" t="str">
        <f t="shared" si="118"/>
        <v/>
      </c>
      <c r="E2033" t="str">
        <f>SUBSTITUTE(IF(LEFT(A2033,3)="Câu",MID(A2033,FIND(".",A2033,1)+2,LEN(A2033)),""),CHAR(34),CHAR(92)&amp;CHAR(34))</f>
        <v/>
      </c>
      <c r="F2033" t="str">
        <f t="shared" si="117"/>
        <v/>
      </c>
      <c r="G2033" t="str">
        <f>SUBSTITUTE(B2034,CHAR(34),CHAR(92)&amp;CHAR(34))</f>
        <v xml:space="preserve"> Xe con.</v>
      </c>
      <c r="H2033" t="str">
        <f>SUBSTITUTE(B2035,CHAR(34),CHAR(92)&amp;CHAR(34))</f>
        <v/>
      </c>
      <c r="I2033" t="str">
        <f>SUBSTITUTE(IF(LEFT(A2036,3)="Câu","",B2036),CHAR(34),CHAR(92)&amp;CHAR(34))</f>
        <v xml:space="preserve"> Xe con (A), xe cứu thương đi làm nhiệm vụ cấp cứu, xe con (B).</v>
      </c>
      <c r="J2033" t="str">
        <f>SUBSTITUTE(IF(OR(LEFT(A2037,3)="Câu",I2033=""),"",IF(B2037=0,"",B2037)),CHAR(34),CHAR(92)&amp;CHAR(34))</f>
        <v>Xe cứu thương đi làm nhiệm vụ cấp cứu, xe con (B), xe con (A).</v>
      </c>
      <c r="K2033" t="str">
        <f>SUBSTITUTE(SUBSTITUTE(SUBSTITUTE(SUBSTITUTE(IFERROR(VLOOKUP("Câu "&amp;D2033&amp;".",dapan!$E:$J,6,0),""),"1","A"),"2","B"),"3","C"),"4","D")</f>
        <v/>
      </c>
      <c r="P2033" t="str">
        <f t="shared" si="115"/>
        <v/>
      </c>
      <c r="Q2033" t="str">
        <f t="shared" si="116"/>
        <v/>
      </c>
    </row>
    <row r="2034" spans="1:17" hidden="1" x14ac:dyDescent="0.25">
      <c r="A2034">
        <v>2</v>
      </c>
      <c r="B2034" t="s">
        <v>1418</v>
      </c>
      <c r="C2034">
        <f>IFERROR(COUNTIFS($A$1:A2034,"Câu "&amp;"*")-MID(A2034,5,FIND(".",A2034,1)-5),0)</f>
        <v>0</v>
      </c>
      <c r="D2034" t="str">
        <f t="shared" si="118"/>
        <v/>
      </c>
      <c r="E2034" t="str">
        <f>SUBSTITUTE(IF(LEFT(A2034,3)="Câu",MID(A2034,FIND(".",A2034,1)+2,LEN(A2034)),""),CHAR(34),CHAR(92)&amp;CHAR(34))</f>
        <v/>
      </c>
      <c r="F2034" t="str">
        <f t="shared" si="117"/>
        <v/>
      </c>
      <c r="G2034" t="str">
        <f>SUBSTITUTE(B2035,CHAR(34),CHAR(92)&amp;CHAR(34))</f>
        <v/>
      </c>
      <c r="H2034" t="str">
        <f>SUBSTITUTE(B2036,CHAR(34),CHAR(92)&amp;CHAR(34))</f>
        <v xml:space="preserve"> Xe con (A), xe cứu thương đi làm nhiệm vụ cấp cứu, xe con (B).</v>
      </c>
      <c r="I2034" t="str">
        <f>SUBSTITUTE(IF(LEFT(A2037,3)="Câu","",B2037),CHAR(34),CHAR(92)&amp;CHAR(34))</f>
        <v>Xe cứu thương đi làm nhiệm vụ cấp cứu, xe con (B), xe con (A).</v>
      </c>
      <c r="J2034" t="str">
        <f>SUBSTITUTE(IF(OR(LEFT(A2038,3)="Câu",I2034=""),"",IF(B2038=0,"",B2038)),CHAR(34),CHAR(92)&amp;CHAR(34))</f>
        <v>Xe con (B), xe con (A), xe cứu thương đi làm nhiệm vụ cấp cứu.</v>
      </c>
      <c r="K2034" t="str">
        <f>SUBSTITUTE(SUBSTITUTE(SUBSTITUTE(SUBSTITUTE(IFERROR(VLOOKUP("Câu "&amp;D2034&amp;".",dapan!$E:$J,6,0),""),"1","A"),"2","B"),"3","C"),"4","D")</f>
        <v/>
      </c>
      <c r="P2034" t="str">
        <f t="shared" si="115"/>
        <v/>
      </c>
      <c r="Q2034" t="str">
        <f t="shared" si="116"/>
        <v/>
      </c>
    </row>
    <row r="2035" spans="1:17" x14ac:dyDescent="0.25">
      <c r="A2035" t="s">
        <v>1422</v>
      </c>
      <c r="C2035">
        <f>IFERROR(COUNTIFS($A$1:A2035,"Câu "&amp;"*")-MID(A2035,5,FIND(".",A2035,1)-5),0)</f>
        <v>0</v>
      </c>
      <c r="D2035">
        <f t="shared" si="118"/>
        <v>493</v>
      </c>
      <c r="E2035" t="str">
        <f>SUBSTITUTE(IF(LEFT(A2035,3)="Câu",MID(A2035,FIND(".",A2035,1)+2,LEN(A2035)),""),CHAR(34),CHAR(92)&amp;CHAR(34))</f>
        <v>Thứ tự các xe đi như thế nào là đúng quy tắc giao thông?</v>
      </c>
      <c r="F2035" t="str">
        <f t="shared" si="117"/>
        <v>q493.jpg</v>
      </c>
      <c r="G2035" t="str">
        <f>SUBSTITUTE(B2036,CHAR(34),CHAR(92)&amp;CHAR(34))</f>
        <v xml:space="preserve"> Xe con (A), xe cứu thương đi làm nhiệm vụ cấp cứu, xe con (B).</v>
      </c>
      <c r="H2035" t="str">
        <f>SUBSTITUTE(B2037,CHAR(34),CHAR(92)&amp;CHAR(34))</f>
        <v>Xe cứu thương đi làm nhiệm vụ cấp cứu, xe con (B), xe con (A).</v>
      </c>
      <c r="I2035" t="str">
        <f>SUBSTITUTE(IF(LEFT(A2038,3)="Câu","",B2038),CHAR(34),CHAR(92)&amp;CHAR(34))</f>
        <v>Xe con (B), xe con (A), xe cứu thương đi làm nhiệm vụ cấp cứu.</v>
      </c>
      <c r="J2035" t="str">
        <f>SUBSTITUTE(IF(OR(LEFT(A2039,3)="Câu",I2035=""),"",IF(B2039=0,"",B2039)),CHAR(34),CHAR(92)&amp;CHAR(34))</f>
        <v/>
      </c>
      <c r="K2035" t="str">
        <f ca="1">SUBSTITUTE(SUBSTITUTE(SUBSTITUTE(SUBSTITUTE(IFERROR(VLOOKUP("Câu "&amp;D2035&amp;".",dapan!$E:$J,6,0),""),"1","A"),"2","B"),"3","C"),"4","D")</f>
        <v>A</v>
      </c>
      <c r="P2035">
        <f t="shared" si="115"/>
        <v>493</v>
      </c>
      <c r="Q2035" t="str">
        <f t="shared" ca="1" si="116"/>
        <v>{"num":493,"id":493,"q":"Thứ tự các xe đi như thế nào là đúng quy tắc giao thông?","img":"q493.jpg","opts":{"A":" Xe con (A), xe cứu thương đi làm nhiệm vụ cấp cứu, xe con (B).","B":"Xe cứu thương đi làm nhiệm vụ cấp cứu, xe con (B), xe con (A).","C":"Xe con (B), xe con (A), xe cứu thương đi làm nhiệm vụ cấp cứu."},"answer":"A"},</v>
      </c>
    </row>
    <row r="2036" spans="1:17" hidden="1" x14ac:dyDescent="0.25">
      <c r="A2036">
        <v>1</v>
      </c>
      <c r="B2036" t="s">
        <v>1423</v>
      </c>
      <c r="C2036">
        <f>IFERROR(COUNTIFS($A$1:A2036,"Câu "&amp;"*")-MID(A2036,5,FIND(".",A2036,1)-5),0)</f>
        <v>0</v>
      </c>
      <c r="D2036" t="str">
        <f t="shared" si="118"/>
        <v/>
      </c>
      <c r="E2036" t="str">
        <f>SUBSTITUTE(IF(LEFT(A2036,3)="Câu",MID(A2036,FIND(".",A2036,1)+2,LEN(A2036)),""),CHAR(34),CHAR(92)&amp;CHAR(34))</f>
        <v/>
      </c>
      <c r="F2036" t="str">
        <f t="shared" si="117"/>
        <v/>
      </c>
      <c r="G2036" t="str">
        <f>SUBSTITUTE(B2037,CHAR(34),CHAR(92)&amp;CHAR(34))</f>
        <v>Xe cứu thương đi làm nhiệm vụ cấp cứu, xe con (B), xe con (A).</v>
      </c>
      <c r="H2036" t="str">
        <f>SUBSTITUTE(B2038,CHAR(34),CHAR(92)&amp;CHAR(34))</f>
        <v>Xe con (B), xe con (A), xe cứu thương đi làm nhiệm vụ cấp cứu.</v>
      </c>
      <c r="I2036" t="str">
        <f>SUBSTITUTE(IF(LEFT(A2039,3)="Câu","",B2039),CHAR(34),CHAR(92)&amp;CHAR(34))</f>
        <v/>
      </c>
      <c r="J2036" t="str">
        <f>SUBSTITUTE(IF(OR(LEFT(A2040,3)="Câu",I2036=""),"",IF(B2040=0,"",B2040)),CHAR(34),CHAR(92)&amp;CHAR(34))</f>
        <v/>
      </c>
      <c r="K2036" t="str">
        <f>SUBSTITUTE(SUBSTITUTE(SUBSTITUTE(SUBSTITUTE(IFERROR(VLOOKUP("Câu "&amp;D2036&amp;".",dapan!$E:$J,6,0),""),"1","A"),"2","B"),"3","C"),"4","D")</f>
        <v/>
      </c>
      <c r="P2036" t="str">
        <f t="shared" si="115"/>
        <v/>
      </c>
      <c r="Q2036" t="str">
        <f t="shared" si="116"/>
        <v/>
      </c>
    </row>
    <row r="2037" spans="1:17" hidden="1" x14ac:dyDescent="0.25">
      <c r="A2037">
        <v>2</v>
      </c>
      <c r="B2037" t="s">
        <v>1424</v>
      </c>
      <c r="C2037">
        <f>IFERROR(COUNTIFS($A$1:A2037,"Câu "&amp;"*")-MID(A2037,5,FIND(".",A2037,1)-5),0)</f>
        <v>0</v>
      </c>
      <c r="D2037" t="str">
        <f t="shared" si="118"/>
        <v/>
      </c>
      <c r="E2037" t="str">
        <f>SUBSTITUTE(IF(LEFT(A2037,3)="Câu",MID(A2037,FIND(".",A2037,1)+2,LEN(A2037)),""),CHAR(34),CHAR(92)&amp;CHAR(34))</f>
        <v/>
      </c>
      <c r="F2037" t="str">
        <f t="shared" si="117"/>
        <v/>
      </c>
      <c r="G2037" t="str">
        <f>SUBSTITUTE(B2038,CHAR(34),CHAR(92)&amp;CHAR(34))</f>
        <v>Xe con (B), xe con (A), xe cứu thương đi làm nhiệm vụ cấp cứu.</v>
      </c>
      <c r="H2037" t="str">
        <f>SUBSTITUTE(B2039,CHAR(34),CHAR(92)&amp;CHAR(34))</f>
        <v/>
      </c>
      <c r="I2037" t="str">
        <f>SUBSTITUTE(IF(LEFT(A2040,3)="Câu","",B2040),CHAR(34),CHAR(92)&amp;CHAR(34))</f>
        <v>Xe cứu thương đi làm nhiệm vụ cấp cứu, xe chữa cháy đi làm nhiệm vụ chữa cháy, xe con.</v>
      </c>
      <c r="J2037" t="str">
        <f>SUBSTITUTE(IF(OR(LEFT(A2041,3)="Câu",I2037=""),"",IF(B2041=0,"",B2041)),CHAR(34),CHAR(92)&amp;CHAR(34))</f>
        <v xml:space="preserve"> Xe chữa cháy đi làm nhiệm vụ chữa cháy, xe cứu thương đi làm nhiệm vụ cấp cứu, xe con.</v>
      </c>
      <c r="K2037" t="str">
        <f>SUBSTITUTE(SUBSTITUTE(SUBSTITUTE(SUBSTITUTE(IFERROR(VLOOKUP("Câu "&amp;D2037&amp;".",dapan!$E:$J,6,0),""),"1","A"),"2","B"),"3","C"),"4","D")</f>
        <v/>
      </c>
      <c r="P2037" t="str">
        <f t="shared" si="115"/>
        <v/>
      </c>
      <c r="Q2037" t="str">
        <f t="shared" si="116"/>
        <v/>
      </c>
    </row>
    <row r="2038" spans="1:17" hidden="1" x14ac:dyDescent="0.25">
      <c r="A2038">
        <v>3</v>
      </c>
      <c r="B2038" t="s">
        <v>1425</v>
      </c>
      <c r="C2038">
        <f>IFERROR(COUNTIFS($A$1:A2038,"Câu "&amp;"*")-MID(A2038,5,FIND(".",A2038,1)-5),0)</f>
        <v>0</v>
      </c>
      <c r="D2038" t="str">
        <f t="shared" si="118"/>
        <v/>
      </c>
      <c r="E2038" t="str">
        <f>SUBSTITUTE(IF(LEFT(A2038,3)="Câu",MID(A2038,FIND(".",A2038,1)+2,LEN(A2038)),""),CHAR(34),CHAR(92)&amp;CHAR(34))</f>
        <v/>
      </c>
      <c r="F2038" t="str">
        <f t="shared" si="117"/>
        <v/>
      </c>
      <c r="G2038" t="str">
        <f>SUBSTITUTE(B2039,CHAR(34),CHAR(92)&amp;CHAR(34))</f>
        <v/>
      </c>
      <c r="H2038" t="str">
        <f>SUBSTITUTE(B2040,CHAR(34),CHAR(92)&amp;CHAR(34))</f>
        <v>Xe cứu thương đi làm nhiệm vụ cấp cứu, xe chữa cháy đi làm nhiệm vụ chữa cháy, xe con.</v>
      </c>
      <c r="I2038" t="str">
        <f>SUBSTITUTE(IF(LEFT(A2041,3)="Câu","",B2041),CHAR(34),CHAR(92)&amp;CHAR(34))</f>
        <v xml:space="preserve"> Xe chữa cháy đi làm nhiệm vụ chữa cháy, xe cứu thương đi làm nhiệm vụ cấp cứu, xe con.</v>
      </c>
      <c r="J2038" t="str">
        <f>SUBSTITUTE(IF(OR(LEFT(A2042,3)="Câu",I2038=""),"",IF(B2042=0,"",B2042)),CHAR(34),CHAR(92)&amp;CHAR(34))</f>
        <v>Xe cứu thương đi làm nhiệm vụ cấp cứu, xe con, xe chữa cháy đi làm nhiệm vụ chữa cháy.</v>
      </c>
      <c r="K2038" t="str">
        <f>SUBSTITUTE(SUBSTITUTE(SUBSTITUTE(SUBSTITUTE(IFERROR(VLOOKUP("Câu "&amp;D2038&amp;".",dapan!$E:$J,6,0),""),"1","A"),"2","B"),"3","C"),"4","D")</f>
        <v/>
      </c>
      <c r="P2038" t="str">
        <f t="shared" si="115"/>
        <v/>
      </c>
      <c r="Q2038" t="str">
        <f t="shared" si="116"/>
        <v/>
      </c>
    </row>
    <row r="2039" spans="1:17" x14ac:dyDescent="0.25">
      <c r="A2039" t="s">
        <v>1426</v>
      </c>
      <c r="C2039">
        <f>IFERROR(COUNTIFS($A$1:A2039,"Câu "&amp;"*")-MID(A2039,5,FIND(".",A2039,1)-5),0)</f>
        <v>0</v>
      </c>
      <c r="D2039">
        <f t="shared" si="118"/>
        <v>494</v>
      </c>
      <c r="E2039" t="str">
        <f>SUBSTITUTE(IF(LEFT(A2039,3)="Câu",MID(A2039,FIND(".",A2039,1)+2,LEN(A2039)),""),CHAR(34),CHAR(92)&amp;CHAR(34))</f>
        <v>Thứ tự các xe đi như thế nào là đúng quy tắc giao thông?</v>
      </c>
      <c r="F2039" t="str">
        <f t="shared" si="117"/>
        <v>q494.jpg</v>
      </c>
      <c r="G2039" t="str">
        <f>SUBSTITUTE(B2040,CHAR(34),CHAR(92)&amp;CHAR(34))</f>
        <v>Xe cứu thương đi làm nhiệm vụ cấp cứu, xe chữa cháy đi làm nhiệm vụ chữa cháy, xe con.</v>
      </c>
      <c r="H2039" t="str">
        <f>SUBSTITUTE(B2041,CHAR(34),CHAR(92)&amp;CHAR(34))</f>
        <v xml:space="preserve"> Xe chữa cháy đi làm nhiệm vụ chữa cháy, xe cứu thương đi làm nhiệm vụ cấp cứu, xe con.</v>
      </c>
      <c r="I2039" t="str">
        <f>SUBSTITUTE(IF(LEFT(A2042,3)="Câu","",B2042),CHAR(34),CHAR(92)&amp;CHAR(34))</f>
        <v>Xe cứu thương đi làm nhiệm vụ cấp cứu, xe con, xe chữa cháy đi làm nhiệm vụ chữa cháy.</v>
      </c>
      <c r="J2039" t="str">
        <f>SUBSTITUTE(IF(OR(LEFT(A2043,3)="Câu",I2039=""),"",IF(B2043=0,"",B2043)),CHAR(34),CHAR(92)&amp;CHAR(34))</f>
        <v/>
      </c>
      <c r="K2039" t="str">
        <f ca="1">SUBSTITUTE(SUBSTITUTE(SUBSTITUTE(SUBSTITUTE(IFERROR(VLOOKUP("Câu "&amp;D2039&amp;".",dapan!$E:$J,6,0),""),"1","A"),"2","B"),"3","C"),"4","D")</f>
        <v>B</v>
      </c>
      <c r="P2039">
        <f t="shared" si="115"/>
        <v>494</v>
      </c>
      <c r="Q2039" t="str">
        <f t="shared" ca="1" si="116"/>
        <v>{"num":494,"id":494,"q":"Thứ tự các xe đi như thế nào là đúng quy tắc giao thông?","img":"q494.jpg","opts":{"A":"Xe cứu thương đi làm nhiệm vụ cấp cứu, xe chữa cháy đi làm nhiệm vụ chữa cháy, xe con.","B":" Xe chữa cháy đi làm nhiệm vụ chữa cháy, xe cứu thương đi làm nhiệm vụ cấp cứu, xe con.","C":"Xe cứu thương đi làm nhiệm vụ cấp cứu, xe con, xe chữa cháy đi làm nhiệm vụ chữa cháy."},"answer":"B"},</v>
      </c>
    </row>
    <row r="2040" spans="1:17" hidden="1" x14ac:dyDescent="0.25">
      <c r="A2040">
        <v>1</v>
      </c>
      <c r="B2040" t="s">
        <v>1427</v>
      </c>
      <c r="C2040">
        <f>IFERROR(COUNTIFS($A$1:A2040,"Câu "&amp;"*")-MID(A2040,5,FIND(".",A2040,1)-5),0)</f>
        <v>0</v>
      </c>
      <c r="D2040" t="str">
        <f t="shared" si="118"/>
        <v/>
      </c>
      <c r="E2040" t="str">
        <f>SUBSTITUTE(IF(LEFT(A2040,3)="Câu",MID(A2040,FIND(".",A2040,1)+2,LEN(A2040)),""),CHAR(34),CHAR(92)&amp;CHAR(34))</f>
        <v/>
      </c>
      <c r="F2040" t="str">
        <f t="shared" si="117"/>
        <v/>
      </c>
      <c r="G2040" t="str">
        <f>SUBSTITUTE(B2041,CHAR(34),CHAR(92)&amp;CHAR(34))</f>
        <v xml:space="preserve"> Xe chữa cháy đi làm nhiệm vụ chữa cháy, xe cứu thương đi làm nhiệm vụ cấp cứu, xe con.</v>
      </c>
      <c r="H2040" t="str">
        <f>SUBSTITUTE(B2042,CHAR(34),CHAR(92)&amp;CHAR(34))</f>
        <v>Xe cứu thương đi làm nhiệm vụ cấp cứu, xe con, xe chữa cháy đi làm nhiệm vụ chữa cháy.</v>
      </c>
      <c r="I2040" t="str">
        <f>SUBSTITUTE(IF(LEFT(A2043,3)="Câu","",B2043),CHAR(34),CHAR(92)&amp;CHAR(34))</f>
        <v/>
      </c>
      <c r="J2040" t="str">
        <f>SUBSTITUTE(IF(OR(LEFT(A2044,3)="Câu",I2040=""),"",IF(B2044=0,"",B2044)),CHAR(34),CHAR(92)&amp;CHAR(34))</f>
        <v/>
      </c>
      <c r="K2040" t="str">
        <f>SUBSTITUTE(SUBSTITUTE(SUBSTITUTE(SUBSTITUTE(IFERROR(VLOOKUP("Câu "&amp;D2040&amp;".",dapan!$E:$J,6,0),""),"1","A"),"2","B"),"3","C"),"4","D")</f>
        <v/>
      </c>
      <c r="P2040" t="str">
        <f t="shared" si="115"/>
        <v/>
      </c>
      <c r="Q2040" t="str">
        <f t="shared" si="116"/>
        <v/>
      </c>
    </row>
    <row r="2041" spans="1:17" hidden="1" x14ac:dyDescent="0.25">
      <c r="A2041">
        <v>2</v>
      </c>
      <c r="B2041" t="s">
        <v>1428</v>
      </c>
      <c r="C2041">
        <f>IFERROR(COUNTIFS($A$1:A2041,"Câu "&amp;"*")-MID(A2041,5,FIND(".",A2041,1)-5),0)</f>
        <v>0</v>
      </c>
      <c r="D2041" t="str">
        <f t="shared" si="118"/>
        <v/>
      </c>
      <c r="E2041" t="str">
        <f>SUBSTITUTE(IF(LEFT(A2041,3)="Câu",MID(A2041,FIND(".",A2041,1)+2,LEN(A2041)),""),CHAR(34),CHAR(92)&amp;CHAR(34))</f>
        <v/>
      </c>
      <c r="F2041" t="str">
        <f t="shared" si="117"/>
        <v/>
      </c>
      <c r="G2041" t="str">
        <f>SUBSTITUTE(B2042,CHAR(34),CHAR(92)&amp;CHAR(34))</f>
        <v>Xe cứu thương đi làm nhiệm vụ cấp cứu, xe con, xe chữa cháy đi làm nhiệm vụ chữa cháy.</v>
      </c>
      <c r="H2041" t="str">
        <f>SUBSTITUTE(B2043,CHAR(34),CHAR(92)&amp;CHAR(34))</f>
        <v/>
      </c>
      <c r="I2041" t="str">
        <f>SUBSTITUTE(IF(LEFT(A2044,3)="Câu","",B2044),CHAR(34),CHAR(92)&amp;CHAR(34))</f>
        <v>Xe mô tô.</v>
      </c>
      <c r="J2041" t="str">
        <f>SUBSTITUTE(IF(OR(LEFT(A2045,3)="Câu",I2041=""),"",IF(B2045=0,"",B2045)),CHAR(34),CHAR(92)&amp;CHAR(34))</f>
        <v xml:space="preserve"> Xe cứu thương đi làm nhiệm vụ cấp cứu.</v>
      </c>
      <c r="K2041" t="str">
        <f>SUBSTITUTE(SUBSTITUTE(SUBSTITUTE(SUBSTITUTE(IFERROR(VLOOKUP("Câu "&amp;D2041&amp;".",dapan!$E:$J,6,0),""),"1","A"),"2","B"),"3","C"),"4","D")</f>
        <v/>
      </c>
      <c r="P2041" t="str">
        <f t="shared" si="115"/>
        <v/>
      </c>
      <c r="Q2041" t="str">
        <f t="shared" si="116"/>
        <v/>
      </c>
    </row>
    <row r="2042" spans="1:17" hidden="1" x14ac:dyDescent="0.25">
      <c r="A2042">
        <v>3</v>
      </c>
      <c r="B2042" t="s">
        <v>1429</v>
      </c>
      <c r="C2042">
        <f>IFERROR(COUNTIFS($A$1:A2042,"Câu "&amp;"*")-MID(A2042,5,FIND(".",A2042,1)-5),0)</f>
        <v>0</v>
      </c>
      <c r="D2042" t="str">
        <f t="shared" si="118"/>
        <v/>
      </c>
      <c r="E2042" t="str">
        <f>SUBSTITUTE(IF(LEFT(A2042,3)="Câu",MID(A2042,FIND(".",A2042,1)+2,LEN(A2042)),""),CHAR(34),CHAR(92)&amp;CHAR(34))</f>
        <v/>
      </c>
      <c r="F2042" t="str">
        <f t="shared" si="117"/>
        <v/>
      </c>
      <c r="G2042" t="str">
        <f>SUBSTITUTE(B2043,CHAR(34),CHAR(92)&amp;CHAR(34))</f>
        <v/>
      </c>
      <c r="H2042" t="str">
        <f>SUBSTITUTE(B2044,CHAR(34),CHAR(92)&amp;CHAR(34))</f>
        <v>Xe mô tô.</v>
      </c>
      <c r="I2042" t="str">
        <f>SUBSTITUTE(IF(LEFT(A2045,3)="Câu","",B2045),CHAR(34),CHAR(92)&amp;CHAR(34))</f>
        <v xml:space="preserve"> Xe cứu thương đi làm nhiệm vụ cấp cứu.</v>
      </c>
      <c r="J2042" t="str">
        <f>SUBSTITUTE(IF(OR(LEFT(A2046,3)="Câu",I2042=""),"",IF(B2046=0,"",B2046)),CHAR(34),CHAR(92)&amp;CHAR(34))</f>
        <v/>
      </c>
      <c r="K2042" t="str">
        <f>SUBSTITUTE(SUBSTITUTE(SUBSTITUTE(SUBSTITUTE(IFERROR(VLOOKUP("Câu "&amp;D2042&amp;".",dapan!$E:$J,6,0),""),"1","A"),"2","B"),"3","C"),"4","D")</f>
        <v/>
      </c>
      <c r="P2042" t="str">
        <f t="shared" si="115"/>
        <v/>
      </c>
      <c r="Q2042" t="str">
        <f t="shared" si="116"/>
        <v/>
      </c>
    </row>
    <row r="2043" spans="1:17" x14ac:dyDescent="0.25">
      <c r="A2043" t="s">
        <v>1430</v>
      </c>
      <c r="C2043">
        <f>IFERROR(COUNTIFS($A$1:A2043,"Câu "&amp;"*")-MID(A2043,5,FIND(".",A2043,1)-5),0)</f>
        <v>0</v>
      </c>
      <c r="D2043">
        <f t="shared" si="118"/>
        <v>495</v>
      </c>
      <c r="E2043" t="str">
        <f>SUBSTITUTE(IF(LEFT(A2043,3)="Câu",MID(A2043,FIND(".",A2043,1)+2,LEN(A2043)),""),CHAR(34),CHAR(92)&amp;CHAR(34))</f>
        <v>Xe nào được quyền đi trước trong trường hợp này?</v>
      </c>
      <c r="F2043" t="str">
        <f t="shared" si="117"/>
        <v>q495.jpg</v>
      </c>
      <c r="G2043" t="str">
        <f>SUBSTITUTE(B2044,CHAR(34),CHAR(92)&amp;CHAR(34))</f>
        <v>Xe mô tô.</v>
      </c>
      <c r="H2043" t="str">
        <f>SUBSTITUTE(B2045,CHAR(34),CHAR(92)&amp;CHAR(34))</f>
        <v xml:space="preserve"> Xe cứu thương đi làm nhiệm vụ cấp cứu.</v>
      </c>
      <c r="I2043" t="str">
        <f>SUBSTITUTE(IF(LEFT(A2046,3)="Câu","",B2046),CHAR(34),CHAR(92)&amp;CHAR(34))</f>
        <v/>
      </c>
      <c r="J2043" t="str">
        <f>SUBSTITUTE(IF(OR(LEFT(A2047,3)="Câu",I2043=""),"",IF(B2047=0,"",B2047)),CHAR(34),CHAR(92)&amp;CHAR(34))</f>
        <v/>
      </c>
      <c r="K2043" t="str">
        <f ca="1">SUBSTITUTE(SUBSTITUTE(SUBSTITUTE(SUBSTITUTE(IFERROR(VLOOKUP("Câu "&amp;D2043&amp;".",dapan!$E:$J,6,0),""),"1","A"),"2","B"),"3","C"),"4","D")</f>
        <v>B</v>
      </c>
      <c r="P2043">
        <f t="shared" si="115"/>
        <v>495</v>
      </c>
      <c r="Q2043" t="str">
        <f t="shared" ca="1" si="116"/>
        <v>{"num":495,"id":495,"q":"Xe nào được quyền đi trước trong trường hợp này?","img":"q495.jpg","opts":{"A":"Xe mô tô.","B":" Xe cứu thương đi làm nhiệm vụ cấp cứu."},"answer":"B"},</v>
      </c>
    </row>
    <row r="2044" spans="1:17" hidden="1" x14ac:dyDescent="0.25">
      <c r="A2044">
        <v>1</v>
      </c>
      <c r="B2044" t="s">
        <v>1421</v>
      </c>
      <c r="C2044">
        <f>IFERROR(COUNTIFS($A$1:A2044,"Câu "&amp;"*")-MID(A2044,5,FIND(".",A2044,1)-5),0)</f>
        <v>0</v>
      </c>
      <c r="D2044" t="str">
        <f t="shared" si="118"/>
        <v/>
      </c>
      <c r="E2044" t="str">
        <f>SUBSTITUTE(IF(LEFT(A2044,3)="Câu",MID(A2044,FIND(".",A2044,1)+2,LEN(A2044)),""),CHAR(34),CHAR(92)&amp;CHAR(34))</f>
        <v/>
      </c>
      <c r="F2044" t="str">
        <f t="shared" si="117"/>
        <v/>
      </c>
      <c r="G2044" t="str">
        <f>SUBSTITUTE(B2045,CHAR(34),CHAR(92)&amp;CHAR(34))</f>
        <v xml:space="preserve"> Xe cứu thương đi làm nhiệm vụ cấp cứu.</v>
      </c>
      <c r="H2044" t="str">
        <f>SUBSTITUTE(B2046,CHAR(34),CHAR(92)&amp;CHAR(34))</f>
        <v/>
      </c>
      <c r="I2044" t="str">
        <f>SUBSTITUTE(IF(LEFT(A2047,3)="Câu","",B2047),CHAR(34),CHAR(92)&amp;CHAR(34))</f>
        <v xml:space="preserve"> Xe khách.</v>
      </c>
      <c r="J2044" t="str">
        <f>SUBSTITUTE(IF(OR(LEFT(A2048,3)="Câu",I2044=""),"",IF(B2048=0,"",B2048)),CHAR(34),CHAR(92)&amp;CHAR(34))</f>
        <v>Xe tải.</v>
      </c>
      <c r="K2044" t="str">
        <f>SUBSTITUTE(SUBSTITUTE(SUBSTITUTE(SUBSTITUTE(IFERROR(VLOOKUP("Câu "&amp;D2044&amp;".",dapan!$E:$J,6,0),""),"1","A"),"2","B"),"3","C"),"4","D")</f>
        <v/>
      </c>
      <c r="P2044" t="str">
        <f t="shared" si="115"/>
        <v/>
      </c>
      <c r="Q2044" t="str">
        <f t="shared" si="116"/>
        <v/>
      </c>
    </row>
    <row r="2045" spans="1:17" hidden="1" x14ac:dyDescent="0.25">
      <c r="A2045">
        <v>2</v>
      </c>
      <c r="B2045" t="s">
        <v>1431</v>
      </c>
      <c r="C2045">
        <f>IFERROR(COUNTIFS($A$1:A2045,"Câu "&amp;"*")-MID(A2045,5,FIND(".",A2045,1)-5),0)</f>
        <v>0</v>
      </c>
      <c r="D2045" t="str">
        <f t="shared" si="118"/>
        <v/>
      </c>
      <c r="E2045" t="str">
        <f>SUBSTITUTE(IF(LEFT(A2045,3)="Câu",MID(A2045,FIND(".",A2045,1)+2,LEN(A2045)),""),CHAR(34),CHAR(92)&amp;CHAR(34))</f>
        <v/>
      </c>
      <c r="F2045" t="str">
        <f t="shared" si="117"/>
        <v/>
      </c>
      <c r="G2045" t="str">
        <f>SUBSTITUTE(B2046,CHAR(34),CHAR(92)&amp;CHAR(34))</f>
        <v/>
      </c>
      <c r="H2045" t="str">
        <f>SUBSTITUTE(B2047,CHAR(34),CHAR(92)&amp;CHAR(34))</f>
        <v xml:space="preserve"> Xe khách.</v>
      </c>
      <c r="I2045" t="str">
        <f>SUBSTITUTE(IF(LEFT(A2048,3)="Câu","",B2048),CHAR(34),CHAR(92)&amp;CHAR(34))</f>
        <v>Xe tải.</v>
      </c>
      <c r="J2045" t="str">
        <f>SUBSTITUTE(IF(OR(LEFT(A2049,3)="Câu",I2045=""),"",IF(B2049=0,"",B2049)),CHAR(34),CHAR(92)&amp;CHAR(34))</f>
        <v>Xe con.</v>
      </c>
      <c r="K2045" t="str">
        <f>SUBSTITUTE(SUBSTITUTE(SUBSTITUTE(SUBSTITUTE(IFERROR(VLOOKUP("Câu "&amp;D2045&amp;".",dapan!$E:$J,6,0),""),"1","A"),"2","B"),"3","C"),"4","D")</f>
        <v/>
      </c>
      <c r="P2045" t="str">
        <f t="shared" si="115"/>
        <v/>
      </c>
      <c r="Q2045" t="str">
        <f t="shared" si="116"/>
        <v/>
      </c>
    </row>
    <row r="2046" spans="1:17" x14ac:dyDescent="0.25">
      <c r="A2046" t="s">
        <v>1432</v>
      </c>
      <c r="C2046">
        <f>IFERROR(COUNTIFS($A$1:A2046,"Câu "&amp;"*")-MID(A2046,5,FIND(".",A2046,1)-5),0)</f>
        <v>0</v>
      </c>
      <c r="D2046">
        <f t="shared" si="118"/>
        <v>496</v>
      </c>
      <c r="E2046" t="str">
        <f>SUBSTITUTE(IF(LEFT(A2046,3)="Câu",MID(A2046,FIND(".",A2046,1)+2,LEN(A2046)),""),CHAR(34),CHAR(92)&amp;CHAR(34))</f>
        <v>Theo hướng mũi tên, xe nào phải nhường đường đi cuối cùng qua nơi giao nhau này?</v>
      </c>
      <c r="F2046" t="str">
        <f t="shared" si="117"/>
        <v>q496.jpg</v>
      </c>
      <c r="G2046" t="str">
        <f>SUBSTITUTE(B2047,CHAR(34),CHAR(92)&amp;CHAR(34))</f>
        <v xml:space="preserve"> Xe khách.</v>
      </c>
      <c r="H2046" t="str">
        <f>SUBSTITUTE(B2048,CHAR(34),CHAR(92)&amp;CHAR(34))</f>
        <v>Xe tải.</v>
      </c>
      <c r="I2046" t="str">
        <f>SUBSTITUTE(IF(LEFT(A2049,3)="Câu","",B2049),CHAR(34),CHAR(92)&amp;CHAR(34))</f>
        <v>Xe con.</v>
      </c>
      <c r="J2046" t="str">
        <f>SUBSTITUTE(IF(OR(LEFT(A2050,3)="Câu",I2046=""),"",IF(B2050=0,"",B2050)),CHAR(34),CHAR(92)&amp;CHAR(34))</f>
        <v/>
      </c>
      <c r="K2046" t="str">
        <f ca="1">SUBSTITUTE(SUBSTITUTE(SUBSTITUTE(SUBSTITUTE(IFERROR(VLOOKUP("Câu "&amp;D2046&amp;".",dapan!$E:$J,6,0),""),"1","A"),"2","B"),"3","C"),"4","D")</f>
        <v>A</v>
      </c>
      <c r="P2046">
        <f t="shared" si="115"/>
        <v>496</v>
      </c>
      <c r="Q2046" t="str">
        <f t="shared" ca="1" si="116"/>
        <v>{"num":496,"id":496,"q":"Theo hướng mũi tên, xe nào phải nhường đường đi cuối cùng qua nơi giao nhau này?","img":"q496.jpg","opts":{"A":" Xe khách.","B":"Xe tải.","C":"Xe con."},"answer":"A"},</v>
      </c>
    </row>
    <row r="2047" spans="1:17" hidden="1" x14ac:dyDescent="0.25">
      <c r="A2047">
        <v>1</v>
      </c>
      <c r="B2047" t="s">
        <v>1433</v>
      </c>
      <c r="C2047">
        <f>IFERROR(COUNTIFS($A$1:A2047,"Câu "&amp;"*")-MID(A2047,5,FIND(".",A2047,1)-5),0)</f>
        <v>0</v>
      </c>
      <c r="D2047" t="str">
        <f t="shared" si="118"/>
        <v/>
      </c>
      <c r="E2047" t="str">
        <f>SUBSTITUTE(IF(LEFT(A2047,3)="Câu",MID(A2047,FIND(".",A2047,1)+2,LEN(A2047)),""),CHAR(34),CHAR(92)&amp;CHAR(34))</f>
        <v/>
      </c>
      <c r="F2047" t="str">
        <f t="shared" si="117"/>
        <v/>
      </c>
      <c r="G2047" t="str">
        <f>SUBSTITUTE(B2048,CHAR(34),CHAR(92)&amp;CHAR(34))</f>
        <v>Xe tải.</v>
      </c>
      <c r="H2047" t="str">
        <f>SUBSTITUTE(B2049,CHAR(34),CHAR(92)&amp;CHAR(34))</f>
        <v>Xe con.</v>
      </c>
      <c r="I2047" t="str">
        <f>SUBSTITUTE(IF(LEFT(A2050,3)="Câu","",B2050),CHAR(34),CHAR(92)&amp;CHAR(34))</f>
        <v/>
      </c>
      <c r="J2047" t="str">
        <f>SUBSTITUTE(IF(OR(LEFT(A2051,3)="Câu",I2047=""),"",IF(B2051=0,"",B2051)),CHAR(34),CHAR(92)&amp;CHAR(34))</f>
        <v/>
      </c>
      <c r="K2047" t="str">
        <f>SUBSTITUTE(SUBSTITUTE(SUBSTITUTE(SUBSTITUTE(IFERROR(VLOOKUP("Câu "&amp;D2047&amp;".",dapan!$E:$J,6,0),""),"1","A"),"2","B"),"3","C"),"4","D")</f>
        <v/>
      </c>
      <c r="P2047" t="str">
        <f t="shared" si="115"/>
        <v/>
      </c>
      <c r="Q2047" t="str">
        <f t="shared" si="116"/>
        <v/>
      </c>
    </row>
    <row r="2048" spans="1:17" hidden="1" x14ac:dyDescent="0.25">
      <c r="A2048">
        <v>2</v>
      </c>
      <c r="B2048" t="s">
        <v>1419</v>
      </c>
      <c r="C2048">
        <f>IFERROR(COUNTIFS($A$1:A2048,"Câu "&amp;"*")-MID(A2048,5,FIND(".",A2048,1)-5),0)</f>
        <v>0</v>
      </c>
      <c r="D2048" t="str">
        <f t="shared" si="118"/>
        <v/>
      </c>
      <c r="E2048" t="str">
        <f>SUBSTITUTE(IF(LEFT(A2048,3)="Câu",MID(A2048,FIND(".",A2048,1)+2,LEN(A2048)),""),CHAR(34),CHAR(92)&amp;CHAR(34))</f>
        <v/>
      </c>
      <c r="F2048" t="str">
        <f t="shared" si="117"/>
        <v/>
      </c>
      <c r="G2048" t="str">
        <f>SUBSTITUTE(B2049,CHAR(34),CHAR(92)&amp;CHAR(34))</f>
        <v>Xe con.</v>
      </c>
      <c r="H2048" t="str">
        <f>SUBSTITUTE(B2050,CHAR(34),CHAR(92)&amp;CHAR(34))</f>
        <v/>
      </c>
      <c r="I2048" t="str">
        <f>SUBSTITUTE(IF(LEFT(A2051,3)="Câu","",B2051),CHAR(34),CHAR(92)&amp;CHAR(34))</f>
        <v xml:space="preserve"> Xe con.</v>
      </c>
      <c r="J2048" t="str">
        <f>SUBSTITUTE(IF(OR(LEFT(A2052,3)="Câu",I2048=""),"",IF(B2052=0,"",B2052)),CHAR(34),CHAR(92)&amp;CHAR(34))</f>
        <v>Xe tải.</v>
      </c>
      <c r="K2048" t="str">
        <f>SUBSTITUTE(SUBSTITUTE(SUBSTITUTE(SUBSTITUTE(IFERROR(VLOOKUP("Câu "&amp;D2048&amp;".",dapan!$E:$J,6,0),""),"1","A"),"2","B"),"3","C"),"4","D")</f>
        <v/>
      </c>
      <c r="P2048" t="str">
        <f t="shared" si="115"/>
        <v/>
      </c>
      <c r="Q2048" t="str">
        <f t="shared" si="116"/>
        <v/>
      </c>
    </row>
    <row r="2049" spans="1:17" hidden="1" x14ac:dyDescent="0.25">
      <c r="A2049">
        <v>3</v>
      </c>
      <c r="B2049" t="s">
        <v>1434</v>
      </c>
      <c r="C2049">
        <f>IFERROR(COUNTIFS($A$1:A2049,"Câu "&amp;"*")-MID(A2049,5,FIND(".",A2049,1)-5),0)</f>
        <v>0</v>
      </c>
      <c r="D2049" t="str">
        <f t="shared" si="118"/>
        <v/>
      </c>
      <c r="E2049" t="str">
        <f>SUBSTITUTE(IF(LEFT(A2049,3)="Câu",MID(A2049,FIND(".",A2049,1)+2,LEN(A2049)),""),CHAR(34),CHAR(92)&amp;CHAR(34))</f>
        <v/>
      </c>
      <c r="F2049" t="str">
        <f t="shared" si="117"/>
        <v/>
      </c>
      <c r="G2049" t="str">
        <f>SUBSTITUTE(B2050,CHAR(34),CHAR(92)&amp;CHAR(34))</f>
        <v/>
      </c>
      <c r="H2049" t="str">
        <f>SUBSTITUTE(B2051,CHAR(34),CHAR(92)&amp;CHAR(34))</f>
        <v xml:space="preserve"> Xe con.</v>
      </c>
      <c r="I2049" t="str">
        <f>SUBSTITUTE(IF(LEFT(A2052,3)="Câu","",B2052),CHAR(34),CHAR(92)&amp;CHAR(34))</f>
        <v>Xe tải.</v>
      </c>
      <c r="J2049" t="str">
        <f>SUBSTITUTE(IF(OR(LEFT(A2053,3)="Câu",I2049=""),"",IF(B2053=0,"",B2053)),CHAR(34),CHAR(92)&amp;CHAR(34))</f>
        <v/>
      </c>
      <c r="K2049" t="str">
        <f>SUBSTITUTE(SUBSTITUTE(SUBSTITUTE(SUBSTITUTE(IFERROR(VLOOKUP("Câu "&amp;D2049&amp;".",dapan!$E:$J,6,0),""),"1","A"),"2","B"),"3","C"),"4","D")</f>
        <v/>
      </c>
      <c r="P2049" t="str">
        <f t="shared" si="115"/>
        <v/>
      </c>
      <c r="Q2049" t="str">
        <f t="shared" si="116"/>
        <v/>
      </c>
    </row>
    <row r="2050" spans="1:17" x14ac:dyDescent="0.25">
      <c r="A2050" t="s">
        <v>1435</v>
      </c>
      <c r="C2050">
        <f>IFERROR(COUNTIFS($A$1:A2050,"Câu "&amp;"*")-MID(A2050,5,FIND(".",A2050,1)-5),0)</f>
        <v>0</v>
      </c>
      <c r="D2050">
        <f t="shared" si="118"/>
        <v>497</v>
      </c>
      <c r="E2050" t="str">
        <f>SUBSTITUTE(IF(LEFT(A2050,3)="Câu",MID(A2050,FIND(".",A2050,1)+2,LEN(A2050)),""),CHAR(34),CHAR(92)&amp;CHAR(34))</f>
        <v>Theo hướng mũi tên, xe nào phải nhường đường là đúng quy tắc giao thông?</v>
      </c>
      <c r="F2050" t="str">
        <f t="shared" si="117"/>
        <v>q497.jpg</v>
      </c>
      <c r="G2050" t="str">
        <f>SUBSTITUTE(B2051,CHAR(34),CHAR(92)&amp;CHAR(34))</f>
        <v xml:space="preserve"> Xe con.</v>
      </c>
      <c r="H2050" t="str">
        <f>SUBSTITUTE(B2052,CHAR(34),CHAR(92)&amp;CHAR(34))</f>
        <v>Xe tải.</v>
      </c>
      <c r="I2050" t="str">
        <f>SUBSTITUTE(IF(LEFT(A2053,3)="Câu","",B2053),CHAR(34),CHAR(92)&amp;CHAR(34))</f>
        <v/>
      </c>
      <c r="J2050" t="str">
        <f>SUBSTITUTE(IF(OR(LEFT(A2054,3)="Câu",I2050=""),"",IF(B2054=0,"",B2054)),CHAR(34),CHAR(92)&amp;CHAR(34))</f>
        <v/>
      </c>
      <c r="K2050" t="str">
        <f ca="1">SUBSTITUTE(SUBSTITUTE(SUBSTITUTE(SUBSTITUTE(IFERROR(VLOOKUP("Câu "&amp;D2050&amp;".",dapan!$E:$J,6,0),""),"1","A"),"2","B"),"3","C"),"4","D")</f>
        <v>A</v>
      </c>
      <c r="P2050">
        <f t="shared" si="115"/>
        <v>497</v>
      </c>
      <c r="Q2050" t="str">
        <f t="shared" ca="1" si="116"/>
        <v>{"num":497,"id":497,"q":"Theo hướng mũi tên, xe nào phải nhường đường là đúng quy tắc giao thông?","img":"q497.jpg","opts":{"A":" Xe con.","B":"Xe tải."},"answer":"A"},</v>
      </c>
    </row>
    <row r="2051" spans="1:17" hidden="1" x14ac:dyDescent="0.25">
      <c r="A2051">
        <v>1</v>
      </c>
      <c r="B2051" t="s">
        <v>1418</v>
      </c>
      <c r="C2051">
        <f>IFERROR(COUNTIFS($A$1:A2051,"Câu "&amp;"*")-MID(A2051,5,FIND(".",A2051,1)-5),0)</f>
        <v>0</v>
      </c>
      <c r="D2051" t="str">
        <f t="shared" si="118"/>
        <v/>
      </c>
      <c r="E2051" t="str">
        <f>SUBSTITUTE(IF(LEFT(A2051,3)="Câu",MID(A2051,FIND(".",A2051,1)+2,LEN(A2051)),""),CHAR(34),CHAR(92)&amp;CHAR(34))</f>
        <v/>
      </c>
      <c r="F2051" t="str">
        <f t="shared" si="117"/>
        <v/>
      </c>
      <c r="G2051" t="str">
        <f>SUBSTITUTE(B2052,CHAR(34),CHAR(92)&amp;CHAR(34))</f>
        <v>Xe tải.</v>
      </c>
      <c r="H2051" t="str">
        <f>SUBSTITUTE(B2053,CHAR(34),CHAR(92)&amp;CHAR(34))</f>
        <v/>
      </c>
      <c r="I2051" t="str">
        <f>SUBSTITUTE(IF(LEFT(A2054,3)="Câu","",B2054),CHAR(34),CHAR(92)&amp;CHAR(34))</f>
        <v>Xe công an đi làm nhiệm vụ khẩn cấp.</v>
      </c>
      <c r="J2051" t="str">
        <f>SUBSTITUTE(IF(OR(LEFT(A2055,3)="Câu",I2051=""),"",IF(B2055=0,"",B2055)),CHAR(34),CHAR(92)&amp;CHAR(34))</f>
        <v xml:space="preserve"> Xe chữa cháy đi làm nhiệm vụ chữa cháy.</v>
      </c>
      <c r="K2051" t="str">
        <f>SUBSTITUTE(SUBSTITUTE(SUBSTITUTE(SUBSTITUTE(IFERROR(VLOOKUP("Câu "&amp;D2051&amp;".",dapan!$E:$J,6,0),""),"1","A"),"2","B"),"3","C"),"4","D")</f>
        <v/>
      </c>
      <c r="P2051" t="str">
        <f t="shared" ref="P2051:P2114" si="119">D2051</f>
        <v/>
      </c>
      <c r="Q2051" t="str">
        <f t="shared" ref="Q2051:Q2114" si="120">IF(D2051="","",CHAR(123)&amp;CHAR(34)&amp;"num"&amp;CHAR(34)&amp;":"&amp;P2051&amp;","&amp;CHAR(34)&amp;"id"&amp;CHAR(34)&amp;":"&amp;D2051&amp;","
&amp;CHAR(34)&amp;"q"&amp;CHAR(34)&amp;":"&amp;CHAR(34)&amp;E2051&amp;CHAR(34)&amp;","
&amp;IF(F2051="","",CHAR(34)&amp;"img"&amp;CHAR(34)&amp;":"&amp;CHAR(34)&amp;F2051&amp;CHAR(34)&amp;",")
&amp;CHAR(34)&amp;"opts"&amp;CHAR(34)&amp;":"&amp;CHAR(123)&amp;CHAR(34)&amp;"A"&amp;CHAR(34)&amp;":"&amp;CHAR(34)&amp;G2051&amp;CHAR(34)&amp;","&amp;CHAR(34)&amp;"B"&amp;CHAR(34)&amp;":"&amp;CHAR(34)&amp;H2051&amp;CHAR(34)
&amp;IF(I2051="","",","&amp;CHAR(34)&amp;"C"&amp;CHAR(34)&amp;":"&amp;CHAR(34)&amp;I2051&amp;CHAR(34))&amp;IF(J2051="","",","&amp;CHAR(34)&amp;"D"&amp;CHAR(34)&amp;":"&amp;CHAR(34)&amp;J2051&amp;CHAR(34))&amp;CHAR(125)&amp;","
&amp;CHAR(34)&amp;"answer"&amp;CHAR(34)&amp;":"&amp;CHAR(34)&amp;K2051&amp;CHAR(34)
&amp;IF(L2051="","",","&amp;CHAR(34)&amp;"danger"&amp;CHAR(34)&amp;":"&amp;CHAR(34)&amp;"true"&amp;CHAR(34))
&amp;IF(M2051="","",","&amp;CHAR(34)&amp;"explain"&amp;CHAR(34)&amp;":"&amp;CHAR(34)&amp;M2051&amp;CHAR(34))
&amp;IF(N2051="","",","&amp;CHAR(34)&amp;"explainImg"&amp;CHAR(34)&amp;":"&amp;CHAR(34)&amp;N2051&amp;CHAR(34))
&amp;IF(O2051="","",","&amp;CHAR(34)&amp;"shuffle"&amp;CHAR(34)&amp;":"&amp;CHAR(34)&amp;"false"&amp;CHAR(34))&amp;CHAR(125)&amp;",")</f>
        <v/>
      </c>
    </row>
    <row r="2052" spans="1:17" hidden="1" x14ac:dyDescent="0.25">
      <c r="A2052">
        <v>2</v>
      </c>
      <c r="B2052" t="s">
        <v>1419</v>
      </c>
      <c r="C2052">
        <f>IFERROR(COUNTIFS($A$1:A2052,"Câu "&amp;"*")-MID(A2052,5,FIND(".",A2052,1)-5),0)</f>
        <v>0</v>
      </c>
      <c r="D2052" t="str">
        <f t="shared" si="118"/>
        <v/>
      </c>
      <c r="E2052" t="str">
        <f>SUBSTITUTE(IF(LEFT(A2052,3)="Câu",MID(A2052,FIND(".",A2052,1)+2,LEN(A2052)),""),CHAR(34),CHAR(92)&amp;CHAR(34))</f>
        <v/>
      </c>
      <c r="F2052" t="str">
        <f t="shared" si="117"/>
        <v/>
      </c>
      <c r="G2052" t="str">
        <f>SUBSTITUTE(B2053,CHAR(34),CHAR(92)&amp;CHAR(34))</f>
        <v/>
      </c>
      <c r="H2052" t="str">
        <f>SUBSTITUTE(B2054,CHAR(34),CHAR(92)&amp;CHAR(34))</f>
        <v>Xe công an đi làm nhiệm vụ khẩn cấp.</v>
      </c>
      <c r="I2052" t="str">
        <f>SUBSTITUTE(IF(LEFT(A2055,3)="Câu","",B2055),CHAR(34),CHAR(92)&amp;CHAR(34))</f>
        <v xml:space="preserve"> Xe chữa cháy đi làm nhiệm vụ chữa cháy.</v>
      </c>
      <c r="J2052" t="str">
        <f>SUBSTITUTE(IF(OR(LEFT(A2056,3)="Câu",I2052=""),"",IF(B2056=0,"",B2056)),CHAR(34),CHAR(92)&amp;CHAR(34))</f>
        <v/>
      </c>
      <c r="K2052" t="str">
        <f>SUBSTITUTE(SUBSTITUTE(SUBSTITUTE(SUBSTITUTE(IFERROR(VLOOKUP("Câu "&amp;D2052&amp;".",dapan!$E:$J,6,0),""),"1","A"),"2","B"),"3","C"),"4","D")</f>
        <v/>
      </c>
      <c r="P2052" t="str">
        <f t="shared" si="119"/>
        <v/>
      </c>
      <c r="Q2052" t="str">
        <f t="shared" si="120"/>
        <v/>
      </c>
    </row>
    <row r="2053" spans="1:17" x14ac:dyDescent="0.25">
      <c r="A2053" t="s">
        <v>1436</v>
      </c>
      <c r="C2053">
        <f>IFERROR(COUNTIFS($A$1:A2053,"Câu "&amp;"*")-MID(A2053,5,FIND(".",A2053,1)-5),0)</f>
        <v>0</v>
      </c>
      <c r="D2053">
        <f t="shared" si="118"/>
        <v>498</v>
      </c>
      <c r="E2053" t="str">
        <f>SUBSTITUTE(IF(LEFT(A2053,3)="Câu",MID(A2053,FIND(".",A2053,1)+2,LEN(A2053)),""),CHAR(34),CHAR(92)&amp;CHAR(34))</f>
        <v>Xe nào được quyền đi trước trong trường hợp này?</v>
      </c>
      <c r="F2053" t="str">
        <f t="shared" si="117"/>
        <v>q498.jpg</v>
      </c>
      <c r="G2053" t="str">
        <f>SUBSTITUTE(B2054,CHAR(34),CHAR(92)&amp;CHAR(34))</f>
        <v>Xe công an đi làm nhiệm vụ khẩn cấp.</v>
      </c>
      <c r="H2053" t="str">
        <f>SUBSTITUTE(B2055,CHAR(34),CHAR(92)&amp;CHAR(34))</f>
        <v xml:space="preserve"> Xe chữa cháy đi làm nhiệm vụ chữa cháy.</v>
      </c>
      <c r="I2053" t="str">
        <f>SUBSTITUTE(IF(LEFT(A2056,3)="Câu","",B2056),CHAR(34),CHAR(92)&amp;CHAR(34))</f>
        <v/>
      </c>
      <c r="J2053" t="str">
        <f>SUBSTITUTE(IF(OR(LEFT(A2057,3)="Câu",I2053=""),"",IF(B2057=0,"",B2057)),CHAR(34),CHAR(92)&amp;CHAR(34))</f>
        <v/>
      </c>
      <c r="K2053" t="str">
        <f ca="1">SUBSTITUTE(SUBSTITUTE(SUBSTITUTE(SUBSTITUTE(IFERROR(VLOOKUP("Câu "&amp;D2053&amp;".",dapan!$E:$J,6,0),""),"1","A"),"2","B"),"3","C"),"4","D")</f>
        <v>B</v>
      </c>
      <c r="P2053">
        <f t="shared" si="119"/>
        <v>498</v>
      </c>
      <c r="Q2053" t="str">
        <f t="shared" ca="1" si="120"/>
        <v>{"num":498,"id":498,"q":"Xe nào được quyền đi trước trong trường hợp này?","img":"q498.jpg","opts":{"A":"Xe công an đi làm nhiệm vụ khẩn cấp.","B":" Xe chữa cháy đi làm nhiệm vụ chữa cháy."},"answer":"B"},</v>
      </c>
    </row>
    <row r="2054" spans="1:17" hidden="1" x14ac:dyDescent="0.25">
      <c r="A2054">
        <v>1</v>
      </c>
      <c r="B2054" t="s">
        <v>1437</v>
      </c>
      <c r="C2054">
        <f>IFERROR(COUNTIFS($A$1:A2054,"Câu "&amp;"*")-MID(A2054,5,FIND(".",A2054,1)-5),0)</f>
        <v>0</v>
      </c>
      <c r="D2054" t="str">
        <f t="shared" si="118"/>
        <v/>
      </c>
      <c r="E2054" t="str">
        <f>SUBSTITUTE(IF(LEFT(A2054,3)="Câu",MID(A2054,FIND(".",A2054,1)+2,LEN(A2054)),""),CHAR(34),CHAR(92)&amp;CHAR(34))</f>
        <v/>
      </c>
      <c r="F2054" t="str">
        <f t="shared" si="117"/>
        <v/>
      </c>
      <c r="G2054" t="str">
        <f>SUBSTITUTE(B2055,CHAR(34),CHAR(92)&amp;CHAR(34))</f>
        <v xml:space="preserve"> Xe chữa cháy đi làm nhiệm vụ chữa cháy.</v>
      </c>
      <c r="H2054" t="str">
        <f>SUBSTITUTE(B2056,CHAR(34),CHAR(92)&amp;CHAR(34))</f>
        <v/>
      </c>
      <c r="I2054" t="str">
        <f>SUBSTITUTE(IF(LEFT(A2057,3)="Câu","",B2057),CHAR(34),CHAR(92)&amp;CHAR(34))</f>
        <v xml:space="preserve"> Xe con và xe khách.</v>
      </c>
      <c r="J2054" t="str">
        <f>SUBSTITUTE(IF(OR(LEFT(A2058,3)="Câu",I2054=""),"",IF(B2058=0,"",B2058)),CHAR(34),CHAR(92)&amp;CHAR(34))</f>
        <v>Xe mô tô.</v>
      </c>
      <c r="K2054" t="str">
        <f>SUBSTITUTE(SUBSTITUTE(SUBSTITUTE(SUBSTITUTE(IFERROR(VLOOKUP("Câu "&amp;D2054&amp;".",dapan!$E:$J,6,0),""),"1","A"),"2","B"),"3","C"),"4","D")</f>
        <v/>
      </c>
      <c r="P2054" t="str">
        <f t="shared" si="119"/>
        <v/>
      </c>
      <c r="Q2054" t="str">
        <f t="shared" si="120"/>
        <v/>
      </c>
    </row>
    <row r="2055" spans="1:17" hidden="1" x14ac:dyDescent="0.25">
      <c r="A2055">
        <v>2</v>
      </c>
      <c r="B2055" t="s">
        <v>1438</v>
      </c>
      <c r="C2055">
        <f>IFERROR(COUNTIFS($A$1:A2055,"Câu "&amp;"*")-MID(A2055,5,FIND(".",A2055,1)-5),0)</f>
        <v>0</v>
      </c>
      <c r="D2055" t="str">
        <f t="shared" si="118"/>
        <v/>
      </c>
      <c r="E2055" t="str">
        <f>SUBSTITUTE(IF(LEFT(A2055,3)="Câu",MID(A2055,FIND(".",A2055,1)+2,LEN(A2055)),""),CHAR(34),CHAR(92)&amp;CHAR(34))</f>
        <v/>
      </c>
      <c r="F2055" t="str">
        <f t="shared" si="117"/>
        <v/>
      </c>
      <c r="G2055" t="str">
        <f>SUBSTITUTE(B2056,CHAR(34),CHAR(92)&amp;CHAR(34))</f>
        <v/>
      </c>
      <c r="H2055" t="str">
        <f>SUBSTITUTE(B2057,CHAR(34),CHAR(92)&amp;CHAR(34))</f>
        <v xml:space="preserve"> Xe con và xe khách.</v>
      </c>
      <c r="I2055" t="str">
        <f>SUBSTITUTE(IF(LEFT(A2058,3)="Câu","",B2058),CHAR(34),CHAR(92)&amp;CHAR(34))</f>
        <v>Xe mô tô.</v>
      </c>
      <c r="J2055" t="str">
        <f>SUBSTITUTE(IF(OR(LEFT(A2059,3)="Câu",I2055=""),"",IF(B2059=0,"",B2059)),CHAR(34),CHAR(92)&amp;CHAR(34))</f>
        <v/>
      </c>
      <c r="K2055" t="str">
        <f>SUBSTITUTE(SUBSTITUTE(SUBSTITUTE(SUBSTITUTE(IFERROR(VLOOKUP("Câu "&amp;D2055&amp;".",dapan!$E:$J,6,0),""),"1","A"),"2","B"),"3","C"),"4","D")</f>
        <v/>
      </c>
      <c r="P2055" t="str">
        <f t="shared" si="119"/>
        <v/>
      </c>
      <c r="Q2055" t="str">
        <f t="shared" si="120"/>
        <v/>
      </c>
    </row>
    <row r="2056" spans="1:17" x14ac:dyDescent="0.25">
      <c r="A2056" t="s">
        <v>1439</v>
      </c>
      <c r="C2056">
        <f>IFERROR(COUNTIFS($A$1:A2056,"Câu "&amp;"*")-MID(A2056,5,FIND(".",A2056,1)-5),0)</f>
        <v>0</v>
      </c>
      <c r="D2056">
        <f t="shared" si="118"/>
        <v>499</v>
      </c>
      <c r="E2056" t="str">
        <f>SUBSTITUTE(IF(LEFT(A2056,3)="Câu",MID(A2056,FIND(".",A2056,1)+2,LEN(A2056)),""),CHAR(34),CHAR(92)&amp;CHAR(34))</f>
        <v>Theo tín hiệu đèn, xe nào được phép đi?</v>
      </c>
      <c r="F2056" t="str">
        <f t="shared" si="117"/>
        <v>q499.jpg</v>
      </c>
      <c r="G2056" t="str">
        <f>SUBSTITUTE(B2057,CHAR(34),CHAR(92)&amp;CHAR(34))</f>
        <v xml:space="preserve"> Xe con và xe khách.</v>
      </c>
      <c r="H2056" t="str">
        <f>SUBSTITUTE(B2058,CHAR(34),CHAR(92)&amp;CHAR(34))</f>
        <v>Xe mô tô.</v>
      </c>
      <c r="I2056" t="str">
        <f>SUBSTITUTE(IF(LEFT(A2059,3)="Câu","",B2059),CHAR(34),CHAR(92)&amp;CHAR(34))</f>
        <v/>
      </c>
      <c r="J2056" t="str">
        <f>SUBSTITUTE(IF(OR(LEFT(A2060,3)="Câu",I2056=""),"",IF(B2060=0,"",B2060)),CHAR(34),CHAR(92)&amp;CHAR(34))</f>
        <v/>
      </c>
      <c r="K2056" t="str">
        <f ca="1">SUBSTITUTE(SUBSTITUTE(SUBSTITUTE(SUBSTITUTE(IFERROR(VLOOKUP("Câu "&amp;D2056&amp;".",dapan!$E:$J,6,0),""),"1","A"),"2","B"),"3","C"),"4","D")</f>
        <v>A</v>
      </c>
      <c r="P2056">
        <f t="shared" si="119"/>
        <v>499</v>
      </c>
      <c r="Q2056" t="str">
        <f t="shared" ca="1" si="120"/>
        <v>{"num":499,"id":499,"q":"Theo tín hiệu đèn, xe nào được phép đi?","img":"q499.jpg","opts":{"A":" Xe con và xe khách.","B":"Xe mô tô."},"answer":"A"},</v>
      </c>
    </row>
    <row r="2057" spans="1:17" hidden="1" x14ac:dyDescent="0.25">
      <c r="A2057">
        <v>1</v>
      </c>
      <c r="B2057" t="s">
        <v>1440</v>
      </c>
      <c r="C2057">
        <f>IFERROR(COUNTIFS($A$1:A2057,"Câu "&amp;"*")-MID(A2057,5,FIND(".",A2057,1)-5),0)</f>
        <v>0</v>
      </c>
      <c r="D2057" t="str">
        <f t="shared" si="118"/>
        <v/>
      </c>
      <c r="E2057" t="str">
        <f>SUBSTITUTE(IF(LEFT(A2057,3)="Câu",MID(A2057,FIND(".",A2057,1)+2,LEN(A2057)),""),CHAR(34),CHAR(92)&amp;CHAR(34))</f>
        <v/>
      </c>
      <c r="F2057" t="str">
        <f t="shared" si="117"/>
        <v/>
      </c>
      <c r="G2057" t="str">
        <f>SUBSTITUTE(B2058,CHAR(34),CHAR(92)&amp;CHAR(34))</f>
        <v>Xe mô tô.</v>
      </c>
      <c r="H2057" t="str">
        <f>SUBSTITUTE(B2059,CHAR(34),CHAR(92)&amp;CHAR(34))</f>
        <v/>
      </c>
      <c r="I2057" t="str">
        <f>SUBSTITUTE(IF(LEFT(A2060,3)="Câu","",B2060),CHAR(34),CHAR(92)&amp;CHAR(34))</f>
        <v>Xe khách, xe mô tô.</v>
      </c>
      <c r="J2057" t="str">
        <f>SUBSTITUTE(IF(OR(LEFT(A2061,3)="Câu",I2057=""),"",IF(B2061=0,"",B2061)),CHAR(34),CHAR(92)&amp;CHAR(34))</f>
        <v xml:space="preserve"> Xe con, xe tải.</v>
      </c>
      <c r="K2057" t="str">
        <f>SUBSTITUTE(SUBSTITUTE(SUBSTITUTE(SUBSTITUTE(IFERROR(VLOOKUP("Câu "&amp;D2057&amp;".",dapan!$E:$J,6,0),""),"1","A"),"2","B"),"3","C"),"4","D")</f>
        <v/>
      </c>
      <c r="P2057" t="str">
        <f t="shared" si="119"/>
        <v/>
      </c>
      <c r="Q2057" t="str">
        <f t="shared" si="120"/>
        <v/>
      </c>
    </row>
    <row r="2058" spans="1:17" hidden="1" x14ac:dyDescent="0.25">
      <c r="A2058">
        <v>2</v>
      </c>
      <c r="B2058" t="s">
        <v>1421</v>
      </c>
      <c r="C2058">
        <f>IFERROR(COUNTIFS($A$1:A2058,"Câu "&amp;"*")-MID(A2058,5,FIND(".",A2058,1)-5),0)</f>
        <v>0</v>
      </c>
      <c r="D2058" t="str">
        <f t="shared" si="118"/>
        <v/>
      </c>
      <c r="E2058" t="str">
        <f>SUBSTITUTE(IF(LEFT(A2058,3)="Câu",MID(A2058,FIND(".",A2058,1)+2,LEN(A2058)),""),CHAR(34),CHAR(92)&amp;CHAR(34))</f>
        <v/>
      </c>
      <c r="F2058" t="str">
        <f t="shared" si="117"/>
        <v/>
      </c>
      <c r="G2058" t="str">
        <f>SUBSTITUTE(B2059,CHAR(34),CHAR(92)&amp;CHAR(34))</f>
        <v/>
      </c>
      <c r="H2058" t="str">
        <f>SUBSTITUTE(B2060,CHAR(34),CHAR(92)&amp;CHAR(34))</f>
        <v>Xe khách, xe mô tô.</v>
      </c>
      <c r="I2058" t="str">
        <f>SUBSTITUTE(IF(LEFT(A2061,3)="Câu","",B2061),CHAR(34),CHAR(92)&amp;CHAR(34))</f>
        <v xml:space="preserve"> Xe con, xe tải.</v>
      </c>
      <c r="J2058" t="str">
        <f>SUBSTITUTE(IF(OR(LEFT(A2062,3)="Câu",I2058=""),"",IF(B2062=0,"",B2062)),CHAR(34),CHAR(92)&amp;CHAR(34))</f>
        <v>Xe tải, xe mô tô.</v>
      </c>
      <c r="K2058" t="str">
        <f>SUBSTITUTE(SUBSTITUTE(SUBSTITUTE(SUBSTITUTE(IFERROR(VLOOKUP("Câu "&amp;D2058&amp;".",dapan!$E:$J,6,0),""),"1","A"),"2","B"),"3","C"),"4","D")</f>
        <v/>
      </c>
      <c r="P2058" t="str">
        <f t="shared" si="119"/>
        <v/>
      </c>
      <c r="Q2058" t="str">
        <f t="shared" si="120"/>
        <v/>
      </c>
    </row>
    <row r="2059" spans="1:17" x14ac:dyDescent="0.25">
      <c r="A2059" t="s">
        <v>1441</v>
      </c>
      <c r="C2059">
        <f>IFERROR(COUNTIFS($A$1:A2059,"Câu "&amp;"*")-MID(A2059,5,FIND(".",A2059,1)-5),0)</f>
        <v>0</v>
      </c>
      <c r="D2059">
        <f t="shared" si="118"/>
        <v>500</v>
      </c>
      <c r="E2059" t="str">
        <f>SUBSTITUTE(IF(LEFT(A2059,3)="Câu",MID(A2059,FIND(".",A2059,1)+2,LEN(A2059)),""),CHAR(34),CHAR(92)&amp;CHAR(34))</f>
        <v>Theo tín hiệu đèn, xe nào đi là đúng quy tắc giao thông?</v>
      </c>
      <c r="F2059" t="str">
        <f t="shared" si="117"/>
        <v>q500.jpg</v>
      </c>
      <c r="G2059" t="str">
        <f>SUBSTITUTE(B2060,CHAR(34),CHAR(92)&amp;CHAR(34))</f>
        <v>Xe khách, xe mô tô.</v>
      </c>
      <c r="H2059" t="str">
        <f>SUBSTITUTE(B2061,CHAR(34),CHAR(92)&amp;CHAR(34))</f>
        <v xml:space="preserve"> Xe con, xe tải.</v>
      </c>
      <c r="I2059" t="str">
        <f>SUBSTITUTE(IF(LEFT(A2062,3)="Câu","",B2062),CHAR(34),CHAR(92)&amp;CHAR(34))</f>
        <v>Xe tải, xe mô tô.</v>
      </c>
      <c r="J2059" t="str">
        <f>SUBSTITUTE(IF(OR(LEFT(A2063,3)="Câu",I2059=""),"",IF(B2063=0,"",B2063)),CHAR(34),CHAR(92)&amp;CHAR(34))</f>
        <v/>
      </c>
      <c r="K2059" t="str">
        <f ca="1">SUBSTITUTE(SUBSTITUTE(SUBSTITUTE(SUBSTITUTE(IFERROR(VLOOKUP("Câu "&amp;D2059&amp;".",dapan!$E:$J,6,0),""),"1","A"),"2","B"),"3","C"),"4","D")</f>
        <v>B</v>
      </c>
      <c r="P2059">
        <f t="shared" si="119"/>
        <v>500</v>
      </c>
      <c r="Q2059" t="str">
        <f t="shared" ca="1" si="120"/>
        <v>{"num":500,"id":500,"q":"Theo tín hiệu đèn, xe nào đi là đúng quy tắc giao thông?","img":"q500.jpg","opts":{"A":"Xe khách, xe mô tô.","B":" Xe con, xe tải.","C":"Xe tải, xe mô tô."},"answer":"B"},</v>
      </c>
    </row>
    <row r="2060" spans="1:17" hidden="1" x14ac:dyDescent="0.25">
      <c r="A2060">
        <v>1</v>
      </c>
      <c r="B2060" t="s">
        <v>1442</v>
      </c>
      <c r="C2060">
        <f>IFERROR(COUNTIFS($A$1:A2060,"Câu "&amp;"*")-MID(A2060,5,FIND(".",A2060,1)-5),0)</f>
        <v>0</v>
      </c>
      <c r="D2060" t="str">
        <f t="shared" si="118"/>
        <v/>
      </c>
      <c r="E2060" t="str">
        <f>SUBSTITUTE(IF(LEFT(A2060,3)="Câu",MID(A2060,FIND(".",A2060,1)+2,LEN(A2060)),""),CHAR(34),CHAR(92)&amp;CHAR(34))</f>
        <v/>
      </c>
      <c r="F2060" t="str">
        <f t="shared" si="117"/>
        <v/>
      </c>
      <c r="G2060" t="str">
        <f>SUBSTITUTE(B2061,CHAR(34),CHAR(92)&amp;CHAR(34))</f>
        <v xml:space="preserve"> Xe con, xe tải.</v>
      </c>
      <c r="H2060" t="str">
        <f>SUBSTITUTE(B2062,CHAR(34),CHAR(92)&amp;CHAR(34))</f>
        <v>Xe tải, xe mô tô.</v>
      </c>
      <c r="I2060" t="str">
        <f>SUBSTITUTE(IF(LEFT(A2063,3)="Câu","",B2063),CHAR(34),CHAR(92)&amp;CHAR(34))</f>
        <v/>
      </c>
      <c r="J2060" t="str">
        <f>SUBSTITUTE(IF(OR(LEFT(A2064,3)="Câu",I2060=""),"",IF(B2064=0,"",B2064)),CHAR(34),CHAR(92)&amp;CHAR(34))</f>
        <v/>
      </c>
      <c r="K2060" t="str">
        <f>SUBSTITUTE(SUBSTITUTE(SUBSTITUTE(SUBSTITUTE(IFERROR(VLOOKUP("Câu "&amp;D2060&amp;".",dapan!$E:$J,6,0),""),"1","A"),"2","B"),"3","C"),"4","D")</f>
        <v/>
      </c>
      <c r="P2060" t="str">
        <f t="shared" si="119"/>
        <v/>
      </c>
      <c r="Q2060" t="str">
        <f t="shared" si="120"/>
        <v/>
      </c>
    </row>
    <row r="2061" spans="1:17" hidden="1" x14ac:dyDescent="0.25">
      <c r="A2061">
        <v>2</v>
      </c>
      <c r="B2061" t="s">
        <v>1443</v>
      </c>
      <c r="C2061">
        <f>IFERROR(COUNTIFS($A$1:A2061,"Câu "&amp;"*")-MID(A2061,5,FIND(".",A2061,1)-5),0)</f>
        <v>0</v>
      </c>
      <c r="D2061" t="str">
        <f t="shared" si="118"/>
        <v/>
      </c>
      <c r="E2061" t="str">
        <f>SUBSTITUTE(IF(LEFT(A2061,3)="Câu",MID(A2061,FIND(".",A2061,1)+2,LEN(A2061)),""),CHAR(34),CHAR(92)&amp;CHAR(34))</f>
        <v/>
      </c>
      <c r="F2061" t="str">
        <f t="shared" si="117"/>
        <v/>
      </c>
      <c r="G2061" t="str">
        <f>SUBSTITUTE(B2062,CHAR(34),CHAR(92)&amp;CHAR(34))</f>
        <v>Xe tải, xe mô tô.</v>
      </c>
      <c r="H2061" t="str">
        <f>SUBSTITUTE(B2063,CHAR(34),CHAR(92)&amp;CHAR(34))</f>
        <v/>
      </c>
      <c r="I2061" t="str">
        <f>SUBSTITUTE(IF(LEFT(A2064,3)="Câu","",B2064),CHAR(34),CHAR(92)&amp;CHAR(34))</f>
        <v>Xe công an đi làm nhiệm vụ khẩn cấp.</v>
      </c>
      <c r="J2061" t="str">
        <f>SUBSTITUTE(IF(OR(LEFT(A2065,3)="Câu",I2061=""),"",IF(B2065=0,"",B2065)),CHAR(34),CHAR(92)&amp;CHAR(34))</f>
        <v xml:space="preserve"> Xe quân sự đi làm nhiệm vụ khẩn cấp.</v>
      </c>
      <c r="K2061" t="str">
        <f>SUBSTITUTE(SUBSTITUTE(SUBSTITUTE(SUBSTITUTE(IFERROR(VLOOKUP("Câu "&amp;D2061&amp;".",dapan!$E:$J,6,0),""),"1","A"),"2","B"),"3","C"),"4","D")</f>
        <v/>
      </c>
      <c r="P2061" t="str">
        <f t="shared" si="119"/>
        <v/>
      </c>
      <c r="Q2061" t="str">
        <f t="shared" si="120"/>
        <v/>
      </c>
    </row>
    <row r="2062" spans="1:17" hidden="1" x14ac:dyDescent="0.25">
      <c r="A2062">
        <v>3</v>
      </c>
      <c r="B2062" t="s">
        <v>1397</v>
      </c>
      <c r="C2062">
        <f>IFERROR(COUNTIFS($A$1:A2062,"Câu "&amp;"*")-MID(A2062,5,FIND(".",A2062,1)-5),0)</f>
        <v>0</v>
      </c>
      <c r="D2062" t="str">
        <f t="shared" si="118"/>
        <v/>
      </c>
      <c r="E2062" t="str">
        <f>SUBSTITUTE(IF(LEFT(A2062,3)="Câu",MID(A2062,FIND(".",A2062,1)+2,LEN(A2062)),""),CHAR(34),CHAR(92)&amp;CHAR(34))</f>
        <v/>
      </c>
      <c r="F2062" t="str">
        <f t="shared" si="117"/>
        <v/>
      </c>
      <c r="G2062" t="str">
        <f>SUBSTITUTE(B2063,CHAR(34),CHAR(92)&amp;CHAR(34))</f>
        <v/>
      </c>
      <c r="H2062" t="str">
        <f>SUBSTITUTE(B2064,CHAR(34),CHAR(92)&amp;CHAR(34))</f>
        <v>Xe công an đi làm nhiệm vụ khẩn cấp.</v>
      </c>
      <c r="I2062" t="str">
        <f>SUBSTITUTE(IF(LEFT(A2065,3)="Câu","",B2065),CHAR(34),CHAR(92)&amp;CHAR(34))</f>
        <v xml:space="preserve"> Xe quân sự đi làm nhiệm vụ khẩn cấp.</v>
      </c>
      <c r="J2062" t="str">
        <f>SUBSTITUTE(IF(OR(LEFT(A2066,3)="Câu",I2062=""),"",IF(B2066=0,"",B2066)),CHAR(34),CHAR(92)&amp;CHAR(34))</f>
        <v/>
      </c>
      <c r="K2062" t="str">
        <f>SUBSTITUTE(SUBSTITUTE(SUBSTITUTE(SUBSTITUTE(IFERROR(VLOOKUP("Câu "&amp;D2062&amp;".",dapan!$E:$J,6,0),""),"1","A"),"2","B"),"3","C"),"4","D")</f>
        <v/>
      </c>
      <c r="P2062" t="str">
        <f t="shared" si="119"/>
        <v/>
      </c>
      <c r="Q2062" t="str">
        <f t="shared" si="120"/>
        <v/>
      </c>
    </row>
    <row r="2063" spans="1:17" x14ac:dyDescent="0.25">
      <c r="A2063" t="s">
        <v>1444</v>
      </c>
      <c r="C2063">
        <f>IFERROR(COUNTIFS($A$1:A2063,"Câu "&amp;"*")-MID(A2063,5,FIND(".",A2063,1)-5),0)</f>
        <v>0</v>
      </c>
      <c r="D2063">
        <f t="shared" si="118"/>
        <v>501</v>
      </c>
      <c r="E2063" t="str">
        <f>SUBSTITUTE(IF(LEFT(A2063,3)="Câu",MID(A2063,FIND(".",A2063,1)+2,LEN(A2063)),""),CHAR(34),CHAR(92)&amp;CHAR(34))</f>
        <v>Trong trường hợp này xe nào được quyền đi trước?</v>
      </c>
      <c r="F2063" t="str">
        <f t="shared" si="117"/>
        <v>q501.jpg</v>
      </c>
      <c r="G2063" t="str">
        <f>SUBSTITUTE(B2064,CHAR(34),CHAR(92)&amp;CHAR(34))</f>
        <v>Xe công an đi làm nhiệm vụ khẩn cấp.</v>
      </c>
      <c r="H2063" t="str">
        <f>SUBSTITUTE(B2065,CHAR(34),CHAR(92)&amp;CHAR(34))</f>
        <v xml:space="preserve"> Xe quân sự đi làm nhiệm vụ khẩn cấp.</v>
      </c>
      <c r="I2063" t="str">
        <f>SUBSTITUTE(IF(LEFT(A2066,3)="Câu","",B2066),CHAR(34),CHAR(92)&amp;CHAR(34))</f>
        <v/>
      </c>
      <c r="J2063" t="str">
        <f>SUBSTITUTE(IF(OR(LEFT(A2067,3)="Câu",I2063=""),"",IF(B2067=0,"",B2067)),CHAR(34),CHAR(92)&amp;CHAR(34))</f>
        <v/>
      </c>
      <c r="K2063" t="str">
        <f ca="1">SUBSTITUTE(SUBSTITUTE(SUBSTITUTE(SUBSTITUTE(IFERROR(VLOOKUP("Câu "&amp;D2063&amp;".",dapan!$E:$J,6,0),""),"1","A"),"2","B"),"3","C"),"4","D")</f>
        <v>B</v>
      </c>
      <c r="P2063">
        <f t="shared" si="119"/>
        <v>501</v>
      </c>
      <c r="Q2063" t="str">
        <f t="shared" ca="1" si="120"/>
        <v>{"num":501,"id":501,"q":"Trong trường hợp này xe nào được quyền đi trước?","img":"q501.jpg","opts":{"A":"Xe công an đi làm nhiệm vụ khẩn cấp.","B":" Xe quân sự đi làm nhiệm vụ khẩn cấp."},"answer":"B"},</v>
      </c>
    </row>
    <row r="2064" spans="1:17" hidden="1" x14ac:dyDescent="0.25">
      <c r="A2064">
        <v>1</v>
      </c>
      <c r="B2064" t="s">
        <v>1437</v>
      </c>
      <c r="C2064">
        <f>IFERROR(COUNTIFS($A$1:A2064,"Câu "&amp;"*")-MID(A2064,5,FIND(".",A2064,1)-5),0)</f>
        <v>0</v>
      </c>
      <c r="D2064" t="str">
        <f t="shared" si="118"/>
        <v/>
      </c>
      <c r="E2064" t="str">
        <f>SUBSTITUTE(IF(LEFT(A2064,3)="Câu",MID(A2064,FIND(".",A2064,1)+2,LEN(A2064)),""),CHAR(34),CHAR(92)&amp;CHAR(34))</f>
        <v/>
      </c>
      <c r="F2064" t="str">
        <f t="shared" si="117"/>
        <v/>
      </c>
      <c r="G2064" t="str">
        <f>SUBSTITUTE(B2065,CHAR(34),CHAR(92)&amp;CHAR(34))</f>
        <v xml:space="preserve"> Xe quân sự đi làm nhiệm vụ khẩn cấp.</v>
      </c>
      <c r="H2064" t="str">
        <f>SUBSTITUTE(B2066,CHAR(34),CHAR(92)&amp;CHAR(34))</f>
        <v/>
      </c>
      <c r="I2064" t="str">
        <f>SUBSTITUTE(IF(LEFT(A2067,3)="Câu","",B2067),CHAR(34),CHAR(92)&amp;CHAR(34))</f>
        <v>Hướng 2, 3, 4.</v>
      </c>
      <c r="J2064" t="str">
        <f>SUBSTITUTE(IF(OR(LEFT(A2068,3)="Câu",I2064=""),"",IF(B2068=0,"",B2068)),CHAR(34),CHAR(92)&amp;CHAR(34))</f>
        <v xml:space="preserve"> Chỉ hướng 1.</v>
      </c>
      <c r="K2064" t="str">
        <f>SUBSTITUTE(SUBSTITUTE(SUBSTITUTE(SUBSTITUTE(IFERROR(VLOOKUP("Câu "&amp;D2064&amp;".",dapan!$E:$J,6,0),""),"1","A"),"2","B"),"3","C"),"4","D")</f>
        <v/>
      </c>
      <c r="P2064" t="str">
        <f t="shared" si="119"/>
        <v/>
      </c>
      <c r="Q2064" t="str">
        <f t="shared" si="120"/>
        <v/>
      </c>
    </row>
    <row r="2065" spans="1:17" hidden="1" x14ac:dyDescent="0.25">
      <c r="A2065">
        <v>2</v>
      </c>
      <c r="B2065" t="s">
        <v>1445</v>
      </c>
      <c r="C2065">
        <f>IFERROR(COUNTIFS($A$1:A2065,"Câu "&amp;"*")-MID(A2065,5,FIND(".",A2065,1)-5),0)</f>
        <v>0</v>
      </c>
      <c r="D2065" t="str">
        <f t="shared" si="118"/>
        <v/>
      </c>
      <c r="E2065" t="str">
        <f>SUBSTITUTE(IF(LEFT(A2065,3)="Câu",MID(A2065,FIND(".",A2065,1)+2,LEN(A2065)),""),CHAR(34),CHAR(92)&amp;CHAR(34))</f>
        <v/>
      </c>
      <c r="F2065" t="str">
        <f t="shared" si="117"/>
        <v/>
      </c>
      <c r="G2065" t="str">
        <f>SUBSTITUTE(B2066,CHAR(34),CHAR(92)&amp;CHAR(34))</f>
        <v/>
      </c>
      <c r="H2065" t="str">
        <f>SUBSTITUTE(B2067,CHAR(34),CHAR(92)&amp;CHAR(34))</f>
        <v>Hướng 2, 3, 4.</v>
      </c>
      <c r="I2065" t="str">
        <f>SUBSTITUTE(IF(LEFT(A2068,3)="Câu","",B2068),CHAR(34),CHAR(92)&amp;CHAR(34))</f>
        <v xml:space="preserve"> Chỉ hướng 1.</v>
      </c>
      <c r="J2065" t="str">
        <f>SUBSTITUTE(IF(OR(LEFT(A2069,3)="Câu",I2065=""),"",IF(B2069=0,"",B2069)),CHAR(34),CHAR(92)&amp;CHAR(34))</f>
        <v>Hướng 1 và 2.</v>
      </c>
      <c r="K2065" t="str">
        <f>SUBSTITUTE(SUBSTITUTE(SUBSTITUTE(SUBSTITUTE(IFERROR(VLOOKUP("Câu "&amp;D2065&amp;".",dapan!$E:$J,6,0),""),"1","A"),"2","B"),"3","C"),"4","D")</f>
        <v/>
      </c>
      <c r="P2065" t="str">
        <f t="shared" si="119"/>
        <v/>
      </c>
      <c r="Q2065" t="str">
        <f t="shared" si="120"/>
        <v/>
      </c>
    </row>
    <row r="2066" spans="1:17" x14ac:dyDescent="0.25">
      <c r="A2066" t="s">
        <v>1446</v>
      </c>
      <c r="C2066">
        <f>IFERROR(COUNTIFS($A$1:A2066,"Câu "&amp;"*")-MID(A2066,5,FIND(".",A2066,1)-5),0)</f>
        <v>0</v>
      </c>
      <c r="D2066">
        <f t="shared" si="118"/>
        <v>502</v>
      </c>
      <c r="E2066" t="str">
        <f>SUBSTITUTE(IF(LEFT(A2066,3)="Câu",MID(A2066,FIND(".",A2066,1)+2,LEN(A2066)),""),CHAR(34),CHAR(92)&amp;CHAR(34))</f>
        <v>Theo tín hiệu đèn, xe tải đi theo hướng nào là đúng quy tắc giao thông?</v>
      </c>
      <c r="F2066" t="str">
        <f t="shared" si="117"/>
        <v>q502.jpg</v>
      </c>
      <c r="G2066" t="str">
        <f>SUBSTITUTE(B2067,CHAR(34),CHAR(92)&amp;CHAR(34))</f>
        <v>Hướng 2, 3, 4.</v>
      </c>
      <c r="H2066" t="str">
        <f>SUBSTITUTE(B2068,CHAR(34),CHAR(92)&amp;CHAR(34))</f>
        <v xml:space="preserve"> Chỉ hướng 1.</v>
      </c>
      <c r="I2066" t="str">
        <f>SUBSTITUTE(IF(LEFT(A2069,3)="Câu","",B2069),CHAR(34),CHAR(92)&amp;CHAR(34))</f>
        <v>Hướng 1 và 2.</v>
      </c>
      <c r="J2066" t="str">
        <f>SUBSTITUTE(IF(OR(LEFT(A2070,3)="Câu",I2066=""),"",IF(B2070=0,"",B2070)),CHAR(34),CHAR(92)&amp;CHAR(34))</f>
        <v>Hướng 3 và 4.</v>
      </c>
      <c r="K2066" t="str">
        <f ca="1">SUBSTITUTE(SUBSTITUTE(SUBSTITUTE(SUBSTITUTE(IFERROR(VLOOKUP("Câu "&amp;D2066&amp;".",dapan!$E:$J,6,0),""),"1","A"),"2","B"),"3","C"),"4","D")</f>
        <v>B</v>
      </c>
      <c r="P2066">
        <f t="shared" si="119"/>
        <v>502</v>
      </c>
      <c r="Q2066" t="str">
        <f t="shared" ca="1" si="120"/>
        <v>{"num":502,"id":502,"q":"Theo tín hiệu đèn, xe tải đi theo hướng nào là đúng quy tắc giao thông?","img":"q502.jpg","opts":{"A":"Hướng 2, 3, 4.","B":" Chỉ hướng 1.","C":"Hướng 1 và 2.","D":"Hướng 3 và 4."},"answer":"B"},</v>
      </c>
    </row>
    <row r="2067" spans="1:17" hidden="1" x14ac:dyDescent="0.25">
      <c r="A2067">
        <v>1</v>
      </c>
      <c r="B2067" t="s">
        <v>1447</v>
      </c>
      <c r="C2067">
        <f>IFERROR(COUNTIFS($A$1:A2067,"Câu "&amp;"*")-MID(A2067,5,FIND(".",A2067,1)-5),0)</f>
        <v>0</v>
      </c>
      <c r="D2067" t="str">
        <f t="shared" si="118"/>
        <v/>
      </c>
      <c r="E2067" t="str">
        <f>SUBSTITUTE(IF(LEFT(A2067,3)="Câu",MID(A2067,FIND(".",A2067,1)+2,LEN(A2067)),""),CHAR(34),CHAR(92)&amp;CHAR(34))</f>
        <v/>
      </c>
      <c r="F2067" t="str">
        <f t="shared" si="117"/>
        <v/>
      </c>
      <c r="G2067" t="str">
        <f>SUBSTITUTE(B2068,CHAR(34),CHAR(92)&amp;CHAR(34))</f>
        <v xml:space="preserve"> Chỉ hướng 1.</v>
      </c>
      <c r="H2067" t="str">
        <f>SUBSTITUTE(B2069,CHAR(34),CHAR(92)&amp;CHAR(34))</f>
        <v>Hướng 1 và 2.</v>
      </c>
      <c r="I2067" t="str">
        <f>SUBSTITUTE(IF(LEFT(A2070,3)="Câu","",B2070),CHAR(34),CHAR(92)&amp;CHAR(34))</f>
        <v>Hướng 3 và 4.</v>
      </c>
      <c r="J2067" t="str">
        <f>SUBSTITUTE(IF(OR(LEFT(A2071,3)="Câu",I2067=""),"",IF(B2071=0,"",B2071)),CHAR(34),CHAR(92)&amp;CHAR(34))</f>
        <v/>
      </c>
      <c r="K2067" t="str">
        <f>SUBSTITUTE(SUBSTITUTE(SUBSTITUTE(SUBSTITUTE(IFERROR(VLOOKUP("Câu "&amp;D2067&amp;".",dapan!$E:$J,6,0),""),"1","A"),"2","B"),"3","C"),"4","D")</f>
        <v/>
      </c>
      <c r="P2067" t="str">
        <f t="shared" si="119"/>
        <v/>
      </c>
      <c r="Q2067" t="str">
        <f t="shared" si="120"/>
        <v/>
      </c>
    </row>
    <row r="2068" spans="1:17" hidden="1" x14ac:dyDescent="0.25">
      <c r="A2068">
        <v>2</v>
      </c>
      <c r="B2068" t="s">
        <v>1448</v>
      </c>
      <c r="C2068">
        <f>IFERROR(COUNTIFS($A$1:A2068,"Câu "&amp;"*")-MID(A2068,5,FIND(".",A2068,1)-5),0)</f>
        <v>0</v>
      </c>
      <c r="D2068" t="str">
        <f t="shared" si="118"/>
        <v/>
      </c>
      <c r="E2068" t="str">
        <f>SUBSTITUTE(IF(LEFT(A2068,3)="Câu",MID(A2068,FIND(".",A2068,1)+2,LEN(A2068)),""),CHAR(34),CHAR(92)&amp;CHAR(34))</f>
        <v/>
      </c>
      <c r="F2068" t="str">
        <f t="shared" si="117"/>
        <v/>
      </c>
      <c r="G2068" t="str">
        <f>SUBSTITUTE(B2069,CHAR(34),CHAR(92)&amp;CHAR(34))</f>
        <v>Hướng 1 và 2.</v>
      </c>
      <c r="H2068" t="str">
        <f>SUBSTITUTE(B2070,CHAR(34),CHAR(92)&amp;CHAR(34))</f>
        <v>Hướng 3 và 4.</v>
      </c>
      <c r="I2068" t="str">
        <f>SUBSTITUTE(IF(LEFT(A2071,3)="Câu","",B2071),CHAR(34),CHAR(92)&amp;CHAR(34))</f>
        <v/>
      </c>
      <c r="J2068" t="str">
        <f>SUBSTITUTE(IF(OR(LEFT(A2072,3)="Câu",I2068=""),"",IF(B2072=0,"",B2072)),CHAR(34),CHAR(92)&amp;CHAR(34))</f>
        <v/>
      </c>
      <c r="K2068" t="str">
        <f>SUBSTITUTE(SUBSTITUTE(SUBSTITUTE(SUBSTITUTE(IFERROR(VLOOKUP("Câu "&amp;D2068&amp;".",dapan!$E:$J,6,0),""),"1","A"),"2","B"),"3","C"),"4","D")</f>
        <v/>
      </c>
      <c r="P2068" t="str">
        <f t="shared" si="119"/>
        <v/>
      </c>
      <c r="Q2068" t="str">
        <f t="shared" si="120"/>
        <v/>
      </c>
    </row>
    <row r="2069" spans="1:17" hidden="1" x14ac:dyDescent="0.25">
      <c r="A2069">
        <v>3</v>
      </c>
      <c r="B2069" t="s">
        <v>1449</v>
      </c>
      <c r="C2069">
        <f>IFERROR(COUNTIFS($A$1:A2069,"Câu "&amp;"*")-MID(A2069,5,FIND(".",A2069,1)-5),0)</f>
        <v>0</v>
      </c>
      <c r="D2069" t="str">
        <f t="shared" si="118"/>
        <v/>
      </c>
      <c r="E2069" t="str">
        <f>SUBSTITUTE(IF(LEFT(A2069,3)="Câu",MID(A2069,FIND(".",A2069,1)+2,LEN(A2069)),""),CHAR(34),CHAR(92)&amp;CHAR(34))</f>
        <v/>
      </c>
      <c r="F2069" t="str">
        <f t="shared" si="117"/>
        <v/>
      </c>
      <c r="G2069" t="str">
        <f>SUBSTITUTE(B2070,CHAR(34),CHAR(92)&amp;CHAR(34))</f>
        <v>Hướng 3 và 4.</v>
      </c>
      <c r="H2069" t="str">
        <f>SUBSTITUTE(B2071,CHAR(34),CHAR(92)&amp;CHAR(34))</f>
        <v/>
      </c>
      <c r="I2069" t="str">
        <f>SUBSTITUTE(IF(LEFT(A2072,3)="Câu","",B2072),CHAR(34),CHAR(92)&amp;CHAR(34))</f>
        <v xml:space="preserve"> Xe khách, xe tải, xe mô tô.</v>
      </c>
      <c r="J2069" t="str">
        <f>SUBSTITUTE(IF(OR(LEFT(A2073,3)="Câu",I2069=""),"",IF(B2073=0,"",B2073)),CHAR(34),CHAR(92)&amp;CHAR(34))</f>
        <v>Xe tải, xe con, xe mô tô.</v>
      </c>
      <c r="K2069" t="str">
        <f>SUBSTITUTE(SUBSTITUTE(SUBSTITUTE(SUBSTITUTE(IFERROR(VLOOKUP("Câu "&amp;D2069&amp;".",dapan!$E:$J,6,0),""),"1","A"),"2","B"),"3","C"),"4","D")</f>
        <v/>
      </c>
      <c r="P2069" t="str">
        <f t="shared" si="119"/>
        <v/>
      </c>
      <c r="Q2069" t="str">
        <f t="shared" si="120"/>
        <v/>
      </c>
    </row>
    <row r="2070" spans="1:17" hidden="1" x14ac:dyDescent="0.25">
      <c r="A2070">
        <v>4</v>
      </c>
      <c r="B2070" t="s">
        <v>1450</v>
      </c>
      <c r="C2070">
        <f>IFERROR(COUNTIFS($A$1:A2070,"Câu "&amp;"*")-MID(A2070,5,FIND(".",A2070,1)-5),0)</f>
        <v>0</v>
      </c>
      <c r="D2070" t="str">
        <f t="shared" si="118"/>
        <v/>
      </c>
      <c r="E2070" t="str">
        <f>SUBSTITUTE(IF(LEFT(A2070,3)="Câu",MID(A2070,FIND(".",A2070,1)+2,LEN(A2070)),""),CHAR(34),CHAR(92)&amp;CHAR(34))</f>
        <v/>
      </c>
      <c r="F2070" t="str">
        <f t="shared" ref="F2070:F2133" si="121">IF(D2070="","","q"&amp;TEXT(D2070,"000")&amp;".jpg")</f>
        <v/>
      </c>
      <c r="G2070" t="str">
        <f>SUBSTITUTE(B2071,CHAR(34),CHAR(92)&amp;CHAR(34))</f>
        <v/>
      </c>
      <c r="H2070" t="str">
        <f>SUBSTITUTE(B2072,CHAR(34),CHAR(92)&amp;CHAR(34))</f>
        <v xml:space="preserve"> Xe khách, xe tải, xe mô tô.</v>
      </c>
      <c r="I2070" t="str">
        <f>SUBSTITUTE(IF(LEFT(A2073,3)="Câu","",B2073),CHAR(34),CHAR(92)&amp;CHAR(34))</f>
        <v>Xe tải, xe con, xe mô tô.</v>
      </c>
      <c r="J2070" t="str">
        <f>SUBSTITUTE(IF(OR(LEFT(A2074,3)="Câu",I2070=""),"",IF(B2074=0,"",B2074)),CHAR(34),CHAR(92)&amp;CHAR(34))</f>
        <v>Xe khách, xe con, xe mô tô.</v>
      </c>
      <c r="K2070" t="str">
        <f>SUBSTITUTE(SUBSTITUTE(SUBSTITUTE(SUBSTITUTE(IFERROR(VLOOKUP("Câu "&amp;D2070&amp;".",dapan!$E:$J,6,0),""),"1","A"),"2","B"),"3","C"),"4","D")</f>
        <v/>
      </c>
      <c r="P2070" t="str">
        <f t="shared" si="119"/>
        <v/>
      </c>
      <c r="Q2070" t="str">
        <f t="shared" si="120"/>
        <v/>
      </c>
    </row>
    <row r="2071" spans="1:17" x14ac:dyDescent="0.25">
      <c r="A2071" t="s">
        <v>1451</v>
      </c>
      <c r="C2071">
        <f>IFERROR(COUNTIFS($A$1:A2071,"Câu "&amp;"*")-MID(A2071,5,FIND(".",A2071,1)-5),0)</f>
        <v>0</v>
      </c>
      <c r="D2071">
        <f t="shared" si="118"/>
        <v>503</v>
      </c>
      <c r="E2071" t="str">
        <f>SUBSTITUTE(IF(LEFT(A2071,3)="Câu",MID(A2071,FIND(".",A2071,1)+2,LEN(A2071)),""),CHAR(34),CHAR(92)&amp;CHAR(34))</f>
        <v>Các xe đi theo hướng mũi tên, những xe nào vi phạm quy tắc giao thông?</v>
      </c>
      <c r="F2071" t="str">
        <f t="shared" si="121"/>
        <v>q503.jpg</v>
      </c>
      <c r="G2071" t="str">
        <f>SUBSTITUTE(B2072,CHAR(34),CHAR(92)&amp;CHAR(34))</f>
        <v xml:space="preserve"> Xe khách, xe tải, xe mô tô.</v>
      </c>
      <c r="H2071" t="str">
        <f>SUBSTITUTE(B2073,CHAR(34),CHAR(92)&amp;CHAR(34))</f>
        <v>Xe tải, xe con, xe mô tô.</v>
      </c>
      <c r="I2071" t="str">
        <f>SUBSTITUTE(IF(LEFT(A2074,3)="Câu","",B2074),CHAR(34),CHAR(92)&amp;CHAR(34))</f>
        <v>Xe khách, xe con, xe mô tô.</v>
      </c>
      <c r="J2071" t="str">
        <f>SUBSTITUTE(IF(OR(LEFT(A2075,3)="Câu",I2071=""),"",IF(B2075=0,"",B2075)),CHAR(34),CHAR(92)&amp;CHAR(34))</f>
        <v/>
      </c>
      <c r="K2071" t="str">
        <f ca="1">SUBSTITUTE(SUBSTITUTE(SUBSTITUTE(SUBSTITUTE(IFERROR(VLOOKUP("Câu "&amp;D2071&amp;".",dapan!$E:$J,6,0),""),"1","A"),"2","B"),"3","C"),"4","D")</f>
        <v>A</v>
      </c>
      <c r="P2071">
        <f t="shared" si="119"/>
        <v>503</v>
      </c>
      <c r="Q2071" t="str">
        <f t="shared" ca="1" si="120"/>
        <v>{"num":503,"id":503,"q":"Các xe đi theo hướng mũi tên, những xe nào vi phạm quy tắc giao thông?","img":"q503.jpg","opts":{"A":" Xe khách, xe tải, xe mô tô.","B":"Xe tải, xe con, xe mô tô.","C":"Xe khách, xe con, xe mô tô."},"answer":"A"},</v>
      </c>
    </row>
    <row r="2072" spans="1:17" hidden="1" x14ac:dyDescent="0.25">
      <c r="A2072">
        <v>1</v>
      </c>
      <c r="B2072" t="s">
        <v>1452</v>
      </c>
      <c r="C2072">
        <f>IFERROR(COUNTIFS($A$1:A2072,"Câu "&amp;"*")-MID(A2072,5,FIND(".",A2072,1)-5),0)</f>
        <v>0</v>
      </c>
      <c r="D2072" t="str">
        <f t="shared" si="118"/>
        <v/>
      </c>
      <c r="E2072" t="str">
        <f>SUBSTITUTE(IF(LEFT(A2072,3)="Câu",MID(A2072,FIND(".",A2072,1)+2,LEN(A2072)),""),CHAR(34),CHAR(92)&amp;CHAR(34))</f>
        <v/>
      </c>
      <c r="F2072" t="str">
        <f t="shared" si="121"/>
        <v/>
      </c>
      <c r="G2072" t="str">
        <f>SUBSTITUTE(B2073,CHAR(34),CHAR(92)&amp;CHAR(34))</f>
        <v>Xe tải, xe con, xe mô tô.</v>
      </c>
      <c r="H2072" t="str">
        <f>SUBSTITUTE(B2074,CHAR(34),CHAR(92)&amp;CHAR(34))</f>
        <v>Xe khách, xe con, xe mô tô.</v>
      </c>
      <c r="I2072" t="str">
        <f>SUBSTITUTE(IF(LEFT(A2075,3)="Câu","",B2075),CHAR(34),CHAR(92)&amp;CHAR(34))</f>
        <v/>
      </c>
      <c r="J2072" t="str">
        <f>SUBSTITUTE(IF(OR(LEFT(A2076,3)="Câu",I2072=""),"",IF(B2076=0,"",B2076)),CHAR(34),CHAR(92)&amp;CHAR(34))</f>
        <v/>
      </c>
      <c r="K2072" t="str">
        <f>SUBSTITUTE(SUBSTITUTE(SUBSTITUTE(SUBSTITUTE(IFERROR(VLOOKUP("Câu "&amp;D2072&amp;".",dapan!$E:$J,6,0),""),"1","A"),"2","B"),"3","C"),"4","D")</f>
        <v/>
      </c>
      <c r="P2072" t="str">
        <f t="shared" si="119"/>
        <v/>
      </c>
      <c r="Q2072" t="str">
        <f t="shared" si="120"/>
        <v/>
      </c>
    </row>
    <row r="2073" spans="1:17" hidden="1" x14ac:dyDescent="0.25">
      <c r="A2073">
        <v>2</v>
      </c>
      <c r="B2073" t="s">
        <v>1413</v>
      </c>
      <c r="C2073">
        <f>IFERROR(COUNTIFS($A$1:A2073,"Câu "&amp;"*")-MID(A2073,5,FIND(".",A2073,1)-5),0)</f>
        <v>0</v>
      </c>
      <c r="D2073" t="str">
        <f t="shared" ref="D2073:D2136" si="122">IF(LEFT(A2073,3)="Câu",VALUE(MID(A2073,5,FIND(".",A2073,1)-5)),"")</f>
        <v/>
      </c>
      <c r="E2073" t="str">
        <f>SUBSTITUTE(IF(LEFT(A2073,3)="Câu",MID(A2073,FIND(".",A2073,1)+2,LEN(A2073)),""),CHAR(34),CHAR(92)&amp;CHAR(34))</f>
        <v/>
      </c>
      <c r="F2073" t="str">
        <f t="shared" si="121"/>
        <v/>
      </c>
      <c r="G2073" t="str">
        <f>SUBSTITUTE(B2074,CHAR(34),CHAR(92)&amp;CHAR(34))</f>
        <v>Xe khách, xe con, xe mô tô.</v>
      </c>
      <c r="H2073" t="str">
        <f>SUBSTITUTE(B2075,CHAR(34),CHAR(92)&amp;CHAR(34))</f>
        <v/>
      </c>
      <c r="I2073" t="str">
        <f>SUBSTITUTE(IF(LEFT(A2076,3)="Câu","",B2076),CHAR(34),CHAR(92)&amp;CHAR(34))</f>
        <v>Xe khách, xe tải, xe mô tô, xe con.</v>
      </c>
      <c r="J2073" t="str">
        <f>SUBSTITUTE(IF(OR(LEFT(A2077,3)="Câu",I2073=""),"",IF(B2077=0,"",B2077)),CHAR(34),CHAR(92)&amp;CHAR(34))</f>
        <v>Xe con, xe khách, xe tải, xe mô tô.</v>
      </c>
      <c r="K2073" t="str">
        <f>SUBSTITUTE(SUBSTITUTE(SUBSTITUTE(SUBSTITUTE(IFERROR(VLOOKUP("Câu "&amp;D2073&amp;".",dapan!$E:$J,6,0),""),"1","A"),"2","B"),"3","C"),"4","D")</f>
        <v/>
      </c>
      <c r="P2073" t="str">
        <f t="shared" si="119"/>
        <v/>
      </c>
      <c r="Q2073" t="str">
        <f t="shared" si="120"/>
        <v/>
      </c>
    </row>
    <row r="2074" spans="1:17" hidden="1" x14ac:dyDescent="0.25">
      <c r="A2074">
        <v>3</v>
      </c>
      <c r="B2074" t="s">
        <v>1453</v>
      </c>
      <c r="C2074">
        <f>IFERROR(COUNTIFS($A$1:A2074,"Câu "&amp;"*")-MID(A2074,5,FIND(".",A2074,1)-5),0)</f>
        <v>0</v>
      </c>
      <c r="D2074" t="str">
        <f t="shared" si="122"/>
        <v/>
      </c>
      <c r="E2074" t="str">
        <f>SUBSTITUTE(IF(LEFT(A2074,3)="Câu",MID(A2074,FIND(".",A2074,1)+2,LEN(A2074)),""),CHAR(34),CHAR(92)&amp;CHAR(34))</f>
        <v/>
      </c>
      <c r="F2074" t="str">
        <f t="shared" si="121"/>
        <v/>
      </c>
      <c r="G2074" t="str">
        <f>SUBSTITUTE(B2075,CHAR(34),CHAR(92)&amp;CHAR(34))</f>
        <v/>
      </c>
      <c r="H2074" t="str">
        <f>SUBSTITUTE(B2076,CHAR(34),CHAR(92)&amp;CHAR(34))</f>
        <v>Xe khách, xe tải, xe mô tô, xe con.</v>
      </c>
      <c r="I2074" t="str">
        <f>SUBSTITUTE(IF(LEFT(A2077,3)="Câu","",B2077),CHAR(34),CHAR(92)&amp;CHAR(34))</f>
        <v>Xe con, xe khách, xe tải, xe mô tô.</v>
      </c>
      <c r="J2074" t="str">
        <f>SUBSTITUTE(IF(OR(LEFT(A2078,3)="Câu",I2074=""),"",IF(B2078=0,"",B2078)),CHAR(34),CHAR(92)&amp;CHAR(34))</f>
        <v xml:space="preserve"> Xe mô tô, xe tải, xe khách, xe con.</v>
      </c>
      <c r="K2074" t="str">
        <f>SUBSTITUTE(SUBSTITUTE(SUBSTITUTE(SUBSTITUTE(IFERROR(VLOOKUP("Câu "&amp;D2074&amp;".",dapan!$E:$J,6,0),""),"1","A"),"2","B"),"3","C"),"4","D")</f>
        <v/>
      </c>
      <c r="P2074" t="str">
        <f t="shared" si="119"/>
        <v/>
      </c>
      <c r="Q2074" t="str">
        <f t="shared" si="120"/>
        <v/>
      </c>
    </row>
    <row r="2075" spans="1:17" x14ac:dyDescent="0.25">
      <c r="A2075" t="s">
        <v>1454</v>
      </c>
      <c r="C2075">
        <f>IFERROR(COUNTIFS($A$1:A2075,"Câu "&amp;"*")-MID(A2075,5,FIND(".",A2075,1)-5),0)</f>
        <v>0</v>
      </c>
      <c r="D2075">
        <f t="shared" si="122"/>
        <v>504</v>
      </c>
      <c r="E2075" t="str">
        <f>SUBSTITUTE(IF(LEFT(A2075,3)="Câu",MID(A2075,FIND(".",A2075,1)+2,LEN(A2075)),""),CHAR(34),CHAR(92)&amp;CHAR(34))</f>
        <v>Theo hướng mũi tên, thứ tự các xe đi như thế nào là đúng quy tắc giao thông?</v>
      </c>
      <c r="F2075" t="str">
        <f t="shared" si="121"/>
        <v>q504.jpg</v>
      </c>
      <c r="G2075" t="str">
        <f>SUBSTITUTE(B2076,CHAR(34),CHAR(92)&amp;CHAR(34))</f>
        <v>Xe khách, xe tải, xe mô tô, xe con.</v>
      </c>
      <c r="H2075" t="str">
        <f>SUBSTITUTE(B2077,CHAR(34),CHAR(92)&amp;CHAR(34))</f>
        <v>Xe con, xe khách, xe tải, xe mô tô.</v>
      </c>
      <c r="I2075" t="str">
        <f>SUBSTITUTE(IF(LEFT(A2078,3)="Câu","",B2078),CHAR(34),CHAR(92)&amp;CHAR(34))</f>
        <v xml:space="preserve"> Xe mô tô, xe tải, xe khách, xe con.</v>
      </c>
      <c r="J2075" t="str">
        <f>SUBSTITUTE(IF(OR(LEFT(A2079,3)="Câu",I2075=""),"",IF(B2079=0,"",B2079)),CHAR(34),CHAR(92)&amp;CHAR(34))</f>
        <v>Xe mô tô, xe tải, xe con, xe khách.</v>
      </c>
      <c r="K2075" t="str">
        <f ca="1">SUBSTITUTE(SUBSTITUTE(SUBSTITUTE(SUBSTITUTE(IFERROR(VLOOKUP("Câu "&amp;D2075&amp;".",dapan!$E:$J,6,0),""),"1","A"),"2","B"),"3","C"),"4","D")</f>
        <v>C</v>
      </c>
      <c r="P2075">
        <f t="shared" si="119"/>
        <v>504</v>
      </c>
      <c r="Q2075" t="str">
        <f t="shared" ca="1" si="120"/>
        <v>{"num":504,"id":504,"q":"Theo hướng mũi tên, thứ tự các xe đi như thế nào là đúng quy tắc giao thông?","img":"q504.jpg","opts":{"A":"Xe khách, xe tải, xe mô tô, xe con.","B":"Xe con, xe khách, xe tải, xe mô tô.","C":" Xe mô tô, xe tải, xe khách, xe con.","D":"Xe mô tô, xe tải, xe con, xe khách."},"answer":"C"},</v>
      </c>
    </row>
    <row r="2076" spans="1:17" hidden="1" x14ac:dyDescent="0.25">
      <c r="A2076">
        <v>1</v>
      </c>
      <c r="B2076" t="s">
        <v>1455</v>
      </c>
      <c r="C2076">
        <f>IFERROR(COUNTIFS($A$1:A2076,"Câu "&amp;"*")-MID(A2076,5,FIND(".",A2076,1)-5),0)</f>
        <v>0</v>
      </c>
      <c r="D2076" t="str">
        <f t="shared" si="122"/>
        <v/>
      </c>
      <c r="E2076" t="str">
        <f>SUBSTITUTE(IF(LEFT(A2076,3)="Câu",MID(A2076,FIND(".",A2076,1)+2,LEN(A2076)),""),CHAR(34),CHAR(92)&amp;CHAR(34))</f>
        <v/>
      </c>
      <c r="F2076" t="str">
        <f t="shared" si="121"/>
        <v/>
      </c>
      <c r="G2076" t="str">
        <f>SUBSTITUTE(B2077,CHAR(34),CHAR(92)&amp;CHAR(34))</f>
        <v>Xe con, xe khách, xe tải, xe mô tô.</v>
      </c>
      <c r="H2076" t="str">
        <f>SUBSTITUTE(B2078,CHAR(34),CHAR(92)&amp;CHAR(34))</f>
        <v xml:space="preserve"> Xe mô tô, xe tải, xe khách, xe con.</v>
      </c>
      <c r="I2076" t="str">
        <f>SUBSTITUTE(IF(LEFT(A2079,3)="Câu","",B2079),CHAR(34),CHAR(92)&amp;CHAR(34))</f>
        <v>Xe mô tô, xe tải, xe con, xe khách.</v>
      </c>
      <c r="J2076" t="str">
        <f>SUBSTITUTE(IF(OR(LEFT(A2080,3)="Câu",I2076=""),"",IF(B2080=0,"",B2080)),CHAR(34),CHAR(92)&amp;CHAR(34))</f>
        <v/>
      </c>
      <c r="K2076" t="str">
        <f>SUBSTITUTE(SUBSTITUTE(SUBSTITUTE(SUBSTITUTE(IFERROR(VLOOKUP("Câu "&amp;D2076&amp;".",dapan!$E:$J,6,0),""),"1","A"),"2","B"),"3","C"),"4","D")</f>
        <v/>
      </c>
      <c r="P2076" t="str">
        <f t="shared" si="119"/>
        <v/>
      </c>
      <c r="Q2076" t="str">
        <f t="shared" si="120"/>
        <v/>
      </c>
    </row>
    <row r="2077" spans="1:17" hidden="1" x14ac:dyDescent="0.25">
      <c r="A2077">
        <v>2</v>
      </c>
      <c r="B2077" t="s">
        <v>1456</v>
      </c>
      <c r="C2077">
        <f>IFERROR(COUNTIFS($A$1:A2077,"Câu "&amp;"*")-MID(A2077,5,FIND(".",A2077,1)-5),0)</f>
        <v>0</v>
      </c>
      <c r="D2077" t="str">
        <f t="shared" si="122"/>
        <v/>
      </c>
      <c r="E2077" t="str">
        <f>SUBSTITUTE(IF(LEFT(A2077,3)="Câu",MID(A2077,FIND(".",A2077,1)+2,LEN(A2077)),""),CHAR(34),CHAR(92)&amp;CHAR(34))</f>
        <v/>
      </c>
      <c r="F2077" t="str">
        <f t="shared" si="121"/>
        <v/>
      </c>
      <c r="G2077" t="str">
        <f>SUBSTITUTE(B2078,CHAR(34),CHAR(92)&amp;CHAR(34))</f>
        <v xml:space="preserve"> Xe mô tô, xe tải, xe khách, xe con.</v>
      </c>
      <c r="H2077" t="str">
        <f>SUBSTITUTE(B2079,CHAR(34),CHAR(92)&amp;CHAR(34))</f>
        <v>Xe mô tô, xe tải, xe con, xe khách.</v>
      </c>
      <c r="I2077" t="str">
        <f>SUBSTITUTE(IF(LEFT(A2080,3)="Câu","",B2080),CHAR(34),CHAR(92)&amp;CHAR(34))</f>
        <v/>
      </c>
      <c r="J2077" t="str">
        <f>SUBSTITUTE(IF(OR(LEFT(A2081,3)="Câu",I2077=""),"",IF(B2081=0,"",B2081)),CHAR(34),CHAR(92)&amp;CHAR(34))</f>
        <v/>
      </c>
      <c r="K2077" t="str">
        <f>SUBSTITUTE(SUBSTITUTE(SUBSTITUTE(SUBSTITUTE(IFERROR(VLOOKUP("Câu "&amp;D2077&amp;".",dapan!$E:$J,6,0),""),"1","A"),"2","B"),"3","C"),"4","D")</f>
        <v/>
      </c>
      <c r="P2077" t="str">
        <f t="shared" si="119"/>
        <v/>
      </c>
      <c r="Q2077" t="str">
        <f t="shared" si="120"/>
        <v/>
      </c>
    </row>
    <row r="2078" spans="1:17" hidden="1" x14ac:dyDescent="0.25">
      <c r="A2078">
        <v>3</v>
      </c>
      <c r="B2078" t="s">
        <v>1457</v>
      </c>
      <c r="C2078">
        <f>IFERROR(COUNTIFS($A$1:A2078,"Câu "&amp;"*")-MID(A2078,5,FIND(".",A2078,1)-5),0)</f>
        <v>0</v>
      </c>
      <c r="D2078" t="str">
        <f t="shared" si="122"/>
        <v/>
      </c>
      <c r="E2078" t="str">
        <f>SUBSTITUTE(IF(LEFT(A2078,3)="Câu",MID(A2078,FIND(".",A2078,1)+2,LEN(A2078)),""),CHAR(34),CHAR(92)&amp;CHAR(34))</f>
        <v/>
      </c>
      <c r="F2078" t="str">
        <f t="shared" si="121"/>
        <v/>
      </c>
      <c r="G2078" t="str">
        <f>SUBSTITUTE(B2079,CHAR(34),CHAR(92)&amp;CHAR(34))</f>
        <v>Xe mô tô, xe tải, xe con, xe khách.</v>
      </c>
      <c r="H2078" t="str">
        <f>SUBSTITUTE(B2080,CHAR(34),CHAR(92)&amp;CHAR(34))</f>
        <v/>
      </c>
      <c r="I2078" t="str">
        <f>SUBSTITUTE(IF(LEFT(A2081,3)="Câu","",B2081),CHAR(34),CHAR(92)&amp;CHAR(34))</f>
        <v xml:space="preserve"> Xe tải.</v>
      </c>
      <c r="J2078" t="str">
        <f>SUBSTITUTE(IF(OR(LEFT(A2082,3)="Câu",I2078=""),"",IF(B2082=0,"",B2082)),CHAR(34),CHAR(92)&amp;CHAR(34))</f>
        <v>Xe con và mô tô.</v>
      </c>
      <c r="K2078" t="str">
        <f>SUBSTITUTE(SUBSTITUTE(SUBSTITUTE(SUBSTITUTE(IFERROR(VLOOKUP("Câu "&amp;D2078&amp;".",dapan!$E:$J,6,0),""),"1","A"),"2","B"),"3","C"),"4","D")</f>
        <v/>
      </c>
      <c r="P2078" t="str">
        <f t="shared" si="119"/>
        <v/>
      </c>
      <c r="Q2078" t="str">
        <f t="shared" si="120"/>
        <v/>
      </c>
    </row>
    <row r="2079" spans="1:17" hidden="1" x14ac:dyDescent="0.25">
      <c r="A2079">
        <v>4</v>
      </c>
      <c r="B2079" t="s">
        <v>1458</v>
      </c>
      <c r="C2079">
        <f>IFERROR(COUNTIFS($A$1:A2079,"Câu "&amp;"*")-MID(A2079,5,FIND(".",A2079,1)-5),0)</f>
        <v>0</v>
      </c>
      <c r="D2079" t="str">
        <f t="shared" si="122"/>
        <v/>
      </c>
      <c r="E2079" t="str">
        <f>SUBSTITUTE(IF(LEFT(A2079,3)="Câu",MID(A2079,FIND(".",A2079,1)+2,LEN(A2079)),""),CHAR(34),CHAR(92)&amp;CHAR(34))</f>
        <v/>
      </c>
      <c r="F2079" t="str">
        <f t="shared" si="121"/>
        <v/>
      </c>
      <c r="G2079" t="str">
        <f>SUBSTITUTE(B2080,CHAR(34),CHAR(92)&amp;CHAR(34))</f>
        <v/>
      </c>
      <c r="H2079" t="str">
        <f>SUBSTITUTE(B2081,CHAR(34),CHAR(92)&amp;CHAR(34))</f>
        <v xml:space="preserve"> Xe tải.</v>
      </c>
      <c r="I2079" t="str">
        <f>SUBSTITUTE(IF(LEFT(A2082,3)="Câu","",B2082),CHAR(34),CHAR(92)&amp;CHAR(34))</f>
        <v>Xe con và mô tô.</v>
      </c>
      <c r="J2079" t="str">
        <f>SUBSTITUTE(IF(OR(LEFT(A2083,3)="Câu",I2079=""),"",IF(B2083=0,"",B2083)),CHAR(34),CHAR(92)&amp;CHAR(34))</f>
        <v>Cả ba xe.</v>
      </c>
      <c r="K2079" t="str">
        <f>SUBSTITUTE(SUBSTITUTE(SUBSTITUTE(SUBSTITUTE(IFERROR(VLOOKUP("Câu "&amp;D2079&amp;".",dapan!$E:$J,6,0),""),"1","A"),"2","B"),"3","C"),"4","D")</f>
        <v/>
      </c>
      <c r="P2079" t="str">
        <f t="shared" si="119"/>
        <v/>
      </c>
      <c r="Q2079" t="str">
        <f t="shared" si="120"/>
        <v/>
      </c>
    </row>
    <row r="2080" spans="1:17" x14ac:dyDescent="0.25">
      <c r="A2080" t="s">
        <v>1459</v>
      </c>
      <c r="C2080">
        <f>IFERROR(COUNTIFS($A$1:A2080,"Câu "&amp;"*")-MID(A2080,5,FIND(".",A2080,1)-5),0)</f>
        <v>0</v>
      </c>
      <c r="D2080">
        <f t="shared" si="122"/>
        <v>505</v>
      </c>
      <c r="E2080" t="str">
        <f>SUBSTITUTE(IF(LEFT(A2080,3)="Câu",MID(A2080,FIND(".",A2080,1)+2,LEN(A2080)),""),CHAR(34),CHAR(92)&amp;CHAR(34))</f>
        <v>Trong trường hợp này xe nào đỗ vi phạm quy tắc giao thông?</v>
      </c>
      <c r="F2080" t="str">
        <f t="shared" si="121"/>
        <v>q505.jpg</v>
      </c>
      <c r="G2080" t="str">
        <f>SUBSTITUTE(B2081,CHAR(34),CHAR(92)&amp;CHAR(34))</f>
        <v xml:space="preserve"> Xe tải.</v>
      </c>
      <c r="H2080" t="str">
        <f>SUBSTITUTE(B2082,CHAR(34),CHAR(92)&amp;CHAR(34))</f>
        <v>Xe con và mô tô.</v>
      </c>
      <c r="I2080" t="str">
        <f>SUBSTITUTE(IF(LEFT(A2083,3)="Câu","",B2083),CHAR(34),CHAR(92)&amp;CHAR(34))</f>
        <v>Cả ba xe.</v>
      </c>
      <c r="J2080" t="str">
        <f>SUBSTITUTE(IF(OR(LEFT(A2084,3)="Câu",I2080=""),"",IF(B2084=0,"",B2084)),CHAR(34),CHAR(92)&amp;CHAR(34))</f>
        <v>Xe con và xe tải.</v>
      </c>
      <c r="K2080" t="str">
        <f ca="1">SUBSTITUTE(SUBSTITUTE(SUBSTITUTE(SUBSTITUTE(IFERROR(VLOOKUP("Câu "&amp;D2080&amp;".",dapan!$E:$J,6,0),""),"1","A"),"2","B"),"3","C"),"4","D")</f>
        <v>A</v>
      </c>
      <c r="P2080">
        <f t="shared" si="119"/>
        <v>505</v>
      </c>
      <c r="Q2080" t="str">
        <f t="shared" ca="1" si="120"/>
        <v>{"num":505,"id":505,"q":"Trong trường hợp này xe nào đỗ vi phạm quy tắc giao thông?","img":"q505.jpg","opts":{"A":" Xe tải.","B":"Xe con và mô tô.","C":"Cả ba xe.","D":"Xe con và xe tải."},"answer":"A"},</v>
      </c>
    </row>
    <row r="2081" spans="1:17" hidden="1" x14ac:dyDescent="0.25">
      <c r="A2081">
        <v>1</v>
      </c>
      <c r="B2081" t="s">
        <v>1460</v>
      </c>
      <c r="C2081">
        <f>IFERROR(COUNTIFS($A$1:A2081,"Câu "&amp;"*")-MID(A2081,5,FIND(".",A2081,1)-5),0)</f>
        <v>0</v>
      </c>
      <c r="D2081" t="str">
        <f t="shared" si="122"/>
        <v/>
      </c>
      <c r="E2081" t="str">
        <f>SUBSTITUTE(IF(LEFT(A2081,3)="Câu",MID(A2081,FIND(".",A2081,1)+2,LEN(A2081)),""),CHAR(34),CHAR(92)&amp;CHAR(34))</f>
        <v/>
      </c>
      <c r="F2081" t="str">
        <f t="shared" si="121"/>
        <v/>
      </c>
      <c r="G2081" t="str">
        <f>SUBSTITUTE(B2082,CHAR(34),CHAR(92)&amp;CHAR(34))</f>
        <v>Xe con và mô tô.</v>
      </c>
      <c r="H2081" t="str">
        <f>SUBSTITUTE(B2083,CHAR(34),CHAR(92)&amp;CHAR(34))</f>
        <v>Cả ba xe.</v>
      </c>
      <c r="I2081" t="str">
        <f>SUBSTITUTE(IF(LEFT(A2084,3)="Câu","",B2084),CHAR(34),CHAR(92)&amp;CHAR(34))</f>
        <v>Xe con và xe tải.</v>
      </c>
      <c r="J2081" t="str">
        <f>SUBSTITUTE(IF(OR(LEFT(A2085,3)="Câu",I2081=""),"",IF(B2085=0,"",B2085)),CHAR(34),CHAR(92)&amp;CHAR(34))</f>
        <v/>
      </c>
      <c r="K2081" t="str">
        <f>SUBSTITUTE(SUBSTITUTE(SUBSTITUTE(SUBSTITUTE(IFERROR(VLOOKUP("Câu "&amp;D2081&amp;".",dapan!$E:$J,6,0),""),"1","A"),"2","B"),"3","C"),"4","D")</f>
        <v/>
      </c>
      <c r="P2081" t="str">
        <f t="shared" si="119"/>
        <v/>
      </c>
      <c r="Q2081" t="str">
        <f t="shared" si="120"/>
        <v/>
      </c>
    </row>
    <row r="2082" spans="1:17" hidden="1" x14ac:dyDescent="0.25">
      <c r="A2082">
        <v>2</v>
      </c>
      <c r="B2082" t="s">
        <v>1461</v>
      </c>
      <c r="C2082">
        <f>IFERROR(COUNTIFS($A$1:A2082,"Câu "&amp;"*")-MID(A2082,5,FIND(".",A2082,1)-5),0)</f>
        <v>0</v>
      </c>
      <c r="D2082" t="str">
        <f t="shared" si="122"/>
        <v/>
      </c>
      <c r="E2082" t="str">
        <f>SUBSTITUTE(IF(LEFT(A2082,3)="Câu",MID(A2082,FIND(".",A2082,1)+2,LEN(A2082)),""),CHAR(34),CHAR(92)&amp;CHAR(34))</f>
        <v/>
      </c>
      <c r="F2082" t="str">
        <f t="shared" si="121"/>
        <v/>
      </c>
      <c r="G2082" t="str">
        <f>SUBSTITUTE(B2083,CHAR(34),CHAR(92)&amp;CHAR(34))</f>
        <v>Cả ba xe.</v>
      </c>
      <c r="H2082" t="str">
        <f>SUBSTITUTE(B2084,CHAR(34),CHAR(92)&amp;CHAR(34))</f>
        <v>Xe con và xe tải.</v>
      </c>
      <c r="I2082" t="str">
        <f>SUBSTITUTE(IF(LEFT(A2085,3)="Câu","",B2085),CHAR(34),CHAR(92)&amp;CHAR(34))</f>
        <v/>
      </c>
      <c r="J2082" t="str">
        <f>SUBSTITUTE(IF(OR(LEFT(A2086,3)="Câu",I2082=""),"",IF(B2086=0,"",B2086)),CHAR(34),CHAR(92)&amp;CHAR(34))</f>
        <v/>
      </c>
      <c r="K2082" t="str">
        <f>SUBSTITUTE(SUBSTITUTE(SUBSTITUTE(SUBSTITUTE(IFERROR(VLOOKUP("Câu "&amp;D2082&amp;".",dapan!$E:$J,6,0),""),"1","A"),"2","B"),"3","C"),"4","D")</f>
        <v/>
      </c>
      <c r="P2082" t="str">
        <f t="shared" si="119"/>
        <v/>
      </c>
      <c r="Q2082" t="str">
        <f t="shared" si="120"/>
        <v/>
      </c>
    </row>
    <row r="2083" spans="1:17" hidden="1" x14ac:dyDescent="0.25">
      <c r="A2083">
        <v>3</v>
      </c>
      <c r="B2083" t="s">
        <v>1462</v>
      </c>
      <c r="C2083">
        <f>IFERROR(COUNTIFS($A$1:A2083,"Câu "&amp;"*")-MID(A2083,5,FIND(".",A2083,1)-5),0)</f>
        <v>0</v>
      </c>
      <c r="D2083" t="str">
        <f t="shared" si="122"/>
        <v/>
      </c>
      <c r="E2083" t="str">
        <f>SUBSTITUTE(IF(LEFT(A2083,3)="Câu",MID(A2083,FIND(".",A2083,1)+2,LEN(A2083)),""),CHAR(34),CHAR(92)&amp;CHAR(34))</f>
        <v/>
      </c>
      <c r="F2083" t="str">
        <f t="shared" si="121"/>
        <v/>
      </c>
      <c r="G2083" t="str">
        <f>SUBSTITUTE(B2084,CHAR(34),CHAR(92)&amp;CHAR(34))</f>
        <v>Xe con và xe tải.</v>
      </c>
      <c r="H2083" t="str">
        <f>SUBSTITUTE(B2085,CHAR(34),CHAR(92)&amp;CHAR(34))</f>
        <v/>
      </c>
      <c r="I2083" t="str">
        <f>SUBSTITUTE(IF(LEFT(A2086,3)="Câu","",B2086),CHAR(34),CHAR(92)&amp;CHAR(34))</f>
        <v>Xe tải.</v>
      </c>
      <c r="J2083" t="str">
        <f>SUBSTITUTE(IF(OR(LEFT(A2087,3)="Câu",I2083=""),"",IF(B2087=0,"",B2087)),CHAR(34),CHAR(92)&amp;CHAR(34))</f>
        <v xml:space="preserve"> Xe con (B).</v>
      </c>
      <c r="K2083" t="str">
        <f>SUBSTITUTE(SUBSTITUTE(SUBSTITUTE(SUBSTITUTE(IFERROR(VLOOKUP("Câu "&amp;D2083&amp;".",dapan!$E:$J,6,0),""),"1","A"),"2","B"),"3","C"),"4","D")</f>
        <v/>
      </c>
      <c r="P2083" t="str">
        <f t="shared" si="119"/>
        <v/>
      </c>
      <c r="Q2083" t="str">
        <f t="shared" si="120"/>
        <v/>
      </c>
    </row>
    <row r="2084" spans="1:17" hidden="1" x14ac:dyDescent="0.25">
      <c r="A2084">
        <v>4</v>
      </c>
      <c r="B2084" t="s">
        <v>1463</v>
      </c>
      <c r="C2084">
        <f>IFERROR(COUNTIFS($A$1:A2084,"Câu "&amp;"*")-MID(A2084,5,FIND(".",A2084,1)-5),0)</f>
        <v>0</v>
      </c>
      <c r="D2084" t="str">
        <f t="shared" si="122"/>
        <v/>
      </c>
      <c r="E2084" t="str">
        <f>SUBSTITUTE(IF(LEFT(A2084,3)="Câu",MID(A2084,FIND(".",A2084,1)+2,LEN(A2084)),""),CHAR(34),CHAR(92)&amp;CHAR(34))</f>
        <v/>
      </c>
      <c r="F2084" t="str">
        <f t="shared" si="121"/>
        <v/>
      </c>
      <c r="G2084" t="str">
        <f>SUBSTITUTE(B2085,CHAR(34),CHAR(92)&amp;CHAR(34))</f>
        <v/>
      </c>
      <c r="H2084" t="str">
        <f>SUBSTITUTE(B2086,CHAR(34),CHAR(92)&amp;CHAR(34))</f>
        <v>Xe tải.</v>
      </c>
      <c r="I2084" t="str">
        <f>SUBSTITUTE(IF(LEFT(A2087,3)="Câu","",B2087),CHAR(34),CHAR(92)&amp;CHAR(34))</f>
        <v xml:space="preserve"> Xe con (B).</v>
      </c>
      <c r="J2084" t="str">
        <f>SUBSTITUTE(IF(OR(LEFT(A2088,3)="Câu",I2084=""),"",IF(B2088=0,"",B2088)),CHAR(34),CHAR(92)&amp;CHAR(34))</f>
        <v>Xe con (A).</v>
      </c>
      <c r="K2084" t="str">
        <f>SUBSTITUTE(SUBSTITUTE(SUBSTITUTE(SUBSTITUTE(IFERROR(VLOOKUP("Câu "&amp;D2084&amp;".",dapan!$E:$J,6,0),""),"1","A"),"2","B"),"3","C"),"4","D")</f>
        <v/>
      </c>
      <c r="P2084" t="str">
        <f t="shared" si="119"/>
        <v/>
      </c>
      <c r="Q2084" t="str">
        <f t="shared" si="120"/>
        <v/>
      </c>
    </row>
    <row r="2085" spans="1:17" x14ac:dyDescent="0.25">
      <c r="A2085" t="s">
        <v>1464</v>
      </c>
      <c r="C2085">
        <f>IFERROR(COUNTIFS($A$1:A2085,"Câu "&amp;"*")-MID(A2085,5,FIND(".",A2085,1)-5),0)</f>
        <v>0</v>
      </c>
      <c r="D2085">
        <f t="shared" si="122"/>
        <v>506</v>
      </c>
      <c r="E2085" t="str">
        <f>SUBSTITUTE(IF(LEFT(A2085,3)="Câu",MID(A2085,FIND(".",A2085,1)+2,LEN(A2085)),""),CHAR(34),CHAR(92)&amp;CHAR(34))</f>
        <v>Theo hướng mũi tên, xe nào được quyền đi trước?</v>
      </c>
      <c r="F2085" t="str">
        <f t="shared" si="121"/>
        <v>q506.jpg</v>
      </c>
      <c r="G2085" t="str">
        <f>SUBSTITUTE(B2086,CHAR(34),CHAR(92)&amp;CHAR(34))</f>
        <v>Xe tải.</v>
      </c>
      <c r="H2085" t="str">
        <f>SUBSTITUTE(B2087,CHAR(34),CHAR(92)&amp;CHAR(34))</f>
        <v xml:space="preserve"> Xe con (B).</v>
      </c>
      <c r="I2085" t="str">
        <f>SUBSTITUTE(IF(LEFT(A2088,3)="Câu","",B2088),CHAR(34),CHAR(92)&amp;CHAR(34))</f>
        <v>Xe con (A).</v>
      </c>
      <c r="J2085" t="str">
        <f>SUBSTITUTE(IF(OR(LEFT(A2089,3)="Câu",I2085=""),"",IF(B2089=0,"",B2089)),CHAR(34),CHAR(92)&amp;CHAR(34))</f>
        <v/>
      </c>
      <c r="K2085" t="str">
        <f ca="1">SUBSTITUTE(SUBSTITUTE(SUBSTITUTE(SUBSTITUTE(IFERROR(VLOOKUP("Câu "&amp;D2085&amp;".",dapan!$E:$J,6,0),""),"1","A"),"2","B"),"3","C"),"4","D")</f>
        <v/>
      </c>
      <c r="P2085">
        <f t="shared" si="119"/>
        <v>506</v>
      </c>
      <c r="Q2085" t="str">
        <f t="shared" ca="1" si="120"/>
        <v>{"num":506,"id":506,"q":"Theo hướng mũi tên, xe nào được quyền đi trước?","img":"q506.jpg","opts":{"A":"Xe tải.","B":" Xe con (B).","C":"Xe con (A)."},"answer":""},</v>
      </c>
    </row>
    <row r="2086" spans="1:17" hidden="1" x14ac:dyDescent="0.25">
      <c r="A2086">
        <v>1</v>
      </c>
      <c r="B2086" t="s">
        <v>1419</v>
      </c>
      <c r="C2086">
        <f>IFERROR(COUNTIFS($A$1:A2086,"Câu "&amp;"*")-MID(A2086,5,FIND(".",A2086,1)-5),0)</f>
        <v>0</v>
      </c>
      <c r="D2086" t="str">
        <f t="shared" si="122"/>
        <v/>
      </c>
      <c r="E2086" t="str">
        <f>SUBSTITUTE(IF(LEFT(A2086,3)="Câu",MID(A2086,FIND(".",A2086,1)+2,LEN(A2086)),""),CHAR(34),CHAR(92)&amp;CHAR(34))</f>
        <v/>
      </c>
      <c r="F2086" t="str">
        <f t="shared" si="121"/>
        <v/>
      </c>
      <c r="G2086" t="str">
        <f>SUBSTITUTE(B2087,CHAR(34),CHAR(92)&amp;CHAR(34))</f>
        <v xml:space="preserve"> Xe con (B).</v>
      </c>
      <c r="H2086" t="str">
        <f>SUBSTITUTE(B2088,CHAR(34),CHAR(92)&amp;CHAR(34))</f>
        <v>Xe con (A).</v>
      </c>
      <c r="I2086" t="str">
        <f>SUBSTITUTE(IF(LEFT(A2089,3)="Câu","",B2089),CHAR(34),CHAR(92)&amp;CHAR(34))</f>
        <v/>
      </c>
      <c r="J2086" t="str">
        <f>SUBSTITUTE(IF(OR(LEFT(A2090,3)="Câu",I2086=""),"",IF(B2090=0,"",B2090)),CHAR(34),CHAR(92)&amp;CHAR(34))</f>
        <v/>
      </c>
      <c r="K2086" t="str">
        <f>SUBSTITUTE(SUBSTITUTE(SUBSTITUTE(SUBSTITUTE(IFERROR(VLOOKUP("Câu "&amp;D2086&amp;".",dapan!$E:$J,6,0),""),"1","A"),"2","B"),"3","C"),"4","D")</f>
        <v/>
      </c>
      <c r="P2086" t="str">
        <f t="shared" si="119"/>
        <v/>
      </c>
      <c r="Q2086" t="str">
        <f t="shared" si="120"/>
        <v/>
      </c>
    </row>
    <row r="2087" spans="1:17" hidden="1" x14ac:dyDescent="0.25">
      <c r="A2087">
        <v>2</v>
      </c>
      <c r="B2087" t="s">
        <v>1465</v>
      </c>
      <c r="C2087">
        <f>IFERROR(COUNTIFS($A$1:A2087,"Câu "&amp;"*")-MID(A2087,5,FIND(".",A2087,1)-5),0)</f>
        <v>0</v>
      </c>
      <c r="D2087" t="str">
        <f t="shared" si="122"/>
        <v/>
      </c>
      <c r="E2087" t="str">
        <f>SUBSTITUTE(IF(LEFT(A2087,3)="Câu",MID(A2087,FIND(".",A2087,1)+2,LEN(A2087)),""),CHAR(34),CHAR(92)&amp;CHAR(34))</f>
        <v/>
      </c>
      <c r="F2087" t="str">
        <f t="shared" si="121"/>
        <v/>
      </c>
      <c r="G2087" t="str">
        <f>SUBSTITUTE(B2088,CHAR(34),CHAR(92)&amp;CHAR(34))</f>
        <v>Xe con (A).</v>
      </c>
      <c r="H2087" t="str">
        <f>SUBSTITUTE(B2089,CHAR(34),CHAR(92)&amp;CHAR(34))</f>
        <v/>
      </c>
      <c r="I2087" t="str">
        <f>SUBSTITUTE(IF(LEFT(A2090,3)="Câu","",B2090),CHAR(34),CHAR(92)&amp;CHAR(34))</f>
        <v xml:space="preserve"> Cả ba hướng.</v>
      </c>
      <c r="J2087" t="str">
        <f>SUBSTITUTE(IF(OR(LEFT(A2091,3)="Câu",I2087=""),"",IF(B2091=0,"",B2091)),CHAR(34),CHAR(92)&amp;CHAR(34))</f>
        <v>Chỉ hướng 1 và 3.</v>
      </c>
      <c r="K2087" t="str">
        <f>SUBSTITUTE(SUBSTITUTE(SUBSTITUTE(SUBSTITUTE(IFERROR(VLOOKUP("Câu "&amp;D2087&amp;".",dapan!$E:$J,6,0),""),"1","A"),"2","B"),"3","C"),"4","D")</f>
        <v/>
      </c>
      <c r="P2087" t="str">
        <f t="shared" si="119"/>
        <v/>
      </c>
      <c r="Q2087" t="str">
        <f t="shared" si="120"/>
        <v/>
      </c>
    </row>
    <row r="2088" spans="1:17" hidden="1" x14ac:dyDescent="0.25">
      <c r="A2088">
        <v>3</v>
      </c>
      <c r="B2088" t="s">
        <v>1466</v>
      </c>
      <c r="C2088">
        <f>IFERROR(COUNTIFS($A$1:A2088,"Câu "&amp;"*")-MID(A2088,5,FIND(".",A2088,1)-5),0)</f>
        <v>0</v>
      </c>
      <c r="D2088" t="str">
        <f t="shared" si="122"/>
        <v/>
      </c>
      <c r="E2088" t="str">
        <f>SUBSTITUTE(IF(LEFT(A2088,3)="Câu",MID(A2088,FIND(".",A2088,1)+2,LEN(A2088)),""),CHAR(34),CHAR(92)&amp;CHAR(34))</f>
        <v/>
      </c>
      <c r="F2088" t="str">
        <f t="shared" si="121"/>
        <v/>
      </c>
      <c r="G2088" t="str">
        <f>SUBSTITUTE(B2089,CHAR(34),CHAR(92)&amp;CHAR(34))</f>
        <v/>
      </c>
      <c r="H2088" t="str">
        <f>SUBSTITUTE(B2090,CHAR(34),CHAR(92)&amp;CHAR(34))</f>
        <v xml:space="preserve"> Cả ba hướng.</v>
      </c>
      <c r="I2088" t="str">
        <f>SUBSTITUTE(IF(LEFT(A2091,3)="Câu","",B2091),CHAR(34),CHAR(92)&amp;CHAR(34))</f>
        <v>Chỉ hướng 1 và 3.</v>
      </c>
      <c r="J2088" t="str">
        <f>SUBSTITUTE(IF(OR(LEFT(A2092,3)="Câu",I2088=""),"",IF(B2092=0,"",B2092)),CHAR(34),CHAR(92)&amp;CHAR(34))</f>
        <v>Chỉ hướng 1.</v>
      </c>
      <c r="K2088" t="str">
        <f>SUBSTITUTE(SUBSTITUTE(SUBSTITUTE(SUBSTITUTE(IFERROR(VLOOKUP("Câu "&amp;D2088&amp;".",dapan!$E:$J,6,0),""),"1","A"),"2","B"),"3","C"),"4","D")</f>
        <v/>
      </c>
      <c r="P2088" t="str">
        <f t="shared" si="119"/>
        <v/>
      </c>
      <c r="Q2088" t="str">
        <f t="shared" si="120"/>
        <v/>
      </c>
    </row>
    <row r="2089" spans="1:17" x14ac:dyDescent="0.25">
      <c r="A2089" t="s">
        <v>3096</v>
      </c>
      <c r="C2089">
        <f>IFERROR(COUNTIFS($A$1:A2089,"Câu "&amp;"*")-MID(A2089,5,FIND(".",A2089,1)-5),0)</f>
        <v>0</v>
      </c>
      <c r="D2089">
        <f t="shared" si="122"/>
        <v>507</v>
      </c>
      <c r="E2089" t="str">
        <f>SUBSTITUTE(IF(LEFT(A2089,3)="Câu",MID(A2089,FIND(".",A2089,1)+2,LEN(A2089)),""),CHAR(34),CHAR(92)&amp;CHAR(34))</f>
        <v>Theo hướng mũi tên, những hướng nào xe gắn máy được phép đi?</v>
      </c>
      <c r="F2089" t="str">
        <f t="shared" si="121"/>
        <v>q507.jpg</v>
      </c>
      <c r="G2089" t="str">
        <f>SUBSTITUTE(B2090,CHAR(34),CHAR(92)&amp;CHAR(34))</f>
        <v xml:space="preserve"> Cả ba hướng.</v>
      </c>
      <c r="H2089" t="str">
        <f>SUBSTITUTE(B2091,CHAR(34),CHAR(92)&amp;CHAR(34))</f>
        <v>Chỉ hướng 1 và 3.</v>
      </c>
      <c r="I2089" t="str">
        <f>SUBSTITUTE(IF(LEFT(A2092,3)="Câu","",B2092),CHAR(34),CHAR(92)&amp;CHAR(34))</f>
        <v>Chỉ hướng 1.</v>
      </c>
      <c r="J2089" t="str">
        <f>SUBSTITUTE(IF(OR(LEFT(A2093,3)="Câu",I2089=""),"",IF(B2093=0,"",B2093)),CHAR(34),CHAR(92)&amp;CHAR(34))</f>
        <v/>
      </c>
      <c r="K2089" t="str">
        <f>SUBSTITUTE(SUBSTITUTE(SUBSTITUTE(SUBSTITUTE(IFERROR(VLOOKUP("Câu "&amp;D2089&amp;".",dapan!$E:$J,6,0),""),"1","A"),"2","B"),"3","C"),"4","D")</f>
        <v/>
      </c>
      <c r="P2089">
        <f t="shared" si="119"/>
        <v>507</v>
      </c>
      <c r="Q2089" t="str">
        <f t="shared" si="120"/>
        <v>{"num":507,"id":507,"q":"Theo hướng mũi tên, những hướng nào xe gắn máy được phép đi?","img":"q507.jpg","opts":{"A":" Cả ba hướng.","B":"Chỉ hướng 1 và 3.","C":"Chỉ hướng 1."},"answer":""},</v>
      </c>
    </row>
    <row r="2090" spans="1:17" hidden="1" x14ac:dyDescent="0.25">
      <c r="A2090">
        <v>1</v>
      </c>
      <c r="B2090" t="s">
        <v>1468</v>
      </c>
      <c r="C2090">
        <f>IFERROR(COUNTIFS($A$1:A2090,"Câu "&amp;"*")-MID(A2090,5,FIND(".",A2090,1)-5),0)</f>
        <v>0</v>
      </c>
      <c r="D2090" t="str">
        <f t="shared" si="122"/>
        <v/>
      </c>
      <c r="E2090" t="str">
        <f>SUBSTITUTE(IF(LEFT(A2090,3)="Câu",MID(A2090,FIND(".",A2090,1)+2,LEN(A2090)),""),CHAR(34),CHAR(92)&amp;CHAR(34))</f>
        <v/>
      </c>
      <c r="F2090" t="str">
        <f t="shared" si="121"/>
        <v/>
      </c>
      <c r="G2090" t="str">
        <f>SUBSTITUTE(B2091,CHAR(34),CHAR(92)&amp;CHAR(34))</f>
        <v>Chỉ hướng 1 và 3.</v>
      </c>
      <c r="H2090" t="str">
        <f>SUBSTITUTE(B2092,CHAR(34),CHAR(92)&amp;CHAR(34))</f>
        <v>Chỉ hướng 1.</v>
      </c>
      <c r="I2090" t="str">
        <f>SUBSTITUTE(IF(LEFT(A2093,3)="Câu","",B2093),CHAR(34),CHAR(92)&amp;CHAR(34))</f>
        <v/>
      </c>
      <c r="J2090" t="str">
        <f>SUBSTITUTE(IF(OR(LEFT(A2094,3)="Câu",I2090=""),"",IF(B2094=0,"",B2094)),CHAR(34),CHAR(92)&amp;CHAR(34))</f>
        <v/>
      </c>
      <c r="K2090" t="str">
        <f>SUBSTITUTE(SUBSTITUTE(SUBSTITUTE(SUBSTITUTE(IFERROR(VLOOKUP("Câu "&amp;D2090&amp;".",dapan!$E:$J,6,0),""),"1","A"),"2","B"),"3","C"),"4","D")</f>
        <v/>
      </c>
      <c r="P2090" t="str">
        <f t="shared" si="119"/>
        <v/>
      </c>
      <c r="Q2090" t="str">
        <f t="shared" si="120"/>
        <v/>
      </c>
    </row>
    <row r="2091" spans="1:17" hidden="1" x14ac:dyDescent="0.25">
      <c r="A2091">
        <v>2</v>
      </c>
      <c r="B2091" t="s">
        <v>1469</v>
      </c>
      <c r="C2091">
        <f>IFERROR(COUNTIFS($A$1:A2091,"Câu "&amp;"*")-MID(A2091,5,FIND(".",A2091,1)-5),0)</f>
        <v>0</v>
      </c>
      <c r="D2091" t="str">
        <f t="shared" si="122"/>
        <v/>
      </c>
      <c r="E2091" t="str">
        <f>SUBSTITUTE(IF(LEFT(A2091,3)="Câu",MID(A2091,FIND(".",A2091,1)+2,LEN(A2091)),""),CHAR(34),CHAR(92)&amp;CHAR(34))</f>
        <v/>
      </c>
      <c r="F2091" t="str">
        <f t="shared" si="121"/>
        <v/>
      </c>
      <c r="G2091" t="str">
        <f>SUBSTITUTE(B2092,CHAR(34),CHAR(92)&amp;CHAR(34))</f>
        <v>Chỉ hướng 1.</v>
      </c>
      <c r="H2091" t="str">
        <f>SUBSTITUTE(B2093,CHAR(34),CHAR(92)&amp;CHAR(34))</f>
        <v/>
      </c>
      <c r="I2091" t="str">
        <f>SUBSTITUTE(IF(LEFT(A2094,3)="Câu","",B2094),CHAR(34),CHAR(92)&amp;CHAR(34))</f>
        <v xml:space="preserve"> Cả hai xe.</v>
      </c>
      <c r="J2091" t="str">
        <f>SUBSTITUTE(IF(OR(LEFT(A2095,3)="Câu",I2091=""),"",IF(B2095=0,"",B2095)),CHAR(34),CHAR(92)&amp;CHAR(34))</f>
        <v>Không xe nào vi phạm.</v>
      </c>
      <c r="K2091" t="str">
        <f>SUBSTITUTE(SUBSTITUTE(SUBSTITUTE(SUBSTITUTE(IFERROR(VLOOKUP("Câu "&amp;D2091&amp;".",dapan!$E:$J,6,0),""),"1","A"),"2","B"),"3","C"),"4","D")</f>
        <v/>
      </c>
      <c r="P2091" t="str">
        <f t="shared" si="119"/>
        <v/>
      </c>
      <c r="Q2091" t="str">
        <f t="shared" si="120"/>
        <v/>
      </c>
    </row>
    <row r="2092" spans="1:17" hidden="1" x14ac:dyDescent="0.25">
      <c r="A2092">
        <v>3</v>
      </c>
      <c r="B2092" t="s">
        <v>1470</v>
      </c>
      <c r="C2092">
        <f>IFERROR(COUNTIFS($A$1:A2092,"Câu "&amp;"*")-MID(A2092,5,FIND(".",A2092,1)-5),0)</f>
        <v>0</v>
      </c>
      <c r="D2092" t="str">
        <f t="shared" si="122"/>
        <v/>
      </c>
      <c r="E2092" t="str">
        <f>SUBSTITUTE(IF(LEFT(A2092,3)="Câu",MID(A2092,FIND(".",A2092,1)+2,LEN(A2092)),""),CHAR(34),CHAR(92)&amp;CHAR(34))</f>
        <v/>
      </c>
      <c r="F2092" t="str">
        <f t="shared" si="121"/>
        <v/>
      </c>
      <c r="G2092" t="str">
        <f>SUBSTITUTE(B2093,CHAR(34),CHAR(92)&amp;CHAR(34))</f>
        <v/>
      </c>
      <c r="H2092" t="str">
        <f>SUBSTITUTE(B2094,CHAR(34),CHAR(92)&amp;CHAR(34))</f>
        <v xml:space="preserve"> Cả hai xe.</v>
      </c>
      <c r="I2092" t="str">
        <f>SUBSTITUTE(IF(LEFT(A2095,3)="Câu","",B2095),CHAR(34),CHAR(92)&amp;CHAR(34))</f>
        <v>Không xe nào vi phạm.</v>
      </c>
      <c r="J2092" t="str">
        <f>SUBSTITUTE(IF(OR(LEFT(A2096,3)="Câu",I2092=""),"",IF(B2096=0,"",B2096)),CHAR(34),CHAR(92)&amp;CHAR(34))</f>
        <v>Chỉ xe mô tô vi phạm.</v>
      </c>
      <c r="K2092" t="str">
        <f>SUBSTITUTE(SUBSTITUTE(SUBSTITUTE(SUBSTITUTE(IFERROR(VLOOKUP("Câu "&amp;D2092&amp;".",dapan!$E:$J,6,0),""),"1","A"),"2","B"),"3","C"),"4","D")</f>
        <v/>
      </c>
      <c r="P2092" t="str">
        <f t="shared" si="119"/>
        <v/>
      </c>
      <c r="Q2092" t="str">
        <f t="shared" si="120"/>
        <v/>
      </c>
    </row>
    <row r="2093" spans="1:17" x14ac:dyDescent="0.25">
      <c r="A2093" t="s">
        <v>1471</v>
      </c>
      <c r="C2093">
        <f>IFERROR(COUNTIFS($A$1:A2093,"Câu "&amp;"*")-MID(A2093,5,FIND(".",A2093,1)-5),0)</f>
        <v>0</v>
      </c>
      <c r="D2093">
        <f t="shared" si="122"/>
        <v>508</v>
      </c>
      <c r="E2093" t="str">
        <f>SUBSTITUTE(IF(LEFT(A2093,3)="Câu",MID(A2093,FIND(".",A2093,1)+2,LEN(A2093)),""),CHAR(34),CHAR(92)&amp;CHAR(34))</f>
        <v>Xe nào đỗ vi phạm quy tắc giao thông?</v>
      </c>
      <c r="F2093" t="str">
        <f t="shared" si="121"/>
        <v>q508.jpg</v>
      </c>
      <c r="G2093" t="str">
        <f>SUBSTITUTE(B2094,CHAR(34),CHAR(92)&amp;CHAR(34))</f>
        <v xml:space="preserve"> Cả hai xe.</v>
      </c>
      <c r="H2093" t="str">
        <f>SUBSTITUTE(B2095,CHAR(34),CHAR(92)&amp;CHAR(34))</f>
        <v>Không xe nào vi phạm.</v>
      </c>
      <c r="I2093" t="str">
        <f>SUBSTITUTE(IF(LEFT(A2096,3)="Câu","",B2096),CHAR(34),CHAR(92)&amp;CHAR(34))</f>
        <v>Chỉ xe mô tô vi phạm.</v>
      </c>
      <c r="J2093" t="str">
        <f>SUBSTITUTE(IF(OR(LEFT(A2097,3)="Câu",I2093=""),"",IF(B2097=0,"",B2097)),CHAR(34),CHAR(92)&amp;CHAR(34))</f>
        <v>Chỉ xe tải vi phạm.</v>
      </c>
      <c r="K2093" t="str">
        <f ca="1">SUBSTITUTE(SUBSTITUTE(SUBSTITUTE(SUBSTITUTE(IFERROR(VLOOKUP("Câu "&amp;D2093&amp;".",dapan!$E:$J,6,0),""),"1","A"),"2","B"),"3","C"),"4","D")</f>
        <v>A</v>
      </c>
      <c r="P2093">
        <f t="shared" si="119"/>
        <v>508</v>
      </c>
      <c r="Q2093" t="str">
        <f t="shared" ca="1" si="120"/>
        <v>{"num":508,"id":508,"q":"Xe nào đỗ vi phạm quy tắc giao thông?","img":"q508.jpg","opts":{"A":" Cả hai xe.","B":"Không xe nào vi phạm.","C":"Chỉ xe mô tô vi phạm.","D":"Chỉ xe tải vi phạm."},"answer":"A"},</v>
      </c>
    </row>
    <row r="2094" spans="1:17" hidden="1" x14ac:dyDescent="0.25">
      <c r="A2094">
        <v>1</v>
      </c>
      <c r="B2094" t="s">
        <v>1472</v>
      </c>
      <c r="C2094">
        <f>IFERROR(COUNTIFS($A$1:A2094,"Câu "&amp;"*")-MID(A2094,5,FIND(".",A2094,1)-5),0)</f>
        <v>0</v>
      </c>
      <c r="D2094" t="str">
        <f t="shared" si="122"/>
        <v/>
      </c>
      <c r="E2094" t="str">
        <f>SUBSTITUTE(IF(LEFT(A2094,3)="Câu",MID(A2094,FIND(".",A2094,1)+2,LEN(A2094)),""),CHAR(34),CHAR(92)&amp;CHAR(34))</f>
        <v/>
      </c>
      <c r="F2094" t="str">
        <f t="shared" si="121"/>
        <v/>
      </c>
      <c r="G2094" t="str">
        <f>SUBSTITUTE(B2095,CHAR(34),CHAR(92)&amp;CHAR(34))</f>
        <v>Không xe nào vi phạm.</v>
      </c>
      <c r="H2094" t="str">
        <f>SUBSTITUTE(B2096,CHAR(34),CHAR(92)&amp;CHAR(34))</f>
        <v>Chỉ xe mô tô vi phạm.</v>
      </c>
      <c r="I2094" t="str">
        <f>SUBSTITUTE(IF(LEFT(A2097,3)="Câu","",B2097),CHAR(34),CHAR(92)&amp;CHAR(34))</f>
        <v>Chỉ xe tải vi phạm.</v>
      </c>
      <c r="J2094" t="str">
        <f>SUBSTITUTE(IF(OR(LEFT(A2098,3)="Câu",I2094=""),"",IF(B2098=0,"",B2098)),CHAR(34),CHAR(92)&amp;CHAR(34))</f>
        <v/>
      </c>
      <c r="K2094" t="str">
        <f>SUBSTITUTE(SUBSTITUTE(SUBSTITUTE(SUBSTITUTE(IFERROR(VLOOKUP("Câu "&amp;D2094&amp;".",dapan!$E:$J,6,0),""),"1","A"),"2","B"),"3","C"),"4","D")</f>
        <v/>
      </c>
      <c r="P2094" t="str">
        <f t="shared" si="119"/>
        <v/>
      </c>
      <c r="Q2094" t="str">
        <f t="shared" si="120"/>
        <v/>
      </c>
    </row>
    <row r="2095" spans="1:17" hidden="1" x14ac:dyDescent="0.25">
      <c r="A2095">
        <v>2</v>
      </c>
      <c r="B2095" t="s">
        <v>1473</v>
      </c>
      <c r="C2095">
        <f>IFERROR(COUNTIFS($A$1:A2095,"Câu "&amp;"*")-MID(A2095,5,FIND(".",A2095,1)-5),0)</f>
        <v>0</v>
      </c>
      <c r="D2095" t="str">
        <f t="shared" si="122"/>
        <v/>
      </c>
      <c r="E2095" t="str">
        <f>SUBSTITUTE(IF(LEFT(A2095,3)="Câu",MID(A2095,FIND(".",A2095,1)+2,LEN(A2095)),""),CHAR(34),CHAR(92)&amp;CHAR(34))</f>
        <v/>
      </c>
      <c r="F2095" t="str">
        <f t="shared" si="121"/>
        <v/>
      </c>
      <c r="G2095" t="str">
        <f>SUBSTITUTE(B2096,CHAR(34),CHAR(92)&amp;CHAR(34))</f>
        <v>Chỉ xe mô tô vi phạm.</v>
      </c>
      <c r="H2095" t="str">
        <f>SUBSTITUTE(B2097,CHAR(34),CHAR(92)&amp;CHAR(34))</f>
        <v>Chỉ xe tải vi phạm.</v>
      </c>
      <c r="I2095" t="str">
        <f>SUBSTITUTE(IF(LEFT(A2098,3)="Câu","",B2098),CHAR(34),CHAR(92)&amp;CHAR(34))</f>
        <v/>
      </c>
      <c r="J2095" t="str">
        <f>SUBSTITUTE(IF(OR(LEFT(A2099,3)="Câu",I2095=""),"",IF(B2099=0,"",B2099)),CHAR(34),CHAR(92)&amp;CHAR(34))</f>
        <v/>
      </c>
      <c r="K2095" t="str">
        <f>SUBSTITUTE(SUBSTITUTE(SUBSTITUTE(SUBSTITUTE(IFERROR(VLOOKUP("Câu "&amp;D2095&amp;".",dapan!$E:$J,6,0),""),"1","A"),"2","B"),"3","C"),"4","D")</f>
        <v/>
      </c>
      <c r="P2095" t="str">
        <f t="shared" si="119"/>
        <v/>
      </c>
      <c r="Q2095" t="str">
        <f t="shared" si="120"/>
        <v/>
      </c>
    </row>
    <row r="2096" spans="1:17" hidden="1" x14ac:dyDescent="0.25">
      <c r="A2096">
        <v>3</v>
      </c>
      <c r="B2096" t="s">
        <v>1474</v>
      </c>
      <c r="C2096">
        <f>IFERROR(COUNTIFS($A$1:A2096,"Câu "&amp;"*")-MID(A2096,5,FIND(".",A2096,1)-5),0)</f>
        <v>0</v>
      </c>
      <c r="D2096" t="str">
        <f t="shared" si="122"/>
        <v/>
      </c>
      <c r="E2096" t="str">
        <f>SUBSTITUTE(IF(LEFT(A2096,3)="Câu",MID(A2096,FIND(".",A2096,1)+2,LEN(A2096)),""),CHAR(34),CHAR(92)&amp;CHAR(34))</f>
        <v/>
      </c>
      <c r="F2096" t="str">
        <f t="shared" si="121"/>
        <v/>
      </c>
      <c r="G2096" t="str">
        <f>SUBSTITUTE(B2097,CHAR(34),CHAR(92)&amp;CHAR(34))</f>
        <v>Chỉ xe tải vi phạm.</v>
      </c>
      <c r="H2096" t="str">
        <f>SUBSTITUTE(B2098,CHAR(34),CHAR(92)&amp;CHAR(34))</f>
        <v/>
      </c>
      <c r="I2096" t="str">
        <f>SUBSTITUTE(IF(LEFT(A2099,3)="Câu","",B2099),CHAR(34),CHAR(92)&amp;CHAR(34))</f>
        <v>Chỉ xe mô tô.</v>
      </c>
      <c r="J2096" t="str">
        <f>SUBSTITUTE(IF(OR(LEFT(A2100,3)="Câu",I2096=""),"",IF(B2100=0,"",B2100)),CHAR(34),CHAR(92)&amp;CHAR(34))</f>
        <v>Chỉ xe tải.</v>
      </c>
      <c r="K2096" t="str">
        <f>SUBSTITUTE(SUBSTITUTE(SUBSTITUTE(SUBSTITUTE(IFERROR(VLOOKUP("Câu "&amp;D2096&amp;".",dapan!$E:$J,6,0),""),"1","A"),"2","B"),"3","C"),"4","D")</f>
        <v/>
      </c>
      <c r="P2096" t="str">
        <f t="shared" si="119"/>
        <v/>
      </c>
      <c r="Q2096" t="str">
        <f t="shared" si="120"/>
        <v/>
      </c>
    </row>
    <row r="2097" spans="1:17" hidden="1" x14ac:dyDescent="0.25">
      <c r="A2097">
        <v>4</v>
      </c>
      <c r="B2097" t="s">
        <v>1475</v>
      </c>
      <c r="C2097">
        <f>IFERROR(COUNTIFS($A$1:A2097,"Câu "&amp;"*")-MID(A2097,5,FIND(".",A2097,1)-5),0)</f>
        <v>0</v>
      </c>
      <c r="D2097" t="str">
        <f t="shared" si="122"/>
        <v/>
      </c>
      <c r="E2097" t="str">
        <f>SUBSTITUTE(IF(LEFT(A2097,3)="Câu",MID(A2097,FIND(".",A2097,1)+2,LEN(A2097)),""),CHAR(34),CHAR(92)&amp;CHAR(34))</f>
        <v/>
      </c>
      <c r="F2097" t="str">
        <f t="shared" si="121"/>
        <v/>
      </c>
      <c r="G2097" t="str">
        <f>SUBSTITUTE(B2098,CHAR(34),CHAR(92)&amp;CHAR(34))</f>
        <v/>
      </c>
      <c r="H2097" t="str">
        <f>SUBSTITUTE(B2099,CHAR(34),CHAR(92)&amp;CHAR(34))</f>
        <v>Chỉ xe mô tô.</v>
      </c>
      <c r="I2097" t="str">
        <f>SUBSTITUTE(IF(LEFT(A2100,3)="Câu","",B2100),CHAR(34),CHAR(92)&amp;CHAR(34))</f>
        <v>Chỉ xe tải.</v>
      </c>
      <c r="J2097" t="str">
        <f>SUBSTITUTE(IF(OR(LEFT(A2101,3)="Câu",I2097=""),"",IF(B2101=0,"",B2101)),CHAR(34),CHAR(92)&amp;CHAR(34))</f>
        <v xml:space="preserve"> Cả ba xe.</v>
      </c>
      <c r="K2097" t="str">
        <f>SUBSTITUTE(SUBSTITUTE(SUBSTITUTE(SUBSTITUTE(IFERROR(VLOOKUP("Câu "&amp;D2097&amp;".",dapan!$E:$J,6,0),""),"1","A"),"2","B"),"3","C"),"4","D")</f>
        <v/>
      </c>
      <c r="P2097" t="str">
        <f t="shared" si="119"/>
        <v/>
      </c>
      <c r="Q2097" t="str">
        <f t="shared" si="120"/>
        <v/>
      </c>
    </row>
    <row r="2098" spans="1:17" x14ac:dyDescent="0.25">
      <c r="A2098" t="s">
        <v>1476</v>
      </c>
      <c r="C2098">
        <f>IFERROR(COUNTIFS($A$1:A2098,"Câu "&amp;"*")-MID(A2098,5,FIND(".",A2098,1)-5),0)</f>
        <v>0</v>
      </c>
      <c r="D2098">
        <f t="shared" si="122"/>
        <v>509</v>
      </c>
      <c r="E2098" t="str">
        <f>SUBSTITUTE(IF(LEFT(A2098,3)="Câu",MID(A2098,FIND(".",A2098,1)+2,LEN(A2098)),""),CHAR(34),CHAR(92)&amp;CHAR(34))</f>
        <v>Xe nào đỗ vi phạm quy tắc giao thông?</v>
      </c>
      <c r="F2098" t="str">
        <f t="shared" si="121"/>
        <v>q509.jpg</v>
      </c>
      <c r="G2098" t="str">
        <f>SUBSTITUTE(B2099,CHAR(34),CHAR(92)&amp;CHAR(34))</f>
        <v>Chỉ xe mô tô.</v>
      </c>
      <c r="H2098" t="str">
        <f>SUBSTITUTE(B2100,CHAR(34),CHAR(92)&amp;CHAR(34))</f>
        <v>Chỉ xe tải.</v>
      </c>
      <c r="I2098" t="str">
        <f>SUBSTITUTE(IF(LEFT(A2101,3)="Câu","",B2101),CHAR(34),CHAR(92)&amp;CHAR(34))</f>
        <v xml:space="preserve"> Cả ba xe.</v>
      </c>
      <c r="J2098" t="str">
        <f>SUBSTITUTE(IF(OR(LEFT(A2102,3)="Câu",I2098=""),"",IF(B2102=0,"",B2102)),CHAR(34),CHAR(92)&amp;CHAR(34))</f>
        <v>Chỉ xe mô tô và xe tải.</v>
      </c>
      <c r="K2098" t="str">
        <f ca="1">SUBSTITUTE(SUBSTITUTE(SUBSTITUTE(SUBSTITUTE(IFERROR(VLOOKUP("Câu "&amp;D2098&amp;".",dapan!$E:$J,6,0),""),"1","A"),"2","B"),"3","C"),"4","D")</f>
        <v>C</v>
      </c>
      <c r="P2098">
        <f t="shared" si="119"/>
        <v>509</v>
      </c>
      <c r="Q2098" t="str">
        <f t="shared" ca="1" si="120"/>
        <v>{"num":509,"id":509,"q":"Xe nào đỗ vi phạm quy tắc giao thông?","img":"q509.jpg","opts":{"A":"Chỉ xe mô tô.","B":"Chỉ xe tải.","C":" Cả ba xe.","D":"Chỉ xe mô tô và xe tải."},"answer":"C"},</v>
      </c>
    </row>
    <row r="2099" spans="1:17" hidden="1" x14ac:dyDescent="0.25">
      <c r="A2099">
        <v>1</v>
      </c>
      <c r="B2099" t="s">
        <v>1477</v>
      </c>
      <c r="C2099">
        <f>IFERROR(COUNTIFS($A$1:A2099,"Câu "&amp;"*")-MID(A2099,5,FIND(".",A2099,1)-5),0)</f>
        <v>0</v>
      </c>
      <c r="D2099" t="str">
        <f t="shared" si="122"/>
        <v/>
      </c>
      <c r="E2099" t="str">
        <f>SUBSTITUTE(IF(LEFT(A2099,3)="Câu",MID(A2099,FIND(".",A2099,1)+2,LEN(A2099)),""),CHAR(34),CHAR(92)&amp;CHAR(34))</f>
        <v/>
      </c>
      <c r="F2099" t="str">
        <f t="shared" si="121"/>
        <v/>
      </c>
      <c r="G2099" t="str">
        <f>SUBSTITUTE(B2100,CHAR(34),CHAR(92)&amp;CHAR(34))</f>
        <v>Chỉ xe tải.</v>
      </c>
      <c r="H2099" t="str">
        <f>SUBSTITUTE(B2101,CHAR(34),CHAR(92)&amp;CHAR(34))</f>
        <v xml:space="preserve"> Cả ba xe.</v>
      </c>
      <c r="I2099" t="str">
        <f>SUBSTITUTE(IF(LEFT(A2102,3)="Câu","",B2102),CHAR(34),CHAR(92)&amp;CHAR(34))</f>
        <v>Chỉ xe mô tô và xe tải.</v>
      </c>
      <c r="J2099" t="str">
        <f>SUBSTITUTE(IF(OR(LEFT(A2103,3)="Câu",I2099=""),"",IF(B2103=0,"",B2103)),CHAR(34),CHAR(92)&amp;CHAR(34))</f>
        <v/>
      </c>
      <c r="K2099" t="str">
        <f>SUBSTITUTE(SUBSTITUTE(SUBSTITUTE(SUBSTITUTE(IFERROR(VLOOKUP("Câu "&amp;D2099&amp;".",dapan!$E:$J,6,0),""),"1","A"),"2","B"),"3","C"),"4","D")</f>
        <v/>
      </c>
      <c r="P2099" t="str">
        <f t="shared" si="119"/>
        <v/>
      </c>
      <c r="Q2099" t="str">
        <f t="shared" si="120"/>
        <v/>
      </c>
    </row>
    <row r="2100" spans="1:17" hidden="1" x14ac:dyDescent="0.25">
      <c r="A2100">
        <v>2</v>
      </c>
      <c r="B2100" t="s">
        <v>1478</v>
      </c>
      <c r="C2100">
        <f>IFERROR(COUNTIFS($A$1:A2100,"Câu "&amp;"*")-MID(A2100,5,FIND(".",A2100,1)-5),0)</f>
        <v>0</v>
      </c>
      <c r="D2100" t="str">
        <f t="shared" si="122"/>
        <v/>
      </c>
      <c r="E2100" t="str">
        <f>SUBSTITUTE(IF(LEFT(A2100,3)="Câu",MID(A2100,FIND(".",A2100,1)+2,LEN(A2100)),""),CHAR(34),CHAR(92)&amp;CHAR(34))</f>
        <v/>
      </c>
      <c r="F2100" t="str">
        <f t="shared" si="121"/>
        <v/>
      </c>
      <c r="G2100" t="str">
        <f>SUBSTITUTE(B2101,CHAR(34),CHAR(92)&amp;CHAR(34))</f>
        <v xml:space="preserve"> Cả ba xe.</v>
      </c>
      <c r="H2100" t="str">
        <f>SUBSTITUTE(B2102,CHAR(34),CHAR(92)&amp;CHAR(34))</f>
        <v>Chỉ xe mô tô và xe tải.</v>
      </c>
      <c r="I2100" t="str">
        <f>SUBSTITUTE(IF(LEFT(A2103,3)="Câu","",B2103),CHAR(34),CHAR(92)&amp;CHAR(34))</f>
        <v/>
      </c>
      <c r="J2100" t="str">
        <f>SUBSTITUTE(IF(OR(LEFT(A2104,3)="Câu",I2100=""),"",IF(B2104=0,"",B2104)),CHAR(34),CHAR(92)&amp;CHAR(34))</f>
        <v/>
      </c>
      <c r="K2100" t="str">
        <f>SUBSTITUTE(SUBSTITUTE(SUBSTITUTE(SUBSTITUTE(IFERROR(VLOOKUP("Câu "&amp;D2100&amp;".",dapan!$E:$J,6,0),""),"1","A"),"2","B"),"3","C"),"4","D")</f>
        <v/>
      </c>
      <c r="P2100" t="str">
        <f t="shared" si="119"/>
        <v/>
      </c>
      <c r="Q2100" t="str">
        <f t="shared" si="120"/>
        <v/>
      </c>
    </row>
    <row r="2101" spans="1:17" hidden="1" x14ac:dyDescent="0.25">
      <c r="A2101">
        <v>3</v>
      </c>
      <c r="B2101" t="s">
        <v>1479</v>
      </c>
      <c r="C2101">
        <f>IFERROR(COUNTIFS($A$1:A2101,"Câu "&amp;"*")-MID(A2101,5,FIND(".",A2101,1)-5),0)</f>
        <v>0</v>
      </c>
      <c r="D2101" t="str">
        <f t="shared" si="122"/>
        <v/>
      </c>
      <c r="E2101" t="str">
        <f>SUBSTITUTE(IF(LEFT(A2101,3)="Câu",MID(A2101,FIND(".",A2101,1)+2,LEN(A2101)),""),CHAR(34),CHAR(92)&amp;CHAR(34))</f>
        <v/>
      </c>
      <c r="F2101" t="str">
        <f t="shared" si="121"/>
        <v/>
      </c>
      <c r="G2101" t="str">
        <f>SUBSTITUTE(B2102,CHAR(34),CHAR(92)&amp;CHAR(34))</f>
        <v>Chỉ xe mô tô và xe tải.</v>
      </c>
      <c r="H2101" t="str">
        <f>SUBSTITUTE(B2103,CHAR(34),CHAR(92)&amp;CHAR(34))</f>
        <v/>
      </c>
      <c r="I2101" t="str">
        <f>SUBSTITUTE(IF(LEFT(A2104,3)="Câu","",B2104),CHAR(34),CHAR(92)&amp;CHAR(34))</f>
        <v>Đúng.</v>
      </c>
      <c r="J2101" t="str">
        <f>SUBSTITUTE(IF(OR(LEFT(A2105,3)="Câu",I2101=""),"",IF(B2105=0,"",B2105)),CHAR(34),CHAR(92)&amp;CHAR(34))</f>
        <v>Không đúng.</v>
      </c>
      <c r="K2101" t="str">
        <f>SUBSTITUTE(SUBSTITUTE(SUBSTITUTE(SUBSTITUTE(IFERROR(VLOOKUP("Câu "&amp;D2101&amp;".",dapan!$E:$J,6,0),""),"1","A"),"2","B"),"3","C"),"4","D")</f>
        <v/>
      </c>
      <c r="P2101" t="str">
        <f t="shared" si="119"/>
        <v/>
      </c>
      <c r="Q2101" t="str">
        <f t="shared" si="120"/>
        <v/>
      </c>
    </row>
    <row r="2102" spans="1:17" hidden="1" x14ac:dyDescent="0.25">
      <c r="A2102">
        <v>4</v>
      </c>
      <c r="B2102" t="s">
        <v>1480</v>
      </c>
      <c r="C2102">
        <f>IFERROR(COUNTIFS($A$1:A2102,"Câu "&amp;"*")-MID(A2102,5,FIND(".",A2102,1)-5),0)</f>
        <v>0</v>
      </c>
      <c r="D2102" t="str">
        <f t="shared" si="122"/>
        <v/>
      </c>
      <c r="E2102" t="str">
        <f>SUBSTITUTE(IF(LEFT(A2102,3)="Câu",MID(A2102,FIND(".",A2102,1)+2,LEN(A2102)),""),CHAR(34),CHAR(92)&amp;CHAR(34))</f>
        <v/>
      </c>
      <c r="F2102" t="str">
        <f t="shared" si="121"/>
        <v/>
      </c>
      <c r="G2102" t="str">
        <f>SUBSTITUTE(B2103,CHAR(34),CHAR(92)&amp;CHAR(34))</f>
        <v/>
      </c>
      <c r="H2102" t="str">
        <f>SUBSTITUTE(B2104,CHAR(34),CHAR(92)&amp;CHAR(34))</f>
        <v>Đúng.</v>
      </c>
      <c r="I2102" t="str">
        <f>SUBSTITUTE(IF(LEFT(A2105,3)="Câu","",B2105),CHAR(34),CHAR(92)&amp;CHAR(34))</f>
        <v>Không đúng.</v>
      </c>
      <c r="J2102" t="str">
        <f>SUBSTITUTE(IF(OR(LEFT(A2106,3)="Câu",I2102=""),"",IF(B2106=0,"",B2106)),CHAR(34),CHAR(92)&amp;CHAR(34))</f>
        <v/>
      </c>
      <c r="K2102" t="str">
        <f>SUBSTITUTE(SUBSTITUTE(SUBSTITUTE(SUBSTITUTE(IFERROR(VLOOKUP("Câu "&amp;D2102&amp;".",dapan!$E:$J,6,0),""),"1","A"),"2","B"),"3","C"),"4","D")</f>
        <v/>
      </c>
      <c r="P2102" t="str">
        <f t="shared" si="119"/>
        <v/>
      </c>
      <c r="Q2102" t="str">
        <f t="shared" si="120"/>
        <v/>
      </c>
    </row>
    <row r="2103" spans="1:17" x14ac:dyDescent="0.25">
      <c r="A2103" t="s">
        <v>1481</v>
      </c>
      <c r="C2103">
        <f>IFERROR(COUNTIFS($A$1:A2103,"Câu "&amp;"*")-MID(A2103,5,FIND(".",A2103,1)-5),0)</f>
        <v>0</v>
      </c>
      <c r="D2103">
        <f t="shared" si="122"/>
        <v>510</v>
      </c>
      <c r="E2103" t="str">
        <f>SUBSTITUTE(IF(LEFT(A2103,3)="Câu",MID(A2103,FIND(".",A2103,1)+2,LEN(A2103)),""),CHAR(34),CHAR(92)&amp;CHAR(34))</f>
        <v>Xe tải kéo xe mô tô ba bánh như hình này có đúng quy tắc giao thông không?</v>
      </c>
      <c r="F2103" t="str">
        <f t="shared" si="121"/>
        <v>q510.jpg</v>
      </c>
      <c r="G2103" t="str">
        <f>SUBSTITUTE(B2104,CHAR(34),CHAR(92)&amp;CHAR(34))</f>
        <v>Đúng.</v>
      </c>
      <c r="H2103" t="str">
        <f>SUBSTITUTE(B2105,CHAR(34),CHAR(92)&amp;CHAR(34))</f>
        <v>Không đúng.</v>
      </c>
      <c r="I2103" t="str">
        <f>SUBSTITUTE(IF(LEFT(A2106,3)="Câu","",B2106),CHAR(34),CHAR(92)&amp;CHAR(34))</f>
        <v/>
      </c>
      <c r="J2103" t="str">
        <f>SUBSTITUTE(IF(OR(LEFT(A2107,3)="Câu",I2103=""),"",IF(B2107=0,"",B2107)),CHAR(34),CHAR(92)&amp;CHAR(34))</f>
        <v/>
      </c>
      <c r="K2103" t="str">
        <f ca="1">SUBSTITUTE(SUBSTITUTE(SUBSTITUTE(SUBSTITUTE(IFERROR(VLOOKUP("Câu "&amp;D2103&amp;".",dapan!$E:$J,6,0),""),"1","A"),"2","B"),"3","C"),"4","D")</f>
        <v>B</v>
      </c>
      <c r="P2103">
        <f t="shared" si="119"/>
        <v>510</v>
      </c>
      <c r="Q2103" t="str">
        <f t="shared" ca="1" si="120"/>
        <v>{"num":510,"id":510,"q":"Xe tải kéo xe mô tô ba bánh như hình này có đúng quy tắc giao thông không?","img":"q510.jpg","opts":{"A":"Đúng.","B":"Không đúng."},"answer":"B"},</v>
      </c>
    </row>
    <row r="2104" spans="1:17" hidden="1" x14ac:dyDescent="0.25">
      <c r="A2104">
        <v>1</v>
      </c>
      <c r="B2104" t="s">
        <v>1482</v>
      </c>
      <c r="C2104">
        <f>IFERROR(COUNTIFS($A$1:A2104,"Câu "&amp;"*")-MID(A2104,5,FIND(".",A2104,1)-5),0)</f>
        <v>0</v>
      </c>
      <c r="D2104" t="str">
        <f t="shared" si="122"/>
        <v/>
      </c>
      <c r="E2104" t="str">
        <f>SUBSTITUTE(IF(LEFT(A2104,3)="Câu",MID(A2104,FIND(".",A2104,1)+2,LEN(A2104)),""),CHAR(34),CHAR(92)&amp;CHAR(34))</f>
        <v/>
      </c>
      <c r="F2104" t="str">
        <f t="shared" si="121"/>
        <v/>
      </c>
      <c r="G2104" t="str">
        <f>SUBSTITUTE(B2105,CHAR(34),CHAR(92)&amp;CHAR(34))</f>
        <v>Không đúng.</v>
      </c>
      <c r="H2104" t="str">
        <f>SUBSTITUTE(B2106,CHAR(34),CHAR(92)&amp;CHAR(34))</f>
        <v/>
      </c>
      <c r="I2104" t="str">
        <f>SUBSTITUTE(IF(LEFT(A2107,3)="Câu","",B2107),CHAR(34),CHAR(92)&amp;CHAR(34))</f>
        <v>Hướng 2 và 5.</v>
      </c>
      <c r="J2104" t="str">
        <f>SUBSTITUTE(IF(OR(LEFT(A2108,3)="Câu",I2104=""),"",IF(B2108=0,"",B2108)),CHAR(34),CHAR(92)&amp;CHAR(34))</f>
        <v xml:space="preserve"> Chỉ hướng 1.</v>
      </c>
      <c r="K2104" t="str">
        <f>SUBSTITUTE(SUBSTITUTE(SUBSTITUTE(SUBSTITUTE(IFERROR(VLOOKUP("Câu "&amp;D2104&amp;".",dapan!$E:$J,6,0),""),"1","A"),"2","B"),"3","C"),"4","D")</f>
        <v/>
      </c>
      <c r="P2104" t="str">
        <f t="shared" si="119"/>
        <v/>
      </c>
      <c r="Q2104" t="str">
        <f t="shared" si="120"/>
        <v/>
      </c>
    </row>
    <row r="2105" spans="1:17" hidden="1" x14ac:dyDescent="0.25">
      <c r="A2105">
        <v>2</v>
      </c>
      <c r="B2105" t="s">
        <v>830</v>
      </c>
      <c r="C2105">
        <f>IFERROR(COUNTIFS($A$1:A2105,"Câu "&amp;"*")-MID(A2105,5,FIND(".",A2105,1)-5),0)</f>
        <v>0</v>
      </c>
      <c r="D2105" t="str">
        <f t="shared" si="122"/>
        <v/>
      </c>
      <c r="E2105" t="str">
        <f>SUBSTITUTE(IF(LEFT(A2105,3)="Câu",MID(A2105,FIND(".",A2105,1)+2,LEN(A2105)),""),CHAR(34),CHAR(92)&amp;CHAR(34))</f>
        <v/>
      </c>
      <c r="F2105" t="str">
        <f t="shared" si="121"/>
        <v/>
      </c>
      <c r="G2105" t="str">
        <f>SUBSTITUTE(B2106,CHAR(34),CHAR(92)&amp;CHAR(34))</f>
        <v/>
      </c>
      <c r="H2105" t="str">
        <f>SUBSTITUTE(B2107,CHAR(34),CHAR(92)&amp;CHAR(34))</f>
        <v>Hướng 2 và 5.</v>
      </c>
      <c r="I2105" t="str">
        <f>SUBSTITUTE(IF(LEFT(A2108,3)="Câu","",B2108),CHAR(34),CHAR(92)&amp;CHAR(34))</f>
        <v xml:space="preserve"> Chỉ hướng 1.</v>
      </c>
      <c r="J2105" t="str">
        <f>SUBSTITUTE(IF(OR(LEFT(A2109,3)="Câu",I2105=""),"",IF(B2109=0,"",B2109)),CHAR(34),CHAR(92)&amp;CHAR(34))</f>
        <v/>
      </c>
      <c r="K2105" t="str">
        <f>SUBSTITUTE(SUBSTITUTE(SUBSTITUTE(SUBSTITUTE(IFERROR(VLOOKUP("Câu "&amp;D2105&amp;".",dapan!$E:$J,6,0),""),"1","A"),"2","B"),"3","C"),"4","D")</f>
        <v/>
      </c>
      <c r="P2105" t="str">
        <f t="shared" si="119"/>
        <v/>
      </c>
      <c r="Q2105" t="str">
        <f t="shared" si="120"/>
        <v/>
      </c>
    </row>
    <row r="2106" spans="1:17" x14ac:dyDescent="0.25">
      <c r="A2106" t="s">
        <v>1484</v>
      </c>
      <c r="C2106">
        <f>IFERROR(COUNTIFS($A$1:A2106,"Câu "&amp;"*")-MID(A2106,5,FIND(".",A2106,1)-5),0)</f>
        <v>0</v>
      </c>
      <c r="D2106">
        <f t="shared" si="122"/>
        <v>511</v>
      </c>
      <c r="E2106" t="str">
        <f>SUBSTITUTE(IF(LEFT(A2106,3)="Câu",MID(A2106,FIND(".",A2106,1)+2,LEN(A2106)),""),CHAR(34),CHAR(92)&amp;CHAR(34))</f>
        <v>Theo hướng mũi tên, hướng nào xe không được phép đi?</v>
      </c>
      <c r="F2106" t="str">
        <f t="shared" si="121"/>
        <v>q511.jpg</v>
      </c>
      <c r="G2106" t="str">
        <f>SUBSTITUTE(B2107,CHAR(34),CHAR(92)&amp;CHAR(34))</f>
        <v>Hướng 2 và 5.</v>
      </c>
      <c r="H2106" t="str">
        <f>SUBSTITUTE(B2108,CHAR(34),CHAR(92)&amp;CHAR(34))</f>
        <v xml:space="preserve"> Chỉ hướng 1.</v>
      </c>
      <c r="I2106" t="str">
        <f>SUBSTITUTE(IF(LEFT(A2109,3)="Câu","",B2109),CHAR(34),CHAR(92)&amp;CHAR(34))</f>
        <v/>
      </c>
      <c r="J2106" t="str">
        <f>SUBSTITUTE(IF(OR(LEFT(A2110,3)="Câu",I2106=""),"",IF(B2110=0,"",B2110)),CHAR(34),CHAR(92)&amp;CHAR(34))</f>
        <v/>
      </c>
      <c r="K2106" t="str">
        <f ca="1">SUBSTITUTE(SUBSTITUTE(SUBSTITUTE(SUBSTITUTE(IFERROR(VLOOKUP("Câu "&amp;D2106&amp;".",dapan!$E:$J,6,0),""),"1","A"),"2","B"),"3","C"),"4","D")</f>
        <v>B</v>
      </c>
      <c r="P2106">
        <f t="shared" si="119"/>
        <v>511</v>
      </c>
      <c r="Q2106" t="str">
        <f t="shared" ca="1" si="120"/>
        <v>{"num":511,"id":511,"q":"Theo hướng mũi tên, hướng nào xe không được phép đi?","img":"q511.jpg","opts":{"A":"Hướng 2 và 5.","B":" Chỉ hướng 1."},"answer":"B"},</v>
      </c>
    </row>
    <row r="2107" spans="1:17" hidden="1" x14ac:dyDescent="0.25">
      <c r="A2107">
        <v>1</v>
      </c>
      <c r="B2107" t="s">
        <v>1485</v>
      </c>
      <c r="C2107">
        <f>IFERROR(COUNTIFS($A$1:A2107,"Câu "&amp;"*")-MID(A2107,5,FIND(".",A2107,1)-5),0)</f>
        <v>0</v>
      </c>
      <c r="D2107" t="str">
        <f t="shared" si="122"/>
        <v/>
      </c>
      <c r="E2107" t="str">
        <f>SUBSTITUTE(IF(LEFT(A2107,3)="Câu",MID(A2107,FIND(".",A2107,1)+2,LEN(A2107)),""),CHAR(34),CHAR(92)&amp;CHAR(34))</f>
        <v/>
      </c>
      <c r="F2107" t="str">
        <f t="shared" si="121"/>
        <v/>
      </c>
      <c r="G2107" t="str">
        <f>SUBSTITUTE(B2108,CHAR(34),CHAR(92)&amp;CHAR(34))</f>
        <v xml:space="preserve"> Chỉ hướng 1.</v>
      </c>
      <c r="H2107" t="str">
        <f>SUBSTITUTE(B2109,CHAR(34),CHAR(92)&amp;CHAR(34))</f>
        <v/>
      </c>
      <c r="I2107" t="str">
        <f>SUBSTITUTE(IF(LEFT(A2110,3)="Câu","",B2110),CHAR(34),CHAR(92)&amp;CHAR(34))</f>
        <v>Hướng 1 và 2.</v>
      </c>
      <c r="J2107" t="str">
        <f>SUBSTITUTE(IF(OR(LEFT(A2111,3)="Câu",I2107=""),"",IF(B2111=0,"",B2111)),CHAR(34),CHAR(92)&amp;CHAR(34))</f>
        <v xml:space="preserve"> Hướng 3.</v>
      </c>
      <c r="K2107" t="str">
        <f>SUBSTITUTE(SUBSTITUTE(SUBSTITUTE(SUBSTITUTE(IFERROR(VLOOKUP("Câu "&amp;D2107&amp;".",dapan!$E:$J,6,0),""),"1","A"),"2","B"),"3","C"),"4","D")</f>
        <v/>
      </c>
      <c r="P2107" t="str">
        <f t="shared" si="119"/>
        <v/>
      </c>
      <c r="Q2107" t="str">
        <f t="shared" si="120"/>
        <v/>
      </c>
    </row>
    <row r="2108" spans="1:17" hidden="1" x14ac:dyDescent="0.25">
      <c r="A2108">
        <v>2</v>
      </c>
      <c r="B2108" t="s">
        <v>1448</v>
      </c>
      <c r="C2108">
        <f>IFERROR(COUNTIFS($A$1:A2108,"Câu "&amp;"*")-MID(A2108,5,FIND(".",A2108,1)-5),0)</f>
        <v>0</v>
      </c>
      <c r="D2108" t="str">
        <f t="shared" si="122"/>
        <v/>
      </c>
      <c r="E2108" t="str">
        <f>SUBSTITUTE(IF(LEFT(A2108,3)="Câu",MID(A2108,FIND(".",A2108,1)+2,LEN(A2108)),""),CHAR(34),CHAR(92)&amp;CHAR(34))</f>
        <v/>
      </c>
      <c r="F2108" t="str">
        <f t="shared" si="121"/>
        <v/>
      </c>
      <c r="G2108" t="str">
        <f>SUBSTITUTE(B2109,CHAR(34),CHAR(92)&amp;CHAR(34))</f>
        <v/>
      </c>
      <c r="H2108" t="str">
        <f>SUBSTITUTE(B2110,CHAR(34),CHAR(92)&amp;CHAR(34))</f>
        <v>Hướng 1 và 2.</v>
      </c>
      <c r="I2108" t="str">
        <f>SUBSTITUTE(IF(LEFT(A2111,3)="Câu","",B2111),CHAR(34),CHAR(92)&amp;CHAR(34))</f>
        <v xml:space="preserve"> Hướng 3.</v>
      </c>
      <c r="J2108" t="str">
        <f>SUBSTITUTE(IF(OR(LEFT(A2112,3)="Câu",I2108=""),"",IF(B2112=0,"",B2112)),CHAR(34),CHAR(92)&amp;CHAR(34))</f>
        <v>Hướng 1 và 4.</v>
      </c>
      <c r="K2108" t="str">
        <f>SUBSTITUTE(SUBSTITUTE(SUBSTITUTE(SUBSTITUTE(IFERROR(VLOOKUP("Câu "&amp;D2108&amp;".",dapan!$E:$J,6,0),""),"1","A"),"2","B"),"3","C"),"4","D")</f>
        <v/>
      </c>
      <c r="P2108" t="str">
        <f t="shared" si="119"/>
        <v/>
      </c>
      <c r="Q2108" t="str">
        <f t="shared" si="120"/>
        <v/>
      </c>
    </row>
    <row r="2109" spans="1:17" x14ac:dyDescent="0.25">
      <c r="A2109" t="s">
        <v>1486</v>
      </c>
      <c r="C2109">
        <f>IFERROR(COUNTIFS($A$1:A2109,"Câu "&amp;"*")-MID(A2109,5,FIND(".",A2109,1)-5),0)</f>
        <v>0</v>
      </c>
      <c r="D2109">
        <f t="shared" si="122"/>
        <v>512</v>
      </c>
      <c r="E2109" t="str">
        <f>SUBSTITUTE(IF(LEFT(A2109,3)="Câu",MID(A2109,FIND(".",A2109,1)+2,LEN(A2109)),""),CHAR(34),CHAR(92)&amp;CHAR(34))</f>
        <v>heo hướng mũi tên, những hướng nào xe ô tô không được phép đi?</v>
      </c>
      <c r="F2109" t="str">
        <f t="shared" si="121"/>
        <v>q512.jpg</v>
      </c>
      <c r="G2109" t="str">
        <f>SUBSTITUTE(B2110,CHAR(34),CHAR(92)&amp;CHAR(34))</f>
        <v>Hướng 1 và 2.</v>
      </c>
      <c r="H2109" t="str">
        <f>SUBSTITUTE(B2111,CHAR(34),CHAR(92)&amp;CHAR(34))</f>
        <v xml:space="preserve"> Hướng 3.</v>
      </c>
      <c r="I2109" t="str">
        <f>SUBSTITUTE(IF(LEFT(A2112,3)="Câu","",B2112),CHAR(34),CHAR(92)&amp;CHAR(34))</f>
        <v>Hướng 1 và 4.</v>
      </c>
      <c r="J2109" t="str">
        <f>SUBSTITUTE(IF(OR(LEFT(A2113,3)="Câu",I2109=""),"",IF(B2113=0,"",B2113)),CHAR(34),CHAR(92)&amp;CHAR(34))</f>
        <v>Hướng 2 và 3.</v>
      </c>
      <c r="K2109" t="str">
        <f ca="1">SUBSTITUTE(SUBSTITUTE(SUBSTITUTE(SUBSTITUTE(IFERROR(VLOOKUP("Câu "&amp;D2109&amp;".",dapan!$E:$J,6,0),""),"1","A"),"2","B"),"3","C"),"4","D")</f>
        <v>B</v>
      </c>
      <c r="P2109">
        <f t="shared" si="119"/>
        <v>512</v>
      </c>
      <c r="Q2109" t="str">
        <f t="shared" ca="1" si="120"/>
        <v>{"num":512,"id":512,"q":"heo hướng mũi tên, những hướng nào xe ô tô không được phép đi?","img":"q512.jpg","opts":{"A":"Hướng 1 và 2.","B":" Hướng 3.","C":"Hướng 1 và 4.","D":"Hướng 2 và 3."},"answer":"B"},</v>
      </c>
    </row>
    <row r="2110" spans="1:17" hidden="1" x14ac:dyDescent="0.25">
      <c r="A2110">
        <v>1</v>
      </c>
      <c r="B2110" t="s">
        <v>1449</v>
      </c>
      <c r="C2110">
        <f>IFERROR(COUNTIFS($A$1:A2110,"Câu "&amp;"*")-MID(A2110,5,FIND(".",A2110,1)-5),0)</f>
        <v>0</v>
      </c>
      <c r="D2110" t="str">
        <f t="shared" si="122"/>
        <v/>
      </c>
      <c r="E2110" t="str">
        <f>SUBSTITUTE(IF(LEFT(A2110,3)="Câu",MID(A2110,FIND(".",A2110,1)+2,LEN(A2110)),""),CHAR(34),CHAR(92)&amp;CHAR(34))</f>
        <v/>
      </c>
      <c r="F2110" t="str">
        <f t="shared" si="121"/>
        <v/>
      </c>
      <c r="G2110" t="str">
        <f>SUBSTITUTE(B2111,CHAR(34),CHAR(92)&amp;CHAR(34))</f>
        <v xml:space="preserve"> Hướng 3.</v>
      </c>
      <c r="H2110" t="str">
        <f>SUBSTITUTE(B2112,CHAR(34),CHAR(92)&amp;CHAR(34))</f>
        <v>Hướng 1 và 4.</v>
      </c>
      <c r="I2110" t="str">
        <f>SUBSTITUTE(IF(LEFT(A2113,3)="Câu","",B2113),CHAR(34),CHAR(92)&amp;CHAR(34))</f>
        <v>Hướng 2 và 3.</v>
      </c>
      <c r="J2110" t="str">
        <f>SUBSTITUTE(IF(OR(LEFT(A2114,3)="Câu",I2110=""),"",IF(B2114=0,"",B2114)),CHAR(34),CHAR(92)&amp;CHAR(34))</f>
        <v/>
      </c>
      <c r="K2110" t="str">
        <f>SUBSTITUTE(SUBSTITUTE(SUBSTITUTE(SUBSTITUTE(IFERROR(VLOOKUP("Câu "&amp;D2110&amp;".",dapan!$E:$J,6,0),""),"1","A"),"2","B"),"3","C"),"4","D")</f>
        <v/>
      </c>
      <c r="P2110" t="str">
        <f t="shared" si="119"/>
        <v/>
      </c>
      <c r="Q2110" t="str">
        <f t="shared" si="120"/>
        <v/>
      </c>
    </row>
    <row r="2111" spans="1:17" hidden="1" x14ac:dyDescent="0.25">
      <c r="A2111">
        <v>2</v>
      </c>
      <c r="B2111" t="s">
        <v>1487</v>
      </c>
      <c r="C2111">
        <f>IFERROR(COUNTIFS($A$1:A2111,"Câu "&amp;"*")-MID(A2111,5,FIND(".",A2111,1)-5),0)</f>
        <v>0</v>
      </c>
      <c r="D2111" t="str">
        <f t="shared" si="122"/>
        <v/>
      </c>
      <c r="E2111" t="str">
        <f>SUBSTITUTE(IF(LEFT(A2111,3)="Câu",MID(A2111,FIND(".",A2111,1)+2,LEN(A2111)),""),CHAR(34),CHAR(92)&amp;CHAR(34))</f>
        <v/>
      </c>
      <c r="F2111" t="str">
        <f t="shared" si="121"/>
        <v/>
      </c>
      <c r="G2111" t="str">
        <f>SUBSTITUTE(B2112,CHAR(34),CHAR(92)&amp;CHAR(34))</f>
        <v>Hướng 1 và 4.</v>
      </c>
      <c r="H2111" t="str">
        <f>SUBSTITUTE(B2113,CHAR(34),CHAR(92)&amp;CHAR(34))</f>
        <v>Hướng 2 và 3.</v>
      </c>
      <c r="I2111" t="str">
        <f>SUBSTITUTE(IF(LEFT(A2114,3)="Câu","",B2114),CHAR(34),CHAR(92)&amp;CHAR(34))</f>
        <v/>
      </c>
      <c r="J2111" t="str">
        <f>SUBSTITUTE(IF(OR(LEFT(A2115,3)="Câu",I2111=""),"",IF(B2115=0,"",B2115)),CHAR(34),CHAR(92)&amp;CHAR(34))</f>
        <v/>
      </c>
      <c r="K2111" t="str">
        <f>SUBSTITUTE(SUBSTITUTE(SUBSTITUTE(SUBSTITUTE(IFERROR(VLOOKUP("Câu "&amp;D2111&amp;".",dapan!$E:$J,6,0),""),"1","A"),"2","B"),"3","C"),"4","D")</f>
        <v/>
      </c>
      <c r="P2111" t="str">
        <f t="shared" si="119"/>
        <v/>
      </c>
      <c r="Q2111" t="str">
        <f t="shared" si="120"/>
        <v/>
      </c>
    </row>
    <row r="2112" spans="1:17" hidden="1" x14ac:dyDescent="0.25">
      <c r="A2112">
        <v>3</v>
      </c>
      <c r="B2112" t="s">
        <v>1488</v>
      </c>
      <c r="C2112">
        <f>IFERROR(COUNTIFS($A$1:A2112,"Câu "&amp;"*")-MID(A2112,5,FIND(".",A2112,1)-5),0)</f>
        <v>0</v>
      </c>
      <c r="D2112" t="str">
        <f t="shared" si="122"/>
        <v/>
      </c>
      <c r="E2112" t="str">
        <f>SUBSTITUTE(IF(LEFT(A2112,3)="Câu",MID(A2112,FIND(".",A2112,1)+2,LEN(A2112)),""),CHAR(34),CHAR(92)&amp;CHAR(34))</f>
        <v/>
      </c>
      <c r="F2112" t="str">
        <f t="shared" si="121"/>
        <v/>
      </c>
      <c r="G2112" t="str">
        <f>SUBSTITUTE(B2113,CHAR(34),CHAR(92)&amp;CHAR(34))</f>
        <v>Hướng 2 và 3.</v>
      </c>
      <c r="H2112" t="str">
        <f>SUBSTITUTE(B2114,CHAR(34),CHAR(92)&amp;CHAR(34))</f>
        <v/>
      </c>
      <c r="I2112" t="str">
        <f>SUBSTITUTE(IF(LEFT(A2115,3)="Câu","",B2115),CHAR(34),CHAR(92)&amp;CHAR(34))</f>
        <v xml:space="preserve"> Cả hai xe đều đúng.</v>
      </c>
      <c r="J2112" t="str">
        <f>SUBSTITUTE(IF(OR(LEFT(A2116,3)="Câu",I2112=""),"",IF(B2116=0,"",B2116)),CHAR(34),CHAR(92)&amp;CHAR(34))</f>
        <v>Xe con.</v>
      </c>
      <c r="K2112" t="str">
        <f>SUBSTITUTE(SUBSTITUTE(SUBSTITUTE(SUBSTITUTE(IFERROR(VLOOKUP("Câu "&amp;D2112&amp;".",dapan!$E:$J,6,0),""),"1","A"),"2","B"),"3","C"),"4","D")</f>
        <v/>
      </c>
      <c r="P2112" t="str">
        <f t="shared" si="119"/>
        <v/>
      </c>
      <c r="Q2112" t="str">
        <f t="shared" si="120"/>
        <v/>
      </c>
    </row>
    <row r="2113" spans="1:17" hidden="1" x14ac:dyDescent="0.25">
      <c r="A2113">
        <v>4</v>
      </c>
      <c r="B2113" t="s">
        <v>1489</v>
      </c>
      <c r="C2113">
        <f>IFERROR(COUNTIFS($A$1:A2113,"Câu "&amp;"*")-MID(A2113,5,FIND(".",A2113,1)-5),0)</f>
        <v>0</v>
      </c>
      <c r="D2113" t="str">
        <f t="shared" si="122"/>
        <v/>
      </c>
      <c r="E2113" t="str">
        <f>SUBSTITUTE(IF(LEFT(A2113,3)="Câu",MID(A2113,FIND(".",A2113,1)+2,LEN(A2113)),""),CHAR(34),CHAR(92)&amp;CHAR(34))</f>
        <v/>
      </c>
      <c r="F2113" t="str">
        <f t="shared" si="121"/>
        <v/>
      </c>
      <c r="G2113" t="str">
        <f>SUBSTITUTE(B2114,CHAR(34),CHAR(92)&amp;CHAR(34))</f>
        <v/>
      </c>
      <c r="H2113" t="str">
        <f>SUBSTITUTE(B2115,CHAR(34),CHAR(92)&amp;CHAR(34))</f>
        <v xml:space="preserve"> Cả hai xe đều đúng.</v>
      </c>
      <c r="I2113" t="str">
        <f>SUBSTITUTE(IF(LEFT(A2116,3)="Câu","",B2116),CHAR(34),CHAR(92)&amp;CHAR(34))</f>
        <v>Xe con.</v>
      </c>
      <c r="J2113" t="str">
        <f>SUBSTITUTE(IF(OR(LEFT(A2117,3)="Câu",I2113=""),"",IF(B2117=0,"",B2117)),CHAR(34),CHAR(92)&amp;CHAR(34))</f>
        <v>Xe khách.</v>
      </c>
      <c r="K2113" t="str">
        <f>SUBSTITUTE(SUBSTITUTE(SUBSTITUTE(SUBSTITUTE(IFERROR(VLOOKUP("Câu "&amp;D2113&amp;".",dapan!$E:$J,6,0),""),"1","A"),"2","B"),"3","C"),"4","D")</f>
        <v/>
      </c>
      <c r="P2113" t="str">
        <f t="shared" si="119"/>
        <v/>
      </c>
      <c r="Q2113" t="str">
        <f t="shared" si="120"/>
        <v/>
      </c>
    </row>
    <row r="2114" spans="1:17" x14ac:dyDescent="0.25">
      <c r="A2114" t="s">
        <v>1490</v>
      </c>
      <c r="C2114">
        <f>IFERROR(COUNTIFS($A$1:A2114,"Câu "&amp;"*")-MID(A2114,5,FIND(".",A2114,1)-5),0)</f>
        <v>0</v>
      </c>
      <c r="D2114">
        <f t="shared" si="122"/>
        <v>513</v>
      </c>
      <c r="E2114" t="str">
        <f>SUBSTITUTE(IF(LEFT(A2114,3)="Câu",MID(A2114,FIND(".",A2114,1)+2,LEN(A2114)),""),CHAR(34),CHAR(92)&amp;CHAR(34))</f>
        <v>Xe nào vượt đúng quy tắc giao thông?</v>
      </c>
      <c r="F2114" t="str">
        <f t="shared" si="121"/>
        <v>q513.jpg</v>
      </c>
      <c r="G2114" t="str">
        <f>SUBSTITUTE(B2115,CHAR(34),CHAR(92)&amp;CHAR(34))</f>
        <v xml:space="preserve"> Cả hai xe đều đúng.</v>
      </c>
      <c r="H2114" t="str">
        <f>SUBSTITUTE(B2116,CHAR(34),CHAR(92)&amp;CHAR(34))</f>
        <v>Xe con.</v>
      </c>
      <c r="I2114" t="str">
        <f>SUBSTITUTE(IF(LEFT(A2117,3)="Câu","",B2117),CHAR(34),CHAR(92)&amp;CHAR(34))</f>
        <v>Xe khách.</v>
      </c>
      <c r="J2114" t="str">
        <f>SUBSTITUTE(IF(OR(LEFT(A2118,3)="Câu",I2114=""),"",IF(B2118=0,"",B2118)),CHAR(34),CHAR(92)&amp;CHAR(34))</f>
        <v/>
      </c>
      <c r="K2114" t="str">
        <f ca="1">SUBSTITUTE(SUBSTITUTE(SUBSTITUTE(SUBSTITUTE(IFERROR(VLOOKUP("Câu "&amp;D2114&amp;".",dapan!$E:$J,6,0),""),"1","A"),"2","B"),"3","C"),"4","D")</f>
        <v>A</v>
      </c>
      <c r="P2114">
        <f t="shared" si="119"/>
        <v>513</v>
      </c>
      <c r="Q2114" t="str">
        <f t="shared" ca="1" si="120"/>
        <v>{"num":513,"id":513,"q":"Xe nào vượt đúng quy tắc giao thông?","img":"q513.jpg","opts":{"A":" Cả hai xe đều đúng.","B":"Xe con.","C":"Xe khách."},"answer":"A"},</v>
      </c>
    </row>
    <row r="2115" spans="1:17" hidden="1" x14ac:dyDescent="0.25">
      <c r="A2115">
        <v>1</v>
      </c>
      <c r="B2115" t="s">
        <v>1491</v>
      </c>
      <c r="C2115">
        <f>IFERROR(COUNTIFS($A$1:A2115,"Câu "&amp;"*")-MID(A2115,5,FIND(".",A2115,1)-5),0)</f>
        <v>0</v>
      </c>
      <c r="D2115" t="str">
        <f t="shared" si="122"/>
        <v/>
      </c>
      <c r="E2115" t="str">
        <f>SUBSTITUTE(IF(LEFT(A2115,3)="Câu",MID(A2115,FIND(".",A2115,1)+2,LEN(A2115)),""),CHAR(34),CHAR(92)&amp;CHAR(34))</f>
        <v/>
      </c>
      <c r="F2115" t="str">
        <f t="shared" si="121"/>
        <v/>
      </c>
      <c r="G2115" t="str">
        <f>SUBSTITUTE(B2116,CHAR(34),CHAR(92)&amp;CHAR(34))</f>
        <v>Xe con.</v>
      </c>
      <c r="H2115" t="str">
        <f>SUBSTITUTE(B2117,CHAR(34),CHAR(92)&amp;CHAR(34))</f>
        <v>Xe khách.</v>
      </c>
      <c r="I2115" t="str">
        <f>SUBSTITUTE(IF(LEFT(A2118,3)="Câu","",B2118),CHAR(34),CHAR(92)&amp;CHAR(34))</f>
        <v/>
      </c>
      <c r="J2115" t="str">
        <f>SUBSTITUTE(IF(OR(LEFT(A2119,3)="Câu",I2115=""),"",IF(B2119=0,"",B2119)),CHAR(34),CHAR(92)&amp;CHAR(34))</f>
        <v/>
      </c>
      <c r="K2115" t="str">
        <f>SUBSTITUTE(SUBSTITUTE(SUBSTITUTE(SUBSTITUTE(IFERROR(VLOOKUP("Câu "&amp;D2115&amp;".",dapan!$E:$J,6,0),""),"1","A"),"2","B"),"3","C"),"4","D")</f>
        <v/>
      </c>
      <c r="P2115" t="str">
        <f t="shared" ref="P2115:P2178" si="123">D2115</f>
        <v/>
      </c>
      <c r="Q2115" t="str">
        <f t="shared" ref="Q2115:Q2178" si="124">IF(D2115="","",CHAR(123)&amp;CHAR(34)&amp;"num"&amp;CHAR(34)&amp;":"&amp;P2115&amp;","&amp;CHAR(34)&amp;"id"&amp;CHAR(34)&amp;":"&amp;D2115&amp;","
&amp;CHAR(34)&amp;"q"&amp;CHAR(34)&amp;":"&amp;CHAR(34)&amp;E2115&amp;CHAR(34)&amp;","
&amp;IF(F2115="","",CHAR(34)&amp;"img"&amp;CHAR(34)&amp;":"&amp;CHAR(34)&amp;F2115&amp;CHAR(34)&amp;",")
&amp;CHAR(34)&amp;"opts"&amp;CHAR(34)&amp;":"&amp;CHAR(123)&amp;CHAR(34)&amp;"A"&amp;CHAR(34)&amp;":"&amp;CHAR(34)&amp;G2115&amp;CHAR(34)&amp;","&amp;CHAR(34)&amp;"B"&amp;CHAR(34)&amp;":"&amp;CHAR(34)&amp;H2115&amp;CHAR(34)
&amp;IF(I2115="","",","&amp;CHAR(34)&amp;"C"&amp;CHAR(34)&amp;":"&amp;CHAR(34)&amp;I2115&amp;CHAR(34))&amp;IF(J2115="","",","&amp;CHAR(34)&amp;"D"&amp;CHAR(34)&amp;":"&amp;CHAR(34)&amp;J2115&amp;CHAR(34))&amp;CHAR(125)&amp;","
&amp;CHAR(34)&amp;"answer"&amp;CHAR(34)&amp;":"&amp;CHAR(34)&amp;K2115&amp;CHAR(34)
&amp;IF(L2115="","",","&amp;CHAR(34)&amp;"danger"&amp;CHAR(34)&amp;":"&amp;CHAR(34)&amp;"true"&amp;CHAR(34))
&amp;IF(M2115="","",","&amp;CHAR(34)&amp;"explain"&amp;CHAR(34)&amp;":"&amp;CHAR(34)&amp;M2115&amp;CHAR(34))
&amp;IF(N2115="","",","&amp;CHAR(34)&amp;"explainImg"&amp;CHAR(34)&amp;":"&amp;CHAR(34)&amp;N2115&amp;CHAR(34))
&amp;IF(O2115="","",","&amp;CHAR(34)&amp;"shuffle"&amp;CHAR(34)&amp;":"&amp;CHAR(34)&amp;"false"&amp;CHAR(34))&amp;CHAR(125)&amp;",")</f>
        <v/>
      </c>
    </row>
    <row r="2116" spans="1:17" hidden="1" x14ac:dyDescent="0.25">
      <c r="A2116">
        <v>2</v>
      </c>
      <c r="B2116" t="s">
        <v>1434</v>
      </c>
      <c r="C2116">
        <f>IFERROR(COUNTIFS($A$1:A2116,"Câu "&amp;"*")-MID(A2116,5,FIND(".",A2116,1)-5),0)</f>
        <v>0</v>
      </c>
      <c r="D2116" t="str">
        <f t="shared" si="122"/>
        <v/>
      </c>
      <c r="E2116" t="str">
        <f>SUBSTITUTE(IF(LEFT(A2116,3)="Câu",MID(A2116,FIND(".",A2116,1)+2,LEN(A2116)),""),CHAR(34),CHAR(92)&amp;CHAR(34))</f>
        <v/>
      </c>
      <c r="F2116" t="str">
        <f t="shared" si="121"/>
        <v/>
      </c>
      <c r="G2116" t="str">
        <f>SUBSTITUTE(B2117,CHAR(34),CHAR(92)&amp;CHAR(34))</f>
        <v>Xe khách.</v>
      </c>
      <c r="H2116" t="str">
        <f>SUBSTITUTE(B2118,CHAR(34),CHAR(92)&amp;CHAR(34))</f>
        <v/>
      </c>
      <c r="I2116" t="str">
        <f>SUBSTITUTE(IF(LEFT(A2119,3)="Câu","",B2119),CHAR(34),CHAR(92)&amp;CHAR(34))</f>
        <v xml:space="preserve"> Hướng 2 và 3.</v>
      </c>
      <c r="J2116" t="str">
        <f>SUBSTITUTE(IF(OR(LEFT(A2120,3)="Câu",I2116=""),"",IF(B2120=0,"",B2120)),CHAR(34),CHAR(92)&amp;CHAR(34))</f>
        <v>Hướng 1, 2 và 3.</v>
      </c>
      <c r="K2116" t="str">
        <f>SUBSTITUTE(SUBSTITUTE(SUBSTITUTE(SUBSTITUTE(IFERROR(VLOOKUP("Câu "&amp;D2116&amp;".",dapan!$E:$J,6,0),""),"1","A"),"2","B"),"3","C"),"4","D")</f>
        <v/>
      </c>
      <c r="P2116" t="str">
        <f t="shared" si="123"/>
        <v/>
      </c>
      <c r="Q2116" t="str">
        <f t="shared" si="124"/>
        <v/>
      </c>
    </row>
    <row r="2117" spans="1:17" hidden="1" x14ac:dyDescent="0.25">
      <c r="A2117">
        <v>3</v>
      </c>
      <c r="B2117" t="s">
        <v>1492</v>
      </c>
      <c r="C2117">
        <f>IFERROR(COUNTIFS($A$1:A2117,"Câu "&amp;"*")-MID(A2117,5,FIND(".",A2117,1)-5),0)</f>
        <v>0</v>
      </c>
      <c r="D2117" t="str">
        <f t="shared" si="122"/>
        <v/>
      </c>
      <c r="E2117" t="str">
        <f>SUBSTITUTE(IF(LEFT(A2117,3)="Câu",MID(A2117,FIND(".",A2117,1)+2,LEN(A2117)),""),CHAR(34),CHAR(92)&amp;CHAR(34))</f>
        <v/>
      </c>
      <c r="F2117" t="str">
        <f t="shared" si="121"/>
        <v/>
      </c>
      <c r="G2117" t="str">
        <f>SUBSTITUTE(B2118,CHAR(34),CHAR(92)&amp;CHAR(34))</f>
        <v/>
      </c>
      <c r="H2117" t="str">
        <f>SUBSTITUTE(B2119,CHAR(34),CHAR(92)&amp;CHAR(34))</f>
        <v xml:space="preserve"> Hướng 2 và 3.</v>
      </c>
      <c r="I2117" t="str">
        <f>SUBSTITUTE(IF(LEFT(A2120,3)="Câu","",B2120),CHAR(34),CHAR(92)&amp;CHAR(34))</f>
        <v>Hướng 1, 2 và 3.</v>
      </c>
      <c r="J2117" t="str">
        <f>SUBSTITUTE(IF(OR(LEFT(A2121,3)="Câu",I2117=""),"",IF(B2121=0,"",B2121)),CHAR(34),CHAR(92)&amp;CHAR(34))</f>
        <v>Hướng 1 và 3.</v>
      </c>
      <c r="K2117" t="str">
        <f>SUBSTITUTE(SUBSTITUTE(SUBSTITUTE(SUBSTITUTE(IFERROR(VLOOKUP("Câu "&amp;D2117&amp;".",dapan!$E:$J,6,0),""),"1","A"),"2","B"),"3","C"),"4","D")</f>
        <v/>
      </c>
      <c r="P2117" t="str">
        <f t="shared" si="123"/>
        <v/>
      </c>
      <c r="Q2117" t="str">
        <f t="shared" si="124"/>
        <v/>
      </c>
    </row>
    <row r="2118" spans="1:17" x14ac:dyDescent="0.25">
      <c r="A2118" t="s">
        <v>1493</v>
      </c>
      <c r="C2118">
        <f>IFERROR(COUNTIFS($A$1:A2118,"Câu "&amp;"*")-MID(A2118,5,FIND(".",A2118,1)-5),0)</f>
        <v>0</v>
      </c>
      <c r="D2118">
        <f t="shared" si="122"/>
        <v>514</v>
      </c>
      <c r="E2118" t="str">
        <f>SUBSTITUTE(IF(LEFT(A2118,3)="Câu",MID(A2118,FIND(".",A2118,1)+2,LEN(A2118)),""),CHAR(34),CHAR(92)&amp;CHAR(34))</f>
        <v>Theo hướng mũi tên, gặp biển hướng đi phải theo đặt trước ngã tư, những hướng nào xe được phép đi?</v>
      </c>
      <c r="F2118" t="str">
        <f t="shared" si="121"/>
        <v>q514.jpg</v>
      </c>
      <c r="G2118" t="str">
        <f>SUBSTITUTE(B2119,CHAR(34),CHAR(92)&amp;CHAR(34))</f>
        <v xml:space="preserve"> Hướng 2 và 3.</v>
      </c>
      <c r="H2118" t="str">
        <f>SUBSTITUTE(B2120,CHAR(34),CHAR(92)&amp;CHAR(34))</f>
        <v>Hướng 1, 2 và 3.</v>
      </c>
      <c r="I2118" t="str">
        <f>SUBSTITUTE(IF(LEFT(A2121,3)="Câu","",B2121),CHAR(34),CHAR(92)&amp;CHAR(34))</f>
        <v>Hướng 1 và 3.</v>
      </c>
      <c r="J2118" t="str">
        <f>SUBSTITUTE(IF(OR(LEFT(A2122,3)="Câu",I2118=""),"",IF(B2122=0,"",B2122)),CHAR(34),CHAR(92)&amp;CHAR(34))</f>
        <v/>
      </c>
      <c r="K2118" t="str">
        <f ca="1">SUBSTITUTE(SUBSTITUTE(SUBSTITUTE(SUBSTITUTE(IFERROR(VLOOKUP("Câu "&amp;D2118&amp;".",dapan!$E:$J,6,0),""),"1","A"),"2","B"),"3","C"),"4","D")</f>
        <v>A</v>
      </c>
      <c r="P2118">
        <f t="shared" si="123"/>
        <v>514</v>
      </c>
      <c r="Q2118" t="str">
        <f t="shared" ca="1" si="124"/>
        <v>{"num":514,"id":514,"q":"Theo hướng mũi tên, gặp biển hướng đi phải theo đặt trước ngã tư, những hướng nào xe được phép đi?","img":"q514.jpg","opts":{"A":" Hướng 2 và 3.","B":"Hướng 1, 2 và 3.","C":"Hướng 1 và 3."},"answer":"A"},</v>
      </c>
    </row>
    <row r="2119" spans="1:17" hidden="1" x14ac:dyDescent="0.25">
      <c r="A2119">
        <v>1</v>
      </c>
      <c r="B2119" t="s">
        <v>1494</v>
      </c>
      <c r="C2119">
        <f>IFERROR(COUNTIFS($A$1:A2119,"Câu "&amp;"*")-MID(A2119,5,FIND(".",A2119,1)-5),0)</f>
        <v>0</v>
      </c>
      <c r="D2119" t="str">
        <f t="shared" si="122"/>
        <v/>
      </c>
      <c r="E2119" t="str">
        <f>SUBSTITUTE(IF(LEFT(A2119,3)="Câu",MID(A2119,FIND(".",A2119,1)+2,LEN(A2119)),""),CHAR(34),CHAR(92)&amp;CHAR(34))</f>
        <v/>
      </c>
      <c r="F2119" t="str">
        <f t="shared" si="121"/>
        <v/>
      </c>
      <c r="G2119" t="str">
        <f>SUBSTITUTE(B2120,CHAR(34),CHAR(92)&amp;CHAR(34))</f>
        <v>Hướng 1, 2 và 3.</v>
      </c>
      <c r="H2119" t="str">
        <f>SUBSTITUTE(B2121,CHAR(34),CHAR(92)&amp;CHAR(34))</f>
        <v>Hướng 1 và 3.</v>
      </c>
      <c r="I2119" t="str">
        <f>SUBSTITUTE(IF(LEFT(A2122,3)="Câu","",B2122),CHAR(34),CHAR(92)&amp;CHAR(34))</f>
        <v/>
      </c>
      <c r="J2119" t="str">
        <f>SUBSTITUTE(IF(OR(LEFT(A2123,3)="Câu",I2119=""),"",IF(B2123=0,"",B2123)),CHAR(34),CHAR(92)&amp;CHAR(34))</f>
        <v/>
      </c>
      <c r="K2119" t="str">
        <f>SUBSTITUTE(SUBSTITUTE(SUBSTITUTE(SUBSTITUTE(IFERROR(VLOOKUP("Câu "&amp;D2119&amp;".",dapan!$E:$J,6,0),""),"1","A"),"2","B"),"3","C"),"4","D")</f>
        <v/>
      </c>
      <c r="P2119" t="str">
        <f t="shared" si="123"/>
        <v/>
      </c>
      <c r="Q2119" t="str">
        <f t="shared" si="124"/>
        <v/>
      </c>
    </row>
    <row r="2120" spans="1:17" hidden="1" x14ac:dyDescent="0.25">
      <c r="A2120">
        <v>2</v>
      </c>
      <c r="B2120" t="s">
        <v>1495</v>
      </c>
      <c r="C2120">
        <f>IFERROR(COUNTIFS($A$1:A2120,"Câu "&amp;"*")-MID(A2120,5,FIND(".",A2120,1)-5),0)</f>
        <v>0</v>
      </c>
      <c r="D2120" t="str">
        <f t="shared" si="122"/>
        <v/>
      </c>
      <c r="E2120" t="str">
        <f>SUBSTITUTE(IF(LEFT(A2120,3)="Câu",MID(A2120,FIND(".",A2120,1)+2,LEN(A2120)),""),CHAR(34),CHAR(92)&amp;CHAR(34))</f>
        <v/>
      </c>
      <c r="F2120" t="str">
        <f t="shared" si="121"/>
        <v/>
      </c>
      <c r="G2120" t="str">
        <f>SUBSTITUTE(B2121,CHAR(34),CHAR(92)&amp;CHAR(34))</f>
        <v>Hướng 1 và 3.</v>
      </c>
      <c r="H2120" t="str">
        <f>SUBSTITUTE(B2122,CHAR(34),CHAR(92)&amp;CHAR(34))</f>
        <v/>
      </c>
      <c r="I2120" t="str">
        <f>SUBSTITUTE(IF(LEFT(A2123,3)="Câu","",B2123),CHAR(34),CHAR(92)&amp;CHAR(34))</f>
        <v>Không.</v>
      </c>
      <c r="J2120" t="str">
        <f>SUBSTITUTE(IF(OR(LEFT(A2124,3)="Câu",I2120=""),"",IF(B2124=0,"",B2124)),CHAR(34),CHAR(92)&amp;CHAR(34))</f>
        <v xml:space="preserve"> Vi phạm.</v>
      </c>
      <c r="K2120" t="str">
        <f>SUBSTITUTE(SUBSTITUTE(SUBSTITUTE(SUBSTITUTE(IFERROR(VLOOKUP("Câu "&amp;D2120&amp;".",dapan!$E:$J,6,0),""),"1","A"),"2","B"),"3","C"),"4","D")</f>
        <v/>
      </c>
      <c r="P2120" t="str">
        <f t="shared" si="123"/>
        <v/>
      </c>
      <c r="Q2120" t="str">
        <f t="shared" si="124"/>
        <v/>
      </c>
    </row>
    <row r="2121" spans="1:17" hidden="1" x14ac:dyDescent="0.25">
      <c r="A2121">
        <v>3</v>
      </c>
      <c r="B2121" t="s">
        <v>1496</v>
      </c>
      <c r="C2121">
        <f>IFERROR(COUNTIFS($A$1:A2121,"Câu "&amp;"*")-MID(A2121,5,FIND(".",A2121,1)-5),0)</f>
        <v>0</v>
      </c>
      <c r="D2121" t="str">
        <f t="shared" si="122"/>
        <v/>
      </c>
      <c r="E2121" t="str">
        <f>SUBSTITUTE(IF(LEFT(A2121,3)="Câu",MID(A2121,FIND(".",A2121,1)+2,LEN(A2121)),""),CHAR(34),CHAR(92)&amp;CHAR(34))</f>
        <v/>
      </c>
      <c r="F2121" t="str">
        <f t="shared" si="121"/>
        <v/>
      </c>
      <c r="G2121" t="str">
        <f>SUBSTITUTE(B2122,CHAR(34),CHAR(92)&amp;CHAR(34))</f>
        <v/>
      </c>
      <c r="H2121" t="str">
        <f>SUBSTITUTE(B2123,CHAR(34),CHAR(92)&amp;CHAR(34))</f>
        <v>Không.</v>
      </c>
      <c r="I2121" t="str">
        <f>SUBSTITUTE(IF(LEFT(A2124,3)="Câu","",B2124),CHAR(34),CHAR(92)&amp;CHAR(34))</f>
        <v xml:space="preserve"> Vi phạm.</v>
      </c>
      <c r="J2121" t="str">
        <f>SUBSTITUTE(IF(OR(LEFT(A2125,3)="Câu",I2121=""),"",IF(B2125=0,"",B2125)),CHAR(34),CHAR(92)&amp;CHAR(34))</f>
        <v/>
      </c>
      <c r="K2121" t="str">
        <f>SUBSTITUTE(SUBSTITUTE(SUBSTITUTE(SUBSTITUTE(IFERROR(VLOOKUP("Câu "&amp;D2121&amp;".",dapan!$E:$J,6,0),""),"1","A"),"2","B"),"3","C"),"4","D")</f>
        <v/>
      </c>
      <c r="P2121" t="str">
        <f t="shared" si="123"/>
        <v/>
      </c>
      <c r="Q2121" t="str">
        <f t="shared" si="124"/>
        <v/>
      </c>
    </row>
    <row r="2122" spans="1:17" x14ac:dyDescent="0.25">
      <c r="A2122" t="s">
        <v>1497</v>
      </c>
      <c r="C2122">
        <f>IFERROR(COUNTIFS($A$1:A2122,"Câu "&amp;"*")-MID(A2122,5,FIND(".",A2122,1)-5),0)</f>
        <v>0</v>
      </c>
      <c r="D2122">
        <f t="shared" si="122"/>
        <v>515</v>
      </c>
      <c r="E2122" t="str">
        <f>SUBSTITUTE(IF(LEFT(A2122,3)="Câu",MID(A2122,FIND(".",A2122,1)+2,LEN(A2122)),""),CHAR(34),CHAR(92)&amp;CHAR(34))</f>
        <v>Xe kéo nhau như hình này có vi phạm quy tắc giao thông không?</v>
      </c>
      <c r="F2122" t="str">
        <f t="shared" si="121"/>
        <v>q515.jpg</v>
      </c>
      <c r="G2122" t="str">
        <f>SUBSTITUTE(B2123,CHAR(34),CHAR(92)&amp;CHAR(34))</f>
        <v>Không.</v>
      </c>
      <c r="H2122" t="str">
        <f>SUBSTITUTE(B2124,CHAR(34),CHAR(92)&amp;CHAR(34))</f>
        <v xml:space="preserve"> Vi phạm.</v>
      </c>
      <c r="I2122" t="str">
        <f>SUBSTITUTE(IF(LEFT(A2125,3)="Câu","",B2125),CHAR(34),CHAR(92)&amp;CHAR(34))</f>
        <v/>
      </c>
      <c r="J2122" t="str">
        <f>SUBSTITUTE(IF(OR(LEFT(A2126,3)="Câu",I2122=""),"",IF(B2126=0,"",B2126)),CHAR(34),CHAR(92)&amp;CHAR(34))</f>
        <v/>
      </c>
      <c r="K2122" t="str">
        <f ca="1">SUBSTITUTE(SUBSTITUTE(SUBSTITUTE(SUBSTITUTE(IFERROR(VLOOKUP("Câu "&amp;D2122&amp;".",dapan!$E:$J,6,0),""),"1","A"),"2","B"),"3","C"),"4","D")</f>
        <v>B</v>
      </c>
      <c r="P2122">
        <f t="shared" si="123"/>
        <v>515</v>
      </c>
      <c r="Q2122" t="str">
        <f t="shared" ca="1" si="124"/>
        <v>{"num":515,"id":515,"q":"Xe kéo nhau như hình này có vi phạm quy tắc giao thông không?","img":"q515.jpg","opts":{"A":"Không.","B":" Vi phạm."},"answer":"B"},</v>
      </c>
    </row>
    <row r="2123" spans="1:17" hidden="1" x14ac:dyDescent="0.25">
      <c r="A2123">
        <v>1</v>
      </c>
      <c r="B2123" t="s">
        <v>1142</v>
      </c>
      <c r="C2123">
        <f>IFERROR(COUNTIFS($A$1:A2123,"Câu "&amp;"*")-MID(A2123,5,FIND(".",A2123,1)-5),0)</f>
        <v>0</v>
      </c>
      <c r="D2123" t="str">
        <f t="shared" si="122"/>
        <v/>
      </c>
      <c r="E2123" t="str">
        <f>SUBSTITUTE(IF(LEFT(A2123,3)="Câu",MID(A2123,FIND(".",A2123,1)+2,LEN(A2123)),""),CHAR(34),CHAR(92)&amp;CHAR(34))</f>
        <v/>
      </c>
      <c r="F2123" t="str">
        <f t="shared" si="121"/>
        <v/>
      </c>
      <c r="G2123" t="str">
        <f>SUBSTITUTE(B2124,CHAR(34),CHAR(92)&amp;CHAR(34))</f>
        <v xml:space="preserve"> Vi phạm.</v>
      </c>
      <c r="H2123" t="str">
        <f>SUBSTITUTE(B2125,CHAR(34),CHAR(92)&amp;CHAR(34))</f>
        <v/>
      </c>
      <c r="I2123" t="str">
        <f>SUBSTITUTE(IF(LEFT(A2126,3)="Câu","",B2126),CHAR(34),CHAR(92)&amp;CHAR(34))</f>
        <v xml:space="preserve"> Xe khách.</v>
      </c>
      <c r="J2123" t="str">
        <f>SUBSTITUTE(IF(OR(LEFT(A2127,3)="Câu",I2123=""),"",IF(B2127=0,"",B2127)),CHAR(34),CHAR(92)&amp;CHAR(34))</f>
        <v>Xe tải.</v>
      </c>
      <c r="K2123" t="str">
        <f>SUBSTITUTE(SUBSTITUTE(SUBSTITUTE(SUBSTITUTE(IFERROR(VLOOKUP("Câu "&amp;D2123&amp;".",dapan!$E:$J,6,0),""),"1","A"),"2","B"),"3","C"),"4","D")</f>
        <v/>
      </c>
      <c r="P2123" t="str">
        <f t="shared" si="123"/>
        <v/>
      </c>
      <c r="Q2123" t="str">
        <f t="shared" si="124"/>
        <v/>
      </c>
    </row>
    <row r="2124" spans="1:17" hidden="1" x14ac:dyDescent="0.25">
      <c r="A2124">
        <v>2</v>
      </c>
      <c r="B2124" t="s">
        <v>1498</v>
      </c>
      <c r="C2124">
        <f>IFERROR(COUNTIFS($A$1:A2124,"Câu "&amp;"*")-MID(A2124,5,FIND(".",A2124,1)-5),0)</f>
        <v>0</v>
      </c>
      <c r="D2124" t="str">
        <f t="shared" si="122"/>
        <v/>
      </c>
      <c r="E2124" t="str">
        <f>SUBSTITUTE(IF(LEFT(A2124,3)="Câu",MID(A2124,FIND(".",A2124,1)+2,LEN(A2124)),""),CHAR(34),CHAR(92)&amp;CHAR(34))</f>
        <v/>
      </c>
      <c r="F2124" t="str">
        <f t="shared" si="121"/>
        <v/>
      </c>
      <c r="G2124" t="str">
        <f>SUBSTITUTE(B2125,CHAR(34),CHAR(92)&amp;CHAR(34))</f>
        <v/>
      </c>
      <c r="H2124" t="str">
        <f>SUBSTITUTE(B2126,CHAR(34),CHAR(92)&amp;CHAR(34))</f>
        <v xml:space="preserve"> Xe khách.</v>
      </c>
      <c r="I2124" t="str">
        <f>SUBSTITUTE(IF(LEFT(A2127,3)="Câu","",B2127),CHAR(34),CHAR(92)&amp;CHAR(34))</f>
        <v>Xe tải.</v>
      </c>
      <c r="J2124" t="str">
        <f>SUBSTITUTE(IF(OR(LEFT(A2128,3)="Câu",I2124=""),"",IF(B2128=0,"",B2128)),CHAR(34),CHAR(92)&amp;CHAR(34))</f>
        <v/>
      </c>
      <c r="K2124" t="str">
        <f>SUBSTITUTE(SUBSTITUTE(SUBSTITUTE(SUBSTITUTE(IFERROR(VLOOKUP("Câu "&amp;D2124&amp;".",dapan!$E:$J,6,0),""),"1","A"),"2","B"),"3","C"),"4","D")</f>
        <v/>
      </c>
      <c r="P2124" t="str">
        <f t="shared" si="123"/>
        <v/>
      </c>
      <c r="Q2124" t="str">
        <f t="shared" si="124"/>
        <v/>
      </c>
    </row>
    <row r="2125" spans="1:17" x14ac:dyDescent="0.25">
      <c r="A2125" t="s">
        <v>1499</v>
      </c>
      <c r="C2125">
        <f>IFERROR(COUNTIFS($A$1:A2125,"Câu "&amp;"*")-MID(A2125,5,FIND(".",A2125,1)-5),0)</f>
        <v>0</v>
      </c>
      <c r="D2125">
        <f t="shared" si="122"/>
        <v>516</v>
      </c>
      <c r="E2125" t="str">
        <f>SUBSTITUTE(IF(LEFT(A2125,3)="Câu",MID(A2125,FIND(".",A2125,1)+2,LEN(A2125)),""),CHAR(34),CHAR(92)&amp;CHAR(34))</f>
        <v>Xe nào phải nhường đường trong trường hợp này?</v>
      </c>
      <c r="F2125" t="str">
        <f t="shared" si="121"/>
        <v>q516.jpg</v>
      </c>
      <c r="G2125" t="str">
        <f>SUBSTITUTE(B2126,CHAR(34),CHAR(92)&amp;CHAR(34))</f>
        <v xml:space="preserve"> Xe khách.</v>
      </c>
      <c r="H2125" t="str">
        <f>SUBSTITUTE(B2127,CHAR(34),CHAR(92)&amp;CHAR(34))</f>
        <v>Xe tải.</v>
      </c>
      <c r="I2125" t="str">
        <f>SUBSTITUTE(IF(LEFT(A2128,3)="Câu","",B2128),CHAR(34),CHAR(92)&amp;CHAR(34))</f>
        <v/>
      </c>
      <c r="J2125" t="str">
        <f>SUBSTITUTE(IF(OR(LEFT(A2129,3)="Câu",I2125=""),"",IF(B2129=0,"",B2129)),CHAR(34),CHAR(92)&amp;CHAR(34))</f>
        <v/>
      </c>
      <c r="K2125" t="str">
        <f ca="1">SUBSTITUTE(SUBSTITUTE(SUBSTITUTE(SUBSTITUTE(IFERROR(VLOOKUP("Câu "&amp;D2125&amp;".",dapan!$E:$J,6,0),""),"1","A"),"2","B"),"3","C"),"4","D")</f>
        <v>A</v>
      </c>
      <c r="P2125">
        <f t="shared" si="123"/>
        <v>516</v>
      </c>
      <c r="Q2125" t="str">
        <f t="shared" ca="1" si="124"/>
        <v>{"num":516,"id":516,"q":"Xe nào phải nhường đường trong trường hợp này?","img":"q516.jpg","opts":{"A":" Xe khách.","B":"Xe tải."},"answer":"A"},</v>
      </c>
    </row>
    <row r="2126" spans="1:17" hidden="1" x14ac:dyDescent="0.25">
      <c r="A2126">
        <v>1</v>
      </c>
      <c r="B2126" t="s">
        <v>1433</v>
      </c>
      <c r="C2126">
        <f>IFERROR(COUNTIFS($A$1:A2126,"Câu "&amp;"*")-MID(A2126,5,FIND(".",A2126,1)-5),0)</f>
        <v>0</v>
      </c>
      <c r="D2126" t="str">
        <f t="shared" si="122"/>
        <v/>
      </c>
      <c r="E2126" t="str">
        <f>SUBSTITUTE(IF(LEFT(A2126,3)="Câu",MID(A2126,FIND(".",A2126,1)+2,LEN(A2126)),""),CHAR(34),CHAR(92)&amp;CHAR(34))</f>
        <v/>
      </c>
      <c r="F2126" t="str">
        <f t="shared" si="121"/>
        <v/>
      </c>
      <c r="G2126" t="str">
        <f>SUBSTITUTE(B2127,CHAR(34),CHAR(92)&amp;CHAR(34))</f>
        <v>Xe tải.</v>
      </c>
      <c r="H2126" t="str">
        <f>SUBSTITUTE(B2128,CHAR(34),CHAR(92)&amp;CHAR(34))</f>
        <v/>
      </c>
      <c r="I2126" t="str">
        <f>SUBSTITUTE(IF(LEFT(A2129,3)="Câu","",B2129),CHAR(34),CHAR(92)&amp;CHAR(34))</f>
        <v>Xe con.</v>
      </c>
      <c r="J2126" t="str">
        <f>SUBSTITUTE(IF(OR(LEFT(A2130,3)="Câu",I2126=""),"",IF(B2130=0,"",B2130)),CHAR(34),CHAR(92)&amp;CHAR(34))</f>
        <v xml:space="preserve"> Xe mô tô.</v>
      </c>
      <c r="K2126" t="str">
        <f>SUBSTITUTE(SUBSTITUTE(SUBSTITUTE(SUBSTITUTE(IFERROR(VLOOKUP("Câu "&amp;D2126&amp;".",dapan!$E:$J,6,0),""),"1","A"),"2","B"),"3","C"),"4","D")</f>
        <v/>
      </c>
      <c r="P2126" t="str">
        <f t="shared" si="123"/>
        <v/>
      </c>
      <c r="Q2126" t="str">
        <f t="shared" si="124"/>
        <v/>
      </c>
    </row>
    <row r="2127" spans="1:17" hidden="1" x14ac:dyDescent="0.25">
      <c r="A2127">
        <v>2</v>
      </c>
      <c r="B2127" t="s">
        <v>1419</v>
      </c>
      <c r="C2127">
        <f>IFERROR(COUNTIFS($A$1:A2127,"Câu "&amp;"*")-MID(A2127,5,FIND(".",A2127,1)-5),0)</f>
        <v>0</v>
      </c>
      <c r="D2127" t="str">
        <f t="shared" si="122"/>
        <v/>
      </c>
      <c r="E2127" t="str">
        <f>SUBSTITUTE(IF(LEFT(A2127,3)="Câu",MID(A2127,FIND(".",A2127,1)+2,LEN(A2127)),""),CHAR(34),CHAR(92)&amp;CHAR(34))</f>
        <v/>
      </c>
      <c r="F2127" t="str">
        <f t="shared" si="121"/>
        <v/>
      </c>
      <c r="G2127" t="str">
        <f>SUBSTITUTE(B2128,CHAR(34),CHAR(92)&amp;CHAR(34))</f>
        <v/>
      </c>
      <c r="H2127" t="str">
        <f>SUBSTITUTE(B2129,CHAR(34),CHAR(92)&amp;CHAR(34))</f>
        <v>Xe con.</v>
      </c>
      <c r="I2127" t="str">
        <f>SUBSTITUTE(IF(LEFT(A2130,3)="Câu","",B2130),CHAR(34),CHAR(92)&amp;CHAR(34))</f>
        <v xml:space="preserve"> Xe mô tô.</v>
      </c>
      <c r="J2127" t="str">
        <f>SUBSTITUTE(IF(OR(LEFT(A2131,3)="Câu",I2127=""),"",IF(B2131=0,"",B2131)),CHAR(34),CHAR(92)&amp;CHAR(34))</f>
        <v/>
      </c>
      <c r="K2127" t="str">
        <f>SUBSTITUTE(SUBSTITUTE(SUBSTITUTE(SUBSTITUTE(IFERROR(VLOOKUP("Câu "&amp;D2127&amp;".",dapan!$E:$J,6,0),""),"1","A"),"2","B"),"3","C"),"4","D")</f>
        <v/>
      </c>
      <c r="P2127" t="str">
        <f t="shared" si="123"/>
        <v/>
      </c>
      <c r="Q2127" t="str">
        <f t="shared" si="124"/>
        <v/>
      </c>
    </row>
    <row r="2128" spans="1:17" x14ac:dyDescent="0.25">
      <c r="A2128" t="s">
        <v>1500</v>
      </c>
      <c r="C2128">
        <f>IFERROR(COUNTIFS($A$1:A2128,"Câu "&amp;"*")-MID(A2128,5,FIND(".",A2128,1)-5),0)</f>
        <v>0</v>
      </c>
      <c r="D2128">
        <f t="shared" si="122"/>
        <v>517</v>
      </c>
      <c r="E2128" t="str">
        <f>SUBSTITUTE(IF(LEFT(A2128,3)="Câu",MID(A2128,FIND(".",A2128,1)+2,LEN(A2128)),""),CHAR(34),CHAR(92)&amp;CHAR(34))</f>
        <v>Xe nào được quyền đi trước trong trường hợp này?</v>
      </c>
      <c r="F2128" t="str">
        <f t="shared" si="121"/>
        <v>q517.jpg</v>
      </c>
      <c r="G2128" t="str">
        <f>SUBSTITUTE(B2129,CHAR(34),CHAR(92)&amp;CHAR(34))</f>
        <v>Xe con.</v>
      </c>
      <c r="H2128" t="str">
        <f>SUBSTITUTE(B2130,CHAR(34),CHAR(92)&amp;CHAR(34))</f>
        <v xml:space="preserve"> Xe mô tô.</v>
      </c>
      <c r="I2128" t="str">
        <f>SUBSTITUTE(IF(LEFT(A2131,3)="Câu","",B2131),CHAR(34),CHAR(92)&amp;CHAR(34))</f>
        <v/>
      </c>
      <c r="J2128" t="str">
        <f>SUBSTITUTE(IF(OR(LEFT(A2132,3)="Câu",I2128=""),"",IF(B2132=0,"",B2132)),CHAR(34),CHAR(92)&amp;CHAR(34))</f>
        <v/>
      </c>
      <c r="K2128" t="str">
        <f ca="1">SUBSTITUTE(SUBSTITUTE(SUBSTITUTE(SUBSTITUTE(IFERROR(VLOOKUP("Câu "&amp;D2128&amp;".",dapan!$E:$J,6,0),""),"1","A"),"2","B"),"3","C"),"4","D")</f>
        <v>B</v>
      </c>
      <c r="P2128">
        <f t="shared" si="123"/>
        <v>517</v>
      </c>
      <c r="Q2128" t="str">
        <f t="shared" ca="1" si="124"/>
        <v>{"num":517,"id":517,"q":"Xe nào được quyền đi trước trong trường hợp này?","img":"q517.jpg","opts":{"A":"Xe con.","B":" Xe mô tô."},"answer":"B"},</v>
      </c>
    </row>
    <row r="2129" spans="1:17" hidden="1" x14ac:dyDescent="0.25">
      <c r="A2129">
        <v>1</v>
      </c>
      <c r="B2129" t="s">
        <v>1434</v>
      </c>
      <c r="C2129">
        <f>IFERROR(COUNTIFS($A$1:A2129,"Câu "&amp;"*")-MID(A2129,5,FIND(".",A2129,1)-5),0)</f>
        <v>0</v>
      </c>
      <c r="D2129" t="str">
        <f t="shared" si="122"/>
        <v/>
      </c>
      <c r="E2129" t="str">
        <f>SUBSTITUTE(IF(LEFT(A2129,3)="Câu",MID(A2129,FIND(".",A2129,1)+2,LEN(A2129)),""),CHAR(34),CHAR(92)&amp;CHAR(34))</f>
        <v/>
      </c>
      <c r="F2129" t="str">
        <f t="shared" si="121"/>
        <v/>
      </c>
      <c r="G2129" t="str">
        <f>SUBSTITUTE(B2130,CHAR(34),CHAR(92)&amp;CHAR(34))</f>
        <v xml:space="preserve"> Xe mô tô.</v>
      </c>
      <c r="H2129" t="str">
        <f>SUBSTITUTE(B2131,CHAR(34),CHAR(92)&amp;CHAR(34))</f>
        <v/>
      </c>
      <c r="I2129" t="str">
        <f>SUBSTITUTE(IF(LEFT(A2132,3)="Câu","",B2132),CHAR(34),CHAR(92)&amp;CHAR(34))</f>
        <v xml:space="preserve"> Không đúng.</v>
      </c>
      <c r="J2129" t="str">
        <f>SUBSTITUTE(IF(OR(LEFT(A2133,3)="Câu",I2129=""),"",IF(B2133=0,"",B2133)),CHAR(34),CHAR(92)&amp;CHAR(34))</f>
        <v>Đúng.</v>
      </c>
      <c r="K2129" t="str">
        <f>SUBSTITUTE(SUBSTITUTE(SUBSTITUTE(SUBSTITUTE(IFERROR(VLOOKUP("Câu "&amp;D2129&amp;".",dapan!$E:$J,6,0),""),"1","A"),"2","B"),"3","C"),"4","D")</f>
        <v/>
      </c>
      <c r="P2129" t="str">
        <f t="shared" si="123"/>
        <v/>
      </c>
      <c r="Q2129" t="str">
        <f t="shared" si="124"/>
        <v/>
      </c>
    </row>
    <row r="2130" spans="1:17" hidden="1" x14ac:dyDescent="0.25">
      <c r="A2130">
        <v>2</v>
      </c>
      <c r="B2130" t="s">
        <v>1501</v>
      </c>
      <c r="C2130">
        <f>IFERROR(COUNTIFS($A$1:A2130,"Câu "&amp;"*")-MID(A2130,5,FIND(".",A2130,1)-5),0)</f>
        <v>0</v>
      </c>
      <c r="D2130" t="str">
        <f t="shared" si="122"/>
        <v/>
      </c>
      <c r="E2130" t="str">
        <f>SUBSTITUTE(IF(LEFT(A2130,3)="Câu",MID(A2130,FIND(".",A2130,1)+2,LEN(A2130)),""),CHAR(34),CHAR(92)&amp;CHAR(34))</f>
        <v/>
      </c>
      <c r="F2130" t="str">
        <f t="shared" si="121"/>
        <v/>
      </c>
      <c r="G2130" t="str">
        <f>SUBSTITUTE(B2131,CHAR(34),CHAR(92)&amp;CHAR(34))</f>
        <v/>
      </c>
      <c r="H2130" t="str">
        <f>SUBSTITUTE(B2132,CHAR(34),CHAR(92)&amp;CHAR(34))</f>
        <v xml:space="preserve"> Không đúng.</v>
      </c>
      <c r="I2130" t="str">
        <f>SUBSTITUTE(IF(LEFT(A2133,3)="Câu","",B2133),CHAR(34),CHAR(92)&amp;CHAR(34))</f>
        <v>Đúng.</v>
      </c>
      <c r="J2130" t="str">
        <f>SUBSTITUTE(IF(OR(LEFT(A2134,3)="Câu",I2130=""),"",IF(B2134=0,"",B2134)),CHAR(34),CHAR(92)&amp;CHAR(34))</f>
        <v/>
      </c>
      <c r="K2130" t="str">
        <f>SUBSTITUTE(SUBSTITUTE(SUBSTITUTE(SUBSTITUTE(IFERROR(VLOOKUP("Câu "&amp;D2130&amp;".",dapan!$E:$J,6,0),""),"1","A"),"2","B"),"3","C"),"4","D")</f>
        <v/>
      </c>
      <c r="P2130" t="str">
        <f t="shared" si="123"/>
        <v/>
      </c>
      <c r="Q2130" t="str">
        <f t="shared" si="124"/>
        <v/>
      </c>
    </row>
    <row r="2131" spans="1:17" x14ac:dyDescent="0.25">
      <c r="A2131" t="s">
        <v>1502</v>
      </c>
      <c r="C2131">
        <f>IFERROR(COUNTIFS($A$1:A2131,"Câu "&amp;"*")-MID(A2131,5,FIND(".",A2131,1)-5),0)</f>
        <v>0</v>
      </c>
      <c r="D2131">
        <f t="shared" si="122"/>
        <v>518</v>
      </c>
      <c r="E2131" t="str">
        <f>SUBSTITUTE(IF(LEFT(A2131,3)="Câu",MID(A2131,FIND(".",A2131,1)+2,LEN(A2131)),""),CHAR(34),CHAR(92)&amp;CHAR(34))</f>
        <v>Xe kéo nhau trong trường hợp này đúng quy định không?</v>
      </c>
      <c r="F2131" t="str">
        <f t="shared" si="121"/>
        <v>q518.jpg</v>
      </c>
      <c r="G2131" t="str">
        <f>SUBSTITUTE(B2132,CHAR(34),CHAR(92)&amp;CHAR(34))</f>
        <v xml:space="preserve"> Không đúng.</v>
      </c>
      <c r="H2131" t="str">
        <f>SUBSTITUTE(B2133,CHAR(34),CHAR(92)&amp;CHAR(34))</f>
        <v>Đúng.</v>
      </c>
      <c r="I2131" t="str">
        <f>SUBSTITUTE(IF(LEFT(A2134,3)="Câu","",B2134),CHAR(34),CHAR(92)&amp;CHAR(34))</f>
        <v/>
      </c>
      <c r="J2131" t="str">
        <f>SUBSTITUTE(IF(OR(LEFT(A2135,3)="Câu",I2131=""),"",IF(B2135=0,"",B2135)),CHAR(34),CHAR(92)&amp;CHAR(34))</f>
        <v/>
      </c>
      <c r="K2131" t="str">
        <f ca="1">SUBSTITUTE(SUBSTITUTE(SUBSTITUTE(SUBSTITUTE(IFERROR(VLOOKUP("Câu "&amp;D2131&amp;".",dapan!$E:$J,6,0),""),"1","A"),"2","B"),"3","C"),"4","D")</f>
        <v>A</v>
      </c>
      <c r="P2131">
        <f t="shared" si="123"/>
        <v>518</v>
      </c>
      <c r="Q2131" t="str">
        <f t="shared" ca="1" si="124"/>
        <v>{"num":518,"id":518,"q":"Xe kéo nhau trong trường hợp này đúng quy định không?","img":"q518.jpg","opts":{"A":" Không đúng.","B":"Đúng."},"answer":"A"},</v>
      </c>
    </row>
    <row r="2132" spans="1:17" hidden="1" x14ac:dyDescent="0.25">
      <c r="A2132">
        <v>1</v>
      </c>
      <c r="B2132" t="s">
        <v>1483</v>
      </c>
      <c r="C2132">
        <f>IFERROR(COUNTIFS($A$1:A2132,"Câu "&amp;"*")-MID(A2132,5,FIND(".",A2132,1)-5),0)</f>
        <v>0</v>
      </c>
      <c r="D2132" t="str">
        <f t="shared" si="122"/>
        <v/>
      </c>
      <c r="E2132" t="str">
        <f>SUBSTITUTE(IF(LEFT(A2132,3)="Câu",MID(A2132,FIND(".",A2132,1)+2,LEN(A2132)),""),CHAR(34),CHAR(92)&amp;CHAR(34))</f>
        <v/>
      </c>
      <c r="F2132" t="str">
        <f t="shared" si="121"/>
        <v/>
      </c>
      <c r="G2132" t="str">
        <f>SUBSTITUTE(B2133,CHAR(34),CHAR(92)&amp;CHAR(34))</f>
        <v>Đúng.</v>
      </c>
      <c r="H2132" t="str">
        <f>SUBSTITUTE(B2134,CHAR(34),CHAR(92)&amp;CHAR(34))</f>
        <v/>
      </c>
      <c r="I2132" t="str">
        <f>SUBSTITUTE(IF(LEFT(A2135,3)="Câu","",B2135),CHAR(34),CHAR(92)&amp;CHAR(34))</f>
        <v>Hướng 1.</v>
      </c>
      <c r="J2132" t="str">
        <f>SUBSTITUTE(IF(OR(LEFT(A2136,3)="Câu",I2132=""),"",IF(B2136=0,"",B2136)),CHAR(34),CHAR(92)&amp;CHAR(34))</f>
        <v xml:space="preserve"> Hướng 1, 3 và 4.</v>
      </c>
      <c r="K2132" t="str">
        <f>SUBSTITUTE(SUBSTITUTE(SUBSTITUTE(SUBSTITUTE(IFERROR(VLOOKUP("Câu "&amp;D2132&amp;".",dapan!$E:$J,6,0),""),"1","A"),"2","B"),"3","C"),"4","D")</f>
        <v/>
      </c>
      <c r="P2132" t="str">
        <f t="shared" si="123"/>
        <v/>
      </c>
      <c r="Q2132" t="str">
        <f t="shared" si="124"/>
        <v/>
      </c>
    </row>
    <row r="2133" spans="1:17" hidden="1" x14ac:dyDescent="0.25">
      <c r="A2133">
        <v>2</v>
      </c>
      <c r="B2133" t="s">
        <v>1482</v>
      </c>
      <c r="C2133">
        <f>IFERROR(COUNTIFS($A$1:A2133,"Câu "&amp;"*")-MID(A2133,5,FIND(".",A2133,1)-5),0)</f>
        <v>0</v>
      </c>
      <c r="D2133" t="str">
        <f t="shared" si="122"/>
        <v/>
      </c>
      <c r="E2133" t="str">
        <f>SUBSTITUTE(IF(LEFT(A2133,3)="Câu",MID(A2133,FIND(".",A2133,1)+2,LEN(A2133)),""),CHAR(34),CHAR(92)&amp;CHAR(34))</f>
        <v/>
      </c>
      <c r="F2133" t="str">
        <f t="shared" si="121"/>
        <v/>
      </c>
      <c r="G2133" t="str">
        <f>SUBSTITUTE(B2134,CHAR(34),CHAR(92)&amp;CHAR(34))</f>
        <v/>
      </c>
      <c r="H2133" t="str">
        <f>SUBSTITUTE(B2135,CHAR(34),CHAR(92)&amp;CHAR(34))</f>
        <v>Hướng 1.</v>
      </c>
      <c r="I2133" t="str">
        <f>SUBSTITUTE(IF(LEFT(A2136,3)="Câu","",B2136),CHAR(34),CHAR(92)&amp;CHAR(34))</f>
        <v xml:space="preserve"> Hướng 1, 3 và 4.</v>
      </c>
      <c r="J2133" t="str">
        <f>SUBSTITUTE(IF(OR(LEFT(A2137,3)="Câu",I2133=""),"",IF(B2137=0,"",B2137)),CHAR(34),CHAR(92)&amp;CHAR(34))</f>
        <v>Hướng 2, 3 và 4.</v>
      </c>
      <c r="K2133" t="str">
        <f>SUBSTITUTE(SUBSTITUTE(SUBSTITUTE(SUBSTITUTE(IFERROR(VLOOKUP("Câu "&amp;D2133&amp;".",dapan!$E:$J,6,0),""),"1","A"),"2","B"),"3","C"),"4","D")</f>
        <v/>
      </c>
      <c r="P2133" t="str">
        <f t="shared" si="123"/>
        <v/>
      </c>
      <c r="Q2133" t="str">
        <f t="shared" si="124"/>
        <v/>
      </c>
    </row>
    <row r="2134" spans="1:17" x14ac:dyDescent="0.25">
      <c r="A2134" t="s">
        <v>1503</v>
      </c>
      <c r="C2134">
        <f>IFERROR(COUNTIFS($A$1:A2134,"Câu "&amp;"*")-MID(A2134,5,FIND(".",A2134,1)-5),0)</f>
        <v>0</v>
      </c>
      <c r="D2134">
        <f t="shared" si="122"/>
        <v>519</v>
      </c>
      <c r="E2134" t="str">
        <f>SUBSTITUTE(IF(LEFT(A2134,3)="Câu",MID(A2134,FIND(".",A2134,1)+2,LEN(A2134)),""),CHAR(34),CHAR(92)&amp;CHAR(34))</f>
        <v>Theo hướng mũi tên, những hướng nào xe ô tô con được phép đi?</v>
      </c>
      <c r="F2134" t="str">
        <f t="shared" ref="F2134:F2197" si="125">IF(D2134="","","q"&amp;TEXT(D2134,"000")&amp;".jpg")</f>
        <v>q519.jpg</v>
      </c>
      <c r="G2134" t="str">
        <f>SUBSTITUTE(B2135,CHAR(34),CHAR(92)&amp;CHAR(34))</f>
        <v>Hướng 1.</v>
      </c>
      <c r="H2134" t="str">
        <f>SUBSTITUTE(B2136,CHAR(34),CHAR(92)&amp;CHAR(34))</f>
        <v xml:space="preserve"> Hướng 1, 3 và 4.</v>
      </c>
      <c r="I2134" t="str">
        <f>SUBSTITUTE(IF(LEFT(A2137,3)="Câu","",B2137),CHAR(34),CHAR(92)&amp;CHAR(34))</f>
        <v>Hướng 2, 3 và 4.</v>
      </c>
      <c r="J2134" t="str">
        <f>SUBSTITUTE(IF(OR(LEFT(A2138,3)="Câu",I2134=""),"",IF(B2138=0,"",B2138)),CHAR(34),CHAR(92)&amp;CHAR(34))</f>
        <v>Cả bốn hướng.</v>
      </c>
      <c r="K2134" t="str">
        <f ca="1">SUBSTITUTE(SUBSTITUTE(SUBSTITUTE(SUBSTITUTE(IFERROR(VLOOKUP("Câu "&amp;D2134&amp;".",dapan!$E:$J,6,0),""),"1","A"),"2","B"),"3","C"),"4","D")</f>
        <v>B</v>
      </c>
      <c r="P2134">
        <f t="shared" si="123"/>
        <v>519</v>
      </c>
      <c r="Q2134" t="str">
        <f t="shared" ca="1" si="124"/>
        <v>{"num":519,"id":519,"q":"Theo hướng mũi tên, những hướng nào xe ô tô con được phép đi?","img":"q519.jpg","opts":{"A":"Hướng 1.","B":" Hướng 1, 3 và 4.","C":"Hướng 2, 3 và 4.","D":"Cả bốn hướng."},"answer":"B"},</v>
      </c>
    </row>
    <row r="2135" spans="1:17" hidden="1" x14ac:dyDescent="0.25">
      <c r="A2135">
        <v>1</v>
      </c>
      <c r="B2135" t="s">
        <v>1504</v>
      </c>
      <c r="C2135">
        <f>IFERROR(COUNTIFS($A$1:A2135,"Câu "&amp;"*")-MID(A2135,5,FIND(".",A2135,1)-5),0)</f>
        <v>0</v>
      </c>
      <c r="D2135" t="str">
        <f t="shared" si="122"/>
        <v/>
      </c>
      <c r="E2135" t="str">
        <f>SUBSTITUTE(IF(LEFT(A2135,3)="Câu",MID(A2135,FIND(".",A2135,1)+2,LEN(A2135)),""),CHAR(34),CHAR(92)&amp;CHAR(34))</f>
        <v/>
      </c>
      <c r="F2135" t="str">
        <f t="shared" si="125"/>
        <v/>
      </c>
      <c r="G2135" t="str">
        <f>SUBSTITUTE(B2136,CHAR(34),CHAR(92)&amp;CHAR(34))</f>
        <v xml:space="preserve"> Hướng 1, 3 và 4.</v>
      </c>
      <c r="H2135" t="str">
        <f>SUBSTITUTE(B2137,CHAR(34),CHAR(92)&amp;CHAR(34))</f>
        <v>Hướng 2, 3 và 4.</v>
      </c>
      <c r="I2135" t="str">
        <f>SUBSTITUTE(IF(LEFT(A2138,3)="Câu","",B2138),CHAR(34),CHAR(92)&amp;CHAR(34))</f>
        <v>Cả bốn hướng.</v>
      </c>
      <c r="J2135" t="str">
        <f>SUBSTITUTE(IF(OR(LEFT(A2139,3)="Câu",I2135=""),"",IF(B2139=0,"",B2139)),CHAR(34),CHAR(92)&amp;CHAR(34))</f>
        <v/>
      </c>
      <c r="K2135" t="str">
        <f>SUBSTITUTE(SUBSTITUTE(SUBSTITUTE(SUBSTITUTE(IFERROR(VLOOKUP("Câu "&amp;D2135&amp;".",dapan!$E:$J,6,0),""),"1","A"),"2","B"),"3","C"),"4","D")</f>
        <v/>
      </c>
      <c r="P2135" t="str">
        <f t="shared" si="123"/>
        <v/>
      </c>
      <c r="Q2135" t="str">
        <f t="shared" si="124"/>
        <v/>
      </c>
    </row>
    <row r="2136" spans="1:17" hidden="1" x14ac:dyDescent="0.25">
      <c r="A2136">
        <v>2</v>
      </c>
      <c r="B2136" t="s">
        <v>1505</v>
      </c>
      <c r="C2136">
        <f>IFERROR(COUNTIFS($A$1:A2136,"Câu "&amp;"*")-MID(A2136,5,FIND(".",A2136,1)-5),0)</f>
        <v>0</v>
      </c>
      <c r="D2136" t="str">
        <f t="shared" si="122"/>
        <v/>
      </c>
      <c r="E2136" t="str">
        <f>SUBSTITUTE(IF(LEFT(A2136,3)="Câu",MID(A2136,FIND(".",A2136,1)+2,LEN(A2136)),""),CHAR(34),CHAR(92)&amp;CHAR(34))</f>
        <v/>
      </c>
      <c r="F2136" t="str">
        <f t="shared" si="125"/>
        <v/>
      </c>
      <c r="G2136" t="str">
        <f>SUBSTITUTE(B2137,CHAR(34),CHAR(92)&amp;CHAR(34))</f>
        <v>Hướng 2, 3 và 4.</v>
      </c>
      <c r="H2136" t="str">
        <f>SUBSTITUTE(B2138,CHAR(34),CHAR(92)&amp;CHAR(34))</f>
        <v>Cả bốn hướng.</v>
      </c>
      <c r="I2136" t="str">
        <f>SUBSTITUTE(IF(LEFT(A2139,3)="Câu","",B2139),CHAR(34),CHAR(92)&amp;CHAR(34))</f>
        <v/>
      </c>
      <c r="J2136" t="str">
        <f>SUBSTITUTE(IF(OR(LEFT(A2140,3)="Câu",I2136=""),"",IF(B2140=0,"",B2140)),CHAR(34),CHAR(92)&amp;CHAR(34))</f>
        <v/>
      </c>
      <c r="K2136" t="str">
        <f>SUBSTITUTE(SUBSTITUTE(SUBSTITUTE(SUBSTITUTE(IFERROR(VLOOKUP("Câu "&amp;D2136&amp;".",dapan!$E:$J,6,0),""),"1","A"),"2","B"),"3","C"),"4","D")</f>
        <v/>
      </c>
      <c r="P2136" t="str">
        <f t="shared" si="123"/>
        <v/>
      </c>
      <c r="Q2136" t="str">
        <f t="shared" si="124"/>
        <v/>
      </c>
    </row>
    <row r="2137" spans="1:17" hidden="1" x14ac:dyDescent="0.25">
      <c r="A2137">
        <v>3</v>
      </c>
      <c r="B2137" t="s">
        <v>1506</v>
      </c>
      <c r="C2137">
        <f>IFERROR(COUNTIFS($A$1:A2137,"Câu "&amp;"*")-MID(A2137,5,FIND(".",A2137,1)-5),0)</f>
        <v>0</v>
      </c>
      <c r="D2137" t="str">
        <f t="shared" ref="D2137:D2200" si="126">IF(LEFT(A2137,3)="Câu",VALUE(MID(A2137,5,FIND(".",A2137,1)-5)),"")</f>
        <v/>
      </c>
      <c r="E2137" t="str">
        <f>SUBSTITUTE(IF(LEFT(A2137,3)="Câu",MID(A2137,FIND(".",A2137,1)+2,LEN(A2137)),""),CHAR(34),CHAR(92)&amp;CHAR(34))</f>
        <v/>
      </c>
      <c r="F2137" t="str">
        <f t="shared" si="125"/>
        <v/>
      </c>
      <c r="G2137" t="str">
        <f>SUBSTITUTE(B2138,CHAR(34),CHAR(92)&amp;CHAR(34))</f>
        <v>Cả bốn hướng.</v>
      </c>
      <c r="H2137" t="str">
        <f>SUBSTITUTE(B2139,CHAR(34),CHAR(92)&amp;CHAR(34))</f>
        <v/>
      </c>
      <c r="I2137" t="str">
        <f>SUBSTITUTE(IF(LEFT(A2140,3)="Câu","",B2140),CHAR(34),CHAR(92)&amp;CHAR(34))</f>
        <v>Xe con (A), xe mô tô, xe con (B), xe đạp.</v>
      </c>
      <c r="J2137" t="str">
        <f>SUBSTITUTE(IF(OR(LEFT(A2141,3)="Câu",I2137=""),"",IF(B2141=0,"",B2141)),CHAR(34),CHAR(92)&amp;CHAR(34))</f>
        <v>Xe con (B), xe đạp, xe mô tô, xe con (A).</v>
      </c>
      <c r="K2137" t="str">
        <f>SUBSTITUTE(SUBSTITUTE(SUBSTITUTE(SUBSTITUTE(IFERROR(VLOOKUP("Câu "&amp;D2137&amp;".",dapan!$E:$J,6,0),""),"1","A"),"2","B"),"3","C"),"4","D")</f>
        <v/>
      </c>
      <c r="P2137" t="str">
        <f t="shared" si="123"/>
        <v/>
      </c>
      <c r="Q2137" t="str">
        <f t="shared" si="124"/>
        <v/>
      </c>
    </row>
    <row r="2138" spans="1:17" hidden="1" x14ac:dyDescent="0.25">
      <c r="A2138">
        <v>4</v>
      </c>
      <c r="B2138" t="s">
        <v>1507</v>
      </c>
      <c r="C2138">
        <f>IFERROR(COUNTIFS($A$1:A2138,"Câu "&amp;"*")-MID(A2138,5,FIND(".",A2138,1)-5),0)</f>
        <v>0</v>
      </c>
      <c r="D2138" t="str">
        <f t="shared" si="126"/>
        <v/>
      </c>
      <c r="E2138" t="str">
        <f>SUBSTITUTE(IF(LEFT(A2138,3)="Câu",MID(A2138,FIND(".",A2138,1)+2,LEN(A2138)),""),CHAR(34),CHAR(92)&amp;CHAR(34))</f>
        <v/>
      </c>
      <c r="F2138" t="str">
        <f t="shared" si="125"/>
        <v/>
      </c>
      <c r="G2138" t="str">
        <f>SUBSTITUTE(B2139,CHAR(34),CHAR(92)&amp;CHAR(34))</f>
        <v/>
      </c>
      <c r="H2138" t="str">
        <f>SUBSTITUTE(B2140,CHAR(34),CHAR(92)&amp;CHAR(34))</f>
        <v>Xe con (A), xe mô tô, xe con (B), xe đạp.</v>
      </c>
      <c r="I2138" t="str">
        <f>SUBSTITUTE(IF(LEFT(A2141,3)="Câu","",B2141),CHAR(34),CHAR(92)&amp;CHAR(34))</f>
        <v>Xe con (B), xe đạp, xe mô tô, xe con (A).</v>
      </c>
      <c r="J2138" t="str">
        <f>SUBSTITUTE(IF(OR(LEFT(A2142,3)="Câu",I2138=""),"",IF(B2142=0,"",B2142)),CHAR(34),CHAR(92)&amp;CHAR(34))</f>
        <v>Xe con (A), xe con (B), xe mô tô + xe đạp.</v>
      </c>
      <c r="K2138" t="str">
        <f>SUBSTITUTE(SUBSTITUTE(SUBSTITUTE(SUBSTITUTE(IFERROR(VLOOKUP("Câu "&amp;D2138&amp;".",dapan!$E:$J,6,0),""),"1","A"),"2","B"),"3","C"),"4","D")</f>
        <v/>
      </c>
      <c r="P2138" t="str">
        <f t="shared" si="123"/>
        <v/>
      </c>
      <c r="Q2138" t="str">
        <f t="shared" si="124"/>
        <v/>
      </c>
    </row>
    <row r="2139" spans="1:17" x14ac:dyDescent="0.25">
      <c r="A2139" t="s">
        <v>1508</v>
      </c>
      <c r="C2139">
        <f>IFERROR(COUNTIFS($A$1:A2139,"Câu "&amp;"*")-MID(A2139,5,FIND(".",A2139,1)-5),0)</f>
        <v>0</v>
      </c>
      <c r="D2139">
        <f t="shared" si="126"/>
        <v>520</v>
      </c>
      <c r="E2139" t="str">
        <f>SUBSTITUTE(IF(LEFT(A2139,3)="Câu",MID(A2139,FIND(".",A2139,1)+2,LEN(A2139)),""),CHAR(34),CHAR(92)&amp;CHAR(34))</f>
        <v>Theo hướng mũi tên, thứ tự các xe đi như thế nào là đúng quy tắc giao thông?</v>
      </c>
      <c r="F2139" t="str">
        <f t="shared" si="125"/>
        <v>q520.jpg</v>
      </c>
      <c r="G2139" t="str">
        <f>SUBSTITUTE(B2140,CHAR(34),CHAR(92)&amp;CHAR(34))</f>
        <v>Xe con (A), xe mô tô, xe con (B), xe đạp.</v>
      </c>
      <c r="H2139" t="str">
        <f>SUBSTITUTE(B2141,CHAR(34),CHAR(92)&amp;CHAR(34))</f>
        <v>Xe con (B), xe đạp, xe mô tô, xe con (A).</v>
      </c>
      <c r="I2139" t="str">
        <f>SUBSTITUTE(IF(LEFT(A2142,3)="Câu","",B2142),CHAR(34),CHAR(92)&amp;CHAR(34))</f>
        <v>Xe con (A), xe con (B), xe mô tô + xe đạp.</v>
      </c>
      <c r="J2139" t="str">
        <f>SUBSTITUTE(IF(OR(LEFT(A2143,3)="Câu",I2139=""),"",IF(B2143=0,"",B2143)),CHAR(34),CHAR(92)&amp;CHAR(34))</f>
        <v xml:space="preserve"> Xe mô tô + xe đạp, xe con (A), xe con (B).</v>
      </c>
      <c r="K2139" t="str">
        <f ca="1">SUBSTITUTE(SUBSTITUTE(SUBSTITUTE(SUBSTITUTE(IFERROR(VLOOKUP("Câu "&amp;D2139&amp;".",dapan!$E:$J,6,0),""),"1","A"),"2","B"),"3","C"),"4","D")</f>
        <v>D</v>
      </c>
      <c r="P2139">
        <f t="shared" si="123"/>
        <v>520</v>
      </c>
      <c r="Q2139" t="str">
        <f t="shared" ca="1" si="124"/>
        <v>{"num":520,"id":520,"q":"Theo hướng mũi tên, thứ tự các xe đi như thế nào là đúng quy tắc giao thông?","img":"q520.jpg","opts":{"A":"Xe con (A), xe mô tô, xe con (B), xe đạp.","B":"Xe con (B), xe đạp, xe mô tô, xe con (A).","C":"Xe con (A), xe con (B), xe mô tô + xe đạp.","D":" Xe mô tô + xe đạp, xe con (A), xe con (B)."},"answer":"D"},</v>
      </c>
    </row>
    <row r="2140" spans="1:17" hidden="1" x14ac:dyDescent="0.25">
      <c r="A2140">
        <v>1</v>
      </c>
      <c r="B2140" t="s">
        <v>1509</v>
      </c>
      <c r="C2140">
        <f>IFERROR(COUNTIFS($A$1:A2140,"Câu "&amp;"*")-MID(A2140,5,FIND(".",A2140,1)-5),0)</f>
        <v>0</v>
      </c>
      <c r="D2140" t="str">
        <f t="shared" si="126"/>
        <v/>
      </c>
      <c r="E2140" t="str">
        <f>SUBSTITUTE(IF(LEFT(A2140,3)="Câu",MID(A2140,FIND(".",A2140,1)+2,LEN(A2140)),""),CHAR(34),CHAR(92)&amp;CHAR(34))</f>
        <v/>
      </c>
      <c r="F2140" t="str">
        <f t="shared" si="125"/>
        <v/>
      </c>
      <c r="G2140" t="str">
        <f>SUBSTITUTE(B2141,CHAR(34),CHAR(92)&amp;CHAR(34))</f>
        <v>Xe con (B), xe đạp, xe mô tô, xe con (A).</v>
      </c>
      <c r="H2140" t="str">
        <f>SUBSTITUTE(B2142,CHAR(34),CHAR(92)&amp;CHAR(34))</f>
        <v>Xe con (A), xe con (B), xe mô tô + xe đạp.</v>
      </c>
      <c r="I2140" t="str">
        <f>SUBSTITUTE(IF(LEFT(A2143,3)="Câu","",B2143),CHAR(34),CHAR(92)&amp;CHAR(34))</f>
        <v xml:space="preserve"> Xe mô tô + xe đạp, xe con (A), xe con (B).</v>
      </c>
      <c r="J2140" t="str">
        <f>SUBSTITUTE(IF(OR(LEFT(A2144,3)="Câu",I2140=""),"",IF(B2144=0,"",B2144)),CHAR(34),CHAR(92)&amp;CHAR(34))</f>
        <v/>
      </c>
      <c r="K2140" t="str">
        <f>SUBSTITUTE(SUBSTITUTE(SUBSTITUTE(SUBSTITUTE(IFERROR(VLOOKUP("Câu "&amp;D2140&amp;".",dapan!$E:$J,6,0),""),"1","A"),"2","B"),"3","C"),"4","D")</f>
        <v/>
      </c>
      <c r="P2140" t="str">
        <f t="shared" si="123"/>
        <v/>
      </c>
      <c r="Q2140" t="str">
        <f t="shared" si="124"/>
        <v/>
      </c>
    </row>
    <row r="2141" spans="1:17" hidden="1" x14ac:dyDescent="0.25">
      <c r="A2141">
        <v>2</v>
      </c>
      <c r="B2141" t="s">
        <v>1510</v>
      </c>
      <c r="C2141">
        <f>IFERROR(COUNTIFS($A$1:A2141,"Câu "&amp;"*")-MID(A2141,5,FIND(".",A2141,1)-5),0)</f>
        <v>0</v>
      </c>
      <c r="D2141" t="str">
        <f t="shared" si="126"/>
        <v/>
      </c>
      <c r="E2141" t="str">
        <f>SUBSTITUTE(IF(LEFT(A2141,3)="Câu",MID(A2141,FIND(".",A2141,1)+2,LEN(A2141)),""),CHAR(34),CHAR(92)&amp;CHAR(34))</f>
        <v/>
      </c>
      <c r="F2141" t="str">
        <f t="shared" si="125"/>
        <v/>
      </c>
      <c r="G2141" t="str">
        <f>SUBSTITUTE(B2142,CHAR(34),CHAR(92)&amp;CHAR(34))</f>
        <v>Xe con (A), xe con (B), xe mô tô + xe đạp.</v>
      </c>
      <c r="H2141" t="str">
        <f>SUBSTITUTE(B2143,CHAR(34),CHAR(92)&amp;CHAR(34))</f>
        <v xml:space="preserve"> Xe mô tô + xe đạp, xe con (A), xe con (B).</v>
      </c>
      <c r="I2141" t="str">
        <f>SUBSTITUTE(IF(LEFT(A2144,3)="Câu","",B2144),CHAR(34),CHAR(92)&amp;CHAR(34))</f>
        <v/>
      </c>
      <c r="J2141" t="str">
        <f>SUBSTITUTE(IF(OR(LEFT(A2145,3)="Câu",I2141=""),"",IF(B2145=0,"",B2145)),CHAR(34),CHAR(92)&amp;CHAR(34))</f>
        <v/>
      </c>
      <c r="K2141" t="str">
        <f>SUBSTITUTE(SUBSTITUTE(SUBSTITUTE(SUBSTITUTE(IFERROR(VLOOKUP("Câu "&amp;D2141&amp;".",dapan!$E:$J,6,0),""),"1","A"),"2","B"),"3","C"),"4","D")</f>
        <v/>
      </c>
      <c r="P2141" t="str">
        <f t="shared" si="123"/>
        <v/>
      </c>
      <c r="Q2141" t="str">
        <f t="shared" si="124"/>
        <v/>
      </c>
    </row>
    <row r="2142" spans="1:17" hidden="1" x14ac:dyDescent="0.25">
      <c r="A2142">
        <v>3</v>
      </c>
      <c r="B2142" t="s">
        <v>1511</v>
      </c>
      <c r="C2142">
        <f>IFERROR(COUNTIFS($A$1:A2142,"Câu "&amp;"*")-MID(A2142,5,FIND(".",A2142,1)-5),0)</f>
        <v>0</v>
      </c>
      <c r="D2142" t="str">
        <f t="shared" si="126"/>
        <v/>
      </c>
      <c r="E2142" t="str">
        <f>SUBSTITUTE(IF(LEFT(A2142,3)="Câu",MID(A2142,FIND(".",A2142,1)+2,LEN(A2142)),""),CHAR(34),CHAR(92)&amp;CHAR(34))</f>
        <v/>
      </c>
      <c r="F2142" t="str">
        <f t="shared" si="125"/>
        <v/>
      </c>
      <c r="G2142" t="str">
        <f>SUBSTITUTE(B2143,CHAR(34),CHAR(92)&amp;CHAR(34))</f>
        <v xml:space="preserve"> Xe mô tô + xe đạp, xe con (A), xe con (B).</v>
      </c>
      <c r="H2142" t="str">
        <f>SUBSTITUTE(B2144,CHAR(34),CHAR(92)&amp;CHAR(34))</f>
        <v/>
      </c>
      <c r="I2142" t="str">
        <f>SUBSTITUTE(IF(LEFT(A2145,3)="Câu","",B2145),CHAR(34),CHAR(92)&amp;CHAR(34))</f>
        <v xml:space="preserve"> Chỉ hướng 1.</v>
      </c>
      <c r="J2142" t="str">
        <f>SUBSTITUTE(IF(OR(LEFT(A2146,3)="Câu",I2142=""),"",IF(B2146=0,"",B2146)),CHAR(34),CHAR(92)&amp;CHAR(34))</f>
        <v>Hướng 1, 3 và 4.</v>
      </c>
      <c r="K2142" t="str">
        <f>SUBSTITUTE(SUBSTITUTE(SUBSTITUTE(SUBSTITUTE(IFERROR(VLOOKUP("Câu "&amp;D2142&amp;".",dapan!$E:$J,6,0),""),"1","A"),"2","B"),"3","C"),"4","D")</f>
        <v/>
      </c>
      <c r="P2142" t="str">
        <f t="shared" si="123"/>
        <v/>
      </c>
      <c r="Q2142" t="str">
        <f t="shared" si="124"/>
        <v/>
      </c>
    </row>
    <row r="2143" spans="1:17" hidden="1" x14ac:dyDescent="0.25">
      <c r="A2143">
        <v>4</v>
      </c>
      <c r="B2143" t="s">
        <v>1512</v>
      </c>
      <c r="C2143">
        <f>IFERROR(COUNTIFS($A$1:A2143,"Câu "&amp;"*")-MID(A2143,5,FIND(".",A2143,1)-5),0)</f>
        <v>0</v>
      </c>
      <c r="D2143" t="str">
        <f t="shared" si="126"/>
        <v/>
      </c>
      <c r="E2143" t="str">
        <f>SUBSTITUTE(IF(LEFT(A2143,3)="Câu",MID(A2143,FIND(".",A2143,1)+2,LEN(A2143)),""),CHAR(34),CHAR(92)&amp;CHAR(34))</f>
        <v/>
      </c>
      <c r="F2143" t="str">
        <f t="shared" si="125"/>
        <v/>
      </c>
      <c r="G2143" t="str">
        <f>SUBSTITUTE(B2144,CHAR(34),CHAR(92)&amp;CHAR(34))</f>
        <v/>
      </c>
      <c r="H2143" t="str">
        <f>SUBSTITUTE(B2145,CHAR(34),CHAR(92)&amp;CHAR(34))</f>
        <v xml:space="preserve"> Chỉ hướng 1.</v>
      </c>
      <c r="I2143" t="str">
        <f>SUBSTITUTE(IF(LEFT(A2146,3)="Câu","",B2146),CHAR(34),CHAR(92)&amp;CHAR(34))</f>
        <v>Hướng 1, 3 và 4.</v>
      </c>
      <c r="J2143" t="str">
        <f>SUBSTITUTE(IF(OR(LEFT(A2147,3)="Câu",I2143=""),"",IF(B2147=0,"",B2147)),CHAR(34),CHAR(92)&amp;CHAR(34))</f>
        <v>Hướng 1, 2 và 3.</v>
      </c>
      <c r="K2143" t="str">
        <f>SUBSTITUTE(SUBSTITUTE(SUBSTITUTE(SUBSTITUTE(IFERROR(VLOOKUP("Câu "&amp;D2143&amp;".",dapan!$E:$J,6,0),""),"1","A"),"2","B"),"3","C"),"4","D")</f>
        <v/>
      </c>
      <c r="P2143" t="str">
        <f t="shared" si="123"/>
        <v/>
      </c>
      <c r="Q2143" t="str">
        <f t="shared" si="124"/>
        <v/>
      </c>
    </row>
    <row r="2144" spans="1:17" x14ac:dyDescent="0.25">
      <c r="A2144" t="s">
        <v>1513</v>
      </c>
      <c r="C2144">
        <f>IFERROR(COUNTIFS($A$1:A2144,"Câu "&amp;"*")-MID(A2144,5,FIND(".",A2144,1)-5),0)</f>
        <v>0</v>
      </c>
      <c r="D2144">
        <f t="shared" si="126"/>
        <v>521</v>
      </c>
      <c r="E2144" t="str">
        <f>SUBSTITUTE(IF(LEFT(A2144,3)="Câu",MID(A2144,FIND(".",A2144,1)+2,LEN(A2144)),""),CHAR(34),CHAR(92)&amp;CHAR(34))</f>
        <v>Theo hướng mũi tên, những hướng nào xe tải được phép đi?</v>
      </c>
      <c r="F2144" t="str">
        <f t="shared" si="125"/>
        <v>q521.jpg</v>
      </c>
      <c r="G2144" t="str">
        <f>SUBSTITUTE(B2145,CHAR(34),CHAR(92)&amp;CHAR(34))</f>
        <v xml:space="preserve"> Chỉ hướng 1.</v>
      </c>
      <c r="H2144" t="str">
        <f>SUBSTITUTE(B2146,CHAR(34),CHAR(92)&amp;CHAR(34))</f>
        <v>Hướng 1, 3 và 4.</v>
      </c>
      <c r="I2144" t="str">
        <f>SUBSTITUTE(IF(LEFT(A2147,3)="Câu","",B2147),CHAR(34),CHAR(92)&amp;CHAR(34))</f>
        <v>Hướng 1, 2 và 3.</v>
      </c>
      <c r="J2144" t="str">
        <f>SUBSTITUTE(IF(OR(LEFT(A2148,3)="Câu",I2144=""),"",IF(B2148=0,"",B2148)),CHAR(34),CHAR(92)&amp;CHAR(34))</f>
        <v>Cả bốn hướng.</v>
      </c>
      <c r="K2144" t="str">
        <f ca="1">SUBSTITUTE(SUBSTITUTE(SUBSTITUTE(SUBSTITUTE(IFERROR(VLOOKUP("Câu "&amp;D2144&amp;".",dapan!$E:$J,6,0),""),"1","A"),"2","B"),"3","C"),"4","D")</f>
        <v>A</v>
      </c>
      <c r="P2144">
        <f t="shared" si="123"/>
        <v>521</v>
      </c>
      <c r="Q2144" t="str">
        <f t="shared" ca="1" si="124"/>
        <v>{"num":521,"id":521,"q":"Theo hướng mũi tên, những hướng nào xe tải được phép đi?","img":"q521.jpg","opts":{"A":" Chỉ hướng 1.","B":"Hướng 1, 3 và 4.","C":"Hướng 1, 2 và 3.","D":"Cả bốn hướng."},"answer":"A"},</v>
      </c>
    </row>
    <row r="2145" spans="1:17" hidden="1" x14ac:dyDescent="0.25">
      <c r="A2145">
        <v>1</v>
      </c>
      <c r="B2145" t="s">
        <v>1448</v>
      </c>
      <c r="C2145">
        <f>IFERROR(COUNTIFS($A$1:A2145,"Câu "&amp;"*")-MID(A2145,5,FIND(".",A2145,1)-5),0)</f>
        <v>0</v>
      </c>
      <c r="D2145" t="str">
        <f t="shared" si="126"/>
        <v/>
      </c>
      <c r="E2145" t="str">
        <f>SUBSTITUTE(IF(LEFT(A2145,3)="Câu",MID(A2145,FIND(".",A2145,1)+2,LEN(A2145)),""),CHAR(34),CHAR(92)&amp;CHAR(34))</f>
        <v/>
      </c>
      <c r="F2145" t="str">
        <f t="shared" si="125"/>
        <v/>
      </c>
      <c r="G2145" t="str">
        <f>SUBSTITUTE(B2146,CHAR(34),CHAR(92)&amp;CHAR(34))</f>
        <v>Hướng 1, 3 và 4.</v>
      </c>
      <c r="H2145" t="str">
        <f>SUBSTITUTE(B2147,CHAR(34),CHAR(92)&amp;CHAR(34))</f>
        <v>Hướng 1, 2 và 3.</v>
      </c>
      <c r="I2145" t="str">
        <f>SUBSTITUTE(IF(LEFT(A2148,3)="Câu","",B2148),CHAR(34),CHAR(92)&amp;CHAR(34))</f>
        <v>Cả bốn hướng.</v>
      </c>
      <c r="J2145" t="str">
        <f>SUBSTITUTE(IF(OR(LEFT(A2149,3)="Câu",I2145=""),"",IF(B2149=0,"",B2149)),CHAR(34),CHAR(92)&amp;CHAR(34))</f>
        <v/>
      </c>
      <c r="K2145" t="str">
        <f>SUBSTITUTE(SUBSTITUTE(SUBSTITUTE(SUBSTITUTE(IFERROR(VLOOKUP("Câu "&amp;D2145&amp;".",dapan!$E:$J,6,0),""),"1","A"),"2","B"),"3","C"),"4","D")</f>
        <v/>
      </c>
      <c r="P2145" t="str">
        <f t="shared" si="123"/>
        <v/>
      </c>
      <c r="Q2145" t="str">
        <f t="shared" si="124"/>
        <v/>
      </c>
    </row>
    <row r="2146" spans="1:17" hidden="1" x14ac:dyDescent="0.25">
      <c r="A2146">
        <v>2</v>
      </c>
      <c r="B2146" t="s">
        <v>1514</v>
      </c>
      <c r="C2146">
        <f>IFERROR(COUNTIFS($A$1:A2146,"Câu "&amp;"*")-MID(A2146,5,FIND(".",A2146,1)-5),0)</f>
        <v>0</v>
      </c>
      <c r="D2146" t="str">
        <f t="shared" si="126"/>
        <v/>
      </c>
      <c r="E2146" t="str">
        <f>SUBSTITUTE(IF(LEFT(A2146,3)="Câu",MID(A2146,FIND(".",A2146,1)+2,LEN(A2146)),""),CHAR(34),CHAR(92)&amp;CHAR(34))</f>
        <v/>
      </c>
      <c r="F2146" t="str">
        <f t="shared" si="125"/>
        <v/>
      </c>
      <c r="G2146" t="str">
        <f>SUBSTITUTE(B2147,CHAR(34),CHAR(92)&amp;CHAR(34))</f>
        <v>Hướng 1, 2 và 3.</v>
      </c>
      <c r="H2146" t="str">
        <f>SUBSTITUTE(B2148,CHAR(34),CHAR(92)&amp;CHAR(34))</f>
        <v>Cả bốn hướng.</v>
      </c>
      <c r="I2146" t="str">
        <f>SUBSTITUTE(IF(LEFT(A2149,3)="Câu","",B2149),CHAR(34),CHAR(92)&amp;CHAR(34))</f>
        <v/>
      </c>
      <c r="J2146" t="str">
        <f>SUBSTITUTE(IF(OR(LEFT(A2150,3)="Câu",I2146=""),"",IF(B2150=0,"",B2150)),CHAR(34),CHAR(92)&amp;CHAR(34))</f>
        <v/>
      </c>
      <c r="K2146" t="str">
        <f>SUBSTITUTE(SUBSTITUTE(SUBSTITUTE(SUBSTITUTE(IFERROR(VLOOKUP("Câu "&amp;D2146&amp;".",dapan!$E:$J,6,0),""),"1","A"),"2","B"),"3","C"),"4","D")</f>
        <v/>
      </c>
      <c r="P2146" t="str">
        <f t="shared" si="123"/>
        <v/>
      </c>
      <c r="Q2146" t="str">
        <f t="shared" si="124"/>
        <v/>
      </c>
    </row>
    <row r="2147" spans="1:17" hidden="1" x14ac:dyDescent="0.25">
      <c r="A2147">
        <v>3</v>
      </c>
      <c r="B2147" t="s">
        <v>1495</v>
      </c>
      <c r="C2147">
        <f>IFERROR(COUNTIFS($A$1:A2147,"Câu "&amp;"*")-MID(A2147,5,FIND(".",A2147,1)-5),0)</f>
        <v>0</v>
      </c>
      <c r="D2147" t="str">
        <f t="shared" si="126"/>
        <v/>
      </c>
      <c r="E2147" t="str">
        <f>SUBSTITUTE(IF(LEFT(A2147,3)="Câu",MID(A2147,FIND(".",A2147,1)+2,LEN(A2147)),""),CHAR(34),CHAR(92)&amp;CHAR(34))</f>
        <v/>
      </c>
      <c r="F2147" t="str">
        <f t="shared" si="125"/>
        <v/>
      </c>
      <c r="G2147" t="str">
        <f>SUBSTITUTE(B2148,CHAR(34),CHAR(92)&amp;CHAR(34))</f>
        <v>Cả bốn hướng.</v>
      </c>
      <c r="H2147" t="str">
        <f>SUBSTITUTE(B2149,CHAR(34),CHAR(92)&amp;CHAR(34))</f>
        <v/>
      </c>
      <c r="I2147" t="str">
        <f>SUBSTITUTE(IF(LEFT(A2150,3)="Câu","",B2150),CHAR(34),CHAR(92)&amp;CHAR(34))</f>
        <v>Cả ba hướng.</v>
      </c>
      <c r="J2147" t="str">
        <f>SUBSTITUTE(IF(OR(LEFT(A2151,3)="Câu",I2147=""),"",IF(B2151=0,"",B2151)),CHAR(34),CHAR(92)&amp;CHAR(34))</f>
        <v xml:space="preserve"> Hướng 2 và 3.</v>
      </c>
      <c r="K2147" t="str">
        <f>SUBSTITUTE(SUBSTITUTE(SUBSTITUTE(SUBSTITUTE(IFERROR(VLOOKUP("Câu "&amp;D2147&amp;".",dapan!$E:$J,6,0),""),"1","A"),"2","B"),"3","C"),"4","D")</f>
        <v/>
      </c>
      <c r="P2147" t="str">
        <f t="shared" si="123"/>
        <v/>
      </c>
      <c r="Q2147" t="str">
        <f t="shared" si="124"/>
        <v/>
      </c>
    </row>
    <row r="2148" spans="1:17" hidden="1" x14ac:dyDescent="0.25">
      <c r="A2148">
        <v>4</v>
      </c>
      <c r="B2148" t="s">
        <v>1507</v>
      </c>
      <c r="C2148">
        <f>IFERROR(COUNTIFS($A$1:A2148,"Câu "&amp;"*")-MID(A2148,5,FIND(".",A2148,1)-5),0)</f>
        <v>0</v>
      </c>
      <c r="D2148" t="str">
        <f t="shared" si="126"/>
        <v/>
      </c>
      <c r="E2148" t="str">
        <f>SUBSTITUTE(IF(LEFT(A2148,3)="Câu",MID(A2148,FIND(".",A2148,1)+2,LEN(A2148)),""),CHAR(34),CHAR(92)&amp;CHAR(34))</f>
        <v/>
      </c>
      <c r="F2148" t="str">
        <f t="shared" si="125"/>
        <v/>
      </c>
      <c r="G2148" t="str">
        <f>SUBSTITUTE(B2149,CHAR(34),CHAR(92)&amp;CHAR(34))</f>
        <v/>
      </c>
      <c r="H2148" t="str">
        <f>SUBSTITUTE(B2150,CHAR(34),CHAR(92)&amp;CHAR(34))</f>
        <v>Cả ba hướng.</v>
      </c>
      <c r="I2148" t="str">
        <f>SUBSTITUTE(IF(LEFT(A2151,3)="Câu","",B2151),CHAR(34),CHAR(92)&amp;CHAR(34))</f>
        <v xml:space="preserve"> Hướng 2 và 3.</v>
      </c>
      <c r="J2148" t="str">
        <f>SUBSTITUTE(IF(OR(LEFT(A2152,3)="Câu",I2148=""),"",IF(B2152=0,"",B2152)),CHAR(34),CHAR(92)&amp;CHAR(34))</f>
        <v/>
      </c>
      <c r="K2148" t="str">
        <f>SUBSTITUTE(SUBSTITUTE(SUBSTITUTE(SUBSTITUTE(IFERROR(VLOOKUP("Câu "&amp;D2148&amp;".",dapan!$E:$J,6,0),""),"1","A"),"2","B"),"3","C"),"4","D")</f>
        <v/>
      </c>
      <c r="P2148" t="str">
        <f t="shared" si="123"/>
        <v/>
      </c>
      <c r="Q2148" t="str">
        <f t="shared" si="124"/>
        <v/>
      </c>
    </row>
    <row r="2149" spans="1:17" x14ac:dyDescent="0.25">
      <c r="A2149" t="s">
        <v>1515</v>
      </c>
      <c r="C2149">
        <f>IFERROR(COUNTIFS($A$1:A2149,"Câu "&amp;"*")-MID(A2149,5,FIND(".",A2149,1)-5),0)</f>
        <v>0</v>
      </c>
      <c r="D2149">
        <f t="shared" si="126"/>
        <v>522</v>
      </c>
      <c r="E2149" t="str">
        <f>SUBSTITUTE(IF(LEFT(A2149,3)="Câu",MID(A2149,FIND(".",A2149,1)+2,LEN(A2149)),""),CHAR(34),CHAR(92)&amp;CHAR(34))</f>
        <v>Những hướng nào xe tải được phép đi?</v>
      </c>
      <c r="F2149" t="str">
        <f t="shared" si="125"/>
        <v>q522.jpg</v>
      </c>
      <c r="G2149" t="str">
        <f>SUBSTITUTE(B2150,CHAR(34),CHAR(92)&amp;CHAR(34))</f>
        <v>Cả ba hướng.</v>
      </c>
      <c r="H2149" t="str">
        <f>SUBSTITUTE(B2151,CHAR(34),CHAR(92)&amp;CHAR(34))</f>
        <v xml:space="preserve"> Hướng 2 và 3.</v>
      </c>
      <c r="I2149" t="str">
        <f>SUBSTITUTE(IF(LEFT(A2152,3)="Câu","",B2152),CHAR(34),CHAR(92)&amp;CHAR(34))</f>
        <v/>
      </c>
      <c r="J2149" t="str">
        <f>SUBSTITUTE(IF(OR(LEFT(A2153,3)="Câu",I2149=""),"",IF(B2153=0,"",B2153)),CHAR(34),CHAR(92)&amp;CHAR(34))</f>
        <v/>
      </c>
      <c r="K2149" t="str">
        <f ca="1">SUBSTITUTE(SUBSTITUTE(SUBSTITUTE(SUBSTITUTE(IFERROR(VLOOKUP("Câu "&amp;D2149&amp;".",dapan!$E:$J,6,0),""),"1","A"),"2","B"),"3","C"),"4","D")</f>
        <v>B</v>
      </c>
      <c r="P2149">
        <f t="shared" si="123"/>
        <v>522</v>
      </c>
      <c r="Q2149" t="str">
        <f t="shared" ca="1" si="124"/>
        <v>{"num":522,"id":522,"q":"Những hướng nào xe tải được phép đi?","img":"q522.jpg","opts":{"A":"Cả ba hướng.","B":" Hướng 2 và 3."},"answer":"B"},</v>
      </c>
    </row>
    <row r="2150" spans="1:17" hidden="1" x14ac:dyDescent="0.25">
      <c r="A2150">
        <v>1</v>
      </c>
      <c r="B2150" t="s">
        <v>1516</v>
      </c>
      <c r="C2150">
        <f>IFERROR(COUNTIFS($A$1:A2150,"Câu "&amp;"*")-MID(A2150,5,FIND(".",A2150,1)-5),0)</f>
        <v>0</v>
      </c>
      <c r="D2150" t="str">
        <f t="shared" si="126"/>
        <v/>
      </c>
      <c r="E2150" t="str">
        <f>SUBSTITUTE(IF(LEFT(A2150,3)="Câu",MID(A2150,FIND(".",A2150,1)+2,LEN(A2150)),""),CHAR(34),CHAR(92)&amp;CHAR(34))</f>
        <v/>
      </c>
      <c r="F2150" t="str">
        <f t="shared" si="125"/>
        <v/>
      </c>
      <c r="G2150" t="str">
        <f>SUBSTITUTE(B2151,CHAR(34),CHAR(92)&amp;CHAR(34))</f>
        <v xml:space="preserve"> Hướng 2 và 3.</v>
      </c>
      <c r="H2150" t="str">
        <f>SUBSTITUTE(B2152,CHAR(34),CHAR(92)&amp;CHAR(34))</f>
        <v/>
      </c>
      <c r="I2150" t="str">
        <f>SUBSTITUTE(IF(LEFT(A2153,3)="Câu","",B2153),CHAR(34),CHAR(92)&amp;CHAR(34))</f>
        <v>Chỉ hướng 1.</v>
      </c>
      <c r="J2150" t="str">
        <f>SUBSTITUTE(IF(OR(LEFT(A2154,3)="Câu",I2150=""),"",IF(B2154=0,"",B2154)),CHAR(34),CHAR(92)&amp;CHAR(34))</f>
        <v>Hướng 1 và 4.</v>
      </c>
      <c r="K2150" t="str">
        <f>SUBSTITUTE(SUBSTITUTE(SUBSTITUTE(SUBSTITUTE(IFERROR(VLOOKUP("Câu "&amp;D2150&amp;".",dapan!$E:$J,6,0),""),"1","A"),"2","B"),"3","C"),"4","D")</f>
        <v/>
      </c>
      <c r="P2150" t="str">
        <f t="shared" si="123"/>
        <v/>
      </c>
      <c r="Q2150" t="str">
        <f t="shared" si="124"/>
        <v/>
      </c>
    </row>
    <row r="2151" spans="1:17" hidden="1" x14ac:dyDescent="0.25">
      <c r="A2151">
        <v>2</v>
      </c>
      <c r="B2151" t="s">
        <v>1494</v>
      </c>
      <c r="C2151">
        <f>IFERROR(COUNTIFS($A$1:A2151,"Câu "&amp;"*")-MID(A2151,5,FIND(".",A2151,1)-5),0)</f>
        <v>0</v>
      </c>
      <c r="D2151" t="str">
        <f t="shared" si="126"/>
        <v/>
      </c>
      <c r="E2151" t="str">
        <f>SUBSTITUTE(IF(LEFT(A2151,3)="Câu",MID(A2151,FIND(".",A2151,1)+2,LEN(A2151)),""),CHAR(34),CHAR(92)&amp;CHAR(34))</f>
        <v/>
      </c>
      <c r="F2151" t="str">
        <f t="shared" si="125"/>
        <v/>
      </c>
      <c r="G2151" t="str">
        <f>SUBSTITUTE(B2152,CHAR(34),CHAR(92)&amp;CHAR(34))</f>
        <v/>
      </c>
      <c r="H2151" t="str">
        <f>SUBSTITUTE(B2153,CHAR(34),CHAR(92)&amp;CHAR(34))</f>
        <v>Chỉ hướng 1.</v>
      </c>
      <c r="I2151" t="str">
        <f>SUBSTITUTE(IF(LEFT(A2154,3)="Câu","",B2154),CHAR(34),CHAR(92)&amp;CHAR(34))</f>
        <v>Hướng 1 và 4.</v>
      </c>
      <c r="J2151" t="str">
        <f>SUBSTITUTE(IF(OR(LEFT(A2155,3)="Câu",I2151=""),"",IF(B2155=0,"",B2155)),CHAR(34),CHAR(92)&amp;CHAR(34))</f>
        <v xml:space="preserve"> Hướng 1 và 5.</v>
      </c>
      <c r="K2151" t="str">
        <f>SUBSTITUTE(SUBSTITUTE(SUBSTITUTE(SUBSTITUTE(IFERROR(VLOOKUP("Câu "&amp;D2151&amp;".",dapan!$E:$J,6,0),""),"1","A"),"2","B"),"3","C"),"4","D")</f>
        <v/>
      </c>
      <c r="P2151" t="str">
        <f t="shared" si="123"/>
        <v/>
      </c>
      <c r="Q2151" t="str">
        <f t="shared" si="124"/>
        <v/>
      </c>
    </row>
    <row r="2152" spans="1:17" x14ac:dyDescent="0.25">
      <c r="A2152" t="s">
        <v>1517</v>
      </c>
      <c r="C2152">
        <f>IFERROR(COUNTIFS($A$1:A2152,"Câu "&amp;"*")-MID(A2152,5,FIND(".",A2152,1)-5),0)</f>
        <v>0</v>
      </c>
      <c r="D2152">
        <f t="shared" si="126"/>
        <v>523</v>
      </c>
      <c r="E2152" t="str">
        <f>SUBSTITUTE(IF(LEFT(A2152,3)="Câu",MID(A2152,FIND(".",A2152,1)+2,LEN(A2152)),""),CHAR(34),CHAR(92)&amp;CHAR(34))</f>
        <v>Những hướng nào xe ô tô tải được phép đi?</v>
      </c>
      <c r="F2152" t="str">
        <f t="shared" si="125"/>
        <v>q523.jpg</v>
      </c>
      <c r="G2152" t="str">
        <f>SUBSTITUTE(B2153,CHAR(34),CHAR(92)&amp;CHAR(34))</f>
        <v>Chỉ hướng 1.</v>
      </c>
      <c r="H2152" t="str">
        <f>SUBSTITUTE(B2154,CHAR(34),CHAR(92)&amp;CHAR(34))</f>
        <v>Hướng 1 và 4.</v>
      </c>
      <c r="I2152" t="str">
        <f>SUBSTITUTE(IF(LEFT(A2155,3)="Câu","",B2155),CHAR(34),CHAR(92)&amp;CHAR(34))</f>
        <v xml:space="preserve"> Hướng 1 và 5.</v>
      </c>
      <c r="J2152" t="str">
        <f>SUBSTITUTE(IF(OR(LEFT(A2156,3)="Câu",I2152=""),"",IF(B2156=0,"",B2156)),CHAR(34),CHAR(92)&amp;CHAR(34))</f>
        <v>Hướng 1, 4 và 5.</v>
      </c>
      <c r="K2152" t="str">
        <f ca="1">SUBSTITUTE(SUBSTITUTE(SUBSTITUTE(SUBSTITUTE(IFERROR(VLOOKUP("Câu "&amp;D2152&amp;".",dapan!$E:$J,6,0),""),"1","A"),"2","B"),"3","C"),"4","D")</f>
        <v>C</v>
      </c>
      <c r="P2152">
        <f t="shared" si="123"/>
        <v>523</v>
      </c>
      <c r="Q2152" t="str">
        <f t="shared" ca="1" si="124"/>
        <v>{"num":523,"id":523,"q":"Những hướng nào xe ô tô tải được phép đi?","img":"q523.jpg","opts":{"A":"Chỉ hướng 1.","B":"Hướng 1 và 4.","C":" Hướng 1 và 5.","D":"Hướng 1, 4 và 5."},"answer":"C"},</v>
      </c>
    </row>
    <row r="2153" spans="1:17" hidden="1" x14ac:dyDescent="0.25">
      <c r="A2153">
        <v>1</v>
      </c>
      <c r="B2153" t="s">
        <v>1470</v>
      </c>
      <c r="C2153">
        <f>IFERROR(COUNTIFS($A$1:A2153,"Câu "&amp;"*")-MID(A2153,5,FIND(".",A2153,1)-5),0)</f>
        <v>0</v>
      </c>
      <c r="D2153" t="str">
        <f t="shared" si="126"/>
        <v/>
      </c>
      <c r="E2153" t="str">
        <f>SUBSTITUTE(IF(LEFT(A2153,3)="Câu",MID(A2153,FIND(".",A2153,1)+2,LEN(A2153)),""),CHAR(34),CHAR(92)&amp;CHAR(34))</f>
        <v/>
      </c>
      <c r="F2153" t="str">
        <f t="shared" si="125"/>
        <v/>
      </c>
      <c r="G2153" t="str">
        <f>SUBSTITUTE(B2154,CHAR(34),CHAR(92)&amp;CHAR(34))</f>
        <v>Hướng 1 và 4.</v>
      </c>
      <c r="H2153" t="str">
        <f>SUBSTITUTE(B2155,CHAR(34),CHAR(92)&amp;CHAR(34))</f>
        <v xml:space="preserve"> Hướng 1 và 5.</v>
      </c>
      <c r="I2153" t="str">
        <f>SUBSTITUTE(IF(LEFT(A2156,3)="Câu","",B2156),CHAR(34),CHAR(92)&amp;CHAR(34))</f>
        <v>Hướng 1, 4 và 5.</v>
      </c>
      <c r="J2153" t="str">
        <f>SUBSTITUTE(IF(OR(LEFT(A2157,3)="Câu",I2153=""),"",IF(B2157=0,"",B2157)),CHAR(34),CHAR(92)&amp;CHAR(34))</f>
        <v/>
      </c>
      <c r="K2153" t="str">
        <f>SUBSTITUTE(SUBSTITUTE(SUBSTITUTE(SUBSTITUTE(IFERROR(VLOOKUP("Câu "&amp;D2153&amp;".",dapan!$E:$J,6,0),""),"1","A"),"2","B"),"3","C"),"4","D")</f>
        <v/>
      </c>
      <c r="P2153" t="str">
        <f t="shared" si="123"/>
        <v/>
      </c>
      <c r="Q2153" t="str">
        <f t="shared" si="124"/>
        <v/>
      </c>
    </row>
    <row r="2154" spans="1:17" hidden="1" x14ac:dyDescent="0.25">
      <c r="A2154">
        <v>2</v>
      </c>
      <c r="B2154" t="s">
        <v>1488</v>
      </c>
      <c r="C2154">
        <f>IFERROR(COUNTIFS($A$1:A2154,"Câu "&amp;"*")-MID(A2154,5,FIND(".",A2154,1)-5),0)</f>
        <v>0</v>
      </c>
      <c r="D2154" t="str">
        <f t="shared" si="126"/>
        <v/>
      </c>
      <c r="E2154" t="str">
        <f>SUBSTITUTE(IF(LEFT(A2154,3)="Câu",MID(A2154,FIND(".",A2154,1)+2,LEN(A2154)),""),CHAR(34),CHAR(92)&amp;CHAR(34))</f>
        <v/>
      </c>
      <c r="F2154" t="str">
        <f t="shared" si="125"/>
        <v/>
      </c>
      <c r="G2154" t="str">
        <f>SUBSTITUTE(B2155,CHAR(34),CHAR(92)&amp;CHAR(34))</f>
        <v xml:space="preserve"> Hướng 1 và 5.</v>
      </c>
      <c r="H2154" t="str">
        <f>SUBSTITUTE(B2156,CHAR(34),CHAR(92)&amp;CHAR(34))</f>
        <v>Hướng 1, 4 và 5.</v>
      </c>
      <c r="I2154" t="str">
        <f>SUBSTITUTE(IF(LEFT(A2157,3)="Câu","",B2157),CHAR(34),CHAR(92)&amp;CHAR(34))</f>
        <v/>
      </c>
      <c r="J2154" t="str">
        <f>SUBSTITUTE(IF(OR(LEFT(A2158,3)="Câu",I2154=""),"",IF(B2158=0,"",B2158)),CHAR(34),CHAR(92)&amp;CHAR(34))</f>
        <v/>
      </c>
      <c r="K2154" t="str">
        <f>SUBSTITUTE(SUBSTITUTE(SUBSTITUTE(SUBSTITUTE(IFERROR(VLOOKUP("Câu "&amp;D2154&amp;".",dapan!$E:$J,6,0),""),"1","A"),"2","B"),"3","C"),"4","D")</f>
        <v/>
      </c>
      <c r="P2154" t="str">
        <f t="shared" si="123"/>
        <v/>
      </c>
      <c r="Q2154" t="str">
        <f t="shared" si="124"/>
        <v/>
      </c>
    </row>
    <row r="2155" spans="1:17" hidden="1" x14ac:dyDescent="0.25">
      <c r="A2155">
        <v>3</v>
      </c>
      <c r="B2155" t="s">
        <v>1518</v>
      </c>
      <c r="C2155">
        <f>IFERROR(COUNTIFS($A$1:A2155,"Câu "&amp;"*")-MID(A2155,5,FIND(".",A2155,1)-5),0)</f>
        <v>0</v>
      </c>
      <c r="D2155" t="str">
        <f t="shared" si="126"/>
        <v/>
      </c>
      <c r="E2155" t="str">
        <f>SUBSTITUTE(IF(LEFT(A2155,3)="Câu",MID(A2155,FIND(".",A2155,1)+2,LEN(A2155)),""),CHAR(34),CHAR(92)&amp;CHAR(34))</f>
        <v/>
      </c>
      <c r="F2155" t="str">
        <f t="shared" si="125"/>
        <v/>
      </c>
      <c r="G2155" t="str">
        <f>SUBSTITUTE(B2156,CHAR(34),CHAR(92)&amp;CHAR(34))</f>
        <v>Hướng 1, 4 và 5.</v>
      </c>
      <c r="H2155" t="str">
        <f>SUBSTITUTE(B2157,CHAR(34),CHAR(92)&amp;CHAR(34))</f>
        <v/>
      </c>
      <c r="I2155" t="str">
        <f>SUBSTITUTE(IF(LEFT(A2158,3)="Câu","",B2158),CHAR(34),CHAR(92)&amp;CHAR(34))</f>
        <v>Cả bốn hướng.</v>
      </c>
      <c r="J2155" t="str">
        <f>SUBSTITUTE(IF(OR(LEFT(A2159,3)="Câu",I2155=""),"",IF(B2159=0,"",B2159)),CHAR(34),CHAR(92)&amp;CHAR(34))</f>
        <v xml:space="preserve"> Trừ hướng 2.</v>
      </c>
      <c r="K2155" t="str">
        <f>SUBSTITUTE(SUBSTITUTE(SUBSTITUTE(SUBSTITUTE(IFERROR(VLOOKUP("Câu "&amp;D2155&amp;".",dapan!$E:$J,6,0),""),"1","A"),"2","B"),"3","C"),"4","D")</f>
        <v/>
      </c>
      <c r="P2155" t="str">
        <f t="shared" si="123"/>
        <v/>
      </c>
      <c r="Q2155" t="str">
        <f t="shared" si="124"/>
        <v/>
      </c>
    </row>
    <row r="2156" spans="1:17" hidden="1" x14ac:dyDescent="0.25">
      <c r="A2156">
        <v>4</v>
      </c>
      <c r="B2156" t="s">
        <v>1519</v>
      </c>
      <c r="C2156">
        <f>IFERROR(COUNTIFS($A$1:A2156,"Câu "&amp;"*")-MID(A2156,5,FIND(".",A2156,1)-5),0)</f>
        <v>0</v>
      </c>
      <c r="D2156" t="str">
        <f t="shared" si="126"/>
        <v/>
      </c>
      <c r="E2156" t="str">
        <f>SUBSTITUTE(IF(LEFT(A2156,3)="Câu",MID(A2156,FIND(".",A2156,1)+2,LEN(A2156)),""),CHAR(34),CHAR(92)&amp;CHAR(34))</f>
        <v/>
      </c>
      <c r="F2156" t="str">
        <f t="shared" si="125"/>
        <v/>
      </c>
      <c r="G2156" t="str">
        <f>SUBSTITUTE(B2157,CHAR(34),CHAR(92)&amp;CHAR(34))</f>
        <v/>
      </c>
      <c r="H2156" t="str">
        <f>SUBSTITUTE(B2158,CHAR(34),CHAR(92)&amp;CHAR(34))</f>
        <v>Cả bốn hướng.</v>
      </c>
      <c r="I2156" t="str">
        <f>SUBSTITUTE(IF(LEFT(A2159,3)="Câu","",B2159),CHAR(34),CHAR(92)&amp;CHAR(34))</f>
        <v xml:space="preserve"> Trừ hướng 2.</v>
      </c>
      <c r="J2156" t="str">
        <f>SUBSTITUTE(IF(OR(LEFT(A2160,3)="Câu",I2156=""),"",IF(B2160=0,"",B2160)),CHAR(34),CHAR(92)&amp;CHAR(34))</f>
        <v>Hướng 2, 3 và 4.</v>
      </c>
      <c r="K2156" t="str">
        <f>SUBSTITUTE(SUBSTITUTE(SUBSTITUTE(SUBSTITUTE(IFERROR(VLOOKUP("Câu "&amp;D2156&amp;".",dapan!$E:$J,6,0),""),"1","A"),"2","B"),"3","C"),"4","D")</f>
        <v/>
      </c>
      <c r="P2156" t="str">
        <f t="shared" si="123"/>
        <v/>
      </c>
      <c r="Q2156" t="str">
        <f t="shared" si="124"/>
        <v/>
      </c>
    </row>
    <row r="2157" spans="1:17" x14ac:dyDescent="0.25">
      <c r="A2157" t="s">
        <v>1520</v>
      </c>
      <c r="C2157">
        <f>IFERROR(COUNTIFS($A$1:A2157,"Câu "&amp;"*")-MID(A2157,5,FIND(".",A2157,1)-5),0)</f>
        <v>0</v>
      </c>
      <c r="D2157">
        <f t="shared" si="126"/>
        <v>524</v>
      </c>
      <c r="E2157" t="str">
        <f>SUBSTITUTE(IF(LEFT(A2157,3)="Câu",MID(A2157,FIND(".",A2157,1)+2,LEN(A2157)),""),CHAR(34),CHAR(92)&amp;CHAR(34))</f>
        <v>Những hướng nào xe ô tô tải được phép đi?</v>
      </c>
      <c r="F2157" t="str">
        <f t="shared" si="125"/>
        <v>q524.jpg</v>
      </c>
      <c r="G2157" t="str">
        <f>SUBSTITUTE(B2158,CHAR(34),CHAR(92)&amp;CHAR(34))</f>
        <v>Cả bốn hướng.</v>
      </c>
      <c r="H2157" t="str">
        <f>SUBSTITUTE(B2159,CHAR(34),CHAR(92)&amp;CHAR(34))</f>
        <v xml:space="preserve"> Trừ hướng 2.</v>
      </c>
      <c r="I2157" t="str">
        <f>SUBSTITUTE(IF(LEFT(A2160,3)="Câu","",B2160),CHAR(34),CHAR(92)&amp;CHAR(34))</f>
        <v>Hướng 2, 3 và 4.</v>
      </c>
      <c r="J2157" t="str">
        <f>SUBSTITUTE(IF(OR(LEFT(A2161,3)="Câu",I2157=""),"",IF(B2161=0,"",B2161)),CHAR(34),CHAR(92)&amp;CHAR(34))</f>
        <v>Trừ hướng 4.</v>
      </c>
      <c r="K2157" t="str">
        <f ca="1">SUBSTITUTE(SUBSTITUTE(SUBSTITUTE(SUBSTITUTE(IFERROR(VLOOKUP("Câu "&amp;D2157&amp;".",dapan!$E:$J,6,0),""),"1","A"),"2","B"),"3","C"),"4","D")</f>
        <v>B</v>
      </c>
      <c r="P2157">
        <f t="shared" si="123"/>
        <v>524</v>
      </c>
      <c r="Q2157" t="str">
        <f t="shared" ca="1" si="124"/>
        <v>{"num":524,"id":524,"q":"Những hướng nào xe ô tô tải được phép đi?","img":"q524.jpg","opts":{"A":"Cả bốn hướng.","B":" Trừ hướng 2.","C":"Hướng 2, 3 và 4.","D":"Trừ hướng 4."},"answer":"B"},</v>
      </c>
    </row>
    <row r="2158" spans="1:17" hidden="1" x14ac:dyDescent="0.25">
      <c r="A2158">
        <v>1</v>
      </c>
      <c r="B2158" t="s">
        <v>1507</v>
      </c>
      <c r="C2158">
        <f>IFERROR(COUNTIFS($A$1:A2158,"Câu "&amp;"*")-MID(A2158,5,FIND(".",A2158,1)-5),0)</f>
        <v>0</v>
      </c>
      <c r="D2158" t="str">
        <f t="shared" si="126"/>
        <v/>
      </c>
      <c r="E2158" t="str">
        <f>SUBSTITUTE(IF(LEFT(A2158,3)="Câu",MID(A2158,FIND(".",A2158,1)+2,LEN(A2158)),""),CHAR(34),CHAR(92)&amp;CHAR(34))</f>
        <v/>
      </c>
      <c r="F2158" t="str">
        <f t="shared" si="125"/>
        <v/>
      </c>
      <c r="G2158" t="str">
        <f>SUBSTITUTE(B2159,CHAR(34),CHAR(92)&amp;CHAR(34))</f>
        <v xml:space="preserve"> Trừ hướng 2.</v>
      </c>
      <c r="H2158" t="str">
        <f>SUBSTITUTE(B2160,CHAR(34),CHAR(92)&amp;CHAR(34))</f>
        <v>Hướng 2, 3 và 4.</v>
      </c>
      <c r="I2158" t="str">
        <f>SUBSTITUTE(IF(LEFT(A2161,3)="Câu","",B2161),CHAR(34),CHAR(92)&amp;CHAR(34))</f>
        <v>Trừ hướng 4.</v>
      </c>
      <c r="J2158" t="str">
        <f>SUBSTITUTE(IF(OR(LEFT(A2162,3)="Câu",I2158=""),"",IF(B2162=0,"",B2162)),CHAR(34),CHAR(92)&amp;CHAR(34))</f>
        <v/>
      </c>
      <c r="K2158" t="str">
        <f>SUBSTITUTE(SUBSTITUTE(SUBSTITUTE(SUBSTITUTE(IFERROR(VLOOKUP("Câu "&amp;D2158&amp;".",dapan!$E:$J,6,0),""),"1","A"),"2","B"),"3","C"),"4","D")</f>
        <v/>
      </c>
      <c r="P2158" t="str">
        <f t="shared" si="123"/>
        <v/>
      </c>
      <c r="Q2158" t="str">
        <f t="shared" si="124"/>
        <v/>
      </c>
    </row>
    <row r="2159" spans="1:17" hidden="1" x14ac:dyDescent="0.25">
      <c r="A2159">
        <v>2</v>
      </c>
      <c r="B2159" t="s">
        <v>1521</v>
      </c>
      <c r="C2159">
        <f>IFERROR(COUNTIFS($A$1:A2159,"Câu "&amp;"*")-MID(A2159,5,FIND(".",A2159,1)-5),0)</f>
        <v>0</v>
      </c>
      <c r="D2159" t="str">
        <f t="shared" si="126"/>
        <v/>
      </c>
      <c r="E2159" t="str">
        <f>SUBSTITUTE(IF(LEFT(A2159,3)="Câu",MID(A2159,FIND(".",A2159,1)+2,LEN(A2159)),""),CHAR(34),CHAR(92)&amp;CHAR(34))</f>
        <v/>
      </c>
      <c r="F2159" t="str">
        <f t="shared" si="125"/>
        <v/>
      </c>
      <c r="G2159" t="str">
        <f>SUBSTITUTE(B2160,CHAR(34),CHAR(92)&amp;CHAR(34))</f>
        <v>Hướng 2, 3 và 4.</v>
      </c>
      <c r="H2159" t="str">
        <f>SUBSTITUTE(B2161,CHAR(34),CHAR(92)&amp;CHAR(34))</f>
        <v>Trừ hướng 4.</v>
      </c>
      <c r="I2159" t="str">
        <f>SUBSTITUTE(IF(LEFT(A2162,3)="Câu","",B2162),CHAR(34),CHAR(92)&amp;CHAR(34))</f>
        <v/>
      </c>
      <c r="J2159" t="str">
        <f>SUBSTITUTE(IF(OR(LEFT(A2163,3)="Câu",I2159=""),"",IF(B2163=0,"",B2163)),CHAR(34),CHAR(92)&amp;CHAR(34))</f>
        <v/>
      </c>
      <c r="K2159" t="str">
        <f>SUBSTITUTE(SUBSTITUTE(SUBSTITUTE(SUBSTITUTE(IFERROR(VLOOKUP("Câu "&amp;D2159&amp;".",dapan!$E:$J,6,0),""),"1","A"),"2","B"),"3","C"),"4","D")</f>
        <v/>
      </c>
      <c r="P2159" t="str">
        <f t="shared" si="123"/>
        <v/>
      </c>
      <c r="Q2159" t="str">
        <f t="shared" si="124"/>
        <v/>
      </c>
    </row>
    <row r="2160" spans="1:17" hidden="1" x14ac:dyDescent="0.25">
      <c r="A2160">
        <v>3</v>
      </c>
      <c r="B2160" t="s">
        <v>1506</v>
      </c>
      <c r="C2160">
        <f>IFERROR(COUNTIFS($A$1:A2160,"Câu "&amp;"*")-MID(A2160,5,FIND(".",A2160,1)-5),0)</f>
        <v>0</v>
      </c>
      <c r="D2160" t="str">
        <f t="shared" si="126"/>
        <v/>
      </c>
      <c r="E2160" t="str">
        <f>SUBSTITUTE(IF(LEFT(A2160,3)="Câu",MID(A2160,FIND(".",A2160,1)+2,LEN(A2160)),""),CHAR(34),CHAR(92)&amp;CHAR(34))</f>
        <v/>
      </c>
      <c r="F2160" t="str">
        <f t="shared" si="125"/>
        <v/>
      </c>
      <c r="G2160" t="str">
        <f>SUBSTITUTE(B2161,CHAR(34),CHAR(92)&amp;CHAR(34))</f>
        <v>Trừ hướng 4.</v>
      </c>
      <c r="H2160" t="str">
        <f>SUBSTITUTE(B2162,CHAR(34),CHAR(92)&amp;CHAR(34))</f>
        <v/>
      </c>
      <c r="I2160" t="str">
        <f>SUBSTITUTE(IF(LEFT(A2163,3)="Câu","",B2163),CHAR(34),CHAR(92)&amp;CHAR(34))</f>
        <v xml:space="preserve"> Xe mô tô.</v>
      </c>
      <c r="J2160" t="str">
        <f>SUBSTITUTE(IF(OR(LEFT(A2164,3)="Câu",I2160=""),"",IF(B2164=0,"",B2164)),CHAR(34),CHAR(92)&amp;CHAR(34))</f>
        <v>Xe con.</v>
      </c>
      <c r="K2160" t="str">
        <f>SUBSTITUTE(SUBSTITUTE(SUBSTITUTE(SUBSTITUTE(IFERROR(VLOOKUP("Câu "&amp;D2160&amp;".",dapan!$E:$J,6,0),""),"1","A"),"2","B"),"3","C"),"4","D")</f>
        <v/>
      </c>
      <c r="P2160" t="str">
        <f t="shared" si="123"/>
        <v/>
      </c>
      <c r="Q2160" t="str">
        <f t="shared" si="124"/>
        <v/>
      </c>
    </row>
    <row r="2161" spans="1:17" hidden="1" x14ac:dyDescent="0.25">
      <c r="A2161">
        <v>4</v>
      </c>
      <c r="B2161" t="s">
        <v>1522</v>
      </c>
      <c r="C2161">
        <f>IFERROR(COUNTIFS($A$1:A2161,"Câu "&amp;"*")-MID(A2161,5,FIND(".",A2161,1)-5),0)</f>
        <v>0</v>
      </c>
      <c r="D2161" t="str">
        <f t="shared" si="126"/>
        <v/>
      </c>
      <c r="E2161" t="str">
        <f>SUBSTITUTE(IF(LEFT(A2161,3)="Câu",MID(A2161,FIND(".",A2161,1)+2,LEN(A2161)),""),CHAR(34),CHAR(92)&amp;CHAR(34))</f>
        <v/>
      </c>
      <c r="F2161" t="str">
        <f t="shared" si="125"/>
        <v/>
      </c>
      <c r="G2161" t="str">
        <f>SUBSTITUTE(B2162,CHAR(34),CHAR(92)&amp;CHAR(34))</f>
        <v/>
      </c>
      <c r="H2161" t="str">
        <f>SUBSTITUTE(B2163,CHAR(34),CHAR(92)&amp;CHAR(34))</f>
        <v xml:space="preserve"> Xe mô tô.</v>
      </c>
      <c r="I2161" t="str">
        <f>SUBSTITUTE(IF(LEFT(A2164,3)="Câu","",B2164),CHAR(34),CHAR(92)&amp;CHAR(34))</f>
        <v>Xe con.</v>
      </c>
      <c r="J2161" t="str">
        <f>SUBSTITUTE(IF(OR(LEFT(A2165,3)="Câu",I2161=""),"",IF(B2165=0,"",B2165)),CHAR(34),CHAR(92)&amp;CHAR(34))</f>
        <v/>
      </c>
      <c r="K2161" t="str">
        <f>SUBSTITUTE(SUBSTITUTE(SUBSTITUTE(SUBSTITUTE(IFERROR(VLOOKUP("Câu "&amp;D2161&amp;".",dapan!$E:$J,6,0),""),"1","A"),"2","B"),"3","C"),"4","D")</f>
        <v/>
      </c>
      <c r="P2161" t="str">
        <f t="shared" si="123"/>
        <v/>
      </c>
      <c r="Q2161" t="str">
        <f t="shared" si="124"/>
        <v/>
      </c>
    </row>
    <row r="2162" spans="1:17" x14ac:dyDescent="0.25">
      <c r="A2162" t="s">
        <v>1523</v>
      </c>
      <c r="C2162">
        <f>IFERROR(COUNTIFS($A$1:A2162,"Câu "&amp;"*")-MID(A2162,5,FIND(".",A2162,1)-5),0)</f>
        <v>0</v>
      </c>
      <c r="D2162">
        <f t="shared" si="126"/>
        <v>525</v>
      </c>
      <c r="E2162" t="str">
        <f>SUBSTITUTE(IF(LEFT(A2162,3)="Câu",MID(A2162,FIND(".",A2162,1)+2,LEN(A2162)),""),CHAR(34),CHAR(92)&amp;CHAR(34))</f>
        <v>Xe nào được quyền đi trước trong trường hợp này?</v>
      </c>
      <c r="F2162" t="str">
        <f t="shared" si="125"/>
        <v>q525.jpg</v>
      </c>
      <c r="G2162" t="str">
        <f>SUBSTITUTE(B2163,CHAR(34),CHAR(92)&amp;CHAR(34))</f>
        <v xml:space="preserve"> Xe mô tô.</v>
      </c>
      <c r="H2162" t="str">
        <f>SUBSTITUTE(B2164,CHAR(34),CHAR(92)&amp;CHAR(34))</f>
        <v>Xe con.</v>
      </c>
      <c r="I2162" t="str">
        <f>SUBSTITUTE(IF(LEFT(A2165,3)="Câu","",B2165),CHAR(34),CHAR(92)&amp;CHAR(34))</f>
        <v/>
      </c>
      <c r="J2162" t="str">
        <f>SUBSTITUTE(IF(OR(LEFT(A2166,3)="Câu",I2162=""),"",IF(B2166=0,"",B2166)),CHAR(34),CHAR(92)&amp;CHAR(34))</f>
        <v/>
      </c>
      <c r="K2162" t="str">
        <f ca="1">SUBSTITUTE(SUBSTITUTE(SUBSTITUTE(SUBSTITUTE(IFERROR(VLOOKUP("Câu "&amp;D2162&amp;".",dapan!$E:$J,6,0),""),"1","A"),"2","B"),"3","C"),"4","D")</f>
        <v>A</v>
      </c>
      <c r="P2162">
        <f t="shared" si="123"/>
        <v>525</v>
      </c>
      <c r="Q2162" t="str">
        <f t="shared" ca="1" si="124"/>
        <v>{"num":525,"id":525,"q":"Xe nào được quyền đi trước trong trường hợp này?","img":"q525.jpg","opts":{"A":" Xe mô tô.","B":"Xe con."},"answer":"A"},</v>
      </c>
    </row>
    <row r="2163" spans="1:17" hidden="1" x14ac:dyDescent="0.25">
      <c r="A2163">
        <v>1</v>
      </c>
      <c r="B2163" t="s">
        <v>1501</v>
      </c>
      <c r="C2163">
        <f>IFERROR(COUNTIFS($A$1:A2163,"Câu "&amp;"*")-MID(A2163,5,FIND(".",A2163,1)-5),0)</f>
        <v>0</v>
      </c>
      <c r="D2163" t="str">
        <f t="shared" si="126"/>
        <v/>
      </c>
      <c r="E2163" t="str">
        <f>SUBSTITUTE(IF(LEFT(A2163,3)="Câu",MID(A2163,FIND(".",A2163,1)+2,LEN(A2163)),""),CHAR(34),CHAR(92)&amp;CHAR(34))</f>
        <v/>
      </c>
      <c r="F2163" t="str">
        <f t="shared" si="125"/>
        <v/>
      </c>
      <c r="G2163" t="str">
        <f>SUBSTITUTE(B2164,CHAR(34),CHAR(92)&amp;CHAR(34))</f>
        <v>Xe con.</v>
      </c>
      <c r="H2163" t="str">
        <f>SUBSTITUTE(B2165,CHAR(34),CHAR(92)&amp;CHAR(34))</f>
        <v/>
      </c>
      <c r="I2163" t="str">
        <f>SUBSTITUTE(IF(LEFT(A2166,3)="Câu","",B2166),CHAR(34),CHAR(92)&amp;CHAR(34))</f>
        <v>Không vi phạm.</v>
      </c>
      <c r="J2163" t="str">
        <f>SUBSTITUTE(IF(OR(LEFT(A2167,3)="Câu",I2163=""),"",IF(B2167=0,"",B2167)),CHAR(34),CHAR(92)&amp;CHAR(34))</f>
        <v xml:space="preserve"> Vi phạm.</v>
      </c>
      <c r="K2163" t="str">
        <f>SUBSTITUTE(SUBSTITUTE(SUBSTITUTE(SUBSTITUTE(IFERROR(VLOOKUP("Câu "&amp;D2163&amp;".",dapan!$E:$J,6,0),""),"1","A"),"2","B"),"3","C"),"4","D")</f>
        <v/>
      </c>
      <c r="P2163" t="str">
        <f t="shared" si="123"/>
        <v/>
      </c>
      <c r="Q2163" t="str">
        <f t="shared" si="124"/>
        <v/>
      </c>
    </row>
    <row r="2164" spans="1:17" hidden="1" x14ac:dyDescent="0.25">
      <c r="A2164">
        <v>2</v>
      </c>
      <c r="B2164" t="s">
        <v>1434</v>
      </c>
      <c r="C2164">
        <f>IFERROR(COUNTIFS($A$1:A2164,"Câu "&amp;"*")-MID(A2164,5,FIND(".",A2164,1)-5),0)</f>
        <v>0</v>
      </c>
      <c r="D2164" t="str">
        <f t="shared" si="126"/>
        <v/>
      </c>
      <c r="E2164" t="str">
        <f>SUBSTITUTE(IF(LEFT(A2164,3)="Câu",MID(A2164,FIND(".",A2164,1)+2,LEN(A2164)),""),CHAR(34),CHAR(92)&amp;CHAR(34))</f>
        <v/>
      </c>
      <c r="F2164" t="str">
        <f t="shared" si="125"/>
        <v/>
      </c>
      <c r="G2164" t="str">
        <f>SUBSTITUTE(B2165,CHAR(34),CHAR(92)&amp;CHAR(34))</f>
        <v/>
      </c>
      <c r="H2164" t="str">
        <f>SUBSTITUTE(B2166,CHAR(34),CHAR(92)&amp;CHAR(34))</f>
        <v>Không vi phạm.</v>
      </c>
      <c r="I2164" t="str">
        <f>SUBSTITUTE(IF(LEFT(A2167,3)="Câu","",B2167),CHAR(34),CHAR(92)&amp;CHAR(34))</f>
        <v xml:space="preserve"> Vi phạm.</v>
      </c>
      <c r="J2164" t="str">
        <f>SUBSTITUTE(IF(OR(LEFT(A2168,3)="Câu",I2164=""),"",IF(B2168=0,"",B2168)),CHAR(34),CHAR(92)&amp;CHAR(34))</f>
        <v/>
      </c>
      <c r="K2164" t="str">
        <f>SUBSTITUTE(SUBSTITUTE(SUBSTITUTE(SUBSTITUTE(IFERROR(VLOOKUP("Câu "&amp;D2164&amp;".",dapan!$E:$J,6,0),""),"1","A"),"2","B"),"3","C"),"4","D")</f>
        <v/>
      </c>
      <c r="P2164" t="str">
        <f t="shared" si="123"/>
        <v/>
      </c>
      <c r="Q2164" t="str">
        <f t="shared" si="124"/>
        <v/>
      </c>
    </row>
    <row r="2165" spans="1:17" x14ac:dyDescent="0.25">
      <c r="A2165" t="s">
        <v>1524</v>
      </c>
      <c r="C2165">
        <f>IFERROR(COUNTIFS($A$1:A2165,"Câu "&amp;"*")-MID(A2165,5,FIND(".",A2165,1)-5),0)</f>
        <v>0</v>
      </c>
      <c r="D2165">
        <f t="shared" si="126"/>
        <v>526</v>
      </c>
      <c r="E2165" t="str">
        <f>SUBSTITUTE(IF(LEFT(A2165,3)="Câu",MID(A2165,FIND(".",A2165,1)+2,LEN(A2165)),""),CHAR(34),CHAR(92)&amp;CHAR(34))</f>
        <v>Xe ô tô con đi theo chiều mũi tên có vi phạm quy tắc giao thông không?</v>
      </c>
      <c r="F2165" t="str">
        <f t="shared" si="125"/>
        <v>q526.jpg</v>
      </c>
      <c r="G2165" t="str">
        <f>SUBSTITUTE(B2166,CHAR(34),CHAR(92)&amp;CHAR(34))</f>
        <v>Không vi phạm.</v>
      </c>
      <c r="H2165" t="str">
        <f>SUBSTITUTE(B2167,CHAR(34),CHAR(92)&amp;CHAR(34))</f>
        <v xml:space="preserve"> Vi phạm.</v>
      </c>
      <c r="I2165" t="str">
        <f>SUBSTITUTE(IF(LEFT(A2168,3)="Câu","",B2168),CHAR(34),CHAR(92)&amp;CHAR(34))</f>
        <v/>
      </c>
      <c r="J2165" t="str">
        <f>SUBSTITUTE(IF(OR(LEFT(A2169,3)="Câu",I2165=""),"",IF(B2169=0,"",B2169)),CHAR(34),CHAR(92)&amp;CHAR(34))</f>
        <v/>
      </c>
      <c r="K2165" t="str">
        <f ca="1">SUBSTITUTE(SUBSTITUTE(SUBSTITUTE(SUBSTITUTE(IFERROR(VLOOKUP("Câu "&amp;D2165&amp;".",dapan!$E:$J,6,0),""),"1","A"),"2","B"),"3","C"),"4","D")</f>
        <v>B</v>
      </c>
      <c r="P2165">
        <f t="shared" si="123"/>
        <v>526</v>
      </c>
      <c r="Q2165" t="str">
        <f t="shared" ca="1" si="124"/>
        <v>{"num":526,"id":526,"q":"Xe ô tô con đi theo chiều mũi tên có vi phạm quy tắc giao thông không?","img":"q526.jpg","opts":{"A":"Không vi phạm.","B":" Vi phạm."},"answer":"B"},</v>
      </c>
    </row>
    <row r="2166" spans="1:17" hidden="1" x14ac:dyDescent="0.25">
      <c r="A2166">
        <v>1</v>
      </c>
      <c r="B2166" t="s">
        <v>1525</v>
      </c>
      <c r="C2166">
        <f>IFERROR(COUNTIFS($A$1:A2166,"Câu "&amp;"*")-MID(A2166,5,FIND(".",A2166,1)-5),0)</f>
        <v>0</v>
      </c>
      <c r="D2166" t="str">
        <f t="shared" si="126"/>
        <v/>
      </c>
      <c r="E2166" t="str">
        <f>SUBSTITUTE(IF(LEFT(A2166,3)="Câu",MID(A2166,FIND(".",A2166,1)+2,LEN(A2166)),""),CHAR(34),CHAR(92)&amp;CHAR(34))</f>
        <v/>
      </c>
      <c r="F2166" t="str">
        <f t="shared" si="125"/>
        <v/>
      </c>
      <c r="G2166" t="str">
        <f>SUBSTITUTE(B2167,CHAR(34),CHAR(92)&amp;CHAR(34))</f>
        <v xml:space="preserve"> Vi phạm.</v>
      </c>
      <c r="H2166" t="str">
        <f>SUBSTITUTE(B2168,CHAR(34),CHAR(92)&amp;CHAR(34))</f>
        <v/>
      </c>
      <c r="I2166" t="str">
        <f>SUBSTITUTE(IF(LEFT(A2169,3)="Câu","",B2169),CHAR(34),CHAR(92)&amp;CHAR(34))</f>
        <v>Xe khách.</v>
      </c>
      <c r="J2166" t="str">
        <f>SUBSTITUTE(IF(OR(LEFT(A2170,3)="Câu",I2166=""),"",IF(B2170=0,"",B2170)),CHAR(34),CHAR(92)&amp;CHAR(34))</f>
        <v>Xe mô tô.</v>
      </c>
      <c r="K2166" t="str">
        <f>SUBSTITUTE(SUBSTITUTE(SUBSTITUTE(SUBSTITUTE(IFERROR(VLOOKUP("Câu "&amp;D2166&amp;".",dapan!$E:$J,6,0),""),"1","A"),"2","B"),"3","C"),"4","D")</f>
        <v/>
      </c>
      <c r="P2166" t="str">
        <f t="shared" si="123"/>
        <v/>
      </c>
      <c r="Q2166" t="str">
        <f t="shared" si="124"/>
        <v/>
      </c>
    </row>
    <row r="2167" spans="1:17" hidden="1" x14ac:dyDescent="0.25">
      <c r="A2167">
        <v>2</v>
      </c>
      <c r="B2167" t="s">
        <v>1498</v>
      </c>
      <c r="C2167">
        <f>IFERROR(COUNTIFS($A$1:A2167,"Câu "&amp;"*")-MID(A2167,5,FIND(".",A2167,1)-5),0)</f>
        <v>0</v>
      </c>
      <c r="D2167" t="str">
        <f t="shared" si="126"/>
        <v/>
      </c>
      <c r="E2167" t="str">
        <f>SUBSTITUTE(IF(LEFT(A2167,3)="Câu",MID(A2167,FIND(".",A2167,1)+2,LEN(A2167)),""),CHAR(34),CHAR(92)&amp;CHAR(34))</f>
        <v/>
      </c>
      <c r="F2167" t="str">
        <f t="shared" si="125"/>
        <v/>
      </c>
      <c r="G2167" t="str">
        <f>SUBSTITUTE(B2168,CHAR(34),CHAR(92)&amp;CHAR(34))</f>
        <v/>
      </c>
      <c r="H2167" t="str">
        <f>SUBSTITUTE(B2169,CHAR(34),CHAR(92)&amp;CHAR(34))</f>
        <v>Xe khách.</v>
      </c>
      <c r="I2167" t="str">
        <f>SUBSTITUTE(IF(LEFT(A2170,3)="Câu","",B2170),CHAR(34),CHAR(92)&amp;CHAR(34))</f>
        <v>Xe mô tô.</v>
      </c>
      <c r="J2167" t="str">
        <f>SUBSTITUTE(IF(OR(LEFT(A2171,3)="Câu",I2167=""),"",IF(B2171=0,"",B2171)),CHAR(34),CHAR(92)&amp;CHAR(34))</f>
        <v xml:space="preserve"> Xe con.</v>
      </c>
      <c r="K2167" t="str">
        <f>SUBSTITUTE(SUBSTITUTE(SUBSTITUTE(SUBSTITUTE(IFERROR(VLOOKUP("Câu "&amp;D2167&amp;".",dapan!$E:$J,6,0),""),"1","A"),"2","B"),"3","C"),"4","D")</f>
        <v/>
      </c>
      <c r="P2167" t="str">
        <f t="shared" si="123"/>
        <v/>
      </c>
      <c r="Q2167" t="str">
        <f t="shared" si="124"/>
        <v/>
      </c>
    </row>
    <row r="2168" spans="1:17" x14ac:dyDescent="0.25">
      <c r="A2168" t="s">
        <v>1526</v>
      </c>
      <c r="C2168">
        <f>IFERROR(COUNTIFS($A$1:A2168,"Câu "&amp;"*")-MID(A2168,5,FIND(".",A2168,1)-5),0)</f>
        <v>0</v>
      </c>
      <c r="D2168">
        <f t="shared" si="126"/>
        <v>527</v>
      </c>
      <c r="E2168" t="str">
        <f>SUBSTITUTE(IF(LEFT(A2168,3)="Câu",MID(A2168,FIND(".",A2168,1)+2,LEN(A2168)),""),CHAR(34),CHAR(92)&amp;CHAR(34))</f>
        <v>Xe nào vi phạm quy tắc giao thông?</v>
      </c>
      <c r="F2168" t="str">
        <f t="shared" si="125"/>
        <v>q527.jpg</v>
      </c>
      <c r="G2168" t="str">
        <f>SUBSTITUTE(B2169,CHAR(34),CHAR(92)&amp;CHAR(34))</f>
        <v>Xe khách.</v>
      </c>
      <c r="H2168" t="str">
        <f>SUBSTITUTE(B2170,CHAR(34),CHAR(92)&amp;CHAR(34))</f>
        <v>Xe mô tô.</v>
      </c>
      <c r="I2168" t="str">
        <f>SUBSTITUTE(IF(LEFT(A2171,3)="Câu","",B2171),CHAR(34),CHAR(92)&amp;CHAR(34))</f>
        <v xml:space="preserve"> Xe con.</v>
      </c>
      <c r="J2168" t="str">
        <f>SUBSTITUTE(IF(OR(LEFT(A2172,3)="Câu",I2168=""),"",IF(B2172=0,"",B2172)),CHAR(34),CHAR(92)&amp;CHAR(34))</f>
        <v>Xe con và xe mô tô.</v>
      </c>
      <c r="K2168" t="str">
        <f ca="1">SUBSTITUTE(SUBSTITUTE(SUBSTITUTE(SUBSTITUTE(IFERROR(VLOOKUP("Câu "&amp;D2168&amp;".",dapan!$E:$J,6,0),""),"1","A"),"2","B"),"3","C"),"4","D")</f>
        <v>C</v>
      </c>
      <c r="P2168">
        <f t="shared" si="123"/>
        <v>527</v>
      </c>
      <c r="Q2168" t="str">
        <f t="shared" ca="1" si="124"/>
        <v>{"num":527,"id":527,"q":"Xe nào vi phạm quy tắc giao thông?","img":"q527.jpg","opts":{"A":"Xe khách.","B":"Xe mô tô.","C":" Xe con.","D":"Xe con và xe mô tô."},"answer":"C"},</v>
      </c>
    </row>
    <row r="2169" spans="1:17" hidden="1" x14ac:dyDescent="0.25">
      <c r="A2169">
        <v>1</v>
      </c>
      <c r="B2169" t="s">
        <v>1492</v>
      </c>
      <c r="C2169">
        <f>IFERROR(COUNTIFS($A$1:A2169,"Câu "&amp;"*")-MID(A2169,5,FIND(".",A2169,1)-5),0)</f>
        <v>0</v>
      </c>
      <c r="D2169" t="str">
        <f t="shared" si="126"/>
        <v/>
      </c>
      <c r="E2169" t="str">
        <f>SUBSTITUTE(IF(LEFT(A2169,3)="Câu",MID(A2169,FIND(".",A2169,1)+2,LEN(A2169)),""),CHAR(34),CHAR(92)&amp;CHAR(34))</f>
        <v/>
      </c>
      <c r="F2169" t="str">
        <f t="shared" si="125"/>
        <v/>
      </c>
      <c r="G2169" t="str">
        <f>SUBSTITUTE(B2170,CHAR(34),CHAR(92)&amp;CHAR(34))</f>
        <v>Xe mô tô.</v>
      </c>
      <c r="H2169" t="str">
        <f>SUBSTITUTE(B2171,CHAR(34),CHAR(92)&amp;CHAR(34))</f>
        <v xml:space="preserve"> Xe con.</v>
      </c>
      <c r="I2169" t="str">
        <f>SUBSTITUTE(IF(LEFT(A2172,3)="Câu","",B2172),CHAR(34),CHAR(92)&amp;CHAR(34))</f>
        <v>Xe con và xe mô tô.</v>
      </c>
      <c r="J2169" t="str">
        <f>SUBSTITUTE(IF(OR(LEFT(A2173,3)="Câu",I2169=""),"",IF(B2173=0,"",B2173)),CHAR(34),CHAR(92)&amp;CHAR(34))</f>
        <v/>
      </c>
      <c r="K2169" t="str">
        <f>SUBSTITUTE(SUBSTITUTE(SUBSTITUTE(SUBSTITUTE(IFERROR(VLOOKUP("Câu "&amp;D2169&amp;".",dapan!$E:$J,6,0),""),"1","A"),"2","B"),"3","C"),"4","D")</f>
        <v/>
      </c>
      <c r="P2169" t="str">
        <f t="shared" si="123"/>
        <v/>
      </c>
      <c r="Q2169" t="str">
        <f t="shared" si="124"/>
        <v/>
      </c>
    </row>
    <row r="2170" spans="1:17" hidden="1" x14ac:dyDescent="0.25">
      <c r="A2170">
        <v>2</v>
      </c>
      <c r="B2170" t="s">
        <v>1421</v>
      </c>
      <c r="C2170">
        <f>IFERROR(COUNTIFS($A$1:A2170,"Câu "&amp;"*")-MID(A2170,5,FIND(".",A2170,1)-5),0)</f>
        <v>0</v>
      </c>
      <c r="D2170" t="str">
        <f t="shared" si="126"/>
        <v/>
      </c>
      <c r="E2170" t="str">
        <f>SUBSTITUTE(IF(LEFT(A2170,3)="Câu",MID(A2170,FIND(".",A2170,1)+2,LEN(A2170)),""),CHAR(34),CHAR(92)&amp;CHAR(34))</f>
        <v/>
      </c>
      <c r="F2170" t="str">
        <f t="shared" si="125"/>
        <v/>
      </c>
      <c r="G2170" t="str">
        <f>SUBSTITUTE(B2171,CHAR(34),CHAR(92)&amp;CHAR(34))</f>
        <v xml:space="preserve"> Xe con.</v>
      </c>
      <c r="H2170" t="str">
        <f>SUBSTITUTE(B2172,CHAR(34),CHAR(92)&amp;CHAR(34))</f>
        <v>Xe con và xe mô tô.</v>
      </c>
      <c r="I2170" t="str">
        <f>SUBSTITUTE(IF(LEFT(A2173,3)="Câu","",B2173),CHAR(34),CHAR(92)&amp;CHAR(34))</f>
        <v/>
      </c>
      <c r="J2170" t="str">
        <f>SUBSTITUTE(IF(OR(LEFT(A2174,3)="Câu",I2170=""),"",IF(B2174=0,"",B2174)),CHAR(34),CHAR(92)&amp;CHAR(34))</f>
        <v/>
      </c>
      <c r="K2170" t="str">
        <f>SUBSTITUTE(SUBSTITUTE(SUBSTITUTE(SUBSTITUTE(IFERROR(VLOOKUP("Câu "&amp;D2170&amp;".",dapan!$E:$J,6,0),""),"1","A"),"2","B"),"3","C"),"4","D")</f>
        <v/>
      </c>
      <c r="P2170" t="str">
        <f t="shared" si="123"/>
        <v/>
      </c>
      <c r="Q2170" t="str">
        <f t="shared" si="124"/>
        <v/>
      </c>
    </row>
    <row r="2171" spans="1:17" hidden="1" x14ac:dyDescent="0.25">
      <c r="A2171">
        <v>3</v>
      </c>
      <c r="B2171" t="s">
        <v>1418</v>
      </c>
      <c r="C2171">
        <f>IFERROR(COUNTIFS($A$1:A2171,"Câu "&amp;"*")-MID(A2171,5,FIND(".",A2171,1)-5),0)</f>
        <v>0</v>
      </c>
      <c r="D2171" t="str">
        <f t="shared" si="126"/>
        <v/>
      </c>
      <c r="E2171" t="str">
        <f>SUBSTITUTE(IF(LEFT(A2171,3)="Câu",MID(A2171,FIND(".",A2171,1)+2,LEN(A2171)),""),CHAR(34),CHAR(92)&amp;CHAR(34))</f>
        <v/>
      </c>
      <c r="F2171" t="str">
        <f t="shared" si="125"/>
        <v/>
      </c>
      <c r="G2171" t="str">
        <f>SUBSTITUTE(B2172,CHAR(34),CHAR(92)&amp;CHAR(34))</f>
        <v>Xe con và xe mô tô.</v>
      </c>
      <c r="H2171" t="str">
        <f>SUBSTITUTE(B2173,CHAR(34),CHAR(92)&amp;CHAR(34))</f>
        <v/>
      </c>
      <c r="I2171" t="str">
        <f>SUBSTITUTE(IF(LEFT(A2174,3)="Câu","",B2174),CHAR(34),CHAR(92)&amp;CHAR(34))</f>
        <v>Các xe ở phía tay phải và tay trái của người điều khiển được phép đi thẳng.</v>
      </c>
      <c r="J2171" t="str">
        <f>SUBSTITUTE(IF(OR(LEFT(A2175,3)="Câu",I2171=""),"",IF(B2175=0,"",B2175)),CHAR(34),CHAR(92)&amp;CHAR(34))</f>
        <v>Cho phép các xe ở mọi hướng được phép rẽ phải.</v>
      </c>
      <c r="K2171" t="str">
        <f>SUBSTITUTE(SUBSTITUTE(SUBSTITUTE(SUBSTITUTE(IFERROR(VLOOKUP("Câu "&amp;D2171&amp;".",dapan!$E:$J,6,0),""),"1","A"),"2","B"),"3","C"),"4","D")</f>
        <v/>
      </c>
      <c r="P2171" t="str">
        <f t="shared" si="123"/>
        <v/>
      </c>
      <c r="Q2171" t="str">
        <f t="shared" si="124"/>
        <v/>
      </c>
    </row>
    <row r="2172" spans="1:17" hidden="1" x14ac:dyDescent="0.25">
      <c r="A2172">
        <v>4</v>
      </c>
      <c r="B2172" t="s">
        <v>1527</v>
      </c>
      <c r="C2172">
        <f>IFERROR(COUNTIFS($A$1:A2172,"Câu "&amp;"*")-MID(A2172,5,FIND(".",A2172,1)-5),0)</f>
        <v>0</v>
      </c>
      <c r="D2172" t="str">
        <f t="shared" si="126"/>
        <v/>
      </c>
      <c r="E2172" t="str">
        <f>SUBSTITUTE(IF(LEFT(A2172,3)="Câu",MID(A2172,FIND(".",A2172,1)+2,LEN(A2172)),""),CHAR(34),CHAR(92)&amp;CHAR(34))</f>
        <v/>
      </c>
      <c r="F2172" t="str">
        <f t="shared" si="125"/>
        <v/>
      </c>
      <c r="G2172" t="str">
        <f>SUBSTITUTE(B2173,CHAR(34),CHAR(92)&amp;CHAR(34))</f>
        <v/>
      </c>
      <c r="H2172" t="str">
        <f>SUBSTITUTE(B2174,CHAR(34),CHAR(92)&amp;CHAR(34))</f>
        <v>Các xe ở phía tay phải và tay trái của người điều khiển được phép đi thẳng.</v>
      </c>
      <c r="I2172" t="str">
        <f>SUBSTITUTE(IF(LEFT(A2175,3)="Câu","",B2175),CHAR(34),CHAR(92)&amp;CHAR(34))</f>
        <v>Cho phép các xe ở mọi hướng được phép rẽ phải.</v>
      </c>
      <c r="J2172" t="str">
        <f>SUBSTITUTE(IF(OR(LEFT(A2176,3)="Câu",I2172=""),"",IF(B2176=0,"",B2176)),CHAR(34),CHAR(92)&amp;CHAR(34))</f>
        <v xml:space="preserve"> Tất cả các xe phải dừng lại trước ngã tư, trừ những xe đã ở trong ngã tư được phép tiếp tục đi.</v>
      </c>
      <c r="K2172" t="str">
        <f>SUBSTITUTE(SUBSTITUTE(SUBSTITUTE(SUBSTITUTE(IFERROR(VLOOKUP("Câu "&amp;D2172&amp;".",dapan!$E:$J,6,0),""),"1","A"),"2","B"),"3","C"),"4","D")</f>
        <v/>
      </c>
      <c r="P2172" t="str">
        <f t="shared" si="123"/>
        <v/>
      </c>
      <c r="Q2172" t="str">
        <f t="shared" si="124"/>
        <v/>
      </c>
    </row>
    <row r="2173" spans="1:17" x14ac:dyDescent="0.25">
      <c r="A2173" t="s">
        <v>1528</v>
      </c>
      <c r="C2173">
        <f>IFERROR(COUNTIFS($A$1:A2173,"Câu "&amp;"*")-MID(A2173,5,FIND(".",A2173,1)-5),0)</f>
        <v>0</v>
      </c>
      <c r="D2173">
        <f t="shared" si="126"/>
        <v>528</v>
      </c>
      <c r="E2173" t="str">
        <f>SUBSTITUTE(IF(LEFT(A2173,3)="Câu",MID(A2173,FIND(".",A2173,1)+2,LEN(A2173)),""),CHAR(34),CHAR(92)&amp;CHAR(34))</f>
        <v>Các xe đi như thế nào là đúng quy tắc giao thông?</v>
      </c>
      <c r="F2173" t="str">
        <f t="shared" si="125"/>
        <v>q528.jpg</v>
      </c>
      <c r="G2173" t="str">
        <f>SUBSTITUTE(B2174,CHAR(34),CHAR(92)&amp;CHAR(34))</f>
        <v>Các xe ở phía tay phải và tay trái của người điều khiển được phép đi thẳng.</v>
      </c>
      <c r="H2173" t="str">
        <f>SUBSTITUTE(B2175,CHAR(34),CHAR(92)&amp;CHAR(34))</f>
        <v>Cho phép các xe ở mọi hướng được phép rẽ phải.</v>
      </c>
      <c r="I2173" t="str">
        <f>SUBSTITUTE(IF(LEFT(A2176,3)="Câu","",B2176),CHAR(34),CHAR(92)&amp;CHAR(34))</f>
        <v xml:space="preserve"> Tất cả các xe phải dừng lại trước ngã tư, trừ những xe đã ở trong ngã tư được phép tiếp tục đi.</v>
      </c>
      <c r="J2173" t="str">
        <f>SUBSTITUTE(IF(OR(LEFT(A2177,3)="Câu",I2173=""),"",IF(B2177=0,"",B2177)),CHAR(34),CHAR(92)&amp;CHAR(34))</f>
        <v/>
      </c>
      <c r="K2173" t="str">
        <f ca="1">SUBSTITUTE(SUBSTITUTE(SUBSTITUTE(SUBSTITUTE(IFERROR(VLOOKUP("Câu "&amp;D2173&amp;".",dapan!$E:$J,6,0),""),"1","A"),"2","B"),"3","C"),"4","D")</f>
        <v>C</v>
      </c>
      <c r="P2173">
        <f t="shared" si="123"/>
        <v>528</v>
      </c>
      <c r="Q2173" t="str">
        <f t="shared" ca="1" si="124"/>
        <v>{"num":528,"id":528,"q":"Các xe đi như thế nào là đúng quy tắc giao thông?","img":"q528.jpg","opts":{"A":"Các xe ở phía tay phải và tay trái của người điều khiển được phép đi thẳng.","B":"Cho phép các xe ở mọi hướng được phép rẽ phải.","C":" Tất cả các xe phải dừng lại trước ngã tư, trừ những xe đã ở trong ngã tư được phép tiếp tục đi."},"answer":"C"},</v>
      </c>
    </row>
    <row r="2174" spans="1:17" hidden="1" x14ac:dyDescent="0.25">
      <c r="A2174">
        <v>1</v>
      </c>
      <c r="B2174" t="s">
        <v>1529</v>
      </c>
      <c r="C2174">
        <f>IFERROR(COUNTIFS($A$1:A2174,"Câu "&amp;"*")-MID(A2174,5,FIND(".",A2174,1)-5),0)</f>
        <v>0</v>
      </c>
      <c r="D2174" t="str">
        <f t="shared" si="126"/>
        <v/>
      </c>
      <c r="E2174" t="str">
        <f>SUBSTITUTE(IF(LEFT(A2174,3)="Câu",MID(A2174,FIND(".",A2174,1)+2,LEN(A2174)),""),CHAR(34),CHAR(92)&amp;CHAR(34))</f>
        <v/>
      </c>
      <c r="F2174" t="str">
        <f t="shared" si="125"/>
        <v/>
      </c>
      <c r="G2174" t="str">
        <f>SUBSTITUTE(B2175,CHAR(34),CHAR(92)&amp;CHAR(34))</f>
        <v>Cho phép các xe ở mọi hướng được phép rẽ phải.</v>
      </c>
      <c r="H2174" t="str">
        <f>SUBSTITUTE(B2176,CHAR(34),CHAR(92)&amp;CHAR(34))</f>
        <v xml:space="preserve"> Tất cả các xe phải dừng lại trước ngã tư, trừ những xe đã ở trong ngã tư được phép tiếp tục đi.</v>
      </c>
      <c r="I2174" t="str">
        <f>SUBSTITUTE(IF(LEFT(A2177,3)="Câu","",B2177),CHAR(34),CHAR(92)&amp;CHAR(34))</f>
        <v/>
      </c>
      <c r="J2174" t="str">
        <f>SUBSTITUTE(IF(OR(LEFT(A2178,3)="Câu",I2174=""),"",IF(B2178=0,"",B2178)),CHAR(34),CHAR(92)&amp;CHAR(34))</f>
        <v/>
      </c>
      <c r="K2174" t="str">
        <f>SUBSTITUTE(SUBSTITUTE(SUBSTITUTE(SUBSTITUTE(IFERROR(VLOOKUP("Câu "&amp;D2174&amp;".",dapan!$E:$J,6,0),""),"1","A"),"2","B"),"3","C"),"4","D")</f>
        <v/>
      </c>
      <c r="P2174" t="str">
        <f t="shared" si="123"/>
        <v/>
      </c>
      <c r="Q2174" t="str">
        <f t="shared" si="124"/>
        <v/>
      </c>
    </row>
    <row r="2175" spans="1:17" hidden="1" x14ac:dyDescent="0.25">
      <c r="A2175">
        <v>2</v>
      </c>
      <c r="B2175" t="s">
        <v>1530</v>
      </c>
      <c r="C2175">
        <f>IFERROR(COUNTIFS($A$1:A2175,"Câu "&amp;"*")-MID(A2175,5,FIND(".",A2175,1)-5),0)</f>
        <v>0</v>
      </c>
      <c r="D2175" t="str">
        <f t="shared" si="126"/>
        <v/>
      </c>
      <c r="E2175" t="str">
        <f>SUBSTITUTE(IF(LEFT(A2175,3)="Câu",MID(A2175,FIND(".",A2175,1)+2,LEN(A2175)),""),CHAR(34),CHAR(92)&amp;CHAR(34))</f>
        <v/>
      </c>
      <c r="F2175" t="str">
        <f t="shared" si="125"/>
        <v/>
      </c>
      <c r="G2175" t="str">
        <f>SUBSTITUTE(B2176,CHAR(34),CHAR(92)&amp;CHAR(34))</f>
        <v xml:space="preserve"> Tất cả các xe phải dừng lại trước ngã tư, trừ những xe đã ở trong ngã tư được phép tiếp tục đi.</v>
      </c>
      <c r="H2175" t="str">
        <f>SUBSTITUTE(B2177,CHAR(34),CHAR(92)&amp;CHAR(34))</f>
        <v/>
      </c>
      <c r="I2175" t="str">
        <f>SUBSTITUTE(IF(LEFT(A2178,3)="Câu","",B2178),CHAR(34),CHAR(92)&amp;CHAR(34))</f>
        <v>Xe mô tô, xe con.</v>
      </c>
      <c r="J2175" t="str">
        <f>SUBSTITUTE(IF(OR(LEFT(A2179,3)="Câu",I2175=""),"",IF(B2179=0,"",B2179)),CHAR(34),CHAR(92)&amp;CHAR(34))</f>
        <v>Xe con, xe tải.</v>
      </c>
      <c r="K2175" t="str">
        <f>SUBSTITUTE(SUBSTITUTE(SUBSTITUTE(SUBSTITUTE(IFERROR(VLOOKUP("Câu "&amp;D2175&amp;".",dapan!$E:$J,6,0),""),"1","A"),"2","B"),"3","C"),"4","D")</f>
        <v/>
      </c>
      <c r="P2175" t="str">
        <f t="shared" si="123"/>
        <v/>
      </c>
      <c r="Q2175" t="str">
        <f t="shared" si="124"/>
        <v/>
      </c>
    </row>
    <row r="2176" spans="1:17" hidden="1" x14ac:dyDescent="0.25">
      <c r="A2176">
        <v>3</v>
      </c>
      <c r="B2176" t="s">
        <v>1531</v>
      </c>
      <c r="C2176">
        <f>IFERROR(COUNTIFS($A$1:A2176,"Câu "&amp;"*")-MID(A2176,5,FIND(".",A2176,1)-5),0)</f>
        <v>0</v>
      </c>
      <c r="D2176" t="str">
        <f t="shared" si="126"/>
        <v/>
      </c>
      <c r="E2176" t="str">
        <f>SUBSTITUTE(IF(LEFT(A2176,3)="Câu",MID(A2176,FIND(".",A2176,1)+2,LEN(A2176)),""),CHAR(34),CHAR(92)&amp;CHAR(34))</f>
        <v/>
      </c>
      <c r="F2176" t="str">
        <f t="shared" si="125"/>
        <v/>
      </c>
      <c r="G2176" t="str">
        <f>SUBSTITUTE(B2177,CHAR(34),CHAR(92)&amp;CHAR(34))</f>
        <v/>
      </c>
      <c r="H2176" t="str">
        <f>SUBSTITUTE(B2178,CHAR(34),CHAR(92)&amp;CHAR(34))</f>
        <v>Xe mô tô, xe con.</v>
      </c>
      <c r="I2176" t="str">
        <f>SUBSTITUTE(IF(LEFT(A2179,3)="Câu","",B2179),CHAR(34),CHAR(92)&amp;CHAR(34))</f>
        <v>Xe con, xe tải.</v>
      </c>
      <c r="J2176" t="str">
        <f>SUBSTITUTE(IF(OR(LEFT(A2180,3)="Câu",I2176=""),"",IF(B2180=0,"",B2180)),CHAR(34),CHAR(92)&amp;CHAR(34))</f>
        <v xml:space="preserve"> Xe mô tô, xe tải.</v>
      </c>
      <c r="K2176" t="str">
        <f>SUBSTITUTE(SUBSTITUTE(SUBSTITUTE(SUBSTITUTE(IFERROR(VLOOKUP("Câu "&amp;D2176&amp;".",dapan!$E:$J,6,0),""),"1","A"),"2","B"),"3","C"),"4","D")</f>
        <v/>
      </c>
      <c r="P2176" t="str">
        <f t="shared" si="123"/>
        <v/>
      </c>
      <c r="Q2176" t="str">
        <f t="shared" si="124"/>
        <v/>
      </c>
    </row>
    <row r="2177" spans="1:17" x14ac:dyDescent="0.25">
      <c r="A2177" t="s">
        <v>1532</v>
      </c>
      <c r="C2177">
        <f>IFERROR(COUNTIFS($A$1:A2177,"Câu "&amp;"*")-MID(A2177,5,FIND(".",A2177,1)-5),0)</f>
        <v>0</v>
      </c>
      <c r="D2177">
        <f t="shared" si="126"/>
        <v>529</v>
      </c>
      <c r="E2177" t="str">
        <f>SUBSTITUTE(IF(LEFT(A2177,3)="Câu",MID(A2177,FIND(".",A2177,1)+2,LEN(A2177)),""),CHAR(34),CHAR(92)&amp;CHAR(34))</f>
        <v>Theo hướng mũi tên, xe nào được phép đi?</v>
      </c>
      <c r="F2177" t="str">
        <f t="shared" si="125"/>
        <v>q529.jpg</v>
      </c>
      <c r="G2177" t="str">
        <f>SUBSTITUTE(B2178,CHAR(34),CHAR(92)&amp;CHAR(34))</f>
        <v>Xe mô tô, xe con.</v>
      </c>
      <c r="H2177" t="str">
        <f>SUBSTITUTE(B2179,CHAR(34),CHAR(92)&amp;CHAR(34))</f>
        <v>Xe con, xe tải.</v>
      </c>
      <c r="I2177" t="str">
        <f>SUBSTITUTE(IF(LEFT(A2180,3)="Câu","",B2180),CHAR(34),CHAR(92)&amp;CHAR(34))</f>
        <v xml:space="preserve"> Xe mô tô, xe tải.</v>
      </c>
      <c r="J2177" t="str">
        <f>SUBSTITUTE(IF(OR(LEFT(A2181,3)="Câu",I2177=""),"",IF(B2181=0,"",B2181)),CHAR(34),CHAR(92)&amp;CHAR(34))</f>
        <v>Cả ba xe.</v>
      </c>
      <c r="K2177" t="str">
        <f ca="1">SUBSTITUTE(SUBSTITUTE(SUBSTITUTE(SUBSTITUTE(IFERROR(VLOOKUP("Câu "&amp;D2177&amp;".",dapan!$E:$J,6,0),""),"1","A"),"2","B"),"3","C"),"4","D")</f>
        <v>C</v>
      </c>
      <c r="P2177">
        <f t="shared" si="123"/>
        <v>529</v>
      </c>
      <c r="Q2177" t="str">
        <f t="shared" ca="1" si="124"/>
        <v>{"num":529,"id":529,"q":"Theo hướng mũi tên, xe nào được phép đi?","img":"q529.jpg","opts":{"A":"Xe mô tô, xe con.","B":"Xe con, xe tải.","C":" Xe mô tô, xe tải.","D":"Cả ba xe."},"answer":"C"},</v>
      </c>
    </row>
    <row r="2178" spans="1:17" hidden="1" x14ac:dyDescent="0.25">
      <c r="A2178">
        <v>1</v>
      </c>
      <c r="B2178" t="s">
        <v>1533</v>
      </c>
      <c r="C2178">
        <f>IFERROR(COUNTIFS($A$1:A2178,"Câu "&amp;"*")-MID(A2178,5,FIND(".",A2178,1)-5),0)</f>
        <v>0</v>
      </c>
      <c r="D2178" t="str">
        <f t="shared" si="126"/>
        <v/>
      </c>
      <c r="E2178" t="str">
        <f>SUBSTITUTE(IF(LEFT(A2178,3)="Câu",MID(A2178,FIND(".",A2178,1)+2,LEN(A2178)),""),CHAR(34),CHAR(92)&amp;CHAR(34))</f>
        <v/>
      </c>
      <c r="F2178" t="str">
        <f t="shared" si="125"/>
        <v/>
      </c>
      <c r="G2178" t="str">
        <f>SUBSTITUTE(B2179,CHAR(34),CHAR(92)&amp;CHAR(34))</f>
        <v>Xe con, xe tải.</v>
      </c>
      <c r="H2178" t="str">
        <f>SUBSTITUTE(B2180,CHAR(34),CHAR(92)&amp;CHAR(34))</f>
        <v xml:space="preserve"> Xe mô tô, xe tải.</v>
      </c>
      <c r="I2178" t="str">
        <f>SUBSTITUTE(IF(LEFT(A2181,3)="Câu","",B2181),CHAR(34),CHAR(92)&amp;CHAR(34))</f>
        <v>Cả ba xe.</v>
      </c>
      <c r="J2178" t="str">
        <f>SUBSTITUTE(IF(OR(LEFT(A2182,3)="Câu",I2178=""),"",IF(B2182=0,"",B2182)),CHAR(34),CHAR(92)&amp;CHAR(34))</f>
        <v/>
      </c>
      <c r="K2178" t="str">
        <f>SUBSTITUTE(SUBSTITUTE(SUBSTITUTE(SUBSTITUTE(IFERROR(VLOOKUP("Câu "&amp;D2178&amp;".",dapan!$E:$J,6,0),""),"1","A"),"2","B"),"3","C"),"4","D")</f>
        <v/>
      </c>
      <c r="P2178" t="str">
        <f t="shared" si="123"/>
        <v/>
      </c>
      <c r="Q2178" t="str">
        <f t="shared" si="124"/>
        <v/>
      </c>
    </row>
    <row r="2179" spans="1:17" hidden="1" x14ac:dyDescent="0.25">
      <c r="A2179">
        <v>2</v>
      </c>
      <c r="B2179" t="s">
        <v>1534</v>
      </c>
      <c r="C2179">
        <f>IFERROR(COUNTIFS($A$1:A2179,"Câu "&amp;"*")-MID(A2179,5,FIND(".",A2179,1)-5),0)</f>
        <v>0</v>
      </c>
      <c r="D2179" t="str">
        <f t="shared" si="126"/>
        <v/>
      </c>
      <c r="E2179" t="str">
        <f>SUBSTITUTE(IF(LEFT(A2179,3)="Câu",MID(A2179,FIND(".",A2179,1)+2,LEN(A2179)),""),CHAR(34),CHAR(92)&amp;CHAR(34))</f>
        <v/>
      </c>
      <c r="F2179" t="str">
        <f t="shared" si="125"/>
        <v/>
      </c>
      <c r="G2179" t="str">
        <f>SUBSTITUTE(B2180,CHAR(34),CHAR(92)&amp;CHAR(34))</f>
        <v xml:space="preserve"> Xe mô tô, xe tải.</v>
      </c>
      <c r="H2179" t="str">
        <f>SUBSTITUTE(B2181,CHAR(34),CHAR(92)&amp;CHAR(34))</f>
        <v>Cả ba xe.</v>
      </c>
      <c r="I2179" t="str">
        <f>SUBSTITUTE(IF(LEFT(A2182,3)="Câu","",B2182),CHAR(34),CHAR(92)&amp;CHAR(34))</f>
        <v/>
      </c>
      <c r="J2179" t="str">
        <f>SUBSTITUTE(IF(OR(LEFT(A2183,3)="Câu",I2179=""),"",IF(B2183=0,"",B2183)),CHAR(34),CHAR(92)&amp;CHAR(34))</f>
        <v/>
      </c>
      <c r="K2179" t="str">
        <f>SUBSTITUTE(SUBSTITUTE(SUBSTITUTE(SUBSTITUTE(IFERROR(VLOOKUP("Câu "&amp;D2179&amp;".",dapan!$E:$J,6,0),""),"1","A"),"2","B"),"3","C"),"4","D")</f>
        <v/>
      </c>
      <c r="P2179" t="str">
        <f t="shared" ref="P2179:P2242" si="127">D2179</f>
        <v/>
      </c>
      <c r="Q2179" t="str">
        <f t="shared" ref="Q2179:Q2242" si="128">IF(D2179="","",CHAR(123)&amp;CHAR(34)&amp;"num"&amp;CHAR(34)&amp;":"&amp;P2179&amp;","&amp;CHAR(34)&amp;"id"&amp;CHAR(34)&amp;":"&amp;D2179&amp;","
&amp;CHAR(34)&amp;"q"&amp;CHAR(34)&amp;":"&amp;CHAR(34)&amp;E2179&amp;CHAR(34)&amp;","
&amp;IF(F2179="","",CHAR(34)&amp;"img"&amp;CHAR(34)&amp;":"&amp;CHAR(34)&amp;F2179&amp;CHAR(34)&amp;",")
&amp;CHAR(34)&amp;"opts"&amp;CHAR(34)&amp;":"&amp;CHAR(123)&amp;CHAR(34)&amp;"A"&amp;CHAR(34)&amp;":"&amp;CHAR(34)&amp;G2179&amp;CHAR(34)&amp;","&amp;CHAR(34)&amp;"B"&amp;CHAR(34)&amp;":"&amp;CHAR(34)&amp;H2179&amp;CHAR(34)
&amp;IF(I2179="","",","&amp;CHAR(34)&amp;"C"&amp;CHAR(34)&amp;":"&amp;CHAR(34)&amp;I2179&amp;CHAR(34))&amp;IF(J2179="","",","&amp;CHAR(34)&amp;"D"&amp;CHAR(34)&amp;":"&amp;CHAR(34)&amp;J2179&amp;CHAR(34))&amp;CHAR(125)&amp;","
&amp;CHAR(34)&amp;"answer"&amp;CHAR(34)&amp;":"&amp;CHAR(34)&amp;K2179&amp;CHAR(34)
&amp;IF(L2179="","",","&amp;CHAR(34)&amp;"danger"&amp;CHAR(34)&amp;":"&amp;CHAR(34)&amp;"true"&amp;CHAR(34))
&amp;IF(M2179="","",","&amp;CHAR(34)&amp;"explain"&amp;CHAR(34)&amp;":"&amp;CHAR(34)&amp;M2179&amp;CHAR(34))
&amp;IF(N2179="","",","&amp;CHAR(34)&amp;"explainImg"&amp;CHAR(34)&amp;":"&amp;CHAR(34)&amp;N2179&amp;CHAR(34))
&amp;IF(O2179="","",","&amp;CHAR(34)&amp;"shuffle"&amp;CHAR(34)&amp;":"&amp;CHAR(34)&amp;"false"&amp;CHAR(34))&amp;CHAR(125)&amp;",")</f>
        <v/>
      </c>
    </row>
    <row r="2180" spans="1:17" hidden="1" x14ac:dyDescent="0.25">
      <c r="A2180">
        <v>3</v>
      </c>
      <c r="B2180" t="s">
        <v>1535</v>
      </c>
      <c r="C2180">
        <f>IFERROR(COUNTIFS($A$1:A2180,"Câu "&amp;"*")-MID(A2180,5,FIND(".",A2180,1)-5),0)</f>
        <v>0</v>
      </c>
      <c r="D2180" t="str">
        <f t="shared" si="126"/>
        <v/>
      </c>
      <c r="E2180" t="str">
        <f>SUBSTITUTE(IF(LEFT(A2180,3)="Câu",MID(A2180,FIND(".",A2180,1)+2,LEN(A2180)),""),CHAR(34),CHAR(92)&amp;CHAR(34))</f>
        <v/>
      </c>
      <c r="F2180" t="str">
        <f t="shared" si="125"/>
        <v/>
      </c>
      <c r="G2180" t="str">
        <f>SUBSTITUTE(B2181,CHAR(34),CHAR(92)&amp;CHAR(34))</f>
        <v>Cả ba xe.</v>
      </c>
      <c r="H2180" t="str">
        <f>SUBSTITUTE(B2182,CHAR(34),CHAR(92)&amp;CHAR(34))</f>
        <v/>
      </c>
      <c r="I2180" t="str">
        <f>SUBSTITUTE(IF(LEFT(A2183,3)="Câu","",B2183),CHAR(34),CHAR(92)&amp;CHAR(34))</f>
        <v xml:space="preserve"> Đúng.</v>
      </c>
      <c r="J2180" t="str">
        <f>SUBSTITUTE(IF(OR(LEFT(A2184,3)="Câu",I2180=""),"",IF(B2184=0,"",B2184)),CHAR(34),CHAR(92)&amp;CHAR(34))</f>
        <v>Không đúng.</v>
      </c>
      <c r="K2180" t="str">
        <f>SUBSTITUTE(SUBSTITUTE(SUBSTITUTE(SUBSTITUTE(IFERROR(VLOOKUP("Câu "&amp;D2180&amp;".",dapan!$E:$J,6,0),""),"1","A"),"2","B"),"3","C"),"4","D")</f>
        <v/>
      </c>
      <c r="P2180" t="str">
        <f t="shared" si="127"/>
        <v/>
      </c>
      <c r="Q2180" t="str">
        <f t="shared" si="128"/>
        <v/>
      </c>
    </row>
    <row r="2181" spans="1:17" hidden="1" x14ac:dyDescent="0.25">
      <c r="A2181">
        <v>4</v>
      </c>
      <c r="B2181" t="s">
        <v>1462</v>
      </c>
      <c r="C2181">
        <f>IFERROR(COUNTIFS($A$1:A2181,"Câu "&amp;"*")-MID(A2181,5,FIND(".",A2181,1)-5),0)</f>
        <v>0</v>
      </c>
      <c r="D2181" t="str">
        <f t="shared" si="126"/>
        <v/>
      </c>
      <c r="E2181" t="str">
        <f>SUBSTITUTE(IF(LEFT(A2181,3)="Câu",MID(A2181,FIND(".",A2181,1)+2,LEN(A2181)),""),CHAR(34),CHAR(92)&amp;CHAR(34))</f>
        <v/>
      </c>
      <c r="F2181" t="str">
        <f t="shared" si="125"/>
        <v/>
      </c>
      <c r="G2181" t="str">
        <f>SUBSTITUTE(B2182,CHAR(34),CHAR(92)&amp;CHAR(34))</f>
        <v/>
      </c>
      <c r="H2181" t="str">
        <f>SUBSTITUTE(B2183,CHAR(34),CHAR(92)&amp;CHAR(34))</f>
        <v xml:space="preserve"> Đúng.</v>
      </c>
      <c r="I2181" t="str">
        <f>SUBSTITUTE(IF(LEFT(A2184,3)="Câu","",B2184),CHAR(34),CHAR(92)&amp;CHAR(34))</f>
        <v>Không đúng.</v>
      </c>
      <c r="J2181" t="str">
        <f>SUBSTITUTE(IF(OR(LEFT(A2185,3)="Câu",I2181=""),"",IF(B2185=0,"",B2185)),CHAR(34),CHAR(92)&amp;CHAR(34))</f>
        <v/>
      </c>
      <c r="K2181" t="str">
        <f>SUBSTITUTE(SUBSTITUTE(SUBSTITUTE(SUBSTITUTE(IFERROR(VLOOKUP("Câu "&amp;D2181&amp;".",dapan!$E:$J,6,0),""),"1","A"),"2","B"),"3","C"),"4","D")</f>
        <v/>
      </c>
      <c r="P2181" t="str">
        <f t="shared" si="127"/>
        <v/>
      </c>
      <c r="Q2181" t="str">
        <f t="shared" si="128"/>
        <v/>
      </c>
    </row>
    <row r="2182" spans="1:17" x14ac:dyDescent="0.25">
      <c r="A2182" t="s">
        <v>1536</v>
      </c>
      <c r="C2182">
        <f>IFERROR(COUNTIFS($A$1:A2182,"Câu "&amp;"*")-MID(A2182,5,FIND(".",A2182,1)-5),0)</f>
        <v>0</v>
      </c>
      <c r="D2182">
        <f t="shared" si="126"/>
        <v>530</v>
      </c>
      <c r="E2182" t="str">
        <f>SUBSTITUTE(IF(LEFT(A2182,3)="Câu",MID(A2182,FIND(".",A2182,1)+2,LEN(A2182)),""),CHAR(34),CHAR(92)&amp;CHAR(34))</f>
        <v>Xe con vượt xe tải như trường hợp này có đúng không?</v>
      </c>
      <c r="F2182" t="str">
        <f t="shared" si="125"/>
        <v>q530.jpg</v>
      </c>
      <c r="G2182" t="str">
        <f>SUBSTITUTE(B2183,CHAR(34),CHAR(92)&amp;CHAR(34))</f>
        <v xml:space="preserve"> Đúng.</v>
      </c>
      <c r="H2182" t="str">
        <f>SUBSTITUTE(B2184,CHAR(34),CHAR(92)&amp;CHAR(34))</f>
        <v>Không đúng.</v>
      </c>
      <c r="I2182" t="str">
        <f>SUBSTITUTE(IF(LEFT(A2185,3)="Câu","",B2185),CHAR(34),CHAR(92)&amp;CHAR(34))</f>
        <v/>
      </c>
      <c r="J2182" t="str">
        <f>SUBSTITUTE(IF(OR(LEFT(A2186,3)="Câu",I2182=""),"",IF(B2186=0,"",B2186)),CHAR(34),CHAR(92)&amp;CHAR(34))</f>
        <v/>
      </c>
      <c r="K2182" t="str">
        <f ca="1">SUBSTITUTE(SUBSTITUTE(SUBSTITUTE(SUBSTITUTE(IFERROR(VLOOKUP("Câu "&amp;D2182&amp;".",dapan!$E:$J,6,0),""),"1","A"),"2","B"),"3","C"),"4","D")</f>
        <v>A</v>
      </c>
      <c r="P2182">
        <f t="shared" si="127"/>
        <v>530</v>
      </c>
      <c r="Q2182" t="str">
        <f t="shared" ca="1" si="128"/>
        <v>{"num":530,"id":530,"q":"Xe con vượt xe tải như trường hợp này có đúng không?","img":"q530.jpg","opts":{"A":" Đúng.","B":"Không đúng."},"answer":"A"},</v>
      </c>
    </row>
    <row r="2183" spans="1:17" hidden="1" x14ac:dyDescent="0.25">
      <c r="A2183">
        <v>1</v>
      </c>
      <c r="B2183" t="s">
        <v>831</v>
      </c>
      <c r="C2183">
        <f>IFERROR(COUNTIFS($A$1:A2183,"Câu "&amp;"*")-MID(A2183,5,FIND(".",A2183,1)-5),0)</f>
        <v>0</v>
      </c>
      <c r="D2183" t="str">
        <f t="shared" si="126"/>
        <v/>
      </c>
      <c r="E2183" t="str">
        <f>SUBSTITUTE(IF(LEFT(A2183,3)="Câu",MID(A2183,FIND(".",A2183,1)+2,LEN(A2183)),""),CHAR(34),CHAR(92)&amp;CHAR(34))</f>
        <v/>
      </c>
      <c r="F2183" t="str">
        <f t="shared" si="125"/>
        <v/>
      </c>
      <c r="G2183" t="str">
        <f>SUBSTITUTE(B2184,CHAR(34),CHAR(92)&amp;CHAR(34))</f>
        <v>Không đúng.</v>
      </c>
      <c r="H2183" t="str">
        <f>SUBSTITUTE(B2185,CHAR(34),CHAR(92)&amp;CHAR(34))</f>
        <v/>
      </c>
      <c r="I2183" t="str">
        <f>SUBSTITUTE(IF(LEFT(A2186,3)="Câu","",B2186),CHAR(34),CHAR(92)&amp;CHAR(34))</f>
        <v>Xe tải.</v>
      </c>
      <c r="J2183" t="str">
        <f>SUBSTITUTE(IF(OR(LEFT(A2187,3)="Câu",I2183=""),"",IF(B2187=0,"",B2187)),CHAR(34),CHAR(92)&amp;CHAR(34))</f>
        <v>Cả hai xe.</v>
      </c>
      <c r="K2183" t="str">
        <f>SUBSTITUTE(SUBSTITUTE(SUBSTITUTE(SUBSTITUTE(IFERROR(VLOOKUP("Câu "&amp;D2183&amp;".",dapan!$E:$J,6,0),""),"1","A"),"2","B"),"3","C"),"4","D")</f>
        <v/>
      </c>
      <c r="P2183" t="str">
        <f t="shared" si="127"/>
        <v/>
      </c>
      <c r="Q2183" t="str">
        <f t="shared" si="128"/>
        <v/>
      </c>
    </row>
    <row r="2184" spans="1:17" hidden="1" x14ac:dyDescent="0.25">
      <c r="A2184">
        <v>2</v>
      </c>
      <c r="B2184" t="s">
        <v>830</v>
      </c>
      <c r="C2184">
        <f>IFERROR(COUNTIFS($A$1:A2184,"Câu "&amp;"*")-MID(A2184,5,FIND(".",A2184,1)-5),0)</f>
        <v>0</v>
      </c>
      <c r="D2184" t="str">
        <f t="shared" si="126"/>
        <v/>
      </c>
      <c r="E2184" t="str">
        <f>SUBSTITUTE(IF(LEFT(A2184,3)="Câu",MID(A2184,FIND(".",A2184,1)+2,LEN(A2184)),""),CHAR(34),CHAR(92)&amp;CHAR(34))</f>
        <v/>
      </c>
      <c r="F2184" t="str">
        <f t="shared" si="125"/>
        <v/>
      </c>
      <c r="G2184" t="str">
        <f>SUBSTITUTE(B2185,CHAR(34),CHAR(92)&amp;CHAR(34))</f>
        <v/>
      </c>
      <c r="H2184" t="str">
        <f>SUBSTITUTE(B2186,CHAR(34),CHAR(92)&amp;CHAR(34))</f>
        <v>Xe tải.</v>
      </c>
      <c r="I2184" t="str">
        <f>SUBSTITUTE(IF(LEFT(A2187,3)="Câu","",B2187),CHAR(34),CHAR(92)&amp;CHAR(34))</f>
        <v>Cả hai xe.</v>
      </c>
      <c r="J2184" t="str">
        <f>SUBSTITUTE(IF(OR(LEFT(A2188,3)="Câu",I2184=""),"",IF(B2188=0,"",B2188)),CHAR(34),CHAR(92)&amp;CHAR(34))</f>
        <v xml:space="preserve"> Xe con.</v>
      </c>
      <c r="K2184" t="str">
        <f>SUBSTITUTE(SUBSTITUTE(SUBSTITUTE(SUBSTITUTE(IFERROR(VLOOKUP("Câu "&amp;D2184&amp;".",dapan!$E:$J,6,0),""),"1","A"),"2","B"),"3","C"),"4","D")</f>
        <v/>
      </c>
      <c r="P2184" t="str">
        <f t="shared" si="127"/>
        <v/>
      </c>
      <c r="Q2184" t="str">
        <f t="shared" si="128"/>
        <v/>
      </c>
    </row>
    <row r="2185" spans="1:17" x14ac:dyDescent="0.25">
      <c r="A2185" t="s">
        <v>1537</v>
      </c>
      <c r="C2185">
        <f>IFERROR(COUNTIFS($A$1:A2185,"Câu "&amp;"*")-MID(A2185,5,FIND(".",A2185,1)-5),0)</f>
        <v>0</v>
      </c>
      <c r="D2185">
        <f t="shared" si="126"/>
        <v>531</v>
      </c>
      <c r="E2185" t="str">
        <f>SUBSTITUTE(IF(LEFT(A2185,3)="Câu",MID(A2185,FIND(".",A2185,1)+2,LEN(A2185)),""),CHAR(34),CHAR(92)&amp;CHAR(34))</f>
        <v>Xe nào vượt đúng quy tắc giao thông?</v>
      </c>
      <c r="F2185" t="str">
        <f t="shared" si="125"/>
        <v>q531.jpg</v>
      </c>
      <c r="G2185" t="str">
        <f>SUBSTITUTE(B2186,CHAR(34),CHAR(92)&amp;CHAR(34))</f>
        <v>Xe tải.</v>
      </c>
      <c r="H2185" t="str">
        <f>SUBSTITUTE(B2187,CHAR(34),CHAR(92)&amp;CHAR(34))</f>
        <v>Cả hai xe.</v>
      </c>
      <c r="I2185" t="str">
        <f>SUBSTITUTE(IF(LEFT(A2188,3)="Câu","",B2188),CHAR(34),CHAR(92)&amp;CHAR(34))</f>
        <v xml:space="preserve"> Xe con.</v>
      </c>
      <c r="J2185" t="str">
        <f>SUBSTITUTE(IF(OR(LEFT(A2189,3)="Câu",I2185=""),"",IF(B2189=0,"",B2189)),CHAR(34),CHAR(92)&amp;CHAR(34))</f>
        <v/>
      </c>
      <c r="K2185" t="str">
        <f ca="1">SUBSTITUTE(SUBSTITUTE(SUBSTITUTE(SUBSTITUTE(IFERROR(VLOOKUP("Câu "&amp;D2185&amp;".",dapan!$E:$J,6,0),""),"1","A"),"2","B"),"3","C"),"4","D")</f>
        <v>C</v>
      </c>
      <c r="P2185">
        <f t="shared" si="127"/>
        <v>531</v>
      </c>
      <c r="Q2185" t="str">
        <f t="shared" ca="1" si="128"/>
        <v>{"num":531,"id":531,"q":"Xe nào vượt đúng quy tắc giao thông?","img":"q531.jpg","opts":{"A":"Xe tải.","B":"Cả hai xe.","C":" Xe con."},"answer":"C"},</v>
      </c>
    </row>
    <row r="2186" spans="1:17" hidden="1" x14ac:dyDescent="0.25">
      <c r="A2186">
        <v>1</v>
      </c>
      <c r="B2186" t="s">
        <v>1419</v>
      </c>
      <c r="C2186">
        <f>IFERROR(COUNTIFS($A$1:A2186,"Câu "&amp;"*")-MID(A2186,5,FIND(".",A2186,1)-5),0)</f>
        <v>0</v>
      </c>
      <c r="D2186" t="str">
        <f t="shared" si="126"/>
        <v/>
      </c>
      <c r="E2186" t="str">
        <f>SUBSTITUTE(IF(LEFT(A2186,3)="Câu",MID(A2186,FIND(".",A2186,1)+2,LEN(A2186)),""),CHAR(34),CHAR(92)&amp;CHAR(34))</f>
        <v/>
      </c>
      <c r="F2186" t="str">
        <f t="shared" si="125"/>
        <v/>
      </c>
      <c r="G2186" t="str">
        <f>SUBSTITUTE(B2187,CHAR(34),CHAR(92)&amp;CHAR(34))</f>
        <v>Cả hai xe.</v>
      </c>
      <c r="H2186" t="str">
        <f>SUBSTITUTE(B2188,CHAR(34),CHAR(92)&amp;CHAR(34))</f>
        <v xml:space="preserve"> Xe con.</v>
      </c>
      <c r="I2186" t="str">
        <f>SUBSTITUTE(IF(LEFT(A2189,3)="Câu","",B2189),CHAR(34),CHAR(92)&amp;CHAR(34))</f>
        <v/>
      </c>
      <c r="J2186" t="str">
        <f>SUBSTITUTE(IF(OR(LEFT(A2190,3)="Câu",I2186=""),"",IF(B2190=0,"",B2190)),CHAR(34),CHAR(92)&amp;CHAR(34))</f>
        <v/>
      </c>
      <c r="K2186" t="str">
        <f>SUBSTITUTE(SUBSTITUTE(SUBSTITUTE(SUBSTITUTE(IFERROR(VLOOKUP("Câu "&amp;D2186&amp;".",dapan!$E:$J,6,0),""),"1","A"),"2","B"),"3","C"),"4","D")</f>
        <v/>
      </c>
      <c r="P2186" t="str">
        <f t="shared" si="127"/>
        <v/>
      </c>
      <c r="Q2186" t="str">
        <f t="shared" si="128"/>
        <v/>
      </c>
    </row>
    <row r="2187" spans="1:17" hidden="1" x14ac:dyDescent="0.25">
      <c r="A2187">
        <v>2</v>
      </c>
      <c r="B2187" t="s">
        <v>1538</v>
      </c>
      <c r="C2187">
        <f>IFERROR(COUNTIFS($A$1:A2187,"Câu "&amp;"*")-MID(A2187,5,FIND(".",A2187,1)-5),0)</f>
        <v>0</v>
      </c>
      <c r="D2187" t="str">
        <f t="shared" si="126"/>
        <v/>
      </c>
      <c r="E2187" t="str">
        <f>SUBSTITUTE(IF(LEFT(A2187,3)="Câu",MID(A2187,FIND(".",A2187,1)+2,LEN(A2187)),""),CHAR(34),CHAR(92)&amp;CHAR(34))</f>
        <v/>
      </c>
      <c r="F2187" t="str">
        <f t="shared" si="125"/>
        <v/>
      </c>
      <c r="G2187" t="str">
        <f>SUBSTITUTE(B2188,CHAR(34),CHAR(92)&amp;CHAR(34))</f>
        <v xml:space="preserve"> Xe con.</v>
      </c>
      <c r="H2187" t="str">
        <f>SUBSTITUTE(B2189,CHAR(34),CHAR(92)&amp;CHAR(34))</f>
        <v/>
      </c>
      <c r="I2187" t="str">
        <f>SUBSTITUTE(IF(LEFT(A2190,3)="Câu","",B2190),CHAR(34),CHAR(92)&amp;CHAR(34))</f>
        <v>Xe chữa cháy đi làm nhiệm vụ chữa cháy.</v>
      </c>
      <c r="J2187" t="str">
        <f>SUBSTITUTE(IF(OR(LEFT(A2191,3)="Câu",I2187=""),"",IF(B2191=0,"",B2191)),CHAR(34),CHAR(92)&amp;CHAR(34))</f>
        <v xml:space="preserve"> Xe tải.</v>
      </c>
      <c r="K2187" t="str">
        <f>SUBSTITUTE(SUBSTITUTE(SUBSTITUTE(SUBSTITUTE(IFERROR(VLOOKUP("Câu "&amp;D2187&amp;".",dapan!$E:$J,6,0),""),"1","A"),"2","B"),"3","C"),"4","D")</f>
        <v/>
      </c>
      <c r="P2187" t="str">
        <f t="shared" si="127"/>
        <v/>
      </c>
      <c r="Q2187" t="str">
        <f t="shared" si="128"/>
        <v/>
      </c>
    </row>
    <row r="2188" spans="1:17" hidden="1" x14ac:dyDescent="0.25">
      <c r="A2188">
        <v>3</v>
      </c>
      <c r="B2188" t="s">
        <v>1418</v>
      </c>
      <c r="C2188">
        <f>IFERROR(COUNTIFS($A$1:A2188,"Câu "&amp;"*")-MID(A2188,5,FIND(".",A2188,1)-5),0)</f>
        <v>0</v>
      </c>
      <c r="D2188" t="str">
        <f t="shared" si="126"/>
        <v/>
      </c>
      <c r="E2188" t="str">
        <f>SUBSTITUTE(IF(LEFT(A2188,3)="Câu",MID(A2188,FIND(".",A2188,1)+2,LEN(A2188)),""),CHAR(34),CHAR(92)&amp;CHAR(34))</f>
        <v/>
      </c>
      <c r="F2188" t="str">
        <f t="shared" si="125"/>
        <v/>
      </c>
      <c r="G2188" t="str">
        <f>SUBSTITUTE(B2189,CHAR(34),CHAR(92)&amp;CHAR(34))</f>
        <v/>
      </c>
      <c r="H2188" t="str">
        <f>SUBSTITUTE(B2190,CHAR(34),CHAR(92)&amp;CHAR(34))</f>
        <v>Xe chữa cháy đi làm nhiệm vụ chữa cháy.</v>
      </c>
      <c r="I2188" t="str">
        <f>SUBSTITUTE(IF(LEFT(A2191,3)="Câu","",B2191),CHAR(34),CHAR(92)&amp;CHAR(34))</f>
        <v xml:space="preserve"> Xe tải.</v>
      </c>
      <c r="J2188" t="str">
        <f>SUBSTITUTE(IF(OR(LEFT(A2192,3)="Câu",I2188=""),"",IF(B2192=0,"",B2192)),CHAR(34),CHAR(92)&amp;CHAR(34))</f>
        <v>Cả hai xe.</v>
      </c>
      <c r="K2188" t="str">
        <f>SUBSTITUTE(SUBSTITUTE(SUBSTITUTE(SUBSTITUTE(IFERROR(VLOOKUP("Câu "&amp;D2188&amp;".",dapan!$E:$J,6,0),""),"1","A"),"2","B"),"3","C"),"4","D")</f>
        <v/>
      </c>
      <c r="P2188" t="str">
        <f t="shared" si="127"/>
        <v/>
      </c>
      <c r="Q2188" t="str">
        <f t="shared" si="128"/>
        <v/>
      </c>
    </row>
    <row r="2189" spans="1:17" x14ac:dyDescent="0.25">
      <c r="A2189" t="s">
        <v>1539</v>
      </c>
      <c r="C2189">
        <f>IFERROR(COUNTIFS($A$1:A2189,"Câu "&amp;"*")-MID(A2189,5,FIND(".",A2189,1)-5),0)</f>
        <v>0</v>
      </c>
      <c r="D2189">
        <f t="shared" si="126"/>
        <v>532</v>
      </c>
      <c r="E2189" t="str">
        <f>SUBSTITUTE(IF(LEFT(A2189,3)="Câu",MID(A2189,FIND(".",A2189,1)+2,LEN(A2189)),""),CHAR(34),CHAR(92)&amp;CHAR(34))</f>
        <v>Đi theo hướng mũi tên, xe nào vi phạm quy tắc giao thông?</v>
      </c>
      <c r="F2189" t="str">
        <f t="shared" si="125"/>
        <v>q532.jpg</v>
      </c>
      <c r="G2189" t="str">
        <f>SUBSTITUTE(B2190,CHAR(34),CHAR(92)&amp;CHAR(34))</f>
        <v>Xe chữa cháy đi làm nhiệm vụ chữa cháy.</v>
      </c>
      <c r="H2189" t="str">
        <f>SUBSTITUTE(B2191,CHAR(34),CHAR(92)&amp;CHAR(34))</f>
        <v xml:space="preserve"> Xe tải.</v>
      </c>
      <c r="I2189" t="str">
        <f>SUBSTITUTE(IF(LEFT(A2192,3)="Câu","",B2192),CHAR(34),CHAR(92)&amp;CHAR(34))</f>
        <v>Cả hai xe.</v>
      </c>
      <c r="J2189" t="str">
        <f>SUBSTITUTE(IF(OR(LEFT(A2193,3)="Câu",I2189=""),"",IF(B2193=0,"",B2193)),CHAR(34),CHAR(92)&amp;CHAR(34))</f>
        <v/>
      </c>
      <c r="K2189" t="str">
        <f ca="1">SUBSTITUTE(SUBSTITUTE(SUBSTITUTE(SUBSTITUTE(IFERROR(VLOOKUP("Câu "&amp;D2189&amp;".",dapan!$E:$J,6,0),""),"1","A"),"2","B"),"3","C"),"4","D")</f>
        <v>B</v>
      </c>
      <c r="P2189">
        <f t="shared" si="127"/>
        <v>532</v>
      </c>
      <c r="Q2189" t="str">
        <f t="shared" ca="1" si="128"/>
        <v>{"num":532,"id":532,"q":"Đi theo hướng mũi tên, xe nào vi phạm quy tắc giao thông?","img":"q532.jpg","opts":{"A":"Xe chữa cháy đi làm nhiệm vụ chữa cháy.","B":" Xe tải.","C":"Cả hai xe."},"answer":"B"},</v>
      </c>
    </row>
    <row r="2190" spans="1:17" hidden="1" x14ac:dyDescent="0.25">
      <c r="A2190">
        <v>1</v>
      </c>
      <c r="B2190" t="s">
        <v>1540</v>
      </c>
      <c r="C2190">
        <f>IFERROR(COUNTIFS($A$1:A2190,"Câu "&amp;"*")-MID(A2190,5,FIND(".",A2190,1)-5),0)</f>
        <v>0</v>
      </c>
      <c r="D2190" t="str">
        <f t="shared" si="126"/>
        <v/>
      </c>
      <c r="E2190" t="str">
        <f>SUBSTITUTE(IF(LEFT(A2190,3)="Câu",MID(A2190,FIND(".",A2190,1)+2,LEN(A2190)),""),CHAR(34),CHAR(92)&amp;CHAR(34))</f>
        <v/>
      </c>
      <c r="F2190" t="str">
        <f t="shared" si="125"/>
        <v/>
      </c>
      <c r="G2190" t="str">
        <f>SUBSTITUTE(B2191,CHAR(34),CHAR(92)&amp;CHAR(34))</f>
        <v xml:space="preserve"> Xe tải.</v>
      </c>
      <c r="H2190" t="str">
        <f>SUBSTITUTE(B2192,CHAR(34),CHAR(92)&amp;CHAR(34))</f>
        <v>Cả hai xe.</v>
      </c>
      <c r="I2190" t="str">
        <f>SUBSTITUTE(IF(LEFT(A2193,3)="Câu","",B2193),CHAR(34),CHAR(92)&amp;CHAR(34))</f>
        <v/>
      </c>
      <c r="J2190" t="str">
        <f>SUBSTITUTE(IF(OR(LEFT(A2194,3)="Câu",I2190=""),"",IF(B2194=0,"",B2194)),CHAR(34),CHAR(92)&amp;CHAR(34))</f>
        <v/>
      </c>
      <c r="K2190" t="str">
        <f>SUBSTITUTE(SUBSTITUTE(SUBSTITUTE(SUBSTITUTE(IFERROR(VLOOKUP("Câu "&amp;D2190&amp;".",dapan!$E:$J,6,0),""),"1","A"),"2","B"),"3","C"),"4","D")</f>
        <v/>
      </c>
      <c r="P2190" t="str">
        <f t="shared" si="127"/>
        <v/>
      </c>
      <c r="Q2190" t="str">
        <f t="shared" si="128"/>
        <v/>
      </c>
    </row>
    <row r="2191" spans="1:17" hidden="1" x14ac:dyDescent="0.25">
      <c r="A2191">
        <v>2</v>
      </c>
      <c r="B2191" t="s">
        <v>1460</v>
      </c>
      <c r="C2191">
        <f>IFERROR(COUNTIFS($A$1:A2191,"Câu "&amp;"*")-MID(A2191,5,FIND(".",A2191,1)-5),0)</f>
        <v>0</v>
      </c>
      <c r="D2191" t="str">
        <f t="shared" si="126"/>
        <v/>
      </c>
      <c r="E2191" t="str">
        <f>SUBSTITUTE(IF(LEFT(A2191,3)="Câu",MID(A2191,FIND(".",A2191,1)+2,LEN(A2191)),""),CHAR(34),CHAR(92)&amp;CHAR(34))</f>
        <v/>
      </c>
      <c r="F2191" t="str">
        <f t="shared" si="125"/>
        <v/>
      </c>
      <c r="G2191" t="str">
        <f>SUBSTITUTE(B2192,CHAR(34),CHAR(92)&amp;CHAR(34))</f>
        <v>Cả hai xe.</v>
      </c>
      <c r="H2191" t="str">
        <f>SUBSTITUTE(B2193,CHAR(34),CHAR(92)&amp;CHAR(34))</f>
        <v/>
      </c>
      <c r="I2191" t="str">
        <f>SUBSTITUTE(IF(LEFT(A2194,3)="Câu","",B2194),CHAR(34),CHAR(92)&amp;CHAR(34))</f>
        <v>Xe khách, xe tải, xe con.</v>
      </c>
      <c r="J2191" t="str">
        <f>SUBSTITUTE(IF(OR(LEFT(A2195,3)="Câu",I2191=""),"",IF(B2195=0,"",B2195)),CHAR(34),CHAR(92)&amp;CHAR(34))</f>
        <v>Xe con, xe tải, xe khách.</v>
      </c>
      <c r="K2191" t="str">
        <f>SUBSTITUTE(SUBSTITUTE(SUBSTITUTE(SUBSTITUTE(IFERROR(VLOOKUP("Câu "&amp;D2191&amp;".",dapan!$E:$J,6,0),""),"1","A"),"2","B"),"3","C"),"4","D")</f>
        <v/>
      </c>
      <c r="P2191" t="str">
        <f t="shared" si="127"/>
        <v/>
      </c>
      <c r="Q2191" t="str">
        <f t="shared" si="128"/>
        <v/>
      </c>
    </row>
    <row r="2192" spans="1:17" hidden="1" x14ac:dyDescent="0.25">
      <c r="A2192">
        <v>3</v>
      </c>
      <c r="B2192" t="s">
        <v>1538</v>
      </c>
      <c r="C2192">
        <f>IFERROR(COUNTIFS($A$1:A2192,"Câu "&amp;"*")-MID(A2192,5,FIND(".",A2192,1)-5),0)</f>
        <v>0</v>
      </c>
      <c r="D2192" t="str">
        <f t="shared" si="126"/>
        <v/>
      </c>
      <c r="E2192" t="str">
        <f>SUBSTITUTE(IF(LEFT(A2192,3)="Câu",MID(A2192,FIND(".",A2192,1)+2,LEN(A2192)),""),CHAR(34),CHAR(92)&amp;CHAR(34))</f>
        <v/>
      </c>
      <c r="F2192" t="str">
        <f t="shared" si="125"/>
        <v/>
      </c>
      <c r="G2192" t="str">
        <f>SUBSTITUTE(B2193,CHAR(34),CHAR(92)&amp;CHAR(34))</f>
        <v/>
      </c>
      <c r="H2192" t="str">
        <f>SUBSTITUTE(B2194,CHAR(34),CHAR(92)&amp;CHAR(34))</f>
        <v>Xe khách, xe tải, xe con.</v>
      </c>
      <c r="I2192" t="str">
        <f>SUBSTITUTE(IF(LEFT(A2195,3)="Câu","",B2195),CHAR(34),CHAR(92)&amp;CHAR(34))</f>
        <v>Xe con, xe tải, xe khách.</v>
      </c>
      <c r="J2192" t="str">
        <f>SUBSTITUTE(IF(OR(LEFT(A2196,3)="Câu",I2192=""),"",IF(B2196=0,"",B2196)),CHAR(34),CHAR(92)&amp;CHAR(34))</f>
        <v xml:space="preserve"> Xe tải, xe khách, xe con.</v>
      </c>
      <c r="K2192" t="str">
        <f>SUBSTITUTE(SUBSTITUTE(SUBSTITUTE(SUBSTITUTE(IFERROR(VLOOKUP("Câu "&amp;D2192&amp;".",dapan!$E:$J,6,0),""),"1","A"),"2","B"),"3","C"),"4","D")</f>
        <v/>
      </c>
      <c r="P2192" t="str">
        <f t="shared" si="127"/>
        <v/>
      </c>
      <c r="Q2192" t="str">
        <f t="shared" si="128"/>
        <v/>
      </c>
    </row>
    <row r="2193" spans="1:17" x14ac:dyDescent="0.25">
      <c r="A2193" t="s">
        <v>1541</v>
      </c>
      <c r="C2193">
        <f>IFERROR(COUNTIFS($A$1:A2193,"Câu "&amp;"*")-MID(A2193,5,FIND(".",A2193,1)-5),0)</f>
        <v>0</v>
      </c>
      <c r="D2193">
        <f t="shared" si="126"/>
        <v>533</v>
      </c>
      <c r="E2193" t="str">
        <f>SUBSTITUTE(IF(LEFT(A2193,3)="Câu",MID(A2193,FIND(".",A2193,1)+2,LEN(A2193)),""),CHAR(34),CHAR(92)&amp;CHAR(34))</f>
        <v>Thứ tự các xe đi như thế nào là đúng quy tắc giao thông?</v>
      </c>
      <c r="F2193" t="str">
        <f t="shared" si="125"/>
        <v>q533.jpg</v>
      </c>
      <c r="G2193" t="str">
        <f>SUBSTITUTE(B2194,CHAR(34),CHAR(92)&amp;CHAR(34))</f>
        <v>Xe khách, xe tải, xe con.</v>
      </c>
      <c r="H2193" t="str">
        <f>SUBSTITUTE(B2195,CHAR(34),CHAR(92)&amp;CHAR(34))</f>
        <v>Xe con, xe tải, xe khách.</v>
      </c>
      <c r="I2193" t="str">
        <f>SUBSTITUTE(IF(LEFT(A2196,3)="Câu","",B2196),CHAR(34),CHAR(92)&amp;CHAR(34))</f>
        <v xml:space="preserve"> Xe tải, xe khách, xe con.</v>
      </c>
      <c r="J2193" t="str">
        <f>SUBSTITUTE(IF(OR(LEFT(A2197,3)="Câu",I2193=""),"",IF(B2197=0,"",B2197)),CHAR(34),CHAR(92)&amp;CHAR(34))</f>
        <v/>
      </c>
      <c r="K2193" t="str">
        <f ca="1">SUBSTITUTE(SUBSTITUTE(SUBSTITUTE(SUBSTITUTE(IFERROR(VLOOKUP("Câu "&amp;D2193&amp;".",dapan!$E:$J,6,0),""),"1","A"),"2","B"),"3","C"),"4","D")</f>
        <v>C</v>
      </c>
      <c r="P2193">
        <f t="shared" si="127"/>
        <v>533</v>
      </c>
      <c r="Q2193" t="str">
        <f t="shared" ca="1" si="128"/>
        <v>{"num":533,"id":533,"q":"Thứ tự các xe đi như thế nào là đúng quy tắc giao thông?","img":"q533.jpg","opts":{"A":"Xe khách, xe tải, xe con.","B":"Xe con, xe tải, xe khách.","C":" Xe tải, xe khách, xe con."},"answer":"C"},</v>
      </c>
    </row>
    <row r="2194" spans="1:17" hidden="1" x14ac:dyDescent="0.25">
      <c r="A2194">
        <v>1</v>
      </c>
      <c r="B2194" t="s">
        <v>1542</v>
      </c>
      <c r="C2194">
        <f>IFERROR(COUNTIFS($A$1:A2194,"Câu "&amp;"*")-MID(A2194,5,FIND(".",A2194,1)-5),0)</f>
        <v>0</v>
      </c>
      <c r="D2194" t="str">
        <f t="shared" si="126"/>
        <v/>
      </c>
      <c r="E2194" t="str">
        <f>SUBSTITUTE(IF(LEFT(A2194,3)="Câu",MID(A2194,FIND(".",A2194,1)+2,LEN(A2194)),""),CHAR(34),CHAR(92)&amp;CHAR(34))</f>
        <v/>
      </c>
      <c r="F2194" t="str">
        <f t="shared" si="125"/>
        <v/>
      </c>
      <c r="G2194" t="str">
        <f>SUBSTITUTE(B2195,CHAR(34),CHAR(92)&amp;CHAR(34))</f>
        <v>Xe con, xe tải, xe khách.</v>
      </c>
      <c r="H2194" t="str">
        <f>SUBSTITUTE(B2196,CHAR(34),CHAR(92)&amp;CHAR(34))</f>
        <v xml:space="preserve"> Xe tải, xe khách, xe con.</v>
      </c>
      <c r="I2194" t="str">
        <f>SUBSTITUTE(IF(LEFT(A2197,3)="Câu","",B2197),CHAR(34),CHAR(92)&amp;CHAR(34))</f>
        <v/>
      </c>
      <c r="J2194" t="str">
        <f>SUBSTITUTE(IF(OR(LEFT(A2198,3)="Câu",I2194=""),"",IF(B2198=0,"",B2198)),CHAR(34),CHAR(92)&amp;CHAR(34))</f>
        <v/>
      </c>
      <c r="K2194" t="str">
        <f>SUBSTITUTE(SUBSTITUTE(SUBSTITUTE(SUBSTITUTE(IFERROR(VLOOKUP("Câu "&amp;D2194&amp;".",dapan!$E:$J,6,0),""),"1","A"),"2","B"),"3","C"),"4","D")</f>
        <v/>
      </c>
      <c r="P2194" t="str">
        <f t="shared" si="127"/>
        <v/>
      </c>
      <c r="Q2194" t="str">
        <f t="shared" si="128"/>
        <v/>
      </c>
    </row>
    <row r="2195" spans="1:17" hidden="1" x14ac:dyDescent="0.25">
      <c r="A2195">
        <v>2</v>
      </c>
      <c r="B2195" t="s">
        <v>1543</v>
      </c>
      <c r="C2195">
        <f>IFERROR(COUNTIFS($A$1:A2195,"Câu "&amp;"*")-MID(A2195,5,FIND(".",A2195,1)-5),0)</f>
        <v>0</v>
      </c>
      <c r="D2195" t="str">
        <f t="shared" si="126"/>
        <v/>
      </c>
      <c r="E2195" t="str">
        <f>SUBSTITUTE(IF(LEFT(A2195,3)="Câu",MID(A2195,FIND(".",A2195,1)+2,LEN(A2195)),""),CHAR(34),CHAR(92)&amp;CHAR(34))</f>
        <v/>
      </c>
      <c r="F2195" t="str">
        <f t="shared" si="125"/>
        <v/>
      </c>
      <c r="G2195" t="str">
        <f>SUBSTITUTE(B2196,CHAR(34),CHAR(92)&amp;CHAR(34))</f>
        <v xml:space="preserve"> Xe tải, xe khách, xe con.</v>
      </c>
      <c r="H2195" t="str">
        <f>SUBSTITUTE(B2197,CHAR(34),CHAR(92)&amp;CHAR(34))</f>
        <v/>
      </c>
      <c r="I2195" t="str">
        <f>SUBSTITUTE(IF(LEFT(A2198,3)="Câu","",B2198),CHAR(34),CHAR(92)&amp;CHAR(34))</f>
        <v xml:space="preserve"> Xe khách và xe tải, xe con.</v>
      </c>
      <c r="J2195" t="str">
        <f>SUBSTITUTE(IF(OR(LEFT(A2199,3)="Câu",I2195=""),"",IF(B2199=0,"",B2199)),CHAR(34),CHAR(92)&amp;CHAR(34))</f>
        <v>Xe tải, xe khách, xe con.</v>
      </c>
      <c r="K2195" t="str">
        <f>SUBSTITUTE(SUBSTITUTE(SUBSTITUTE(SUBSTITUTE(IFERROR(VLOOKUP("Câu "&amp;D2195&amp;".",dapan!$E:$J,6,0),""),"1","A"),"2","B"),"3","C"),"4","D")</f>
        <v/>
      </c>
      <c r="P2195" t="str">
        <f t="shared" si="127"/>
        <v/>
      </c>
      <c r="Q2195" t="str">
        <f t="shared" si="128"/>
        <v/>
      </c>
    </row>
    <row r="2196" spans="1:17" hidden="1" x14ac:dyDescent="0.25">
      <c r="A2196">
        <v>3</v>
      </c>
      <c r="B2196" t="s">
        <v>1544</v>
      </c>
      <c r="C2196">
        <f>IFERROR(COUNTIFS($A$1:A2196,"Câu "&amp;"*")-MID(A2196,5,FIND(".",A2196,1)-5),0)</f>
        <v>0</v>
      </c>
      <c r="D2196" t="str">
        <f t="shared" si="126"/>
        <v/>
      </c>
      <c r="E2196" t="str">
        <f>SUBSTITUTE(IF(LEFT(A2196,3)="Câu",MID(A2196,FIND(".",A2196,1)+2,LEN(A2196)),""),CHAR(34),CHAR(92)&amp;CHAR(34))</f>
        <v/>
      </c>
      <c r="F2196" t="str">
        <f t="shared" si="125"/>
        <v/>
      </c>
      <c r="G2196" t="str">
        <f>SUBSTITUTE(B2197,CHAR(34),CHAR(92)&amp;CHAR(34))</f>
        <v/>
      </c>
      <c r="H2196" t="str">
        <f>SUBSTITUTE(B2198,CHAR(34),CHAR(92)&amp;CHAR(34))</f>
        <v xml:space="preserve"> Xe khách và xe tải, xe con.</v>
      </c>
      <c r="I2196" t="str">
        <f>SUBSTITUTE(IF(LEFT(A2199,3)="Câu","",B2199),CHAR(34),CHAR(92)&amp;CHAR(34))</f>
        <v>Xe tải, xe khách, xe con.</v>
      </c>
      <c r="J2196" t="str">
        <f>SUBSTITUTE(IF(OR(LEFT(A2200,3)="Câu",I2196=""),"",IF(B2200=0,"",B2200)),CHAR(34),CHAR(92)&amp;CHAR(34))</f>
        <v>Xe con, xe khách, xe tải.</v>
      </c>
      <c r="K2196" t="str">
        <f>SUBSTITUTE(SUBSTITUTE(SUBSTITUTE(SUBSTITUTE(IFERROR(VLOOKUP("Câu "&amp;D2196&amp;".",dapan!$E:$J,6,0),""),"1","A"),"2","B"),"3","C"),"4","D")</f>
        <v/>
      </c>
      <c r="P2196" t="str">
        <f t="shared" si="127"/>
        <v/>
      </c>
      <c r="Q2196" t="str">
        <f t="shared" si="128"/>
        <v/>
      </c>
    </row>
    <row r="2197" spans="1:17" x14ac:dyDescent="0.25">
      <c r="A2197" t="s">
        <v>1545</v>
      </c>
      <c r="C2197">
        <f>IFERROR(COUNTIFS($A$1:A2197,"Câu "&amp;"*")-MID(A2197,5,FIND(".",A2197,1)-5),0)</f>
        <v>0</v>
      </c>
      <c r="D2197">
        <f t="shared" si="126"/>
        <v>534</v>
      </c>
      <c r="E2197" t="str">
        <f>SUBSTITUTE(IF(LEFT(A2197,3)="Câu",MID(A2197,FIND(".",A2197,1)+2,LEN(A2197)),""),CHAR(34),CHAR(92)&amp;CHAR(34))</f>
        <v>Theo hướng mũi tên, thứ tự các xe đi như thế nào là đúng quy tắc giao thông?</v>
      </c>
      <c r="F2197" t="str">
        <f t="shared" si="125"/>
        <v>q534.jpg</v>
      </c>
      <c r="G2197" t="str">
        <f>SUBSTITUTE(B2198,CHAR(34),CHAR(92)&amp;CHAR(34))</f>
        <v xml:space="preserve"> Xe khách và xe tải, xe con.</v>
      </c>
      <c r="H2197" t="str">
        <f>SUBSTITUTE(B2199,CHAR(34),CHAR(92)&amp;CHAR(34))</f>
        <v>Xe tải, xe khách, xe con.</v>
      </c>
      <c r="I2197" t="str">
        <f>SUBSTITUTE(IF(LEFT(A2200,3)="Câu","",B2200),CHAR(34),CHAR(92)&amp;CHAR(34))</f>
        <v>Xe con, xe khách, xe tải.</v>
      </c>
      <c r="J2197" t="str">
        <f>SUBSTITUTE(IF(OR(LEFT(A2201,3)="Câu",I2197=""),"",IF(B2201=0,"",B2201)),CHAR(34),CHAR(92)&amp;CHAR(34))</f>
        <v/>
      </c>
      <c r="K2197" t="str">
        <f ca="1">SUBSTITUTE(SUBSTITUTE(SUBSTITUTE(SUBSTITUTE(IFERROR(VLOOKUP("Câu "&amp;D2197&amp;".",dapan!$E:$J,6,0),""),"1","A"),"2","B"),"3","C"),"4","D")</f>
        <v>A</v>
      </c>
      <c r="P2197">
        <f t="shared" si="127"/>
        <v>534</v>
      </c>
      <c r="Q2197" t="str">
        <f t="shared" ca="1" si="128"/>
        <v>{"num":534,"id":534,"q":"Theo hướng mũi tên, thứ tự các xe đi như thế nào là đúng quy tắc giao thông?","img":"q534.jpg","opts":{"A":" Xe khách và xe tải, xe con.","B":"Xe tải, xe khách, xe con.","C":"Xe con, xe khách, xe tải."},"answer":"A"},</v>
      </c>
    </row>
    <row r="2198" spans="1:17" hidden="1" x14ac:dyDescent="0.25">
      <c r="A2198">
        <v>1</v>
      </c>
      <c r="B2198" t="s">
        <v>1546</v>
      </c>
      <c r="C2198">
        <f>IFERROR(COUNTIFS($A$1:A2198,"Câu "&amp;"*")-MID(A2198,5,FIND(".",A2198,1)-5),0)</f>
        <v>0</v>
      </c>
      <c r="D2198" t="str">
        <f t="shared" si="126"/>
        <v/>
      </c>
      <c r="E2198" t="str">
        <f>SUBSTITUTE(IF(LEFT(A2198,3)="Câu",MID(A2198,FIND(".",A2198,1)+2,LEN(A2198)),""),CHAR(34),CHAR(92)&amp;CHAR(34))</f>
        <v/>
      </c>
      <c r="F2198" t="str">
        <f t="shared" ref="F2198:F2261" si="129">IF(D2198="","","q"&amp;TEXT(D2198,"000")&amp;".jpg")</f>
        <v/>
      </c>
      <c r="G2198" t="str">
        <f>SUBSTITUTE(B2199,CHAR(34),CHAR(92)&amp;CHAR(34))</f>
        <v>Xe tải, xe khách, xe con.</v>
      </c>
      <c r="H2198" t="str">
        <f>SUBSTITUTE(B2200,CHAR(34),CHAR(92)&amp;CHAR(34))</f>
        <v>Xe con, xe khách, xe tải.</v>
      </c>
      <c r="I2198" t="str">
        <f>SUBSTITUTE(IF(LEFT(A2201,3)="Câu","",B2201),CHAR(34),CHAR(92)&amp;CHAR(34))</f>
        <v/>
      </c>
      <c r="J2198" t="str">
        <f>SUBSTITUTE(IF(OR(LEFT(A2202,3)="Câu",I2198=""),"",IF(B2202=0,"",B2202)),CHAR(34),CHAR(92)&amp;CHAR(34))</f>
        <v/>
      </c>
      <c r="K2198" t="str">
        <f>SUBSTITUTE(SUBSTITUTE(SUBSTITUTE(SUBSTITUTE(IFERROR(VLOOKUP("Câu "&amp;D2198&amp;".",dapan!$E:$J,6,0),""),"1","A"),"2","B"),"3","C"),"4","D")</f>
        <v/>
      </c>
      <c r="P2198" t="str">
        <f t="shared" si="127"/>
        <v/>
      </c>
      <c r="Q2198" t="str">
        <f t="shared" si="128"/>
        <v/>
      </c>
    </row>
    <row r="2199" spans="1:17" hidden="1" x14ac:dyDescent="0.25">
      <c r="A2199">
        <v>2</v>
      </c>
      <c r="B2199" t="s">
        <v>1547</v>
      </c>
      <c r="C2199">
        <f>IFERROR(COUNTIFS($A$1:A2199,"Câu "&amp;"*")-MID(A2199,5,FIND(".",A2199,1)-5),0)</f>
        <v>0</v>
      </c>
      <c r="D2199" t="str">
        <f t="shared" si="126"/>
        <v/>
      </c>
      <c r="E2199" t="str">
        <f>SUBSTITUTE(IF(LEFT(A2199,3)="Câu",MID(A2199,FIND(".",A2199,1)+2,LEN(A2199)),""),CHAR(34),CHAR(92)&amp;CHAR(34))</f>
        <v/>
      </c>
      <c r="F2199" t="str">
        <f t="shared" si="129"/>
        <v/>
      </c>
      <c r="G2199" t="str">
        <f>SUBSTITUTE(B2200,CHAR(34),CHAR(92)&amp;CHAR(34))</f>
        <v>Xe con, xe khách, xe tải.</v>
      </c>
      <c r="H2199" t="str">
        <f>SUBSTITUTE(B2201,CHAR(34),CHAR(92)&amp;CHAR(34))</f>
        <v/>
      </c>
      <c r="I2199" t="str">
        <f>SUBSTITUTE(IF(LEFT(A2202,3)="Câu","",B2202),CHAR(34),CHAR(92)&amp;CHAR(34))</f>
        <v>Cả bốn hướng.</v>
      </c>
      <c r="J2199" t="str">
        <f>SUBSTITUTE(IF(OR(LEFT(A2203,3)="Câu",I2199=""),"",IF(B2203=0,"",B2203)),CHAR(34),CHAR(92)&amp;CHAR(34))</f>
        <v>Chỉ hướng 1 và 2.</v>
      </c>
      <c r="K2199" t="str">
        <f>SUBSTITUTE(SUBSTITUTE(SUBSTITUTE(SUBSTITUTE(IFERROR(VLOOKUP("Câu "&amp;D2199&amp;".",dapan!$E:$J,6,0),""),"1","A"),"2","B"),"3","C"),"4","D")</f>
        <v/>
      </c>
      <c r="P2199" t="str">
        <f t="shared" si="127"/>
        <v/>
      </c>
      <c r="Q2199" t="str">
        <f t="shared" si="128"/>
        <v/>
      </c>
    </row>
    <row r="2200" spans="1:17" hidden="1" x14ac:dyDescent="0.25">
      <c r="A2200">
        <v>3</v>
      </c>
      <c r="B2200" t="s">
        <v>1548</v>
      </c>
      <c r="C2200">
        <f>IFERROR(COUNTIFS($A$1:A2200,"Câu "&amp;"*")-MID(A2200,5,FIND(".",A2200,1)-5),0)</f>
        <v>0</v>
      </c>
      <c r="D2200" t="str">
        <f t="shared" si="126"/>
        <v/>
      </c>
      <c r="E2200" t="str">
        <f>SUBSTITUTE(IF(LEFT(A2200,3)="Câu",MID(A2200,FIND(".",A2200,1)+2,LEN(A2200)),""),CHAR(34),CHAR(92)&amp;CHAR(34))</f>
        <v/>
      </c>
      <c r="F2200" t="str">
        <f t="shared" si="129"/>
        <v/>
      </c>
      <c r="G2200" t="str">
        <f>SUBSTITUTE(B2201,CHAR(34),CHAR(92)&amp;CHAR(34))</f>
        <v/>
      </c>
      <c r="H2200" t="str">
        <f>SUBSTITUTE(B2202,CHAR(34),CHAR(92)&amp;CHAR(34))</f>
        <v>Cả bốn hướng.</v>
      </c>
      <c r="I2200" t="str">
        <f>SUBSTITUTE(IF(LEFT(A2203,3)="Câu","",B2203),CHAR(34),CHAR(92)&amp;CHAR(34))</f>
        <v>Chỉ hướng 1 và 2.</v>
      </c>
      <c r="J2200" t="str">
        <f>SUBSTITUTE(IF(OR(LEFT(A2204,3)="Câu",I2200=""),"",IF(B2204=0,"",B2204)),CHAR(34),CHAR(92)&amp;CHAR(34))</f>
        <v xml:space="preserve"> Trừ hướng 4.</v>
      </c>
      <c r="K2200" t="str">
        <f>SUBSTITUTE(SUBSTITUTE(SUBSTITUTE(SUBSTITUTE(IFERROR(VLOOKUP("Câu "&amp;D2200&amp;".",dapan!$E:$J,6,0),""),"1","A"),"2","B"),"3","C"),"4","D")</f>
        <v/>
      </c>
      <c r="P2200" t="str">
        <f t="shared" si="127"/>
        <v/>
      </c>
      <c r="Q2200" t="str">
        <f t="shared" si="128"/>
        <v/>
      </c>
    </row>
    <row r="2201" spans="1:17" x14ac:dyDescent="0.25">
      <c r="A2201" t="s">
        <v>1549</v>
      </c>
      <c r="C2201">
        <f>IFERROR(COUNTIFS($A$1:A2201,"Câu "&amp;"*")-MID(A2201,5,FIND(".",A2201,1)-5),0)</f>
        <v>0</v>
      </c>
      <c r="D2201">
        <f t="shared" ref="D2201:D2264" si="130">IF(LEFT(A2201,3)="Câu",VALUE(MID(A2201,5,FIND(".",A2201,1)-5)),"")</f>
        <v>535</v>
      </c>
      <c r="E2201" t="str">
        <f>SUBSTITUTE(IF(LEFT(A2201,3)="Câu",MID(A2201,FIND(".",A2201,1)+2,LEN(A2201)),""),CHAR(34),CHAR(92)&amp;CHAR(34))</f>
        <v>Những hướng nào xe ô tô tải được phép đi?</v>
      </c>
      <c r="F2201" t="str">
        <f t="shared" si="129"/>
        <v>q535.jpg</v>
      </c>
      <c r="G2201" t="str">
        <f>SUBSTITUTE(B2202,CHAR(34),CHAR(92)&amp;CHAR(34))</f>
        <v>Cả bốn hướng.</v>
      </c>
      <c r="H2201" t="str">
        <f>SUBSTITUTE(B2203,CHAR(34),CHAR(92)&amp;CHAR(34))</f>
        <v>Chỉ hướng 1 và 2.</v>
      </c>
      <c r="I2201" t="str">
        <f>SUBSTITUTE(IF(LEFT(A2204,3)="Câu","",B2204),CHAR(34),CHAR(92)&amp;CHAR(34))</f>
        <v xml:space="preserve"> Trừ hướng 4.</v>
      </c>
      <c r="J2201" t="str">
        <f>SUBSTITUTE(IF(OR(LEFT(A2205,3)="Câu",I2201=""),"",IF(B2205=0,"",B2205)),CHAR(34),CHAR(92)&amp;CHAR(34))</f>
        <v/>
      </c>
      <c r="K2201" t="str">
        <f ca="1">SUBSTITUTE(SUBSTITUTE(SUBSTITUTE(SUBSTITUTE(IFERROR(VLOOKUP("Câu "&amp;D2201&amp;".",dapan!$E:$J,6,0),""),"1","A"),"2","B"),"3","C"),"4","D")</f>
        <v>C</v>
      </c>
      <c r="P2201">
        <f t="shared" si="127"/>
        <v>535</v>
      </c>
      <c r="Q2201" t="str">
        <f t="shared" ca="1" si="128"/>
        <v>{"num":535,"id":535,"q":"Những hướng nào xe ô tô tải được phép đi?","img":"q535.jpg","opts":{"A":"Cả bốn hướng.","B":"Chỉ hướng 1 và 2.","C":" Trừ hướng 4."},"answer":"C"},</v>
      </c>
    </row>
    <row r="2202" spans="1:17" hidden="1" x14ac:dyDescent="0.25">
      <c r="A2202">
        <v>1</v>
      </c>
      <c r="B2202" t="s">
        <v>1507</v>
      </c>
      <c r="C2202">
        <f>IFERROR(COUNTIFS($A$1:A2202,"Câu "&amp;"*")-MID(A2202,5,FIND(".",A2202,1)-5),0)</f>
        <v>0</v>
      </c>
      <c r="D2202" t="str">
        <f t="shared" si="130"/>
        <v/>
      </c>
      <c r="E2202" t="str">
        <f>SUBSTITUTE(IF(LEFT(A2202,3)="Câu",MID(A2202,FIND(".",A2202,1)+2,LEN(A2202)),""),CHAR(34),CHAR(92)&amp;CHAR(34))</f>
        <v/>
      </c>
      <c r="F2202" t="str">
        <f t="shared" si="129"/>
        <v/>
      </c>
      <c r="G2202" t="str">
        <f>SUBSTITUTE(B2203,CHAR(34),CHAR(92)&amp;CHAR(34))</f>
        <v>Chỉ hướng 1 và 2.</v>
      </c>
      <c r="H2202" t="str">
        <f>SUBSTITUTE(B2204,CHAR(34),CHAR(92)&amp;CHAR(34))</f>
        <v xml:space="preserve"> Trừ hướng 4.</v>
      </c>
      <c r="I2202" t="str">
        <f>SUBSTITUTE(IF(LEFT(A2205,3)="Câu","",B2205),CHAR(34),CHAR(92)&amp;CHAR(34))</f>
        <v/>
      </c>
      <c r="J2202" t="str">
        <f>SUBSTITUTE(IF(OR(LEFT(A2206,3)="Câu",I2202=""),"",IF(B2206=0,"",B2206)),CHAR(34),CHAR(92)&amp;CHAR(34))</f>
        <v/>
      </c>
      <c r="K2202" t="str">
        <f>SUBSTITUTE(SUBSTITUTE(SUBSTITUTE(SUBSTITUTE(IFERROR(VLOOKUP("Câu "&amp;D2202&amp;".",dapan!$E:$J,6,0),""),"1","A"),"2","B"),"3","C"),"4","D")</f>
        <v/>
      </c>
      <c r="P2202" t="str">
        <f t="shared" si="127"/>
        <v/>
      </c>
      <c r="Q2202" t="str">
        <f t="shared" si="128"/>
        <v/>
      </c>
    </row>
    <row r="2203" spans="1:17" hidden="1" x14ac:dyDescent="0.25">
      <c r="A2203">
        <v>2</v>
      </c>
      <c r="B2203" t="s">
        <v>1550</v>
      </c>
      <c r="C2203">
        <f>IFERROR(COUNTIFS($A$1:A2203,"Câu "&amp;"*")-MID(A2203,5,FIND(".",A2203,1)-5),0)</f>
        <v>0</v>
      </c>
      <c r="D2203" t="str">
        <f t="shared" si="130"/>
        <v/>
      </c>
      <c r="E2203" t="str">
        <f>SUBSTITUTE(IF(LEFT(A2203,3)="Câu",MID(A2203,FIND(".",A2203,1)+2,LEN(A2203)),""),CHAR(34),CHAR(92)&amp;CHAR(34))</f>
        <v/>
      </c>
      <c r="F2203" t="str">
        <f t="shared" si="129"/>
        <v/>
      </c>
      <c r="G2203" t="str">
        <f>SUBSTITUTE(B2204,CHAR(34),CHAR(92)&amp;CHAR(34))</f>
        <v xml:space="preserve"> Trừ hướng 4.</v>
      </c>
      <c r="H2203" t="str">
        <f>SUBSTITUTE(B2205,CHAR(34),CHAR(92)&amp;CHAR(34))</f>
        <v/>
      </c>
      <c r="I2203" t="str">
        <f>SUBSTITUTE(IF(LEFT(A2206,3)="Câu","",B2206),CHAR(34),CHAR(92)&amp;CHAR(34))</f>
        <v xml:space="preserve"> Xe công an đi làm nhiệm vụ khẩn cấp, xe con, xe tải, xe khách.</v>
      </c>
      <c r="J2203" t="str">
        <f>SUBSTITUTE(IF(OR(LEFT(A2207,3)="Câu",I2203=""),"",IF(B2207=0,"",B2207)),CHAR(34),CHAR(92)&amp;CHAR(34))</f>
        <v>Xe con, xe khách và xe công an đi làm nhiệm vụ khẩn cấp, xe tải.</v>
      </c>
      <c r="K2203" t="str">
        <f>SUBSTITUTE(SUBSTITUTE(SUBSTITUTE(SUBSTITUTE(IFERROR(VLOOKUP("Câu "&amp;D2203&amp;".",dapan!$E:$J,6,0),""),"1","A"),"2","B"),"3","C"),"4","D")</f>
        <v/>
      </c>
      <c r="P2203" t="str">
        <f t="shared" si="127"/>
        <v/>
      </c>
      <c r="Q2203" t="str">
        <f t="shared" si="128"/>
        <v/>
      </c>
    </row>
    <row r="2204" spans="1:17" hidden="1" x14ac:dyDescent="0.25">
      <c r="A2204">
        <v>3</v>
      </c>
      <c r="B2204" t="s">
        <v>1551</v>
      </c>
      <c r="C2204">
        <f>IFERROR(COUNTIFS($A$1:A2204,"Câu "&amp;"*")-MID(A2204,5,FIND(".",A2204,1)-5),0)</f>
        <v>0</v>
      </c>
      <c r="D2204" t="str">
        <f t="shared" si="130"/>
        <v/>
      </c>
      <c r="E2204" t="str">
        <f>SUBSTITUTE(IF(LEFT(A2204,3)="Câu",MID(A2204,FIND(".",A2204,1)+2,LEN(A2204)),""),CHAR(34),CHAR(92)&amp;CHAR(34))</f>
        <v/>
      </c>
      <c r="F2204" t="str">
        <f t="shared" si="129"/>
        <v/>
      </c>
      <c r="G2204" t="str">
        <f>SUBSTITUTE(B2205,CHAR(34),CHAR(92)&amp;CHAR(34))</f>
        <v/>
      </c>
      <c r="H2204" t="str">
        <f>SUBSTITUTE(B2206,CHAR(34),CHAR(92)&amp;CHAR(34))</f>
        <v xml:space="preserve"> Xe công an đi làm nhiệm vụ khẩn cấp, xe con, xe tải, xe khách.</v>
      </c>
      <c r="I2204" t="str">
        <f>SUBSTITUTE(IF(LEFT(A2207,3)="Câu","",B2207),CHAR(34),CHAR(92)&amp;CHAR(34))</f>
        <v>Xe con, xe khách và xe công an đi làm nhiệm vụ khẩn cấp, xe tải.</v>
      </c>
      <c r="J2204" t="str">
        <f>SUBSTITUTE(IF(OR(LEFT(A2208,3)="Câu",I2204=""),"",IF(B2208=0,"",B2208)),CHAR(34),CHAR(92)&amp;CHAR(34))</f>
        <v>Xe công an đi làm nhiệm vụ khẩn cấp, xe con, xe khách, xe tải.</v>
      </c>
      <c r="K2204" t="str">
        <f>SUBSTITUTE(SUBSTITUTE(SUBSTITUTE(SUBSTITUTE(IFERROR(VLOOKUP("Câu "&amp;D2204&amp;".",dapan!$E:$J,6,0),""),"1","A"),"2","B"),"3","C"),"4","D")</f>
        <v/>
      </c>
      <c r="P2204" t="str">
        <f t="shared" si="127"/>
        <v/>
      </c>
      <c r="Q2204" t="str">
        <f t="shared" si="128"/>
        <v/>
      </c>
    </row>
    <row r="2205" spans="1:17" x14ac:dyDescent="0.25">
      <c r="A2205" t="s">
        <v>1552</v>
      </c>
      <c r="C2205">
        <f>IFERROR(COUNTIFS($A$1:A2205,"Câu "&amp;"*")-MID(A2205,5,FIND(".",A2205,1)-5),0)</f>
        <v>0</v>
      </c>
      <c r="D2205">
        <f t="shared" si="130"/>
        <v>536</v>
      </c>
      <c r="E2205" t="str">
        <f>SUBSTITUTE(IF(LEFT(A2205,3)="Câu",MID(A2205,FIND(".",A2205,1)+2,LEN(A2205)),""),CHAR(34),CHAR(92)&amp;CHAR(34))</f>
        <v>Theo hướng mũi tên, thứ tự các xe đi như thế nào là đúng?</v>
      </c>
      <c r="F2205" t="str">
        <f t="shared" si="129"/>
        <v>q536.jpg</v>
      </c>
      <c r="G2205" t="str">
        <f>SUBSTITUTE(B2206,CHAR(34),CHAR(92)&amp;CHAR(34))</f>
        <v xml:space="preserve"> Xe công an đi làm nhiệm vụ khẩn cấp, xe con, xe tải, xe khách.</v>
      </c>
      <c r="H2205" t="str">
        <f>SUBSTITUTE(B2207,CHAR(34),CHAR(92)&amp;CHAR(34))</f>
        <v>Xe con, xe khách và xe công an đi làm nhiệm vụ khẩn cấp, xe tải.</v>
      </c>
      <c r="I2205" t="str">
        <f>SUBSTITUTE(IF(LEFT(A2208,3)="Câu","",B2208),CHAR(34),CHAR(92)&amp;CHAR(34))</f>
        <v>Xe công an đi làm nhiệm vụ khẩn cấp, xe con, xe khách, xe tải.</v>
      </c>
      <c r="J2205" t="str">
        <f>SUBSTITUTE(IF(OR(LEFT(A2209,3)="Câu",I2205=""),"",IF(B2209=0,"",B2209)),CHAR(34),CHAR(92)&amp;CHAR(34))</f>
        <v>Xe con, xe tải, xe khách, xe công an đi làm nhiệm vụ khẩn cấp.</v>
      </c>
      <c r="K2205" t="str">
        <f ca="1">SUBSTITUTE(SUBSTITUTE(SUBSTITUTE(SUBSTITUTE(IFERROR(VLOOKUP("Câu "&amp;D2205&amp;".",dapan!$E:$J,6,0),""),"1","A"),"2","B"),"3","C"),"4","D")</f>
        <v>A</v>
      </c>
      <c r="P2205">
        <f t="shared" si="127"/>
        <v>536</v>
      </c>
      <c r="Q2205" t="str">
        <f t="shared" ca="1" si="128"/>
        <v>{"num":536,"id":536,"q":"Theo hướng mũi tên, thứ tự các xe đi như thế nào là đúng?","img":"q536.jpg","opts":{"A":" Xe công an đi làm nhiệm vụ khẩn cấp, xe con, xe tải, xe khách.","B":"Xe con, xe khách và xe công an đi làm nhiệm vụ khẩn cấp, xe tải.","C":"Xe công an đi làm nhiệm vụ khẩn cấp, xe con, xe khách, xe tải.","D":"Xe con, xe tải, xe khách, xe công an đi làm nhiệm vụ khẩn cấp."},"answer":"A"},</v>
      </c>
    </row>
    <row r="2206" spans="1:17" hidden="1" x14ac:dyDescent="0.25">
      <c r="A2206">
        <v>1</v>
      </c>
      <c r="B2206" t="s">
        <v>1404</v>
      </c>
      <c r="C2206">
        <f>IFERROR(COUNTIFS($A$1:A2206,"Câu "&amp;"*")-MID(A2206,5,FIND(".",A2206,1)-5),0)</f>
        <v>0</v>
      </c>
      <c r="D2206" t="str">
        <f t="shared" si="130"/>
        <v/>
      </c>
      <c r="E2206" t="str">
        <f>SUBSTITUTE(IF(LEFT(A2206,3)="Câu",MID(A2206,FIND(".",A2206,1)+2,LEN(A2206)),""),CHAR(34),CHAR(92)&amp;CHAR(34))</f>
        <v/>
      </c>
      <c r="F2206" t="str">
        <f t="shared" si="129"/>
        <v/>
      </c>
      <c r="G2206" t="str">
        <f>SUBSTITUTE(B2207,CHAR(34),CHAR(92)&amp;CHAR(34))</f>
        <v>Xe con, xe khách và xe công an đi làm nhiệm vụ khẩn cấp, xe tải.</v>
      </c>
      <c r="H2206" t="str">
        <f>SUBSTITUTE(B2208,CHAR(34),CHAR(92)&amp;CHAR(34))</f>
        <v>Xe công an đi làm nhiệm vụ khẩn cấp, xe con, xe khách, xe tải.</v>
      </c>
      <c r="I2206" t="str">
        <f>SUBSTITUTE(IF(LEFT(A2209,3)="Câu","",B2209),CHAR(34),CHAR(92)&amp;CHAR(34))</f>
        <v>Xe con, xe tải, xe khách, xe công an đi làm nhiệm vụ khẩn cấp.</v>
      </c>
      <c r="J2206" t="str">
        <f>SUBSTITUTE(IF(OR(LEFT(A2210,3)="Câu",I2206=""),"",IF(B2210=0,"",B2210)),CHAR(34),CHAR(92)&amp;CHAR(34))</f>
        <v/>
      </c>
      <c r="K2206" t="str">
        <f>SUBSTITUTE(SUBSTITUTE(SUBSTITUTE(SUBSTITUTE(IFERROR(VLOOKUP("Câu "&amp;D2206&amp;".",dapan!$E:$J,6,0),""),"1","A"),"2","B"),"3","C"),"4","D")</f>
        <v/>
      </c>
      <c r="P2206" t="str">
        <f t="shared" si="127"/>
        <v/>
      </c>
      <c r="Q2206" t="str">
        <f t="shared" si="128"/>
        <v/>
      </c>
    </row>
    <row r="2207" spans="1:17" hidden="1" x14ac:dyDescent="0.25">
      <c r="A2207">
        <v>2</v>
      </c>
      <c r="B2207" t="s">
        <v>1553</v>
      </c>
      <c r="C2207">
        <f>IFERROR(COUNTIFS($A$1:A2207,"Câu "&amp;"*")-MID(A2207,5,FIND(".",A2207,1)-5),0)</f>
        <v>0</v>
      </c>
      <c r="D2207" t="str">
        <f t="shared" si="130"/>
        <v/>
      </c>
      <c r="E2207" t="str">
        <f>SUBSTITUTE(IF(LEFT(A2207,3)="Câu",MID(A2207,FIND(".",A2207,1)+2,LEN(A2207)),""),CHAR(34),CHAR(92)&amp;CHAR(34))</f>
        <v/>
      </c>
      <c r="F2207" t="str">
        <f t="shared" si="129"/>
        <v/>
      </c>
      <c r="G2207" t="str">
        <f>SUBSTITUTE(B2208,CHAR(34),CHAR(92)&amp;CHAR(34))</f>
        <v>Xe công an đi làm nhiệm vụ khẩn cấp, xe con, xe khách, xe tải.</v>
      </c>
      <c r="H2207" t="str">
        <f>SUBSTITUTE(B2209,CHAR(34),CHAR(92)&amp;CHAR(34))</f>
        <v>Xe con, xe tải, xe khách, xe công an đi làm nhiệm vụ khẩn cấp.</v>
      </c>
      <c r="I2207" t="str">
        <f>SUBSTITUTE(IF(LEFT(A2210,3)="Câu","",B2210),CHAR(34),CHAR(92)&amp;CHAR(34))</f>
        <v/>
      </c>
      <c r="J2207" t="str">
        <f>SUBSTITUTE(IF(OR(LEFT(A2211,3)="Câu",I2207=""),"",IF(B2211=0,"",B2211)),CHAR(34),CHAR(92)&amp;CHAR(34))</f>
        <v/>
      </c>
      <c r="K2207" t="str">
        <f>SUBSTITUTE(SUBSTITUTE(SUBSTITUTE(SUBSTITUTE(IFERROR(VLOOKUP("Câu "&amp;D2207&amp;".",dapan!$E:$J,6,0),""),"1","A"),"2","B"),"3","C"),"4","D")</f>
        <v/>
      </c>
      <c r="P2207" t="str">
        <f t="shared" si="127"/>
        <v/>
      </c>
      <c r="Q2207" t="str">
        <f t="shared" si="128"/>
        <v/>
      </c>
    </row>
    <row r="2208" spans="1:17" hidden="1" x14ac:dyDescent="0.25">
      <c r="A2208">
        <v>3</v>
      </c>
      <c r="B2208" t="s">
        <v>1554</v>
      </c>
      <c r="C2208">
        <f>IFERROR(COUNTIFS($A$1:A2208,"Câu "&amp;"*")-MID(A2208,5,FIND(".",A2208,1)-5),0)</f>
        <v>0</v>
      </c>
      <c r="D2208" t="str">
        <f t="shared" si="130"/>
        <v/>
      </c>
      <c r="E2208" t="str">
        <f>SUBSTITUTE(IF(LEFT(A2208,3)="Câu",MID(A2208,FIND(".",A2208,1)+2,LEN(A2208)),""),CHAR(34),CHAR(92)&amp;CHAR(34))</f>
        <v/>
      </c>
      <c r="F2208" t="str">
        <f t="shared" si="129"/>
        <v/>
      </c>
      <c r="G2208" t="str">
        <f>SUBSTITUTE(B2209,CHAR(34),CHAR(92)&amp;CHAR(34))</f>
        <v>Xe con, xe tải, xe khách, xe công an đi làm nhiệm vụ khẩn cấp.</v>
      </c>
      <c r="H2208" t="str">
        <f>SUBSTITUTE(B2210,CHAR(34),CHAR(92)&amp;CHAR(34))</f>
        <v/>
      </c>
      <c r="I2208" t="str">
        <f>SUBSTITUTE(IF(LEFT(A2211,3)="Câu","",B2211),CHAR(34),CHAR(92)&amp;CHAR(34))</f>
        <v>Cả bốn hướng.</v>
      </c>
      <c r="J2208" t="str">
        <f>SUBSTITUTE(IF(OR(LEFT(A2212,3)="Câu",I2208=""),"",IF(B2212=0,"",B2212)),CHAR(34),CHAR(92)&amp;CHAR(34))</f>
        <v>Hướng 1, 2 và 3.</v>
      </c>
      <c r="K2208" t="str">
        <f>SUBSTITUTE(SUBSTITUTE(SUBSTITUTE(SUBSTITUTE(IFERROR(VLOOKUP("Câu "&amp;D2208&amp;".",dapan!$E:$J,6,0),""),"1","A"),"2","B"),"3","C"),"4","D")</f>
        <v/>
      </c>
      <c r="P2208" t="str">
        <f t="shared" si="127"/>
        <v/>
      </c>
      <c r="Q2208" t="str">
        <f t="shared" si="128"/>
        <v/>
      </c>
    </row>
    <row r="2209" spans="1:17" hidden="1" x14ac:dyDescent="0.25">
      <c r="A2209">
        <v>4</v>
      </c>
      <c r="B2209" t="s">
        <v>1555</v>
      </c>
      <c r="C2209">
        <f>IFERROR(COUNTIFS($A$1:A2209,"Câu "&amp;"*")-MID(A2209,5,FIND(".",A2209,1)-5),0)</f>
        <v>0</v>
      </c>
      <c r="D2209" t="str">
        <f t="shared" si="130"/>
        <v/>
      </c>
      <c r="E2209" t="str">
        <f>SUBSTITUTE(IF(LEFT(A2209,3)="Câu",MID(A2209,FIND(".",A2209,1)+2,LEN(A2209)),""),CHAR(34),CHAR(92)&amp;CHAR(34))</f>
        <v/>
      </c>
      <c r="F2209" t="str">
        <f t="shared" si="129"/>
        <v/>
      </c>
      <c r="G2209" t="str">
        <f>SUBSTITUTE(B2210,CHAR(34),CHAR(92)&amp;CHAR(34))</f>
        <v/>
      </c>
      <c r="H2209" t="str">
        <f>SUBSTITUTE(B2211,CHAR(34),CHAR(92)&amp;CHAR(34))</f>
        <v>Cả bốn hướng.</v>
      </c>
      <c r="I2209" t="str">
        <f>SUBSTITUTE(IF(LEFT(A2212,3)="Câu","",B2212),CHAR(34),CHAR(92)&amp;CHAR(34))</f>
        <v>Hướng 1, 2 và 3.</v>
      </c>
      <c r="J2209" t="str">
        <f>SUBSTITUTE(IF(OR(LEFT(A2213,3)="Câu",I2209=""),"",IF(B2213=0,"",B2213)),CHAR(34),CHAR(92)&amp;CHAR(34))</f>
        <v>Hướng 1 và 4.</v>
      </c>
      <c r="K2209" t="str">
        <f>SUBSTITUTE(SUBSTITUTE(SUBSTITUTE(SUBSTITUTE(IFERROR(VLOOKUP("Câu "&amp;D2209&amp;".",dapan!$E:$J,6,0),""),"1","A"),"2","B"),"3","C"),"4","D")</f>
        <v/>
      </c>
      <c r="P2209" t="str">
        <f t="shared" si="127"/>
        <v/>
      </c>
      <c r="Q2209" t="str">
        <f t="shared" si="128"/>
        <v/>
      </c>
    </row>
    <row r="2210" spans="1:17" x14ac:dyDescent="0.25">
      <c r="A2210" t="s">
        <v>1556</v>
      </c>
      <c r="C2210">
        <f>IFERROR(COUNTIFS($A$1:A2210,"Câu "&amp;"*")-MID(A2210,5,FIND(".",A2210,1)-5),0)</f>
        <v>0</v>
      </c>
      <c r="D2210">
        <f t="shared" si="130"/>
        <v>537</v>
      </c>
      <c r="E2210" t="str">
        <f>SUBSTITUTE(IF(LEFT(A2210,3)="Câu",MID(A2210,FIND(".",A2210,1)+2,LEN(A2210)),""),CHAR(34),CHAR(92)&amp;CHAR(34))</f>
        <v>Những hướng nào ô tô tải được phép đi?</v>
      </c>
      <c r="F2210" t="str">
        <f t="shared" si="129"/>
        <v>q537.jpg</v>
      </c>
      <c r="G2210" t="str">
        <f>SUBSTITUTE(B2211,CHAR(34),CHAR(92)&amp;CHAR(34))</f>
        <v>Cả bốn hướng.</v>
      </c>
      <c r="H2210" t="str">
        <f>SUBSTITUTE(B2212,CHAR(34),CHAR(92)&amp;CHAR(34))</f>
        <v>Hướng 1, 2 và 3.</v>
      </c>
      <c r="I2210" t="str">
        <f>SUBSTITUTE(IF(LEFT(A2213,3)="Câu","",B2213),CHAR(34),CHAR(92)&amp;CHAR(34))</f>
        <v>Hướng 1 và 4.</v>
      </c>
      <c r="J2210" t="str">
        <f>SUBSTITUTE(IF(OR(LEFT(A2214,3)="Câu",I2210=""),"",IF(B2214=0,"",B2214)),CHAR(34),CHAR(92)&amp;CHAR(34))</f>
        <v xml:space="preserve"> Hướng 1, 3 và 4.</v>
      </c>
      <c r="K2210" t="str">
        <f ca="1">SUBSTITUTE(SUBSTITUTE(SUBSTITUTE(SUBSTITUTE(IFERROR(VLOOKUP("Câu "&amp;D2210&amp;".",dapan!$E:$J,6,0),""),"1","A"),"2","B"),"3","C"),"4","D")</f>
        <v>D</v>
      </c>
      <c r="P2210">
        <f t="shared" si="127"/>
        <v>537</v>
      </c>
      <c r="Q2210" t="str">
        <f t="shared" ca="1" si="128"/>
        <v>{"num":537,"id":537,"q":"Những hướng nào ô tô tải được phép đi?","img":"q537.jpg","opts":{"A":"Cả bốn hướng.","B":"Hướng 1, 2 và 3.","C":"Hướng 1 và 4.","D":" Hướng 1, 3 và 4."},"answer":"D"},</v>
      </c>
    </row>
    <row r="2211" spans="1:17" hidden="1" x14ac:dyDescent="0.25">
      <c r="A2211">
        <v>1</v>
      </c>
      <c r="B2211" t="s">
        <v>1507</v>
      </c>
      <c r="C2211">
        <f>IFERROR(COUNTIFS($A$1:A2211,"Câu "&amp;"*")-MID(A2211,5,FIND(".",A2211,1)-5),0)</f>
        <v>0</v>
      </c>
      <c r="D2211" t="str">
        <f t="shared" si="130"/>
        <v/>
      </c>
      <c r="E2211" t="str">
        <f>SUBSTITUTE(IF(LEFT(A2211,3)="Câu",MID(A2211,FIND(".",A2211,1)+2,LEN(A2211)),""),CHAR(34),CHAR(92)&amp;CHAR(34))</f>
        <v/>
      </c>
      <c r="F2211" t="str">
        <f t="shared" si="129"/>
        <v/>
      </c>
      <c r="G2211" t="str">
        <f>SUBSTITUTE(B2212,CHAR(34),CHAR(92)&amp;CHAR(34))</f>
        <v>Hướng 1, 2 và 3.</v>
      </c>
      <c r="H2211" t="str">
        <f>SUBSTITUTE(B2213,CHAR(34),CHAR(92)&amp;CHAR(34))</f>
        <v>Hướng 1 và 4.</v>
      </c>
      <c r="I2211" t="str">
        <f>SUBSTITUTE(IF(LEFT(A2214,3)="Câu","",B2214),CHAR(34),CHAR(92)&amp;CHAR(34))</f>
        <v xml:space="preserve"> Hướng 1, 3 và 4.</v>
      </c>
      <c r="J2211" t="str">
        <f>SUBSTITUTE(IF(OR(LEFT(A2215,3)="Câu",I2211=""),"",IF(B2215=0,"",B2215)),CHAR(34),CHAR(92)&amp;CHAR(34))</f>
        <v/>
      </c>
      <c r="K2211" t="str">
        <f>SUBSTITUTE(SUBSTITUTE(SUBSTITUTE(SUBSTITUTE(IFERROR(VLOOKUP("Câu "&amp;D2211&amp;".",dapan!$E:$J,6,0),""),"1","A"),"2","B"),"3","C"),"4","D")</f>
        <v/>
      </c>
      <c r="P2211" t="str">
        <f t="shared" si="127"/>
        <v/>
      </c>
      <c r="Q2211" t="str">
        <f t="shared" si="128"/>
        <v/>
      </c>
    </row>
    <row r="2212" spans="1:17" hidden="1" x14ac:dyDescent="0.25">
      <c r="A2212">
        <v>2</v>
      </c>
      <c r="B2212" t="s">
        <v>1495</v>
      </c>
      <c r="C2212">
        <f>IFERROR(COUNTIFS($A$1:A2212,"Câu "&amp;"*")-MID(A2212,5,FIND(".",A2212,1)-5),0)</f>
        <v>0</v>
      </c>
      <c r="D2212" t="str">
        <f t="shared" si="130"/>
        <v/>
      </c>
      <c r="E2212" t="str">
        <f>SUBSTITUTE(IF(LEFT(A2212,3)="Câu",MID(A2212,FIND(".",A2212,1)+2,LEN(A2212)),""),CHAR(34),CHAR(92)&amp;CHAR(34))</f>
        <v/>
      </c>
      <c r="F2212" t="str">
        <f t="shared" si="129"/>
        <v/>
      </c>
      <c r="G2212" t="str">
        <f>SUBSTITUTE(B2213,CHAR(34),CHAR(92)&amp;CHAR(34))</f>
        <v>Hướng 1 và 4.</v>
      </c>
      <c r="H2212" t="str">
        <f>SUBSTITUTE(B2214,CHAR(34),CHAR(92)&amp;CHAR(34))</f>
        <v xml:space="preserve"> Hướng 1, 3 và 4.</v>
      </c>
      <c r="I2212" t="str">
        <f>SUBSTITUTE(IF(LEFT(A2215,3)="Câu","",B2215),CHAR(34),CHAR(92)&amp;CHAR(34))</f>
        <v/>
      </c>
      <c r="J2212" t="str">
        <f>SUBSTITUTE(IF(OR(LEFT(A2216,3)="Câu",I2212=""),"",IF(B2216=0,"",B2216)),CHAR(34),CHAR(92)&amp;CHAR(34))</f>
        <v/>
      </c>
      <c r="K2212" t="str">
        <f>SUBSTITUTE(SUBSTITUTE(SUBSTITUTE(SUBSTITUTE(IFERROR(VLOOKUP("Câu "&amp;D2212&amp;".",dapan!$E:$J,6,0),""),"1","A"),"2","B"),"3","C"),"4","D")</f>
        <v/>
      </c>
      <c r="P2212" t="str">
        <f t="shared" si="127"/>
        <v/>
      </c>
      <c r="Q2212" t="str">
        <f t="shared" si="128"/>
        <v/>
      </c>
    </row>
    <row r="2213" spans="1:17" hidden="1" x14ac:dyDescent="0.25">
      <c r="A2213">
        <v>3</v>
      </c>
      <c r="B2213" t="s">
        <v>1488</v>
      </c>
      <c r="C2213">
        <f>IFERROR(COUNTIFS($A$1:A2213,"Câu "&amp;"*")-MID(A2213,5,FIND(".",A2213,1)-5),0)</f>
        <v>0</v>
      </c>
      <c r="D2213" t="str">
        <f t="shared" si="130"/>
        <v/>
      </c>
      <c r="E2213" t="str">
        <f>SUBSTITUTE(IF(LEFT(A2213,3)="Câu",MID(A2213,FIND(".",A2213,1)+2,LEN(A2213)),""),CHAR(34),CHAR(92)&amp;CHAR(34))</f>
        <v/>
      </c>
      <c r="F2213" t="str">
        <f t="shared" si="129"/>
        <v/>
      </c>
      <c r="G2213" t="str">
        <f>SUBSTITUTE(B2214,CHAR(34),CHAR(92)&amp;CHAR(34))</f>
        <v xml:space="preserve"> Hướng 1, 3 và 4.</v>
      </c>
      <c r="H2213" t="str">
        <f>SUBSTITUTE(B2215,CHAR(34),CHAR(92)&amp;CHAR(34))</f>
        <v/>
      </c>
      <c r="I2213" t="str">
        <f>SUBSTITUTE(IF(LEFT(A2216,3)="Câu","",B2216),CHAR(34),CHAR(92)&amp;CHAR(34))</f>
        <v>Chỉ xe khách, xe mô tô.</v>
      </c>
      <c r="J2213" t="str">
        <f>SUBSTITUTE(IF(OR(LEFT(A2217,3)="Câu",I2213=""),"",IF(B2217=0,"",B2217)),CHAR(34),CHAR(92)&amp;CHAR(34))</f>
        <v xml:space="preserve"> Tất cả các loại xe trên.</v>
      </c>
      <c r="K2213" t="str">
        <f>SUBSTITUTE(SUBSTITUTE(SUBSTITUTE(SUBSTITUTE(IFERROR(VLOOKUP("Câu "&amp;D2213&amp;".",dapan!$E:$J,6,0),""),"1","A"),"2","B"),"3","C"),"4","D")</f>
        <v/>
      </c>
      <c r="P2213" t="str">
        <f t="shared" si="127"/>
        <v/>
      </c>
      <c r="Q2213" t="str">
        <f t="shared" si="128"/>
        <v/>
      </c>
    </row>
    <row r="2214" spans="1:17" hidden="1" x14ac:dyDescent="0.25">
      <c r="A2214">
        <v>4</v>
      </c>
      <c r="B2214" t="s">
        <v>1505</v>
      </c>
      <c r="C2214">
        <f>IFERROR(COUNTIFS($A$1:A2214,"Câu "&amp;"*")-MID(A2214,5,FIND(".",A2214,1)-5),0)</f>
        <v>0</v>
      </c>
      <c r="D2214" t="str">
        <f t="shared" si="130"/>
        <v/>
      </c>
      <c r="E2214" t="str">
        <f>SUBSTITUTE(IF(LEFT(A2214,3)="Câu",MID(A2214,FIND(".",A2214,1)+2,LEN(A2214)),""),CHAR(34),CHAR(92)&amp;CHAR(34))</f>
        <v/>
      </c>
      <c r="F2214" t="str">
        <f t="shared" si="129"/>
        <v/>
      </c>
      <c r="G2214" t="str">
        <f>SUBSTITUTE(B2215,CHAR(34),CHAR(92)&amp;CHAR(34))</f>
        <v/>
      </c>
      <c r="H2214" t="str">
        <f>SUBSTITUTE(B2216,CHAR(34),CHAR(92)&amp;CHAR(34))</f>
        <v>Chỉ xe khách, xe mô tô.</v>
      </c>
      <c r="I2214" t="str">
        <f>SUBSTITUTE(IF(LEFT(A2217,3)="Câu","",B2217),CHAR(34),CHAR(92)&amp;CHAR(34))</f>
        <v xml:space="preserve"> Tất cả các loại xe trên.</v>
      </c>
      <c r="J2214" t="str">
        <f>SUBSTITUTE(IF(OR(LEFT(A2218,3)="Câu",I2214=""),"",IF(B2218=0,"",B2218)),CHAR(34),CHAR(92)&amp;CHAR(34))</f>
        <v>Không xe nào chấp hành đúng quy tắc giao thông.</v>
      </c>
      <c r="K2214" t="str">
        <f>SUBSTITUTE(SUBSTITUTE(SUBSTITUTE(SUBSTITUTE(IFERROR(VLOOKUP("Câu "&amp;D2214&amp;".",dapan!$E:$J,6,0),""),"1","A"),"2","B"),"3","C"),"4","D")</f>
        <v/>
      </c>
      <c r="P2214" t="str">
        <f t="shared" si="127"/>
        <v/>
      </c>
      <c r="Q2214" t="str">
        <f t="shared" si="128"/>
        <v/>
      </c>
    </row>
    <row r="2215" spans="1:17" x14ac:dyDescent="0.25">
      <c r="A2215" t="s">
        <v>1557</v>
      </c>
      <c r="C2215">
        <f>IFERROR(COUNTIFS($A$1:A2215,"Câu "&amp;"*")-MID(A2215,5,FIND(".",A2215,1)-5),0)</f>
        <v>0</v>
      </c>
      <c r="D2215">
        <f t="shared" si="130"/>
        <v>538</v>
      </c>
      <c r="E2215" t="str">
        <f>SUBSTITUTE(IF(LEFT(A2215,3)="Câu",MID(A2215,FIND(".",A2215,1)+2,LEN(A2215)),""),CHAR(34),CHAR(92)&amp;CHAR(34))</f>
        <v>Trong hình dưới đây, xe nào chấp hành đúng quy tắc giao thông?</v>
      </c>
      <c r="F2215" t="str">
        <f t="shared" si="129"/>
        <v>q538.jpg</v>
      </c>
      <c r="G2215" t="str">
        <f>SUBSTITUTE(B2216,CHAR(34),CHAR(92)&amp;CHAR(34))</f>
        <v>Chỉ xe khách, xe mô tô.</v>
      </c>
      <c r="H2215" t="str">
        <f>SUBSTITUTE(B2217,CHAR(34),CHAR(92)&amp;CHAR(34))</f>
        <v xml:space="preserve"> Tất cả các loại xe trên.</v>
      </c>
      <c r="I2215" t="str">
        <f>SUBSTITUTE(IF(LEFT(A2218,3)="Câu","",B2218),CHAR(34),CHAR(92)&amp;CHAR(34))</f>
        <v>Không xe nào chấp hành đúng quy tắc giao thông.</v>
      </c>
      <c r="J2215" t="str">
        <f>SUBSTITUTE(IF(OR(LEFT(A2219,3)="Câu",I2215=""),"",IF(B2219=0,"",B2219)),CHAR(34),CHAR(92)&amp;CHAR(34))</f>
        <v/>
      </c>
      <c r="K2215" t="str">
        <f ca="1">SUBSTITUTE(SUBSTITUTE(SUBSTITUTE(SUBSTITUTE(IFERROR(VLOOKUP("Câu "&amp;D2215&amp;".",dapan!$E:$J,6,0),""),"1","A"),"2","B"),"3","C"),"4","D")</f>
        <v>B</v>
      </c>
      <c r="P2215">
        <f t="shared" si="127"/>
        <v>538</v>
      </c>
      <c r="Q2215" t="str">
        <f t="shared" ca="1" si="128"/>
        <v>{"num":538,"id":538,"q":"Trong hình dưới đây, xe nào chấp hành đúng quy tắc giao thông?","img":"q538.jpg","opts":{"A":"Chỉ xe khách, xe mô tô.","B":" Tất cả các loại xe trên.","C":"Không xe nào chấp hành đúng quy tắc giao thông."},"answer":"B"},</v>
      </c>
    </row>
    <row r="2216" spans="1:17" hidden="1" x14ac:dyDescent="0.25">
      <c r="A2216">
        <v>1</v>
      </c>
      <c r="B2216" t="s">
        <v>1558</v>
      </c>
      <c r="C2216">
        <f>IFERROR(COUNTIFS($A$1:A2216,"Câu "&amp;"*")-MID(A2216,5,FIND(".",A2216,1)-5),0)</f>
        <v>0</v>
      </c>
      <c r="D2216" t="str">
        <f t="shared" si="130"/>
        <v/>
      </c>
      <c r="E2216" t="str">
        <f>SUBSTITUTE(IF(LEFT(A2216,3)="Câu",MID(A2216,FIND(".",A2216,1)+2,LEN(A2216)),""),CHAR(34),CHAR(92)&amp;CHAR(34))</f>
        <v/>
      </c>
      <c r="F2216" t="str">
        <f t="shared" si="129"/>
        <v/>
      </c>
      <c r="G2216" t="str">
        <f>SUBSTITUTE(B2217,CHAR(34),CHAR(92)&amp;CHAR(34))</f>
        <v xml:space="preserve"> Tất cả các loại xe trên.</v>
      </c>
      <c r="H2216" t="str">
        <f>SUBSTITUTE(B2218,CHAR(34),CHAR(92)&amp;CHAR(34))</f>
        <v>Không xe nào chấp hành đúng quy tắc giao thông.</v>
      </c>
      <c r="I2216" t="str">
        <f>SUBSTITUTE(IF(LEFT(A2219,3)="Câu","",B2219),CHAR(34),CHAR(92)&amp;CHAR(34))</f>
        <v/>
      </c>
      <c r="J2216" t="str">
        <f>SUBSTITUTE(IF(OR(LEFT(A2220,3)="Câu",I2216=""),"",IF(B2220=0,"",B2220)),CHAR(34),CHAR(92)&amp;CHAR(34))</f>
        <v/>
      </c>
      <c r="K2216" t="str">
        <f>SUBSTITUTE(SUBSTITUTE(SUBSTITUTE(SUBSTITUTE(IFERROR(VLOOKUP("Câu "&amp;D2216&amp;".",dapan!$E:$J,6,0),""),"1","A"),"2","B"),"3","C"),"4","D")</f>
        <v/>
      </c>
      <c r="P2216" t="str">
        <f t="shared" si="127"/>
        <v/>
      </c>
      <c r="Q2216" t="str">
        <f t="shared" si="128"/>
        <v/>
      </c>
    </row>
    <row r="2217" spans="1:17" hidden="1" x14ac:dyDescent="0.25">
      <c r="A2217">
        <v>2</v>
      </c>
      <c r="B2217" t="s">
        <v>1559</v>
      </c>
      <c r="C2217">
        <f>IFERROR(COUNTIFS($A$1:A2217,"Câu "&amp;"*")-MID(A2217,5,FIND(".",A2217,1)-5),0)</f>
        <v>0</v>
      </c>
      <c r="D2217" t="str">
        <f t="shared" si="130"/>
        <v/>
      </c>
      <c r="E2217" t="str">
        <f>SUBSTITUTE(IF(LEFT(A2217,3)="Câu",MID(A2217,FIND(".",A2217,1)+2,LEN(A2217)),""),CHAR(34),CHAR(92)&amp;CHAR(34))</f>
        <v/>
      </c>
      <c r="F2217" t="str">
        <f t="shared" si="129"/>
        <v/>
      </c>
      <c r="G2217" t="str">
        <f>SUBSTITUTE(B2218,CHAR(34),CHAR(92)&amp;CHAR(34))</f>
        <v>Không xe nào chấp hành đúng quy tắc giao thông.</v>
      </c>
      <c r="H2217" t="str">
        <f>SUBSTITUTE(B2219,CHAR(34),CHAR(92)&amp;CHAR(34))</f>
        <v/>
      </c>
      <c r="I2217" t="str">
        <f>SUBSTITUTE(IF(LEFT(A2220,3)="Câu","",B2220),CHAR(34),CHAR(92)&amp;CHAR(34))</f>
        <v>Cả ba hướng.</v>
      </c>
      <c r="J2217" t="str">
        <f>SUBSTITUTE(IF(OR(LEFT(A2221,3)="Câu",I2217=""),"",IF(B2221=0,"",B2221)),CHAR(34),CHAR(92)&amp;CHAR(34))</f>
        <v>Hướng 1 và 2.</v>
      </c>
      <c r="K2217" t="str">
        <f>SUBSTITUTE(SUBSTITUTE(SUBSTITUTE(SUBSTITUTE(IFERROR(VLOOKUP("Câu "&amp;D2217&amp;".",dapan!$E:$J,6,0),""),"1","A"),"2","B"),"3","C"),"4","D")</f>
        <v/>
      </c>
      <c r="P2217" t="str">
        <f t="shared" si="127"/>
        <v/>
      </c>
      <c r="Q2217" t="str">
        <f t="shared" si="128"/>
        <v/>
      </c>
    </row>
    <row r="2218" spans="1:17" hidden="1" x14ac:dyDescent="0.25">
      <c r="A2218">
        <v>3</v>
      </c>
      <c r="B2218" t="s">
        <v>1560</v>
      </c>
      <c r="C2218">
        <f>IFERROR(COUNTIFS($A$1:A2218,"Câu "&amp;"*")-MID(A2218,5,FIND(".",A2218,1)-5),0)</f>
        <v>0</v>
      </c>
      <c r="D2218" t="str">
        <f t="shared" si="130"/>
        <v/>
      </c>
      <c r="E2218" t="str">
        <f>SUBSTITUTE(IF(LEFT(A2218,3)="Câu",MID(A2218,FIND(".",A2218,1)+2,LEN(A2218)),""),CHAR(34),CHAR(92)&amp;CHAR(34))</f>
        <v/>
      </c>
      <c r="F2218" t="str">
        <f t="shared" si="129"/>
        <v/>
      </c>
      <c r="G2218" t="str">
        <f>SUBSTITUTE(B2219,CHAR(34),CHAR(92)&amp;CHAR(34))</f>
        <v/>
      </c>
      <c r="H2218" t="str">
        <f>SUBSTITUTE(B2220,CHAR(34),CHAR(92)&amp;CHAR(34))</f>
        <v>Cả ba hướng.</v>
      </c>
      <c r="I2218" t="str">
        <f>SUBSTITUTE(IF(LEFT(A2221,3)="Câu","",B2221),CHAR(34),CHAR(92)&amp;CHAR(34))</f>
        <v>Hướng 1 và 2.</v>
      </c>
      <c r="J2218" t="str">
        <f>SUBSTITUTE(IF(OR(LEFT(A2222,3)="Câu",I2218=""),"",IF(B2222=0,"",B2222)),CHAR(34),CHAR(92)&amp;CHAR(34))</f>
        <v xml:space="preserve"> Hướng 1 và 3.</v>
      </c>
      <c r="K2218" t="str">
        <f>SUBSTITUTE(SUBSTITUTE(SUBSTITUTE(SUBSTITUTE(IFERROR(VLOOKUP("Câu "&amp;D2218&amp;".",dapan!$E:$J,6,0),""),"1","A"),"2","B"),"3","C"),"4","D")</f>
        <v/>
      </c>
      <c r="P2218" t="str">
        <f t="shared" si="127"/>
        <v/>
      </c>
      <c r="Q2218" t="str">
        <f t="shared" si="128"/>
        <v/>
      </c>
    </row>
    <row r="2219" spans="1:17" x14ac:dyDescent="0.25">
      <c r="A2219" t="s">
        <v>1561</v>
      </c>
      <c r="C2219">
        <f>IFERROR(COUNTIFS($A$1:A2219,"Câu "&amp;"*")-MID(A2219,5,FIND(".",A2219,1)-5),0)</f>
        <v>0</v>
      </c>
      <c r="D2219">
        <f t="shared" si="130"/>
        <v>539</v>
      </c>
      <c r="E2219" t="str">
        <f>SUBSTITUTE(IF(LEFT(A2219,3)="Câu",MID(A2219,FIND(".",A2219,1)+2,LEN(A2219)),""),CHAR(34),CHAR(92)&amp;CHAR(34))</f>
        <v>Theo hướng mũi tên, những hướng nào xe mô tô được phép đi?</v>
      </c>
      <c r="F2219" t="str">
        <f t="shared" si="129"/>
        <v>q539.jpg</v>
      </c>
      <c r="G2219" t="str">
        <f>SUBSTITUTE(B2220,CHAR(34),CHAR(92)&amp;CHAR(34))</f>
        <v>Cả ba hướng.</v>
      </c>
      <c r="H2219" t="str">
        <f>SUBSTITUTE(B2221,CHAR(34),CHAR(92)&amp;CHAR(34))</f>
        <v>Hướng 1 và 2.</v>
      </c>
      <c r="I2219" t="str">
        <f>SUBSTITUTE(IF(LEFT(A2222,3)="Câu","",B2222),CHAR(34),CHAR(92)&amp;CHAR(34))</f>
        <v xml:space="preserve"> Hướng 1 và 3.</v>
      </c>
      <c r="J2219" t="str">
        <f>SUBSTITUTE(IF(OR(LEFT(A2223,3)="Câu",I2219=""),"",IF(B2223=0,"",B2223)),CHAR(34),CHAR(92)&amp;CHAR(34))</f>
        <v>Hướng 2 và 3.</v>
      </c>
      <c r="K2219" t="str">
        <f ca="1">SUBSTITUTE(SUBSTITUTE(SUBSTITUTE(SUBSTITUTE(IFERROR(VLOOKUP("Câu "&amp;D2219&amp;".",dapan!$E:$J,6,0),""),"1","A"),"2","B"),"3","C"),"4","D")</f>
        <v>C</v>
      </c>
      <c r="P2219">
        <f t="shared" si="127"/>
        <v>539</v>
      </c>
      <c r="Q2219" t="str">
        <f t="shared" ca="1" si="128"/>
        <v>{"num":539,"id":539,"q":"Theo hướng mũi tên, những hướng nào xe mô tô được phép đi?","img":"q539.jpg","opts":{"A":"Cả ba hướng.","B":"Hướng 1 và 2.","C":" Hướng 1 và 3.","D":"Hướng 2 và 3."},"answer":"C"},</v>
      </c>
    </row>
    <row r="2220" spans="1:17" hidden="1" x14ac:dyDescent="0.25">
      <c r="A2220">
        <v>1</v>
      </c>
      <c r="B2220" t="s">
        <v>1516</v>
      </c>
      <c r="C2220">
        <f>IFERROR(COUNTIFS($A$1:A2220,"Câu "&amp;"*")-MID(A2220,5,FIND(".",A2220,1)-5),0)</f>
        <v>0</v>
      </c>
      <c r="D2220" t="str">
        <f t="shared" si="130"/>
        <v/>
      </c>
      <c r="E2220" t="str">
        <f>SUBSTITUTE(IF(LEFT(A2220,3)="Câu",MID(A2220,FIND(".",A2220,1)+2,LEN(A2220)),""),CHAR(34),CHAR(92)&amp;CHAR(34))</f>
        <v/>
      </c>
      <c r="F2220" t="str">
        <f t="shared" si="129"/>
        <v/>
      </c>
      <c r="G2220" t="str">
        <f>SUBSTITUTE(B2221,CHAR(34),CHAR(92)&amp;CHAR(34))</f>
        <v>Hướng 1 và 2.</v>
      </c>
      <c r="H2220" t="str">
        <f>SUBSTITUTE(B2222,CHAR(34),CHAR(92)&amp;CHAR(34))</f>
        <v xml:space="preserve"> Hướng 1 và 3.</v>
      </c>
      <c r="I2220" t="str">
        <f>SUBSTITUTE(IF(LEFT(A2223,3)="Câu","",B2223),CHAR(34),CHAR(92)&amp;CHAR(34))</f>
        <v>Hướng 2 và 3.</v>
      </c>
      <c r="J2220" t="str">
        <f>SUBSTITUTE(IF(OR(LEFT(A2224,3)="Câu",I2220=""),"",IF(B2224=0,"",B2224)),CHAR(34),CHAR(92)&amp;CHAR(34))</f>
        <v/>
      </c>
      <c r="K2220" t="str">
        <f>SUBSTITUTE(SUBSTITUTE(SUBSTITUTE(SUBSTITUTE(IFERROR(VLOOKUP("Câu "&amp;D2220&amp;".",dapan!$E:$J,6,0),""),"1","A"),"2","B"),"3","C"),"4","D")</f>
        <v/>
      </c>
      <c r="P2220" t="str">
        <f t="shared" si="127"/>
        <v/>
      </c>
      <c r="Q2220" t="str">
        <f t="shared" si="128"/>
        <v/>
      </c>
    </row>
    <row r="2221" spans="1:17" hidden="1" x14ac:dyDescent="0.25">
      <c r="A2221">
        <v>2</v>
      </c>
      <c r="B2221" t="s">
        <v>1449</v>
      </c>
      <c r="C2221">
        <f>IFERROR(COUNTIFS($A$1:A2221,"Câu "&amp;"*")-MID(A2221,5,FIND(".",A2221,1)-5),0)</f>
        <v>0</v>
      </c>
      <c r="D2221" t="str">
        <f t="shared" si="130"/>
        <v/>
      </c>
      <c r="E2221" t="str">
        <f>SUBSTITUTE(IF(LEFT(A2221,3)="Câu",MID(A2221,FIND(".",A2221,1)+2,LEN(A2221)),""),CHAR(34),CHAR(92)&amp;CHAR(34))</f>
        <v/>
      </c>
      <c r="F2221" t="str">
        <f t="shared" si="129"/>
        <v/>
      </c>
      <c r="G2221" t="str">
        <f>SUBSTITUTE(B2222,CHAR(34),CHAR(92)&amp;CHAR(34))</f>
        <v xml:space="preserve"> Hướng 1 và 3.</v>
      </c>
      <c r="H2221" t="str">
        <f>SUBSTITUTE(B2223,CHAR(34),CHAR(92)&amp;CHAR(34))</f>
        <v>Hướng 2 và 3.</v>
      </c>
      <c r="I2221" t="str">
        <f>SUBSTITUTE(IF(LEFT(A2224,3)="Câu","",B2224),CHAR(34),CHAR(92)&amp;CHAR(34))</f>
        <v/>
      </c>
      <c r="J2221" t="str">
        <f>SUBSTITUTE(IF(OR(LEFT(A2225,3)="Câu",I2221=""),"",IF(B2225=0,"",B2225)),CHAR(34),CHAR(92)&amp;CHAR(34))</f>
        <v/>
      </c>
      <c r="K2221" t="str">
        <f>SUBSTITUTE(SUBSTITUTE(SUBSTITUTE(SUBSTITUTE(IFERROR(VLOOKUP("Câu "&amp;D2221&amp;".",dapan!$E:$J,6,0),""),"1","A"),"2","B"),"3","C"),"4","D")</f>
        <v/>
      </c>
      <c r="P2221" t="str">
        <f t="shared" si="127"/>
        <v/>
      </c>
      <c r="Q2221" t="str">
        <f t="shared" si="128"/>
        <v/>
      </c>
    </row>
    <row r="2222" spans="1:17" hidden="1" x14ac:dyDescent="0.25">
      <c r="A2222">
        <v>3</v>
      </c>
      <c r="B2222" t="s">
        <v>1562</v>
      </c>
      <c r="C2222">
        <f>IFERROR(COUNTIFS($A$1:A2222,"Câu "&amp;"*")-MID(A2222,5,FIND(".",A2222,1)-5),0)</f>
        <v>0</v>
      </c>
      <c r="D2222" t="str">
        <f t="shared" si="130"/>
        <v/>
      </c>
      <c r="E2222" t="str">
        <f>SUBSTITUTE(IF(LEFT(A2222,3)="Câu",MID(A2222,FIND(".",A2222,1)+2,LEN(A2222)),""),CHAR(34),CHAR(92)&amp;CHAR(34))</f>
        <v/>
      </c>
      <c r="F2222" t="str">
        <f t="shared" si="129"/>
        <v/>
      </c>
      <c r="G2222" t="str">
        <f>SUBSTITUTE(B2223,CHAR(34),CHAR(92)&amp;CHAR(34))</f>
        <v>Hướng 2 và 3.</v>
      </c>
      <c r="H2222" t="str">
        <f>SUBSTITUTE(B2224,CHAR(34),CHAR(92)&amp;CHAR(34))</f>
        <v/>
      </c>
      <c r="I2222" t="str">
        <f>SUBSTITUTE(IF(LEFT(A2225,3)="Câu","",B2225),CHAR(34),CHAR(92)&amp;CHAR(34))</f>
        <v>Xe công an đi làm nhiệm vụ khẩn cấp, xe quân sự đi làm nhiệm vụ khẩn cấp, xe con + xe mô tô.</v>
      </c>
      <c r="J2222" t="str">
        <f>SUBSTITUTE(IF(OR(LEFT(A2226,3)="Câu",I2222=""),"",IF(B2226=0,"",B2226)),CHAR(34),CHAR(92)&amp;CHAR(34))</f>
        <v xml:space="preserve"> Xe quân sự đi làm nhiệm vụ khẩn cấp, xe công an đi làm nhiệm vụ khẩn cấp, xe con + xe mô tô.</v>
      </c>
      <c r="K2222" t="str">
        <f>SUBSTITUTE(SUBSTITUTE(SUBSTITUTE(SUBSTITUTE(IFERROR(VLOOKUP("Câu "&amp;D2222&amp;".",dapan!$E:$J,6,0),""),"1","A"),"2","B"),"3","C"),"4","D")</f>
        <v/>
      </c>
      <c r="P2222" t="str">
        <f t="shared" si="127"/>
        <v/>
      </c>
      <c r="Q2222" t="str">
        <f t="shared" si="128"/>
        <v/>
      </c>
    </row>
    <row r="2223" spans="1:17" hidden="1" x14ac:dyDescent="0.25">
      <c r="A2223">
        <v>4</v>
      </c>
      <c r="B2223" t="s">
        <v>1489</v>
      </c>
      <c r="C2223">
        <f>IFERROR(COUNTIFS($A$1:A2223,"Câu "&amp;"*")-MID(A2223,5,FIND(".",A2223,1)-5),0)</f>
        <v>0</v>
      </c>
      <c r="D2223" t="str">
        <f t="shared" si="130"/>
        <v/>
      </c>
      <c r="E2223" t="str">
        <f>SUBSTITUTE(IF(LEFT(A2223,3)="Câu",MID(A2223,FIND(".",A2223,1)+2,LEN(A2223)),""),CHAR(34),CHAR(92)&amp;CHAR(34))</f>
        <v/>
      </c>
      <c r="F2223" t="str">
        <f t="shared" si="129"/>
        <v/>
      </c>
      <c r="G2223" t="str">
        <f>SUBSTITUTE(B2224,CHAR(34),CHAR(92)&amp;CHAR(34))</f>
        <v/>
      </c>
      <c r="H2223" t="str">
        <f>SUBSTITUTE(B2225,CHAR(34),CHAR(92)&amp;CHAR(34))</f>
        <v>Xe công an đi làm nhiệm vụ khẩn cấp, xe quân sự đi làm nhiệm vụ khẩn cấp, xe con + xe mô tô.</v>
      </c>
      <c r="I2223" t="str">
        <f>SUBSTITUTE(IF(LEFT(A2226,3)="Câu","",B2226),CHAR(34),CHAR(92)&amp;CHAR(34))</f>
        <v xml:space="preserve"> Xe quân sự đi làm nhiệm vụ khẩn cấp, xe công an đi làm nhiệm vụ khẩn cấp, xe con + xe mô tô.</v>
      </c>
      <c r="J2223" t="str">
        <f>SUBSTITUTE(IF(OR(LEFT(A2227,3)="Câu",I2223=""),"",IF(B2227=0,"",B2227)),CHAR(34),CHAR(92)&amp;CHAR(34))</f>
        <v>Xe mô tô + xe con, xe quân sự đi làm nhiệm vụ khẩn cấp, xe công an đi làm nhiệm vụ khẩn cấp.</v>
      </c>
      <c r="K2223" t="str">
        <f>SUBSTITUTE(SUBSTITUTE(SUBSTITUTE(SUBSTITUTE(IFERROR(VLOOKUP("Câu "&amp;D2223&amp;".",dapan!$E:$J,6,0),""),"1","A"),"2","B"),"3","C"),"4","D")</f>
        <v/>
      </c>
      <c r="P2223" t="str">
        <f t="shared" si="127"/>
        <v/>
      </c>
      <c r="Q2223" t="str">
        <f t="shared" si="128"/>
        <v/>
      </c>
    </row>
    <row r="2224" spans="1:17" x14ac:dyDescent="0.25">
      <c r="A2224" t="s">
        <v>1563</v>
      </c>
      <c r="C2224">
        <f>IFERROR(COUNTIFS($A$1:A2224,"Câu "&amp;"*")-MID(A2224,5,FIND(".",A2224,1)-5),0)</f>
        <v>0</v>
      </c>
      <c r="D2224">
        <f t="shared" si="130"/>
        <v>540</v>
      </c>
      <c r="E2224" t="str">
        <f>SUBSTITUTE(IF(LEFT(A2224,3)="Câu",MID(A2224,FIND(".",A2224,1)+2,LEN(A2224)),""),CHAR(34),CHAR(92)&amp;CHAR(34))</f>
        <v>Trong trường hợp này, thứ tự xe đi như thế nào là đúng quy tắc giao thông?</v>
      </c>
      <c r="F2224" t="str">
        <f t="shared" si="129"/>
        <v>q540.jpg</v>
      </c>
      <c r="G2224" t="str">
        <f>SUBSTITUTE(B2225,CHAR(34),CHAR(92)&amp;CHAR(34))</f>
        <v>Xe công an đi làm nhiệm vụ khẩn cấp, xe quân sự đi làm nhiệm vụ khẩn cấp, xe con + xe mô tô.</v>
      </c>
      <c r="H2224" t="str">
        <f>SUBSTITUTE(B2226,CHAR(34),CHAR(92)&amp;CHAR(34))</f>
        <v xml:space="preserve"> Xe quân sự đi làm nhiệm vụ khẩn cấp, xe công an đi làm nhiệm vụ khẩn cấp, xe con + xe mô tô.</v>
      </c>
      <c r="I2224" t="str">
        <f>SUBSTITUTE(IF(LEFT(A2227,3)="Câu","",B2227),CHAR(34),CHAR(92)&amp;CHAR(34))</f>
        <v>Xe mô tô + xe con, xe quân sự đi làm nhiệm vụ khẩn cấp, xe công an đi làm nhiệm vụ khẩn cấp.</v>
      </c>
      <c r="J2224" t="str">
        <f>SUBSTITUTE(IF(OR(LEFT(A2228,3)="Câu",I2224=""),"",IF(B2228=0,"",B2228)),CHAR(34),CHAR(92)&amp;CHAR(34))</f>
        <v/>
      </c>
      <c r="K2224" t="str">
        <f ca="1">SUBSTITUTE(SUBSTITUTE(SUBSTITUTE(SUBSTITUTE(IFERROR(VLOOKUP("Câu "&amp;D2224&amp;".",dapan!$E:$J,6,0),""),"1","A"),"2","B"),"3","C"),"4","D")</f>
        <v>B</v>
      </c>
      <c r="P2224">
        <f t="shared" si="127"/>
        <v>540</v>
      </c>
      <c r="Q2224" t="str">
        <f t="shared" ca="1" si="128"/>
        <v>{"num":540,"id":540,"q":"Trong trường hợp này, thứ tự xe đi như thế nào là đúng quy tắc giao thông?","img":"q540.jpg","opts":{"A":"Xe công an đi làm nhiệm vụ khẩn cấp, xe quân sự đi làm nhiệm vụ khẩn cấp, xe con + xe mô tô.","B":" Xe quân sự đi làm nhiệm vụ khẩn cấp, xe công an đi làm nhiệm vụ khẩn cấp, xe con + xe mô tô.","C":"Xe mô tô + xe con, xe quân sự đi làm nhiệm vụ khẩn cấp, xe công an đi làm nhiệm vụ khẩn cấp."},"answer":"B"},</v>
      </c>
    </row>
    <row r="2225" spans="1:17" hidden="1" x14ac:dyDescent="0.25">
      <c r="A2225">
        <v>1</v>
      </c>
      <c r="B2225" t="s">
        <v>1564</v>
      </c>
      <c r="C2225">
        <f>IFERROR(COUNTIFS($A$1:A2225,"Câu "&amp;"*")-MID(A2225,5,FIND(".",A2225,1)-5),0)</f>
        <v>0</v>
      </c>
      <c r="D2225" t="str">
        <f t="shared" si="130"/>
        <v/>
      </c>
      <c r="E2225" t="str">
        <f>SUBSTITUTE(IF(LEFT(A2225,3)="Câu",MID(A2225,FIND(".",A2225,1)+2,LEN(A2225)),""),CHAR(34),CHAR(92)&amp;CHAR(34))</f>
        <v/>
      </c>
      <c r="F2225" t="str">
        <f t="shared" si="129"/>
        <v/>
      </c>
      <c r="G2225" t="str">
        <f>SUBSTITUTE(B2226,CHAR(34),CHAR(92)&amp;CHAR(34))</f>
        <v xml:space="preserve"> Xe quân sự đi làm nhiệm vụ khẩn cấp, xe công an đi làm nhiệm vụ khẩn cấp, xe con + xe mô tô.</v>
      </c>
      <c r="H2225" t="str">
        <f>SUBSTITUTE(B2227,CHAR(34),CHAR(92)&amp;CHAR(34))</f>
        <v>Xe mô tô + xe con, xe quân sự đi làm nhiệm vụ khẩn cấp, xe công an đi làm nhiệm vụ khẩn cấp.</v>
      </c>
      <c r="I2225" t="str">
        <f>SUBSTITUTE(IF(LEFT(A2228,3)="Câu","",B2228),CHAR(34),CHAR(92)&amp;CHAR(34))</f>
        <v/>
      </c>
      <c r="J2225" t="str">
        <f>SUBSTITUTE(IF(OR(LEFT(A2229,3)="Câu",I2225=""),"",IF(B2229=0,"",B2229)),CHAR(34),CHAR(92)&amp;CHAR(34))</f>
        <v/>
      </c>
      <c r="K2225" t="str">
        <f>SUBSTITUTE(SUBSTITUTE(SUBSTITUTE(SUBSTITUTE(IFERROR(VLOOKUP("Câu "&amp;D2225&amp;".",dapan!$E:$J,6,0),""),"1","A"),"2","B"),"3","C"),"4","D")</f>
        <v/>
      </c>
      <c r="P2225" t="str">
        <f t="shared" si="127"/>
        <v/>
      </c>
      <c r="Q2225" t="str">
        <f t="shared" si="128"/>
        <v/>
      </c>
    </row>
    <row r="2226" spans="1:17" hidden="1" x14ac:dyDescent="0.25">
      <c r="A2226">
        <v>2</v>
      </c>
      <c r="B2226" t="s">
        <v>1565</v>
      </c>
      <c r="C2226">
        <f>IFERROR(COUNTIFS($A$1:A2226,"Câu "&amp;"*")-MID(A2226,5,FIND(".",A2226,1)-5),0)</f>
        <v>0</v>
      </c>
      <c r="D2226" t="str">
        <f t="shared" si="130"/>
        <v/>
      </c>
      <c r="E2226" t="str">
        <f>SUBSTITUTE(IF(LEFT(A2226,3)="Câu",MID(A2226,FIND(".",A2226,1)+2,LEN(A2226)),""),CHAR(34),CHAR(92)&amp;CHAR(34))</f>
        <v/>
      </c>
      <c r="F2226" t="str">
        <f t="shared" si="129"/>
        <v/>
      </c>
      <c r="G2226" t="str">
        <f>SUBSTITUTE(B2227,CHAR(34),CHAR(92)&amp;CHAR(34))</f>
        <v>Xe mô tô + xe con, xe quân sự đi làm nhiệm vụ khẩn cấp, xe công an đi làm nhiệm vụ khẩn cấp.</v>
      </c>
      <c r="H2226" t="str">
        <f>SUBSTITUTE(B2228,CHAR(34),CHAR(92)&amp;CHAR(34))</f>
        <v/>
      </c>
      <c r="I2226" t="str">
        <f>SUBSTITUTE(IF(LEFT(A2229,3)="Câu","",B2229),CHAR(34),CHAR(92)&amp;CHAR(34))</f>
        <v xml:space="preserve"> Xe A.</v>
      </c>
      <c r="J2226" t="str">
        <f>SUBSTITUTE(IF(OR(LEFT(A2230,3)="Câu",I2226=""),"",IF(B2230=0,"",B2230)),CHAR(34),CHAR(92)&amp;CHAR(34))</f>
        <v>Xe B.</v>
      </c>
      <c r="K2226" t="str">
        <f>SUBSTITUTE(SUBSTITUTE(SUBSTITUTE(SUBSTITUTE(IFERROR(VLOOKUP("Câu "&amp;D2226&amp;".",dapan!$E:$J,6,0),""),"1","A"),"2","B"),"3","C"),"4","D")</f>
        <v/>
      </c>
      <c r="P2226" t="str">
        <f t="shared" si="127"/>
        <v/>
      </c>
      <c r="Q2226" t="str">
        <f t="shared" si="128"/>
        <v/>
      </c>
    </row>
    <row r="2227" spans="1:17" hidden="1" x14ac:dyDescent="0.25">
      <c r="A2227">
        <v>3</v>
      </c>
      <c r="B2227" t="s">
        <v>1566</v>
      </c>
      <c r="C2227">
        <f>IFERROR(COUNTIFS($A$1:A2227,"Câu "&amp;"*")-MID(A2227,5,FIND(".",A2227,1)-5),0)</f>
        <v>0</v>
      </c>
      <c r="D2227" t="str">
        <f t="shared" si="130"/>
        <v/>
      </c>
      <c r="E2227" t="str">
        <f>SUBSTITUTE(IF(LEFT(A2227,3)="Câu",MID(A2227,FIND(".",A2227,1)+2,LEN(A2227)),""),CHAR(34),CHAR(92)&amp;CHAR(34))</f>
        <v/>
      </c>
      <c r="F2227" t="str">
        <f t="shared" si="129"/>
        <v/>
      </c>
      <c r="G2227" t="str">
        <f>SUBSTITUTE(B2228,CHAR(34),CHAR(92)&amp;CHAR(34))</f>
        <v/>
      </c>
      <c r="H2227" t="str">
        <f>SUBSTITUTE(B2229,CHAR(34),CHAR(92)&amp;CHAR(34))</f>
        <v xml:space="preserve"> Xe A.</v>
      </c>
      <c r="I2227" t="str">
        <f>SUBSTITUTE(IF(LEFT(A2230,3)="Câu","",B2230),CHAR(34),CHAR(92)&amp;CHAR(34))</f>
        <v>Xe B.</v>
      </c>
      <c r="J2227" t="str">
        <f>SUBSTITUTE(IF(OR(LEFT(A2231,3)="Câu",I2227=""),"",IF(B2231=0,"",B2231)),CHAR(34),CHAR(92)&amp;CHAR(34))</f>
        <v/>
      </c>
      <c r="K2227" t="str">
        <f>SUBSTITUTE(SUBSTITUTE(SUBSTITUTE(SUBSTITUTE(IFERROR(VLOOKUP("Câu "&amp;D2227&amp;".",dapan!$E:$J,6,0),""),"1","A"),"2","B"),"3","C"),"4","D")</f>
        <v/>
      </c>
      <c r="P2227" t="str">
        <f t="shared" si="127"/>
        <v/>
      </c>
      <c r="Q2227" t="str">
        <f t="shared" si="128"/>
        <v/>
      </c>
    </row>
    <row r="2228" spans="1:17" x14ac:dyDescent="0.25">
      <c r="A2228" t="s">
        <v>1567</v>
      </c>
      <c r="C2228">
        <f>IFERROR(COUNTIFS($A$1:A2228,"Câu "&amp;"*")-MID(A2228,5,FIND(".",A2228,1)-5),0)</f>
        <v>0</v>
      </c>
      <c r="D2228">
        <f t="shared" si="130"/>
        <v>541</v>
      </c>
      <c r="E2228" t="str">
        <f>SUBSTITUTE(IF(LEFT(A2228,3)="Câu",MID(A2228,FIND(".",A2228,1)+2,LEN(A2228)),""),CHAR(34),CHAR(92)&amp;CHAR(34))</f>
        <v>Xe nào phải nhường đường là đúng quy tắc giao thông?</v>
      </c>
      <c r="F2228" t="str">
        <f t="shared" si="129"/>
        <v>q541.jpg</v>
      </c>
      <c r="G2228" t="str">
        <f>SUBSTITUTE(B2229,CHAR(34),CHAR(92)&amp;CHAR(34))</f>
        <v xml:space="preserve"> Xe A.</v>
      </c>
      <c r="H2228" t="str">
        <f>SUBSTITUTE(B2230,CHAR(34),CHAR(92)&amp;CHAR(34))</f>
        <v>Xe B.</v>
      </c>
      <c r="I2228" t="str">
        <f>SUBSTITUTE(IF(LEFT(A2231,3)="Câu","",B2231),CHAR(34),CHAR(92)&amp;CHAR(34))</f>
        <v/>
      </c>
      <c r="J2228" t="str">
        <f>SUBSTITUTE(IF(OR(LEFT(A2232,3)="Câu",I2228=""),"",IF(B2232=0,"",B2232)),CHAR(34),CHAR(92)&amp;CHAR(34))</f>
        <v/>
      </c>
      <c r="K2228" t="str">
        <f ca="1">SUBSTITUTE(SUBSTITUTE(SUBSTITUTE(SUBSTITUTE(IFERROR(VLOOKUP("Câu "&amp;D2228&amp;".",dapan!$E:$J,6,0),""),"1","A"),"2","B"),"3","C"),"4","D")</f>
        <v>A</v>
      </c>
      <c r="P2228">
        <f t="shared" si="127"/>
        <v>541</v>
      </c>
      <c r="Q2228" t="str">
        <f t="shared" ca="1" si="128"/>
        <v>{"num":541,"id":541,"q":"Xe nào phải nhường đường là đúng quy tắc giao thông?","img":"q541.jpg","opts":{"A":" Xe A.","B":"Xe B."},"answer":"A"},</v>
      </c>
    </row>
    <row r="2229" spans="1:17" hidden="1" x14ac:dyDescent="0.25">
      <c r="A2229">
        <v>1</v>
      </c>
      <c r="B2229" t="s">
        <v>1568</v>
      </c>
      <c r="C2229">
        <f>IFERROR(COUNTIFS($A$1:A2229,"Câu "&amp;"*")-MID(A2229,5,FIND(".",A2229,1)-5),0)</f>
        <v>0</v>
      </c>
      <c r="D2229" t="str">
        <f t="shared" si="130"/>
        <v/>
      </c>
      <c r="E2229" t="str">
        <f>SUBSTITUTE(IF(LEFT(A2229,3)="Câu",MID(A2229,FIND(".",A2229,1)+2,LEN(A2229)),""),CHAR(34),CHAR(92)&amp;CHAR(34))</f>
        <v/>
      </c>
      <c r="F2229" t="str">
        <f t="shared" si="129"/>
        <v/>
      </c>
      <c r="G2229" t="str">
        <f>SUBSTITUTE(B2230,CHAR(34),CHAR(92)&amp;CHAR(34))</f>
        <v>Xe B.</v>
      </c>
      <c r="H2229" t="str">
        <f>SUBSTITUTE(B2231,CHAR(34),CHAR(92)&amp;CHAR(34))</f>
        <v/>
      </c>
      <c r="I2229" t="str">
        <f>SUBSTITUTE(IF(LEFT(A2232,3)="Câu","",B2232),CHAR(34),CHAR(92)&amp;CHAR(34))</f>
        <v>Không vi phạm.</v>
      </c>
      <c r="J2229" t="str">
        <f>SUBSTITUTE(IF(OR(LEFT(A2233,3)="Câu",I2229=""),"",IF(B2233=0,"",B2233)),CHAR(34),CHAR(92)&amp;CHAR(34))</f>
        <v xml:space="preserve"> Vi phạm.</v>
      </c>
      <c r="K2229" t="str">
        <f>SUBSTITUTE(SUBSTITUTE(SUBSTITUTE(SUBSTITUTE(IFERROR(VLOOKUP("Câu "&amp;D2229&amp;".",dapan!$E:$J,6,0),""),"1","A"),"2","B"),"3","C"),"4","D")</f>
        <v/>
      </c>
      <c r="P2229" t="str">
        <f t="shared" si="127"/>
        <v/>
      </c>
      <c r="Q2229" t="str">
        <f t="shared" si="128"/>
        <v/>
      </c>
    </row>
    <row r="2230" spans="1:17" hidden="1" x14ac:dyDescent="0.25">
      <c r="A2230">
        <v>2</v>
      </c>
      <c r="B2230" t="s">
        <v>1569</v>
      </c>
      <c r="C2230">
        <f>IFERROR(COUNTIFS($A$1:A2230,"Câu "&amp;"*")-MID(A2230,5,FIND(".",A2230,1)-5),0)</f>
        <v>0</v>
      </c>
      <c r="D2230" t="str">
        <f t="shared" si="130"/>
        <v/>
      </c>
      <c r="E2230" t="str">
        <f>SUBSTITUTE(IF(LEFT(A2230,3)="Câu",MID(A2230,FIND(".",A2230,1)+2,LEN(A2230)),""),CHAR(34),CHAR(92)&amp;CHAR(34))</f>
        <v/>
      </c>
      <c r="F2230" t="str">
        <f t="shared" si="129"/>
        <v/>
      </c>
      <c r="G2230" t="str">
        <f>SUBSTITUTE(B2231,CHAR(34),CHAR(92)&amp;CHAR(34))</f>
        <v/>
      </c>
      <c r="H2230" t="str">
        <f>SUBSTITUTE(B2232,CHAR(34),CHAR(92)&amp;CHAR(34))</f>
        <v>Không vi phạm.</v>
      </c>
      <c r="I2230" t="str">
        <f>SUBSTITUTE(IF(LEFT(A2233,3)="Câu","",B2233),CHAR(34),CHAR(92)&amp;CHAR(34))</f>
        <v xml:space="preserve"> Vi phạm.</v>
      </c>
      <c r="J2230" t="str">
        <f>SUBSTITUTE(IF(OR(LEFT(A2234,3)="Câu",I2230=""),"",IF(B2234=0,"",B2234)),CHAR(34),CHAR(92)&amp;CHAR(34))</f>
        <v/>
      </c>
      <c r="K2230" t="str">
        <f>SUBSTITUTE(SUBSTITUTE(SUBSTITUTE(SUBSTITUTE(IFERROR(VLOOKUP("Câu "&amp;D2230&amp;".",dapan!$E:$J,6,0),""),"1","A"),"2","B"),"3","C"),"4","D")</f>
        <v/>
      </c>
      <c r="P2230" t="str">
        <f t="shared" si="127"/>
        <v/>
      </c>
      <c r="Q2230" t="str">
        <f t="shared" si="128"/>
        <v/>
      </c>
    </row>
    <row r="2231" spans="1:17" x14ac:dyDescent="0.25">
      <c r="A2231" t="s">
        <v>1570</v>
      </c>
      <c r="C2231">
        <f>IFERROR(COUNTIFS($A$1:A2231,"Câu "&amp;"*")-MID(A2231,5,FIND(".",A2231,1)-5),0)</f>
        <v>0</v>
      </c>
      <c r="D2231">
        <f t="shared" si="130"/>
        <v>542</v>
      </c>
      <c r="E2231" t="str">
        <f>SUBSTITUTE(IF(LEFT(A2231,3)="Câu",MID(A2231,FIND(".",A2231,1)+2,LEN(A2231)),""),CHAR(34),CHAR(92)&amp;CHAR(34))</f>
        <v>Xe con quay đầu đi ngược lại như hình vẽ dưới có vi phạm quy tắc giao thông không?</v>
      </c>
      <c r="F2231" t="str">
        <f t="shared" si="129"/>
        <v>q542.jpg</v>
      </c>
      <c r="G2231" t="str">
        <f>SUBSTITUTE(B2232,CHAR(34),CHAR(92)&amp;CHAR(34))</f>
        <v>Không vi phạm.</v>
      </c>
      <c r="H2231" t="str">
        <f>SUBSTITUTE(B2233,CHAR(34),CHAR(92)&amp;CHAR(34))</f>
        <v xml:space="preserve"> Vi phạm.</v>
      </c>
      <c r="I2231" t="str">
        <f>SUBSTITUTE(IF(LEFT(A2234,3)="Câu","",B2234),CHAR(34),CHAR(92)&amp;CHAR(34))</f>
        <v/>
      </c>
      <c r="J2231" t="str">
        <f>SUBSTITUTE(IF(OR(LEFT(A2235,3)="Câu",I2231=""),"",IF(B2235=0,"",B2235)),CHAR(34),CHAR(92)&amp;CHAR(34))</f>
        <v/>
      </c>
      <c r="K2231" t="str">
        <f ca="1">SUBSTITUTE(SUBSTITUTE(SUBSTITUTE(SUBSTITUTE(IFERROR(VLOOKUP("Câu "&amp;D2231&amp;".",dapan!$E:$J,6,0),""),"1","A"),"2","B"),"3","C"),"4","D")</f>
        <v>B</v>
      </c>
      <c r="P2231">
        <f t="shared" si="127"/>
        <v>542</v>
      </c>
      <c r="Q2231" t="str">
        <f t="shared" ca="1" si="128"/>
        <v>{"num":542,"id":542,"q":"Xe con quay đầu đi ngược lại như hình vẽ dưới có vi phạm quy tắc giao thông không?","img":"q542.jpg","opts":{"A":"Không vi phạm.","B":" Vi phạm."},"answer":"B"},</v>
      </c>
    </row>
    <row r="2232" spans="1:17" hidden="1" x14ac:dyDescent="0.25">
      <c r="A2232">
        <v>1</v>
      </c>
      <c r="B2232" t="s">
        <v>1525</v>
      </c>
      <c r="C2232">
        <f>IFERROR(COUNTIFS($A$1:A2232,"Câu "&amp;"*")-MID(A2232,5,FIND(".",A2232,1)-5),0)</f>
        <v>0</v>
      </c>
      <c r="D2232" t="str">
        <f t="shared" si="130"/>
        <v/>
      </c>
      <c r="E2232" t="str">
        <f>SUBSTITUTE(IF(LEFT(A2232,3)="Câu",MID(A2232,FIND(".",A2232,1)+2,LEN(A2232)),""),CHAR(34),CHAR(92)&amp;CHAR(34))</f>
        <v/>
      </c>
      <c r="F2232" t="str">
        <f t="shared" si="129"/>
        <v/>
      </c>
      <c r="G2232" t="str">
        <f>SUBSTITUTE(B2233,CHAR(34),CHAR(92)&amp;CHAR(34))</f>
        <v xml:space="preserve"> Vi phạm.</v>
      </c>
      <c r="H2232" t="str">
        <f>SUBSTITUTE(B2234,CHAR(34),CHAR(92)&amp;CHAR(34))</f>
        <v/>
      </c>
      <c r="I2232" t="str">
        <f>SUBSTITUTE(IF(LEFT(A2235,3)="Câu","",B2235),CHAR(34),CHAR(92)&amp;CHAR(34))</f>
        <v xml:space="preserve"> Xe con (E), xe mô tô (C).</v>
      </c>
      <c r="J2232" t="str">
        <f>SUBSTITUTE(IF(OR(LEFT(A2236,3)="Câu",I2232=""),"",IF(B2236=0,"",B2236)),CHAR(34),CHAR(92)&amp;CHAR(34))</f>
        <v>Xe tải (B), xe mô tô (D).</v>
      </c>
      <c r="K2232" t="str">
        <f>SUBSTITUTE(SUBSTITUTE(SUBSTITUTE(SUBSTITUTE(IFERROR(VLOOKUP("Câu "&amp;D2232&amp;".",dapan!$E:$J,6,0),""),"1","A"),"2","B"),"3","C"),"4","D")</f>
        <v/>
      </c>
      <c r="P2232" t="str">
        <f t="shared" si="127"/>
        <v/>
      </c>
      <c r="Q2232" t="str">
        <f t="shared" si="128"/>
        <v/>
      </c>
    </row>
    <row r="2233" spans="1:17" hidden="1" x14ac:dyDescent="0.25">
      <c r="A2233">
        <v>2</v>
      </c>
      <c r="B2233" t="s">
        <v>1498</v>
      </c>
      <c r="C2233">
        <f>IFERROR(COUNTIFS($A$1:A2233,"Câu "&amp;"*")-MID(A2233,5,FIND(".",A2233,1)-5),0)</f>
        <v>0</v>
      </c>
      <c r="D2233" t="str">
        <f t="shared" si="130"/>
        <v/>
      </c>
      <c r="E2233" t="str">
        <f>SUBSTITUTE(IF(LEFT(A2233,3)="Câu",MID(A2233,FIND(".",A2233,1)+2,LEN(A2233)),""),CHAR(34),CHAR(92)&amp;CHAR(34))</f>
        <v/>
      </c>
      <c r="F2233" t="str">
        <f t="shared" si="129"/>
        <v/>
      </c>
      <c r="G2233" t="str">
        <f>SUBSTITUTE(B2234,CHAR(34),CHAR(92)&amp;CHAR(34))</f>
        <v/>
      </c>
      <c r="H2233" t="str">
        <f>SUBSTITUTE(B2235,CHAR(34),CHAR(92)&amp;CHAR(34))</f>
        <v xml:space="preserve"> Xe con (E), xe mô tô (C).</v>
      </c>
      <c r="I2233" t="str">
        <f>SUBSTITUTE(IF(LEFT(A2236,3)="Câu","",B2236),CHAR(34),CHAR(92)&amp;CHAR(34))</f>
        <v>Xe tải (B), xe mô tô (D).</v>
      </c>
      <c r="J2233" t="str">
        <f>SUBSTITUTE(IF(OR(LEFT(A2237,3)="Câu",I2233=""),"",IF(B2237=0,"",B2237)),CHAR(34),CHAR(92)&amp;CHAR(34))</f>
        <v>Xe khách (A), xe mô tô (C).</v>
      </c>
      <c r="K2233" t="str">
        <f>SUBSTITUTE(SUBSTITUTE(SUBSTITUTE(SUBSTITUTE(IFERROR(VLOOKUP("Câu "&amp;D2233&amp;".",dapan!$E:$J,6,0),""),"1","A"),"2","B"),"3","C"),"4","D")</f>
        <v/>
      </c>
      <c r="P2233" t="str">
        <f t="shared" si="127"/>
        <v/>
      </c>
      <c r="Q2233" t="str">
        <f t="shared" si="128"/>
        <v/>
      </c>
    </row>
    <row r="2234" spans="1:17" x14ac:dyDescent="0.25">
      <c r="A2234" t="s">
        <v>1571</v>
      </c>
      <c r="C2234">
        <f>IFERROR(COUNTIFS($A$1:A2234,"Câu "&amp;"*")-MID(A2234,5,FIND(".",A2234,1)-5),0)</f>
        <v>0</v>
      </c>
      <c r="D2234">
        <f t="shared" si="130"/>
        <v>543</v>
      </c>
      <c r="E2234" t="str">
        <f>SUBSTITUTE(IF(LEFT(A2234,3)="Câu",MID(A2234,FIND(".",A2234,1)+2,LEN(A2234)),""),CHAR(34),CHAR(92)&amp;CHAR(34))</f>
        <v>Trong hình dưới, những xe nào vi phạm quy tắc giao thông?</v>
      </c>
      <c r="F2234" t="str">
        <f t="shared" si="129"/>
        <v>q543.jpg</v>
      </c>
      <c r="G2234" t="str">
        <f>SUBSTITUTE(B2235,CHAR(34),CHAR(92)&amp;CHAR(34))</f>
        <v xml:space="preserve"> Xe con (E), xe mô tô (C).</v>
      </c>
      <c r="H2234" t="str">
        <f>SUBSTITUTE(B2236,CHAR(34),CHAR(92)&amp;CHAR(34))</f>
        <v>Xe tải (B), xe mô tô (D).</v>
      </c>
      <c r="I2234" t="str">
        <f>SUBSTITUTE(IF(LEFT(A2237,3)="Câu","",B2237),CHAR(34),CHAR(92)&amp;CHAR(34))</f>
        <v>Xe khách (A), xe mô tô (C).</v>
      </c>
      <c r="J2234" t="str">
        <f>SUBSTITUTE(IF(OR(LEFT(A2238,3)="Câu",I2234=""),"",IF(B2238=0,"",B2238)),CHAR(34),CHAR(92)&amp;CHAR(34))</f>
        <v>Xe khách (A), xe mô tô (D).</v>
      </c>
      <c r="K2234" t="str">
        <f ca="1">SUBSTITUTE(SUBSTITUTE(SUBSTITUTE(SUBSTITUTE(IFERROR(VLOOKUP("Câu "&amp;D2234&amp;".",dapan!$E:$J,6,0),""),"1","A"),"2","B"),"3","C"),"4","D")</f>
        <v>A</v>
      </c>
      <c r="P2234">
        <f t="shared" si="127"/>
        <v>543</v>
      </c>
      <c r="Q2234" t="str">
        <f t="shared" ca="1" si="128"/>
        <v>{"num":543,"id":543,"q":"Trong hình dưới, những xe nào vi phạm quy tắc giao thông?","img":"q543.jpg","opts":{"A":" Xe con (E), xe mô tô (C).","B":"Xe tải (B), xe mô tô (D).","C":"Xe khách (A), xe mô tô (C).","D":"Xe khách (A), xe mô tô (D)."},"answer":"A"},</v>
      </c>
    </row>
    <row r="2235" spans="1:17" hidden="1" x14ac:dyDescent="0.25">
      <c r="A2235">
        <v>1</v>
      </c>
      <c r="B2235" t="s">
        <v>1572</v>
      </c>
      <c r="C2235">
        <f>IFERROR(COUNTIFS($A$1:A2235,"Câu "&amp;"*")-MID(A2235,5,FIND(".",A2235,1)-5),0)</f>
        <v>0</v>
      </c>
      <c r="D2235" t="str">
        <f t="shared" si="130"/>
        <v/>
      </c>
      <c r="E2235" t="str">
        <f>SUBSTITUTE(IF(LEFT(A2235,3)="Câu",MID(A2235,FIND(".",A2235,1)+2,LEN(A2235)),""),CHAR(34),CHAR(92)&amp;CHAR(34))</f>
        <v/>
      </c>
      <c r="F2235" t="str">
        <f t="shared" si="129"/>
        <v/>
      </c>
      <c r="G2235" t="str">
        <f>SUBSTITUTE(B2236,CHAR(34),CHAR(92)&amp;CHAR(34))</f>
        <v>Xe tải (B), xe mô tô (D).</v>
      </c>
      <c r="H2235" t="str">
        <f>SUBSTITUTE(B2237,CHAR(34),CHAR(92)&amp;CHAR(34))</f>
        <v>Xe khách (A), xe mô tô (C).</v>
      </c>
      <c r="I2235" t="str">
        <f>SUBSTITUTE(IF(LEFT(A2238,3)="Câu","",B2238),CHAR(34),CHAR(92)&amp;CHAR(34))</f>
        <v>Xe khách (A), xe mô tô (D).</v>
      </c>
      <c r="J2235" t="str">
        <f>SUBSTITUTE(IF(OR(LEFT(A2239,3)="Câu",I2235=""),"",IF(B2239=0,"",B2239)),CHAR(34),CHAR(92)&amp;CHAR(34))</f>
        <v/>
      </c>
      <c r="K2235" t="str">
        <f>SUBSTITUTE(SUBSTITUTE(SUBSTITUTE(SUBSTITUTE(IFERROR(VLOOKUP("Câu "&amp;D2235&amp;".",dapan!$E:$J,6,0),""),"1","A"),"2","B"),"3","C"),"4","D")</f>
        <v/>
      </c>
      <c r="P2235" t="str">
        <f t="shared" si="127"/>
        <v/>
      </c>
      <c r="Q2235" t="str">
        <f t="shared" si="128"/>
        <v/>
      </c>
    </row>
    <row r="2236" spans="1:17" hidden="1" x14ac:dyDescent="0.25">
      <c r="A2236">
        <v>2</v>
      </c>
      <c r="B2236" t="s">
        <v>1573</v>
      </c>
      <c r="C2236">
        <f>IFERROR(COUNTIFS($A$1:A2236,"Câu "&amp;"*")-MID(A2236,5,FIND(".",A2236,1)-5),0)</f>
        <v>0</v>
      </c>
      <c r="D2236" t="str">
        <f t="shared" si="130"/>
        <v/>
      </c>
      <c r="E2236" t="str">
        <f>SUBSTITUTE(IF(LEFT(A2236,3)="Câu",MID(A2236,FIND(".",A2236,1)+2,LEN(A2236)),""),CHAR(34),CHAR(92)&amp;CHAR(34))</f>
        <v/>
      </c>
      <c r="F2236" t="str">
        <f t="shared" si="129"/>
        <v/>
      </c>
      <c r="G2236" t="str">
        <f>SUBSTITUTE(B2237,CHAR(34),CHAR(92)&amp;CHAR(34))</f>
        <v>Xe khách (A), xe mô tô (C).</v>
      </c>
      <c r="H2236" t="str">
        <f>SUBSTITUTE(B2238,CHAR(34),CHAR(92)&amp;CHAR(34))</f>
        <v>Xe khách (A), xe mô tô (D).</v>
      </c>
      <c r="I2236" t="str">
        <f>SUBSTITUTE(IF(LEFT(A2239,3)="Câu","",B2239),CHAR(34),CHAR(92)&amp;CHAR(34))</f>
        <v/>
      </c>
      <c r="J2236" t="str">
        <f>SUBSTITUTE(IF(OR(LEFT(A2240,3)="Câu",I2236=""),"",IF(B2240=0,"",B2240)),CHAR(34),CHAR(92)&amp;CHAR(34))</f>
        <v/>
      </c>
      <c r="K2236" t="str">
        <f>SUBSTITUTE(SUBSTITUTE(SUBSTITUTE(SUBSTITUTE(IFERROR(VLOOKUP("Câu "&amp;D2236&amp;".",dapan!$E:$J,6,0),""),"1","A"),"2","B"),"3","C"),"4","D")</f>
        <v/>
      </c>
      <c r="P2236" t="str">
        <f t="shared" si="127"/>
        <v/>
      </c>
      <c r="Q2236" t="str">
        <f t="shared" si="128"/>
        <v/>
      </c>
    </row>
    <row r="2237" spans="1:17" hidden="1" x14ac:dyDescent="0.25">
      <c r="A2237">
        <v>3</v>
      </c>
      <c r="B2237" t="s">
        <v>1574</v>
      </c>
      <c r="C2237">
        <f>IFERROR(COUNTIFS($A$1:A2237,"Câu "&amp;"*")-MID(A2237,5,FIND(".",A2237,1)-5),0)</f>
        <v>0</v>
      </c>
      <c r="D2237" t="str">
        <f t="shared" si="130"/>
        <v/>
      </c>
      <c r="E2237" t="str">
        <f>SUBSTITUTE(IF(LEFT(A2237,3)="Câu",MID(A2237,FIND(".",A2237,1)+2,LEN(A2237)),""),CHAR(34),CHAR(92)&amp;CHAR(34))</f>
        <v/>
      </c>
      <c r="F2237" t="str">
        <f t="shared" si="129"/>
        <v/>
      </c>
      <c r="G2237" t="str">
        <f>SUBSTITUTE(B2238,CHAR(34),CHAR(92)&amp;CHAR(34))</f>
        <v>Xe khách (A), xe mô tô (D).</v>
      </c>
      <c r="H2237" t="str">
        <f>SUBSTITUTE(B2239,CHAR(34),CHAR(92)&amp;CHAR(34))</f>
        <v/>
      </c>
      <c r="I2237" t="str">
        <f>SUBSTITUTE(IF(LEFT(A2240,3)="Câu","",B2240),CHAR(34),CHAR(92)&amp;CHAR(34))</f>
        <v xml:space="preserve"> Nhường xe con rẽ trái trước.</v>
      </c>
      <c r="J2237" t="str">
        <f>SUBSTITUTE(IF(OR(LEFT(A2241,3)="Câu",I2237=""),"",IF(B2241=0,"",B2241)),CHAR(34),CHAR(92)&amp;CHAR(34))</f>
        <v>Đi thẳng không nhường.</v>
      </c>
      <c r="K2237" t="str">
        <f>SUBSTITUTE(SUBSTITUTE(SUBSTITUTE(SUBSTITUTE(IFERROR(VLOOKUP("Câu "&amp;D2237&amp;".",dapan!$E:$J,6,0),""),"1","A"),"2","B"),"3","C"),"4","D")</f>
        <v/>
      </c>
      <c r="P2237" t="str">
        <f t="shared" si="127"/>
        <v/>
      </c>
      <c r="Q2237" t="str">
        <f t="shared" si="128"/>
        <v/>
      </c>
    </row>
    <row r="2238" spans="1:17" hidden="1" x14ac:dyDescent="0.25">
      <c r="A2238">
        <v>4</v>
      </c>
      <c r="B2238" t="s">
        <v>1575</v>
      </c>
      <c r="C2238">
        <f>IFERROR(COUNTIFS($A$1:A2238,"Câu "&amp;"*")-MID(A2238,5,FIND(".",A2238,1)-5),0)</f>
        <v>0</v>
      </c>
      <c r="D2238" t="str">
        <f t="shared" si="130"/>
        <v/>
      </c>
      <c r="E2238" t="str">
        <f>SUBSTITUTE(IF(LEFT(A2238,3)="Câu",MID(A2238,FIND(".",A2238,1)+2,LEN(A2238)),""),CHAR(34),CHAR(92)&amp;CHAR(34))</f>
        <v/>
      </c>
      <c r="F2238" t="str">
        <f t="shared" si="129"/>
        <v/>
      </c>
      <c r="G2238" t="str">
        <f>SUBSTITUTE(B2239,CHAR(34),CHAR(92)&amp;CHAR(34))</f>
        <v/>
      </c>
      <c r="H2238" t="str">
        <f>SUBSTITUTE(B2240,CHAR(34),CHAR(92)&amp;CHAR(34))</f>
        <v xml:space="preserve"> Nhường xe con rẽ trái trước.</v>
      </c>
      <c r="I2238" t="str">
        <f>SUBSTITUTE(IF(LEFT(A2241,3)="Câu","",B2241),CHAR(34),CHAR(92)&amp;CHAR(34))</f>
        <v>Đi thẳng không nhường.</v>
      </c>
      <c r="J2238" t="str">
        <f>SUBSTITUTE(IF(OR(LEFT(A2242,3)="Câu",I2238=""),"",IF(B2242=0,"",B2242)),CHAR(34),CHAR(92)&amp;CHAR(34))</f>
        <v/>
      </c>
      <c r="K2238" t="str">
        <f>SUBSTITUTE(SUBSTITUTE(SUBSTITUTE(SUBSTITUTE(IFERROR(VLOOKUP("Câu "&amp;D2238&amp;".",dapan!$E:$J,6,0),""),"1","A"),"2","B"),"3","C"),"4","D")</f>
        <v/>
      </c>
      <c r="P2238" t="str">
        <f t="shared" si="127"/>
        <v/>
      </c>
      <c r="Q2238" t="str">
        <f t="shared" si="128"/>
        <v/>
      </c>
    </row>
    <row r="2239" spans="1:17" x14ac:dyDescent="0.25">
      <c r="A2239" t="s">
        <v>1576</v>
      </c>
      <c r="C2239">
        <f>IFERROR(COUNTIFS($A$1:A2239,"Câu "&amp;"*")-MID(A2239,5,FIND(".",A2239,1)-5),0)</f>
        <v>0</v>
      </c>
      <c r="D2239">
        <f t="shared" si="130"/>
        <v>544</v>
      </c>
      <c r="E2239" t="str">
        <f>SUBSTITUTE(IF(LEFT(A2239,3)="Câu",MID(A2239,FIND(".",A2239,1)+2,LEN(A2239)),""),CHAR(34),CHAR(92)&amp;CHAR(34))</f>
        <v>Để điều khiển cho xe đi thẳng, người lái xe phải làm gì là đúng quy tắc giao thông?</v>
      </c>
      <c r="F2239" t="str">
        <f t="shared" si="129"/>
        <v>q544.jpg</v>
      </c>
      <c r="G2239" t="str">
        <f>SUBSTITUTE(B2240,CHAR(34),CHAR(92)&amp;CHAR(34))</f>
        <v xml:space="preserve"> Nhường xe con rẽ trái trước.</v>
      </c>
      <c r="H2239" t="str">
        <f>SUBSTITUTE(B2241,CHAR(34),CHAR(92)&amp;CHAR(34))</f>
        <v>Đi thẳng không nhường.</v>
      </c>
      <c r="I2239" t="str">
        <f>SUBSTITUTE(IF(LEFT(A2242,3)="Câu","",B2242),CHAR(34),CHAR(92)&amp;CHAR(34))</f>
        <v/>
      </c>
      <c r="J2239" t="str">
        <f>SUBSTITUTE(IF(OR(LEFT(A2243,3)="Câu",I2239=""),"",IF(B2243=0,"",B2243)),CHAR(34),CHAR(92)&amp;CHAR(34))</f>
        <v/>
      </c>
      <c r="K2239" t="str">
        <f ca="1">SUBSTITUTE(SUBSTITUTE(SUBSTITUTE(SUBSTITUTE(IFERROR(VLOOKUP("Câu "&amp;D2239&amp;".",dapan!$E:$J,6,0),""),"1","A"),"2","B"),"3","C"),"4","D")</f>
        <v>A</v>
      </c>
      <c r="P2239">
        <f t="shared" si="127"/>
        <v>544</v>
      </c>
      <c r="Q2239" t="str">
        <f t="shared" ca="1" si="128"/>
        <v>{"num":544,"id":544,"q":"Để điều khiển cho xe đi thẳng, người lái xe phải làm gì là đúng quy tắc giao thông?","img":"q544.jpg","opts":{"A":" Nhường xe con rẽ trái trước.","B":"Đi thẳng không nhường."},"answer":"A"},</v>
      </c>
    </row>
    <row r="2240" spans="1:17" hidden="1" x14ac:dyDescent="0.25">
      <c r="A2240">
        <v>1</v>
      </c>
      <c r="B2240" t="s">
        <v>1577</v>
      </c>
      <c r="C2240">
        <f>IFERROR(COUNTIFS($A$1:A2240,"Câu "&amp;"*")-MID(A2240,5,FIND(".",A2240,1)-5),0)</f>
        <v>0</v>
      </c>
      <c r="D2240" t="str">
        <f t="shared" si="130"/>
        <v/>
      </c>
      <c r="E2240" t="str">
        <f>SUBSTITUTE(IF(LEFT(A2240,3)="Câu",MID(A2240,FIND(".",A2240,1)+2,LEN(A2240)),""),CHAR(34),CHAR(92)&amp;CHAR(34))</f>
        <v/>
      </c>
      <c r="F2240" t="str">
        <f t="shared" si="129"/>
        <v/>
      </c>
      <c r="G2240" t="str">
        <f>SUBSTITUTE(B2241,CHAR(34),CHAR(92)&amp;CHAR(34))</f>
        <v>Đi thẳng không nhường.</v>
      </c>
      <c r="H2240" t="str">
        <f>SUBSTITUTE(B2242,CHAR(34),CHAR(92)&amp;CHAR(34))</f>
        <v/>
      </c>
      <c r="I2240" t="str">
        <f>SUBSTITUTE(IF(LEFT(A2243,3)="Câu","",B2243),CHAR(34),CHAR(92)&amp;CHAR(34))</f>
        <v>Chỉ hướng 2.</v>
      </c>
      <c r="J2240" t="str">
        <f>SUBSTITUTE(IF(OR(LEFT(A2244,3)="Câu",I2240=""),"",IF(B2244=0,"",B2244)),CHAR(34),CHAR(92)&amp;CHAR(34))</f>
        <v xml:space="preserve"> Hướng 1 và 2.</v>
      </c>
      <c r="K2240" t="str">
        <f>SUBSTITUTE(SUBSTITUTE(SUBSTITUTE(SUBSTITUTE(IFERROR(VLOOKUP("Câu "&amp;D2240&amp;".",dapan!$E:$J,6,0),""),"1","A"),"2","B"),"3","C"),"4","D")</f>
        <v/>
      </c>
      <c r="P2240" t="str">
        <f t="shared" si="127"/>
        <v/>
      </c>
      <c r="Q2240" t="str">
        <f t="shared" si="128"/>
        <v/>
      </c>
    </row>
    <row r="2241" spans="1:17" hidden="1" x14ac:dyDescent="0.25">
      <c r="A2241">
        <v>2</v>
      </c>
      <c r="B2241" t="s">
        <v>1578</v>
      </c>
      <c r="C2241">
        <f>IFERROR(COUNTIFS($A$1:A2241,"Câu "&amp;"*")-MID(A2241,5,FIND(".",A2241,1)-5),0)</f>
        <v>0</v>
      </c>
      <c r="D2241" t="str">
        <f t="shared" si="130"/>
        <v/>
      </c>
      <c r="E2241" t="str">
        <f>SUBSTITUTE(IF(LEFT(A2241,3)="Câu",MID(A2241,FIND(".",A2241,1)+2,LEN(A2241)),""),CHAR(34),CHAR(92)&amp;CHAR(34))</f>
        <v/>
      </c>
      <c r="F2241" t="str">
        <f t="shared" si="129"/>
        <v/>
      </c>
      <c r="G2241" t="str">
        <f>SUBSTITUTE(B2242,CHAR(34),CHAR(92)&amp;CHAR(34))</f>
        <v/>
      </c>
      <c r="H2241" t="str">
        <f>SUBSTITUTE(B2243,CHAR(34),CHAR(92)&amp;CHAR(34))</f>
        <v>Chỉ hướng 2.</v>
      </c>
      <c r="I2241" t="str">
        <f>SUBSTITUTE(IF(LEFT(A2244,3)="Câu","",B2244),CHAR(34),CHAR(92)&amp;CHAR(34))</f>
        <v xml:space="preserve"> Hướng 1 và 2.</v>
      </c>
      <c r="J2241" t="str">
        <f>SUBSTITUTE(IF(OR(LEFT(A2245,3)="Câu",I2241=""),"",IF(B2245=0,"",B2245)),CHAR(34),CHAR(92)&amp;CHAR(34))</f>
        <v>Tất cả các hướng trừ hướng 3.</v>
      </c>
      <c r="K2241" t="str">
        <f>SUBSTITUTE(SUBSTITUTE(SUBSTITUTE(SUBSTITUTE(IFERROR(VLOOKUP("Câu "&amp;D2241&amp;".",dapan!$E:$J,6,0),""),"1","A"),"2","B"),"3","C"),"4","D")</f>
        <v/>
      </c>
      <c r="P2241" t="str">
        <f t="shared" si="127"/>
        <v/>
      </c>
      <c r="Q2241" t="str">
        <f t="shared" si="128"/>
        <v/>
      </c>
    </row>
    <row r="2242" spans="1:17" x14ac:dyDescent="0.25">
      <c r="A2242" t="s">
        <v>1579</v>
      </c>
      <c r="C2242">
        <f>IFERROR(COUNTIFS($A$1:A2242,"Câu "&amp;"*")-MID(A2242,5,FIND(".",A2242,1)-5),0)</f>
        <v>0</v>
      </c>
      <c r="D2242">
        <f t="shared" si="130"/>
        <v>545</v>
      </c>
      <c r="E2242" t="str">
        <f>SUBSTITUTE(IF(LEFT(A2242,3)="Câu",MID(A2242,FIND(".",A2242,1)+2,LEN(A2242)),""),CHAR(34),CHAR(92)&amp;CHAR(34))</f>
        <v>Người lái xe điều khiển xe đi theo hướng nào là đúng quy tắc giao thông?</v>
      </c>
      <c r="F2242" t="str">
        <f t="shared" si="129"/>
        <v>q545.jpg</v>
      </c>
      <c r="G2242" t="str">
        <f>SUBSTITUTE(B2243,CHAR(34),CHAR(92)&amp;CHAR(34))</f>
        <v>Chỉ hướng 2.</v>
      </c>
      <c r="H2242" t="str">
        <f>SUBSTITUTE(B2244,CHAR(34),CHAR(92)&amp;CHAR(34))</f>
        <v xml:space="preserve"> Hướng 1 và 2.</v>
      </c>
      <c r="I2242" t="str">
        <f>SUBSTITUTE(IF(LEFT(A2245,3)="Câu","",B2245),CHAR(34),CHAR(92)&amp;CHAR(34))</f>
        <v>Tất cả các hướng trừ hướng 3.</v>
      </c>
      <c r="J2242" t="str">
        <f>SUBSTITUTE(IF(OR(LEFT(A2246,3)="Câu",I2242=""),"",IF(B2246=0,"",B2246)),CHAR(34),CHAR(92)&amp;CHAR(34))</f>
        <v>Tất cả các hướng trừ hướng 4.</v>
      </c>
      <c r="K2242" t="str">
        <f ca="1">SUBSTITUTE(SUBSTITUTE(SUBSTITUTE(SUBSTITUTE(IFERROR(VLOOKUP("Câu "&amp;D2242&amp;".",dapan!$E:$J,6,0),""),"1","A"),"2","B"),"3","C"),"4","D")</f>
        <v>B</v>
      </c>
      <c r="P2242">
        <f t="shared" si="127"/>
        <v>545</v>
      </c>
      <c r="Q2242" t="str">
        <f t="shared" ca="1" si="128"/>
        <v>{"num":545,"id":545,"q":"Người lái xe điều khiển xe đi theo hướng nào là đúng quy tắc giao thông?","img":"q545.jpg","opts":{"A":"Chỉ hướng 2.","B":" Hướng 1 và 2.","C":"Tất cả các hướng trừ hướng 3.","D":"Tất cả các hướng trừ hướng 4."},"answer":"B"},</v>
      </c>
    </row>
    <row r="2243" spans="1:17" hidden="1" x14ac:dyDescent="0.25">
      <c r="A2243">
        <v>1</v>
      </c>
      <c r="B2243" t="s">
        <v>1580</v>
      </c>
      <c r="C2243">
        <f>IFERROR(COUNTIFS($A$1:A2243,"Câu "&amp;"*")-MID(A2243,5,FIND(".",A2243,1)-5),0)</f>
        <v>0</v>
      </c>
      <c r="D2243" t="str">
        <f t="shared" si="130"/>
        <v/>
      </c>
      <c r="E2243" t="str">
        <f>SUBSTITUTE(IF(LEFT(A2243,3)="Câu",MID(A2243,FIND(".",A2243,1)+2,LEN(A2243)),""),CHAR(34),CHAR(92)&amp;CHAR(34))</f>
        <v/>
      </c>
      <c r="F2243" t="str">
        <f t="shared" si="129"/>
        <v/>
      </c>
      <c r="G2243" t="str">
        <f>SUBSTITUTE(B2244,CHAR(34),CHAR(92)&amp;CHAR(34))</f>
        <v xml:space="preserve"> Hướng 1 và 2.</v>
      </c>
      <c r="H2243" t="str">
        <f>SUBSTITUTE(B2245,CHAR(34),CHAR(92)&amp;CHAR(34))</f>
        <v>Tất cả các hướng trừ hướng 3.</v>
      </c>
      <c r="I2243" t="str">
        <f>SUBSTITUTE(IF(LEFT(A2246,3)="Câu","",B2246),CHAR(34),CHAR(92)&amp;CHAR(34))</f>
        <v>Tất cả các hướng trừ hướng 4.</v>
      </c>
      <c r="J2243" t="str">
        <f>SUBSTITUTE(IF(OR(LEFT(A2247,3)="Câu",I2243=""),"",IF(B2247=0,"",B2247)),CHAR(34),CHAR(92)&amp;CHAR(34))</f>
        <v/>
      </c>
      <c r="K2243" t="str">
        <f>SUBSTITUTE(SUBSTITUTE(SUBSTITUTE(SUBSTITUTE(IFERROR(VLOOKUP("Câu "&amp;D2243&amp;".",dapan!$E:$J,6,0),""),"1","A"),"2","B"),"3","C"),"4","D")</f>
        <v/>
      </c>
      <c r="P2243" t="str">
        <f t="shared" ref="P2243:P2306" si="131">D2243</f>
        <v/>
      </c>
      <c r="Q2243" t="str">
        <f t="shared" ref="Q2243:Q2306" si="132">IF(D2243="","",CHAR(123)&amp;CHAR(34)&amp;"num"&amp;CHAR(34)&amp;":"&amp;P2243&amp;","&amp;CHAR(34)&amp;"id"&amp;CHAR(34)&amp;":"&amp;D2243&amp;","
&amp;CHAR(34)&amp;"q"&amp;CHAR(34)&amp;":"&amp;CHAR(34)&amp;E2243&amp;CHAR(34)&amp;","
&amp;IF(F2243="","",CHAR(34)&amp;"img"&amp;CHAR(34)&amp;":"&amp;CHAR(34)&amp;F2243&amp;CHAR(34)&amp;",")
&amp;CHAR(34)&amp;"opts"&amp;CHAR(34)&amp;":"&amp;CHAR(123)&amp;CHAR(34)&amp;"A"&amp;CHAR(34)&amp;":"&amp;CHAR(34)&amp;G2243&amp;CHAR(34)&amp;","&amp;CHAR(34)&amp;"B"&amp;CHAR(34)&amp;":"&amp;CHAR(34)&amp;H2243&amp;CHAR(34)
&amp;IF(I2243="","",","&amp;CHAR(34)&amp;"C"&amp;CHAR(34)&amp;":"&amp;CHAR(34)&amp;I2243&amp;CHAR(34))&amp;IF(J2243="","",","&amp;CHAR(34)&amp;"D"&amp;CHAR(34)&amp;":"&amp;CHAR(34)&amp;J2243&amp;CHAR(34))&amp;CHAR(125)&amp;","
&amp;CHAR(34)&amp;"answer"&amp;CHAR(34)&amp;":"&amp;CHAR(34)&amp;K2243&amp;CHAR(34)
&amp;IF(L2243="","",","&amp;CHAR(34)&amp;"danger"&amp;CHAR(34)&amp;":"&amp;CHAR(34)&amp;"true"&amp;CHAR(34))
&amp;IF(M2243="","",","&amp;CHAR(34)&amp;"explain"&amp;CHAR(34)&amp;":"&amp;CHAR(34)&amp;M2243&amp;CHAR(34))
&amp;IF(N2243="","",","&amp;CHAR(34)&amp;"explainImg"&amp;CHAR(34)&amp;":"&amp;CHAR(34)&amp;N2243&amp;CHAR(34))
&amp;IF(O2243="","",","&amp;CHAR(34)&amp;"shuffle"&amp;CHAR(34)&amp;":"&amp;CHAR(34)&amp;"false"&amp;CHAR(34))&amp;CHAR(125)&amp;",")</f>
        <v/>
      </c>
    </row>
    <row r="2244" spans="1:17" hidden="1" x14ac:dyDescent="0.25">
      <c r="A2244">
        <v>2</v>
      </c>
      <c r="B2244" t="s">
        <v>1581</v>
      </c>
      <c r="C2244">
        <f>IFERROR(COUNTIFS($A$1:A2244,"Câu "&amp;"*")-MID(A2244,5,FIND(".",A2244,1)-5),0)</f>
        <v>0</v>
      </c>
      <c r="D2244" t="str">
        <f t="shared" si="130"/>
        <v/>
      </c>
      <c r="E2244" t="str">
        <f>SUBSTITUTE(IF(LEFT(A2244,3)="Câu",MID(A2244,FIND(".",A2244,1)+2,LEN(A2244)),""),CHAR(34),CHAR(92)&amp;CHAR(34))</f>
        <v/>
      </c>
      <c r="F2244" t="str">
        <f t="shared" si="129"/>
        <v/>
      </c>
      <c r="G2244" t="str">
        <f>SUBSTITUTE(B2245,CHAR(34),CHAR(92)&amp;CHAR(34))</f>
        <v>Tất cả các hướng trừ hướng 3.</v>
      </c>
      <c r="H2244" t="str">
        <f>SUBSTITUTE(B2246,CHAR(34),CHAR(92)&amp;CHAR(34))</f>
        <v>Tất cả các hướng trừ hướng 4.</v>
      </c>
      <c r="I2244" t="str">
        <f>SUBSTITUTE(IF(LEFT(A2247,3)="Câu","",B2247),CHAR(34),CHAR(92)&amp;CHAR(34))</f>
        <v/>
      </c>
      <c r="J2244" t="str">
        <f>SUBSTITUTE(IF(OR(LEFT(A2248,3)="Câu",I2244=""),"",IF(B2248=0,"",B2248)),CHAR(34),CHAR(92)&amp;CHAR(34))</f>
        <v/>
      </c>
      <c r="K2244" t="str">
        <f>SUBSTITUTE(SUBSTITUTE(SUBSTITUTE(SUBSTITUTE(IFERROR(VLOOKUP("Câu "&amp;D2244&amp;".",dapan!$E:$J,6,0),""),"1","A"),"2","B"),"3","C"),"4","D")</f>
        <v/>
      </c>
      <c r="P2244" t="str">
        <f t="shared" si="131"/>
        <v/>
      </c>
      <c r="Q2244" t="str">
        <f t="shared" si="132"/>
        <v/>
      </c>
    </row>
    <row r="2245" spans="1:17" hidden="1" x14ac:dyDescent="0.25">
      <c r="A2245">
        <v>3</v>
      </c>
      <c r="B2245" t="s">
        <v>1582</v>
      </c>
      <c r="C2245">
        <f>IFERROR(COUNTIFS($A$1:A2245,"Câu "&amp;"*")-MID(A2245,5,FIND(".",A2245,1)-5),0)</f>
        <v>0</v>
      </c>
      <c r="D2245" t="str">
        <f t="shared" si="130"/>
        <v/>
      </c>
      <c r="E2245" t="str">
        <f>SUBSTITUTE(IF(LEFT(A2245,3)="Câu",MID(A2245,FIND(".",A2245,1)+2,LEN(A2245)),""),CHAR(34),CHAR(92)&amp;CHAR(34))</f>
        <v/>
      </c>
      <c r="F2245" t="str">
        <f t="shared" si="129"/>
        <v/>
      </c>
      <c r="G2245" t="str">
        <f>SUBSTITUTE(B2246,CHAR(34),CHAR(92)&amp;CHAR(34))</f>
        <v>Tất cả các hướng trừ hướng 4.</v>
      </c>
      <c r="H2245" t="str">
        <f>SUBSTITUTE(B2247,CHAR(34),CHAR(92)&amp;CHAR(34))</f>
        <v/>
      </c>
      <c r="I2245" t="str">
        <f>SUBSTITUTE(IF(LEFT(A2248,3)="Câu","",B2248),CHAR(34),CHAR(92)&amp;CHAR(34))</f>
        <v>Xe con (A).</v>
      </c>
      <c r="J2245" t="str">
        <f>SUBSTITUTE(IF(OR(LEFT(A2249,3)="Câu",I2245=""),"",IF(B2249=0,"",B2249)),CHAR(34),CHAR(92)&amp;CHAR(34))</f>
        <v xml:space="preserve"> Xe con (B).</v>
      </c>
      <c r="K2245" t="str">
        <f>SUBSTITUTE(SUBSTITUTE(SUBSTITUTE(SUBSTITUTE(IFERROR(VLOOKUP("Câu "&amp;D2245&amp;".",dapan!$E:$J,6,0),""),"1","A"),"2","B"),"3","C"),"4","D")</f>
        <v/>
      </c>
      <c r="P2245" t="str">
        <f t="shared" si="131"/>
        <v/>
      </c>
      <c r="Q2245" t="str">
        <f t="shared" si="132"/>
        <v/>
      </c>
    </row>
    <row r="2246" spans="1:17" hidden="1" x14ac:dyDescent="0.25">
      <c r="A2246">
        <v>4</v>
      </c>
      <c r="B2246" t="s">
        <v>1583</v>
      </c>
      <c r="C2246">
        <f>IFERROR(COUNTIFS($A$1:A2246,"Câu "&amp;"*")-MID(A2246,5,FIND(".",A2246,1)-5),0)</f>
        <v>0</v>
      </c>
      <c r="D2246" t="str">
        <f t="shared" si="130"/>
        <v/>
      </c>
      <c r="E2246" t="str">
        <f>SUBSTITUTE(IF(LEFT(A2246,3)="Câu",MID(A2246,FIND(".",A2246,1)+2,LEN(A2246)),""),CHAR(34),CHAR(92)&amp;CHAR(34))</f>
        <v/>
      </c>
      <c r="F2246" t="str">
        <f t="shared" si="129"/>
        <v/>
      </c>
      <c r="G2246" t="str">
        <f>SUBSTITUTE(B2247,CHAR(34),CHAR(92)&amp;CHAR(34))</f>
        <v/>
      </c>
      <c r="H2246" t="str">
        <f>SUBSTITUTE(B2248,CHAR(34),CHAR(92)&amp;CHAR(34))</f>
        <v>Xe con (A).</v>
      </c>
      <c r="I2246" t="str">
        <f>SUBSTITUTE(IF(LEFT(A2249,3)="Câu","",B2249),CHAR(34),CHAR(92)&amp;CHAR(34))</f>
        <v xml:space="preserve"> Xe con (B).</v>
      </c>
      <c r="J2246" t="str">
        <f>SUBSTITUTE(IF(OR(LEFT(A2250,3)="Câu",I2246=""),"",IF(B2250=0,"",B2250)),CHAR(34),CHAR(92)&amp;CHAR(34))</f>
        <v/>
      </c>
      <c r="K2246" t="str">
        <f>SUBSTITUTE(SUBSTITUTE(SUBSTITUTE(SUBSTITUTE(IFERROR(VLOOKUP("Câu "&amp;D2246&amp;".",dapan!$E:$J,6,0),""),"1","A"),"2","B"),"3","C"),"4","D")</f>
        <v/>
      </c>
      <c r="P2246" t="str">
        <f t="shared" si="131"/>
        <v/>
      </c>
      <c r="Q2246" t="str">
        <f t="shared" si="132"/>
        <v/>
      </c>
    </row>
    <row r="2247" spans="1:17" x14ac:dyDescent="0.25">
      <c r="A2247" t="s">
        <v>1584</v>
      </c>
      <c r="C2247">
        <f>IFERROR(COUNTIFS($A$1:A2247,"Câu "&amp;"*")-MID(A2247,5,FIND(".",A2247,1)-5),0)</f>
        <v>0</v>
      </c>
      <c r="D2247">
        <f t="shared" si="130"/>
        <v>546</v>
      </c>
      <c r="E2247" t="str">
        <f>SUBSTITUTE(IF(LEFT(A2247,3)="Câu",MID(A2247,FIND(".",A2247,1)+2,LEN(A2247)),""),CHAR(34),CHAR(92)&amp;CHAR(34))</f>
        <v>Xe nào phải nhường đường là đúng quy tắc giao thông?</v>
      </c>
      <c r="F2247" t="str">
        <f t="shared" si="129"/>
        <v>q546.jpg</v>
      </c>
      <c r="G2247" t="str">
        <f>SUBSTITUTE(B2248,CHAR(34),CHAR(92)&amp;CHAR(34))</f>
        <v>Xe con (A).</v>
      </c>
      <c r="H2247" t="str">
        <f>SUBSTITUTE(B2249,CHAR(34),CHAR(92)&amp;CHAR(34))</f>
        <v xml:space="preserve"> Xe con (B).</v>
      </c>
      <c r="I2247" t="str">
        <f>SUBSTITUTE(IF(LEFT(A2250,3)="Câu","",B2250),CHAR(34),CHAR(92)&amp;CHAR(34))</f>
        <v/>
      </c>
      <c r="J2247" t="str">
        <f>SUBSTITUTE(IF(OR(LEFT(A2251,3)="Câu",I2247=""),"",IF(B2251=0,"",B2251)),CHAR(34),CHAR(92)&amp;CHAR(34))</f>
        <v/>
      </c>
      <c r="K2247" t="str">
        <f ca="1">SUBSTITUTE(SUBSTITUTE(SUBSTITUTE(SUBSTITUTE(IFERROR(VLOOKUP("Câu "&amp;D2247&amp;".",dapan!$E:$J,6,0),""),"1","A"),"2","B"),"3","C"),"4","D")</f>
        <v>B</v>
      </c>
      <c r="P2247">
        <f t="shared" si="131"/>
        <v>546</v>
      </c>
      <c r="Q2247" t="str">
        <f t="shared" ca="1" si="132"/>
        <v>{"num":546,"id":546,"q":"Xe nào phải nhường đường là đúng quy tắc giao thông?","img":"q546.jpg","opts":{"A":"Xe con (A).","B":" Xe con (B)."},"answer":"B"},</v>
      </c>
    </row>
    <row r="2248" spans="1:17" hidden="1" x14ac:dyDescent="0.25">
      <c r="A2248">
        <v>1</v>
      </c>
      <c r="B2248" t="s">
        <v>1466</v>
      </c>
      <c r="C2248">
        <f>IFERROR(COUNTIFS($A$1:A2248,"Câu "&amp;"*")-MID(A2248,5,FIND(".",A2248,1)-5),0)</f>
        <v>0</v>
      </c>
      <c r="D2248" t="str">
        <f t="shared" si="130"/>
        <v/>
      </c>
      <c r="E2248" t="str">
        <f>SUBSTITUTE(IF(LEFT(A2248,3)="Câu",MID(A2248,FIND(".",A2248,1)+2,LEN(A2248)),""),CHAR(34),CHAR(92)&amp;CHAR(34))</f>
        <v/>
      </c>
      <c r="F2248" t="str">
        <f t="shared" si="129"/>
        <v/>
      </c>
      <c r="G2248" t="str">
        <f>SUBSTITUTE(B2249,CHAR(34),CHAR(92)&amp;CHAR(34))</f>
        <v xml:space="preserve"> Xe con (B).</v>
      </c>
      <c r="H2248" t="str">
        <f>SUBSTITUTE(B2250,CHAR(34),CHAR(92)&amp;CHAR(34))</f>
        <v/>
      </c>
      <c r="I2248" t="str">
        <f>SUBSTITUTE(IF(LEFT(A2251,3)="Câu","",B2251),CHAR(34),CHAR(92)&amp;CHAR(34))</f>
        <v>Rẽ trái ngay trước xe buýt.</v>
      </c>
      <c r="J2248" t="str">
        <f>SUBSTITUTE(IF(OR(LEFT(A2252,3)="Câu",I2248=""),"",IF(B2252=0,"",B2252)),CHAR(34),CHAR(92)&amp;CHAR(34))</f>
        <v>Rẽ trái trước xe tải.</v>
      </c>
      <c r="K2248" t="str">
        <f>SUBSTITUTE(SUBSTITUTE(SUBSTITUTE(SUBSTITUTE(IFERROR(VLOOKUP("Câu "&amp;D2248&amp;".",dapan!$E:$J,6,0),""),"1","A"),"2","B"),"3","C"),"4","D")</f>
        <v/>
      </c>
      <c r="P2248" t="str">
        <f t="shared" si="131"/>
        <v/>
      </c>
      <c r="Q2248" t="str">
        <f t="shared" si="132"/>
        <v/>
      </c>
    </row>
    <row r="2249" spans="1:17" hidden="1" x14ac:dyDescent="0.25">
      <c r="A2249">
        <v>2</v>
      </c>
      <c r="B2249" t="s">
        <v>1465</v>
      </c>
      <c r="C2249">
        <f>IFERROR(COUNTIFS($A$1:A2249,"Câu "&amp;"*")-MID(A2249,5,FIND(".",A2249,1)-5),0)</f>
        <v>0</v>
      </c>
      <c r="D2249" t="str">
        <f t="shared" si="130"/>
        <v/>
      </c>
      <c r="E2249" t="str">
        <f>SUBSTITUTE(IF(LEFT(A2249,3)="Câu",MID(A2249,FIND(".",A2249,1)+2,LEN(A2249)),""),CHAR(34),CHAR(92)&amp;CHAR(34))</f>
        <v/>
      </c>
      <c r="F2249" t="str">
        <f t="shared" si="129"/>
        <v/>
      </c>
      <c r="G2249" t="str">
        <f>SUBSTITUTE(B2250,CHAR(34),CHAR(92)&amp;CHAR(34))</f>
        <v/>
      </c>
      <c r="H2249" t="str">
        <f>SUBSTITUTE(B2251,CHAR(34),CHAR(92)&amp;CHAR(34))</f>
        <v>Rẽ trái ngay trước xe buýt.</v>
      </c>
      <c r="I2249" t="str">
        <f>SUBSTITUTE(IF(LEFT(A2252,3)="Câu","",B2252),CHAR(34),CHAR(92)&amp;CHAR(34))</f>
        <v>Rẽ trái trước xe tải.</v>
      </c>
      <c r="J2249" t="str">
        <f>SUBSTITUTE(IF(OR(LEFT(A2253,3)="Câu",I2249=""),"",IF(B2253=0,"",B2253)),CHAR(34),CHAR(92)&amp;CHAR(34))</f>
        <v xml:space="preserve"> Nhường đường cho xe buýt và xe tải.</v>
      </c>
      <c r="K2249" t="str">
        <f>SUBSTITUTE(SUBSTITUTE(SUBSTITUTE(SUBSTITUTE(IFERROR(VLOOKUP("Câu "&amp;D2249&amp;".",dapan!$E:$J,6,0),""),"1","A"),"2","B"),"3","C"),"4","D")</f>
        <v/>
      </c>
      <c r="P2249" t="str">
        <f t="shared" si="131"/>
        <v/>
      </c>
      <c r="Q2249" t="str">
        <f t="shared" si="132"/>
        <v/>
      </c>
    </row>
    <row r="2250" spans="1:17" x14ac:dyDescent="0.25">
      <c r="A2250" t="s">
        <v>1585</v>
      </c>
      <c r="C2250">
        <f>IFERROR(COUNTIFS($A$1:A2250,"Câu "&amp;"*")-MID(A2250,5,FIND(".",A2250,1)-5),0)</f>
        <v>0</v>
      </c>
      <c r="D2250">
        <f t="shared" si="130"/>
        <v>547</v>
      </c>
      <c r="E2250" t="str">
        <f>SUBSTITUTE(IF(LEFT(A2250,3)="Câu",MID(A2250,FIND(".",A2250,1)+2,LEN(A2250)),""),CHAR(34),CHAR(92)&amp;CHAR(34))</f>
        <v>Người lái xe điều khiển xe rẽ trái như thế nào là đúng quy tắc giao thông?</v>
      </c>
      <c r="F2250" t="str">
        <f t="shared" si="129"/>
        <v>q547.jpg</v>
      </c>
      <c r="G2250" t="str">
        <f>SUBSTITUTE(B2251,CHAR(34),CHAR(92)&amp;CHAR(34))</f>
        <v>Rẽ trái ngay trước xe buýt.</v>
      </c>
      <c r="H2250" t="str">
        <f>SUBSTITUTE(B2252,CHAR(34),CHAR(92)&amp;CHAR(34))</f>
        <v>Rẽ trái trước xe tải.</v>
      </c>
      <c r="I2250" t="str">
        <f>SUBSTITUTE(IF(LEFT(A2253,3)="Câu","",B2253),CHAR(34),CHAR(92)&amp;CHAR(34))</f>
        <v xml:space="preserve"> Nhường đường cho xe buýt và xe tải.</v>
      </c>
      <c r="J2250" t="str">
        <f>SUBSTITUTE(IF(OR(LEFT(A2254,3)="Câu",I2250=""),"",IF(B2254=0,"",B2254)),CHAR(34),CHAR(92)&amp;CHAR(34))</f>
        <v/>
      </c>
      <c r="K2250" t="str">
        <f ca="1">SUBSTITUTE(SUBSTITUTE(SUBSTITUTE(SUBSTITUTE(IFERROR(VLOOKUP("Câu "&amp;D2250&amp;".",dapan!$E:$J,6,0),""),"1","A"),"2","B"),"3","C"),"4","D")</f>
        <v>C</v>
      </c>
      <c r="P2250">
        <f t="shared" si="131"/>
        <v>547</v>
      </c>
      <c r="Q2250" t="str">
        <f t="shared" ca="1" si="132"/>
        <v>{"num":547,"id":547,"q":"Người lái xe điều khiển xe rẽ trái như thế nào là đúng quy tắc giao thông?","img":"q547.jpg","opts":{"A":"Rẽ trái ngay trước xe buýt.","B":"Rẽ trái trước xe tải.","C":" Nhường đường cho xe buýt và xe tải."},"answer":"C"},</v>
      </c>
    </row>
    <row r="2251" spans="1:17" hidden="1" x14ac:dyDescent="0.25">
      <c r="A2251">
        <v>1</v>
      </c>
      <c r="B2251" t="s">
        <v>1586</v>
      </c>
      <c r="C2251">
        <f>IFERROR(COUNTIFS($A$1:A2251,"Câu "&amp;"*")-MID(A2251,5,FIND(".",A2251,1)-5),0)</f>
        <v>0</v>
      </c>
      <c r="D2251" t="str">
        <f t="shared" si="130"/>
        <v/>
      </c>
      <c r="E2251" t="str">
        <f>SUBSTITUTE(IF(LEFT(A2251,3)="Câu",MID(A2251,FIND(".",A2251,1)+2,LEN(A2251)),""),CHAR(34),CHAR(92)&amp;CHAR(34))</f>
        <v/>
      </c>
      <c r="F2251" t="str">
        <f t="shared" si="129"/>
        <v/>
      </c>
      <c r="G2251" t="str">
        <f>SUBSTITUTE(B2252,CHAR(34),CHAR(92)&amp;CHAR(34))</f>
        <v>Rẽ trái trước xe tải.</v>
      </c>
      <c r="H2251" t="str">
        <f>SUBSTITUTE(B2253,CHAR(34),CHAR(92)&amp;CHAR(34))</f>
        <v xml:space="preserve"> Nhường đường cho xe buýt và xe tải.</v>
      </c>
      <c r="I2251" t="str">
        <f>SUBSTITUTE(IF(LEFT(A2254,3)="Câu","",B2254),CHAR(34),CHAR(92)&amp;CHAR(34))</f>
        <v/>
      </c>
      <c r="J2251" t="str">
        <f>SUBSTITUTE(IF(OR(LEFT(A2255,3)="Câu",I2251=""),"",IF(B2255=0,"",B2255)),CHAR(34),CHAR(92)&amp;CHAR(34))</f>
        <v/>
      </c>
      <c r="K2251" t="str">
        <f>SUBSTITUTE(SUBSTITUTE(SUBSTITUTE(SUBSTITUTE(IFERROR(VLOOKUP("Câu "&amp;D2251&amp;".",dapan!$E:$J,6,0),""),"1","A"),"2","B"),"3","C"),"4","D")</f>
        <v/>
      </c>
      <c r="P2251" t="str">
        <f t="shared" si="131"/>
        <v/>
      </c>
      <c r="Q2251" t="str">
        <f t="shared" si="132"/>
        <v/>
      </c>
    </row>
    <row r="2252" spans="1:17" hidden="1" x14ac:dyDescent="0.25">
      <c r="A2252">
        <v>2</v>
      </c>
      <c r="B2252" t="s">
        <v>1587</v>
      </c>
      <c r="C2252">
        <f>IFERROR(COUNTIFS($A$1:A2252,"Câu "&amp;"*")-MID(A2252,5,FIND(".",A2252,1)-5),0)</f>
        <v>0</v>
      </c>
      <c r="D2252" t="str">
        <f t="shared" si="130"/>
        <v/>
      </c>
      <c r="E2252" t="str">
        <f>SUBSTITUTE(IF(LEFT(A2252,3)="Câu",MID(A2252,FIND(".",A2252,1)+2,LEN(A2252)),""),CHAR(34),CHAR(92)&amp;CHAR(34))</f>
        <v/>
      </c>
      <c r="F2252" t="str">
        <f t="shared" si="129"/>
        <v/>
      </c>
      <c r="G2252" t="str">
        <f>SUBSTITUTE(B2253,CHAR(34),CHAR(92)&amp;CHAR(34))</f>
        <v xml:space="preserve"> Nhường đường cho xe buýt và xe tải.</v>
      </c>
      <c r="H2252" t="str">
        <f>SUBSTITUTE(B2254,CHAR(34),CHAR(92)&amp;CHAR(34))</f>
        <v/>
      </c>
      <c r="I2252" t="str">
        <f>SUBSTITUTE(IF(LEFT(A2255,3)="Câu","",B2255),CHAR(34),CHAR(92)&amp;CHAR(34))</f>
        <v>Xe con (B), xe mô tô (C).</v>
      </c>
      <c r="J2252" t="str">
        <f>SUBSTITUTE(IF(OR(LEFT(A2256,3)="Câu",I2252=""),"",IF(B2256=0,"",B2256)),CHAR(34),CHAR(92)&amp;CHAR(34))</f>
        <v>Xe con (A), xe mô tô (C).</v>
      </c>
      <c r="K2252" t="str">
        <f>SUBSTITUTE(SUBSTITUTE(SUBSTITUTE(SUBSTITUTE(IFERROR(VLOOKUP("Câu "&amp;D2252&amp;".",dapan!$E:$J,6,0),""),"1","A"),"2","B"),"3","C"),"4","D")</f>
        <v/>
      </c>
      <c r="P2252" t="str">
        <f t="shared" si="131"/>
        <v/>
      </c>
      <c r="Q2252" t="str">
        <f t="shared" si="132"/>
        <v/>
      </c>
    </row>
    <row r="2253" spans="1:17" hidden="1" x14ac:dyDescent="0.25">
      <c r="A2253">
        <v>3</v>
      </c>
      <c r="B2253" t="s">
        <v>1588</v>
      </c>
      <c r="C2253">
        <f>IFERROR(COUNTIFS($A$1:A2253,"Câu "&amp;"*")-MID(A2253,5,FIND(".",A2253,1)-5),0)</f>
        <v>0</v>
      </c>
      <c r="D2253" t="str">
        <f t="shared" si="130"/>
        <v/>
      </c>
      <c r="E2253" t="str">
        <f>SUBSTITUTE(IF(LEFT(A2253,3)="Câu",MID(A2253,FIND(".",A2253,1)+2,LEN(A2253)),""),CHAR(34),CHAR(92)&amp;CHAR(34))</f>
        <v/>
      </c>
      <c r="F2253" t="str">
        <f t="shared" si="129"/>
        <v/>
      </c>
      <c r="G2253" t="str">
        <f>SUBSTITUTE(B2254,CHAR(34),CHAR(92)&amp;CHAR(34))</f>
        <v/>
      </c>
      <c r="H2253" t="str">
        <f>SUBSTITUTE(B2255,CHAR(34),CHAR(92)&amp;CHAR(34))</f>
        <v>Xe con (B), xe mô tô (C).</v>
      </c>
      <c r="I2253" t="str">
        <f>SUBSTITUTE(IF(LEFT(A2256,3)="Câu","",B2256),CHAR(34),CHAR(92)&amp;CHAR(34))</f>
        <v>Xe con (A), xe mô tô (C).</v>
      </c>
      <c r="J2253" t="str">
        <f>SUBSTITUTE(IF(OR(LEFT(A2257,3)="Câu",I2253=""),"",IF(B2257=0,"",B2257)),CHAR(34),CHAR(92)&amp;CHAR(34))</f>
        <v xml:space="preserve"> Xe con (E), xe mô tô (D).</v>
      </c>
      <c r="K2253" t="str">
        <f>SUBSTITUTE(SUBSTITUTE(SUBSTITUTE(SUBSTITUTE(IFERROR(VLOOKUP("Câu "&amp;D2253&amp;".",dapan!$E:$J,6,0),""),"1","A"),"2","B"),"3","C"),"4","D")</f>
        <v/>
      </c>
      <c r="P2253" t="str">
        <f t="shared" si="131"/>
        <v/>
      </c>
      <c r="Q2253" t="str">
        <f t="shared" si="132"/>
        <v/>
      </c>
    </row>
    <row r="2254" spans="1:17" x14ac:dyDescent="0.25">
      <c r="A2254" t="s">
        <v>1589</v>
      </c>
      <c r="C2254">
        <f>IFERROR(COUNTIFS($A$1:A2254,"Câu "&amp;"*")-MID(A2254,5,FIND(".",A2254,1)-5),0)</f>
        <v>0</v>
      </c>
      <c r="D2254">
        <f t="shared" si="130"/>
        <v>548</v>
      </c>
      <c r="E2254" t="str">
        <f>SUBSTITUTE(IF(LEFT(A2254,3)="Câu",MID(A2254,FIND(".",A2254,1)+2,LEN(A2254)),""),CHAR(34),CHAR(92)&amp;CHAR(34))</f>
        <v>Trong hình dưới, những xe nào vi phạm quy tắc giao thông?</v>
      </c>
      <c r="F2254" t="str">
        <f t="shared" si="129"/>
        <v>q548.jpg</v>
      </c>
      <c r="G2254" t="str">
        <f>SUBSTITUTE(B2255,CHAR(34),CHAR(92)&amp;CHAR(34))</f>
        <v>Xe con (B), xe mô tô (C).</v>
      </c>
      <c r="H2254" t="str">
        <f>SUBSTITUTE(B2256,CHAR(34),CHAR(92)&amp;CHAR(34))</f>
        <v>Xe con (A), xe mô tô (C).</v>
      </c>
      <c r="I2254" t="str">
        <f>SUBSTITUTE(IF(LEFT(A2257,3)="Câu","",B2257),CHAR(34),CHAR(92)&amp;CHAR(34))</f>
        <v xml:space="preserve"> Xe con (E), xe mô tô (D).</v>
      </c>
      <c r="J2254" t="str">
        <f>SUBSTITUTE(IF(OR(LEFT(A2258,3)="Câu",I2254=""),"",IF(B2258=0,"",B2258)),CHAR(34),CHAR(92)&amp;CHAR(34))</f>
        <v>Tất cả các loại xe trên.</v>
      </c>
      <c r="K2254" t="str">
        <f ca="1">SUBSTITUTE(SUBSTITUTE(SUBSTITUTE(SUBSTITUTE(IFERROR(VLOOKUP("Câu "&amp;D2254&amp;".",dapan!$E:$J,6,0),""),"1","A"),"2","B"),"3","C"),"4","D")</f>
        <v>C</v>
      </c>
      <c r="P2254">
        <f t="shared" si="131"/>
        <v>548</v>
      </c>
      <c r="Q2254" t="str">
        <f t="shared" ca="1" si="132"/>
        <v>{"num":548,"id":548,"q":"Trong hình dưới, những xe nào vi phạm quy tắc giao thông?","img":"q548.jpg","opts":{"A":"Xe con (B), xe mô tô (C).","B":"Xe con (A), xe mô tô (C).","C":" Xe con (E), xe mô tô (D).","D":"Tất cả các loại xe trên."},"answer":"C"},</v>
      </c>
    </row>
    <row r="2255" spans="1:17" hidden="1" x14ac:dyDescent="0.25">
      <c r="A2255">
        <v>1</v>
      </c>
      <c r="B2255" t="s">
        <v>1590</v>
      </c>
      <c r="C2255">
        <f>IFERROR(COUNTIFS($A$1:A2255,"Câu "&amp;"*")-MID(A2255,5,FIND(".",A2255,1)-5),0)</f>
        <v>0</v>
      </c>
      <c r="D2255" t="str">
        <f t="shared" si="130"/>
        <v/>
      </c>
      <c r="E2255" t="str">
        <f>SUBSTITUTE(IF(LEFT(A2255,3)="Câu",MID(A2255,FIND(".",A2255,1)+2,LEN(A2255)),""),CHAR(34),CHAR(92)&amp;CHAR(34))</f>
        <v/>
      </c>
      <c r="F2255" t="str">
        <f t="shared" si="129"/>
        <v/>
      </c>
      <c r="G2255" t="str">
        <f>SUBSTITUTE(B2256,CHAR(34),CHAR(92)&amp;CHAR(34))</f>
        <v>Xe con (A), xe mô tô (C).</v>
      </c>
      <c r="H2255" t="str">
        <f>SUBSTITUTE(B2257,CHAR(34),CHAR(92)&amp;CHAR(34))</f>
        <v xml:space="preserve"> Xe con (E), xe mô tô (D).</v>
      </c>
      <c r="I2255" t="str">
        <f>SUBSTITUTE(IF(LEFT(A2258,3)="Câu","",B2258),CHAR(34),CHAR(92)&amp;CHAR(34))</f>
        <v>Tất cả các loại xe trên.</v>
      </c>
      <c r="J2255" t="str">
        <f>SUBSTITUTE(IF(OR(LEFT(A2259,3)="Câu",I2255=""),"",IF(B2259=0,"",B2259)),CHAR(34),CHAR(92)&amp;CHAR(34))</f>
        <v/>
      </c>
      <c r="K2255" t="str">
        <f>SUBSTITUTE(SUBSTITUTE(SUBSTITUTE(SUBSTITUTE(IFERROR(VLOOKUP("Câu "&amp;D2255&amp;".",dapan!$E:$J,6,0),""),"1","A"),"2","B"),"3","C"),"4","D")</f>
        <v/>
      </c>
      <c r="P2255" t="str">
        <f t="shared" si="131"/>
        <v/>
      </c>
      <c r="Q2255" t="str">
        <f t="shared" si="132"/>
        <v/>
      </c>
    </row>
    <row r="2256" spans="1:17" hidden="1" x14ac:dyDescent="0.25">
      <c r="A2256">
        <v>2</v>
      </c>
      <c r="B2256" t="s">
        <v>1591</v>
      </c>
      <c r="C2256">
        <f>IFERROR(COUNTIFS($A$1:A2256,"Câu "&amp;"*")-MID(A2256,5,FIND(".",A2256,1)-5),0)</f>
        <v>0</v>
      </c>
      <c r="D2256" t="str">
        <f t="shared" si="130"/>
        <v/>
      </c>
      <c r="E2256" t="str">
        <f>SUBSTITUTE(IF(LEFT(A2256,3)="Câu",MID(A2256,FIND(".",A2256,1)+2,LEN(A2256)),""),CHAR(34),CHAR(92)&amp;CHAR(34))</f>
        <v/>
      </c>
      <c r="F2256" t="str">
        <f t="shared" si="129"/>
        <v/>
      </c>
      <c r="G2256" t="str">
        <f>SUBSTITUTE(B2257,CHAR(34),CHAR(92)&amp;CHAR(34))</f>
        <v xml:space="preserve"> Xe con (E), xe mô tô (D).</v>
      </c>
      <c r="H2256" t="str">
        <f>SUBSTITUTE(B2258,CHAR(34),CHAR(92)&amp;CHAR(34))</f>
        <v>Tất cả các loại xe trên.</v>
      </c>
      <c r="I2256" t="str">
        <f>SUBSTITUTE(IF(LEFT(A2259,3)="Câu","",B2259),CHAR(34),CHAR(92)&amp;CHAR(34))</f>
        <v/>
      </c>
      <c r="J2256" t="str">
        <f>SUBSTITUTE(IF(OR(LEFT(A2260,3)="Câu",I2256=""),"",IF(B2260=0,"",B2260)),CHAR(34),CHAR(92)&amp;CHAR(34))</f>
        <v/>
      </c>
      <c r="K2256" t="str">
        <f>SUBSTITUTE(SUBSTITUTE(SUBSTITUTE(SUBSTITUTE(IFERROR(VLOOKUP("Câu "&amp;D2256&amp;".",dapan!$E:$J,6,0),""),"1","A"),"2","B"),"3","C"),"4","D")</f>
        <v/>
      </c>
      <c r="P2256" t="str">
        <f t="shared" si="131"/>
        <v/>
      </c>
      <c r="Q2256" t="str">
        <f t="shared" si="132"/>
        <v/>
      </c>
    </row>
    <row r="2257" spans="1:17" hidden="1" x14ac:dyDescent="0.25">
      <c r="A2257">
        <v>3</v>
      </c>
      <c r="B2257" t="s">
        <v>1592</v>
      </c>
      <c r="C2257">
        <f>IFERROR(COUNTIFS($A$1:A2257,"Câu "&amp;"*")-MID(A2257,5,FIND(".",A2257,1)-5),0)</f>
        <v>0</v>
      </c>
      <c r="D2257" t="str">
        <f t="shared" si="130"/>
        <v/>
      </c>
      <c r="E2257" t="str">
        <f>SUBSTITUTE(IF(LEFT(A2257,3)="Câu",MID(A2257,FIND(".",A2257,1)+2,LEN(A2257)),""),CHAR(34),CHAR(92)&amp;CHAR(34))</f>
        <v/>
      </c>
      <c r="F2257" t="str">
        <f t="shared" si="129"/>
        <v/>
      </c>
      <c r="G2257" t="str">
        <f>SUBSTITUTE(B2258,CHAR(34),CHAR(92)&amp;CHAR(34))</f>
        <v>Tất cả các loại xe trên.</v>
      </c>
      <c r="H2257" t="str">
        <f>SUBSTITUTE(B2259,CHAR(34),CHAR(92)&amp;CHAR(34))</f>
        <v/>
      </c>
      <c r="I2257" t="str">
        <f>SUBSTITUTE(IF(LEFT(A2260,3)="Câu","",B2260),CHAR(34),CHAR(92)&amp;CHAR(34))</f>
        <v>Xe của bạn.</v>
      </c>
      <c r="J2257" t="str">
        <f>SUBSTITUTE(IF(OR(LEFT(A2261,3)="Câu",I2257=""),"",IF(B2261=0,"",B2261)),CHAR(34),CHAR(92)&amp;CHAR(34))</f>
        <v xml:space="preserve"> Xe tải.</v>
      </c>
      <c r="K2257" t="str">
        <f>SUBSTITUTE(SUBSTITUTE(SUBSTITUTE(SUBSTITUTE(IFERROR(VLOOKUP("Câu "&amp;D2257&amp;".",dapan!$E:$J,6,0),""),"1","A"),"2","B"),"3","C"),"4","D")</f>
        <v/>
      </c>
      <c r="P2257" t="str">
        <f t="shared" si="131"/>
        <v/>
      </c>
      <c r="Q2257" t="str">
        <f t="shared" si="132"/>
        <v/>
      </c>
    </row>
    <row r="2258" spans="1:17" hidden="1" x14ac:dyDescent="0.25">
      <c r="A2258">
        <v>4</v>
      </c>
      <c r="B2258" t="s">
        <v>1593</v>
      </c>
      <c r="C2258">
        <f>IFERROR(COUNTIFS($A$1:A2258,"Câu "&amp;"*")-MID(A2258,5,FIND(".",A2258,1)-5),0)</f>
        <v>0</v>
      </c>
      <c r="D2258" t="str">
        <f t="shared" si="130"/>
        <v/>
      </c>
      <c r="E2258" t="str">
        <f>SUBSTITUTE(IF(LEFT(A2258,3)="Câu",MID(A2258,FIND(".",A2258,1)+2,LEN(A2258)),""),CHAR(34),CHAR(92)&amp;CHAR(34))</f>
        <v/>
      </c>
      <c r="F2258" t="str">
        <f t="shared" si="129"/>
        <v/>
      </c>
      <c r="G2258" t="str">
        <f>SUBSTITUTE(B2259,CHAR(34),CHAR(92)&amp;CHAR(34))</f>
        <v/>
      </c>
      <c r="H2258" t="str">
        <f>SUBSTITUTE(B2260,CHAR(34),CHAR(92)&amp;CHAR(34))</f>
        <v>Xe của bạn.</v>
      </c>
      <c r="I2258" t="str">
        <f>SUBSTITUTE(IF(LEFT(A2261,3)="Câu","",B2261),CHAR(34),CHAR(92)&amp;CHAR(34))</f>
        <v xml:space="preserve"> Xe tải.</v>
      </c>
      <c r="J2258" t="str">
        <f>SUBSTITUTE(IF(OR(LEFT(A2262,3)="Câu",I2258=""),"",IF(B2262=0,"",B2262)),CHAR(34),CHAR(92)&amp;CHAR(34))</f>
        <v/>
      </c>
      <c r="K2258" t="str">
        <f>SUBSTITUTE(SUBSTITUTE(SUBSTITUTE(SUBSTITUTE(IFERROR(VLOOKUP("Câu "&amp;D2258&amp;".",dapan!$E:$J,6,0),""),"1","A"),"2","B"),"3","C"),"4","D")</f>
        <v/>
      </c>
      <c r="P2258" t="str">
        <f t="shared" si="131"/>
        <v/>
      </c>
      <c r="Q2258" t="str">
        <f t="shared" si="132"/>
        <v/>
      </c>
    </row>
    <row r="2259" spans="1:17" x14ac:dyDescent="0.25">
      <c r="A2259" t="s">
        <v>1594</v>
      </c>
      <c r="C2259">
        <f>IFERROR(COUNTIFS($A$1:A2259,"Câu "&amp;"*")-MID(A2259,5,FIND(".",A2259,1)-5),0)</f>
        <v>0</v>
      </c>
      <c r="D2259">
        <f t="shared" si="130"/>
        <v>549</v>
      </c>
      <c r="E2259" t="str">
        <f>SUBSTITUTE(IF(LEFT(A2259,3)="Câu",MID(A2259,FIND(".",A2259,1)+2,LEN(A2259)),""),CHAR(34),CHAR(92)&amp;CHAR(34))</f>
        <v>Xe nào đi trước là đúng quy tắc giao thông?</v>
      </c>
      <c r="F2259" t="str">
        <f t="shared" si="129"/>
        <v>q549.jpg</v>
      </c>
      <c r="G2259" t="str">
        <f>SUBSTITUTE(B2260,CHAR(34),CHAR(92)&amp;CHAR(34))</f>
        <v>Xe của bạn.</v>
      </c>
      <c r="H2259" t="str">
        <f>SUBSTITUTE(B2261,CHAR(34),CHAR(92)&amp;CHAR(34))</f>
        <v xml:space="preserve"> Xe tải.</v>
      </c>
      <c r="I2259" t="str">
        <f>SUBSTITUTE(IF(LEFT(A2262,3)="Câu","",B2262),CHAR(34),CHAR(92)&amp;CHAR(34))</f>
        <v/>
      </c>
      <c r="J2259" t="str">
        <f>SUBSTITUTE(IF(OR(LEFT(A2263,3)="Câu",I2259=""),"",IF(B2263=0,"",B2263)),CHAR(34),CHAR(92)&amp;CHAR(34))</f>
        <v/>
      </c>
      <c r="K2259" t="str">
        <f ca="1">SUBSTITUTE(SUBSTITUTE(SUBSTITUTE(SUBSTITUTE(IFERROR(VLOOKUP("Câu "&amp;D2259&amp;".",dapan!$E:$J,6,0),""),"1","A"),"2","B"),"3","C"),"4","D")</f>
        <v>B</v>
      </c>
      <c r="P2259">
        <f t="shared" si="131"/>
        <v>549</v>
      </c>
      <c r="Q2259" t="str">
        <f t="shared" ca="1" si="132"/>
        <v>{"num":549,"id":549,"q":"Xe nào đi trước là đúng quy tắc giao thông?","img":"q549.jpg","opts":{"A":"Xe của bạn.","B":" Xe tải."},"answer":"B"},</v>
      </c>
    </row>
    <row r="2260" spans="1:17" hidden="1" x14ac:dyDescent="0.25">
      <c r="A2260">
        <v>1</v>
      </c>
      <c r="B2260" t="s">
        <v>1595</v>
      </c>
      <c r="C2260">
        <f>IFERROR(COUNTIFS($A$1:A2260,"Câu "&amp;"*")-MID(A2260,5,FIND(".",A2260,1)-5),0)</f>
        <v>0</v>
      </c>
      <c r="D2260" t="str">
        <f t="shared" si="130"/>
        <v/>
      </c>
      <c r="E2260" t="str">
        <f>SUBSTITUTE(IF(LEFT(A2260,3)="Câu",MID(A2260,FIND(".",A2260,1)+2,LEN(A2260)),""),CHAR(34),CHAR(92)&amp;CHAR(34))</f>
        <v/>
      </c>
      <c r="F2260" t="str">
        <f t="shared" si="129"/>
        <v/>
      </c>
      <c r="G2260" t="str">
        <f>SUBSTITUTE(B2261,CHAR(34),CHAR(92)&amp;CHAR(34))</f>
        <v xml:space="preserve"> Xe tải.</v>
      </c>
      <c r="H2260" t="str">
        <f>SUBSTITUTE(B2262,CHAR(34),CHAR(92)&amp;CHAR(34))</f>
        <v/>
      </c>
      <c r="I2260" t="str">
        <f>SUBSTITUTE(IF(LEFT(A2263,3)="Câu","",B2263),CHAR(34),CHAR(92)&amp;CHAR(34))</f>
        <v xml:space="preserve"> Quay đầu theo hướng A.</v>
      </c>
      <c r="J2260" t="str">
        <f>SUBSTITUTE(IF(OR(LEFT(A2264,3)="Câu",I2260=""),"",IF(B2264=0,"",B2264)),CHAR(34),CHAR(92)&amp;CHAR(34))</f>
        <v>Quay đầu theo hướng B.</v>
      </c>
      <c r="K2260" t="str">
        <f>SUBSTITUTE(SUBSTITUTE(SUBSTITUTE(SUBSTITUTE(IFERROR(VLOOKUP("Câu "&amp;D2260&amp;".",dapan!$E:$J,6,0),""),"1","A"),"2","B"),"3","C"),"4","D")</f>
        <v/>
      </c>
      <c r="P2260" t="str">
        <f t="shared" si="131"/>
        <v/>
      </c>
      <c r="Q2260" t="str">
        <f t="shared" si="132"/>
        <v/>
      </c>
    </row>
    <row r="2261" spans="1:17" hidden="1" x14ac:dyDescent="0.25">
      <c r="A2261">
        <v>2</v>
      </c>
      <c r="B2261" t="s">
        <v>1460</v>
      </c>
      <c r="C2261">
        <f>IFERROR(COUNTIFS($A$1:A2261,"Câu "&amp;"*")-MID(A2261,5,FIND(".",A2261,1)-5),0)</f>
        <v>0</v>
      </c>
      <c r="D2261" t="str">
        <f t="shared" si="130"/>
        <v/>
      </c>
      <c r="E2261" t="str">
        <f>SUBSTITUTE(IF(LEFT(A2261,3)="Câu",MID(A2261,FIND(".",A2261,1)+2,LEN(A2261)),""),CHAR(34),CHAR(92)&amp;CHAR(34))</f>
        <v/>
      </c>
      <c r="F2261" t="str">
        <f t="shared" si="129"/>
        <v/>
      </c>
      <c r="G2261" t="str">
        <f>SUBSTITUTE(B2262,CHAR(34),CHAR(92)&amp;CHAR(34))</f>
        <v/>
      </c>
      <c r="H2261" t="str">
        <f>SUBSTITUTE(B2263,CHAR(34),CHAR(92)&amp;CHAR(34))</f>
        <v xml:space="preserve"> Quay đầu theo hướng A.</v>
      </c>
      <c r="I2261" t="str">
        <f>SUBSTITUTE(IF(LEFT(A2264,3)="Câu","",B2264),CHAR(34),CHAR(92)&amp;CHAR(34))</f>
        <v>Quay đầu theo hướng B.</v>
      </c>
      <c r="J2261" t="str">
        <f>SUBSTITUTE(IF(OR(LEFT(A2265,3)="Câu",I2261=""),"",IF(B2265=0,"",B2265)),CHAR(34),CHAR(92)&amp;CHAR(34))</f>
        <v>Cấm quay đầu.</v>
      </c>
      <c r="K2261" t="str">
        <f>SUBSTITUTE(SUBSTITUTE(SUBSTITUTE(SUBSTITUTE(IFERROR(VLOOKUP("Câu "&amp;D2261&amp;".",dapan!$E:$J,6,0),""),"1","A"),"2","B"),"3","C"),"4","D")</f>
        <v/>
      </c>
      <c r="P2261" t="str">
        <f t="shared" si="131"/>
        <v/>
      </c>
      <c r="Q2261" t="str">
        <f t="shared" si="132"/>
        <v/>
      </c>
    </row>
    <row r="2262" spans="1:17" x14ac:dyDescent="0.25">
      <c r="A2262" t="s">
        <v>1596</v>
      </c>
      <c r="C2262">
        <f>IFERROR(COUNTIFS($A$1:A2262,"Câu "&amp;"*")-MID(A2262,5,FIND(".",A2262,1)-5),0)</f>
        <v>0</v>
      </c>
      <c r="D2262">
        <f t="shared" si="130"/>
        <v>550</v>
      </c>
      <c r="E2262" t="str">
        <f>SUBSTITUTE(IF(LEFT(A2262,3)="Câu",MID(A2262,FIND(".",A2262,1)+2,LEN(A2262)),""),CHAR(34),CHAR(92)&amp;CHAR(34))</f>
        <v>Người lái xe có thể quay đầu xe như thế nào là đúng quy tắc giao thông?</v>
      </c>
      <c r="F2262" t="str">
        <f t="shared" ref="F2262:F2325" si="133">IF(D2262="","","q"&amp;TEXT(D2262,"000")&amp;".jpg")</f>
        <v>q550.jpg</v>
      </c>
      <c r="G2262" t="str">
        <f>SUBSTITUTE(B2263,CHAR(34),CHAR(92)&amp;CHAR(34))</f>
        <v xml:space="preserve"> Quay đầu theo hướng A.</v>
      </c>
      <c r="H2262" t="str">
        <f>SUBSTITUTE(B2264,CHAR(34),CHAR(92)&amp;CHAR(34))</f>
        <v>Quay đầu theo hướng B.</v>
      </c>
      <c r="I2262" t="str">
        <f>SUBSTITUTE(IF(LEFT(A2265,3)="Câu","",B2265),CHAR(34),CHAR(92)&amp;CHAR(34))</f>
        <v>Cấm quay đầu.</v>
      </c>
      <c r="J2262" t="str">
        <f>SUBSTITUTE(IF(OR(LEFT(A2266,3)="Câu",I2262=""),"",IF(B2266=0,"",B2266)),CHAR(34),CHAR(92)&amp;CHAR(34))</f>
        <v/>
      </c>
      <c r="K2262" t="str">
        <f ca="1">SUBSTITUTE(SUBSTITUTE(SUBSTITUTE(SUBSTITUTE(IFERROR(VLOOKUP("Câu "&amp;D2262&amp;".",dapan!$E:$J,6,0),""),"1","A"),"2","B"),"3","C"),"4","D")</f>
        <v>A</v>
      </c>
      <c r="P2262">
        <f t="shared" si="131"/>
        <v>550</v>
      </c>
      <c r="Q2262" t="str">
        <f t="shared" ca="1" si="132"/>
        <v>{"num":550,"id":550,"q":"Người lái xe có thể quay đầu xe như thế nào là đúng quy tắc giao thông?","img":"q550.jpg","opts":{"A":" Quay đầu theo hướng A.","B":"Quay đầu theo hướng B.","C":"Cấm quay đầu."},"answer":"A"},</v>
      </c>
    </row>
    <row r="2263" spans="1:17" hidden="1" x14ac:dyDescent="0.25">
      <c r="A2263">
        <v>1</v>
      </c>
      <c r="B2263" t="s">
        <v>1597</v>
      </c>
      <c r="C2263">
        <f>IFERROR(COUNTIFS($A$1:A2263,"Câu "&amp;"*")-MID(A2263,5,FIND(".",A2263,1)-5),0)</f>
        <v>0</v>
      </c>
      <c r="D2263" t="str">
        <f t="shared" si="130"/>
        <v/>
      </c>
      <c r="E2263" t="str">
        <f>SUBSTITUTE(IF(LEFT(A2263,3)="Câu",MID(A2263,FIND(".",A2263,1)+2,LEN(A2263)),""),CHAR(34),CHAR(92)&amp;CHAR(34))</f>
        <v/>
      </c>
      <c r="F2263" t="str">
        <f t="shared" si="133"/>
        <v/>
      </c>
      <c r="G2263" t="str">
        <f>SUBSTITUTE(B2264,CHAR(34),CHAR(92)&amp;CHAR(34))</f>
        <v>Quay đầu theo hướng B.</v>
      </c>
      <c r="H2263" t="str">
        <f>SUBSTITUTE(B2265,CHAR(34),CHAR(92)&amp;CHAR(34))</f>
        <v>Cấm quay đầu.</v>
      </c>
      <c r="I2263" t="str">
        <f>SUBSTITUTE(IF(LEFT(A2266,3)="Câu","",B2266),CHAR(34),CHAR(92)&amp;CHAR(34))</f>
        <v/>
      </c>
      <c r="J2263" t="str">
        <f>SUBSTITUTE(IF(OR(LEFT(A2267,3)="Câu",I2263=""),"",IF(B2267=0,"",B2267)),CHAR(34),CHAR(92)&amp;CHAR(34))</f>
        <v/>
      </c>
      <c r="K2263" t="str">
        <f>SUBSTITUTE(SUBSTITUTE(SUBSTITUTE(SUBSTITUTE(IFERROR(VLOOKUP("Câu "&amp;D2263&amp;".",dapan!$E:$J,6,0),""),"1","A"),"2","B"),"3","C"),"4","D")</f>
        <v/>
      </c>
      <c r="P2263" t="str">
        <f t="shared" si="131"/>
        <v/>
      </c>
      <c r="Q2263" t="str">
        <f t="shared" si="132"/>
        <v/>
      </c>
    </row>
    <row r="2264" spans="1:17" hidden="1" x14ac:dyDescent="0.25">
      <c r="A2264">
        <v>2</v>
      </c>
      <c r="B2264" t="s">
        <v>1598</v>
      </c>
      <c r="C2264">
        <f>IFERROR(COUNTIFS($A$1:A2264,"Câu "&amp;"*")-MID(A2264,5,FIND(".",A2264,1)-5),0)</f>
        <v>0</v>
      </c>
      <c r="D2264" t="str">
        <f t="shared" si="130"/>
        <v/>
      </c>
      <c r="E2264" t="str">
        <f>SUBSTITUTE(IF(LEFT(A2264,3)="Câu",MID(A2264,FIND(".",A2264,1)+2,LEN(A2264)),""),CHAR(34),CHAR(92)&amp;CHAR(34))</f>
        <v/>
      </c>
      <c r="F2264" t="str">
        <f t="shared" si="133"/>
        <v/>
      </c>
      <c r="G2264" t="str">
        <f>SUBSTITUTE(B2265,CHAR(34),CHAR(92)&amp;CHAR(34))</f>
        <v>Cấm quay đầu.</v>
      </c>
      <c r="H2264" t="str">
        <f>SUBSTITUTE(B2266,CHAR(34),CHAR(92)&amp;CHAR(34))</f>
        <v/>
      </c>
      <c r="I2264" t="str">
        <f>SUBSTITUTE(IF(LEFT(A2267,3)="Câu","",B2267),CHAR(34),CHAR(92)&amp;CHAR(34))</f>
        <v>Xe con và xe tải, xe của bạn.</v>
      </c>
      <c r="J2264" t="str">
        <f>SUBSTITUTE(IF(OR(LEFT(A2268,3)="Câu",I2264=""),"",IF(B2268=0,"",B2268)),CHAR(34),CHAR(92)&amp;CHAR(34))</f>
        <v>Xe của bạn, xe tải, xe con.</v>
      </c>
      <c r="K2264" t="str">
        <f>SUBSTITUTE(SUBSTITUTE(SUBSTITUTE(SUBSTITUTE(IFERROR(VLOOKUP("Câu "&amp;D2264&amp;".",dapan!$E:$J,6,0),""),"1","A"),"2","B"),"3","C"),"4","D")</f>
        <v/>
      </c>
      <c r="P2264" t="str">
        <f t="shared" si="131"/>
        <v/>
      </c>
      <c r="Q2264" t="str">
        <f t="shared" si="132"/>
        <v/>
      </c>
    </row>
    <row r="2265" spans="1:17" hidden="1" x14ac:dyDescent="0.25">
      <c r="A2265">
        <v>3</v>
      </c>
      <c r="B2265" t="s">
        <v>1599</v>
      </c>
      <c r="C2265">
        <f>IFERROR(COUNTIFS($A$1:A2265,"Câu "&amp;"*")-MID(A2265,5,FIND(".",A2265,1)-5),0)</f>
        <v>0</v>
      </c>
      <c r="D2265" t="str">
        <f t="shared" ref="D2265:D2328" si="134">IF(LEFT(A2265,3)="Câu",VALUE(MID(A2265,5,FIND(".",A2265,1)-5)),"")</f>
        <v/>
      </c>
      <c r="E2265" t="str">
        <f>SUBSTITUTE(IF(LEFT(A2265,3)="Câu",MID(A2265,FIND(".",A2265,1)+2,LEN(A2265)),""),CHAR(34),CHAR(92)&amp;CHAR(34))</f>
        <v/>
      </c>
      <c r="F2265" t="str">
        <f t="shared" si="133"/>
        <v/>
      </c>
      <c r="G2265" t="str">
        <f>SUBSTITUTE(B2266,CHAR(34),CHAR(92)&amp;CHAR(34))</f>
        <v/>
      </c>
      <c r="H2265" t="str">
        <f>SUBSTITUTE(B2267,CHAR(34),CHAR(92)&amp;CHAR(34))</f>
        <v>Xe con và xe tải, xe của bạn.</v>
      </c>
      <c r="I2265" t="str">
        <f>SUBSTITUTE(IF(LEFT(A2268,3)="Câu","",B2268),CHAR(34),CHAR(92)&amp;CHAR(34))</f>
        <v>Xe của bạn, xe tải, xe con.</v>
      </c>
      <c r="J2265" t="str">
        <f>SUBSTITUTE(IF(OR(LEFT(A2269,3)="Câu",I2265=""),"",IF(B2269=0,"",B2269)),CHAR(34),CHAR(92)&amp;CHAR(34))</f>
        <v xml:space="preserve"> Xe của bạn và xe con, xe tải.</v>
      </c>
      <c r="K2265" t="str">
        <f>SUBSTITUTE(SUBSTITUTE(SUBSTITUTE(SUBSTITUTE(IFERROR(VLOOKUP("Câu "&amp;D2265&amp;".",dapan!$E:$J,6,0),""),"1","A"),"2","B"),"3","C"),"4","D")</f>
        <v/>
      </c>
      <c r="P2265" t="str">
        <f t="shared" si="131"/>
        <v/>
      </c>
      <c r="Q2265" t="str">
        <f t="shared" si="132"/>
        <v/>
      </c>
    </row>
    <row r="2266" spans="1:17" x14ac:dyDescent="0.25">
      <c r="A2266" t="s">
        <v>1600</v>
      </c>
      <c r="C2266">
        <f>IFERROR(COUNTIFS($A$1:A2266,"Câu "&amp;"*")-MID(A2266,5,FIND(".",A2266,1)-5),0)</f>
        <v>0</v>
      </c>
      <c r="D2266">
        <f t="shared" si="134"/>
        <v>551</v>
      </c>
      <c r="E2266" t="str">
        <f>SUBSTITUTE(IF(LEFT(A2266,3)="Câu",MID(A2266,FIND(".",A2266,1)+2,LEN(A2266)),""),CHAR(34),CHAR(92)&amp;CHAR(34))</f>
        <v>Thứ tự các xe đi như thế nào là đúng quy tắc giao thông?</v>
      </c>
      <c r="F2266" t="str">
        <f t="shared" si="133"/>
        <v>q551.jpg</v>
      </c>
      <c r="G2266" t="str">
        <f>SUBSTITUTE(B2267,CHAR(34),CHAR(92)&amp;CHAR(34))</f>
        <v>Xe con và xe tải, xe của bạn.</v>
      </c>
      <c r="H2266" t="str">
        <f>SUBSTITUTE(B2268,CHAR(34),CHAR(92)&amp;CHAR(34))</f>
        <v>Xe của bạn, xe tải, xe con.</v>
      </c>
      <c r="I2266" t="str">
        <f>SUBSTITUTE(IF(LEFT(A2269,3)="Câu","",B2269),CHAR(34),CHAR(92)&amp;CHAR(34))</f>
        <v xml:space="preserve"> Xe của bạn và xe con, xe tải.</v>
      </c>
      <c r="J2266" t="str">
        <f>SUBSTITUTE(IF(OR(LEFT(A2270,3)="Câu",I2266=""),"",IF(B2270=0,"",B2270)),CHAR(34),CHAR(92)&amp;CHAR(34))</f>
        <v>Xe của bạn, xe tải + xe con.</v>
      </c>
      <c r="K2266" t="str">
        <f ca="1">SUBSTITUTE(SUBSTITUTE(SUBSTITUTE(SUBSTITUTE(IFERROR(VLOOKUP("Câu "&amp;D2266&amp;".",dapan!$E:$J,6,0),""),"1","A"),"2","B"),"3","C"),"4","D")</f>
        <v>C</v>
      </c>
      <c r="P2266">
        <f t="shared" si="131"/>
        <v>551</v>
      </c>
      <c r="Q2266" t="str">
        <f t="shared" ca="1" si="132"/>
        <v>{"num":551,"id":551,"q":"Thứ tự các xe đi như thế nào là đúng quy tắc giao thông?","img":"q551.jpg","opts":{"A":"Xe con và xe tải, xe của bạn.","B":"Xe của bạn, xe tải, xe con.","C":" Xe của bạn và xe con, xe tải.","D":"Xe của bạn, xe tải + xe con."},"answer":"C"},</v>
      </c>
    </row>
    <row r="2267" spans="1:17" hidden="1" x14ac:dyDescent="0.25">
      <c r="A2267">
        <v>1</v>
      </c>
      <c r="B2267" t="s">
        <v>1601</v>
      </c>
      <c r="C2267">
        <f>IFERROR(COUNTIFS($A$1:A2267,"Câu "&amp;"*")-MID(A2267,5,FIND(".",A2267,1)-5),0)</f>
        <v>0</v>
      </c>
      <c r="D2267" t="str">
        <f t="shared" si="134"/>
        <v/>
      </c>
      <c r="E2267" t="str">
        <f>SUBSTITUTE(IF(LEFT(A2267,3)="Câu",MID(A2267,FIND(".",A2267,1)+2,LEN(A2267)),""),CHAR(34),CHAR(92)&amp;CHAR(34))</f>
        <v/>
      </c>
      <c r="F2267" t="str">
        <f t="shared" si="133"/>
        <v/>
      </c>
      <c r="G2267" t="str">
        <f>SUBSTITUTE(B2268,CHAR(34),CHAR(92)&amp;CHAR(34))</f>
        <v>Xe của bạn, xe tải, xe con.</v>
      </c>
      <c r="H2267" t="str">
        <f>SUBSTITUTE(B2269,CHAR(34),CHAR(92)&amp;CHAR(34))</f>
        <v xml:space="preserve"> Xe của bạn và xe con, xe tải.</v>
      </c>
      <c r="I2267" t="str">
        <f>SUBSTITUTE(IF(LEFT(A2270,3)="Câu","",B2270),CHAR(34),CHAR(92)&amp;CHAR(34))</f>
        <v>Xe của bạn, xe tải + xe con.</v>
      </c>
      <c r="J2267" t="str">
        <f>SUBSTITUTE(IF(OR(LEFT(A2271,3)="Câu",I2267=""),"",IF(B2271=0,"",B2271)),CHAR(34),CHAR(92)&amp;CHAR(34))</f>
        <v/>
      </c>
      <c r="K2267" t="str">
        <f>SUBSTITUTE(SUBSTITUTE(SUBSTITUTE(SUBSTITUTE(IFERROR(VLOOKUP("Câu "&amp;D2267&amp;".",dapan!$E:$J,6,0),""),"1","A"),"2","B"),"3","C"),"4","D")</f>
        <v/>
      </c>
      <c r="P2267" t="str">
        <f t="shared" si="131"/>
        <v/>
      </c>
      <c r="Q2267" t="str">
        <f t="shared" si="132"/>
        <v/>
      </c>
    </row>
    <row r="2268" spans="1:17" hidden="1" x14ac:dyDescent="0.25">
      <c r="A2268">
        <v>2</v>
      </c>
      <c r="B2268" t="s">
        <v>1602</v>
      </c>
      <c r="C2268">
        <f>IFERROR(COUNTIFS($A$1:A2268,"Câu "&amp;"*")-MID(A2268,5,FIND(".",A2268,1)-5),0)</f>
        <v>0</v>
      </c>
      <c r="D2268" t="str">
        <f t="shared" si="134"/>
        <v/>
      </c>
      <c r="E2268" t="str">
        <f>SUBSTITUTE(IF(LEFT(A2268,3)="Câu",MID(A2268,FIND(".",A2268,1)+2,LEN(A2268)),""),CHAR(34),CHAR(92)&amp;CHAR(34))</f>
        <v/>
      </c>
      <c r="F2268" t="str">
        <f t="shared" si="133"/>
        <v/>
      </c>
      <c r="G2268" t="str">
        <f>SUBSTITUTE(B2269,CHAR(34),CHAR(92)&amp;CHAR(34))</f>
        <v xml:space="preserve"> Xe của bạn và xe con, xe tải.</v>
      </c>
      <c r="H2268" t="str">
        <f>SUBSTITUTE(B2270,CHAR(34),CHAR(92)&amp;CHAR(34))</f>
        <v>Xe của bạn, xe tải + xe con.</v>
      </c>
      <c r="I2268" t="str">
        <f>SUBSTITUTE(IF(LEFT(A2271,3)="Câu","",B2271),CHAR(34),CHAR(92)&amp;CHAR(34))</f>
        <v/>
      </c>
      <c r="J2268" t="str">
        <f>SUBSTITUTE(IF(OR(LEFT(A2272,3)="Câu",I2268=""),"",IF(B2272=0,"",B2272)),CHAR(34),CHAR(92)&amp;CHAR(34))</f>
        <v/>
      </c>
      <c r="K2268" t="str">
        <f>SUBSTITUTE(SUBSTITUTE(SUBSTITUTE(SUBSTITUTE(IFERROR(VLOOKUP("Câu "&amp;D2268&amp;".",dapan!$E:$J,6,0),""),"1","A"),"2","B"),"3","C"),"4","D")</f>
        <v/>
      </c>
      <c r="P2268" t="str">
        <f t="shared" si="131"/>
        <v/>
      </c>
      <c r="Q2268" t="str">
        <f t="shared" si="132"/>
        <v/>
      </c>
    </row>
    <row r="2269" spans="1:17" hidden="1" x14ac:dyDescent="0.25">
      <c r="A2269">
        <v>3</v>
      </c>
      <c r="B2269" t="s">
        <v>1603</v>
      </c>
      <c r="C2269">
        <f>IFERROR(COUNTIFS($A$1:A2269,"Câu "&amp;"*")-MID(A2269,5,FIND(".",A2269,1)-5),0)</f>
        <v>0</v>
      </c>
      <c r="D2269" t="str">
        <f t="shared" si="134"/>
        <v/>
      </c>
      <c r="E2269" t="str">
        <f>SUBSTITUTE(IF(LEFT(A2269,3)="Câu",MID(A2269,FIND(".",A2269,1)+2,LEN(A2269)),""),CHAR(34),CHAR(92)&amp;CHAR(34))</f>
        <v/>
      </c>
      <c r="F2269" t="str">
        <f t="shared" si="133"/>
        <v/>
      </c>
      <c r="G2269" t="str">
        <f>SUBSTITUTE(B2270,CHAR(34),CHAR(92)&amp;CHAR(34))</f>
        <v>Xe của bạn, xe tải + xe con.</v>
      </c>
      <c r="H2269" t="str">
        <f>SUBSTITUTE(B2271,CHAR(34),CHAR(92)&amp;CHAR(34))</f>
        <v/>
      </c>
      <c r="I2269" t="str">
        <f>SUBSTITUTE(IF(LEFT(A2272,3)="Câu","",B2272),CHAR(34),CHAR(92)&amp;CHAR(34))</f>
        <v>Tăng tốc cho xe chạy vượt qua.</v>
      </c>
      <c r="J2269" t="str">
        <f>SUBSTITUTE(IF(OR(LEFT(A2273,3)="Câu",I2269=""),"",IF(B2273=0,"",B2273)),CHAR(34),CHAR(92)&amp;CHAR(34))</f>
        <v xml:space="preserve"> Bật tín hiệu báo hiệu bằng đèn hoặc còi, khi đủ điều kiện an toàn, tăng tốc cho xe chạy vượt qua.</v>
      </c>
      <c r="K2269" t="str">
        <f>SUBSTITUTE(SUBSTITUTE(SUBSTITUTE(SUBSTITUTE(IFERROR(VLOOKUP("Câu "&amp;D2269&amp;".",dapan!$E:$J,6,0),""),"1","A"),"2","B"),"3","C"),"4","D")</f>
        <v/>
      </c>
      <c r="P2269" t="str">
        <f t="shared" si="131"/>
        <v/>
      </c>
      <c r="Q2269" t="str">
        <f t="shared" si="132"/>
        <v/>
      </c>
    </row>
    <row r="2270" spans="1:17" hidden="1" x14ac:dyDescent="0.25">
      <c r="A2270">
        <v>4</v>
      </c>
      <c r="B2270" t="s">
        <v>1604</v>
      </c>
      <c r="C2270">
        <f>IFERROR(COUNTIFS($A$1:A2270,"Câu "&amp;"*")-MID(A2270,5,FIND(".",A2270,1)-5),0)</f>
        <v>0</v>
      </c>
      <c r="D2270" t="str">
        <f t="shared" si="134"/>
        <v/>
      </c>
      <c r="E2270" t="str">
        <f>SUBSTITUTE(IF(LEFT(A2270,3)="Câu",MID(A2270,FIND(".",A2270,1)+2,LEN(A2270)),""),CHAR(34),CHAR(92)&amp;CHAR(34))</f>
        <v/>
      </c>
      <c r="F2270" t="str">
        <f t="shared" si="133"/>
        <v/>
      </c>
      <c r="G2270" t="str">
        <f>SUBSTITUTE(B2271,CHAR(34),CHAR(92)&amp;CHAR(34))</f>
        <v/>
      </c>
      <c r="H2270" t="str">
        <f>SUBSTITUTE(B2272,CHAR(34),CHAR(92)&amp;CHAR(34))</f>
        <v>Tăng tốc cho xe chạy vượt qua.</v>
      </c>
      <c r="I2270" t="str">
        <f>SUBSTITUTE(IF(LEFT(A2273,3)="Câu","",B2273),CHAR(34),CHAR(92)&amp;CHAR(34))</f>
        <v xml:space="preserve"> Bật tín hiệu báo hiệu bằng đèn hoặc còi, khi đủ điều kiện an toàn, tăng tốc cho xe chạy vượt qua.</v>
      </c>
      <c r="J2270" t="str">
        <f>SUBSTITUTE(IF(OR(LEFT(A2274,3)="Câu",I2270=""),"",IF(B2274=0,"",B2274)),CHAR(34),CHAR(92)&amp;CHAR(34))</f>
        <v>Đánh lái sang làn bên trái và tăng tốc cho xe chạy vượt qua.</v>
      </c>
      <c r="K2270" t="str">
        <f>SUBSTITUTE(SUBSTITUTE(SUBSTITUTE(SUBSTITUTE(IFERROR(VLOOKUP("Câu "&amp;D2270&amp;".",dapan!$E:$J,6,0),""),"1","A"),"2","B"),"3","C"),"4","D")</f>
        <v/>
      </c>
      <c r="P2270" t="str">
        <f t="shared" si="131"/>
        <v/>
      </c>
      <c r="Q2270" t="str">
        <f t="shared" si="132"/>
        <v/>
      </c>
    </row>
    <row r="2271" spans="1:17" x14ac:dyDescent="0.25">
      <c r="A2271" t="s">
        <v>1769</v>
      </c>
      <c r="C2271">
        <f>IFERROR(COUNTIFS($A$1:A2271,"Câu "&amp;"*")-MID(A2271,5,FIND(".",A2271,1)-5),0)</f>
        <v>0</v>
      </c>
      <c r="D2271">
        <f t="shared" si="134"/>
        <v>552</v>
      </c>
      <c r="E2271" t="str">
        <f>SUBSTITUTE(IF(LEFT(A2271,3)="Câu",MID(A2271,FIND(".",A2271,1)+2,LEN(A2271)),""),CHAR(34),CHAR(92)&amp;CHAR(34))</f>
        <v>Khi muốn vượt xe tải, người lái xe phải làm gì là đúng quy tắc giao thông?</v>
      </c>
      <c r="F2271" t="str">
        <f t="shared" si="133"/>
        <v>q552.jpg</v>
      </c>
      <c r="G2271" t="str">
        <f>SUBSTITUTE(B2272,CHAR(34),CHAR(92)&amp;CHAR(34))</f>
        <v>Tăng tốc cho xe chạy vượt qua.</v>
      </c>
      <c r="H2271" t="str">
        <f>SUBSTITUTE(B2273,CHAR(34),CHAR(92)&amp;CHAR(34))</f>
        <v xml:space="preserve"> Bật tín hiệu báo hiệu bằng đèn hoặc còi, khi đủ điều kiện an toàn, tăng tốc cho xe chạy vượt qua.</v>
      </c>
      <c r="I2271" t="str">
        <f>SUBSTITUTE(IF(LEFT(A2274,3)="Câu","",B2274),CHAR(34),CHAR(92)&amp;CHAR(34))</f>
        <v>Đánh lái sang làn bên trái và tăng tốc cho xe chạy vượt qua.</v>
      </c>
      <c r="J2271" t="str">
        <f>SUBSTITUTE(IF(OR(LEFT(A2275,3)="Câu",I2271=""),"",IF(B2275=0,"",B2275)),CHAR(34),CHAR(92)&amp;CHAR(34))</f>
        <v/>
      </c>
      <c r="K2271" t="str">
        <f ca="1">SUBSTITUTE(SUBSTITUTE(SUBSTITUTE(SUBSTITUTE(IFERROR(VLOOKUP("Câu "&amp;D2271&amp;".",dapan!$E:$J,6,0),""),"1","A"),"2","B"),"3","C"),"4","D")</f>
        <v>B</v>
      </c>
      <c r="P2271">
        <f t="shared" si="131"/>
        <v>552</v>
      </c>
      <c r="Q2271" t="str">
        <f t="shared" ca="1" si="132"/>
        <v>{"num":552,"id":552,"q":"Khi muốn vượt xe tải, người lái xe phải làm gì là đúng quy tắc giao thông?","img":"q552.jpg","opts":{"A":"Tăng tốc cho xe chạy vượt qua.","B":" Bật tín hiệu báo hiệu bằng đèn hoặc còi, khi đủ điều kiện an toàn, tăng tốc cho xe chạy vượt qua.","C":"Đánh lái sang làn bên trái và tăng tốc cho xe chạy vượt qua."},"answer":"B"},</v>
      </c>
    </row>
    <row r="2272" spans="1:17" hidden="1" x14ac:dyDescent="0.25">
      <c r="A2272">
        <v>1</v>
      </c>
      <c r="B2272" t="s">
        <v>1605</v>
      </c>
      <c r="C2272">
        <f>IFERROR(COUNTIFS($A$1:A2272,"Câu "&amp;"*")-MID(A2272,5,FIND(".",A2272,1)-5),0)</f>
        <v>0</v>
      </c>
      <c r="D2272" t="str">
        <f t="shared" si="134"/>
        <v/>
      </c>
      <c r="E2272" t="str">
        <f>SUBSTITUTE(IF(LEFT(A2272,3)="Câu",MID(A2272,FIND(".",A2272,1)+2,LEN(A2272)),""),CHAR(34),CHAR(92)&amp;CHAR(34))</f>
        <v/>
      </c>
      <c r="F2272" t="str">
        <f t="shared" si="133"/>
        <v/>
      </c>
      <c r="G2272" t="str">
        <f>SUBSTITUTE(B2273,CHAR(34),CHAR(92)&amp;CHAR(34))</f>
        <v xml:space="preserve"> Bật tín hiệu báo hiệu bằng đèn hoặc còi, khi đủ điều kiện an toàn, tăng tốc cho xe chạy vượt qua.</v>
      </c>
      <c r="H2272" t="str">
        <f>SUBSTITUTE(B2274,CHAR(34),CHAR(92)&amp;CHAR(34))</f>
        <v>Đánh lái sang làn bên trái và tăng tốc cho xe chạy vượt qua.</v>
      </c>
      <c r="I2272" t="str">
        <f>SUBSTITUTE(IF(LEFT(A2275,3)="Câu","",B2275),CHAR(34),CHAR(92)&amp;CHAR(34))</f>
        <v/>
      </c>
      <c r="J2272" t="str">
        <f>SUBSTITUTE(IF(OR(LEFT(A2276,3)="Câu",I2272=""),"",IF(B2276=0,"",B2276)),CHAR(34),CHAR(92)&amp;CHAR(34))</f>
        <v/>
      </c>
      <c r="K2272" t="str">
        <f>SUBSTITUTE(SUBSTITUTE(SUBSTITUTE(SUBSTITUTE(IFERROR(VLOOKUP("Câu "&amp;D2272&amp;".",dapan!$E:$J,6,0),""),"1","A"),"2","B"),"3","C"),"4","D")</f>
        <v/>
      </c>
      <c r="P2272" t="str">
        <f t="shared" si="131"/>
        <v/>
      </c>
      <c r="Q2272" t="str">
        <f t="shared" si="132"/>
        <v/>
      </c>
    </row>
    <row r="2273" spans="1:17" hidden="1" x14ac:dyDescent="0.25">
      <c r="A2273">
        <v>2</v>
      </c>
      <c r="B2273" t="s">
        <v>1606</v>
      </c>
      <c r="C2273">
        <f>IFERROR(COUNTIFS($A$1:A2273,"Câu "&amp;"*")-MID(A2273,5,FIND(".",A2273,1)-5),0)</f>
        <v>0</v>
      </c>
      <c r="D2273" t="str">
        <f t="shared" si="134"/>
        <v/>
      </c>
      <c r="E2273" t="str">
        <f>SUBSTITUTE(IF(LEFT(A2273,3)="Câu",MID(A2273,FIND(".",A2273,1)+2,LEN(A2273)),""),CHAR(34),CHAR(92)&amp;CHAR(34))</f>
        <v/>
      </c>
      <c r="F2273" t="str">
        <f t="shared" si="133"/>
        <v/>
      </c>
      <c r="G2273" t="str">
        <f>SUBSTITUTE(B2274,CHAR(34),CHAR(92)&amp;CHAR(34))</f>
        <v>Đánh lái sang làn bên trái và tăng tốc cho xe chạy vượt qua.</v>
      </c>
      <c r="H2273" t="str">
        <f>SUBSTITUTE(B2275,CHAR(34),CHAR(92)&amp;CHAR(34))</f>
        <v/>
      </c>
      <c r="I2273" t="str">
        <f>SUBSTITUTE(IF(LEFT(A2276,3)="Câu","",B2276),CHAR(34),CHAR(92)&amp;CHAR(34))</f>
        <v>Xe khách, xe mô tô.</v>
      </c>
      <c r="J2273" t="str">
        <f>SUBSTITUTE(IF(OR(LEFT(A2277,3)="Câu",I2273=""),"",IF(B2277=0,"",B2277)),CHAR(34),CHAR(92)&amp;CHAR(34))</f>
        <v>Xe tải, xe mô tô.</v>
      </c>
      <c r="K2273" t="str">
        <f>SUBSTITUTE(SUBSTITUTE(SUBSTITUTE(SUBSTITUTE(IFERROR(VLOOKUP("Câu "&amp;D2273&amp;".",dapan!$E:$J,6,0),""),"1","A"),"2","B"),"3","C"),"4","D")</f>
        <v/>
      </c>
      <c r="P2273" t="str">
        <f t="shared" si="131"/>
        <v/>
      </c>
      <c r="Q2273" t="str">
        <f t="shared" si="132"/>
        <v/>
      </c>
    </row>
    <row r="2274" spans="1:17" hidden="1" x14ac:dyDescent="0.25">
      <c r="A2274">
        <v>3</v>
      </c>
      <c r="B2274" t="s">
        <v>1607</v>
      </c>
      <c r="C2274">
        <f>IFERROR(COUNTIFS($A$1:A2274,"Câu "&amp;"*")-MID(A2274,5,FIND(".",A2274,1)-5),0)</f>
        <v>0</v>
      </c>
      <c r="D2274" t="str">
        <f t="shared" si="134"/>
        <v/>
      </c>
      <c r="E2274" t="str">
        <f>SUBSTITUTE(IF(LEFT(A2274,3)="Câu",MID(A2274,FIND(".",A2274,1)+2,LEN(A2274)),""),CHAR(34),CHAR(92)&amp;CHAR(34))</f>
        <v/>
      </c>
      <c r="F2274" t="str">
        <f t="shared" si="133"/>
        <v/>
      </c>
      <c r="G2274" t="str">
        <f>SUBSTITUTE(B2275,CHAR(34),CHAR(92)&amp;CHAR(34))</f>
        <v/>
      </c>
      <c r="H2274" t="str">
        <f>SUBSTITUTE(B2276,CHAR(34),CHAR(92)&amp;CHAR(34))</f>
        <v>Xe khách, xe mô tô.</v>
      </c>
      <c r="I2274" t="str">
        <f>SUBSTITUTE(IF(LEFT(A2277,3)="Câu","",B2277),CHAR(34),CHAR(92)&amp;CHAR(34))</f>
        <v>Xe tải, xe mô tô.</v>
      </c>
      <c r="J2274" t="str">
        <f>SUBSTITUTE(IF(OR(LEFT(A2278,3)="Câu",I2274=""),"",IF(B2278=0,"",B2278)),CHAR(34),CHAR(92)&amp;CHAR(34))</f>
        <v xml:space="preserve"> Xe con, xe tải.</v>
      </c>
      <c r="K2274" t="str">
        <f>SUBSTITUTE(SUBSTITUTE(SUBSTITUTE(SUBSTITUTE(IFERROR(VLOOKUP("Câu "&amp;D2274&amp;".",dapan!$E:$J,6,0),""),"1","A"),"2","B"),"3","C"),"4","D")</f>
        <v/>
      </c>
      <c r="P2274" t="str">
        <f t="shared" si="131"/>
        <v/>
      </c>
      <c r="Q2274" t="str">
        <f t="shared" si="132"/>
        <v/>
      </c>
    </row>
    <row r="2275" spans="1:17" x14ac:dyDescent="0.25">
      <c r="A2275" t="s">
        <v>1608</v>
      </c>
      <c r="C2275">
        <f>IFERROR(COUNTIFS($A$1:A2275,"Câu "&amp;"*")-MID(A2275,5,FIND(".",A2275,1)-5),0)</f>
        <v>0</v>
      </c>
      <c r="D2275">
        <f t="shared" si="134"/>
        <v>553</v>
      </c>
      <c r="E2275" t="str">
        <f>SUBSTITUTE(IF(LEFT(A2275,3)="Câu",MID(A2275,FIND(".",A2275,1)+2,LEN(A2275)),""),CHAR(34),CHAR(92)&amp;CHAR(34))</f>
        <v>Theo tín hiệu đèn, xe nào phải dừng lại là đúng quy tắc giao thông?</v>
      </c>
      <c r="F2275" t="str">
        <f t="shared" si="133"/>
        <v>q553.jpg</v>
      </c>
      <c r="G2275" t="str">
        <f>SUBSTITUTE(B2276,CHAR(34),CHAR(92)&amp;CHAR(34))</f>
        <v>Xe khách, xe mô tô.</v>
      </c>
      <c r="H2275" t="str">
        <f>SUBSTITUTE(B2277,CHAR(34),CHAR(92)&amp;CHAR(34))</f>
        <v>Xe tải, xe mô tô.</v>
      </c>
      <c r="I2275" t="str">
        <f>SUBSTITUTE(IF(LEFT(A2278,3)="Câu","",B2278),CHAR(34),CHAR(92)&amp;CHAR(34))</f>
        <v xml:space="preserve"> Xe con, xe tải.</v>
      </c>
      <c r="J2275" t="str">
        <f>SUBSTITUTE(IF(OR(LEFT(A2279,3)="Câu",I2275=""),"",IF(B2279=0,"",B2279)),CHAR(34),CHAR(92)&amp;CHAR(34))</f>
        <v/>
      </c>
      <c r="K2275" t="str">
        <f ca="1">SUBSTITUTE(SUBSTITUTE(SUBSTITUTE(SUBSTITUTE(IFERROR(VLOOKUP("Câu "&amp;D2275&amp;".",dapan!$E:$J,6,0),""),"1","A"),"2","B"),"3","C"),"4","D")</f>
        <v>C</v>
      </c>
      <c r="P2275">
        <f t="shared" si="131"/>
        <v>553</v>
      </c>
      <c r="Q2275" t="str">
        <f t="shared" ca="1" si="132"/>
        <v>{"num":553,"id":553,"q":"Theo tín hiệu đèn, xe nào phải dừng lại là đúng quy tắc giao thông?","img":"q553.jpg","opts":{"A":"Xe khách, xe mô tô.","B":"Xe tải, xe mô tô.","C":" Xe con, xe tải."},"answer":"C"},</v>
      </c>
    </row>
    <row r="2276" spans="1:17" hidden="1" x14ac:dyDescent="0.25">
      <c r="A2276">
        <v>1</v>
      </c>
      <c r="B2276" t="s">
        <v>1442</v>
      </c>
      <c r="C2276">
        <f>IFERROR(COUNTIFS($A$1:A2276,"Câu "&amp;"*")-MID(A2276,5,FIND(".",A2276,1)-5),0)</f>
        <v>0</v>
      </c>
      <c r="D2276" t="str">
        <f t="shared" si="134"/>
        <v/>
      </c>
      <c r="E2276" t="str">
        <f>SUBSTITUTE(IF(LEFT(A2276,3)="Câu",MID(A2276,FIND(".",A2276,1)+2,LEN(A2276)),""),CHAR(34),CHAR(92)&amp;CHAR(34))</f>
        <v/>
      </c>
      <c r="F2276" t="str">
        <f t="shared" si="133"/>
        <v/>
      </c>
      <c r="G2276" t="str">
        <f>SUBSTITUTE(B2277,CHAR(34),CHAR(92)&amp;CHAR(34))</f>
        <v>Xe tải, xe mô tô.</v>
      </c>
      <c r="H2276" t="str">
        <f>SUBSTITUTE(B2278,CHAR(34),CHAR(92)&amp;CHAR(34))</f>
        <v xml:space="preserve"> Xe con, xe tải.</v>
      </c>
      <c r="I2276" t="str">
        <f>SUBSTITUTE(IF(LEFT(A2279,3)="Câu","",B2279),CHAR(34),CHAR(92)&amp;CHAR(34))</f>
        <v/>
      </c>
      <c r="J2276" t="str">
        <f>SUBSTITUTE(IF(OR(LEFT(A2280,3)="Câu",I2276=""),"",IF(B2280=0,"",B2280)),CHAR(34),CHAR(92)&amp;CHAR(34))</f>
        <v/>
      </c>
      <c r="K2276" t="str">
        <f>SUBSTITUTE(SUBSTITUTE(SUBSTITUTE(SUBSTITUTE(IFERROR(VLOOKUP("Câu "&amp;D2276&amp;".",dapan!$E:$J,6,0),""),"1","A"),"2","B"),"3","C"),"4","D")</f>
        <v/>
      </c>
      <c r="P2276" t="str">
        <f t="shared" si="131"/>
        <v/>
      </c>
      <c r="Q2276" t="str">
        <f t="shared" si="132"/>
        <v/>
      </c>
    </row>
    <row r="2277" spans="1:17" hidden="1" x14ac:dyDescent="0.25">
      <c r="A2277">
        <v>2</v>
      </c>
      <c r="B2277" t="s">
        <v>1397</v>
      </c>
      <c r="C2277">
        <f>IFERROR(COUNTIFS($A$1:A2277,"Câu "&amp;"*")-MID(A2277,5,FIND(".",A2277,1)-5),0)</f>
        <v>0</v>
      </c>
      <c r="D2277" t="str">
        <f t="shared" si="134"/>
        <v/>
      </c>
      <c r="E2277" t="str">
        <f>SUBSTITUTE(IF(LEFT(A2277,3)="Câu",MID(A2277,FIND(".",A2277,1)+2,LEN(A2277)),""),CHAR(34),CHAR(92)&amp;CHAR(34))</f>
        <v/>
      </c>
      <c r="F2277" t="str">
        <f t="shared" si="133"/>
        <v/>
      </c>
      <c r="G2277" t="str">
        <f>SUBSTITUTE(B2278,CHAR(34),CHAR(92)&amp;CHAR(34))</f>
        <v xml:space="preserve"> Xe con, xe tải.</v>
      </c>
      <c r="H2277" t="str">
        <f>SUBSTITUTE(B2279,CHAR(34),CHAR(92)&amp;CHAR(34))</f>
        <v/>
      </c>
      <c r="I2277" t="str">
        <f>SUBSTITUTE(IF(LEFT(A2280,3)="Câu","",B2280),CHAR(34),CHAR(92)&amp;CHAR(34))</f>
        <v>Xe tải ( D), xe con (B).</v>
      </c>
      <c r="J2277" t="str">
        <f>SUBSTITUTE(IF(OR(LEFT(A2281,3)="Câu",I2277=""),"",IF(B2281=0,"",B2281)),CHAR(34),CHAR(92)&amp;CHAR(34))</f>
        <v xml:space="preserve"> Xe con (A), xe con (C), xe con (E), xe buýt (G).</v>
      </c>
      <c r="K2277" t="str">
        <f>SUBSTITUTE(SUBSTITUTE(SUBSTITUTE(SUBSTITUTE(IFERROR(VLOOKUP("Câu "&amp;D2277&amp;".",dapan!$E:$J,6,0),""),"1","A"),"2","B"),"3","C"),"4","D")</f>
        <v/>
      </c>
      <c r="P2277" t="str">
        <f t="shared" si="131"/>
        <v/>
      </c>
      <c r="Q2277" t="str">
        <f t="shared" si="132"/>
        <v/>
      </c>
    </row>
    <row r="2278" spans="1:17" hidden="1" x14ac:dyDescent="0.25">
      <c r="A2278">
        <v>3</v>
      </c>
      <c r="B2278" t="s">
        <v>1443</v>
      </c>
      <c r="C2278">
        <f>IFERROR(COUNTIFS($A$1:A2278,"Câu "&amp;"*")-MID(A2278,5,FIND(".",A2278,1)-5),0)</f>
        <v>0</v>
      </c>
      <c r="D2278" t="str">
        <f t="shared" si="134"/>
        <v/>
      </c>
      <c r="E2278" t="str">
        <f>SUBSTITUTE(IF(LEFT(A2278,3)="Câu",MID(A2278,FIND(".",A2278,1)+2,LEN(A2278)),""),CHAR(34),CHAR(92)&amp;CHAR(34))</f>
        <v/>
      </c>
      <c r="F2278" t="str">
        <f t="shared" si="133"/>
        <v/>
      </c>
      <c r="G2278" t="str">
        <f>SUBSTITUTE(B2279,CHAR(34),CHAR(92)&amp;CHAR(34))</f>
        <v/>
      </c>
      <c r="H2278" t="str">
        <f>SUBSTITUTE(B2280,CHAR(34),CHAR(92)&amp;CHAR(34))</f>
        <v>Xe tải ( D), xe con (B).</v>
      </c>
      <c r="I2278" t="str">
        <f>SUBSTITUTE(IF(LEFT(A2281,3)="Câu","",B2281),CHAR(34),CHAR(92)&amp;CHAR(34))</f>
        <v xml:space="preserve"> Xe con (A), xe con (C), xe con (E), xe buýt (G).</v>
      </c>
      <c r="J2278" t="str">
        <f>SUBSTITUTE(IF(OR(LEFT(A2282,3)="Câu",I2278=""),"",IF(B2282=0,"",B2282)),CHAR(34),CHAR(92)&amp;CHAR(34))</f>
        <v>Xe con (A), xe con (B), xe tải (D).</v>
      </c>
      <c r="K2278" t="str">
        <f>SUBSTITUTE(SUBSTITUTE(SUBSTITUTE(SUBSTITUTE(IFERROR(VLOOKUP("Câu "&amp;D2278&amp;".",dapan!$E:$J,6,0),""),"1","A"),"2","B"),"3","C"),"4","D")</f>
        <v/>
      </c>
      <c r="P2278" t="str">
        <f t="shared" si="131"/>
        <v/>
      </c>
      <c r="Q2278" t="str">
        <f t="shared" si="132"/>
        <v/>
      </c>
    </row>
    <row r="2279" spans="1:17" x14ac:dyDescent="0.25">
      <c r="A2279" t="s">
        <v>1770</v>
      </c>
      <c r="C2279">
        <f>IFERROR(COUNTIFS($A$1:A2279,"Câu "&amp;"*")-MID(A2279,5,FIND(".",A2279,1)-5),0)</f>
        <v>0</v>
      </c>
      <c r="D2279">
        <f t="shared" si="134"/>
        <v>554</v>
      </c>
      <c r="E2279" t="str">
        <f>SUBSTITUTE(IF(LEFT(A2279,3)="Câu",MID(A2279,FIND(".",A2279,1)+2,LEN(A2279)),""),CHAR(34),CHAR(92)&amp;CHAR(34))</f>
        <v>Trong hình dưới, những xe nào chấp hành quy tắc giao thông?</v>
      </c>
      <c r="F2279" t="str">
        <f t="shared" si="133"/>
        <v>q554.jpg</v>
      </c>
      <c r="G2279" t="str">
        <f>SUBSTITUTE(B2280,CHAR(34),CHAR(92)&amp;CHAR(34))</f>
        <v>Xe tải ( D), xe con (B).</v>
      </c>
      <c r="H2279" t="str">
        <f>SUBSTITUTE(B2281,CHAR(34),CHAR(92)&amp;CHAR(34))</f>
        <v xml:space="preserve"> Xe con (A), xe con (C), xe con (E), xe buýt (G).</v>
      </c>
      <c r="I2279" t="str">
        <f>SUBSTITUTE(IF(LEFT(A2282,3)="Câu","",B2282),CHAR(34),CHAR(92)&amp;CHAR(34))</f>
        <v>Xe con (A), xe con (B), xe tải (D).</v>
      </c>
      <c r="J2279" t="str">
        <f>SUBSTITUTE(IF(OR(LEFT(A2283,3)="Câu",I2279=""),"",IF(B2283=0,"",B2283)),CHAR(34),CHAR(92)&amp;CHAR(34))</f>
        <v/>
      </c>
      <c r="K2279" t="str">
        <f ca="1">SUBSTITUTE(SUBSTITUTE(SUBSTITUTE(SUBSTITUTE(IFERROR(VLOOKUP("Câu "&amp;D2279&amp;".",dapan!$E:$J,6,0),""),"1","A"),"2","B"),"3","C"),"4","D")</f>
        <v>B</v>
      </c>
      <c r="P2279">
        <f t="shared" si="131"/>
        <v>554</v>
      </c>
      <c r="Q2279" t="str">
        <f t="shared" ca="1" si="132"/>
        <v>{"num":554,"id":554,"q":"Trong hình dưới, những xe nào chấp hành quy tắc giao thông?","img":"q554.jpg","opts":{"A":"Xe tải ( D), xe con (B).","B":" Xe con (A), xe con (C), xe con (E), xe buýt (G).","C":"Xe con (A), xe con (B), xe tải (D)."},"answer":"B"},</v>
      </c>
    </row>
    <row r="2280" spans="1:17" hidden="1" x14ac:dyDescent="0.25">
      <c r="A2280">
        <v>1</v>
      </c>
      <c r="B2280" t="s">
        <v>1609</v>
      </c>
      <c r="C2280">
        <f>IFERROR(COUNTIFS($A$1:A2280,"Câu "&amp;"*")-MID(A2280,5,FIND(".",A2280,1)-5),0)</f>
        <v>0</v>
      </c>
      <c r="D2280" t="str">
        <f t="shared" si="134"/>
        <v/>
      </c>
      <c r="E2280" t="str">
        <f>SUBSTITUTE(IF(LEFT(A2280,3)="Câu",MID(A2280,FIND(".",A2280,1)+2,LEN(A2280)),""),CHAR(34),CHAR(92)&amp;CHAR(34))</f>
        <v/>
      </c>
      <c r="F2280" t="str">
        <f t="shared" si="133"/>
        <v/>
      </c>
      <c r="G2280" t="str">
        <f>SUBSTITUTE(B2281,CHAR(34),CHAR(92)&amp;CHAR(34))</f>
        <v xml:space="preserve"> Xe con (A), xe con (C), xe con (E), xe buýt (G).</v>
      </c>
      <c r="H2280" t="str">
        <f>SUBSTITUTE(B2282,CHAR(34),CHAR(92)&amp;CHAR(34))</f>
        <v>Xe con (A), xe con (B), xe tải (D).</v>
      </c>
      <c r="I2280" t="str">
        <f>SUBSTITUTE(IF(LEFT(A2283,3)="Câu","",B2283),CHAR(34),CHAR(92)&amp;CHAR(34))</f>
        <v/>
      </c>
      <c r="J2280" t="str">
        <f>SUBSTITUTE(IF(OR(LEFT(A2284,3)="Câu",I2280=""),"",IF(B2284=0,"",B2284)),CHAR(34),CHAR(92)&amp;CHAR(34))</f>
        <v/>
      </c>
      <c r="K2280" t="str">
        <f>SUBSTITUTE(SUBSTITUTE(SUBSTITUTE(SUBSTITUTE(IFERROR(VLOOKUP("Câu "&amp;D2280&amp;".",dapan!$E:$J,6,0),""),"1","A"),"2","B"),"3","C"),"4","D")</f>
        <v/>
      </c>
      <c r="P2280" t="str">
        <f t="shared" si="131"/>
        <v/>
      </c>
      <c r="Q2280" t="str">
        <f t="shared" si="132"/>
        <v/>
      </c>
    </row>
    <row r="2281" spans="1:17" hidden="1" x14ac:dyDescent="0.25">
      <c r="A2281">
        <v>2</v>
      </c>
      <c r="B2281" t="s">
        <v>1610</v>
      </c>
      <c r="C2281">
        <f>IFERROR(COUNTIFS($A$1:A2281,"Câu "&amp;"*")-MID(A2281,5,FIND(".",A2281,1)-5),0)</f>
        <v>0</v>
      </c>
      <c r="D2281" t="str">
        <f t="shared" si="134"/>
        <v/>
      </c>
      <c r="E2281" t="str">
        <f>SUBSTITUTE(IF(LEFT(A2281,3)="Câu",MID(A2281,FIND(".",A2281,1)+2,LEN(A2281)),""),CHAR(34),CHAR(92)&amp;CHAR(34))</f>
        <v/>
      </c>
      <c r="F2281" t="str">
        <f t="shared" si="133"/>
        <v/>
      </c>
      <c r="G2281" t="str">
        <f>SUBSTITUTE(B2282,CHAR(34),CHAR(92)&amp;CHAR(34))</f>
        <v>Xe con (A), xe con (B), xe tải (D).</v>
      </c>
      <c r="H2281" t="str">
        <f>SUBSTITUTE(B2283,CHAR(34),CHAR(92)&amp;CHAR(34))</f>
        <v/>
      </c>
      <c r="I2281" t="str">
        <f>SUBSTITUTE(IF(LEFT(A2284,3)="Câu","",B2284),CHAR(34),CHAR(92)&amp;CHAR(34))</f>
        <v>Được vượt.</v>
      </c>
      <c r="J2281" t="str">
        <f>SUBSTITUTE(IF(OR(LEFT(A2285,3)="Câu",I2281=""),"",IF(B2285=0,"",B2285)),CHAR(34),CHAR(92)&amp;CHAR(34))</f>
        <v xml:space="preserve"> Cấm vượt.</v>
      </c>
      <c r="K2281" t="str">
        <f>SUBSTITUTE(SUBSTITUTE(SUBSTITUTE(SUBSTITUTE(IFERROR(VLOOKUP("Câu "&amp;D2281&amp;".",dapan!$E:$J,6,0),""),"1","A"),"2","B"),"3","C"),"4","D")</f>
        <v/>
      </c>
      <c r="P2281" t="str">
        <f t="shared" si="131"/>
        <v/>
      </c>
      <c r="Q2281" t="str">
        <f t="shared" si="132"/>
        <v/>
      </c>
    </row>
    <row r="2282" spans="1:17" hidden="1" x14ac:dyDescent="0.25">
      <c r="A2282">
        <v>3</v>
      </c>
      <c r="B2282" t="s">
        <v>1611</v>
      </c>
      <c r="C2282">
        <f>IFERROR(COUNTIFS($A$1:A2282,"Câu "&amp;"*")-MID(A2282,5,FIND(".",A2282,1)-5),0)</f>
        <v>0</v>
      </c>
      <c r="D2282" t="str">
        <f t="shared" si="134"/>
        <v/>
      </c>
      <c r="E2282" t="str">
        <f>SUBSTITUTE(IF(LEFT(A2282,3)="Câu",MID(A2282,FIND(".",A2282,1)+2,LEN(A2282)),""),CHAR(34),CHAR(92)&amp;CHAR(34))</f>
        <v/>
      </c>
      <c r="F2282" t="str">
        <f t="shared" si="133"/>
        <v/>
      </c>
      <c r="G2282" t="str">
        <f>SUBSTITUTE(B2283,CHAR(34),CHAR(92)&amp;CHAR(34))</f>
        <v/>
      </c>
      <c r="H2282" t="str">
        <f>SUBSTITUTE(B2284,CHAR(34),CHAR(92)&amp;CHAR(34))</f>
        <v>Được vượt.</v>
      </c>
      <c r="I2282" t="str">
        <f>SUBSTITUTE(IF(LEFT(A2285,3)="Câu","",B2285),CHAR(34),CHAR(92)&amp;CHAR(34))</f>
        <v xml:space="preserve"> Cấm vượt.</v>
      </c>
      <c r="J2282" t="str">
        <f>SUBSTITUTE(IF(OR(LEFT(A2286,3)="Câu",I2282=""),"",IF(B2286=0,"",B2286)),CHAR(34),CHAR(92)&amp;CHAR(34))</f>
        <v/>
      </c>
      <c r="K2282" t="str">
        <f>SUBSTITUTE(SUBSTITUTE(SUBSTITUTE(SUBSTITUTE(IFERROR(VLOOKUP("Câu "&amp;D2282&amp;".",dapan!$E:$J,6,0),""),"1","A"),"2","B"),"3","C"),"4","D")</f>
        <v/>
      </c>
      <c r="P2282" t="str">
        <f t="shared" si="131"/>
        <v/>
      </c>
      <c r="Q2282" t="str">
        <f t="shared" si="132"/>
        <v/>
      </c>
    </row>
    <row r="2283" spans="1:17" x14ac:dyDescent="0.25">
      <c r="A2283" t="s">
        <v>1612</v>
      </c>
      <c r="C2283">
        <f>IFERROR(COUNTIFS($A$1:A2283,"Câu "&amp;"*")-MID(A2283,5,FIND(".",A2283,1)-5),0)</f>
        <v>0</v>
      </c>
      <c r="D2283">
        <f t="shared" si="134"/>
        <v>555</v>
      </c>
      <c r="E2283" t="str">
        <f>SUBSTITUTE(IF(LEFT(A2283,3)="Câu",MID(A2283,FIND(".",A2283,1)+2,LEN(A2283)),""),CHAR(34),CHAR(92)&amp;CHAR(34))</f>
        <v>Người lái xe có được phép vượt xe tải để đi thẳng trong trường hợp này không?</v>
      </c>
      <c r="F2283" t="str">
        <f t="shared" si="133"/>
        <v>q555.jpg</v>
      </c>
      <c r="G2283" t="str">
        <f>SUBSTITUTE(B2284,CHAR(34),CHAR(92)&amp;CHAR(34))</f>
        <v>Được vượt.</v>
      </c>
      <c r="H2283" t="str">
        <f>SUBSTITUTE(B2285,CHAR(34),CHAR(92)&amp;CHAR(34))</f>
        <v xml:space="preserve"> Cấm vượt.</v>
      </c>
      <c r="I2283" t="str">
        <f>SUBSTITUTE(IF(LEFT(A2286,3)="Câu","",B2286),CHAR(34),CHAR(92)&amp;CHAR(34))</f>
        <v/>
      </c>
      <c r="J2283" t="str">
        <f>SUBSTITUTE(IF(OR(LEFT(A2287,3)="Câu",I2283=""),"",IF(B2287=0,"",B2287)),CHAR(34),CHAR(92)&amp;CHAR(34))</f>
        <v/>
      </c>
      <c r="K2283" t="str">
        <f ca="1">SUBSTITUTE(SUBSTITUTE(SUBSTITUTE(SUBSTITUTE(IFERROR(VLOOKUP("Câu "&amp;D2283&amp;".",dapan!$E:$J,6,0),""),"1","A"),"2","B"),"3","C"),"4","D")</f>
        <v>B</v>
      </c>
      <c r="P2283">
        <f t="shared" si="131"/>
        <v>555</v>
      </c>
      <c r="Q2283" t="str">
        <f t="shared" ca="1" si="132"/>
        <v>{"num":555,"id":555,"q":"Người lái xe có được phép vượt xe tải để đi thẳng trong trường hợp này không?","img":"q555.jpg","opts":{"A":"Được vượt.","B":" Cấm vượt."},"answer":"B"},</v>
      </c>
    </row>
    <row r="2284" spans="1:17" hidden="1" x14ac:dyDescent="0.25">
      <c r="A2284">
        <v>1</v>
      </c>
      <c r="B2284" t="s">
        <v>1613</v>
      </c>
      <c r="C2284">
        <f>IFERROR(COUNTIFS($A$1:A2284,"Câu "&amp;"*")-MID(A2284,5,FIND(".",A2284,1)-5),0)</f>
        <v>0</v>
      </c>
      <c r="D2284" t="str">
        <f t="shared" si="134"/>
        <v/>
      </c>
      <c r="E2284" t="str">
        <f>SUBSTITUTE(IF(LEFT(A2284,3)="Câu",MID(A2284,FIND(".",A2284,1)+2,LEN(A2284)),""),CHAR(34),CHAR(92)&amp;CHAR(34))</f>
        <v/>
      </c>
      <c r="F2284" t="str">
        <f t="shared" si="133"/>
        <v/>
      </c>
      <c r="G2284" t="str">
        <f>SUBSTITUTE(B2285,CHAR(34),CHAR(92)&amp;CHAR(34))</f>
        <v xml:space="preserve"> Cấm vượt.</v>
      </c>
      <c r="H2284" t="str">
        <f>SUBSTITUTE(B2286,CHAR(34),CHAR(92)&amp;CHAR(34))</f>
        <v/>
      </c>
      <c r="I2284" t="str">
        <f>SUBSTITUTE(IF(LEFT(A2287,3)="Câu","",B2287),CHAR(34),CHAR(92)&amp;CHAR(34))</f>
        <v>Cho phép.</v>
      </c>
      <c r="J2284" t="str">
        <f>SUBSTITUTE(IF(OR(LEFT(A2288,3)="Câu",I2284=""),"",IF(B2288=0,"",B2288)),CHAR(34),CHAR(92)&amp;CHAR(34))</f>
        <v xml:space="preserve"> Không được vượt.</v>
      </c>
      <c r="K2284" t="str">
        <f>SUBSTITUTE(SUBSTITUTE(SUBSTITUTE(SUBSTITUTE(IFERROR(VLOOKUP("Câu "&amp;D2284&amp;".",dapan!$E:$J,6,0),""),"1","A"),"2","B"),"3","C"),"4","D")</f>
        <v/>
      </c>
      <c r="P2284" t="str">
        <f t="shared" si="131"/>
        <v/>
      </c>
      <c r="Q2284" t="str">
        <f t="shared" si="132"/>
        <v/>
      </c>
    </row>
    <row r="2285" spans="1:17" hidden="1" x14ac:dyDescent="0.25">
      <c r="A2285">
        <v>2</v>
      </c>
      <c r="B2285" t="s">
        <v>1614</v>
      </c>
      <c r="C2285">
        <f>IFERROR(COUNTIFS($A$1:A2285,"Câu "&amp;"*")-MID(A2285,5,FIND(".",A2285,1)-5),0)</f>
        <v>0</v>
      </c>
      <c r="D2285" t="str">
        <f t="shared" si="134"/>
        <v/>
      </c>
      <c r="E2285" t="str">
        <f>SUBSTITUTE(IF(LEFT(A2285,3)="Câu",MID(A2285,FIND(".",A2285,1)+2,LEN(A2285)),""),CHAR(34),CHAR(92)&amp;CHAR(34))</f>
        <v/>
      </c>
      <c r="F2285" t="str">
        <f t="shared" si="133"/>
        <v/>
      </c>
      <c r="G2285" t="str">
        <f>SUBSTITUTE(B2286,CHAR(34),CHAR(92)&amp;CHAR(34))</f>
        <v/>
      </c>
      <c r="H2285" t="str">
        <f>SUBSTITUTE(B2287,CHAR(34),CHAR(92)&amp;CHAR(34))</f>
        <v>Cho phép.</v>
      </c>
      <c r="I2285" t="str">
        <f>SUBSTITUTE(IF(LEFT(A2288,3)="Câu","",B2288),CHAR(34),CHAR(92)&amp;CHAR(34))</f>
        <v xml:space="preserve"> Không được vượt.</v>
      </c>
      <c r="J2285" t="str">
        <f>SUBSTITUTE(IF(OR(LEFT(A2289,3)="Câu",I2285=""),"",IF(B2289=0,"",B2289)),CHAR(34),CHAR(92)&amp;CHAR(34))</f>
        <v/>
      </c>
      <c r="K2285" t="str">
        <f>SUBSTITUTE(SUBSTITUTE(SUBSTITUTE(SUBSTITUTE(IFERROR(VLOOKUP("Câu "&amp;D2285&amp;".",dapan!$E:$J,6,0),""),"1","A"),"2","B"),"3","C"),"4","D")</f>
        <v/>
      </c>
      <c r="P2285" t="str">
        <f t="shared" si="131"/>
        <v/>
      </c>
      <c r="Q2285" t="str">
        <f t="shared" si="132"/>
        <v/>
      </c>
    </row>
    <row r="2286" spans="1:17" x14ac:dyDescent="0.25">
      <c r="A2286" t="s">
        <v>1771</v>
      </c>
      <c r="C2286">
        <f>IFERROR(COUNTIFS($A$1:A2286,"Câu "&amp;"*")-MID(A2286,5,FIND(".",A2286,1)-5),0)</f>
        <v>0</v>
      </c>
      <c r="D2286">
        <f t="shared" si="134"/>
        <v>556</v>
      </c>
      <c r="E2286" t="str">
        <f>SUBSTITUTE(IF(LEFT(A2286,3)="Câu",MID(A2286,FIND(".",A2286,1)+2,LEN(A2286)),""),CHAR(34),CHAR(92)&amp;CHAR(34))</f>
        <v>Bạn có được phép vượt xe mô tô phía trước không?</v>
      </c>
      <c r="F2286" t="str">
        <f t="shared" si="133"/>
        <v>q556.jpg</v>
      </c>
      <c r="G2286" t="str">
        <f>SUBSTITUTE(B2287,CHAR(34),CHAR(92)&amp;CHAR(34))</f>
        <v>Cho phép.</v>
      </c>
      <c r="H2286" t="str">
        <f>SUBSTITUTE(B2288,CHAR(34),CHAR(92)&amp;CHAR(34))</f>
        <v xml:space="preserve"> Không được vượt.</v>
      </c>
      <c r="I2286" t="str">
        <f>SUBSTITUTE(IF(LEFT(A2289,3)="Câu","",B2289),CHAR(34),CHAR(92)&amp;CHAR(34))</f>
        <v/>
      </c>
      <c r="J2286" t="str">
        <f>SUBSTITUTE(IF(OR(LEFT(A2290,3)="Câu",I2286=""),"",IF(B2290=0,"",B2290)),CHAR(34),CHAR(92)&amp;CHAR(34))</f>
        <v/>
      </c>
      <c r="K2286" t="str">
        <f ca="1">SUBSTITUTE(SUBSTITUTE(SUBSTITUTE(SUBSTITUTE(IFERROR(VLOOKUP("Câu "&amp;D2286&amp;".",dapan!$E:$J,6,0),""),"1","A"),"2","B"),"3","C"),"4","D")</f>
        <v>B</v>
      </c>
      <c r="P2286">
        <f t="shared" si="131"/>
        <v>556</v>
      </c>
      <c r="Q2286" t="str">
        <f t="shared" ca="1" si="132"/>
        <v>{"num":556,"id":556,"q":"Bạn có được phép vượt xe mô tô phía trước không?","img":"q556.jpg","opts":{"A":"Cho phép.","B":" Không được vượt."},"answer":"B"},</v>
      </c>
    </row>
    <row r="2287" spans="1:17" hidden="1" x14ac:dyDescent="0.25">
      <c r="A2287">
        <v>1</v>
      </c>
      <c r="B2287" t="s">
        <v>1615</v>
      </c>
      <c r="C2287">
        <f>IFERROR(COUNTIFS($A$1:A2287,"Câu "&amp;"*")-MID(A2287,5,FIND(".",A2287,1)-5),0)</f>
        <v>0</v>
      </c>
      <c r="D2287" t="str">
        <f t="shared" si="134"/>
        <v/>
      </c>
      <c r="E2287" t="str">
        <f>SUBSTITUTE(IF(LEFT(A2287,3)="Câu",MID(A2287,FIND(".",A2287,1)+2,LEN(A2287)),""),CHAR(34),CHAR(92)&amp;CHAR(34))</f>
        <v/>
      </c>
      <c r="F2287" t="str">
        <f t="shared" si="133"/>
        <v/>
      </c>
      <c r="G2287" t="str">
        <f>SUBSTITUTE(B2288,CHAR(34),CHAR(92)&amp;CHAR(34))</f>
        <v xml:space="preserve"> Không được vượt.</v>
      </c>
      <c r="H2287" t="str">
        <f>SUBSTITUTE(B2289,CHAR(34),CHAR(92)&amp;CHAR(34))</f>
        <v/>
      </c>
      <c r="I2287" t="str">
        <f>SUBSTITUTE(IF(LEFT(A2290,3)="Câu","",B2290),CHAR(34),CHAR(92)&amp;CHAR(34))</f>
        <v>Vị trí A và B.</v>
      </c>
      <c r="J2287" t="str">
        <f>SUBSTITUTE(IF(OR(LEFT(A2291,3)="Câu",I2287=""),"",IF(B2291=0,"",B2291)),CHAR(34),CHAR(92)&amp;CHAR(34))</f>
        <v>Vị trí A và C.</v>
      </c>
      <c r="K2287" t="str">
        <f>SUBSTITUTE(SUBSTITUTE(SUBSTITUTE(SUBSTITUTE(IFERROR(VLOOKUP("Câu "&amp;D2287&amp;".",dapan!$E:$J,6,0),""),"1","A"),"2","B"),"3","C"),"4","D")</f>
        <v/>
      </c>
      <c r="P2287" t="str">
        <f t="shared" si="131"/>
        <v/>
      </c>
      <c r="Q2287" t="str">
        <f t="shared" si="132"/>
        <v/>
      </c>
    </row>
    <row r="2288" spans="1:17" hidden="1" x14ac:dyDescent="0.25">
      <c r="A2288">
        <v>2</v>
      </c>
      <c r="B2288" t="s">
        <v>361</v>
      </c>
      <c r="C2288">
        <f>IFERROR(COUNTIFS($A$1:A2288,"Câu "&amp;"*")-MID(A2288,5,FIND(".",A2288,1)-5),0)</f>
        <v>0</v>
      </c>
      <c r="D2288" t="str">
        <f t="shared" si="134"/>
        <v/>
      </c>
      <c r="E2288" t="str">
        <f>SUBSTITUTE(IF(LEFT(A2288,3)="Câu",MID(A2288,FIND(".",A2288,1)+2,LEN(A2288)),""),CHAR(34),CHAR(92)&amp;CHAR(34))</f>
        <v/>
      </c>
      <c r="F2288" t="str">
        <f t="shared" si="133"/>
        <v/>
      </c>
      <c r="G2288" t="str">
        <f>SUBSTITUTE(B2289,CHAR(34),CHAR(92)&amp;CHAR(34))</f>
        <v/>
      </c>
      <c r="H2288" t="str">
        <f>SUBSTITUTE(B2290,CHAR(34),CHAR(92)&amp;CHAR(34))</f>
        <v>Vị trí A và B.</v>
      </c>
      <c r="I2288" t="str">
        <f>SUBSTITUTE(IF(LEFT(A2291,3)="Câu","",B2291),CHAR(34),CHAR(92)&amp;CHAR(34))</f>
        <v>Vị trí A và C.</v>
      </c>
      <c r="J2288" t="str">
        <f>SUBSTITUTE(IF(OR(LEFT(A2292,3)="Câu",I2288=""),"",IF(B2292=0,"",B2292)),CHAR(34),CHAR(92)&amp;CHAR(34))</f>
        <v xml:space="preserve"> Vị trí B và C.</v>
      </c>
      <c r="K2288" t="str">
        <f>SUBSTITUTE(SUBSTITUTE(SUBSTITUTE(SUBSTITUTE(IFERROR(VLOOKUP("Câu "&amp;D2288&amp;".",dapan!$E:$J,6,0),""),"1","A"),"2","B"),"3","C"),"4","D")</f>
        <v/>
      </c>
      <c r="P2288" t="str">
        <f t="shared" si="131"/>
        <v/>
      </c>
      <c r="Q2288" t="str">
        <f t="shared" si="132"/>
        <v/>
      </c>
    </row>
    <row r="2289" spans="1:17" x14ac:dyDescent="0.25">
      <c r="A2289" t="s">
        <v>1616</v>
      </c>
      <c r="C2289">
        <f>IFERROR(COUNTIFS($A$1:A2289,"Câu "&amp;"*")-MID(A2289,5,FIND(".",A2289,1)-5),0)</f>
        <v>0</v>
      </c>
      <c r="D2289">
        <f t="shared" si="134"/>
        <v>557</v>
      </c>
      <c r="E2289" t="str">
        <f>SUBSTITUTE(IF(LEFT(A2289,3)="Câu",MID(A2289,FIND(".",A2289,1)+2,LEN(A2289)),""),CHAR(34),CHAR(92)&amp;CHAR(34))</f>
        <v>Người lái xe dừng tại vị trí nào là đúng quy tắc giao thông?</v>
      </c>
      <c r="F2289" t="str">
        <f t="shared" si="133"/>
        <v>q557.jpg</v>
      </c>
      <c r="G2289" t="str">
        <f>SUBSTITUTE(B2290,CHAR(34),CHAR(92)&amp;CHAR(34))</f>
        <v>Vị trí A và B.</v>
      </c>
      <c r="H2289" t="str">
        <f>SUBSTITUTE(B2291,CHAR(34),CHAR(92)&amp;CHAR(34))</f>
        <v>Vị trí A và C.</v>
      </c>
      <c r="I2289" t="str">
        <f>SUBSTITUTE(IF(LEFT(A2292,3)="Câu","",B2292),CHAR(34),CHAR(92)&amp;CHAR(34))</f>
        <v xml:space="preserve"> Vị trí B và C.</v>
      </c>
      <c r="J2289" t="str">
        <f>SUBSTITUTE(IF(OR(LEFT(A2293,3)="Câu",I2289=""),"",IF(B2293=0,"",B2293)),CHAR(34),CHAR(92)&amp;CHAR(34))</f>
        <v>Cả ba vị trí A, B, C.</v>
      </c>
      <c r="K2289" t="str">
        <f ca="1">SUBSTITUTE(SUBSTITUTE(SUBSTITUTE(SUBSTITUTE(IFERROR(VLOOKUP("Câu "&amp;D2289&amp;".",dapan!$E:$J,6,0),""),"1","A"),"2","B"),"3","C"),"4","D")</f>
        <v>C</v>
      </c>
      <c r="P2289">
        <f t="shared" si="131"/>
        <v>557</v>
      </c>
      <c r="Q2289" t="str">
        <f t="shared" ca="1" si="132"/>
        <v>{"num":557,"id":557,"q":"Người lái xe dừng tại vị trí nào là đúng quy tắc giao thông?","img":"q557.jpg","opts":{"A":"Vị trí A và B.","B":"Vị trí A và C.","C":" Vị trí B và C.","D":"Cả ba vị trí A, B, C."},"answer":"C"},</v>
      </c>
    </row>
    <row r="2290" spans="1:17" hidden="1" x14ac:dyDescent="0.25">
      <c r="A2290">
        <v>1</v>
      </c>
      <c r="B2290" t="s">
        <v>1617</v>
      </c>
      <c r="C2290">
        <f>IFERROR(COUNTIFS($A$1:A2290,"Câu "&amp;"*")-MID(A2290,5,FIND(".",A2290,1)-5),0)</f>
        <v>0</v>
      </c>
      <c r="D2290" t="str">
        <f t="shared" si="134"/>
        <v/>
      </c>
      <c r="E2290" t="str">
        <f>SUBSTITUTE(IF(LEFT(A2290,3)="Câu",MID(A2290,FIND(".",A2290,1)+2,LEN(A2290)),""),CHAR(34),CHAR(92)&amp;CHAR(34))</f>
        <v/>
      </c>
      <c r="F2290" t="str">
        <f t="shared" si="133"/>
        <v/>
      </c>
      <c r="G2290" t="str">
        <f>SUBSTITUTE(B2291,CHAR(34),CHAR(92)&amp;CHAR(34))</f>
        <v>Vị trí A và C.</v>
      </c>
      <c r="H2290" t="str">
        <f>SUBSTITUTE(B2292,CHAR(34),CHAR(92)&amp;CHAR(34))</f>
        <v xml:space="preserve"> Vị trí B và C.</v>
      </c>
      <c r="I2290" t="str">
        <f>SUBSTITUTE(IF(LEFT(A2293,3)="Câu","",B2293),CHAR(34),CHAR(92)&amp;CHAR(34))</f>
        <v>Cả ba vị trí A, B, C.</v>
      </c>
      <c r="J2290" t="str">
        <f>SUBSTITUTE(IF(OR(LEFT(A2294,3)="Câu",I2290=""),"",IF(B2294=0,"",B2294)),CHAR(34),CHAR(92)&amp;CHAR(34))</f>
        <v/>
      </c>
      <c r="K2290" t="str">
        <f>SUBSTITUTE(SUBSTITUTE(SUBSTITUTE(SUBSTITUTE(IFERROR(VLOOKUP("Câu "&amp;D2290&amp;".",dapan!$E:$J,6,0),""),"1","A"),"2","B"),"3","C"),"4","D")</f>
        <v/>
      </c>
      <c r="P2290" t="str">
        <f t="shared" si="131"/>
        <v/>
      </c>
      <c r="Q2290" t="str">
        <f t="shared" si="132"/>
        <v/>
      </c>
    </row>
    <row r="2291" spans="1:17" hidden="1" x14ac:dyDescent="0.25">
      <c r="A2291">
        <v>2</v>
      </c>
      <c r="B2291" t="s">
        <v>1618</v>
      </c>
      <c r="C2291">
        <f>IFERROR(COUNTIFS($A$1:A2291,"Câu "&amp;"*")-MID(A2291,5,FIND(".",A2291,1)-5),0)</f>
        <v>0</v>
      </c>
      <c r="D2291" t="str">
        <f t="shared" si="134"/>
        <v/>
      </c>
      <c r="E2291" t="str">
        <f>SUBSTITUTE(IF(LEFT(A2291,3)="Câu",MID(A2291,FIND(".",A2291,1)+2,LEN(A2291)),""),CHAR(34),CHAR(92)&amp;CHAR(34))</f>
        <v/>
      </c>
      <c r="F2291" t="str">
        <f t="shared" si="133"/>
        <v/>
      </c>
      <c r="G2291" t="str">
        <f>SUBSTITUTE(B2292,CHAR(34),CHAR(92)&amp;CHAR(34))</f>
        <v xml:space="preserve"> Vị trí B và C.</v>
      </c>
      <c r="H2291" t="str">
        <f>SUBSTITUTE(B2293,CHAR(34),CHAR(92)&amp;CHAR(34))</f>
        <v>Cả ba vị trí A, B, C.</v>
      </c>
      <c r="I2291" t="str">
        <f>SUBSTITUTE(IF(LEFT(A2294,3)="Câu","",B2294),CHAR(34),CHAR(92)&amp;CHAR(34))</f>
        <v/>
      </c>
      <c r="J2291" t="str">
        <f>SUBSTITUTE(IF(OR(LEFT(A2295,3)="Câu",I2291=""),"",IF(B2295=0,"",B2295)),CHAR(34),CHAR(92)&amp;CHAR(34))</f>
        <v/>
      </c>
      <c r="K2291" t="str">
        <f>SUBSTITUTE(SUBSTITUTE(SUBSTITUTE(SUBSTITUTE(IFERROR(VLOOKUP("Câu "&amp;D2291&amp;".",dapan!$E:$J,6,0),""),"1","A"),"2","B"),"3","C"),"4","D")</f>
        <v/>
      </c>
      <c r="P2291" t="str">
        <f t="shared" si="131"/>
        <v/>
      </c>
      <c r="Q2291" t="str">
        <f t="shared" si="132"/>
        <v/>
      </c>
    </row>
    <row r="2292" spans="1:17" hidden="1" x14ac:dyDescent="0.25">
      <c r="A2292">
        <v>3</v>
      </c>
      <c r="B2292" t="s">
        <v>1619</v>
      </c>
      <c r="C2292">
        <f>IFERROR(COUNTIFS($A$1:A2292,"Câu "&amp;"*")-MID(A2292,5,FIND(".",A2292,1)-5),0)</f>
        <v>0</v>
      </c>
      <c r="D2292" t="str">
        <f t="shared" si="134"/>
        <v/>
      </c>
      <c r="E2292" t="str">
        <f>SUBSTITUTE(IF(LEFT(A2292,3)="Câu",MID(A2292,FIND(".",A2292,1)+2,LEN(A2292)),""),CHAR(34),CHAR(92)&amp;CHAR(34))</f>
        <v/>
      </c>
      <c r="F2292" t="str">
        <f t="shared" si="133"/>
        <v/>
      </c>
      <c r="G2292" t="str">
        <f>SUBSTITUTE(B2293,CHAR(34),CHAR(92)&amp;CHAR(34))</f>
        <v>Cả ba vị trí A, B, C.</v>
      </c>
      <c r="H2292" t="str">
        <f>SUBSTITUTE(B2294,CHAR(34),CHAR(92)&amp;CHAR(34))</f>
        <v/>
      </c>
      <c r="I2292" t="str">
        <f>SUBSTITUTE(IF(LEFT(A2295,3)="Câu","",B2295),CHAR(34),CHAR(92)&amp;CHAR(34))</f>
        <v>Được phép dừng ở vị trí A.</v>
      </c>
      <c r="J2292" t="str">
        <f>SUBSTITUTE(IF(OR(LEFT(A2296,3)="Câu",I2292=""),"",IF(B2296=0,"",B2296)),CHAR(34),CHAR(92)&amp;CHAR(34))</f>
        <v>Được phép dừng ở vị trí B.</v>
      </c>
      <c r="K2292" t="str">
        <f>SUBSTITUTE(SUBSTITUTE(SUBSTITUTE(SUBSTITUTE(IFERROR(VLOOKUP("Câu "&amp;D2292&amp;".",dapan!$E:$J,6,0),""),"1","A"),"2","B"),"3","C"),"4","D")</f>
        <v/>
      </c>
      <c r="P2292" t="str">
        <f t="shared" si="131"/>
        <v/>
      </c>
      <c r="Q2292" t="str">
        <f t="shared" si="132"/>
        <v/>
      </c>
    </row>
    <row r="2293" spans="1:17" hidden="1" x14ac:dyDescent="0.25">
      <c r="A2293">
        <v>4</v>
      </c>
      <c r="B2293" t="s">
        <v>1620</v>
      </c>
      <c r="C2293">
        <f>IFERROR(COUNTIFS($A$1:A2293,"Câu "&amp;"*")-MID(A2293,5,FIND(".",A2293,1)-5),0)</f>
        <v>0</v>
      </c>
      <c r="D2293" t="str">
        <f t="shared" si="134"/>
        <v/>
      </c>
      <c r="E2293" t="str">
        <f>SUBSTITUTE(IF(LEFT(A2293,3)="Câu",MID(A2293,FIND(".",A2293,1)+2,LEN(A2293)),""),CHAR(34),CHAR(92)&amp;CHAR(34))</f>
        <v/>
      </c>
      <c r="F2293" t="str">
        <f t="shared" si="133"/>
        <v/>
      </c>
      <c r="G2293" t="str">
        <f>SUBSTITUTE(B2294,CHAR(34),CHAR(92)&amp;CHAR(34))</f>
        <v/>
      </c>
      <c r="H2293" t="str">
        <f>SUBSTITUTE(B2295,CHAR(34),CHAR(92)&amp;CHAR(34))</f>
        <v>Được phép dừng ở vị trí A.</v>
      </c>
      <c r="I2293" t="str">
        <f>SUBSTITUTE(IF(LEFT(A2296,3)="Câu","",B2296),CHAR(34),CHAR(92)&amp;CHAR(34))</f>
        <v>Được phép dừng ở vị trí B.</v>
      </c>
      <c r="J2293" t="str">
        <f>SUBSTITUTE(IF(OR(LEFT(A2297,3)="Câu",I2293=""),"",IF(B2297=0,"",B2297)),CHAR(34),CHAR(92)&amp;CHAR(34))</f>
        <v>Được phép dừng ở vị trí A và B.</v>
      </c>
      <c r="K2293" t="str">
        <f>SUBSTITUTE(SUBSTITUTE(SUBSTITUTE(SUBSTITUTE(IFERROR(VLOOKUP("Câu "&amp;D2293&amp;".",dapan!$E:$J,6,0),""),"1","A"),"2","B"),"3","C"),"4","D")</f>
        <v/>
      </c>
      <c r="P2293" t="str">
        <f t="shared" si="131"/>
        <v/>
      </c>
      <c r="Q2293" t="str">
        <f t="shared" si="132"/>
        <v/>
      </c>
    </row>
    <row r="2294" spans="1:17" x14ac:dyDescent="0.25">
      <c r="A2294" t="s">
        <v>1772</v>
      </c>
      <c r="C2294">
        <f>IFERROR(COUNTIFS($A$1:A2294,"Câu "&amp;"*")-MID(A2294,5,FIND(".",A2294,1)-5),0)</f>
        <v>0</v>
      </c>
      <c r="D2294">
        <f t="shared" si="134"/>
        <v>558</v>
      </c>
      <c r="E2294" t="str">
        <f>SUBSTITUTE(IF(LEFT(A2294,3)="Câu",MID(A2294,FIND(".",A2294,1)+2,LEN(A2294)),""),CHAR(34),CHAR(92)&amp;CHAR(34))</f>
        <v>Bạn được dừng xe ở vị trí nào trong tình huống này?</v>
      </c>
      <c r="F2294" t="str">
        <f t="shared" si="133"/>
        <v>q558.jpg</v>
      </c>
      <c r="G2294" t="str">
        <f>SUBSTITUTE(B2295,CHAR(34),CHAR(92)&amp;CHAR(34))</f>
        <v>Được phép dừng ở vị trí A.</v>
      </c>
      <c r="H2294" t="str">
        <f>SUBSTITUTE(B2296,CHAR(34),CHAR(92)&amp;CHAR(34))</f>
        <v>Được phép dừng ở vị trí B.</v>
      </c>
      <c r="I2294" t="str">
        <f>SUBSTITUTE(IF(LEFT(A2297,3)="Câu","",B2297),CHAR(34),CHAR(92)&amp;CHAR(34))</f>
        <v>Được phép dừng ở vị trí A và B.</v>
      </c>
      <c r="J2294" t="str">
        <f>SUBSTITUTE(IF(OR(LEFT(A2298,3)="Câu",I2294=""),"",IF(B2298=0,"",B2298)),CHAR(34),CHAR(92)&amp;CHAR(34))</f>
        <v xml:space="preserve"> Không được dừng.</v>
      </c>
      <c r="K2294" t="str">
        <f ca="1">SUBSTITUTE(SUBSTITUTE(SUBSTITUTE(SUBSTITUTE(IFERROR(VLOOKUP("Câu "&amp;D2294&amp;".",dapan!$E:$J,6,0),""),"1","A"),"2","B"),"3","C"),"4","D")</f>
        <v>D</v>
      </c>
      <c r="P2294">
        <f t="shared" si="131"/>
        <v>558</v>
      </c>
      <c r="Q2294" t="str">
        <f t="shared" ca="1" si="132"/>
        <v>{"num":558,"id":558,"q":"Bạn được dừng xe ở vị trí nào trong tình huống này?","img":"q558.jpg","opts":{"A":"Được phép dừng ở vị trí A.","B":"Được phép dừng ở vị trí B.","C":"Được phép dừng ở vị trí A và B.","D":" Không được dừng."},"answer":"D"},</v>
      </c>
    </row>
    <row r="2295" spans="1:17" hidden="1" x14ac:dyDescent="0.25">
      <c r="A2295">
        <v>1</v>
      </c>
      <c r="B2295" t="s">
        <v>1621</v>
      </c>
      <c r="C2295">
        <f>IFERROR(COUNTIFS($A$1:A2295,"Câu "&amp;"*")-MID(A2295,5,FIND(".",A2295,1)-5),0)</f>
        <v>0</v>
      </c>
      <c r="D2295" t="str">
        <f t="shared" si="134"/>
        <v/>
      </c>
      <c r="E2295" t="str">
        <f>SUBSTITUTE(IF(LEFT(A2295,3)="Câu",MID(A2295,FIND(".",A2295,1)+2,LEN(A2295)),""),CHAR(34),CHAR(92)&amp;CHAR(34))</f>
        <v/>
      </c>
      <c r="F2295" t="str">
        <f t="shared" si="133"/>
        <v/>
      </c>
      <c r="G2295" t="str">
        <f>SUBSTITUTE(B2296,CHAR(34),CHAR(92)&amp;CHAR(34))</f>
        <v>Được phép dừng ở vị trí B.</v>
      </c>
      <c r="H2295" t="str">
        <f>SUBSTITUTE(B2297,CHAR(34),CHAR(92)&amp;CHAR(34))</f>
        <v>Được phép dừng ở vị trí A và B.</v>
      </c>
      <c r="I2295" t="str">
        <f>SUBSTITUTE(IF(LEFT(A2298,3)="Câu","",B2298),CHAR(34),CHAR(92)&amp;CHAR(34))</f>
        <v xml:space="preserve"> Không được dừng.</v>
      </c>
      <c r="J2295" t="str">
        <f>SUBSTITUTE(IF(OR(LEFT(A2299,3)="Câu",I2295=""),"",IF(B2299=0,"",B2299)),CHAR(34),CHAR(92)&amp;CHAR(34))</f>
        <v/>
      </c>
      <c r="K2295" t="str">
        <f>SUBSTITUTE(SUBSTITUTE(SUBSTITUTE(SUBSTITUTE(IFERROR(VLOOKUP("Câu "&amp;D2295&amp;".",dapan!$E:$J,6,0),""),"1","A"),"2","B"),"3","C"),"4","D")</f>
        <v/>
      </c>
      <c r="P2295" t="str">
        <f t="shared" si="131"/>
        <v/>
      </c>
      <c r="Q2295" t="str">
        <f t="shared" si="132"/>
        <v/>
      </c>
    </row>
    <row r="2296" spans="1:17" hidden="1" x14ac:dyDescent="0.25">
      <c r="A2296">
        <v>2</v>
      </c>
      <c r="B2296" t="s">
        <v>1622</v>
      </c>
      <c r="C2296">
        <f>IFERROR(COUNTIFS($A$1:A2296,"Câu "&amp;"*")-MID(A2296,5,FIND(".",A2296,1)-5),0)</f>
        <v>0</v>
      </c>
      <c r="D2296" t="str">
        <f t="shared" si="134"/>
        <v/>
      </c>
      <c r="E2296" t="str">
        <f>SUBSTITUTE(IF(LEFT(A2296,3)="Câu",MID(A2296,FIND(".",A2296,1)+2,LEN(A2296)),""),CHAR(34),CHAR(92)&amp;CHAR(34))</f>
        <v/>
      </c>
      <c r="F2296" t="str">
        <f t="shared" si="133"/>
        <v/>
      </c>
      <c r="G2296" t="str">
        <f>SUBSTITUTE(B2297,CHAR(34),CHAR(92)&amp;CHAR(34))</f>
        <v>Được phép dừng ở vị trí A và B.</v>
      </c>
      <c r="H2296" t="str">
        <f>SUBSTITUTE(B2298,CHAR(34),CHAR(92)&amp;CHAR(34))</f>
        <v xml:space="preserve"> Không được dừng.</v>
      </c>
      <c r="I2296" t="str">
        <f>SUBSTITUTE(IF(LEFT(A2299,3)="Câu","",B2299),CHAR(34),CHAR(92)&amp;CHAR(34))</f>
        <v/>
      </c>
      <c r="J2296" t="str">
        <f>SUBSTITUTE(IF(OR(LEFT(A2300,3)="Câu",I2296=""),"",IF(B2300=0,"",B2300)),CHAR(34),CHAR(92)&amp;CHAR(34))</f>
        <v/>
      </c>
      <c r="K2296" t="str">
        <f>SUBSTITUTE(SUBSTITUTE(SUBSTITUTE(SUBSTITUTE(IFERROR(VLOOKUP("Câu "&amp;D2296&amp;".",dapan!$E:$J,6,0),""),"1","A"),"2","B"),"3","C"),"4","D")</f>
        <v/>
      </c>
      <c r="P2296" t="str">
        <f t="shared" si="131"/>
        <v/>
      </c>
      <c r="Q2296" t="str">
        <f t="shared" si="132"/>
        <v/>
      </c>
    </row>
    <row r="2297" spans="1:17" hidden="1" x14ac:dyDescent="0.25">
      <c r="A2297">
        <v>3</v>
      </c>
      <c r="B2297" t="s">
        <v>1623</v>
      </c>
      <c r="C2297">
        <f>IFERROR(COUNTIFS($A$1:A2297,"Câu "&amp;"*")-MID(A2297,5,FIND(".",A2297,1)-5),0)</f>
        <v>0</v>
      </c>
      <c r="D2297" t="str">
        <f t="shared" si="134"/>
        <v/>
      </c>
      <c r="E2297" t="str">
        <f>SUBSTITUTE(IF(LEFT(A2297,3)="Câu",MID(A2297,FIND(".",A2297,1)+2,LEN(A2297)),""),CHAR(34),CHAR(92)&amp;CHAR(34))</f>
        <v/>
      </c>
      <c r="F2297" t="str">
        <f t="shared" si="133"/>
        <v/>
      </c>
      <c r="G2297" t="str">
        <f>SUBSTITUTE(B2298,CHAR(34),CHAR(92)&amp;CHAR(34))</f>
        <v xml:space="preserve"> Không được dừng.</v>
      </c>
      <c r="H2297" t="str">
        <f>SUBSTITUTE(B2299,CHAR(34),CHAR(92)&amp;CHAR(34))</f>
        <v/>
      </c>
      <c r="I2297" t="str">
        <f>SUBSTITUTE(IF(LEFT(A2300,3)="Câu","",B2300),CHAR(34),CHAR(92)&amp;CHAR(34))</f>
        <v>Xe mô tô.</v>
      </c>
      <c r="J2297" t="str">
        <f>SUBSTITUTE(IF(OR(LEFT(A2301,3)="Câu",I2297=""),"",IF(B2301=0,"",B2301)),CHAR(34),CHAR(92)&amp;CHAR(34))</f>
        <v>Xe ô tô con.</v>
      </c>
      <c r="K2297" t="str">
        <f>SUBSTITUTE(SUBSTITUTE(SUBSTITUTE(SUBSTITUTE(IFERROR(VLOOKUP("Câu "&amp;D2297&amp;".",dapan!$E:$J,6,0),""),"1","A"),"2","B"),"3","C"),"4","D")</f>
        <v/>
      </c>
      <c r="P2297" t="str">
        <f t="shared" si="131"/>
        <v/>
      </c>
      <c r="Q2297" t="str">
        <f t="shared" si="132"/>
        <v/>
      </c>
    </row>
    <row r="2298" spans="1:17" hidden="1" x14ac:dyDescent="0.25">
      <c r="A2298">
        <v>4</v>
      </c>
      <c r="B2298" t="s">
        <v>1624</v>
      </c>
      <c r="C2298">
        <f>IFERROR(COUNTIFS($A$1:A2298,"Câu "&amp;"*")-MID(A2298,5,FIND(".",A2298,1)-5),0)</f>
        <v>0</v>
      </c>
      <c r="D2298" t="str">
        <f t="shared" si="134"/>
        <v/>
      </c>
      <c r="E2298" t="str">
        <f>SUBSTITUTE(IF(LEFT(A2298,3)="Câu",MID(A2298,FIND(".",A2298,1)+2,LEN(A2298)),""),CHAR(34),CHAR(92)&amp;CHAR(34))</f>
        <v/>
      </c>
      <c r="F2298" t="str">
        <f t="shared" si="133"/>
        <v/>
      </c>
      <c r="G2298" t="str">
        <f>SUBSTITUTE(B2299,CHAR(34),CHAR(92)&amp;CHAR(34))</f>
        <v/>
      </c>
      <c r="H2298" t="str">
        <f>SUBSTITUTE(B2300,CHAR(34),CHAR(92)&amp;CHAR(34))</f>
        <v>Xe mô tô.</v>
      </c>
      <c r="I2298" t="str">
        <f>SUBSTITUTE(IF(LEFT(A2301,3)="Câu","",B2301),CHAR(34),CHAR(92)&amp;CHAR(34))</f>
        <v>Xe ô tô con.</v>
      </c>
      <c r="J2298" t="str">
        <f>SUBSTITUTE(IF(OR(LEFT(A2302,3)="Câu",I2298=""),"",IF(B2302=0,"",B2302)),CHAR(34),CHAR(92)&amp;CHAR(34))</f>
        <v>Không xe nào vi phạm.</v>
      </c>
      <c r="K2298" t="str">
        <f>SUBSTITUTE(SUBSTITUTE(SUBSTITUTE(SUBSTITUTE(IFERROR(VLOOKUP("Câu "&amp;D2298&amp;".",dapan!$E:$J,6,0),""),"1","A"),"2","B"),"3","C"),"4","D")</f>
        <v/>
      </c>
      <c r="P2298" t="str">
        <f t="shared" si="131"/>
        <v/>
      </c>
      <c r="Q2298" t="str">
        <f t="shared" si="132"/>
        <v/>
      </c>
    </row>
    <row r="2299" spans="1:17" x14ac:dyDescent="0.25">
      <c r="A2299" t="s">
        <v>1625</v>
      </c>
      <c r="C2299">
        <f>IFERROR(COUNTIFS($A$1:A2299,"Câu "&amp;"*")-MID(A2299,5,FIND(".",A2299,1)-5),0)</f>
        <v>0</v>
      </c>
      <c r="D2299">
        <f t="shared" si="134"/>
        <v>559</v>
      </c>
      <c r="E2299" t="str">
        <f>SUBSTITUTE(IF(LEFT(A2299,3)="Câu",MID(A2299,FIND(".",A2299,1)+2,LEN(A2299)),""),CHAR(34),CHAR(92)&amp;CHAR(34))</f>
        <v>Theo tín hiệu đèn của xe cơ giới, xe nào vi phạm quy tắc giao thông?</v>
      </c>
      <c r="F2299" t="str">
        <f t="shared" si="133"/>
        <v>q559.jpg</v>
      </c>
      <c r="G2299" t="str">
        <f>SUBSTITUTE(B2300,CHAR(34),CHAR(92)&amp;CHAR(34))</f>
        <v>Xe mô tô.</v>
      </c>
      <c r="H2299" t="str">
        <f>SUBSTITUTE(B2301,CHAR(34),CHAR(92)&amp;CHAR(34))</f>
        <v>Xe ô tô con.</v>
      </c>
      <c r="I2299" t="str">
        <f>SUBSTITUTE(IF(LEFT(A2302,3)="Câu","",B2302),CHAR(34),CHAR(92)&amp;CHAR(34))</f>
        <v>Không xe nào vi phạm.</v>
      </c>
      <c r="J2299" t="str">
        <f>SUBSTITUTE(IF(OR(LEFT(A2303,3)="Câu",I2299=""),"",IF(B2303=0,"",B2303)),CHAR(34),CHAR(92)&amp;CHAR(34))</f>
        <v xml:space="preserve"> Cả hai xe.</v>
      </c>
      <c r="K2299" t="str">
        <f ca="1">SUBSTITUTE(SUBSTITUTE(SUBSTITUTE(SUBSTITUTE(IFERROR(VLOOKUP("Câu "&amp;D2299&amp;".",dapan!$E:$J,6,0),""),"1","A"),"2","B"),"3","C"),"4","D")</f>
        <v>D</v>
      </c>
      <c r="P2299">
        <f t="shared" si="131"/>
        <v>559</v>
      </c>
      <c r="Q2299" t="str">
        <f t="shared" ca="1" si="132"/>
        <v>{"num":559,"id":559,"q":"Theo tín hiệu đèn của xe cơ giới, xe nào vi phạm quy tắc giao thông?","img":"q559.jpg","opts":{"A":"Xe mô tô.","B":"Xe ô tô con.","C":"Không xe nào vi phạm.","D":" Cả hai xe."},"answer":"D"},</v>
      </c>
    </row>
    <row r="2300" spans="1:17" hidden="1" x14ac:dyDescent="0.25">
      <c r="A2300">
        <v>1</v>
      </c>
      <c r="B2300" t="s">
        <v>1421</v>
      </c>
      <c r="C2300">
        <f>IFERROR(COUNTIFS($A$1:A2300,"Câu "&amp;"*")-MID(A2300,5,FIND(".",A2300,1)-5),0)</f>
        <v>0</v>
      </c>
      <c r="D2300" t="str">
        <f t="shared" si="134"/>
        <v/>
      </c>
      <c r="E2300" t="str">
        <f>SUBSTITUTE(IF(LEFT(A2300,3)="Câu",MID(A2300,FIND(".",A2300,1)+2,LEN(A2300)),""),CHAR(34),CHAR(92)&amp;CHAR(34))</f>
        <v/>
      </c>
      <c r="F2300" t="str">
        <f t="shared" si="133"/>
        <v/>
      </c>
      <c r="G2300" t="str">
        <f>SUBSTITUTE(B2301,CHAR(34),CHAR(92)&amp;CHAR(34))</f>
        <v>Xe ô tô con.</v>
      </c>
      <c r="H2300" t="str">
        <f>SUBSTITUTE(B2302,CHAR(34),CHAR(92)&amp;CHAR(34))</f>
        <v>Không xe nào vi phạm.</v>
      </c>
      <c r="I2300" t="str">
        <f>SUBSTITUTE(IF(LEFT(A2303,3)="Câu","",B2303),CHAR(34),CHAR(92)&amp;CHAR(34))</f>
        <v xml:space="preserve"> Cả hai xe.</v>
      </c>
      <c r="J2300" t="str">
        <f>SUBSTITUTE(IF(OR(LEFT(A2304,3)="Câu",I2300=""),"",IF(B2304=0,"",B2304)),CHAR(34),CHAR(92)&amp;CHAR(34))</f>
        <v/>
      </c>
      <c r="K2300" t="str">
        <f>SUBSTITUTE(SUBSTITUTE(SUBSTITUTE(SUBSTITUTE(IFERROR(VLOOKUP("Câu "&amp;D2300&amp;".",dapan!$E:$J,6,0),""),"1","A"),"2","B"),"3","C"),"4","D")</f>
        <v/>
      </c>
      <c r="P2300" t="str">
        <f t="shared" si="131"/>
        <v/>
      </c>
      <c r="Q2300" t="str">
        <f t="shared" si="132"/>
        <v/>
      </c>
    </row>
    <row r="2301" spans="1:17" hidden="1" x14ac:dyDescent="0.25">
      <c r="A2301">
        <v>2</v>
      </c>
      <c r="B2301" t="s">
        <v>1626</v>
      </c>
      <c r="C2301">
        <f>IFERROR(COUNTIFS($A$1:A2301,"Câu "&amp;"*")-MID(A2301,5,FIND(".",A2301,1)-5),0)</f>
        <v>0</v>
      </c>
      <c r="D2301" t="str">
        <f t="shared" si="134"/>
        <v/>
      </c>
      <c r="E2301" t="str">
        <f>SUBSTITUTE(IF(LEFT(A2301,3)="Câu",MID(A2301,FIND(".",A2301,1)+2,LEN(A2301)),""),CHAR(34),CHAR(92)&amp;CHAR(34))</f>
        <v/>
      </c>
      <c r="F2301" t="str">
        <f t="shared" si="133"/>
        <v/>
      </c>
      <c r="G2301" t="str">
        <f>SUBSTITUTE(B2302,CHAR(34),CHAR(92)&amp;CHAR(34))</f>
        <v>Không xe nào vi phạm.</v>
      </c>
      <c r="H2301" t="str">
        <f>SUBSTITUTE(B2303,CHAR(34),CHAR(92)&amp;CHAR(34))</f>
        <v xml:space="preserve"> Cả hai xe.</v>
      </c>
      <c r="I2301" t="str">
        <f>SUBSTITUTE(IF(LEFT(A2304,3)="Câu","",B2304),CHAR(34),CHAR(92)&amp;CHAR(34))</f>
        <v/>
      </c>
      <c r="J2301" t="str">
        <f>SUBSTITUTE(IF(OR(LEFT(A2305,3)="Câu",I2301=""),"",IF(B2305=0,"",B2305)),CHAR(34),CHAR(92)&amp;CHAR(34))</f>
        <v/>
      </c>
      <c r="K2301" t="str">
        <f>SUBSTITUTE(SUBSTITUTE(SUBSTITUTE(SUBSTITUTE(IFERROR(VLOOKUP("Câu "&amp;D2301&amp;".",dapan!$E:$J,6,0),""),"1","A"),"2","B"),"3","C"),"4","D")</f>
        <v/>
      </c>
      <c r="P2301" t="str">
        <f t="shared" si="131"/>
        <v/>
      </c>
      <c r="Q2301" t="str">
        <f t="shared" si="132"/>
        <v/>
      </c>
    </row>
    <row r="2302" spans="1:17" hidden="1" x14ac:dyDescent="0.25">
      <c r="A2302">
        <v>3</v>
      </c>
      <c r="B2302" t="s">
        <v>1473</v>
      </c>
      <c r="C2302">
        <f>IFERROR(COUNTIFS($A$1:A2302,"Câu "&amp;"*")-MID(A2302,5,FIND(".",A2302,1)-5),0)</f>
        <v>0</v>
      </c>
      <c r="D2302" t="str">
        <f t="shared" si="134"/>
        <v/>
      </c>
      <c r="E2302" t="str">
        <f>SUBSTITUTE(IF(LEFT(A2302,3)="Câu",MID(A2302,FIND(".",A2302,1)+2,LEN(A2302)),""),CHAR(34),CHAR(92)&amp;CHAR(34))</f>
        <v/>
      </c>
      <c r="F2302" t="str">
        <f t="shared" si="133"/>
        <v/>
      </c>
      <c r="G2302" t="str">
        <f>SUBSTITUTE(B2303,CHAR(34),CHAR(92)&amp;CHAR(34))</f>
        <v xml:space="preserve"> Cả hai xe.</v>
      </c>
      <c r="H2302" t="str">
        <f>SUBSTITUTE(B2304,CHAR(34),CHAR(92)&amp;CHAR(34))</f>
        <v/>
      </c>
      <c r="I2302" t="str">
        <f>SUBSTITUTE(IF(LEFT(A2305,3)="Câu","",B2305),CHAR(34),CHAR(92)&amp;CHAR(34))</f>
        <v>Xe con.</v>
      </c>
      <c r="J2302" t="str">
        <f>SUBSTITUTE(IF(OR(LEFT(A2306,3)="Câu",I2302=""),"",IF(B2306=0,"",B2306)),CHAR(34),CHAR(92)&amp;CHAR(34))</f>
        <v xml:space="preserve"> Xe tải.</v>
      </c>
      <c r="K2302" t="str">
        <f>SUBSTITUTE(SUBSTITUTE(SUBSTITUTE(SUBSTITUTE(IFERROR(VLOOKUP("Câu "&amp;D2302&amp;".",dapan!$E:$J,6,0),""),"1","A"),"2","B"),"3","C"),"4","D")</f>
        <v/>
      </c>
      <c r="P2302" t="str">
        <f t="shared" si="131"/>
        <v/>
      </c>
      <c r="Q2302" t="str">
        <f t="shared" si="132"/>
        <v/>
      </c>
    </row>
    <row r="2303" spans="1:17" hidden="1" x14ac:dyDescent="0.25">
      <c r="A2303">
        <v>4</v>
      </c>
      <c r="B2303" t="s">
        <v>1472</v>
      </c>
      <c r="C2303">
        <f>IFERROR(COUNTIFS($A$1:A2303,"Câu "&amp;"*")-MID(A2303,5,FIND(".",A2303,1)-5),0)</f>
        <v>0</v>
      </c>
      <c r="D2303" t="str">
        <f t="shared" si="134"/>
        <v/>
      </c>
      <c r="E2303" t="str">
        <f>SUBSTITUTE(IF(LEFT(A2303,3)="Câu",MID(A2303,FIND(".",A2303,1)+2,LEN(A2303)),""),CHAR(34),CHAR(92)&amp;CHAR(34))</f>
        <v/>
      </c>
      <c r="F2303" t="str">
        <f t="shared" si="133"/>
        <v/>
      </c>
      <c r="G2303" t="str">
        <f>SUBSTITUTE(B2304,CHAR(34),CHAR(92)&amp;CHAR(34))</f>
        <v/>
      </c>
      <c r="H2303" t="str">
        <f>SUBSTITUTE(B2305,CHAR(34),CHAR(92)&amp;CHAR(34))</f>
        <v>Xe con.</v>
      </c>
      <c r="I2303" t="str">
        <f>SUBSTITUTE(IF(LEFT(A2306,3)="Câu","",B2306),CHAR(34),CHAR(92)&amp;CHAR(34))</f>
        <v xml:space="preserve"> Xe tải.</v>
      </c>
      <c r="J2303" t="str">
        <f>SUBSTITUTE(IF(OR(LEFT(A2307,3)="Câu",I2303=""),"",IF(B2307=0,"",B2307)),CHAR(34),CHAR(92)&amp;CHAR(34))</f>
        <v>Xe con, xe tải.</v>
      </c>
      <c r="K2303" t="str">
        <f>SUBSTITUTE(SUBSTITUTE(SUBSTITUTE(SUBSTITUTE(IFERROR(VLOOKUP("Câu "&amp;D2303&amp;".",dapan!$E:$J,6,0),""),"1","A"),"2","B"),"3","C"),"4","D")</f>
        <v/>
      </c>
      <c r="P2303" t="str">
        <f t="shared" si="131"/>
        <v/>
      </c>
      <c r="Q2303" t="str">
        <f t="shared" si="132"/>
        <v/>
      </c>
    </row>
    <row r="2304" spans="1:17" x14ac:dyDescent="0.25">
      <c r="A2304" t="s">
        <v>1773</v>
      </c>
      <c r="C2304">
        <f>IFERROR(COUNTIFS($A$1:A2304,"Câu "&amp;"*")-MID(A2304,5,FIND(".",A2304,1)-5),0)</f>
        <v>0</v>
      </c>
      <c r="D2304">
        <f t="shared" si="134"/>
        <v>560</v>
      </c>
      <c r="E2304" t="str">
        <f>SUBSTITUTE(IF(LEFT(A2304,3)="Câu",MID(A2304,FIND(".",A2304,1)+2,LEN(A2304)),""),CHAR(34),CHAR(92)&amp;CHAR(34))</f>
        <v>Các xe đi theo hướng mũi tên, xe nào vi phạm quy tắc giao thông?</v>
      </c>
      <c r="F2304" t="str">
        <f t="shared" si="133"/>
        <v>q560.jpg</v>
      </c>
      <c r="G2304" t="str">
        <f>SUBSTITUTE(B2305,CHAR(34),CHAR(92)&amp;CHAR(34))</f>
        <v>Xe con.</v>
      </c>
      <c r="H2304" t="str">
        <f>SUBSTITUTE(B2306,CHAR(34),CHAR(92)&amp;CHAR(34))</f>
        <v xml:space="preserve"> Xe tải.</v>
      </c>
      <c r="I2304" t="str">
        <f>SUBSTITUTE(IF(LEFT(A2307,3)="Câu","",B2307),CHAR(34),CHAR(92)&amp;CHAR(34))</f>
        <v>Xe con, xe tải.</v>
      </c>
      <c r="J2304" t="str">
        <f>SUBSTITUTE(IF(OR(LEFT(A2308,3)="Câu",I2304=""),"",IF(B2308=0,"",B2308)),CHAR(34),CHAR(92)&amp;CHAR(34))</f>
        <v/>
      </c>
      <c r="K2304" t="str">
        <f ca="1">SUBSTITUTE(SUBSTITUTE(SUBSTITUTE(SUBSTITUTE(IFERROR(VLOOKUP("Câu "&amp;D2304&amp;".",dapan!$E:$J,6,0),""),"1","A"),"2","B"),"3","C"),"4","D")</f>
        <v>B</v>
      </c>
      <c r="P2304">
        <f t="shared" si="131"/>
        <v>560</v>
      </c>
      <c r="Q2304" t="str">
        <f t="shared" ca="1" si="132"/>
        <v>{"num":560,"id":560,"q":"Các xe đi theo hướng mũi tên, xe nào vi phạm quy tắc giao thông?","img":"q560.jpg","opts":{"A":"Xe con.","B":" Xe tải.","C":"Xe con, xe tải."},"answer":"B"},</v>
      </c>
    </row>
    <row r="2305" spans="1:17" hidden="1" x14ac:dyDescent="0.25">
      <c r="A2305">
        <v>1</v>
      </c>
      <c r="B2305" t="s">
        <v>1434</v>
      </c>
      <c r="C2305">
        <f>IFERROR(COUNTIFS($A$1:A2305,"Câu "&amp;"*")-MID(A2305,5,FIND(".",A2305,1)-5),0)</f>
        <v>0</v>
      </c>
      <c r="D2305" t="str">
        <f t="shared" si="134"/>
        <v/>
      </c>
      <c r="E2305" t="str">
        <f>SUBSTITUTE(IF(LEFT(A2305,3)="Câu",MID(A2305,FIND(".",A2305,1)+2,LEN(A2305)),""),CHAR(34),CHAR(92)&amp;CHAR(34))</f>
        <v/>
      </c>
      <c r="F2305" t="str">
        <f t="shared" si="133"/>
        <v/>
      </c>
      <c r="G2305" t="str">
        <f>SUBSTITUTE(B2306,CHAR(34),CHAR(92)&amp;CHAR(34))</f>
        <v xml:space="preserve"> Xe tải.</v>
      </c>
      <c r="H2305" t="str">
        <f>SUBSTITUTE(B2307,CHAR(34),CHAR(92)&amp;CHAR(34))</f>
        <v>Xe con, xe tải.</v>
      </c>
      <c r="I2305" t="str">
        <f>SUBSTITUTE(IF(LEFT(A2308,3)="Câu","",B2308),CHAR(34),CHAR(92)&amp;CHAR(34))</f>
        <v/>
      </c>
      <c r="J2305" t="str">
        <f>SUBSTITUTE(IF(OR(LEFT(A2309,3)="Câu",I2305=""),"",IF(B2309=0,"",B2309)),CHAR(34),CHAR(92)&amp;CHAR(34))</f>
        <v/>
      </c>
      <c r="K2305" t="str">
        <f>SUBSTITUTE(SUBSTITUTE(SUBSTITUTE(SUBSTITUTE(IFERROR(VLOOKUP("Câu "&amp;D2305&amp;".",dapan!$E:$J,6,0),""),"1","A"),"2","B"),"3","C"),"4","D")</f>
        <v/>
      </c>
      <c r="P2305" t="str">
        <f t="shared" si="131"/>
        <v/>
      </c>
      <c r="Q2305" t="str">
        <f t="shared" si="132"/>
        <v/>
      </c>
    </row>
    <row r="2306" spans="1:17" hidden="1" x14ac:dyDescent="0.25">
      <c r="A2306">
        <v>2</v>
      </c>
      <c r="B2306" t="s">
        <v>1460</v>
      </c>
      <c r="C2306">
        <f>IFERROR(COUNTIFS($A$1:A2306,"Câu "&amp;"*")-MID(A2306,5,FIND(".",A2306,1)-5),0)</f>
        <v>0</v>
      </c>
      <c r="D2306" t="str">
        <f t="shared" si="134"/>
        <v/>
      </c>
      <c r="E2306" t="str">
        <f>SUBSTITUTE(IF(LEFT(A2306,3)="Câu",MID(A2306,FIND(".",A2306,1)+2,LEN(A2306)),""),CHAR(34),CHAR(92)&amp;CHAR(34))</f>
        <v/>
      </c>
      <c r="F2306" t="str">
        <f t="shared" si="133"/>
        <v/>
      </c>
      <c r="G2306" t="str">
        <f>SUBSTITUTE(B2307,CHAR(34),CHAR(92)&amp;CHAR(34))</f>
        <v>Xe con, xe tải.</v>
      </c>
      <c r="H2306" t="str">
        <f>SUBSTITUTE(B2308,CHAR(34),CHAR(92)&amp;CHAR(34))</f>
        <v/>
      </c>
      <c r="I2306" t="str">
        <f>SUBSTITUTE(IF(LEFT(A2309,3)="Câu","",B2309),CHAR(34),CHAR(92)&amp;CHAR(34))</f>
        <v>Xe tải, xe con.</v>
      </c>
      <c r="J2306" t="str">
        <f>SUBSTITUTE(IF(OR(LEFT(A2310,3)="Câu",I2306=""),"",IF(B2310=0,"",B2310)),CHAR(34),CHAR(92)&amp;CHAR(34))</f>
        <v>Xe khách, xe con.</v>
      </c>
      <c r="K2306" t="str">
        <f>SUBSTITUTE(SUBSTITUTE(SUBSTITUTE(SUBSTITUTE(IFERROR(VLOOKUP("Câu "&amp;D2306&amp;".",dapan!$E:$J,6,0),""),"1","A"),"2","B"),"3","C"),"4","D")</f>
        <v/>
      </c>
      <c r="P2306" t="str">
        <f t="shared" si="131"/>
        <v/>
      </c>
      <c r="Q2306" t="str">
        <f t="shared" si="132"/>
        <v/>
      </c>
    </row>
    <row r="2307" spans="1:17" hidden="1" x14ac:dyDescent="0.25">
      <c r="A2307">
        <v>3</v>
      </c>
      <c r="B2307" t="s">
        <v>1534</v>
      </c>
      <c r="C2307">
        <f>IFERROR(COUNTIFS($A$1:A2307,"Câu "&amp;"*")-MID(A2307,5,FIND(".",A2307,1)-5),0)</f>
        <v>0</v>
      </c>
      <c r="D2307" t="str">
        <f t="shared" si="134"/>
        <v/>
      </c>
      <c r="E2307" t="str">
        <f>SUBSTITUTE(IF(LEFT(A2307,3)="Câu",MID(A2307,FIND(".",A2307,1)+2,LEN(A2307)),""),CHAR(34),CHAR(92)&amp;CHAR(34))</f>
        <v/>
      </c>
      <c r="F2307" t="str">
        <f t="shared" si="133"/>
        <v/>
      </c>
      <c r="G2307" t="str">
        <f>SUBSTITUTE(B2308,CHAR(34),CHAR(92)&amp;CHAR(34))</f>
        <v/>
      </c>
      <c r="H2307" t="str">
        <f>SUBSTITUTE(B2309,CHAR(34),CHAR(92)&amp;CHAR(34))</f>
        <v>Xe tải, xe con.</v>
      </c>
      <c r="I2307" t="str">
        <f>SUBSTITUTE(IF(LEFT(A2310,3)="Câu","",B2310),CHAR(34),CHAR(92)&amp;CHAR(34))</f>
        <v>Xe khách, xe con.</v>
      </c>
      <c r="J2307" t="str">
        <f>SUBSTITUTE(IF(OR(LEFT(A2311,3)="Câu",I2307=""),"",IF(B2311=0,"",B2311)),CHAR(34),CHAR(92)&amp;CHAR(34))</f>
        <v xml:space="preserve"> Xe khách, xe tải.</v>
      </c>
      <c r="K2307" t="str">
        <f>SUBSTITUTE(SUBSTITUTE(SUBSTITUTE(SUBSTITUTE(IFERROR(VLOOKUP("Câu "&amp;D2307&amp;".",dapan!$E:$J,6,0),""),"1","A"),"2","B"),"3","C"),"4","D")</f>
        <v/>
      </c>
      <c r="P2307" t="str">
        <f t="shared" ref="P2307:P2370" si="135">D2307</f>
        <v/>
      </c>
      <c r="Q2307" t="str">
        <f t="shared" ref="Q2307:Q2370" si="136">IF(D2307="","",CHAR(123)&amp;CHAR(34)&amp;"num"&amp;CHAR(34)&amp;":"&amp;P2307&amp;","&amp;CHAR(34)&amp;"id"&amp;CHAR(34)&amp;":"&amp;D2307&amp;","
&amp;CHAR(34)&amp;"q"&amp;CHAR(34)&amp;":"&amp;CHAR(34)&amp;E2307&amp;CHAR(34)&amp;","
&amp;IF(F2307="","",CHAR(34)&amp;"img"&amp;CHAR(34)&amp;":"&amp;CHAR(34)&amp;F2307&amp;CHAR(34)&amp;",")
&amp;CHAR(34)&amp;"opts"&amp;CHAR(34)&amp;":"&amp;CHAR(123)&amp;CHAR(34)&amp;"A"&amp;CHAR(34)&amp;":"&amp;CHAR(34)&amp;G2307&amp;CHAR(34)&amp;","&amp;CHAR(34)&amp;"B"&amp;CHAR(34)&amp;":"&amp;CHAR(34)&amp;H2307&amp;CHAR(34)
&amp;IF(I2307="","",","&amp;CHAR(34)&amp;"C"&amp;CHAR(34)&amp;":"&amp;CHAR(34)&amp;I2307&amp;CHAR(34))&amp;IF(J2307="","",","&amp;CHAR(34)&amp;"D"&amp;CHAR(34)&amp;":"&amp;CHAR(34)&amp;J2307&amp;CHAR(34))&amp;CHAR(125)&amp;","
&amp;CHAR(34)&amp;"answer"&amp;CHAR(34)&amp;":"&amp;CHAR(34)&amp;K2307&amp;CHAR(34)
&amp;IF(L2307="","",","&amp;CHAR(34)&amp;"danger"&amp;CHAR(34)&amp;":"&amp;CHAR(34)&amp;"true"&amp;CHAR(34))
&amp;IF(M2307="","",","&amp;CHAR(34)&amp;"explain"&amp;CHAR(34)&amp;":"&amp;CHAR(34)&amp;M2307&amp;CHAR(34))
&amp;IF(N2307="","",","&amp;CHAR(34)&amp;"explainImg"&amp;CHAR(34)&amp;":"&amp;CHAR(34)&amp;N2307&amp;CHAR(34))
&amp;IF(O2307="","",","&amp;CHAR(34)&amp;"shuffle"&amp;CHAR(34)&amp;":"&amp;CHAR(34)&amp;"false"&amp;CHAR(34))&amp;CHAR(125)&amp;",")</f>
        <v/>
      </c>
    </row>
    <row r="2308" spans="1:17" x14ac:dyDescent="0.25">
      <c r="A2308" t="s">
        <v>1627</v>
      </c>
      <c r="C2308">
        <f>IFERROR(COUNTIFS($A$1:A2308,"Câu "&amp;"*")-MID(A2308,5,FIND(".",A2308,1)-5),0)</f>
        <v>0</v>
      </c>
      <c r="D2308">
        <f t="shared" si="134"/>
        <v>561</v>
      </c>
      <c r="E2308" t="str">
        <f>SUBSTITUTE(IF(LEFT(A2308,3)="Câu",MID(A2308,FIND(".",A2308,1)+2,LEN(A2308)),""),CHAR(34),CHAR(92)&amp;CHAR(34))</f>
        <v>Các xe đi theo hướng mũi tên, những xe nào vi phạm quy tắc giao thông?</v>
      </c>
      <c r="F2308" t="str">
        <f t="shared" si="133"/>
        <v>q561.jpg</v>
      </c>
      <c r="G2308" t="str">
        <f>SUBSTITUTE(B2309,CHAR(34),CHAR(92)&amp;CHAR(34))</f>
        <v>Xe tải, xe con.</v>
      </c>
      <c r="H2308" t="str">
        <f>SUBSTITUTE(B2310,CHAR(34),CHAR(92)&amp;CHAR(34))</f>
        <v>Xe khách, xe con.</v>
      </c>
      <c r="I2308" t="str">
        <f>SUBSTITUTE(IF(LEFT(A2311,3)="Câu","",B2311),CHAR(34),CHAR(92)&amp;CHAR(34))</f>
        <v xml:space="preserve"> Xe khách, xe tải.</v>
      </c>
      <c r="J2308" t="str">
        <f>SUBSTITUTE(IF(OR(LEFT(A2312,3)="Câu",I2308=""),"",IF(B2312=0,"",B2312)),CHAR(34),CHAR(92)&amp;CHAR(34))</f>
        <v/>
      </c>
      <c r="K2308" t="str">
        <f ca="1">SUBSTITUTE(SUBSTITUTE(SUBSTITUTE(SUBSTITUTE(IFERROR(VLOOKUP("Câu "&amp;D2308&amp;".",dapan!$E:$J,6,0),""),"1","A"),"2","B"),"3","C"),"4","D")</f>
        <v>C</v>
      </c>
      <c r="P2308">
        <f t="shared" si="135"/>
        <v>561</v>
      </c>
      <c r="Q2308" t="str">
        <f t="shared" ca="1" si="136"/>
        <v>{"num":561,"id":561,"q":"Các xe đi theo hướng mũi tên, những xe nào vi phạm quy tắc giao thông?","img":"q561.jpg","opts":{"A":"Xe tải, xe con.","B":"Xe khách, xe con.","C":" Xe khách, xe tải."},"answer":"C"},</v>
      </c>
    </row>
    <row r="2309" spans="1:17" hidden="1" x14ac:dyDescent="0.25">
      <c r="A2309">
        <v>1</v>
      </c>
      <c r="B2309" t="s">
        <v>1628</v>
      </c>
      <c r="C2309">
        <f>IFERROR(COUNTIFS($A$1:A2309,"Câu "&amp;"*")-MID(A2309,5,FIND(".",A2309,1)-5),0)</f>
        <v>0</v>
      </c>
      <c r="D2309" t="str">
        <f t="shared" si="134"/>
        <v/>
      </c>
      <c r="E2309" t="str">
        <f>SUBSTITUTE(IF(LEFT(A2309,3)="Câu",MID(A2309,FIND(".",A2309,1)+2,LEN(A2309)),""),CHAR(34),CHAR(92)&amp;CHAR(34))</f>
        <v/>
      </c>
      <c r="F2309" t="str">
        <f t="shared" si="133"/>
        <v/>
      </c>
      <c r="G2309" t="str">
        <f>SUBSTITUTE(B2310,CHAR(34),CHAR(92)&amp;CHAR(34))</f>
        <v>Xe khách, xe con.</v>
      </c>
      <c r="H2309" t="str">
        <f>SUBSTITUTE(B2311,CHAR(34),CHAR(92)&amp;CHAR(34))</f>
        <v xml:space="preserve"> Xe khách, xe tải.</v>
      </c>
      <c r="I2309" t="str">
        <f>SUBSTITUTE(IF(LEFT(A2312,3)="Câu","",B2312),CHAR(34),CHAR(92)&amp;CHAR(34))</f>
        <v/>
      </c>
      <c r="J2309" t="str">
        <f>SUBSTITUTE(IF(OR(LEFT(A2313,3)="Câu",I2309=""),"",IF(B2313=0,"",B2313)),CHAR(34),CHAR(92)&amp;CHAR(34))</f>
        <v/>
      </c>
      <c r="K2309" t="str">
        <f>SUBSTITUTE(SUBSTITUTE(SUBSTITUTE(SUBSTITUTE(IFERROR(VLOOKUP("Câu "&amp;D2309&amp;".",dapan!$E:$J,6,0),""),"1","A"),"2","B"),"3","C"),"4","D")</f>
        <v/>
      </c>
      <c r="P2309" t="str">
        <f t="shared" si="135"/>
        <v/>
      </c>
      <c r="Q2309" t="str">
        <f t="shared" si="136"/>
        <v/>
      </c>
    </row>
    <row r="2310" spans="1:17" hidden="1" x14ac:dyDescent="0.25">
      <c r="A2310">
        <v>2</v>
      </c>
      <c r="B2310" t="s">
        <v>1629</v>
      </c>
      <c r="C2310">
        <f>IFERROR(COUNTIFS($A$1:A2310,"Câu "&amp;"*")-MID(A2310,5,FIND(".",A2310,1)-5),0)</f>
        <v>0</v>
      </c>
      <c r="D2310" t="str">
        <f t="shared" si="134"/>
        <v/>
      </c>
      <c r="E2310" t="str">
        <f>SUBSTITUTE(IF(LEFT(A2310,3)="Câu",MID(A2310,FIND(".",A2310,1)+2,LEN(A2310)),""),CHAR(34),CHAR(92)&amp;CHAR(34))</f>
        <v/>
      </c>
      <c r="F2310" t="str">
        <f t="shared" si="133"/>
        <v/>
      </c>
      <c r="G2310" t="str">
        <f>SUBSTITUTE(B2311,CHAR(34),CHAR(92)&amp;CHAR(34))</f>
        <v xml:space="preserve"> Xe khách, xe tải.</v>
      </c>
      <c r="H2310" t="str">
        <f>SUBSTITUTE(B2312,CHAR(34),CHAR(92)&amp;CHAR(34))</f>
        <v/>
      </c>
      <c r="I2310" t="str">
        <f>SUBSTITUTE(IF(LEFT(A2313,3)="Câu","",B2313),CHAR(34),CHAR(92)&amp;CHAR(34))</f>
        <v>Xe con, xe tải, xe khách.</v>
      </c>
      <c r="J2310" t="str">
        <f>SUBSTITUTE(IF(OR(LEFT(A2314,3)="Câu",I2310=""),"",IF(B2314=0,"",B2314)),CHAR(34),CHAR(92)&amp;CHAR(34))</f>
        <v xml:space="preserve"> Xe tải, xe khách, xe mô tô.</v>
      </c>
      <c r="K2310" t="str">
        <f>SUBSTITUTE(SUBSTITUTE(SUBSTITUTE(SUBSTITUTE(IFERROR(VLOOKUP("Câu "&amp;D2310&amp;".",dapan!$E:$J,6,0),""),"1","A"),"2","B"),"3","C"),"4","D")</f>
        <v/>
      </c>
      <c r="P2310" t="str">
        <f t="shared" si="135"/>
        <v/>
      </c>
      <c r="Q2310" t="str">
        <f t="shared" si="136"/>
        <v/>
      </c>
    </row>
    <row r="2311" spans="1:17" hidden="1" x14ac:dyDescent="0.25">
      <c r="A2311">
        <v>3</v>
      </c>
      <c r="B2311" t="s">
        <v>1630</v>
      </c>
      <c r="C2311">
        <f>IFERROR(COUNTIFS($A$1:A2311,"Câu "&amp;"*")-MID(A2311,5,FIND(".",A2311,1)-5),0)</f>
        <v>0</v>
      </c>
      <c r="D2311" t="str">
        <f t="shared" si="134"/>
        <v/>
      </c>
      <c r="E2311" t="str">
        <f>SUBSTITUTE(IF(LEFT(A2311,3)="Câu",MID(A2311,FIND(".",A2311,1)+2,LEN(A2311)),""),CHAR(34),CHAR(92)&amp;CHAR(34))</f>
        <v/>
      </c>
      <c r="F2311" t="str">
        <f t="shared" si="133"/>
        <v/>
      </c>
      <c r="G2311" t="str">
        <f>SUBSTITUTE(B2312,CHAR(34),CHAR(92)&amp;CHAR(34))</f>
        <v/>
      </c>
      <c r="H2311" t="str">
        <f>SUBSTITUTE(B2313,CHAR(34),CHAR(92)&amp;CHAR(34))</f>
        <v>Xe con, xe tải, xe khách.</v>
      </c>
      <c r="I2311" t="str">
        <f>SUBSTITUTE(IF(LEFT(A2314,3)="Câu","",B2314),CHAR(34),CHAR(92)&amp;CHAR(34))</f>
        <v xml:space="preserve"> Xe tải, xe khách, xe mô tô.</v>
      </c>
      <c r="J2311" t="str">
        <f>SUBSTITUTE(IF(OR(LEFT(A2315,3)="Câu",I2311=""),"",IF(B2315=0,"",B2315)),CHAR(34),CHAR(92)&amp;CHAR(34))</f>
        <v>Xe khách, xe mô tô, xe con.</v>
      </c>
      <c r="K2311" t="str">
        <f>SUBSTITUTE(SUBSTITUTE(SUBSTITUTE(SUBSTITUTE(IFERROR(VLOOKUP("Câu "&amp;D2311&amp;".",dapan!$E:$J,6,0),""),"1","A"),"2","B"),"3","C"),"4","D")</f>
        <v/>
      </c>
      <c r="P2311" t="str">
        <f t="shared" si="135"/>
        <v/>
      </c>
      <c r="Q2311" t="str">
        <f t="shared" si="136"/>
        <v/>
      </c>
    </row>
    <row r="2312" spans="1:17" x14ac:dyDescent="0.25">
      <c r="A2312" t="s">
        <v>1631</v>
      </c>
      <c r="C2312">
        <f>IFERROR(COUNTIFS($A$1:A2312,"Câu "&amp;"*")-MID(A2312,5,FIND(".",A2312,1)-5),0)</f>
        <v>0</v>
      </c>
      <c r="D2312">
        <f t="shared" si="134"/>
        <v>562</v>
      </c>
      <c r="E2312" t="str">
        <f>SUBSTITUTE(IF(LEFT(A2312,3)="Câu",MID(A2312,FIND(".",A2312,1)+2,LEN(A2312)),""),CHAR(34),CHAR(92)&amp;CHAR(34))</f>
        <v>Các xe đi theo hướng mũi tên, xe nào vi phạm quy tắc giao thông?</v>
      </c>
      <c r="F2312" t="str">
        <f t="shared" si="133"/>
        <v>q562.jpg</v>
      </c>
      <c r="G2312" t="str">
        <f>SUBSTITUTE(B2313,CHAR(34),CHAR(92)&amp;CHAR(34))</f>
        <v>Xe con, xe tải, xe khách.</v>
      </c>
      <c r="H2312" t="str">
        <f>SUBSTITUTE(B2314,CHAR(34),CHAR(92)&amp;CHAR(34))</f>
        <v xml:space="preserve"> Xe tải, xe khách, xe mô tô.</v>
      </c>
      <c r="I2312" t="str">
        <f>SUBSTITUTE(IF(LEFT(A2315,3)="Câu","",B2315),CHAR(34),CHAR(92)&amp;CHAR(34))</f>
        <v>Xe khách, xe mô tô, xe con.</v>
      </c>
      <c r="J2312" t="str">
        <f>SUBSTITUTE(IF(OR(LEFT(A2316,3)="Câu",I2312=""),"",IF(B2316=0,"",B2316)),CHAR(34),CHAR(92)&amp;CHAR(34))</f>
        <v>Cả bốn xe.</v>
      </c>
      <c r="K2312" t="str">
        <f ca="1">SUBSTITUTE(SUBSTITUTE(SUBSTITUTE(SUBSTITUTE(IFERROR(VLOOKUP("Câu "&amp;D2312&amp;".",dapan!$E:$J,6,0),""),"1","A"),"2","B"),"3","C"),"4","D")</f>
        <v>B</v>
      </c>
      <c r="P2312">
        <f t="shared" si="135"/>
        <v>562</v>
      </c>
      <c r="Q2312" t="str">
        <f t="shared" ca="1" si="136"/>
        <v>{"num":562,"id":562,"q":"Các xe đi theo hướng mũi tên, xe nào vi phạm quy tắc giao thông?","img":"q562.jpg","opts":{"A":"Xe con, xe tải, xe khách.","B":" Xe tải, xe khách, xe mô tô.","C":"Xe khách, xe mô tô, xe con.","D":"Cả bốn xe."},"answer":"B"},</v>
      </c>
    </row>
    <row r="2313" spans="1:17" hidden="1" x14ac:dyDescent="0.25">
      <c r="A2313">
        <v>1</v>
      </c>
      <c r="B2313" t="s">
        <v>1543</v>
      </c>
      <c r="C2313">
        <f>IFERROR(COUNTIFS($A$1:A2313,"Câu "&amp;"*")-MID(A2313,5,FIND(".",A2313,1)-5),0)</f>
        <v>0</v>
      </c>
      <c r="D2313" t="str">
        <f t="shared" si="134"/>
        <v/>
      </c>
      <c r="E2313" t="str">
        <f>SUBSTITUTE(IF(LEFT(A2313,3)="Câu",MID(A2313,FIND(".",A2313,1)+2,LEN(A2313)),""),CHAR(34),CHAR(92)&amp;CHAR(34))</f>
        <v/>
      </c>
      <c r="F2313" t="str">
        <f t="shared" si="133"/>
        <v/>
      </c>
      <c r="G2313" t="str">
        <f>SUBSTITUTE(B2314,CHAR(34),CHAR(92)&amp;CHAR(34))</f>
        <v xml:space="preserve"> Xe tải, xe khách, xe mô tô.</v>
      </c>
      <c r="H2313" t="str">
        <f>SUBSTITUTE(B2315,CHAR(34),CHAR(92)&amp;CHAR(34))</f>
        <v>Xe khách, xe mô tô, xe con.</v>
      </c>
      <c r="I2313" t="str">
        <f>SUBSTITUTE(IF(LEFT(A2316,3)="Câu","",B2316),CHAR(34),CHAR(92)&amp;CHAR(34))</f>
        <v>Cả bốn xe.</v>
      </c>
      <c r="J2313" t="str">
        <f>SUBSTITUTE(IF(OR(LEFT(A2317,3)="Câu",I2313=""),"",IF(B2317=0,"",B2317)),CHAR(34),CHAR(92)&amp;CHAR(34))</f>
        <v/>
      </c>
      <c r="K2313" t="str">
        <f>SUBSTITUTE(SUBSTITUTE(SUBSTITUTE(SUBSTITUTE(IFERROR(VLOOKUP("Câu "&amp;D2313&amp;".",dapan!$E:$J,6,0),""),"1","A"),"2","B"),"3","C"),"4","D")</f>
        <v/>
      </c>
      <c r="P2313" t="str">
        <f t="shared" si="135"/>
        <v/>
      </c>
      <c r="Q2313" t="str">
        <f t="shared" si="136"/>
        <v/>
      </c>
    </row>
    <row r="2314" spans="1:17" hidden="1" x14ac:dyDescent="0.25">
      <c r="A2314">
        <v>2</v>
      </c>
      <c r="B2314" t="s">
        <v>1632</v>
      </c>
      <c r="C2314">
        <f>IFERROR(COUNTIFS($A$1:A2314,"Câu "&amp;"*")-MID(A2314,5,FIND(".",A2314,1)-5),0)</f>
        <v>0</v>
      </c>
      <c r="D2314" t="str">
        <f t="shared" si="134"/>
        <v/>
      </c>
      <c r="E2314" t="str">
        <f>SUBSTITUTE(IF(LEFT(A2314,3)="Câu",MID(A2314,FIND(".",A2314,1)+2,LEN(A2314)),""),CHAR(34),CHAR(92)&amp;CHAR(34))</f>
        <v/>
      </c>
      <c r="F2314" t="str">
        <f t="shared" si="133"/>
        <v/>
      </c>
      <c r="G2314" t="str">
        <f>SUBSTITUTE(B2315,CHAR(34),CHAR(92)&amp;CHAR(34))</f>
        <v>Xe khách, xe mô tô, xe con.</v>
      </c>
      <c r="H2314" t="str">
        <f>SUBSTITUTE(B2316,CHAR(34),CHAR(92)&amp;CHAR(34))</f>
        <v>Cả bốn xe.</v>
      </c>
      <c r="I2314" t="str">
        <f>SUBSTITUTE(IF(LEFT(A2317,3)="Câu","",B2317),CHAR(34),CHAR(92)&amp;CHAR(34))</f>
        <v/>
      </c>
      <c r="J2314" t="str">
        <f>SUBSTITUTE(IF(OR(LEFT(A2318,3)="Câu",I2314=""),"",IF(B2318=0,"",B2318)),CHAR(34),CHAR(92)&amp;CHAR(34))</f>
        <v/>
      </c>
      <c r="K2314" t="str">
        <f>SUBSTITUTE(SUBSTITUTE(SUBSTITUTE(SUBSTITUTE(IFERROR(VLOOKUP("Câu "&amp;D2314&amp;".",dapan!$E:$J,6,0),""),"1","A"),"2","B"),"3","C"),"4","D")</f>
        <v/>
      </c>
      <c r="P2314" t="str">
        <f t="shared" si="135"/>
        <v/>
      </c>
      <c r="Q2314" t="str">
        <f t="shared" si="136"/>
        <v/>
      </c>
    </row>
    <row r="2315" spans="1:17" hidden="1" x14ac:dyDescent="0.25">
      <c r="A2315">
        <v>3</v>
      </c>
      <c r="B2315" t="s">
        <v>1633</v>
      </c>
      <c r="C2315">
        <f>IFERROR(COUNTIFS($A$1:A2315,"Câu "&amp;"*")-MID(A2315,5,FIND(".",A2315,1)-5),0)</f>
        <v>0</v>
      </c>
      <c r="D2315" t="str">
        <f t="shared" si="134"/>
        <v/>
      </c>
      <c r="E2315" t="str">
        <f>SUBSTITUTE(IF(LEFT(A2315,3)="Câu",MID(A2315,FIND(".",A2315,1)+2,LEN(A2315)),""),CHAR(34),CHAR(92)&amp;CHAR(34))</f>
        <v/>
      </c>
      <c r="F2315" t="str">
        <f t="shared" si="133"/>
        <v/>
      </c>
      <c r="G2315" t="str">
        <f>SUBSTITUTE(B2316,CHAR(34),CHAR(92)&amp;CHAR(34))</f>
        <v>Cả bốn xe.</v>
      </c>
      <c r="H2315" t="str">
        <f>SUBSTITUTE(B2317,CHAR(34),CHAR(92)&amp;CHAR(34))</f>
        <v/>
      </c>
      <c r="I2315" t="str">
        <f>SUBSTITUTE(IF(LEFT(A2318,3)="Câu","",B2318),CHAR(34),CHAR(92)&amp;CHAR(34))</f>
        <v xml:space="preserve"> Xe khách, xe tải.</v>
      </c>
      <c r="J2315" t="str">
        <f>SUBSTITUTE(IF(OR(LEFT(A2319,3)="Câu",I2315=""),"",IF(B2319=0,"",B2319)),CHAR(34),CHAR(92)&amp;CHAR(34))</f>
        <v>Xe khách, xe con.</v>
      </c>
      <c r="K2315" t="str">
        <f>SUBSTITUTE(SUBSTITUTE(SUBSTITUTE(SUBSTITUTE(IFERROR(VLOOKUP("Câu "&amp;D2315&amp;".",dapan!$E:$J,6,0),""),"1","A"),"2","B"),"3","C"),"4","D")</f>
        <v/>
      </c>
      <c r="P2315" t="str">
        <f t="shared" si="135"/>
        <v/>
      </c>
      <c r="Q2315" t="str">
        <f t="shared" si="136"/>
        <v/>
      </c>
    </row>
    <row r="2316" spans="1:17" hidden="1" x14ac:dyDescent="0.25">
      <c r="A2316">
        <v>4</v>
      </c>
      <c r="B2316" t="s">
        <v>1634</v>
      </c>
      <c r="C2316">
        <f>IFERROR(COUNTIFS($A$1:A2316,"Câu "&amp;"*")-MID(A2316,5,FIND(".",A2316,1)-5),0)</f>
        <v>0</v>
      </c>
      <c r="D2316" t="str">
        <f t="shared" si="134"/>
        <v/>
      </c>
      <c r="E2316" t="str">
        <f>SUBSTITUTE(IF(LEFT(A2316,3)="Câu",MID(A2316,FIND(".",A2316,1)+2,LEN(A2316)),""),CHAR(34),CHAR(92)&amp;CHAR(34))</f>
        <v/>
      </c>
      <c r="F2316" t="str">
        <f t="shared" si="133"/>
        <v/>
      </c>
      <c r="G2316" t="str">
        <f>SUBSTITUTE(B2317,CHAR(34),CHAR(92)&amp;CHAR(34))</f>
        <v/>
      </c>
      <c r="H2316" t="str">
        <f>SUBSTITUTE(B2318,CHAR(34),CHAR(92)&amp;CHAR(34))</f>
        <v xml:space="preserve"> Xe khách, xe tải.</v>
      </c>
      <c r="I2316" t="str">
        <f>SUBSTITUTE(IF(LEFT(A2319,3)="Câu","",B2319),CHAR(34),CHAR(92)&amp;CHAR(34))</f>
        <v>Xe khách, xe con.</v>
      </c>
      <c r="J2316" t="str">
        <f>SUBSTITUTE(IF(OR(LEFT(A2320,3)="Câu",I2316=""),"",IF(B2320=0,"",B2320)),CHAR(34),CHAR(92)&amp;CHAR(34))</f>
        <v>Xe con, xe tải.</v>
      </c>
      <c r="K2316" t="str">
        <f>SUBSTITUTE(SUBSTITUTE(SUBSTITUTE(SUBSTITUTE(IFERROR(VLOOKUP("Câu "&amp;D2316&amp;".",dapan!$E:$J,6,0),""),"1","A"),"2","B"),"3","C"),"4","D")</f>
        <v/>
      </c>
      <c r="P2316" t="str">
        <f t="shared" si="135"/>
        <v/>
      </c>
      <c r="Q2316" t="str">
        <f t="shared" si="136"/>
        <v/>
      </c>
    </row>
    <row r="2317" spans="1:17" x14ac:dyDescent="0.25">
      <c r="A2317" t="s">
        <v>1635</v>
      </c>
      <c r="C2317">
        <f>IFERROR(COUNTIFS($A$1:A2317,"Câu "&amp;"*")-MID(A2317,5,FIND(".",A2317,1)-5),0)</f>
        <v>0</v>
      </c>
      <c r="D2317">
        <f t="shared" si="134"/>
        <v>563</v>
      </c>
      <c r="E2317" t="str">
        <f>SUBSTITUTE(IF(LEFT(A2317,3)="Câu",MID(A2317,FIND(".",A2317,1)+2,LEN(A2317)),""),CHAR(34),CHAR(92)&amp;CHAR(34))</f>
        <v>Các xe đi theo hướng mũi tên, xe nào vi phạm quy tắc giao thông?</v>
      </c>
      <c r="F2317" t="str">
        <f t="shared" si="133"/>
        <v>q563.jpg</v>
      </c>
      <c r="G2317" t="str">
        <f>SUBSTITUTE(B2318,CHAR(34),CHAR(92)&amp;CHAR(34))</f>
        <v xml:space="preserve"> Xe khách, xe tải.</v>
      </c>
      <c r="H2317" t="str">
        <f>SUBSTITUTE(B2319,CHAR(34),CHAR(92)&amp;CHAR(34))</f>
        <v>Xe khách, xe con.</v>
      </c>
      <c r="I2317" t="str">
        <f>SUBSTITUTE(IF(LEFT(A2320,3)="Câu","",B2320),CHAR(34),CHAR(92)&amp;CHAR(34))</f>
        <v>Xe con, xe tải.</v>
      </c>
      <c r="J2317" t="str">
        <f>SUBSTITUTE(IF(OR(LEFT(A2321,3)="Câu",I2317=""),"",IF(B2321=0,"",B2321)),CHAR(34),CHAR(92)&amp;CHAR(34))</f>
        <v>Xe khách, xe tải, xe con.</v>
      </c>
      <c r="K2317" t="str">
        <f ca="1">SUBSTITUTE(SUBSTITUTE(SUBSTITUTE(SUBSTITUTE(IFERROR(VLOOKUP("Câu "&amp;D2317&amp;".",dapan!$E:$J,6,0),""),"1","A"),"2","B"),"3","C"),"4","D")</f>
        <v>A</v>
      </c>
      <c r="P2317">
        <f t="shared" si="135"/>
        <v>563</v>
      </c>
      <c r="Q2317" t="str">
        <f t="shared" ca="1" si="136"/>
        <v>{"num":563,"id":563,"q":"Các xe đi theo hướng mũi tên, xe nào vi phạm quy tắc giao thông?","img":"q563.jpg","opts":{"A":" Xe khách, xe tải.","B":"Xe khách, xe con.","C":"Xe con, xe tải.","D":"Xe khách, xe tải, xe con."},"answer":"A"},</v>
      </c>
    </row>
    <row r="2318" spans="1:17" hidden="1" x14ac:dyDescent="0.25">
      <c r="A2318">
        <v>1</v>
      </c>
      <c r="B2318" t="s">
        <v>1630</v>
      </c>
      <c r="C2318">
        <f>IFERROR(COUNTIFS($A$1:A2318,"Câu "&amp;"*")-MID(A2318,5,FIND(".",A2318,1)-5),0)</f>
        <v>0</v>
      </c>
      <c r="D2318" t="str">
        <f t="shared" si="134"/>
        <v/>
      </c>
      <c r="E2318" t="str">
        <f>SUBSTITUTE(IF(LEFT(A2318,3)="Câu",MID(A2318,FIND(".",A2318,1)+2,LEN(A2318)),""),CHAR(34),CHAR(92)&amp;CHAR(34))</f>
        <v/>
      </c>
      <c r="F2318" t="str">
        <f t="shared" si="133"/>
        <v/>
      </c>
      <c r="G2318" t="str">
        <f>SUBSTITUTE(B2319,CHAR(34),CHAR(92)&amp;CHAR(34))</f>
        <v>Xe khách, xe con.</v>
      </c>
      <c r="H2318" t="str">
        <f>SUBSTITUTE(B2320,CHAR(34),CHAR(92)&amp;CHAR(34))</f>
        <v>Xe con, xe tải.</v>
      </c>
      <c r="I2318" t="str">
        <f>SUBSTITUTE(IF(LEFT(A2321,3)="Câu","",B2321),CHAR(34),CHAR(92)&amp;CHAR(34))</f>
        <v>Xe khách, xe tải, xe con.</v>
      </c>
      <c r="J2318" t="str">
        <f>SUBSTITUTE(IF(OR(LEFT(A2322,3)="Câu",I2318=""),"",IF(B2322=0,"",B2322)),CHAR(34),CHAR(92)&amp;CHAR(34))</f>
        <v/>
      </c>
      <c r="K2318" t="str">
        <f>SUBSTITUTE(SUBSTITUTE(SUBSTITUTE(SUBSTITUTE(IFERROR(VLOOKUP("Câu "&amp;D2318&amp;".",dapan!$E:$J,6,0),""),"1","A"),"2","B"),"3","C"),"4","D")</f>
        <v/>
      </c>
      <c r="P2318" t="str">
        <f t="shared" si="135"/>
        <v/>
      </c>
      <c r="Q2318" t="str">
        <f t="shared" si="136"/>
        <v/>
      </c>
    </row>
    <row r="2319" spans="1:17" hidden="1" x14ac:dyDescent="0.25">
      <c r="A2319">
        <v>2</v>
      </c>
      <c r="B2319" t="s">
        <v>1629</v>
      </c>
      <c r="C2319">
        <f>IFERROR(COUNTIFS($A$1:A2319,"Câu "&amp;"*")-MID(A2319,5,FIND(".",A2319,1)-5),0)</f>
        <v>0</v>
      </c>
      <c r="D2319" t="str">
        <f t="shared" si="134"/>
        <v/>
      </c>
      <c r="E2319" t="str">
        <f>SUBSTITUTE(IF(LEFT(A2319,3)="Câu",MID(A2319,FIND(".",A2319,1)+2,LEN(A2319)),""),CHAR(34),CHAR(92)&amp;CHAR(34))</f>
        <v/>
      </c>
      <c r="F2319" t="str">
        <f t="shared" si="133"/>
        <v/>
      </c>
      <c r="G2319" t="str">
        <f>SUBSTITUTE(B2320,CHAR(34),CHAR(92)&amp;CHAR(34))</f>
        <v>Xe con, xe tải.</v>
      </c>
      <c r="H2319" t="str">
        <f>SUBSTITUTE(B2321,CHAR(34),CHAR(92)&amp;CHAR(34))</f>
        <v>Xe khách, xe tải, xe con.</v>
      </c>
      <c r="I2319" t="str">
        <f>SUBSTITUTE(IF(LEFT(A2322,3)="Câu","",B2322),CHAR(34),CHAR(92)&amp;CHAR(34))</f>
        <v/>
      </c>
      <c r="J2319" t="str">
        <f>SUBSTITUTE(IF(OR(LEFT(A2323,3)="Câu",I2319=""),"",IF(B2323=0,"",B2323)),CHAR(34),CHAR(92)&amp;CHAR(34))</f>
        <v/>
      </c>
      <c r="K2319" t="str">
        <f>SUBSTITUTE(SUBSTITUTE(SUBSTITUTE(SUBSTITUTE(IFERROR(VLOOKUP("Câu "&amp;D2319&amp;".",dapan!$E:$J,6,0),""),"1","A"),"2","B"),"3","C"),"4","D")</f>
        <v/>
      </c>
      <c r="P2319" t="str">
        <f t="shared" si="135"/>
        <v/>
      </c>
      <c r="Q2319" t="str">
        <f t="shared" si="136"/>
        <v/>
      </c>
    </row>
    <row r="2320" spans="1:17" hidden="1" x14ac:dyDescent="0.25">
      <c r="A2320">
        <v>3</v>
      </c>
      <c r="B2320" t="s">
        <v>1534</v>
      </c>
      <c r="C2320">
        <f>IFERROR(COUNTIFS($A$1:A2320,"Câu "&amp;"*")-MID(A2320,5,FIND(".",A2320,1)-5),0)</f>
        <v>0</v>
      </c>
      <c r="D2320" t="str">
        <f t="shared" si="134"/>
        <v/>
      </c>
      <c r="E2320" t="str">
        <f>SUBSTITUTE(IF(LEFT(A2320,3)="Câu",MID(A2320,FIND(".",A2320,1)+2,LEN(A2320)),""),CHAR(34),CHAR(92)&amp;CHAR(34))</f>
        <v/>
      </c>
      <c r="F2320" t="str">
        <f t="shared" si="133"/>
        <v/>
      </c>
      <c r="G2320" t="str">
        <f>SUBSTITUTE(B2321,CHAR(34),CHAR(92)&amp;CHAR(34))</f>
        <v>Xe khách, xe tải, xe con.</v>
      </c>
      <c r="H2320" t="str">
        <f>SUBSTITUTE(B2322,CHAR(34),CHAR(92)&amp;CHAR(34))</f>
        <v/>
      </c>
      <c r="I2320" t="str">
        <f>SUBSTITUTE(IF(LEFT(A2323,3)="Câu","",B2323),CHAR(34),CHAR(92)&amp;CHAR(34))</f>
        <v>Đánh lái sang trái cho xe vượt qua.</v>
      </c>
      <c r="J2320" t="str">
        <f>SUBSTITUTE(IF(OR(LEFT(A2324,3)="Câu",I2320=""),"",IF(B2324=0,"",B2324)),CHAR(34),CHAR(92)&amp;CHAR(34))</f>
        <v xml:space="preserve"> Quan sát phía trước, phía sau, khi đủ điều kiện an toàn, bật tín hiệu bằng đèn hoặc còi rồi cho xe chạy vượt qua.</v>
      </c>
      <c r="K2320" t="str">
        <f>SUBSTITUTE(SUBSTITUTE(SUBSTITUTE(SUBSTITUTE(IFERROR(VLOOKUP("Câu "&amp;D2320&amp;".",dapan!$E:$J,6,0),""),"1","A"),"2","B"),"3","C"),"4","D")</f>
        <v/>
      </c>
      <c r="P2320" t="str">
        <f t="shared" si="135"/>
        <v/>
      </c>
      <c r="Q2320" t="str">
        <f t="shared" si="136"/>
        <v/>
      </c>
    </row>
    <row r="2321" spans="1:17" hidden="1" x14ac:dyDescent="0.25">
      <c r="A2321">
        <v>4</v>
      </c>
      <c r="B2321" t="s">
        <v>1542</v>
      </c>
      <c r="C2321">
        <f>IFERROR(COUNTIFS($A$1:A2321,"Câu "&amp;"*")-MID(A2321,5,FIND(".",A2321,1)-5),0)</f>
        <v>0</v>
      </c>
      <c r="D2321" t="str">
        <f t="shared" si="134"/>
        <v/>
      </c>
      <c r="E2321" t="str">
        <f>SUBSTITUTE(IF(LEFT(A2321,3)="Câu",MID(A2321,FIND(".",A2321,1)+2,LEN(A2321)),""),CHAR(34),CHAR(92)&amp;CHAR(34))</f>
        <v/>
      </c>
      <c r="F2321" t="str">
        <f t="shared" si="133"/>
        <v/>
      </c>
      <c r="G2321" t="str">
        <f>SUBSTITUTE(B2322,CHAR(34),CHAR(92)&amp;CHAR(34))</f>
        <v/>
      </c>
      <c r="H2321" t="str">
        <f>SUBSTITUTE(B2323,CHAR(34),CHAR(92)&amp;CHAR(34))</f>
        <v>Đánh lái sang trái cho xe vượt qua.</v>
      </c>
      <c r="I2321" t="str">
        <f>SUBSTITUTE(IF(LEFT(A2324,3)="Câu","",B2324),CHAR(34),CHAR(92)&amp;CHAR(34))</f>
        <v xml:space="preserve"> Quan sát phía trước, phía sau, khi đủ điều kiện an toàn, bật tín hiệu bằng đèn hoặc còi rồi cho xe chạy vượt qua.</v>
      </c>
      <c r="J2321" t="str">
        <f>SUBSTITUTE(IF(OR(LEFT(A2325,3)="Câu",I2321=""),"",IF(B2325=0,"",B2325)),CHAR(34),CHAR(92)&amp;CHAR(34))</f>
        <v>Cấm vượt.</v>
      </c>
      <c r="K2321" t="str">
        <f>SUBSTITUTE(SUBSTITUTE(SUBSTITUTE(SUBSTITUTE(IFERROR(VLOOKUP("Câu "&amp;D2321&amp;".",dapan!$E:$J,6,0),""),"1","A"),"2","B"),"3","C"),"4","D")</f>
        <v/>
      </c>
      <c r="P2321" t="str">
        <f t="shared" si="135"/>
        <v/>
      </c>
      <c r="Q2321" t="str">
        <f t="shared" si="136"/>
        <v/>
      </c>
    </row>
    <row r="2322" spans="1:17" x14ac:dyDescent="0.25">
      <c r="A2322" t="s">
        <v>1636</v>
      </c>
      <c r="C2322">
        <f>IFERROR(COUNTIFS($A$1:A2322,"Câu "&amp;"*")-MID(A2322,5,FIND(".",A2322,1)-5),0)</f>
        <v>0</v>
      </c>
      <c r="D2322">
        <f t="shared" si="134"/>
        <v>564</v>
      </c>
      <c r="E2322" t="str">
        <f>SUBSTITUTE(IF(LEFT(A2322,3)="Câu",MID(A2322,FIND(".",A2322,1)+2,LEN(A2322)),""),CHAR(34),CHAR(92)&amp;CHAR(34))</f>
        <v>Trong tình huống dưới đây, để tránh xe phía trước bị hỏng đột xuất trên đường, người lái xe phải làm gì?</v>
      </c>
      <c r="F2322" t="str">
        <f t="shared" si="133"/>
        <v>q564.jpg</v>
      </c>
      <c r="G2322" t="str">
        <f>SUBSTITUTE(B2323,CHAR(34),CHAR(92)&amp;CHAR(34))</f>
        <v>Đánh lái sang trái cho xe vượt qua.</v>
      </c>
      <c r="H2322" t="str">
        <f>SUBSTITUTE(B2324,CHAR(34),CHAR(92)&amp;CHAR(34))</f>
        <v xml:space="preserve"> Quan sát phía trước, phía sau, khi đủ điều kiện an toàn, bật tín hiệu bằng đèn hoặc còi rồi cho xe chạy vượt qua.</v>
      </c>
      <c r="I2322" t="str">
        <f>SUBSTITUTE(IF(LEFT(A2325,3)="Câu","",B2325),CHAR(34),CHAR(92)&amp;CHAR(34))</f>
        <v>Cấm vượt.</v>
      </c>
      <c r="J2322" t="str">
        <f>SUBSTITUTE(IF(OR(LEFT(A2326,3)="Câu",I2322=""),"",IF(B2326=0,"",B2326)),CHAR(34),CHAR(92)&amp;CHAR(34))</f>
        <v/>
      </c>
      <c r="K2322" t="str">
        <f ca="1">SUBSTITUTE(SUBSTITUTE(SUBSTITUTE(SUBSTITUTE(IFERROR(VLOOKUP("Câu "&amp;D2322&amp;".",dapan!$E:$J,6,0),""),"1","A"),"2","B"),"3","C"),"4","D")</f>
        <v>B</v>
      </c>
      <c r="P2322">
        <f t="shared" si="135"/>
        <v>564</v>
      </c>
      <c r="Q2322" t="str">
        <f t="shared" ca="1" si="136"/>
        <v>{"num":564,"id":564,"q":"Trong tình huống dưới đây, để tránh xe phía trước bị hỏng đột xuất trên đường, người lái xe phải làm gì?","img":"q564.jpg","opts":{"A":"Đánh lái sang trái cho xe vượt qua.","B":" Quan sát phía trước, phía sau, khi đủ điều kiện an toàn, bật tín hiệu bằng đèn hoặc còi rồi cho xe chạy vượt qua.","C":"Cấm vượt."},"answer":"B"},</v>
      </c>
    </row>
    <row r="2323" spans="1:17" hidden="1" x14ac:dyDescent="0.25">
      <c r="A2323">
        <v>1</v>
      </c>
      <c r="B2323" t="s">
        <v>1637</v>
      </c>
      <c r="C2323">
        <f>IFERROR(COUNTIFS($A$1:A2323,"Câu "&amp;"*")-MID(A2323,5,FIND(".",A2323,1)-5),0)</f>
        <v>0</v>
      </c>
      <c r="D2323" t="str">
        <f t="shared" si="134"/>
        <v/>
      </c>
      <c r="E2323" t="str">
        <f>SUBSTITUTE(IF(LEFT(A2323,3)="Câu",MID(A2323,FIND(".",A2323,1)+2,LEN(A2323)),""),CHAR(34),CHAR(92)&amp;CHAR(34))</f>
        <v/>
      </c>
      <c r="F2323" t="str">
        <f t="shared" si="133"/>
        <v/>
      </c>
      <c r="G2323" t="str">
        <f>SUBSTITUTE(B2324,CHAR(34),CHAR(92)&amp;CHAR(34))</f>
        <v xml:space="preserve"> Quan sát phía trước, phía sau, khi đủ điều kiện an toàn, bật tín hiệu bằng đèn hoặc còi rồi cho xe chạy vượt qua.</v>
      </c>
      <c r="H2323" t="str">
        <f>SUBSTITUTE(B2325,CHAR(34),CHAR(92)&amp;CHAR(34))</f>
        <v>Cấm vượt.</v>
      </c>
      <c r="I2323" t="str">
        <f>SUBSTITUTE(IF(LEFT(A2326,3)="Câu","",B2326),CHAR(34),CHAR(92)&amp;CHAR(34))</f>
        <v/>
      </c>
      <c r="J2323" t="str">
        <f>SUBSTITUTE(IF(OR(LEFT(A2327,3)="Câu",I2323=""),"",IF(B2327=0,"",B2327)),CHAR(34),CHAR(92)&amp;CHAR(34))</f>
        <v/>
      </c>
      <c r="K2323" t="str">
        <f>SUBSTITUTE(SUBSTITUTE(SUBSTITUTE(SUBSTITUTE(IFERROR(VLOOKUP("Câu "&amp;D2323&amp;".",dapan!$E:$J,6,0),""),"1","A"),"2","B"),"3","C"),"4","D")</f>
        <v/>
      </c>
      <c r="P2323" t="str">
        <f t="shared" si="135"/>
        <v/>
      </c>
      <c r="Q2323" t="str">
        <f t="shared" si="136"/>
        <v/>
      </c>
    </row>
    <row r="2324" spans="1:17" hidden="1" x14ac:dyDescent="0.25">
      <c r="A2324">
        <v>2</v>
      </c>
      <c r="B2324" t="s">
        <v>1638</v>
      </c>
      <c r="C2324">
        <f>IFERROR(COUNTIFS($A$1:A2324,"Câu "&amp;"*")-MID(A2324,5,FIND(".",A2324,1)-5),0)</f>
        <v>0</v>
      </c>
      <c r="D2324" t="str">
        <f t="shared" si="134"/>
        <v/>
      </c>
      <c r="E2324" t="str">
        <f>SUBSTITUTE(IF(LEFT(A2324,3)="Câu",MID(A2324,FIND(".",A2324,1)+2,LEN(A2324)),""),CHAR(34),CHAR(92)&amp;CHAR(34))</f>
        <v/>
      </c>
      <c r="F2324" t="str">
        <f t="shared" si="133"/>
        <v/>
      </c>
      <c r="G2324" t="str">
        <f>SUBSTITUTE(B2325,CHAR(34),CHAR(92)&amp;CHAR(34))</f>
        <v>Cấm vượt.</v>
      </c>
      <c r="H2324" t="str">
        <f>SUBSTITUTE(B2326,CHAR(34),CHAR(92)&amp;CHAR(34))</f>
        <v/>
      </c>
      <c r="I2324" t="str">
        <f>SUBSTITUTE(IF(LEFT(A2327,3)="Câu","",B2327),CHAR(34),CHAR(92)&amp;CHAR(34))</f>
        <v>Xe tải, xe mô tô.</v>
      </c>
      <c r="J2324" t="str">
        <f>SUBSTITUTE(IF(OR(LEFT(A2328,3)="Câu",I2324=""),"",IF(B2328=0,"",B2328)),CHAR(34),CHAR(92)&amp;CHAR(34))</f>
        <v xml:space="preserve"> Xe khách, xe mô tô.</v>
      </c>
      <c r="K2324" t="str">
        <f>SUBSTITUTE(SUBSTITUTE(SUBSTITUTE(SUBSTITUTE(IFERROR(VLOOKUP("Câu "&amp;D2324&amp;".",dapan!$E:$J,6,0),""),"1","A"),"2","B"),"3","C"),"4","D")</f>
        <v/>
      </c>
      <c r="P2324" t="str">
        <f t="shared" si="135"/>
        <v/>
      </c>
      <c r="Q2324" t="str">
        <f t="shared" si="136"/>
        <v/>
      </c>
    </row>
    <row r="2325" spans="1:17" hidden="1" x14ac:dyDescent="0.25">
      <c r="A2325">
        <v>3</v>
      </c>
      <c r="B2325" t="s">
        <v>1639</v>
      </c>
      <c r="C2325">
        <f>IFERROR(COUNTIFS($A$1:A2325,"Câu "&amp;"*")-MID(A2325,5,FIND(".",A2325,1)-5),0)</f>
        <v>0</v>
      </c>
      <c r="D2325" t="str">
        <f t="shared" si="134"/>
        <v/>
      </c>
      <c r="E2325" t="str">
        <f>SUBSTITUTE(IF(LEFT(A2325,3)="Câu",MID(A2325,FIND(".",A2325,1)+2,LEN(A2325)),""),CHAR(34),CHAR(92)&amp;CHAR(34))</f>
        <v/>
      </c>
      <c r="F2325" t="str">
        <f t="shared" si="133"/>
        <v/>
      </c>
      <c r="G2325" t="str">
        <f>SUBSTITUTE(B2326,CHAR(34),CHAR(92)&amp;CHAR(34))</f>
        <v/>
      </c>
      <c r="H2325" t="str">
        <f>SUBSTITUTE(B2327,CHAR(34),CHAR(92)&amp;CHAR(34))</f>
        <v>Xe tải, xe mô tô.</v>
      </c>
      <c r="I2325" t="str">
        <f>SUBSTITUTE(IF(LEFT(A2328,3)="Câu","",B2328),CHAR(34),CHAR(92)&amp;CHAR(34))</f>
        <v xml:space="preserve"> Xe khách, xe mô tô.</v>
      </c>
      <c r="J2325" t="str">
        <f>SUBSTITUTE(IF(OR(LEFT(A2329,3)="Câu",I2325=""),"",IF(B2329=0,"",B2329)),CHAR(34),CHAR(92)&amp;CHAR(34))</f>
        <v>Xe tải, xe con.</v>
      </c>
      <c r="K2325" t="str">
        <f>SUBSTITUTE(SUBSTITUTE(SUBSTITUTE(SUBSTITUTE(IFERROR(VLOOKUP("Câu "&amp;D2325&amp;".",dapan!$E:$J,6,0),""),"1","A"),"2","B"),"3","C"),"4","D")</f>
        <v/>
      </c>
      <c r="P2325" t="str">
        <f t="shared" si="135"/>
        <v/>
      </c>
      <c r="Q2325" t="str">
        <f t="shared" si="136"/>
        <v/>
      </c>
    </row>
    <row r="2326" spans="1:17" x14ac:dyDescent="0.25">
      <c r="A2326" t="s">
        <v>1640</v>
      </c>
      <c r="C2326">
        <f>IFERROR(COUNTIFS($A$1:A2326,"Câu "&amp;"*")-MID(A2326,5,FIND(".",A2326,1)-5),0)</f>
        <v>0</v>
      </c>
      <c r="D2326">
        <f t="shared" si="134"/>
        <v>565</v>
      </c>
      <c r="E2326" t="str">
        <f>SUBSTITUTE(IF(LEFT(A2326,3)="Câu",MID(A2326,FIND(".",A2326,1)+2,LEN(A2326)),""),CHAR(34),CHAR(92)&amp;CHAR(34))</f>
        <v>Các xe đi theo hướng mũi tên, xe nào chấp hành đúng quy tắc giao thông?</v>
      </c>
      <c r="F2326" t="str">
        <f t="shared" ref="F2326:F2389" si="137">IF(D2326="","","q"&amp;TEXT(D2326,"000")&amp;".jpg")</f>
        <v>q565.jpg</v>
      </c>
      <c r="G2326" t="str">
        <f>SUBSTITUTE(B2327,CHAR(34),CHAR(92)&amp;CHAR(34))</f>
        <v>Xe tải, xe mô tô.</v>
      </c>
      <c r="H2326" t="str">
        <f>SUBSTITUTE(B2328,CHAR(34),CHAR(92)&amp;CHAR(34))</f>
        <v xml:space="preserve"> Xe khách, xe mô tô.</v>
      </c>
      <c r="I2326" t="str">
        <f>SUBSTITUTE(IF(LEFT(A2329,3)="Câu","",B2329),CHAR(34),CHAR(92)&amp;CHAR(34))</f>
        <v>Xe tải, xe con.</v>
      </c>
      <c r="J2326" t="str">
        <f>SUBSTITUTE(IF(OR(LEFT(A2330,3)="Câu",I2326=""),"",IF(B2330=0,"",B2330)),CHAR(34),CHAR(92)&amp;CHAR(34))</f>
        <v>Xe mô tô, xe con.</v>
      </c>
      <c r="K2326" t="str">
        <f ca="1">SUBSTITUTE(SUBSTITUTE(SUBSTITUTE(SUBSTITUTE(IFERROR(VLOOKUP("Câu "&amp;D2326&amp;".",dapan!$E:$J,6,0),""),"1","A"),"2","B"),"3","C"),"4","D")</f>
        <v>B</v>
      </c>
      <c r="P2326">
        <f t="shared" si="135"/>
        <v>565</v>
      </c>
      <c r="Q2326" t="str">
        <f t="shared" ca="1" si="136"/>
        <v>{"num":565,"id":565,"q":"Các xe đi theo hướng mũi tên, xe nào chấp hành đúng quy tắc giao thông?","img":"q565.jpg","opts":{"A":"Xe tải, xe mô tô.","B":" Xe khách, xe mô tô.","C":"Xe tải, xe con.","D":"Xe mô tô, xe con."},"answer":"B"},</v>
      </c>
    </row>
    <row r="2327" spans="1:17" hidden="1" x14ac:dyDescent="0.25">
      <c r="A2327">
        <v>1</v>
      </c>
      <c r="B2327" t="s">
        <v>1397</v>
      </c>
      <c r="C2327">
        <f>IFERROR(COUNTIFS($A$1:A2327,"Câu "&amp;"*")-MID(A2327,5,FIND(".",A2327,1)-5),0)</f>
        <v>0</v>
      </c>
      <c r="D2327" t="str">
        <f t="shared" si="134"/>
        <v/>
      </c>
      <c r="E2327" t="str">
        <f>SUBSTITUTE(IF(LEFT(A2327,3)="Câu",MID(A2327,FIND(".",A2327,1)+2,LEN(A2327)),""),CHAR(34),CHAR(92)&amp;CHAR(34))</f>
        <v/>
      </c>
      <c r="F2327" t="str">
        <f t="shared" si="137"/>
        <v/>
      </c>
      <c r="G2327" t="str">
        <f>SUBSTITUTE(B2328,CHAR(34),CHAR(92)&amp;CHAR(34))</f>
        <v xml:space="preserve"> Xe khách, xe mô tô.</v>
      </c>
      <c r="H2327" t="str">
        <f>SUBSTITUTE(B2329,CHAR(34),CHAR(92)&amp;CHAR(34))</f>
        <v>Xe tải, xe con.</v>
      </c>
      <c r="I2327" t="str">
        <f>SUBSTITUTE(IF(LEFT(A2330,3)="Câu","",B2330),CHAR(34),CHAR(92)&amp;CHAR(34))</f>
        <v>Xe mô tô, xe con.</v>
      </c>
      <c r="J2327" t="str">
        <f>SUBSTITUTE(IF(OR(LEFT(A2331,3)="Câu",I2327=""),"",IF(B2331=0,"",B2331)),CHAR(34),CHAR(92)&amp;CHAR(34))</f>
        <v/>
      </c>
      <c r="K2327" t="str">
        <f>SUBSTITUTE(SUBSTITUTE(SUBSTITUTE(SUBSTITUTE(IFERROR(VLOOKUP("Câu "&amp;D2327&amp;".",dapan!$E:$J,6,0),""),"1","A"),"2","B"),"3","C"),"4","D")</f>
        <v/>
      </c>
      <c r="P2327" t="str">
        <f t="shared" si="135"/>
        <v/>
      </c>
      <c r="Q2327" t="str">
        <f t="shared" si="136"/>
        <v/>
      </c>
    </row>
    <row r="2328" spans="1:17" hidden="1" x14ac:dyDescent="0.25">
      <c r="A2328">
        <v>2</v>
      </c>
      <c r="B2328" t="s">
        <v>1641</v>
      </c>
      <c r="C2328">
        <f>IFERROR(COUNTIFS($A$1:A2328,"Câu "&amp;"*")-MID(A2328,5,FIND(".",A2328,1)-5),0)</f>
        <v>0</v>
      </c>
      <c r="D2328" t="str">
        <f t="shared" si="134"/>
        <v/>
      </c>
      <c r="E2328" t="str">
        <f>SUBSTITUTE(IF(LEFT(A2328,3)="Câu",MID(A2328,FIND(".",A2328,1)+2,LEN(A2328)),""),CHAR(34),CHAR(92)&amp;CHAR(34))</f>
        <v/>
      </c>
      <c r="F2328" t="str">
        <f t="shared" si="137"/>
        <v/>
      </c>
      <c r="G2328" t="str">
        <f>SUBSTITUTE(B2329,CHAR(34),CHAR(92)&amp;CHAR(34))</f>
        <v>Xe tải, xe con.</v>
      </c>
      <c r="H2328" t="str">
        <f>SUBSTITUTE(B2330,CHAR(34),CHAR(92)&amp;CHAR(34))</f>
        <v>Xe mô tô, xe con.</v>
      </c>
      <c r="I2328" t="str">
        <f>SUBSTITUTE(IF(LEFT(A2331,3)="Câu","",B2331),CHAR(34),CHAR(92)&amp;CHAR(34))</f>
        <v/>
      </c>
      <c r="J2328" t="str">
        <f>SUBSTITUTE(IF(OR(LEFT(A2332,3)="Câu",I2328=""),"",IF(B2332=0,"",B2332)),CHAR(34),CHAR(92)&amp;CHAR(34))</f>
        <v/>
      </c>
      <c r="K2328" t="str">
        <f>SUBSTITUTE(SUBSTITUTE(SUBSTITUTE(SUBSTITUTE(IFERROR(VLOOKUP("Câu "&amp;D2328&amp;".",dapan!$E:$J,6,0),""),"1","A"),"2","B"),"3","C"),"4","D")</f>
        <v/>
      </c>
      <c r="P2328" t="str">
        <f t="shared" si="135"/>
        <v/>
      </c>
      <c r="Q2328" t="str">
        <f t="shared" si="136"/>
        <v/>
      </c>
    </row>
    <row r="2329" spans="1:17" hidden="1" x14ac:dyDescent="0.25">
      <c r="A2329">
        <v>3</v>
      </c>
      <c r="B2329" t="s">
        <v>1628</v>
      </c>
      <c r="C2329">
        <f>IFERROR(COUNTIFS($A$1:A2329,"Câu "&amp;"*")-MID(A2329,5,FIND(".",A2329,1)-5),0)</f>
        <v>0</v>
      </c>
      <c r="D2329" t="str">
        <f t="shared" ref="D2329:D2392" si="138">IF(LEFT(A2329,3)="Câu",VALUE(MID(A2329,5,FIND(".",A2329,1)-5)),"")</f>
        <v/>
      </c>
      <c r="E2329" t="str">
        <f>SUBSTITUTE(IF(LEFT(A2329,3)="Câu",MID(A2329,FIND(".",A2329,1)+2,LEN(A2329)),""),CHAR(34),CHAR(92)&amp;CHAR(34))</f>
        <v/>
      </c>
      <c r="F2329" t="str">
        <f t="shared" si="137"/>
        <v/>
      </c>
      <c r="G2329" t="str">
        <f>SUBSTITUTE(B2330,CHAR(34),CHAR(92)&amp;CHAR(34))</f>
        <v>Xe mô tô, xe con.</v>
      </c>
      <c r="H2329" t="str">
        <f>SUBSTITUTE(B2331,CHAR(34),CHAR(92)&amp;CHAR(34))</f>
        <v/>
      </c>
      <c r="I2329" t="str">
        <f>SUBSTITUTE(IF(LEFT(A2332,3)="Câu","",B2332),CHAR(34),CHAR(92)&amp;CHAR(34))</f>
        <v>Xe con (A), xe con (B), xe tải (D).</v>
      </c>
      <c r="J2329" t="str">
        <f>SUBSTITUTE(IF(OR(LEFT(A2333,3)="Câu",I2329=""),"",IF(B2333=0,"",B2333)),CHAR(34),CHAR(92)&amp;CHAR(34))</f>
        <v>Xe tải (D), xe con (E), xe buýt (G).</v>
      </c>
      <c r="K2329" t="str">
        <f>SUBSTITUTE(SUBSTITUTE(SUBSTITUTE(SUBSTITUTE(IFERROR(VLOOKUP("Câu "&amp;D2329&amp;".",dapan!$E:$J,6,0),""),"1","A"),"2","B"),"3","C"),"4","D")</f>
        <v/>
      </c>
      <c r="P2329" t="str">
        <f t="shared" si="135"/>
        <v/>
      </c>
      <c r="Q2329" t="str">
        <f t="shared" si="136"/>
        <v/>
      </c>
    </row>
    <row r="2330" spans="1:17" hidden="1" x14ac:dyDescent="0.25">
      <c r="A2330">
        <v>4</v>
      </c>
      <c r="B2330" t="s">
        <v>1533</v>
      </c>
      <c r="C2330">
        <f>IFERROR(COUNTIFS($A$1:A2330,"Câu "&amp;"*")-MID(A2330,5,FIND(".",A2330,1)-5),0)</f>
        <v>0</v>
      </c>
      <c r="D2330" t="str">
        <f t="shared" si="138"/>
        <v/>
      </c>
      <c r="E2330" t="str">
        <f>SUBSTITUTE(IF(LEFT(A2330,3)="Câu",MID(A2330,FIND(".",A2330,1)+2,LEN(A2330)),""),CHAR(34),CHAR(92)&amp;CHAR(34))</f>
        <v/>
      </c>
      <c r="F2330" t="str">
        <f t="shared" si="137"/>
        <v/>
      </c>
      <c r="G2330" t="str">
        <f>SUBSTITUTE(B2331,CHAR(34),CHAR(92)&amp;CHAR(34))</f>
        <v/>
      </c>
      <c r="H2330" t="str">
        <f>SUBSTITUTE(B2332,CHAR(34),CHAR(92)&amp;CHAR(34))</f>
        <v>Xe con (A), xe con (B), xe tải (D).</v>
      </c>
      <c r="I2330" t="str">
        <f>SUBSTITUTE(IF(LEFT(A2333,3)="Câu","",B2333),CHAR(34),CHAR(92)&amp;CHAR(34))</f>
        <v>Xe tải (D), xe con (E), xe buýt (G).</v>
      </c>
      <c r="J2330" t="str">
        <f>SUBSTITUTE(IF(OR(LEFT(A2334,3)="Câu",I2330=""),"",IF(B2334=0,"",B2334)),CHAR(34),CHAR(92)&amp;CHAR(34))</f>
        <v xml:space="preserve"> Xe tải ( D), xe con (B).</v>
      </c>
      <c r="K2330" t="str">
        <f>SUBSTITUTE(SUBSTITUTE(SUBSTITUTE(SUBSTITUTE(IFERROR(VLOOKUP("Câu "&amp;D2330&amp;".",dapan!$E:$J,6,0),""),"1","A"),"2","B"),"3","C"),"4","D")</f>
        <v/>
      </c>
      <c r="P2330" t="str">
        <f t="shared" si="135"/>
        <v/>
      </c>
      <c r="Q2330" t="str">
        <f t="shared" si="136"/>
        <v/>
      </c>
    </row>
    <row r="2331" spans="1:17" x14ac:dyDescent="0.25">
      <c r="A2331" t="s">
        <v>1642</v>
      </c>
      <c r="C2331">
        <f>IFERROR(COUNTIFS($A$1:A2331,"Câu "&amp;"*")-MID(A2331,5,FIND(".",A2331,1)-5),0)</f>
        <v>0</v>
      </c>
      <c r="D2331">
        <f t="shared" si="138"/>
        <v>566</v>
      </c>
      <c r="E2331" t="str">
        <f>SUBSTITUTE(IF(LEFT(A2331,3)="Câu",MID(A2331,FIND(".",A2331,1)+2,LEN(A2331)),""),CHAR(34),CHAR(92)&amp;CHAR(34))</f>
        <v>Trong hình dưới, những xe nào vi phạm quy tắc giao thông?</v>
      </c>
      <c r="F2331" t="str">
        <f t="shared" si="137"/>
        <v>q566.jpg</v>
      </c>
      <c r="G2331" t="str">
        <f>SUBSTITUTE(B2332,CHAR(34),CHAR(92)&amp;CHAR(34))</f>
        <v>Xe con (A), xe con (B), xe tải (D).</v>
      </c>
      <c r="H2331" t="str">
        <f>SUBSTITUTE(B2333,CHAR(34),CHAR(92)&amp;CHAR(34))</f>
        <v>Xe tải (D), xe con (E), xe buýt (G).</v>
      </c>
      <c r="I2331" t="str">
        <f>SUBSTITUTE(IF(LEFT(A2334,3)="Câu","",B2334),CHAR(34),CHAR(92)&amp;CHAR(34))</f>
        <v xml:space="preserve"> Xe tải ( D), xe con (B).</v>
      </c>
      <c r="J2331" t="str">
        <f>SUBSTITUTE(IF(OR(LEFT(A2335,3)="Câu",I2331=""),"",IF(B2335=0,"",B2335)),CHAR(34),CHAR(92)&amp;CHAR(34))</f>
        <v>Xe con (B), xe con (C).</v>
      </c>
      <c r="K2331" t="str">
        <f ca="1">SUBSTITUTE(SUBSTITUTE(SUBSTITUTE(SUBSTITUTE(IFERROR(VLOOKUP("Câu "&amp;D2331&amp;".",dapan!$E:$J,6,0),""),"1","A"),"2","B"),"3","C"),"4","D")</f>
        <v>C</v>
      </c>
      <c r="P2331">
        <f t="shared" si="135"/>
        <v>566</v>
      </c>
      <c r="Q2331" t="str">
        <f t="shared" ca="1" si="136"/>
        <v>{"num":566,"id":566,"q":"Trong hình dưới, những xe nào vi phạm quy tắc giao thông?","img":"q566.jpg","opts":{"A":"Xe con (A), xe con (B), xe tải (D).","B":"Xe tải (D), xe con (E), xe buýt (G).","C":" Xe tải ( D), xe con (B).","D":"Xe con (B), xe con (C)."},"answer":"C"},</v>
      </c>
    </row>
    <row r="2332" spans="1:17" hidden="1" x14ac:dyDescent="0.25">
      <c r="A2332">
        <v>1</v>
      </c>
      <c r="B2332" t="s">
        <v>1611</v>
      </c>
      <c r="C2332">
        <f>IFERROR(COUNTIFS($A$1:A2332,"Câu "&amp;"*")-MID(A2332,5,FIND(".",A2332,1)-5),0)</f>
        <v>0</v>
      </c>
      <c r="D2332" t="str">
        <f t="shared" si="138"/>
        <v/>
      </c>
      <c r="E2332" t="str">
        <f>SUBSTITUTE(IF(LEFT(A2332,3)="Câu",MID(A2332,FIND(".",A2332,1)+2,LEN(A2332)),""),CHAR(34),CHAR(92)&amp;CHAR(34))</f>
        <v/>
      </c>
      <c r="F2332" t="str">
        <f t="shared" si="137"/>
        <v/>
      </c>
      <c r="G2332" t="str">
        <f>SUBSTITUTE(B2333,CHAR(34),CHAR(92)&amp;CHAR(34))</f>
        <v>Xe tải (D), xe con (E), xe buýt (G).</v>
      </c>
      <c r="H2332" t="str">
        <f>SUBSTITUTE(B2334,CHAR(34),CHAR(92)&amp;CHAR(34))</f>
        <v xml:space="preserve"> Xe tải ( D), xe con (B).</v>
      </c>
      <c r="I2332" t="str">
        <f>SUBSTITUTE(IF(LEFT(A2335,3)="Câu","",B2335),CHAR(34),CHAR(92)&amp;CHAR(34))</f>
        <v>Xe con (B), xe con (C).</v>
      </c>
      <c r="J2332" t="str">
        <f>SUBSTITUTE(IF(OR(LEFT(A2336,3)="Câu",I2332=""),"",IF(B2336=0,"",B2336)),CHAR(34),CHAR(92)&amp;CHAR(34))</f>
        <v/>
      </c>
      <c r="K2332" t="str">
        <f>SUBSTITUTE(SUBSTITUTE(SUBSTITUTE(SUBSTITUTE(IFERROR(VLOOKUP("Câu "&amp;D2332&amp;".",dapan!$E:$J,6,0),""),"1","A"),"2","B"),"3","C"),"4","D")</f>
        <v/>
      </c>
      <c r="P2332" t="str">
        <f t="shared" si="135"/>
        <v/>
      </c>
      <c r="Q2332" t="str">
        <f t="shared" si="136"/>
        <v/>
      </c>
    </row>
    <row r="2333" spans="1:17" hidden="1" x14ac:dyDescent="0.25">
      <c r="A2333">
        <v>2</v>
      </c>
      <c r="B2333" t="s">
        <v>1643</v>
      </c>
      <c r="C2333">
        <f>IFERROR(COUNTIFS($A$1:A2333,"Câu "&amp;"*")-MID(A2333,5,FIND(".",A2333,1)-5),0)</f>
        <v>0</v>
      </c>
      <c r="D2333" t="str">
        <f t="shared" si="138"/>
        <v/>
      </c>
      <c r="E2333" t="str">
        <f>SUBSTITUTE(IF(LEFT(A2333,3)="Câu",MID(A2333,FIND(".",A2333,1)+2,LEN(A2333)),""),CHAR(34),CHAR(92)&amp;CHAR(34))</f>
        <v/>
      </c>
      <c r="F2333" t="str">
        <f t="shared" si="137"/>
        <v/>
      </c>
      <c r="G2333" t="str">
        <f>SUBSTITUTE(B2334,CHAR(34),CHAR(92)&amp;CHAR(34))</f>
        <v xml:space="preserve"> Xe tải ( D), xe con (B).</v>
      </c>
      <c r="H2333" t="str">
        <f>SUBSTITUTE(B2335,CHAR(34),CHAR(92)&amp;CHAR(34))</f>
        <v>Xe con (B), xe con (C).</v>
      </c>
      <c r="I2333" t="str">
        <f>SUBSTITUTE(IF(LEFT(A2336,3)="Câu","",B2336),CHAR(34),CHAR(92)&amp;CHAR(34))</f>
        <v/>
      </c>
      <c r="J2333" t="str">
        <f>SUBSTITUTE(IF(OR(LEFT(A2337,3)="Câu",I2333=""),"",IF(B2337=0,"",B2337)),CHAR(34),CHAR(92)&amp;CHAR(34))</f>
        <v/>
      </c>
      <c r="K2333" t="str">
        <f>SUBSTITUTE(SUBSTITUTE(SUBSTITUTE(SUBSTITUTE(IFERROR(VLOOKUP("Câu "&amp;D2333&amp;".",dapan!$E:$J,6,0),""),"1","A"),"2","B"),"3","C"),"4","D")</f>
        <v/>
      </c>
      <c r="P2333" t="str">
        <f t="shared" si="135"/>
        <v/>
      </c>
      <c r="Q2333" t="str">
        <f t="shared" si="136"/>
        <v/>
      </c>
    </row>
    <row r="2334" spans="1:17" hidden="1" x14ac:dyDescent="0.25">
      <c r="A2334">
        <v>3</v>
      </c>
      <c r="B2334" t="s">
        <v>1644</v>
      </c>
      <c r="C2334">
        <f>IFERROR(COUNTIFS($A$1:A2334,"Câu "&amp;"*")-MID(A2334,5,FIND(".",A2334,1)-5),0)</f>
        <v>0</v>
      </c>
      <c r="D2334" t="str">
        <f t="shared" si="138"/>
        <v/>
      </c>
      <c r="E2334" t="str">
        <f>SUBSTITUTE(IF(LEFT(A2334,3)="Câu",MID(A2334,FIND(".",A2334,1)+2,LEN(A2334)),""),CHAR(34),CHAR(92)&amp;CHAR(34))</f>
        <v/>
      </c>
      <c r="F2334" t="str">
        <f t="shared" si="137"/>
        <v/>
      </c>
      <c r="G2334" t="str">
        <f>SUBSTITUTE(B2335,CHAR(34),CHAR(92)&amp;CHAR(34))</f>
        <v>Xe con (B), xe con (C).</v>
      </c>
      <c r="H2334" t="str">
        <f>SUBSTITUTE(B2336,CHAR(34),CHAR(92)&amp;CHAR(34))</f>
        <v/>
      </c>
      <c r="I2334" t="str">
        <f>SUBSTITUTE(IF(LEFT(A2337,3)="Câu","",B2337),CHAR(34),CHAR(92)&amp;CHAR(34))</f>
        <v>Xe của bạn, xe mô tô, xe con.</v>
      </c>
      <c r="J2334" t="str">
        <f>SUBSTITUTE(IF(OR(LEFT(A2338,3)="Câu",I2334=""),"",IF(B2338=0,"",B2338)),CHAR(34),CHAR(92)&amp;CHAR(34))</f>
        <v>Xe con, xe của bạn, xe mô tô.</v>
      </c>
      <c r="K2334" t="str">
        <f>SUBSTITUTE(SUBSTITUTE(SUBSTITUTE(SUBSTITUTE(IFERROR(VLOOKUP("Câu "&amp;D2334&amp;".",dapan!$E:$J,6,0),""),"1","A"),"2","B"),"3","C"),"4","D")</f>
        <v/>
      </c>
      <c r="P2334" t="str">
        <f t="shared" si="135"/>
        <v/>
      </c>
      <c r="Q2334" t="str">
        <f t="shared" si="136"/>
        <v/>
      </c>
    </row>
    <row r="2335" spans="1:17" hidden="1" x14ac:dyDescent="0.25">
      <c r="A2335">
        <v>4</v>
      </c>
      <c r="B2335" t="s">
        <v>1645</v>
      </c>
      <c r="C2335">
        <f>IFERROR(COUNTIFS($A$1:A2335,"Câu "&amp;"*")-MID(A2335,5,FIND(".",A2335,1)-5),0)</f>
        <v>0</v>
      </c>
      <c r="D2335" t="str">
        <f t="shared" si="138"/>
        <v/>
      </c>
      <c r="E2335" t="str">
        <f>SUBSTITUTE(IF(LEFT(A2335,3)="Câu",MID(A2335,FIND(".",A2335,1)+2,LEN(A2335)),""),CHAR(34),CHAR(92)&amp;CHAR(34))</f>
        <v/>
      </c>
      <c r="F2335" t="str">
        <f t="shared" si="137"/>
        <v/>
      </c>
      <c r="G2335" t="str">
        <f>SUBSTITUTE(B2336,CHAR(34),CHAR(92)&amp;CHAR(34))</f>
        <v/>
      </c>
      <c r="H2335" t="str">
        <f>SUBSTITUTE(B2337,CHAR(34),CHAR(92)&amp;CHAR(34))</f>
        <v>Xe của bạn, xe mô tô, xe con.</v>
      </c>
      <c r="I2335" t="str">
        <f>SUBSTITUTE(IF(LEFT(A2338,3)="Câu","",B2338),CHAR(34),CHAR(92)&amp;CHAR(34))</f>
        <v>Xe con, xe của bạn, xe mô tô.</v>
      </c>
      <c r="J2335" t="str">
        <f>SUBSTITUTE(IF(OR(LEFT(A2339,3)="Câu",I2335=""),"",IF(B2339=0,"",B2339)),CHAR(34),CHAR(92)&amp;CHAR(34))</f>
        <v xml:space="preserve"> Xe mô tô, xe con, xe của bạn.</v>
      </c>
      <c r="K2335" t="str">
        <f>SUBSTITUTE(SUBSTITUTE(SUBSTITUTE(SUBSTITUTE(IFERROR(VLOOKUP("Câu "&amp;D2335&amp;".",dapan!$E:$J,6,0),""),"1","A"),"2","B"),"3","C"),"4","D")</f>
        <v/>
      </c>
      <c r="P2335" t="str">
        <f t="shared" si="135"/>
        <v/>
      </c>
      <c r="Q2335" t="str">
        <f t="shared" si="136"/>
        <v/>
      </c>
    </row>
    <row r="2336" spans="1:17" x14ac:dyDescent="0.25">
      <c r="A2336" t="s">
        <v>1646</v>
      </c>
      <c r="C2336">
        <f>IFERROR(COUNTIFS($A$1:A2336,"Câu "&amp;"*")-MID(A2336,5,FIND(".",A2336,1)-5),0)</f>
        <v>0</v>
      </c>
      <c r="D2336">
        <f t="shared" si="138"/>
        <v>567</v>
      </c>
      <c r="E2336" t="str">
        <f>SUBSTITUTE(IF(LEFT(A2336,3)="Câu",MID(A2336,FIND(".",A2336,1)+2,LEN(A2336)),""),CHAR(34),CHAR(92)&amp;CHAR(34))</f>
        <v>Các xe đi theo thứ tự nào là đúng quy tắc giao thông đường bộ?</v>
      </c>
      <c r="F2336" t="str">
        <f t="shared" si="137"/>
        <v>q567.jpg</v>
      </c>
      <c r="G2336" t="str">
        <f>SUBSTITUTE(B2337,CHAR(34),CHAR(92)&amp;CHAR(34))</f>
        <v>Xe của bạn, xe mô tô, xe con.</v>
      </c>
      <c r="H2336" t="str">
        <f>SUBSTITUTE(B2338,CHAR(34),CHAR(92)&amp;CHAR(34))</f>
        <v>Xe con, xe của bạn, xe mô tô.</v>
      </c>
      <c r="I2336" t="str">
        <f>SUBSTITUTE(IF(LEFT(A2339,3)="Câu","",B2339),CHAR(34),CHAR(92)&amp;CHAR(34))</f>
        <v xml:space="preserve"> Xe mô tô, xe con, xe của bạn.</v>
      </c>
      <c r="J2336" t="str">
        <f>SUBSTITUTE(IF(OR(LEFT(A2340,3)="Câu",I2336=""),"",IF(B2340=0,"",B2340)),CHAR(34),CHAR(92)&amp;CHAR(34))</f>
        <v/>
      </c>
      <c r="K2336" t="str">
        <f ca="1">SUBSTITUTE(SUBSTITUTE(SUBSTITUTE(SUBSTITUTE(IFERROR(VLOOKUP("Câu "&amp;D2336&amp;".",dapan!$E:$J,6,0),""),"1","A"),"2","B"),"3","C"),"4","D")</f>
        <v>C</v>
      </c>
      <c r="P2336">
        <f t="shared" si="135"/>
        <v>567</v>
      </c>
      <c r="Q2336" t="str">
        <f t="shared" ca="1" si="136"/>
        <v>{"num":567,"id":567,"q":"Các xe đi theo thứ tự nào là đúng quy tắc giao thông đường bộ?","img":"q567.jpg","opts":{"A":"Xe của bạn, xe mô tô, xe con.","B":"Xe con, xe của bạn, xe mô tô.","C":" Xe mô tô, xe con, xe của bạn."},"answer":"C"},</v>
      </c>
    </row>
    <row r="2337" spans="1:17" hidden="1" x14ac:dyDescent="0.25">
      <c r="A2337">
        <v>1</v>
      </c>
      <c r="B2337" t="s">
        <v>1647</v>
      </c>
      <c r="C2337">
        <f>IFERROR(COUNTIFS($A$1:A2337,"Câu "&amp;"*")-MID(A2337,5,FIND(".",A2337,1)-5),0)</f>
        <v>0</v>
      </c>
      <c r="D2337" t="str">
        <f t="shared" si="138"/>
        <v/>
      </c>
      <c r="E2337" t="str">
        <f>SUBSTITUTE(IF(LEFT(A2337,3)="Câu",MID(A2337,FIND(".",A2337,1)+2,LEN(A2337)),""),CHAR(34),CHAR(92)&amp;CHAR(34))</f>
        <v/>
      </c>
      <c r="F2337" t="str">
        <f t="shared" si="137"/>
        <v/>
      </c>
      <c r="G2337" t="str">
        <f>SUBSTITUTE(B2338,CHAR(34),CHAR(92)&amp;CHAR(34))</f>
        <v>Xe con, xe của bạn, xe mô tô.</v>
      </c>
      <c r="H2337" t="str">
        <f>SUBSTITUTE(B2339,CHAR(34),CHAR(92)&amp;CHAR(34))</f>
        <v xml:space="preserve"> Xe mô tô, xe con, xe của bạn.</v>
      </c>
      <c r="I2337" t="str">
        <f>SUBSTITUTE(IF(LEFT(A2340,3)="Câu","",B2340),CHAR(34),CHAR(92)&amp;CHAR(34))</f>
        <v/>
      </c>
      <c r="J2337" t="str">
        <f>SUBSTITUTE(IF(OR(LEFT(A2341,3)="Câu",I2337=""),"",IF(B2341=0,"",B2341)),CHAR(34),CHAR(92)&amp;CHAR(34))</f>
        <v/>
      </c>
      <c r="K2337" t="str">
        <f>SUBSTITUTE(SUBSTITUTE(SUBSTITUTE(SUBSTITUTE(IFERROR(VLOOKUP("Câu "&amp;D2337&amp;".",dapan!$E:$J,6,0),""),"1","A"),"2","B"),"3","C"),"4","D")</f>
        <v/>
      </c>
      <c r="P2337" t="str">
        <f t="shared" si="135"/>
        <v/>
      </c>
      <c r="Q2337" t="str">
        <f t="shared" si="136"/>
        <v/>
      </c>
    </row>
    <row r="2338" spans="1:17" hidden="1" x14ac:dyDescent="0.25">
      <c r="A2338">
        <v>2</v>
      </c>
      <c r="B2338" t="s">
        <v>1648</v>
      </c>
      <c r="C2338">
        <f>IFERROR(COUNTIFS($A$1:A2338,"Câu "&amp;"*")-MID(A2338,5,FIND(".",A2338,1)-5),0)</f>
        <v>0</v>
      </c>
      <c r="D2338" t="str">
        <f t="shared" si="138"/>
        <v/>
      </c>
      <c r="E2338" t="str">
        <f>SUBSTITUTE(IF(LEFT(A2338,3)="Câu",MID(A2338,FIND(".",A2338,1)+2,LEN(A2338)),""),CHAR(34),CHAR(92)&amp;CHAR(34))</f>
        <v/>
      </c>
      <c r="F2338" t="str">
        <f t="shared" si="137"/>
        <v/>
      </c>
      <c r="G2338" t="str">
        <f>SUBSTITUTE(B2339,CHAR(34),CHAR(92)&amp;CHAR(34))</f>
        <v xml:space="preserve"> Xe mô tô, xe con, xe của bạn.</v>
      </c>
      <c r="H2338" t="str">
        <f>SUBSTITUTE(B2340,CHAR(34),CHAR(92)&amp;CHAR(34))</f>
        <v/>
      </c>
      <c r="I2338" t="str">
        <f>SUBSTITUTE(IF(LEFT(A2341,3)="Câu","",B2341),CHAR(34),CHAR(92)&amp;CHAR(34))</f>
        <v>Xe của bạn, xe mô tô, xe con.</v>
      </c>
      <c r="J2338" t="str">
        <f>SUBSTITUTE(IF(OR(LEFT(A2342,3)="Câu",I2338=""),"",IF(B2342=0,"",B2342)),CHAR(34),CHAR(92)&amp;CHAR(34))</f>
        <v xml:space="preserve"> Xe con, xe của bạn, xe mô tô.</v>
      </c>
      <c r="K2338" t="str">
        <f>SUBSTITUTE(SUBSTITUTE(SUBSTITUTE(SUBSTITUTE(IFERROR(VLOOKUP("Câu "&amp;D2338&amp;".",dapan!$E:$J,6,0),""),"1","A"),"2","B"),"3","C"),"4","D")</f>
        <v/>
      </c>
      <c r="P2338" t="str">
        <f t="shared" si="135"/>
        <v/>
      </c>
      <c r="Q2338" t="str">
        <f t="shared" si="136"/>
        <v/>
      </c>
    </row>
    <row r="2339" spans="1:17" hidden="1" x14ac:dyDescent="0.25">
      <c r="A2339">
        <v>3</v>
      </c>
      <c r="B2339" t="s">
        <v>1649</v>
      </c>
      <c r="C2339">
        <f>IFERROR(COUNTIFS($A$1:A2339,"Câu "&amp;"*")-MID(A2339,5,FIND(".",A2339,1)-5),0)</f>
        <v>0</v>
      </c>
      <c r="D2339" t="str">
        <f t="shared" si="138"/>
        <v/>
      </c>
      <c r="E2339" t="str">
        <f>SUBSTITUTE(IF(LEFT(A2339,3)="Câu",MID(A2339,FIND(".",A2339,1)+2,LEN(A2339)),""),CHAR(34),CHAR(92)&amp;CHAR(34))</f>
        <v/>
      </c>
      <c r="F2339" t="str">
        <f t="shared" si="137"/>
        <v/>
      </c>
      <c r="G2339" t="str">
        <f>SUBSTITUTE(B2340,CHAR(34),CHAR(92)&amp;CHAR(34))</f>
        <v/>
      </c>
      <c r="H2339" t="str">
        <f>SUBSTITUTE(B2341,CHAR(34),CHAR(92)&amp;CHAR(34))</f>
        <v>Xe của bạn, xe mô tô, xe con.</v>
      </c>
      <c r="I2339" t="str">
        <f>SUBSTITUTE(IF(LEFT(A2342,3)="Câu","",B2342),CHAR(34),CHAR(92)&amp;CHAR(34))</f>
        <v xml:space="preserve"> Xe con, xe của bạn, xe mô tô.</v>
      </c>
      <c r="J2339" t="str">
        <f>SUBSTITUTE(IF(OR(LEFT(A2343,3)="Câu",I2339=""),"",IF(B2343=0,"",B2343)),CHAR(34),CHAR(92)&amp;CHAR(34))</f>
        <v>Xe mô tô, xe con, xe của bạn.</v>
      </c>
      <c r="K2339" t="str">
        <f>SUBSTITUTE(SUBSTITUTE(SUBSTITUTE(SUBSTITUTE(IFERROR(VLOOKUP("Câu "&amp;D2339&amp;".",dapan!$E:$J,6,0),""),"1","A"),"2","B"),"3","C"),"4","D")</f>
        <v/>
      </c>
      <c r="P2339" t="str">
        <f t="shared" si="135"/>
        <v/>
      </c>
      <c r="Q2339" t="str">
        <f t="shared" si="136"/>
        <v/>
      </c>
    </row>
    <row r="2340" spans="1:17" x14ac:dyDescent="0.25">
      <c r="A2340" t="s">
        <v>1650</v>
      </c>
      <c r="C2340">
        <f>IFERROR(COUNTIFS($A$1:A2340,"Câu "&amp;"*")-MID(A2340,5,FIND(".",A2340,1)-5),0)</f>
        <v>0</v>
      </c>
      <c r="D2340">
        <f t="shared" si="138"/>
        <v>568</v>
      </c>
      <c r="E2340" t="str">
        <f>SUBSTITUTE(IF(LEFT(A2340,3)="Câu",MID(A2340,FIND(".",A2340,1)+2,LEN(A2340)),""),CHAR(34),CHAR(92)&amp;CHAR(34))</f>
        <v>Các xe đi theo thứ tự nào là đúng quy tắc giao thông đường bộ?</v>
      </c>
      <c r="F2340" t="str">
        <f t="shared" si="137"/>
        <v>q568.jpg</v>
      </c>
      <c r="G2340" t="str">
        <f>SUBSTITUTE(B2341,CHAR(34),CHAR(92)&amp;CHAR(34))</f>
        <v>Xe của bạn, xe mô tô, xe con.</v>
      </c>
      <c r="H2340" t="str">
        <f>SUBSTITUTE(B2342,CHAR(34),CHAR(92)&amp;CHAR(34))</f>
        <v xml:space="preserve"> Xe con, xe của bạn, xe mô tô.</v>
      </c>
      <c r="I2340" t="str">
        <f>SUBSTITUTE(IF(LEFT(A2343,3)="Câu","",B2343),CHAR(34),CHAR(92)&amp;CHAR(34))</f>
        <v>Xe mô tô, xe con, xe của bạn.</v>
      </c>
      <c r="J2340" t="str">
        <f>SUBSTITUTE(IF(OR(LEFT(A2344,3)="Câu",I2340=""),"",IF(B2344=0,"",B2344)),CHAR(34),CHAR(92)&amp;CHAR(34))</f>
        <v/>
      </c>
      <c r="K2340" t="str">
        <f ca="1">SUBSTITUTE(SUBSTITUTE(SUBSTITUTE(SUBSTITUTE(IFERROR(VLOOKUP("Câu "&amp;D2340&amp;".",dapan!$E:$J,6,0),""),"1","A"),"2","B"),"3","C"),"4","D")</f>
        <v>B</v>
      </c>
      <c r="P2340">
        <f t="shared" si="135"/>
        <v>568</v>
      </c>
      <c r="Q2340" t="str">
        <f t="shared" ca="1" si="136"/>
        <v>{"num":568,"id":568,"q":"Các xe đi theo thứ tự nào là đúng quy tắc giao thông đường bộ?","img":"q568.jpg","opts":{"A":"Xe của bạn, xe mô tô, xe con.","B":" Xe con, xe của bạn, xe mô tô.","C":"Xe mô tô, xe con, xe của bạn."},"answer":"B"},</v>
      </c>
    </row>
    <row r="2341" spans="1:17" hidden="1" x14ac:dyDescent="0.25">
      <c r="A2341">
        <v>1</v>
      </c>
      <c r="B2341" t="s">
        <v>1647</v>
      </c>
      <c r="C2341">
        <f>IFERROR(COUNTIFS($A$1:A2341,"Câu "&amp;"*")-MID(A2341,5,FIND(".",A2341,1)-5),0)</f>
        <v>0</v>
      </c>
      <c r="D2341" t="str">
        <f t="shared" si="138"/>
        <v/>
      </c>
      <c r="E2341" t="str">
        <f>SUBSTITUTE(IF(LEFT(A2341,3)="Câu",MID(A2341,FIND(".",A2341,1)+2,LEN(A2341)),""),CHAR(34),CHAR(92)&amp;CHAR(34))</f>
        <v/>
      </c>
      <c r="F2341" t="str">
        <f t="shared" si="137"/>
        <v/>
      </c>
      <c r="G2341" t="str">
        <f>SUBSTITUTE(B2342,CHAR(34),CHAR(92)&amp;CHAR(34))</f>
        <v xml:space="preserve"> Xe con, xe của bạn, xe mô tô.</v>
      </c>
      <c r="H2341" t="str">
        <f>SUBSTITUTE(B2343,CHAR(34),CHAR(92)&amp;CHAR(34))</f>
        <v>Xe mô tô, xe con, xe của bạn.</v>
      </c>
      <c r="I2341" t="str">
        <f>SUBSTITUTE(IF(LEFT(A2344,3)="Câu","",B2344),CHAR(34),CHAR(92)&amp;CHAR(34))</f>
        <v/>
      </c>
      <c r="J2341" t="str">
        <f>SUBSTITUTE(IF(OR(LEFT(A2345,3)="Câu",I2341=""),"",IF(B2345=0,"",B2345)),CHAR(34),CHAR(92)&amp;CHAR(34))</f>
        <v/>
      </c>
      <c r="K2341" t="str">
        <f>SUBSTITUTE(SUBSTITUTE(SUBSTITUTE(SUBSTITUTE(IFERROR(VLOOKUP("Câu "&amp;D2341&amp;".",dapan!$E:$J,6,0),""),"1","A"),"2","B"),"3","C"),"4","D")</f>
        <v/>
      </c>
      <c r="P2341" t="str">
        <f t="shared" si="135"/>
        <v/>
      </c>
      <c r="Q2341" t="str">
        <f t="shared" si="136"/>
        <v/>
      </c>
    </row>
    <row r="2342" spans="1:17" hidden="1" x14ac:dyDescent="0.25">
      <c r="A2342">
        <v>2</v>
      </c>
      <c r="B2342" t="s">
        <v>1651</v>
      </c>
      <c r="C2342">
        <f>IFERROR(COUNTIFS($A$1:A2342,"Câu "&amp;"*")-MID(A2342,5,FIND(".",A2342,1)-5),0)</f>
        <v>0</v>
      </c>
      <c r="D2342" t="str">
        <f t="shared" si="138"/>
        <v/>
      </c>
      <c r="E2342" t="str">
        <f>SUBSTITUTE(IF(LEFT(A2342,3)="Câu",MID(A2342,FIND(".",A2342,1)+2,LEN(A2342)),""),CHAR(34),CHAR(92)&amp;CHAR(34))</f>
        <v/>
      </c>
      <c r="F2342" t="str">
        <f t="shared" si="137"/>
        <v/>
      </c>
      <c r="G2342" t="str">
        <f>SUBSTITUTE(B2343,CHAR(34),CHAR(92)&amp;CHAR(34))</f>
        <v>Xe mô tô, xe con, xe của bạn.</v>
      </c>
      <c r="H2342" t="str">
        <f>SUBSTITUTE(B2344,CHAR(34),CHAR(92)&amp;CHAR(34))</f>
        <v/>
      </c>
      <c r="I2342" t="str">
        <f>SUBSTITUTE(IF(LEFT(A2345,3)="Câu","",B2345),CHAR(34),CHAR(92)&amp;CHAR(34))</f>
        <v xml:space="preserve"> Xe con.</v>
      </c>
      <c r="J2342" t="str">
        <f>SUBSTITUTE(IF(OR(LEFT(A2346,3)="Câu",I2342=""),"",IF(B2346=0,"",B2346)),CHAR(34),CHAR(92)&amp;CHAR(34))</f>
        <v>Xe của bạn.</v>
      </c>
      <c r="K2342" t="str">
        <f>SUBSTITUTE(SUBSTITUTE(SUBSTITUTE(SUBSTITUTE(IFERROR(VLOOKUP("Câu "&amp;D2342&amp;".",dapan!$E:$J,6,0),""),"1","A"),"2","B"),"3","C"),"4","D")</f>
        <v/>
      </c>
      <c r="P2342" t="str">
        <f t="shared" si="135"/>
        <v/>
      </c>
      <c r="Q2342" t="str">
        <f t="shared" si="136"/>
        <v/>
      </c>
    </row>
    <row r="2343" spans="1:17" hidden="1" x14ac:dyDescent="0.25">
      <c r="A2343">
        <v>3</v>
      </c>
      <c r="B2343" t="s">
        <v>1652</v>
      </c>
      <c r="C2343">
        <f>IFERROR(COUNTIFS($A$1:A2343,"Câu "&amp;"*")-MID(A2343,5,FIND(".",A2343,1)-5),0)</f>
        <v>0</v>
      </c>
      <c r="D2343" t="str">
        <f t="shared" si="138"/>
        <v/>
      </c>
      <c r="E2343" t="str">
        <f>SUBSTITUTE(IF(LEFT(A2343,3)="Câu",MID(A2343,FIND(".",A2343,1)+2,LEN(A2343)),""),CHAR(34),CHAR(92)&amp;CHAR(34))</f>
        <v/>
      </c>
      <c r="F2343" t="str">
        <f t="shared" si="137"/>
        <v/>
      </c>
      <c r="G2343" t="str">
        <f>SUBSTITUTE(B2344,CHAR(34),CHAR(92)&amp;CHAR(34))</f>
        <v/>
      </c>
      <c r="H2343" t="str">
        <f>SUBSTITUTE(B2345,CHAR(34),CHAR(92)&amp;CHAR(34))</f>
        <v xml:space="preserve"> Xe con.</v>
      </c>
      <c r="I2343" t="str">
        <f>SUBSTITUTE(IF(LEFT(A2346,3)="Câu","",B2346),CHAR(34),CHAR(92)&amp;CHAR(34))</f>
        <v>Xe của bạn.</v>
      </c>
      <c r="J2343" t="str">
        <f>SUBSTITUTE(IF(OR(LEFT(A2347,3)="Câu",I2343=""),"",IF(B2347=0,"",B2347)),CHAR(34),CHAR(92)&amp;CHAR(34))</f>
        <v>Cả hai xe.</v>
      </c>
      <c r="K2343" t="str">
        <f>SUBSTITUTE(SUBSTITUTE(SUBSTITUTE(SUBSTITUTE(IFERROR(VLOOKUP("Câu "&amp;D2343&amp;".",dapan!$E:$J,6,0),""),"1","A"),"2","B"),"3","C"),"4","D")</f>
        <v/>
      </c>
      <c r="P2343" t="str">
        <f t="shared" si="135"/>
        <v/>
      </c>
      <c r="Q2343" t="str">
        <f t="shared" si="136"/>
        <v/>
      </c>
    </row>
    <row r="2344" spans="1:17" x14ac:dyDescent="0.25">
      <c r="A2344" t="s">
        <v>1653</v>
      </c>
      <c r="C2344">
        <f>IFERROR(COUNTIFS($A$1:A2344,"Câu "&amp;"*")-MID(A2344,5,FIND(".",A2344,1)-5),0)</f>
        <v>0</v>
      </c>
      <c r="D2344">
        <f t="shared" si="138"/>
        <v>569</v>
      </c>
      <c r="E2344" t="str">
        <f>SUBSTITUTE(IF(LEFT(A2344,3)="Câu",MID(A2344,FIND(".",A2344,1)+2,LEN(A2344)),""),CHAR(34),CHAR(92)&amp;CHAR(34))</f>
        <v>Xe nào phải dừng lại trong trường hợp này?</v>
      </c>
      <c r="F2344" t="str">
        <f t="shared" si="137"/>
        <v>q569.jpg</v>
      </c>
      <c r="G2344" t="str">
        <f>SUBSTITUTE(B2345,CHAR(34),CHAR(92)&amp;CHAR(34))</f>
        <v xml:space="preserve"> Xe con.</v>
      </c>
      <c r="H2344" t="str">
        <f>SUBSTITUTE(B2346,CHAR(34),CHAR(92)&amp;CHAR(34))</f>
        <v>Xe của bạn.</v>
      </c>
      <c r="I2344" t="str">
        <f>SUBSTITUTE(IF(LEFT(A2347,3)="Câu","",B2347),CHAR(34),CHAR(92)&amp;CHAR(34))</f>
        <v>Cả hai xe.</v>
      </c>
      <c r="J2344" t="str">
        <f>SUBSTITUTE(IF(OR(LEFT(A2348,3)="Câu",I2344=""),"",IF(B2348=0,"",B2348)),CHAR(34),CHAR(92)&amp;CHAR(34))</f>
        <v/>
      </c>
      <c r="K2344" t="str">
        <f ca="1">SUBSTITUTE(SUBSTITUTE(SUBSTITUTE(SUBSTITUTE(IFERROR(VLOOKUP("Câu "&amp;D2344&amp;".",dapan!$E:$J,6,0),""),"1","A"),"2","B"),"3","C"),"4","D")</f>
        <v>A</v>
      </c>
      <c r="P2344">
        <f t="shared" si="135"/>
        <v>569</v>
      </c>
      <c r="Q2344" t="str">
        <f t="shared" ca="1" si="136"/>
        <v>{"num":569,"id":569,"q":"Xe nào phải dừng lại trong trường hợp này?","img":"q569.jpg","opts":{"A":" Xe con.","B":"Xe của bạn.","C":"Cả hai xe."},"answer":"A"},</v>
      </c>
    </row>
    <row r="2345" spans="1:17" hidden="1" x14ac:dyDescent="0.25">
      <c r="A2345">
        <v>1</v>
      </c>
      <c r="B2345" t="s">
        <v>1418</v>
      </c>
      <c r="C2345">
        <f>IFERROR(COUNTIFS($A$1:A2345,"Câu "&amp;"*")-MID(A2345,5,FIND(".",A2345,1)-5),0)</f>
        <v>0</v>
      </c>
      <c r="D2345" t="str">
        <f t="shared" si="138"/>
        <v/>
      </c>
      <c r="E2345" t="str">
        <f>SUBSTITUTE(IF(LEFT(A2345,3)="Câu",MID(A2345,FIND(".",A2345,1)+2,LEN(A2345)),""),CHAR(34),CHAR(92)&amp;CHAR(34))</f>
        <v/>
      </c>
      <c r="F2345" t="str">
        <f t="shared" si="137"/>
        <v/>
      </c>
      <c r="G2345" t="str">
        <f>SUBSTITUTE(B2346,CHAR(34),CHAR(92)&amp;CHAR(34))</f>
        <v>Xe của bạn.</v>
      </c>
      <c r="H2345" t="str">
        <f>SUBSTITUTE(B2347,CHAR(34),CHAR(92)&amp;CHAR(34))</f>
        <v>Cả hai xe.</v>
      </c>
      <c r="I2345" t="str">
        <f>SUBSTITUTE(IF(LEFT(A2348,3)="Câu","",B2348),CHAR(34),CHAR(92)&amp;CHAR(34))</f>
        <v/>
      </c>
      <c r="J2345" t="str">
        <f>SUBSTITUTE(IF(OR(LEFT(A2349,3)="Câu",I2345=""),"",IF(B2349=0,"",B2349)),CHAR(34),CHAR(92)&amp;CHAR(34))</f>
        <v/>
      </c>
      <c r="K2345" t="str">
        <f>SUBSTITUTE(SUBSTITUTE(SUBSTITUTE(SUBSTITUTE(IFERROR(VLOOKUP("Câu "&amp;D2345&amp;".",dapan!$E:$J,6,0),""),"1","A"),"2","B"),"3","C"),"4","D")</f>
        <v/>
      </c>
      <c r="P2345" t="str">
        <f t="shared" si="135"/>
        <v/>
      </c>
      <c r="Q2345" t="str">
        <f t="shared" si="136"/>
        <v/>
      </c>
    </row>
    <row r="2346" spans="1:17" hidden="1" x14ac:dyDescent="0.25">
      <c r="A2346">
        <v>2</v>
      </c>
      <c r="B2346" t="s">
        <v>1595</v>
      </c>
      <c r="C2346">
        <f>IFERROR(COUNTIFS($A$1:A2346,"Câu "&amp;"*")-MID(A2346,5,FIND(".",A2346,1)-5),0)</f>
        <v>0</v>
      </c>
      <c r="D2346" t="str">
        <f t="shared" si="138"/>
        <v/>
      </c>
      <c r="E2346" t="str">
        <f>SUBSTITUTE(IF(LEFT(A2346,3)="Câu",MID(A2346,FIND(".",A2346,1)+2,LEN(A2346)),""),CHAR(34),CHAR(92)&amp;CHAR(34))</f>
        <v/>
      </c>
      <c r="F2346" t="str">
        <f t="shared" si="137"/>
        <v/>
      </c>
      <c r="G2346" t="str">
        <f>SUBSTITUTE(B2347,CHAR(34),CHAR(92)&amp;CHAR(34))</f>
        <v>Cả hai xe.</v>
      </c>
      <c r="H2346" t="str">
        <f>SUBSTITUTE(B2348,CHAR(34),CHAR(92)&amp;CHAR(34))</f>
        <v/>
      </c>
      <c r="I2346" t="str">
        <f>SUBSTITUTE(IF(LEFT(A2349,3)="Câu","",B2349),CHAR(34),CHAR(92)&amp;CHAR(34))</f>
        <v xml:space="preserve"> Đi thẳng, rẽ trái.</v>
      </c>
      <c r="J2346" t="str">
        <f>SUBSTITUTE(IF(OR(LEFT(A2350,3)="Câu",I2346=""),"",IF(B2350=0,"",B2350)),CHAR(34),CHAR(92)&amp;CHAR(34))</f>
        <v>Đi thẳng, rẽ phải.</v>
      </c>
      <c r="K2346" t="str">
        <f>SUBSTITUTE(SUBSTITUTE(SUBSTITUTE(SUBSTITUTE(IFERROR(VLOOKUP("Câu "&amp;D2346&amp;".",dapan!$E:$J,6,0),""),"1","A"),"2","B"),"3","C"),"4","D")</f>
        <v/>
      </c>
      <c r="P2346" t="str">
        <f t="shared" si="135"/>
        <v/>
      </c>
      <c r="Q2346" t="str">
        <f t="shared" si="136"/>
        <v/>
      </c>
    </row>
    <row r="2347" spans="1:17" hidden="1" x14ac:dyDescent="0.25">
      <c r="A2347">
        <v>3</v>
      </c>
      <c r="B2347" t="s">
        <v>1538</v>
      </c>
      <c r="C2347">
        <f>IFERROR(COUNTIFS($A$1:A2347,"Câu "&amp;"*")-MID(A2347,5,FIND(".",A2347,1)-5),0)</f>
        <v>0</v>
      </c>
      <c r="D2347" t="str">
        <f t="shared" si="138"/>
        <v/>
      </c>
      <c r="E2347" t="str">
        <f>SUBSTITUTE(IF(LEFT(A2347,3)="Câu",MID(A2347,FIND(".",A2347,1)+2,LEN(A2347)),""),CHAR(34),CHAR(92)&amp;CHAR(34))</f>
        <v/>
      </c>
      <c r="F2347" t="str">
        <f t="shared" si="137"/>
        <v/>
      </c>
      <c r="G2347" t="str">
        <f>SUBSTITUTE(B2348,CHAR(34),CHAR(92)&amp;CHAR(34))</f>
        <v/>
      </c>
      <c r="H2347" t="str">
        <f>SUBSTITUTE(B2349,CHAR(34),CHAR(92)&amp;CHAR(34))</f>
        <v xml:space="preserve"> Đi thẳng, rẽ trái.</v>
      </c>
      <c r="I2347" t="str">
        <f>SUBSTITUTE(IF(LEFT(A2350,3)="Câu","",B2350),CHAR(34),CHAR(92)&amp;CHAR(34))</f>
        <v>Đi thẳng, rẽ phải.</v>
      </c>
      <c r="J2347" t="str">
        <f>SUBSTITUTE(IF(OR(LEFT(A2351,3)="Câu",I2347=""),"",IF(B2351=0,"",B2351)),CHAR(34),CHAR(92)&amp;CHAR(34))</f>
        <v>Rẽ trái.</v>
      </c>
      <c r="K2347" t="str">
        <f>SUBSTITUTE(SUBSTITUTE(SUBSTITUTE(SUBSTITUTE(IFERROR(VLOOKUP("Câu "&amp;D2347&amp;".",dapan!$E:$J,6,0),""),"1","A"),"2","B"),"3","C"),"4","D")</f>
        <v/>
      </c>
      <c r="P2347" t="str">
        <f t="shared" si="135"/>
        <v/>
      </c>
      <c r="Q2347" t="str">
        <f t="shared" si="136"/>
        <v/>
      </c>
    </row>
    <row r="2348" spans="1:17" x14ac:dyDescent="0.25">
      <c r="A2348" t="s">
        <v>1654</v>
      </c>
      <c r="C2348">
        <f>IFERROR(COUNTIFS($A$1:A2348,"Câu "&amp;"*")-MID(A2348,5,FIND(".",A2348,1)-5),0)</f>
        <v>0</v>
      </c>
      <c r="D2348">
        <f t="shared" si="138"/>
        <v>570</v>
      </c>
      <c r="E2348" t="str">
        <f>SUBSTITUTE(IF(LEFT(A2348,3)="Câu",MID(A2348,FIND(".",A2348,1)+2,LEN(A2348)),""),CHAR(34),CHAR(92)&amp;CHAR(34))</f>
        <v>Xe của bạn được đi theo hướng nào trong trường hợp này?</v>
      </c>
      <c r="F2348" t="str">
        <f t="shared" si="137"/>
        <v>q570.jpg</v>
      </c>
      <c r="G2348" t="str">
        <f>SUBSTITUTE(B2349,CHAR(34),CHAR(92)&amp;CHAR(34))</f>
        <v xml:space="preserve"> Đi thẳng, rẽ trái.</v>
      </c>
      <c r="H2348" t="str">
        <f>SUBSTITUTE(B2350,CHAR(34),CHAR(92)&amp;CHAR(34))</f>
        <v>Đi thẳng, rẽ phải.</v>
      </c>
      <c r="I2348" t="str">
        <f>SUBSTITUTE(IF(LEFT(A2351,3)="Câu","",B2351),CHAR(34),CHAR(92)&amp;CHAR(34))</f>
        <v>Rẽ trái.</v>
      </c>
      <c r="J2348" t="str">
        <f>SUBSTITUTE(IF(OR(LEFT(A2352,3)="Câu",I2348=""),"",IF(B2352=0,"",B2352)),CHAR(34),CHAR(92)&amp;CHAR(34))</f>
        <v>Đi thẳng, rẽ phải, rẽ trái.</v>
      </c>
      <c r="K2348" t="str">
        <f ca="1">SUBSTITUTE(SUBSTITUTE(SUBSTITUTE(SUBSTITUTE(IFERROR(VLOOKUP("Câu "&amp;D2348&amp;".",dapan!$E:$J,6,0),""),"1","A"),"2","B"),"3","C"),"4","D")</f>
        <v>A</v>
      </c>
      <c r="P2348">
        <f t="shared" si="135"/>
        <v>570</v>
      </c>
      <c r="Q2348" t="str">
        <f t="shared" ca="1" si="136"/>
        <v>{"num":570,"id":570,"q":"Xe của bạn được đi theo hướng nào trong trường hợp này?","img":"q570.jpg","opts":{"A":" Đi thẳng, rẽ trái.","B":"Đi thẳng, rẽ phải.","C":"Rẽ trái.","D":"Đi thẳng, rẽ phải, rẽ trái."},"answer":"A"},</v>
      </c>
    </row>
    <row r="2349" spans="1:17" hidden="1" x14ac:dyDescent="0.25">
      <c r="A2349">
        <v>1</v>
      </c>
      <c r="B2349" t="s">
        <v>1655</v>
      </c>
      <c r="C2349">
        <f>IFERROR(COUNTIFS($A$1:A2349,"Câu "&amp;"*")-MID(A2349,5,FIND(".",A2349,1)-5),0)</f>
        <v>0</v>
      </c>
      <c r="D2349" t="str">
        <f t="shared" si="138"/>
        <v/>
      </c>
      <c r="E2349" t="str">
        <f>SUBSTITUTE(IF(LEFT(A2349,3)="Câu",MID(A2349,FIND(".",A2349,1)+2,LEN(A2349)),""),CHAR(34),CHAR(92)&amp;CHAR(34))</f>
        <v/>
      </c>
      <c r="F2349" t="str">
        <f t="shared" si="137"/>
        <v/>
      </c>
      <c r="G2349" t="str">
        <f>SUBSTITUTE(B2350,CHAR(34),CHAR(92)&amp;CHAR(34))</f>
        <v>Đi thẳng, rẽ phải.</v>
      </c>
      <c r="H2349" t="str">
        <f>SUBSTITUTE(B2351,CHAR(34),CHAR(92)&amp;CHAR(34))</f>
        <v>Rẽ trái.</v>
      </c>
      <c r="I2349" t="str">
        <f>SUBSTITUTE(IF(LEFT(A2352,3)="Câu","",B2352),CHAR(34),CHAR(92)&amp;CHAR(34))</f>
        <v>Đi thẳng, rẽ phải, rẽ trái.</v>
      </c>
      <c r="J2349" t="str">
        <f>SUBSTITUTE(IF(OR(LEFT(A2353,3)="Câu",I2349=""),"",IF(B2353=0,"",B2353)),CHAR(34),CHAR(92)&amp;CHAR(34))</f>
        <v/>
      </c>
      <c r="K2349" t="str">
        <f>SUBSTITUTE(SUBSTITUTE(SUBSTITUTE(SUBSTITUTE(IFERROR(VLOOKUP("Câu "&amp;D2349&amp;".",dapan!$E:$J,6,0),""),"1","A"),"2","B"),"3","C"),"4","D")</f>
        <v/>
      </c>
      <c r="P2349" t="str">
        <f t="shared" si="135"/>
        <v/>
      </c>
      <c r="Q2349" t="str">
        <f t="shared" si="136"/>
        <v/>
      </c>
    </row>
    <row r="2350" spans="1:17" hidden="1" x14ac:dyDescent="0.25">
      <c r="A2350">
        <v>2</v>
      </c>
      <c r="B2350" t="s">
        <v>1656</v>
      </c>
      <c r="C2350">
        <f>IFERROR(COUNTIFS($A$1:A2350,"Câu "&amp;"*")-MID(A2350,5,FIND(".",A2350,1)-5),0)</f>
        <v>0</v>
      </c>
      <c r="D2350" t="str">
        <f t="shared" si="138"/>
        <v/>
      </c>
      <c r="E2350" t="str">
        <f>SUBSTITUTE(IF(LEFT(A2350,3)="Câu",MID(A2350,FIND(".",A2350,1)+2,LEN(A2350)),""),CHAR(34),CHAR(92)&amp;CHAR(34))</f>
        <v/>
      </c>
      <c r="F2350" t="str">
        <f t="shared" si="137"/>
        <v/>
      </c>
      <c r="G2350" t="str">
        <f>SUBSTITUTE(B2351,CHAR(34),CHAR(92)&amp;CHAR(34))</f>
        <v>Rẽ trái.</v>
      </c>
      <c r="H2350" t="str">
        <f>SUBSTITUTE(B2352,CHAR(34),CHAR(92)&amp;CHAR(34))</f>
        <v>Đi thẳng, rẽ phải, rẽ trái.</v>
      </c>
      <c r="I2350" t="str">
        <f>SUBSTITUTE(IF(LEFT(A2353,3)="Câu","",B2353),CHAR(34),CHAR(92)&amp;CHAR(34))</f>
        <v/>
      </c>
      <c r="J2350" t="str">
        <f>SUBSTITUTE(IF(OR(LEFT(A2354,3)="Câu",I2350=""),"",IF(B2354=0,"",B2354)),CHAR(34),CHAR(92)&amp;CHAR(34))</f>
        <v/>
      </c>
      <c r="K2350" t="str">
        <f>SUBSTITUTE(SUBSTITUTE(SUBSTITUTE(SUBSTITUTE(IFERROR(VLOOKUP("Câu "&amp;D2350&amp;".",dapan!$E:$J,6,0),""),"1","A"),"2","B"),"3","C"),"4","D")</f>
        <v/>
      </c>
      <c r="P2350" t="str">
        <f t="shared" si="135"/>
        <v/>
      </c>
      <c r="Q2350" t="str">
        <f t="shared" si="136"/>
        <v/>
      </c>
    </row>
    <row r="2351" spans="1:17" hidden="1" x14ac:dyDescent="0.25">
      <c r="A2351">
        <v>3</v>
      </c>
      <c r="B2351" t="s">
        <v>1657</v>
      </c>
      <c r="C2351">
        <f>IFERROR(COUNTIFS($A$1:A2351,"Câu "&amp;"*")-MID(A2351,5,FIND(".",A2351,1)-5),0)</f>
        <v>0</v>
      </c>
      <c r="D2351" t="str">
        <f t="shared" si="138"/>
        <v/>
      </c>
      <c r="E2351" t="str">
        <f>SUBSTITUTE(IF(LEFT(A2351,3)="Câu",MID(A2351,FIND(".",A2351,1)+2,LEN(A2351)),""),CHAR(34),CHAR(92)&amp;CHAR(34))</f>
        <v/>
      </c>
      <c r="F2351" t="str">
        <f t="shared" si="137"/>
        <v/>
      </c>
      <c r="G2351" t="str">
        <f>SUBSTITUTE(B2352,CHAR(34),CHAR(92)&amp;CHAR(34))</f>
        <v>Đi thẳng, rẽ phải, rẽ trái.</v>
      </c>
      <c r="H2351" t="str">
        <f>SUBSTITUTE(B2353,CHAR(34),CHAR(92)&amp;CHAR(34))</f>
        <v/>
      </c>
      <c r="I2351" t="str">
        <f>SUBSTITUTE(IF(LEFT(A2354,3)="Câu","",B2354),CHAR(34),CHAR(92)&amp;CHAR(34))</f>
        <v>Chuyển sang làn đường bên phải và rẽ phải.</v>
      </c>
      <c r="J2351" t="str">
        <f>SUBSTITUTE(IF(OR(LEFT(A2355,3)="Câu",I2351=""),"",IF(B2355=0,"",B2355)),CHAR(34),CHAR(92)&amp;CHAR(34))</f>
        <v>Dừng lại trước vạch dừng và rẽ phải khi đèn xanh.</v>
      </c>
      <c r="K2351" t="str">
        <f>SUBSTITUTE(SUBSTITUTE(SUBSTITUTE(SUBSTITUTE(IFERROR(VLOOKUP("Câu "&amp;D2351&amp;".",dapan!$E:$J,6,0),""),"1","A"),"2","B"),"3","C"),"4","D")</f>
        <v/>
      </c>
      <c r="P2351" t="str">
        <f t="shared" si="135"/>
        <v/>
      </c>
      <c r="Q2351" t="str">
        <f t="shared" si="136"/>
        <v/>
      </c>
    </row>
    <row r="2352" spans="1:17" hidden="1" x14ac:dyDescent="0.25">
      <c r="A2352">
        <v>4</v>
      </c>
      <c r="B2352" t="s">
        <v>1658</v>
      </c>
      <c r="C2352">
        <f>IFERROR(COUNTIFS($A$1:A2352,"Câu "&amp;"*")-MID(A2352,5,FIND(".",A2352,1)-5),0)</f>
        <v>0</v>
      </c>
      <c r="D2352" t="str">
        <f t="shared" si="138"/>
        <v/>
      </c>
      <c r="E2352" t="str">
        <f>SUBSTITUTE(IF(LEFT(A2352,3)="Câu",MID(A2352,FIND(".",A2352,1)+2,LEN(A2352)),""),CHAR(34),CHAR(92)&amp;CHAR(34))</f>
        <v/>
      </c>
      <c r="F2352" t="str">
        <f t="shared" si="137"/>
        <v/>
      </c>
      <c r="G2352" t="str">
        <f>SUBSTITUTE(B2353,CHAR(34),CHAR(92)&amp;CHAR(34))</f>
        <v/>
      </c>
      <c r="H2352" t="str">
        <f>SUBSTITUTE(B2354,CHAR(34),CHAR(92)&amp;CHAR(34))</f>
        <v>Chuyển sang làn đường bên phải và rẽ phải.</v>
      </c>
      <c r="I2352" t="str">
        <f>SUBSTITUTE(IF(LEFT(A2355,3)="Câu","",B2355),CHAR(34),CHAR(92)&amp;CHAR(34))</f>
        <v>Dừng lại trước vạch dừng và rẽ phải khi đèn xanh.</v>
      </c>
      <c r="J2352" t="str">
        <f>SUBSTITUTE(IF(OR(LEFT(A2356,3)="Câu",I2352=""),"",IF(B2356=0,"",B2356)),CHAR(34),CHAR(92)&amp;CHAR(34))</f>
        <v xml:space="preserve"> Dừng lại trước vạch dừng và đi thẳng hoặc rẽ trái khi đèn xanh.</v>
      </c>
      <c r="K2352" t="str">
        <f>SUBSTITUTE(SUBSTITUTE(SUBSTITUTE(SUBSTITUTE(IFERROR(VLOOKUP("Câu "&amp;D2352&amp;".",dapan!$E:$J,6,0),""),"1","A"),"2","B"),"3","C"),"4","D")</f>
        <v/>
      </c>
      <c r="P2352" t="str">
        <f t="shared" si="135"/>
        <v/>
      </c>
      <c r="Q2352" t="str">
        <f t="shared" si="136"/>
        <v/>
      </c>
    </row>
    <row r="2353" spans="1:17" x14ac:dyDescent="0.25">
      <c r="A2353" t="s">
        <v>1659</v>
      </c>
      <c r="C2353">
        <f>IFERROR(COUNTIFS($A$1:A2353,"Câu "&amp;"*")-MID(A2353,5,FIND(".",A2353,1)-5),0)</f>
        <v>0</v>
      </c>
      <c r="D2353">
        <f t="shared" si="138"/>
        <v>571</v>
      </c>
      <c r="E2353" t="str">
        <f>SUBSTITUTE(IF(LEFT(A2353,3)="Câu",MID(A2353,FIND(".",A2353,1)+2,LEN(A2353)),""),CHAR(34),CHAR(92)&amp;CHAR(34))</f>
        <v>Xe của bạn được đi theo hướng nào trong trường hợp này?</v>
      </c>
      <c r="F2353" t="str">
        <f t="shared" si="137"/>
        <v>q571.jpg</v>
      </c>
      <c r="G2353" t="str">
        <f>SUBSTITUTE(B2354,CHAR(34),CHAR(92)&amp;CHAR(34))</f>
        <v>Chuyển sang làn đường bên phải và rẽ phải.</v>
      </c>
      <c r="H2353" t="str">
        <f>SUBSTITUTE(B2355,CHAR(34),CHAR(92)&amp;CHAR(34))</f>
        <v>Dừng lại trước vạch dừng và rẽ phải khi đèn xanh.</v>
      </c>
      <c r="I2353" t="str">
        <f>SUBSTITUTE(IF(LEFT(A2356,3)="Câu","",B2356),CHAR(34),CHAR(92)&amp;CHAR(34))</f>
        <v xml:space="preserve"> Dừng lại trước vạch dừng và đi thẳng hoặc rẽ trái khi đèn xanh.</v>
      </c>
      <c r="J2353" t="str">
        <f>SUBSTITUTE(IF(OR(LEFT(A2357,3)="Câu",I2353=""),"",IF(B2357=0,"",B2357)),CHAR(34),CHAR(92)&amp;CHAR(34))</f>
        <v/>
      </c>
      <c r="K2353" t="str">
        <f ca="1">SUBSTITUTE(SUBSTITUTE(SUBSTITUTE(SUBSTITUTE(IFERROR(VLOOKUP("Câu "&amp;D2353&amp;".",dapan!$E:$J,6,0),""),"1","A"),"2","B"),"3","C"),"4","D")</f>
        <v>C</v>
      </c>
      <c r="P2353">
        <f t="shared" si="135"/>
        <v>571</v>
      </c>
      <c r="Q2353" t="str">
        <f t="shared" ca="1" si="136"/>
        <v>{"num":571,"id":571,"q":"Xe của bạn được đi theo hướng nào trong trường hợp này?","img":"q571.jpg","opts":{"A":"Chuyển sang làn đường bên phải và rẽ phải.","B":"Dừng lại trước vạch dừng và rẽ phải khi đèn xanh.","C":" Dừng lại trước vạch dừng và đi thẳng hoặc rẽ trái khi đèn xanh."},"answer":"C"},</v>
      </c>
    </row>
    <row r="2354" spans="1:17" hidden="1" x14ac:dyDescent="0.25">
      <c r="A2354">
        <v>1</v>
      </c>
      <c r="B2354" t="s">
        <v>1660</v>
      </c>
      <c r="C2354">
        <f>IFERROR(COUNTIFS($A$1:A2354,"Câu "&amp;"*")-MID(A2354,5,FIND(".",A2354,1)-5),0)</f>
        <v>0</v>
      </c>
      <c r="D2354" t="str">
        <f t="shared" si="138"/>
        <v/>
      </c>
      <c r="E2354" t="str">
        <f>SUBSTITUTE(IF(LEFT(A2354,3)="Câu",MID(A2354,FIND(".",A2354,1)+2,LEN(A2354)),""),CHAR(34),CHAR(92)&amp;CHAR(34))</f>
        <v/>
      </c>
      <c r="F2354" t="str">
        <f t="shared" si="137"/>
        <v/>
      </c>
      <c r="G2354" t="str">
        <f>SUBSTITUTE(B2355,CHAR(34),CHAR(92)&amp;CHAR(34))</f>
        <v>Dừng lại trước vạch dừng và rẽ phải khi đèn xanh.</v>
      </c>
      <c r="H2354" t="str">
        <f>SUBSTITUTE(B2356,CHAR(34),CHAR(92)&amp;CHAR(34))</f>
        <v xml:space="preserve"> Dừng lại trước vạch dừng và đi thẳng hoặc rẽ trái khi đèn xanh.</v>
      </c>
      <c r="I2354" t="str">
        <f>SUBSTITUTE(IF(LEFT(A2357,3)="Câu","",B2357),CHAR(34),CHAR(92)&amp;CHAR(34))</f>
        <v/>
      </c>
      <c r="J2354" t="str">
        <f>SUBSTITUTE(IF(OR(LEFT(A2358,3)="Câu",I2354=""),"",IF(B2358=0,"",B2358)),CHAR(34),CHAR(92)&amp;CHAR(34))</f>
        <v/>
      </c>
      <c r="K2354" t="str">
        <f>SUBSTITUTE(SUBSTITUTE(SUBSTITUTE(SUBSTITUTE(IFERROR(VLOOKUP("Câu "&amp;D2354&amp;".",dapan!$E:$J,6,0),""),"1","A"),"2","B"),"3","C"),"4","D")</f>
        <v/>
      </c>
      <c r="P2354" t="str">
        <f t="shared" si="135"/>
        <v/>
      </c>
      <c r="Q2354" t="str">
        <f t="shared" si="136"/>
        <v/>
      </c>
    </row>
    <row r="2355" spans="1:17" hidden="1" x14ac:dyDescent="0.25">
      <c r="A2355">
        <v>2</v>
      </c>
      <c r="B2355" t="s">
        <v>1661</v>
      </c>
      <c r="C2355">
        <f>IFERROR(COUNTIFS($A$1:A2355,"Câu "&amp;"*")-MID(A2355,5,FIND(".",A2355,1)-5),0)</f>
        <v>0</v>
      </c>
      <c r="D2355" t="str">
        <f t="shared" si="138"/>
        <v/>
      </c>
      <c r="E2355" t="str">
        <f>SUBSTITUTE(IF(LEFT(A2355,3)="Câu",MID(A2355,FIND(".",A2355,1)+2,LEN(A2355)),""),CHAR(34),CHAR(92)&amp;CHAR(34))</f>
        <v/>
      </c>
      <c r="F2355" t="str">
        <f t="shared" si="137"/>
        <v/>
      </c>
      <c r="G2355" t="str">
        <f>SUBSTITUTE(B2356,CHAR(34),CHAR(92)&amp;CHAR(34))</f>
        <v xml:space="preserve"> Dừng lại trước vạch dừng và đi thẳng hoặc rẽ trái khi đèn xanh.</v>
      </c>
      <c r="H2355" t="str">
        <f>SUBSTITUTE(B2357,CHAR(34),CHAR(92)&amp;CHAR(34))</f>
        <v/>
      </c>
      <c r="I2355" t="str">
        <f>SUBSTITUTE(IF(LEFT(A2358,3)="Câu","",B2358),CHAR(34),CHAR(92)&amp;CHAR(34))</f>
        <v>Tăng tốc độ, rẽ phải trước xe tải và xe đạp.</v>
      </c>
      <c r="J2355" t="str">
        <f>SUBSTITUTE(IF(OR(LEFT(A2359,3)="Câu",I2355=""),"",IF(B2359=0,"",B2359)),CHAR(34),CHAR(92)&amp;CHAR(34))</f>
        <v xml:space="preserve"> Giảm tốc độ, rẽ phải sau xe tải và xe đạp.</v>
      </c>
      <c r="K2355" t="str">
        <f>SUBSTITUTE(SUBSTITUTE(SUBSTITUTE(SUBSTITUTE(IFERROR(VLOOKUP("Câu "&amp;D2355&amp;".",dapan!$E:$J,6,0),""),"1","A"),"2","B"),"3","C"),"4","D")</f>
        <v/>
      </c>
      <c r="P2355" t="str">
        <f t="shared" si="135"/>
        <v/>
      </c>
      <c r="Q2355" t="str">
        <f t="shared" si="136"/>
        <v/>
      </c>
    </row>
    <row r="2356" spans="1:17" hidden="1" x14ac:dyDescent="0.25">
      <c r="A2356">
        <v>3</v>
      </c>
      <c r="B2356" t="s">
        <v>1662</v>
      </c>
      <c r="C2356">
        <f>IFERROR(COUNTIFS($A$1:A2356,"Câu "&amp;"*")-MID(A2356,5,FIND(".",A2356,1)-5),0)</f>
        <v>0</v>
      </c>
      <c r="D2356" t="str">
        <f t="shared" si="138"/>
        <v/>
      </c>
      <c r="E2356" t="str">
        <f>SUBSTITUTE(IF(LEFT(A2356,3)="Câu",MID(A2356,FIND(".",A2356,1)+2,LEN(A2356)),""),CHAR(34),CHAR(92)&amp;CHAR(34))</f>
        <v/>
      </c>
      <c r="F2356" t="str">
        <f t="shared" si="137"/>
        <v/>
      </c>
      <c r="G2356" t="str">
        <f>SUBSTITUTE(B2357,CHAR(34),CHAR(92)&amp;CHAR(34))</f>
        <v/>
      </c>
      <c r="H2356" t="str">
        <f>SUBSTITUTE(B2358,CHAR(34),CHAR(92)&amp;CHAR(34))</f>
        <v>Tăng tốc độ, rẽ phải trước xe tải và xe đạp.</v>
      </c>
      <c r="I2356" t="str">
        <f>SUBSTITUTE(IF(LEFT(A2359,3)="Câu","",B2359),CHAR(34),CHAR(92)&amp;CHAR(34))</f>
        <v xml:space="preserve"> Giảm tốc độ, rẽ phải sau xe tải và xe đạp.</v>
      </c>
      <c r="J2356" t="str">
        <f>SUBSTITUTE(IF(OR(LEFT(A2360,3)="Câu",I2356=""),"",IF(B2360=0,"",B2360)),CHAR(34),CHAR(92)&amp;CHAR(34))</f>
        <v>Tăng tốc độ, rẽ phải trước xe đạp.</v>
      </c>
      <c r="K2356" t="str">
        <f>SUBSTITUTE(SUBSTITUTE(SUBSTITUTE(SUBSTITUTE(IFERROR(VLOOKUP("Câu "&amp;D2356&amp;".",dapan!$E:$J,6,0),""),"1","A"),"2","B"),"3","C"),"4","D")</f>
        <v/>
      </c>
      <c r="P2356" t="str">
        <f t="shared" si="135"/>
        <v/>
      </c>
      <c r="Q2356" t="str">
        <f t="shared" si="136"/>
        <v/>
      </c>
    </row>
    <row r="2357" spans="1:17" x14ac:dyDescent="0.25">
      <c r="A2357" t="s">
        <v>1663</v>
      </c>
      <c r="C2357">
        <f>IFERROR(COUNTIFS($A$1:A2357,"Câu "&amp;"*")-MID(A2357,5,FIND(".",A2357,1)-5),0)</f>
        <v>0</v>
      </c>
      <c r="D2357">
        <f t="shared" si="138"/>
        <v>572</v>
      </c>
      <c r="E2357" t="str">
        <f>SUBSTITUTE(IF(LEFT(A2357,3)="Câu",MID(A2357,FIND(".",A2357,1)+2,LEN(A2357)),""),CHAR(34),CHAR(92)&amp;CHAR(34))</f>
        <v>Bạn xử lý như thế nào trong trường hợp này?</v>
      </c>
      <c r="F2357" t="str">
        <f t="shared" si="137"/>
        <v>q572.jpg</v>
      </c>
      <c r="G2357" t="str">
        <f>SUBSTITUTE(B2358,CHAR(34),CHAR(92)&amp;CHAR(34))</f>
        <v>Tăng tốc độ, rẽ phải trước xe tải và xe đạp.</v>
      </c>
      <c r="H2357" t="str">
        <f>SUBSTITUTE(B2359,CHAR(34),CHAR(92)&amp;CHAR(34))</f>
        <v xml:space="preserve"> Giảm tốc độ, rẽ phải sau xe tải và xe đạp.</v>
      </c>
      <c r="I2357" t="str">
        <f>SUBSTITUTE(IF(LEFT(A2360,3)="Câu","",B2360),CHAR(34),CHAR(92)&amp;CHAR(34))</f>
        <v>Tăng tốc độ, rẽ phải trước xe đạp.</v>
      </c>
      <c r="J2357" t="str">
        <f>SUBSTITUTE(IF(OR(LEFT(A2361,3)="Câu",I2357=""),"",IF(B2361=0,"",B2361)),CHAR(34),CHAR(92)&amp;CHAR(34))</f>
        <v/>
      </c>
      <c r="K2357" t="str">
        <f ca="1">SUBSTITUTE(SUBSTITUTE(SUBSTITUTE(SUBSTITUTE(IFERROR(VLOOKUP("Câu "&amp;D2357&amp;".",dapan!$E:$J,6,0),""),"1","A"),"2","B"),"3","C"),"4","D")</f>
        <v>B</v>
      </c>
      <c r="P2357">
        <f t="shared" si="135"/>
        <v>572</v>
      </c>
      <c r="Q2357" t="str">
        <f t="shared" ca="1" si="136"/>
        <v>{"num":572,"id":572,"q":"Bạn xử lý như thế nào trong trường hợp này?","img":"q572.jpg","opts":{"A":"Tăng tốc độ, rẽ phải trước xe tải và xe đạp.","B":" Giảm tốc độ, rẽ phải sau xe tải và xe đạp.","C":"Tăng tốc độ, rẽ phải trước xe đạp."},"answer":"B"},</v>
      </c>
    </row>
    <row r="2358" spans="1:17" hidden="1" x14ac:dyDescent="0.25">
      <c r="A2358">
        <v>1</v>
      </c>
      <c r="B2358" t="s">
        <v>1664</v>
      </c>
      <c r="C2358">
        <f>IFERROR(COUNTIFS($A$1:A2358,"Câu "&amp;"*")-MID(A2358,5,FIND(".",A2358,1)-5),0)</f>
        <v>0</v>
      </c>
      <c r="D2358" t="str">
        <f t="shared" si="138"/>
        <v/>
      </c>
      <c r="E2358" t="str">
        <f>SUBSTITUTE(IF(LEFT(A2358,3)="Câu",MID(A2358,FIND(".",A2358,1)+2,LEN(A2358)),""),CHAR(34),CHAR(92)&amp;CHAR(34))</f>
        <v/>
      </c>
      <c r="F2358" t="str">
        <f t="shared" si="137"/>
        <v/>
      </c>
      <c r="G2358" t="str">
        <f>SUBSTITUTE(B2359,CHAR(34),CHAR(92)&amp;CHAR(34))</f>
        <v xml:space="preserve"> Giảm tốc độ, rẽ phải sau xe tải và xe đạp.</v>
      </c>
      <c r="H2358" t="str">
        <f>SUBSTITUTE(B2360,CHAR(34),CHAR(92)&amp;CHAR(34))</f>
        <v>Tăng tốc độ, rẽ phải trước xe đạp.</v>
      </c>
      <c r="I2358" t="str">
        <f>SUBSTITUTE(IF(LEFT(A2361,3)="Câu","",B2361),CHAR(34),CHAR(92)&amp;CHAR(34))</f>
        <v/>
      </c>
      <c r="J2358" t="str">
        <f>SUBSTITUTE(IF(OR(LEFT(A2362,3)="Câu",I2358=""),"",IF(B2362=0,"",B2362)),CHAR(34),CHAR(92)&amp;CHAR(34))</f>
        <v/>
      </c>
      <c r="K2358" t="str">
        <f>SUBSTITUTE(SUBSTITUTE(SUBSTITUTE(SUBSTITUTE(IFERROR(VLOOKUP("Câu "&amp;D2358&amp;".",dapan!$E:$J,6,0),""),"1","A"),"2","B"),"3","C"),"4","D")</f>
        <v/>
      </c>
      <c r="P2358" t="str">
        <f t="shared" si="135"/>
        <v/>
      </c>
      <c r="Q2358" t="str">
        <f t="shared" si="136"/>
        <v/>
      </c>
    </row>
    <row r="2359" spans="1:17" hidden="1" x14ac:dyDescent="0.25">
      <c r="A2359">
        <v>2</v>
      </c>
      <c r="B2359" t="s">
        <v>1665</v>
      </c>
      <c r="C2359">
        <f>IFERROR(COUNTIFS($A$1:A2359,"Câu "&amp;"*")-MID(A2359,5,FIND(".",A2359,1)-5),0)</f>
        <v>0</v>
      </c>
      <c r="D2359" t="str">
        <f t="shared" si="138"/>
        <v/>
      </c>
      <c r="E2359" t="str">
        <f>SUBSTITUTE(IF(LEFT(A2359,3)="Câu",MID(A2359,FIND(".",A2359,1)+2,LEN(A2359)),""),CHAR(34),CHAR(92)&amp;CHAR(34))</f>
        <v/>
      </c>
      <c r="F2359" t="str">
        <f t="shared" si="137"/>
        <v/>
      </c>
      <c r="G2359" t="str">
        <f>SUBSTITUTE(B2360,CHAR(34),CHAR(92)&amp;CHAR(34))</f>
        <v>Tăng tốc độ, rẽ phải trước xe đạp.</v>
      </c>
      <c r="H2359" t="str">
        <f>SUBSTITUTE(B2361,CHAR(34),CHAR(92)&amp;CHAR(34))</f>
        <v/>
      </c>
      <c r="I2359" t="str">
        <f>SUBSTITUTE(IF(LEFT(A2362,3)="Câu","",B2362),CHAR(34),CHAR(92)&amp;CHAR(34))</f>
        <v>Tăng tốc độ, rẽ phải trước xe con màu xanh phía trước và người đi bộ.</v>
      </c>
      <c r="J2359" t="str">
        <f>SUBSTITUTE(IF(OR(LEFT(A2363,3)="Câu",I2359=""),"",IF(B2363=0,"",B2363)),CHAR(34),CHAR(92)&amp;CHAR(34))</f>
        <v>Giảm tốc độ, để người đi bộ qua đường và rẽ phải trước xe con màu xanh.</v>
      </c>
      <c r="K2359" t="str">
        <f>SUBSTITUTE(SUBSTITUTE(SUBSTITUTE(SUBSTITUTE(IFERROR(VLOOKUP("Câu "&amp;D2359&amp;".",dapan!$E:$J,6,0),""),"1","A"),"2","B"),"3","C"),"4","D")</f>
        <v/>
      </c>
      <c r="P2359" t="str">
        <f t="shared" si="135"/>
        <v/>
      </c>
      <c r="Q2359" t="str">
        <f t="shared" si="136"/>
        <v/>
      </c>
    </row>
    <row r="2360" spans="1:17" hidden="1" x14ac:dyDescent="0.25">
      <c r="A2360">
        <v>3</v>
      </c>
      <c r="B2360" t="s">
        <v>1666</v>
      </c>
      <c r="C2360">
        <f>IFERROR(COUNTIFS($A$1:A2360,"Câu "&amp;"*")-MID(A2360,5,FIND(".",A2360,1)-5),0)</f>
        <v>0</v>
      </c>
      <c r="D2360" t="str">
        <f t="shared" si="138"/>
        <v/>
      </c>
      <c r="E2360" t="str">
        <f>SUBSTITUTE(IF(LEFT(A2360,3)="Câu",MID(A2360,FIND(".",A2360,1)+2,LEN(A2360)),""),CHAR(34),CHAR(92)&amp;CHAR(34))</f>
        <v/>
      </c>
      <c r="F2360" t="str">
        <f t="shared" si="137"/>
        <v/>
      </c>
      <c r="G2360" t="str">
        <f>SUBSTITUTE(B2361,CHAR(34),CHAR(92)&amp;CHAR(34))</f>
        <v/>
      </c>
      <c r="H2360" t="str">
        <f>SUBSTITUTE(B2362,CHAR(34),CHAR(92)&amp;CHAR(34))</f>
        <v>Tăng tốc độ, rẽ phải trước xe con màu xanh phía trước và người đi bộ.</v>
      </c>
      <c r="I2360" t="str">
        <f>SUBSTITUTE(IF(LEFT(A2363,3)="Câu","",B2363),CHAR(34),CHAR(92)&amp;CHAR(34))</f>
        <v>Giảm tốc độ, để người đi bộ qua đường và rẽ phải trước xe con màu xanh.</v>
      </c>
      <c r="J2360" t="str">
        <f>SUBSTITUTE(IF(OR(LEFT(A2364,3)="Câu",I2360=""),"",IF(B2364=0,"",B2364)),CHAR(34),CHAR(92)&amp;CHAR(34))</f>
        <v xml:space="preserve"> Giảm tốc độ, để người đi bộ qua đường và rẽ phải sau xe con màu xanh.</v>
      </c>
      <c r="K2360" t="str">
        <f>SUBSTITUTE(SUBSTITUTE(SUBSTITUTE(SUBSTITUTE(IFERROR(VLOOKUP("Câu "&amp;D2360&amp;".",dapan!$E:$J,6,0),""),"1","A"),"2","B"),"3","C"),"4","D")</f>
        <v/>
      </c>
      <c r="P2360" t="str">
        <f t="shared" si="135"/>
        <v/>
      </c>
      <c r="Q2360" t="str">
        <f t="shared" si="136"/>
        <v/>
      </c>
    </row>
    <row r="2361" spans="1:17" x14ac:dyDescent="0.25">
      <c r="A2361" t="s">
        <v>1667</v>
      </c>
      <c r="C2361">
        <f>IFERROR(COUNTIFS($A$1:A2361,"Câu "&amp;"*")-MID(A2361,5,FIND(".",A2361,1)-5),0)</f>
        <v>0</v>
      </c>
      <c r="D2361">
        <f t="shared" si="138"/>
        <v>573</v>
      </c>
      <c r="E2361" t="str">
        <f>SUBSTITUTE(IF(LEFT(A2361,3)="Câu",MID(A2361,FIND(".",A2361,1)+2,LEN(A2361)),""),CHAR(34),CHAR(92)&amp;CHAR(34))</f>
        <v>Bạn xử lý như thế nào trong trường hợp này?</v>
      </c>
      <c r="F2361" t="str">
        <f t="shared" si="137"/>
        <v>q573.jpg</v>
      </c>
      <c r="G2361" t="str">
        <f>SUBSTITUTE(B2362,CHAR(34),CHAR(92)&amp;CHAR(34))</f>
        <v>Tăng tốc độ, rẽ phải trước xe con màu xanh phía trước và người đi bộ.</v>
      </c>
      <c r="H2361" t="str">
        <f>SUBSTITUTE(B2363,CHAR(34),CHAR(92)&amp;CHAR(34))</f>
        <v>Giảm tốc độ, để người đi bộ qua đường và rẽ phải trước xe con màu xanh.</v>
      </c>
      <c r="I2361" t="str">
        <f>SUBSTITUTE(IF(LEFT(A2364,3)="Câu","",B2364),CHAR(34),CHAR(92)&amp;CHAR(34))</f>
        <v xml:space="preserve"> Giảm tốc độ, để người đi bộ qua đường và rẽ phải sau xe con màu xanh.</v>
      </c>
      <c r="J2361" t="str">
        <f>SUBSTITUTE(IF(OR(LEFT(A2365,3)="Câu",I2361=""),"",IF(B2365=0,"",B2365)),CHAR(34),CHAR(92)&amp;CHAR(34))</f>
        <v/>
      </c>
      <c r="K2361" t="str">
        <f ca="1">SUBSTITUTE(SUBSTITUTE(SUBSTITUTE(SUBSTITUTE(IFERROR(VLOOKUP("Câu "&amp;D2361&amp;".",dapan!$E:$J,6,0),""),"1","A"),"2","B"),"3","C"),"4","D")</f>
        <v>C</v>
      </c>
      <c r="P2361">
        <f t="shared" si="135"/>
        <v>573</v>
      </c>
      <c r="Q2361" t="str">
        <f t="shared" ca="1" si="136"/>
        <v>{"num":573,"id":573,"q":"Bạn xử lý như thế nào trong trường hợp này?","img":"q573.jpg","opts":{"A":"Tăng tốc độ, rẽ phải trước xe con màu xanh phía trước và người đi bộ.","B":"Giảm tốc độ, để người đi bộ qua đường và rẽ phải trước xe con màu xanh.","C":" Giảm tốc độ, để người đi bộ qua đường và rẽ phải sau xe con màu xanh."},"answer":"C"},</v>
      </c>
    </row>
    <row r="2362" spans="1:17" hidden="1" x14ac:dyDescent="0.25">
      <c r="A2362">
        <v>1</v>
      </c>
      <c r="B2362" t="s">
        <v>1668</v>
      </c>
      <c r="C2362">
        <f>IFERROR(COUNTIFS($A$1:A2362,"Câu "&amp;"*")-MID(A2362,5,FIND(".",A2362,1)-5),0)</f>
        <v>0</v>
      </c>
      <c r="D2362" t="str">
        <f t="shared" si="138"/>
        <v/>
      </c>
      <c r="E2362" t="str">
        <f>SUBSTITUTE(IF(LEFT(A2362,3)="Câu",MID(A2362,FIND(".",A2362,1)+2,LEN(A2362)),""),CHAR(34),CHAR(92)&amp;CHAR(34))</f>
        <v/>
      </c>
      <c r="F2362" t="str">
        <f t="shared" si="137"/>
        <v/>
      </c>
      <c r="G2362" t="str">
        <f>SUBSTITUTE(B2363,CHAR(34),CHAR(92)&amp;CHAR(34))</f>
        <v>Giảm tốc độ, để người đi bộ qua đường và rẽ phải trước xe con màu xanh.</v>
      </c>
      <c r="H2362" t="str">
        <f>SUBSTITUTE(B2364,CHAR(34),CHAR(92)&amp;CHAR(34))</f>
        <v xml:space="preserve"> Giảm tốc độ, để người đi bộ qua đường và rẽ phải sau xe con màu xanh.</v>
      </c>
      <c r="I2362" t="str">
        <f>SUBSTITUTE(IF(LEFT(A2365,3)="Câu","",B2365),CHAR(34),CHAR(92)&amp;CHAR(34))</f>
        <v/>
      </c>
      <c r="J2362" t="str">
        <f>SUBSTITUTE(IF(OR(LEFT(A2366,3)="Câu",I2362=""),"",IF(B2366=0,"",B2366)),CHAR(34),CHAR(92)&amp;CHAR(34))</f>
        <v/>
      </c>
      <c r="K2362" t="str">
        <f>SUBSTITUTE(SUBSTITUTE(SUBSTITUTE(SUBSTITUTE(IFERROR(VLOOKUP("Câu "&amp;D2362&amp;".",dapan!$E:$J,6,0),""),"1","A"),"2","B"),"3","C"),"4","D")</f>
        <v/>
      </c>
      <c r="P2362" t="str">
        <f t="shared" si="135"/>
        <v/>
      </c>
      <c r="Q2362" t="str">
        <f t="shared" si="136"/>
        <v/>
      </c>
    </row>
    <row r="2363" spans="1:17" hidden="1" x14ac:dyDescent="0.25">
      <c r="A2363">
        <v>2</v>
      </c>
      <c r="B2363" t="s">
        <v>1669</v>
      </c>
      <c r="C2363">
        <f>IFERROR(COUNTIFS($A$1:A2363,"Câu "&amp;"*")-MID(A2363,5,FIND(".",A2363,1)-5),0)</f>
        <v>0</v>
      </c>
      <c r="D2363" t="str">
        <f t="shared" si="138"/>
        <v/>
      </c>
      <c r="E2363" t="str">
        <f>SUBSTITUTE(IF(LEFT(A2363,3)="Câu",MID(A2363,FIND(".",A2363,1)+2,LEN(A2363)),""),CHAR(34),CHAR(92)&amp;CHAR(34))</f>
        <v/>
      </c>
      <c r="F2363" t="str">
        <f t="shared" si="137"/>
        <v/>
      </c>
      <c r="G2363" t="str">
        <f>SUBSTITUTE(B2364,CHAR(34),CHAR(92)&amp;CHAR(34))</f>
        <v xml:space="preserve"> Giảm tốc độ, để người đi bộ qua đường và rẽ phải sau xe con màu xanh.</v>
      </c>
      <c r="H2363" t="str">
        <f>SUBSTITUTE(B2365,CHAR(34),CHAR(92)&amp;CHAR(34))</f>
        <v/>
      </c>
      <c r="I2363" t="str">
        <f>SUBSTITUTE(IF(LEFT(A2366,3)="Câu","",B2366),CHAR(34),CHAR(92)&amp;CHAR(34))</f>
        <v>Nhường đường cho xe khách và đi trước xe đạp.</v>
      </c>
      <c r="J2363" t="str">
        <f>SUBSTITUTE(IF(OR(LEFT(A2367,3)="Câu",I2363=""),"",IF(B2367=0,"",B2367)),CHAR(34),CHAR(92)&amp;CHAR(34))</f>
        <v>Nhường đường cho xe đạp và đi trước xe khách.</v>
      </c>
      <c r="K2363" t="str">
        <f>SUBSTITUTE(SUBSTITUTE(SUBSTITUTE(SUBSTITUTE(IFERROR(VLOOKUP("Câu "&amp;D2363&amp;".",dapan!$E:$J,6,0),""),"1","A"),"2","B"),"3","C"),"4","D")</f>
        <v/>
      </c>
      <c r="P2363" t="str">
        <f t="shared" si="135"/>
        <v/>
      </c>
      <c r="Q2363" t="str">
        <f t="shared" si="136"/>
        <v/>
      </c>
    </row>
    <row r="2364" spans="1:17" hidden="1" x14ac:dyDescent="0.25">
      <c r="A2364">
        <v>3</v>
      </c>
      <c r="B2364" t="s">
        <v>1670</v>
      </c>
      <c r="C2364">
        <f>IFERROR(COUNTIFS($A$1:A2364,"Câu "&amp;"*")-MID(A2364,5,FIND(".",A2364,1)-5),0)</f>
        <v>0</v>
      </c>
      <c r="D2364" t="str">
        <f t="shared" si="138"/>
        <v/>
      </c>
      <c r="E2364" t="str">
        <f>SUBSTITUTE(IF(LEFT(A2364,3)="Câu",MID(A2364,FIND(".",A2364,1)+2,LEN(A2364)),""),CHAR(34),CHAR(92)&amp;CHAR(34))</f>
        <v/>
      </c>
      <c r="F2364" t="str">
        <f t="shared" si="137"/>
        <v/>
      </c>
      <c r="G2364" t="str">
        <f>SUBSTITUTE(B2365,CHAR(34),CHAR(92)&amp;CHAR(34))</f>
        <v/>
      </c>
      <c r="H2364" t="str">
        <f>SUBSTITUTE(B2366,CHAR(34),CHAR(92)&amp;CHAR(34))</f>
        <v>Nhường đường cho xe khách và đi trước xe đạp.</v>
      </c>
      <c r="I2364" t="str">
        <f>SUBSTITUTE(IF(LEFT(A2367,3)="Câu","",B2367),CHAR(34),CHAR(92)&amp;CHAR(34))</f>
        <v>Nhường đường cho xe đạp và đi trước xe khách.</v>
      </c>
      <c r="J2364" t="str">
        <f>SUBSTITUTE(IF(OR(LEFT(A2368,3)="Câu",I2364=""),"",IF(B2368=0,"",B2368)),CHAR(34),CHAR(92)&amp;CHAR(34))</f>
        <v xml:space="preserve"> Nhường đường cho xe đạp và xe khách.</v>
      </c>
      <c r="K2364" t="str">
        <f>SUBSTITUTE(SUBSTITUTE(SUBSTITUTE(SUBSTITUTE(IFERROR(VLOOKUP("Câu "&amp;D2364&amp;".",dapan!$E:$J,6,0),""),"1","A"),"2","B"),"3","C"),"4","D")</f>
        <v/>
      </c>
      <c r="P2364" t="str">
        <f t="shared" si="135"/>
        <v/>
      </c>
      <c r="Q2364" t="str">
        <f t="shared" si="136"/>
        <v/>
      </c>
    </row>
    <row r="2365" spans="1:17" x14ac:dyDescent="0.25">
      <c r="A2365" t="s">
        <v>1774</v>
      </c>
      <c r="C2365">
        <f>IFERROR(COUNTIFS($A$1:A2365,"Câu "&amp;"*")-MID(A2365,5,FIND(".",A2365,1)-5),0)</f>
        <v>0</v>
      </c>
      <c r="D2365">
        <f t="shared" si="138"/>
        <v>574</v>
      </c>
      <c r="E2365" t="str">
        <f>SUBSTITUTE(IF(LEFT(A2365,3)="Câu",MID(A2365,FIND(".",A2365,1)+2,LEN(A2365)),""),CHAR(34),CHAR(92)&amp;CHAR(34))</f>
        <v>Bạn xử lý như thế nào trong trường hợp này?</v>
      </c>
      <c r="F2365" t="str">
        <f t="shared" si="137"/>
        <v>q574.jpg</v>
      </c>
      <c r="G2365" t="str">
        <f>SUBSTITUTE(B2366,CHAR(34),CHAR(92)&amp;CHAR(34))</f>
        <v>Nhường đường cho xe khách và đi trước xe đạp.</v>
      </c>
      <c r="H2365" t="str">
        <f>SUBSTITUTE(B2367,CHAR(34),CHAR(92)&amp;CHAR(34))</f>
        <v>Nhường đường cho xe đạp và đi trước xe khách.</v>
      </c>
      <c r="I2365" t="str">
        <f>SUBSTITUTE(IF(LEFT(A2368,3)="Câu","",B2368),CHAR(34),CHAR(92)&amp;CHAR(34))</f>
        <v xml:space="preserve"> Nhường đường cho xe đạp và xe khách.</v>
      </c>
      <c r="J2365" t="str">
        <f>SUBSTITUTE(IF(OR(LEFT(A2369,3)="Câu",I2365=""),"",IF(B2369=0,"",B2369)),CHAR(34),CHAR(92)&amp;CHAR(34))</f>
        <v/>
      </c>
      <c r="K2365" t="str">
        <f ca="1">SUBSTITUTE(SUBSTITUTE(SUBSTITUTE(SUBSTITUTE(IFERROR(VLOOKUP("Câu "&amp;D2365&amp;".",dapan!$E:$J,6,0),""),"1","A"),"2","B"),"3","C"),"4","D")</f>
        <v>C</v>
      </c>
      <c r="P2365">
        <f t="shared" si="135"/>
        <v>574</v>
      </c>
      <c r="Q2365" t="str">
        <f t="shared" ca="1" si="136"/>
        <v>{"num":574,"id":574,"q":"Bạn xử lý như thế nào trong trường hợp này?","img":"q574.jpg","opts":{"A":"Nhường đường cho xe khách và đi trước xe đạp.","B":"Nhường đường cho xe đạp và đi trước xe khách.","C":" Nhường đường cho xe đạp và xe khách."},"answer":"C"},</v>
      </c>
    </row>
    <row r="2366" spans="1:17" hidden="1" x14ac:dyDescent="0.25">
      <c r="A2366">
        <v>1</v>
      </c>
      <c r="B2366" t="s">
        <v>1671</v>
      </c>
      <c r="C2366">
        <f>IFERROR(COUNTIFS($A$1:A2366,"Câu "&amp;"*")-MID(A2366,5,FIND(".",A2366,1)-5),0)</f>
        <v>0</v>
      </c>
      <c r="D2366" t="str">
        <f t="shared" si="138"/>
        <v/>
      </c>
      <c r="E2366" t="str">
        <f>SUBSTITUTE(IF(LEFT(A2366,3)="Câu",MID(A2366,FIND(".",A2366,1)+2,LEN(A2366)),""),CHAR(34),CHAR(92)&amp;CHAR(34))</f>
        <v/>
      </c>
      <c r="F2366" t="str">
        <f t="shared" si="137"/>
        <v/>
      </c>
      <c r="G2366" t="str">
        <f>SUBSTITUTE(B2367,CHAR(34),CHAR(92)&amp;CHAR(34))</f>
        <v>Nhường đường cho xe đạp và đi trước xe khách.</v>
      </c>
      <c r="H2366" t="str">
        <f>SUBSTITUTE(B2368,CHAR(34),CHAR(92)&amp;CHAR(34))</f>
        <v xml:space="preserve"> Nhường đường cho xe đạp và xe khách.</v>
      </c>
      <c r="I2366" t="str">
        <f>SUBSTITUTE(IF(LEFT(A2369,3)="Câu","",B2369),CHAR(34),CHAR(92)&amp;CHAR(34))</f>
        <v/>
      </c>
      <c r="J2366" t="str">
        <f>SUBSTITUTE(IF(OR(LEFT(A2370,3)="Câu",I2366=""),"",IF(B2370=0,"",B2370)),CHAR(34),CHAR(92)&amp;CHAR(34))</f>
        <v/>
      </c>
      <c r="K2366" t="str">
        <f>SUBSTITUTE(SUBSTITUTE(SUBSTITUTE(SUBSTITUTE(IFERROR(VLOOKUP("Câu "&amp;D2366&amp;".",dapan!$E:$J,6,0),""),"1","A"),"2","B"),"3","C"),"4","D")</f>
        <v/>
      </c>
      <c r="P2366" t="str">
        <f t="shared" si="135"/>
        <v/>
      </c>
      <c r="Q2366" t="str">
        <f t="shared" si="136"/>
        <v/>
      </c>
    </row>
    <row r="2367" spans="1:17" hidden="1" x14ac:dyDescent="0.25">
      <c r="A2367">
        <v>2</v>
      </c>
      <c r="B2367" t="s">
        <v>1672</v>
      </c>
      <c r="C2367">
        <f>IFERROR(COUNTIFS($A$1:A2367,"Câu "&amp;"*")-MID(A2367,5,FIND(".",A2367,1)-5),0)</f>
        <v>0</v>
      </c>
      <c r="D2367" t="str">
        <f t="shared" si="138"/>
        <v/>
      </c>
      <c r="E2367" t="str">
        <f>SUBSTITUTE(IF(LEFT(A2367,3)="Câu",MID(A2367,FIND(".",A2367,1)+2,LEN(A2367)),""),CHAR(34),CHAR(92)&amp;CHAR(34))</f>
        <v/>
      </c>
      <c r="F2367" t="str">
        <f t="shared" si="137"/>
        <v/>
      </c>
      <c r="G2367" t="str">
        <f>SUBSTITUTE(B2368,CHAR(34),CHAR(92)&amp;CHAR(34))</f>
        <v xml:space="preserve"> Nhường đường cho xe đạp và xe khách.</v>
      </c>
      <c r="H2367" t="str">
        <f>SUBSTITUTE(B2369,CHAR(34),CHAR(92)&amp;CHAR(34))</f>
        <v/>
      </c>
      <c r="I2367" t="str">
        <f>SUBSTITUTE(IF(LEFT(A2370,3)="Câu","",B2370),CHAR(34),CHAR(92)&amp;CHAR(34))</f>
        <v>Xe con.</v>
      </c>
      <c r="J2367" t="str">
        <f>SUBSTITUTE(IF(OR(LEFT(A2371,3)="Câu",I2367=""),"",IF(B2371=0,"",B2371)),CHAR(34),CHAR(92)&amp;CHAR(34))</f>
        <v xml:space="preserve"> Xe tải.</v>
      </c>
      <c r="K2367" t="str">
        <f>SUBSTITUTE(SUBSTITUTE(SUBSTITUTE(SUBSTITUTE(IFERROR(VLOOKUP("Câu "&amp;D2367&amp;".",dapan!$E:$J,6,0),""),"1","A"),"2","B"),"3","C"),"4","D")</f>
        <v/>
      </c>
      <c r="P2367" t="str">
        <f t="shared" si="135"/>
        <v/>
      </c>
      <c r="Q2367" t="str">
        <f t="shared" si="136"/>
        <v/>
      </c>
    </row>
    <row r="2368" spans="1:17" hidden="1" x14ac:dyDescent="0.25">
      <c r="A2368">
        <v>3</v>
      </c>
      <c r="B2368" t="s">
        <v>1673</v>
      </c>
      <c r="C2368">
        <f>IFERROR(COUNTIFS($A$1:A2368,"Câu "&amp;"*")-MID(A2368,5,FIND(".",A2368,1)-5),0)</f>
        <v>0</v>
      </c>
      <c r="D2368" t="str">
        <f t="shared" si="138"/>
        <v/>
      </c>
      <c r="E2368" t="str">
        <f>SUBSTITUTE(IF(LEFT(A2368,3)="Câu",MID(A2368,FIND(".",A2368,1)+2,LEN(A2368)),""),CHAR(34),CHAR(92)&amp;CHAR(34))</f>
        <v/>
      </c>
      <c r="F2368" t="str">
        <f t="shared" si="137"/>
        <v/>
      </c>
      <c r="G2368" t="str">
        <f>SUBSTITUTE(B2369,CHAR(34),CHAR(92)&amp;CHAR(34))</f>
        <v/>
      </c>
      <c r="H2368" t="str">
        <f>SUBSTITUTE(B2370,CHAR(34),CHAR(92)&amp;CHAR(34))</f>
        <v>Xe con.</v>
      </c>
      <c r="I2368" t="str">
        <f>SUBSTITUTE(IF(LEFT(A2371,3)="Câu","",B2371),CHAR(34),CHAR(92)&amp;CHAR(34))</f>
        <v xml:space="preserve"> Xe tải.</v>
      </c>
      <c r="J2368" t="str">
        <f>SUBSTITUTE(IF(OR(LEFT(A2372,3)="Câu",I2368=""),"",IF(B2372=0,"",B2372)),CHAR(34),CHAR(92)&amp;CHAR(34))</f>
        <v>Xe của bạn.</v>
      </c>
      <c r="K2368" t="str">
        <f>SUBSTITUTE(SUBSTITUTE(SUBSTITUTE(SUBSTITUTE(IFERROR(VLOOKUP("Câu "&amp;D2368&amp;".",dapan!$E:$J,6,0),""),"1","A"),"2","B"),"3","C"),"4","D")</f>
        <v/>
      </c>
      <c r="P2368" t="str">
        <f t="shared" si="135"/>
        <v/>
      </c>
      <c r="Q2368" t="str">
        <f t="shared" si="136"/>
        <v/>
      </c>
    </row>
    <row r="2369" spans="1:17" x14ac:dyDescent="0.25">
      <c r="A2369" t="s">
        <v>1674</v>
      </c>
      <c r="C2369">
        <f>IFERROR(COUNTIFS($A$1:A2369,"Câu "&amp;"*")-MID(A2369,5,FIND(".",A2369,1)-5),0)</f>
        <v>0</v>
      </c>
      <c r="D2369">
        <f t="shared" si="138"/>
        <v>575</v>
      </c>
      <c r="E2369" t="str">
        <f>SUBSTITUTE(IF(LEFT(A2369,3)="Câu",MID(A2369,FIND(".",A2369,1)+2,LEN(A2369)),""),CHAR(34),CHAR(92)&amp;CHAR(34))</f>
        <v>Xe nào phải nhường đường trong trường hợp này?</v>
      </c>
      <c r="F2369" t="str">
        <f t="shared" si="137"/>
        <v>q575.jpg</v>
      </c>
      <c r="G2369" t="str">
        <f>SUBSTITUTE(B2370,CHAR(34),CHAR(92)&amp;CHAR(34))</f>
        <v>Xe con.</v>
      </c>
      <c r="H2369" t="str">
        <f>SUBSTITUTE(B2371,CHAR(34),CHAR(92)&amp;CHAR(34))</f>
        <v xml:space="preserve"> Xe tải.</v>
      </c>
      <c r="I2369" t="str">
        <f>SUBSTITUTE(IF(LEFT(A2372,3)="Câu","",B2372),CHAR(34),CHAR(92)&amp;CHAR(34))</f>
        <v>Xe của bạn.</v>
      </c>
      <c r="J2369" t="str">
        <f>SUBSTITUTE(IF(OR(LEFT(A2373,3)="Câu",I2369=""),"",IF(B2373=0,"",B2373)),CHAR(34),CHAR(92)&amp;CHAR(34))</f>
        <v/>
      </c>
      <c r="K2369" t="str">
        <f ca="1">SUBSTITUTE(SUBSTITUTE(SUBSTITUTE(SUBSTITUTE(IFERROR(VLOOKUP("Câu "&amp;D2369&amp;".",dapan!$E:$J,6,0),""),"1","A"),"2","B"),"3","C"),"4","D")</f>
        <v>B</v>
      </c>
      <c r="P2369">
        <f t="shared" si="135"/>
        <v>575</v>
      </c>
      <c r="Q2369" t="str">
        <f t="shared" ca="1" si="136"/>
        <v>{"num":575,"id":575,"q":"Xe nào phải nhường đường trong trường hợp này?","img":"q575.jpg","opts":{"A":"Xe con.","B":" Xe tải.","C":"Xe của bạn."},"answer":"B"},</v>
      </c>
    </row>
    <row r="2370" spans="1:17" hidden="1" x14ac:dyDescent="0.25">
      <c r="A2370">
        <v>1</v>
      </c>
      <c r="B2370" t="s">
        <v>1434</v>
      </c>
      <c r="C2370">
        <f>IFERROR(COUNTIFS($A$1:A2370,"Câu "&amp;"*")-MID(A2370,5,FIND(".",A2370,1)-5),0)</f>
        <v>0</v>
      </c>
      <c r="D2370" t="str">
        <f t="shared" si="138"/>
        <v/>
      </c>
      <c r="E2370" t="str">
        <f>SUBSTITUTE(IF(LEFT(A2370,3)="Câu",MID(A2370,FIND(".",A2370,1)+2,LEN(A2370)),""),CHAR(34),CHAR(92)&amp;CHAR(34))</f>
        <v/>
      </c>
      <c r="F2370" t="str">
        <f t="shared" si="137"/>
        <v/>
      </c>
      <c r="G2370" t="str">
        <f>SUBSTITUTE(B2371,CHAR(34),CHAR(92)&amp;CHAR(34))</f>
        <v xml:space="preserve"> Xe tải.</v>
      </c>
      <c r="H2370" t="str">
        <f>SUBSTITUTE(B2372,CHAR(34),CHAR(92)&amp;CHAR(34))</f>
        <v>Xe của bạn.</v>
      </c>
      <c r="I2370" t="str">
        <f>SUBSTITUTE(IF(LEFT(A2373,3)="Câu","",B2373),CHAR(34),CHAR(92)&amp;CHAR(34))</f>
        <v/>
      </c>
      <c r="J2370" t="str">
        <f>SUBSTITUTE(IF(OR(LEFT(A2374,3)="Câu",I2370=""),"",IF(B2374=0,"",B2374)),CHAR(34),CHAR(92)&amp;CHAR(34))</f>
        <v/>
      </c>
      <c r="K2370" t="str">
        <f>SUBSTITUTE(SUBSTITUTE(SUBSTITUTE(SUBSTITUTE(IFERROR(VLOOKUP("Câu "&amp;D2370&amp;".",dapan!$E:$J,6,0),""),"1","A"),"2","B"),"3","C"),"4","D")</f>
        <v/>
      </c>
      <c r="P2370" t="str">
        <f t="shared" si="135"/>
        <v/>
      </c>
      <c r="Q2370" t="str">
        <f t="shared" si="136"/>
        <v/>
      </c>
    </row>
    <row r="2371" spans="1:17" hidden="1" x14ac:dyDescent="0.25">
      <c r="A2371">
        <v>2</v>
      </c>
      <c r="B2371" t="s">
        <v>1460</v>
      </c>
      <c r="C2371">
        <f>IFERROR(COUNTIFS($A$1:A2371,"Câu "&amp;"*")-MID(A2371,5,FIND(".",A2371,1)-5),0)</f>
        <v>0</v>
      </c>
      <c r="D2371" t="str">
        <f t="shared" si="138"/>
        <v/>
      </c>
      <c r="E2371" t="str">
        <f>SUBSTITUTE(IF(LEFT(A2371,3)="Câu",MID(A2371,FIND(".",A2371,1)+2,LEN(A2371)),""),CHAR(34),CHAR(92)&amp;CHAR(34))</f>
        <v/>
      </c>
      <c r="F2371" t="str">
        <f t="shared" si="137"/>
        <v/>
      </c>
      <c r="G2371" t="str">
        <f>SUBSTITUTE(B2372,CHAR(34),CHAR(92)&amp;CHAR(34))</f>
        <v>Xe của bạn.</v>
      </c>
      <c r="H2371" t="str">
        <f>SUBSTITUTE(B2373,CHAR(34),CHAR(92)&amp;CHAR(34))</f>
        <v/>
      </c>
      <c r="I2371" t="str">
        <f>SUBSTITUTE(IF(LEFT(A2374,3)="Câu","",B2374),CHAR(34),CHAR(92)&amp;CHAR(34))</f>
        <v>Xe đi ngược chiều.</v>
      </c>
      <c r="J2371" t="str">
        <f>SUBSTITUTE(IF(OR(LEFT(A2375,3)="Câu",I2371=""),"",IF(B2375=0,"",B2375)),CHAR(34),CHAR(92)&amp;CHAR(34))</f>
        <v xml:space="preserve"> Xe của bạn.</v>
      </c>
      <c r="K2371" t="str">
        <f>SUBSTITUTE(SUBSTITUTE(SUBSTITUTE(SUBSTITUTE(IFERROR(VLOOKUP("Câu "&amp;D2371&amp;".",dapan!$E:$J,6,0),""),"1","A"),"2","B"),"3","C"),"4","D")</f>
        <v/>
      </c>
      <c r="P2371" t="str">
        <f t="shared" ref="P2371:P2434" si="139">D2371</f>
        <v/>
      </c>
      <c r="Q2371" t="str">
        <f t="shared" ref="Q2371:Q2434" si="140">IF(D2371="","",CHAR(123)&amp;CHAR(34)&amp;"num"&amp;CHAR(34)&amp;":"&amp;P2371&amp;","&amp;CHAR(34)&amp;"id"&amp;CHAR(34)&amp;":"&amp;D2371&amp;","
&amp;CHAR(34)&amp;"q"&amp;CHAR(34)&amp;":"&amp;CHAR(34)&amp;E2371&amp;CHAR(34)&amp;","
&amp;IF(F2371="","",CHAR(34)&amp;"img"&amp;CHAR(34)&amp;":"&amp;CHAR(34)&amp;F2371&amp;CHAR(34)&amp;",")
&amp;CHAR(34)&amp;"opts"&amp;CHAR(34)&amp;":"&amp;CHAR(123)&amp;CHAR(34)&amp;"A"&amp;CHAR(34)&amp;":"&amp;CHAR(34)&amp;G2371&amp;CHAR(34)&amp;","&amp;CHAR(34)&amp;"B"&amp;CHAR(34)&amp;":"&amp;CHAR(34)&amp;H2371&amp;CHAR(34)
&amp;IF(I2371="","",","&amp;CHAR(34)&amp;"C"&amp;CHAR(34)&amp;":"&amp;CHAR(34)&amp;I2371&amp;CHAR(34))&amp;IF(J2371="","",","&amp;CHAR(34)&amp;"D"&amp;CHAR(34)&amp;":"&amp;CHAR(34)&amp;J2371&amp;CHAR(34))&amp;CHAR(125)&amp;","
&amp;CHAR(34)&amp;"answer"&amp;CHAR(34)&amp;":"&amp;CHAR(34)&amp;K2371&amp;CHAR(34)
&amp;IF(L2371="","",","&amp;CHAR(34)&amp;"danger"&amp;CHAR(34)&amp;":"&amp;CHAR(34)&amp;"true"&amp;CHAR(34))
&amp;IF(M2371="","",","&amp;CHAR(34)&amp;"explain"&amp;CHAR(34)&amp;":"&amp;CHAR(34)&amp;M2371&amp;CHAR(34))
&amp;IF(N2371="","",","&amp;CHAR(34)&amp;"explainImg"&amp;CHAR(34)&amp;":"&amp;CHAR(34)&amp;N2371&amp;CHAR(34))
&amp;IF(O2371="","",","&amp;CHAR(34)&amp;"shuffle"&amp;CHAR(34)&amp;":"&amp;CHAR(34)&amp;"false"&amp;CHAR(34))&amp;CHAR(125)&amp;",")</f>
        <v/>
      </c>
    </row>
    <row r="2372" spans="1:17" hidden="1" x14ac:dyDescent="0.25">
      <c r="A2372">
        <v>3</v>
      </c>
      <c r="B2372" t="s">
        <v>1595</v>
      </c>
      <c r="C2372">
        <f>IFERROR(COUNTIFS($A$1:A2372,"Câu "&amp;"*")-MID(A2372,5,FIND(".",A2372,1)-5),0)</f>
        <v>0</v>
      </c>
      <c r="D2372" t="str">
        <f t="shared" si="138"/>
        <v/>
      </c>
      <c r="E2372" t="str">
        <f>SUBSTITUTE(IF(LEFT(A2372,3)="Câu",MID(A2372,FIND(".",A2372,1)+2,LEN(A2372)),""),CHAR(34),CHAR(92)&amp;CHAR(34))</f>
        <v/>
      </c>
      <c r="F2372" t="str">
        <f t="shared" si="137"/>
        <v/>
      </c>
      <c r="G2372" t="str">
        <f>SUBSTITUTE(B2373,CHAR(34),CHAR(92)&amp;CHAR(34))</f>
        <v/>
      </c>
      <c r="H2372" t="str">
        <f>SUBSTITUTE(B2374,CHAR(34),CHAR(92)&amp;CHAR(34))</f>
        <v>Xe đi ngược chiều.</v>
      </c>
      <c r="I2372" t="str">
        <f>SUBSTITUTE(IF(LEFT(A2375,3)="Câu","",B2375),CHAR(34),CHAR(92)&amp;CHAR(34))</f>
        <v xml:space="preserve"> Xe của bạn.</v>
      </c>
      <c r="J2372" t="str">
        <f>SUBSTITUTE(IF(OR(LEFT(A2376,3)="Câu",I2372=""),"",IF(B2376=0,"",B2376)),CHAR(34),CHAR(92)&amp;CHAR(34))</f>
        <v/>
      </c>
      <c r="K2372" t="str">
        <f>SUBSTITUTE(SUBSTITUTE(SUBSTITUTE(SUBSTITUTE(IFERROR(VLOOKUP("Câu "&amp;D2372&amp;".",dapan!$E:$J,6,0),""),"1","A"),"2","B"),"3","C"),"4","D")</f>
        <v/>
      </c>
      <c r="P2372" t="str">
        <f t="shared" si="139"/>
        <v/>
      </c>
      <c r="Q2372" t="str">
        <f t="shared" si="140"/>
        <v/>
      </c>
    </row>
    <row r="2373" spans="1:17" x14ac:dyDescent="0.25">
      <c r="A2373" t="s">
        <v>1675</v>
      </c>
      <c r="C2373">
        <f>IFERROR(COUNTIFS($A$1:A2373,"Câu "&amp;"*")-MID(A2373,5,FIND(".",A2373,1)-5),0)</f>
        <v>0</v>
      </c>
      <c r="D2373">
        <f t="shared" si="138"/>
        <v>576</v>
      </c>
      <c r="E2373" t="str">
        <f>SUBSTITUTE(IF(LEFT(A2373,3)="Câu",MID(A2373,FIND(".",A2373,1)+2,LEN(A2373)),""),CHAR(34),CHAR(92)&amp;CHAR(34))</f>
        <v>Xe nào phải nhường đường trong trường hợp này?</v>
      </c>
      <c r="F2373" t="str">
        <f t="shared" si="137"/>
        <v>q576.jpg</v>
      </c>
      <c r="G2373" t="str">
        <f>SUBSTITUTE(B2374,CHAR(34),CHAR(92)&amp;CHAR(34))</f>
        <v>Xe đi ngược chiều.</v>
      </c>
      <c r="H2373" t="str">
        <f>SUBSTITUTE(B2375,CHAR(34),CHAR(92)&amp;CHAR(34))</f>
        <v xml:space="preserve"> Xe của bạn.</v>
      </c>
      <c r="I2373" t="str">
        <f>SUBSTITUTE(IF(LEFT(A2376,3)="Câu","",B2376),CHAR(34),CHAR(92)&amp;CHAR(34))</f>
        <v/>
      </c>
      <c r="J2373" t="str">
        <f>SUBSTITUTE(IF(OR(LEFT(A2377,3)="Câu",I2373=""),"",IF(B2377=0,"",B2377)),CHAR(34),CHAR(92)&amp;CHAR(34))</f>
        <v/>
      </c>
      <c r="K2373" t="str">
        <f ca="1">SUBSTITUTE(SUBSTITUTE(SUBSTITUTE(SUBSTITUTE(IFERROR(VLOOKUP("Câu "&amp;D2373&amp;".",dapan!$E:$J,6,0),""),"1","A"),"2","B"),"3","C"),"4","D")</f>
        <v>B</v>
      </c>
      <c r="P2373">
        <f t="shared" si="139"/>
        <v>576</v>
      </c>
      <c r="Q2373" t="str">
        <f t="shared" ca="1" si="140"/>
        <v>{"num":576,"id":576,"q":"Xe nào phải nhường đường trong trường hợp này?","img":"q576.jpg","opts":{"A":"Xe đi ngược chiều.","B":" Xe của bạn."},"answer":"B"},</v>
      </c>
    </row>
    <row r="2374" spans="1:17" hidden="1" x14ac:dyDescent="0.25">
      <c r="A2374">
        <v>1</v>
      </c>
      <c r="B2374" t="s">
        <v>1676</v>
      </c>
      <c r="C2374">
        <f>IFERROR(COUNTIFS($A$1:A2374,"Câu "&amp;"*")-MID(A2374,5,FIND(".",A2374,1)-5),0)</f>
        <v>0</v>
      </c>
      <c r="D2374" t="str">
        <f t="shared" si="138"/>
        <v/>
      </c>
      <c r="E2374" t="str">
        <f>SUBSTITUTE(IF(LEFT(A2374,3)="Câu",MID(A2374,FIND(".",A2374,1)+2,LEN(A2374)),""),CHAR(34),CHAR(92)&amp;CHAR(34))</f>
        <v/>
      </c>
      <c r="F2374" t="str">
        <f t="shared" si="137"/>
        <v/>
      </c>
      <c r="G2374" t="str">
        <f>SUBSTITUTE(B2375,CHAR(34),CHAR(92)&amp;CHAR(34))</f>
        <v xml:space="preserve"> Xe của bạn.</v>
      </c>
      <c r="H2374" t="str">
        <f>SUBSTITUTE(B2376,CHAR(34),CHAR(92)&amp;CHAR(34))</f>
        <v/>
      </c>
      <c r="I2374" t="str">
        <f>SUBSTITUTE(IF(LEFT(A2377,3)="Câu","",B2377),CHAR(34),CHAR(92)&amp;CHAR(34))</f>
        <v>Tăng tốc độ, chuyển sang làn đường bên trái để vượt.</v>
      </c>
      <c r="J2374" t="str">
        <f>SUBSTITUTE(IF(OR(LEFT(A2378,3)="Câu",I2374=""),"",IF(B2378=0,"",B2378)),CHAR(34),CHAR(92)&amp;CHAR(34))</f>
        <v xml:space="preserve"> Không được vượt những người đi xe đạp.</v>
      </c>
      <c r="K2374" t="str">
        <f>SUBSTITUTE(SUBSTITUTE(SUBSTITUTE(SUBSTITUTE(IFERROR(VLOOKUP("Câu "&amp;D2374&amp;".",dapan!$E:$J,6,0),""),"1","A"),"2","B"),"3","C"),"4","D")</f>
        <v/>
      </c>
      <c r="P2374" t="str">
        <f t="shared" si="139"/>
        <v/>
      </c>
      <c r="Q2374" t="str">
        <f t="shared" si="140"/>
        <v/>
      </c>
    </row>
    <row r="2375" spans="1:17" hidden="1" x14ac:dyDescent="0.25">
      <c r="A2375">
        <v>2</v>
      </c>
      <c r="B2375" t="s">
        <v>1677</v>
      </c>
      <c r="C2375">
        <f>IFERROR(COUNTIFS($A$1:A2375,"Câu "&amp;"*")-MID(A2375,5,FIND(".",A2375,1)-5),0)</f>
        <v>0</v>
      </c>
      <c r="D2375" t="str">
        <f t="shared" si="138"/>
        <v/>
      </c>
      <c r="E2375" t="str">
        <f>SUBSTITUTE(IF(LEFT(A2375,3)="Câu",MID(A2375,FIND(".",A2375,1)+2,LEN(A2375)),""),CHAR(34),CHAR(92)&amp;CHAR(34))</f>
        <v/>
      </c>
      <c r="F2375" t="str">
        <f t="shared" si="137"/>
        <v/>
      </c>
      <c r="G2375" t="str">
        <f>SUBSTITUTE(B2376,CHAR(34),CHAR(92)&amp;CHAR(34))</f>
        <v/>
      </c>
      <c r="H2375" t="str">
        <f>SUBSTITUTE(B2377,CHAR(34),CHAR(92)&amp;CHAR(34))</f>
        <v>Tăng tốc độ, chuyển sang làn đường bên trái để vượt.</v>
      </c>
      <c r="I2375" t="str">
        <f>SUBSTITUTE(IF(LEFT(A2378,3)="Câu","",B2378),CHAR(34),CHAR(92)&amp;CHAR(34))</f>
        <v xml:space="preserve"> Không được vượt những người đi xe đạp.</v>
      </c>
      <c r="J2375" t="str">
        <f>SUBSTITUTE(IF(OR(LEFT(A2379,3)="Câu",I2375=""),"",IF(B2379=0,"",B2379)),CHAR(34),CHAR(92)&amp;CHAR(34))</f>
        <v/>
      </c>
      <c r="K2375" t="str">
        <f>SUBSTITUTE(SUBSTITUTE(SUBSTITUTE(SUBSTITUTE(IFERROR(VLOOKUP("Câu "&amp;D2375&amp;".",dapan!$E:$J,6,0),""),"1","A"),"2","B"),"3","C"),"4","D")</f>
        <v/>
      </c>
      <c r="P2375" t="str">
        <f t="shared" si="139"/>
        <v/>
      </c>
      <c r="Q2375" t="str">
        <f t="shared" si="140"/>
        <v/>
      </c>
    </row>
    <row r="2376" spans="1:17" x14ac:dyDescent="0.25">
      <c r="A2376" t="s">
        <v>1678</v>
      </c>
      <c r="C2376">
        <f>IFERROR(COUNTIFS($A$1:A2376,"Câu "&amp;"*")-MID(A2376,5,FIND(".",A2376,1)-5),0)</f>
        <v>0</v>
      </c>
      <c r="D2376">
        <f t="shared" si="138"/>
        <v>577</v>
      </c>
      <c r="E2376" t="str">
        <f>SUBSTITUTE(IF(LEFT(A2376,3)="Câu",MID(A2376,FIND(".",A2376,1)+2,LEN(A2376)),""),CHAR(34),CHAR(92)&amp;CHAR(34))</f>
        <v>Bạn xử lý như thế nào khi lái xe ô tô vượt qua đoàn người đi xe đạp có tổ chức?</v>
      </c>
      <c r="F2376" t="str">
        <f t="shared" si="137"/>
        <v>q577.jpg</v>
      </c>
      <c r="G2376" t="str">
        <f>SUBSTITUTE(B2377,CHAR(34),CHAR(92)&amp;CHAR(34))</f>
        <v>Tăng tốc độ, chuyển sang làn đường bên trái để vượt.</v>
      </c>
      <c r="H2376" t="str">
        <f>SUBSTITUTE(B2378,CHAR(34),CHAR(92)&amp;CHAR(34))</f>
        <v xml:space="preserve"> Không được vượt những người đi xe đạp.</v>
      </c>
      <c r="I2376" t="str">
        <f>SUBSTITUTE(IF(LEFT(A2379,3)="Câu","",B2379),CHAR(34),CHAR(92)&amp;CHAR(34))</f>
        <v/>
      </c>
      <c r="J2376" t="str">
        <f>SUBSTITUTE(IF(OR(LEFT(A2380,3)="Câu",I2376=""),"",IF(B2380=0,"",B2380)),CHAR(34),CHAR(92)&amp;CHAR(34))</f>
        <v/>
      </c>
      <c r="K2376" t="str">
        <f ca="1">SUBSTITUTE(SUBSTITUTE(SUBSTITUTE(SUBSTITUTE(IFERROR(VLOOKUP("Câu "&amp;D2376&amp;".",dapan!$E:$J,6,0),""),"1","A"),"2","B"),"3","C"),"4","D")</f>
        <v>B</v>
      </c>
      <c r="P2376">
        <f t="shared" si="139"/>
        <v>577</v>
      </c>
      <c r="Q2376" t="str">
        <f t="shared" ca="1" si="140"/>
        <v>{"num":577,"id":577,"q":"Bạn xử lý như thế nào khi lái xe ô tô vượt qua đoàn người đi xe đạp có tổ chức?","img":"q577.jpg","opts":{"A":"Tăng tốc độ, chuyển sang làn đường bên trái để vượt.","B":" Không được vượt những người đi xe đạp."},"answer":"B"},</v>
      </c>
    </row>
    <row r="2377" spans="1:17" hidden="1" x14ac:dyDescent="0.25">
      <c r="A2377">
        <v>1</v>
      </c>
      <c r="B2377" t="s">
        <v>1679</v>
      </c>
      <c r="C2377">
        <f>IFERROR(COUNTIFS($A$1:A2377,"Câu "&amp;"*")-MID(A2377,5,FIND(".",A2377,1)-5),0)</f>
        <v>0</v>
      </c>
      <c r="D2377" t="str">
        <f t="shared" si="138"/>
        <v/>
      </c>
      <c r="E2377" t="str">
        <f>SUBSTITUTE(IF(LEFT(A2377,3)="Câu",MID(A2377,FIND(".",A2377,1)+2,LEN(A2377)),""),CHAR(34),CHAR(92)&amp;CHAR(34))</f>
        <v/>
      </c>
      <c r="F2377" t="str">
        <f t="shared" si="137"/>
        <v/>
      </c>
      <c r="G2377" t="str">
        <f>SUBSTITUTE(B2378,CHAR(34),CHAR(92)&amp;CHAR(34))</f>
        <v xml:space="preserve"> Không được vượt những người đi xe đạp.</v>
      </c>
      <c r="H2377" t="str">
        <f>SUBSTITUTE(B2379,CHAR(34),CHAR(92)&amp;CHAR(34))</f>
        <v/>
      </c>
      <c r="I2377" t="str">
        <f>SUBSTITUTE(IF(LEFT(A2380,3)="Câu","",B2380),CHAR(34),CHAR(92)&amp;CHAR(34))</f>
        <v>Nếu phía sau không có xe xin vượt, chuyển sang làn đường bên trái.</v>
      </c>
      <c r="J2377" t="str">
        <f>SUBSTITUTE(IF(OR(LEFT(A2381,3)="Câu",I2377=""),"",IF(B2381=0,"",B2381)),CHAR(34),CHAR(92)&amp;CHAR(34))</f>
        <v>Nếu phía sau có xe xin vượt, thì giảm tốc độ, ở lại làn đường, dừng lại khi cần thiết.</v>
      </c>
      <c r="K2377" t="str">
        <f>SUBSTITUTE(SUBSTITUTE(SUBSTITUTE(SUBSTITUTE(IFERROR(VLOOKUP("Câu "&amp;D2377&amp;".",dapan!$E:$J,6,0),""),"1","A"),"2","B"),"3","C"),"4","D")</f>
        <v/>
      </c>
      <c r="P2377" t="str">
        <f t="shared" si="139"/>
        <v/>
      </c>
      <c r="Q2377" t="str">
        <f t="shared" si="140"/>
        <v/>
      </c>
    </row>
    <row r="2378" spans="1:17" hidden="1" x14ac:dyDescent="0.25">
      <c r="A2378">
        <v>2</v>
      </c>
      <c r="B2378" t="s">
        <v>1680</v>
      </c>
      <c r="C2378">
        <f>IFERROR(COUNTIFS($A$1:A2378,"Câu "&amp;"*")-MID(A2378,5,FIND(".",A2378,1)-5),0)</f>
        <v>0</v>
      </c>
      <c r="D2378" t="str">
        <f t="shared" si="138"/>
        <v/>
      </c>
      <c r="E2378" t="str">
        <f>SUBSTITUTE(IF(LEFT(A2378,3)="Câu",MID(A2378,FIND(".",A2378,1)+2,LEN(A2378)),""),CHAR(34),CHAR(92)&amp;CHAR(34))</f>
        <v/>
      </c>
      <c r="F2378" t="str">
        <f t="shared" si="137"/>
        <v/>
      </c>
      <c r="G2378" t="str">
        <f>SUBSTITUTE(B2379,CHAR(34),CHAR(92)&amp;CHAR(34))</f>
        <v/>
      </c>
      <c r="H2378" t="str">
        <f>SUBSTITUTE(B2380,CHAR(34),CHAR(92)&amp;CHAR(34))</f>
        <v>Nếu phía sau không có xe xin vượt, chuyển sang làn đường bên trái.</v>
      </c>
      <c r="I2378" t="str">
        <f>SUBSTITUTE(IF(LEFT(A2381,3)="Câu","",B2381),CHAR(34),CHAR(92)&amp;CHAR(34))</f>
        <v>Nếu phía sau có xe xin vượt, thì giảm tốc độ, ở lại làn đường, dừng lại khi cần thiết.</v>
      </c>
      <c r="J2378" t="str">
        <f>SUBSTITUTE(IF(OR(LEFT(A2382,3)="Câu",I2378=""),"",IF(B2382=0,"",B2382)),CHAR(34),CHAR(92)&amp;CHAR(34))</f>
        <v>Tăng tốc độ trên làn đường của mình và vượt xe con.</v>
      </c>
      <c r="K2378" t="str">
        <f>SUBSTITUTE(SUBSTITUTE(SUBSTITUTE(SUBSTITUTE(IFERROR(VLOOKUP("Câu "&amp;D2378&amp;".",dapan!$E:$J,6,0),""),"1","A"),"2","B"),"3","C"),"4","D")</f>
        <v/>
      </c>
      <c r="P2378" t="str">
        <f t="shared" si="139"/>
        <v/>
      </c>
      <c r="Q2378" t="str">
        <f t="shared" si="140"/>
        <v/>
      </c>
    </row>
    <row r="2379" spans="1:17" x14ac:dyDescent="0.25">
      <c r="A2379" t="s">
        <v>1681</v>
      </c>
      <c r="C2379">
        <f>IFERROR(COUNTIFS($A$1:A2379,"Câu "&amp;"*")-MID(A2379,5,FIND(".",A2379,1)-5),0)</f>
        <v>0</v>
      </c>
      <c r="D2379">
        <f t="shared" si="138"/>
        <v>578</v>
      </c>
      <c r="E2379" t="str">
        <f>SUBSTITUTE(IF(LEFT(A2379,3)="Câu",MID(A2379,FIND(".",A2379,1)+2,LEN(A2379)),""),CHAR(34),CHAR(92)&amp;CHAR(34))</f>
        <v>Phía trước có một xe đang lùi vào nơi đỗ, xe con phía trước đang chuyển sang làn đường bên trái, bạn xử lý như thế nào trong trường hợp này?</v>
      </c>
      <c r="F2379" t="str">
        <f t="shared" si="137"/>
        <v>q578.jpg</v>
      </c>
      <c r="G2379" t="str">
        <f>SUBSTITUTE(B2380,CHAR(34),CHAR(92)&amp;CHAR(34))</f>
        <v>Nếu phía sau không có xe xin vượt, chuyển sang làn đường bên trái.</v>
      </c>
      <c r="H2379" t="str">
        <f>SUBSTITUTE(B2381,CHAR(34),CHAR(92)&amp;CHAR(34))</f>
        <v>Nếu phía sau có xe xin vượt, thì giảm tốc độ, ở lại làn đường, dừng lại khi cần thiết.</v>
      </c>
      <c r="I2379" t="str">
        <f>SUBSTITUTE(IF(LEFT(A2382,3)="Câu","",B2382),CHAR(34),CHAR(92)&amp;CHAR(34))</f>
        <v>Tăng tốc độ trên làn đường của mình và vượt xe con.</v>
      </c>
      <c r="J2379" t="str">
        <f>SUBSTITUTE(IF(OR(LEFT(A2383,3)="Câu",I2379=""),"",IF(B2383=0,"",B2383)),CHAR(34),CHAR(92)&amp;CHAR(34))</f>
        <v xml:space="preserve"> Ý 1 và ý 2.</v>
      </c>
      <c r="K2379" t="str">
        <f ca="1">SUBSTITUTE(SUBSTITUTE(SUBSTITUTE(SUBSTITUTE(IFERROR(VLOOKUP("Câu "&amp;D2379&amp;".",dapan!$E:$J,6,0),""),"1","A"),"2","B"),"3","C"),"4","D")</f>
        <v>D</v>
      </c>
      <c r="P2379">
        <f t="shared" si="139"/>
        <v>578</v>
      </c>
      <c r="Q2379" t="str">
        <f t="shared" ca="1" si="140"/>
        <v>{"num":578,"id":578,"q":"Phía trước có một xe đang lùi vào nơi đỗ, xe con phía trước đang chuyển sang làn đường bên trái, bạn xử lý như thế nào trong trường hợp này?","img":"q578.jpg","opts":{"A":"Nếu phía sau không có xe xin vượt, chuyển sang làn đường bên trái.","B":"Nếu phía sau có xe xin vượt, thì giảm tốc độ, ở lại làn đường, dừng lại khi cần thiết.","C":"Tăng tốc độ trên làn đường của mình và vượt xe con.","D":" Ý 1 và ý 2."},"answer":"D"},</v>
      </c>
    </row>
    <row r="2380" spans="1:17" hidden="1" x14ac:dyDescent="0.25">
      <c r="A2380">
        <v>1</v>
      </c>
      <c r="B2380" t="s">
        <v>1682</v>
      </c>
      <c r="C2380">
        <f>IFERROR(COUNTIFS($A$1:A2380,"Câu "&amp;"*")-MID(A2380,5,FIND(".",A2380,1)-5),0)</f>
        <v>0</v>
      </c>
      <c r="D2380" t="str">
        <f t="shared" si="138"/>
        <v/>
      </c>
      <c r="E2380" t="str">
        <f>SUBSTITUTE(IF(LEFT(A2380,3)="Câu",MID(A2380,FIND(".",A2380,1)+2,LEN(A2380)),""),CHAR(34),CHAR(92)&amp;CHAR(34))</f>
        <v/>
      </c>
      <c r="F2380" t="str">
        <f t="shared" si="137"/>
        <v/>
      </c>
      <c r="G2380" t="str">
        <f>SUBSTITUTE(B2381,CHAR(34),CHAR(92)&amp;CHAR(34))</f>
        <v>Nếu phía sau có xe xin vượt, thì giảm tốc độ, ở lại làn đường, dừng lại khi cần thiết.</v>
      </c>
      <c r="H2380" t="str">
        <f>SUBSTITUTE(B2382,CHAR(34),CHAR(92)&amp;CHAR(34))</f>
        <v>Tăng tốc độ trên làn đường của mình và vượt xe con.</v>
      </c>
      <c r="I2380" t="str">
        <f>SUBSTITUTE(IF(LEFT(A2383,3)="Câu","",B2383),CHAR(34),CHAR(92)&amp;CHAR(34))</f>
        <v xml:space="preserve"> Ý 1 và ý 2.</v>
      </c>
      <c r="J2380" t="str">
        <f>SUBSTITUTE(IF(OR(LEFT(A2384,3)="Câu",I2380=""),"",IF(B2384=0,"",B2384)),CHAR(34),CHAR(92)&amp;CHAR(34))</f>
        <v/>
      </c>
      <c r="K2380" t="str">
        <f>SUBSTITUTE(SUBSTITUTE(SUBSTITUTE(SUBSTITUTE(IFERROR(VLOOKUP("Câu "&amp;D2380&amp;".",dapan!$E:$J,6,0),""),"1","A"),"2","B"),"3","C"),"4","D")</f>
        <v/>
      </c>
      <c r="P2380" t="str">
        <f t="shared" si="139"/>
        <v/>
      </c>
      <c r="Q2380" t="str">
        <f t="shared" si="140"/>
        <v/>
      </c>
    </row>
    <row r="2381" spans="1:17" hidden="1" x14ac:dyDescent="0.25">
      <c r="A2381">
        <v>2</v>
      </c>
      <c r="B2381" t="s">
        <v>1683</v>
      </c>
      <c r="C2381">
        <f>IFERROR(COUNTIFS($A$1:A2381,"Câu "&amp;"*")-MID(A2381,5,FIND(".",A2381,1)-5),0)</f>
        <v>0</v>
      </c>
      <c r="D2381" t="str">
        <f t="shared" si="138"/>
        <v/>
      </c>
      <c r="E2381" t="str">
        <f>SUBSTITUTE(IF(LEFT(A2381,3)="Câu",MID(A2381,FIND(".",A2381,1)+2,LEN(A2381)),""),CHAR(34),CHAR(92)&amp;CHAR(34))</f>
        <v/>
      </c>
      <c r="F2381" t="str">
        <f t="shared" si="137"/>
        <v/>
      </c>
      <c r="G2381" t="str">
        <f>SUBSTITUTE(B2382,CHAR(34),CHAR(92)&amp;CHAR(34))</f>
        <v>Tăng tốc độ trên làn đường của mình và vượt xe con.</v>
      </c>
      <c r="H2381" t="str">
        <f>SUBSTITUTE(B2383,CHAR(34),CHAR(92)&amp;CHAR(34))</f>
        <v xml:space="preserve"> Ý 1 và ý 2.</v>
      </c>
      <c r="I2381" t="str">
        <f>SUBSTITUTE(IF(LEFT(A2384,3)="Câu","",B2384),CHAR(34),CHAR(92)&amp;CHAR(34))</f>
        <v/>
      </c>
      <c r="J2381" t="str">
        <f>SUBSTITUTE(IF(OR(LEFT(A2385,3)="Câu",I2381=""),"",IF(B2385=0,"",B2385)),CHAR(34),CHAR(92)&amp;CHAR(34))</f>
        <v/>
      </c>
      <c r="K2381" t="str">
        <f>SUBSTITUTE(SUBSTITUTE(SUBSTITUTE(SUBSTITUTE(IFERROR(VLOOKUP("Câu "&amp;D2381&amp;".",dapan!$E:$J,6,0),""),"1","A"),"2","B"),"3","C"),"4","D")</f>
        <v/>
      </c>
      <c r="P2381" t="str">
        <f t="shared" si="139"/>
        <v/>
      </c>
      <c r="Q2381" t="str">
        <f t="shared" si="140"/>
        <v/>
      </c>
    </row>
    <row r="2382" spans="1:17" hidden="1" x14ac:dyDescent="0.25">
      <c r="A2382">
        <v>3</v>
      </c>
      <c r="B2382" t="s">
        <v>1684</v>
      </c>
      <c r="C2382">
        <f>IFERROR(COUNTIFS($A$1:A2382,"Câu "&amp;"*")-MID(A2382,5,FIND(".",A2382,1)-5),0)</f>
        <v>0</v>
      </c>
      <c r="D2382" t="str">
        <f t="shared" si="138"/>
        <v/>
      </c>
      <c r="E2382" t="str">
        <f>SUBSTITUTE(IF(LEFT(A2382,3)="Câu",MID(A2382,FIND(".",A2382,1)+2,LEN(A2382)),""),CHAR(34),CHAR(92)&amp;CHAR(34))</f>
        <v/>
      </c>
      <c r="F2382" t="str">
        <f t="shared" si="137"/>
        <v/>
      </c>
      <c r="G2382" t="str">
        <f>SUBSTITUTE(B2383,CHAR(34),CHAR(92)&amp;CHAR(34))</f>
        <v xml:space="preserve"> Ý 1 và ý 2.</v>
      </c>
      <c r="H2382" t="str">
        <f>SUBSTITUTE(B2384,CHAR(34),CHAR(92)&amp;CHAR(34))</f>
        <v/>
      </c>
      <c r="I2382" t="str">
        <f>SUBSTITUTE(IF(LEFT(A2385,3)="Câu","",B2385),CHAR(34),CHAR(92)&amp;CHAR(34))</f>
        <v>Chuyển sang nửa đường bên trái để đi tiếp.</v>
      </c>
      <c r="J2382" t="str">
        <f>SUBSTITUTE(IF(OR(LEFT(A2386,3)="Câu",I2382=""),"",IF(B2386=0,"",B2386)),CHAR(34),CHAR(92)&amp;CHAR(34))</f>
        <v>Bấm còi, nháy đèn báo hiệu và đi tiếp.</v>
      </c>
      <c r="K2382" t="str">
        <f>SUBSTITUTE(SUBSTITUTE(SUBSTITUTE(SUBSTITUTE(IFERROR(VLOOKUP("Câu "&amp;D2382&amp;".",dapan!$E:$J,6,0),""),"1","A"),"2","B"),"3","C"),"4","D")</f>
        <v/>
      </c>
      <c r="P2382" t="str">
        <f t="shared" si="139"/>
        <v/>
      </c>
      <c r="Q2382" t="str">
        <f t="shared" si="140"/>
        <v/>
      </c>
    </row>
    <row r="2383" spans="1:17" hidden="1" x14ac:dyDescent="0.25">
      <c r="A2383">
        <v>4</v>
      </c>
      <c r="B2383" t="s">
        <v>239</v>
      </c>
      <c r="C2383">
        <f>IFERROR(COUNTIFS($A$1:A2383,"Câu "&amp;"*")-MID(A2383,5,FIND(".",A2383,1)-5),0)</f>
        <v>0</v>
      </c>
      <c r="D2383" t="str">
        <f t="shared" si="138"/>
        <v/>
      </c>
      <c r="E2383" t="str">
        <f>SUBSTITUTE(IF(LEFT(A2383,3)="Câu",MID(A2383,FIND(".",A2383,1)+2,LEN(A2383)),""),CHAR(34),CHAR(92)&amp;CHAR(34))</f>
        <v/>
      </c>
      <c r="F2383" t="str">
        <f t="shared" si="137"/>
        <v/>
      </c>
      <c r="G2383" t="str">
        <f>SUBSTITUTE(B2384,CHAR(34),CHAR(92)&amp;CHAR(34))</f>
        <v/>
      </c>
      <c r="H2383" t="str">
        <f>SUBSTITUTE(B2385,CHAR(34),CHAR(92)&amp;CHAR(34))</f>
        <v>Chuyển sang nửa đường bên trái để đi tiếp.</v>
      </c>
      <c r="I2383" t="str">
        <f>SUBSTITUTE(IF(LEFT(A2386,3)="Câu","",B2386),CHAR(34),CHAR(92)&amp;CHAR(34))</f>
        <v>Bấm còi, nháy đèn báo hiệu và đi tiếp.</v>
      </c>
      <c r="J2383" t="str">
        <f>SUBSTITUTE(IF(OR(LEFT(A2387,3)="Câu",I2383=""),"",IF(B2387=0,"",B2387)),CHAR(34),CHAR(92)&amp;CHAR(34))</f>
        <v xml:space="preserve"> Giảm tốc độ, dừng lại nhường đường.</v>
      </c>
      <c r="K2383" t="str">
        <f>SUBSTITUTE(SUBSTITUTE(SUBSTITUTE(SUBSTITUTE(IFERROR(VLOOKUP("Câu "&amp;D2383&amp;".",dapan!$E:$J,6,0),""),"1","A"),"2","B"),"3","C"),"4","D")</f>
        <v/>
      </c>
      <c r="P2383" t="str">
        <f t="shared" si="139"/>
        <v/>
      </c>
      <c r="Q2383" t="str">
        <f t="shared" si="140"/>
        <v/>
      </c>
    </row>
    <row r="2384" spans="1:17" x14ac:dyDescent="0.25">
      <c r="A2384" t="s">
        <v>1685</v>
      </c>
      <c r="C2384">
        <f>IFERROR(COUNTIFS($A$1:A2384,"Câu "&amp;"*")-MID(A2384,5,FIND(".",A2384,1)-5),0)</f>
        <v>0</v>
      </c>
      <c r="D2384">
        <f t="shared" si="138"/>
        <v>579</v>
      </c>
      <c r="E2384" t="str">
        <f>SUBSTITUTE(IF(LEFT(A2384,3)="Câu",MID(A2384,FIND(".",A2384,1)+2,LEN(A2384)),""),CHAR(34),CHAR(92)&amp;CHAR(34))</f>
        <v>Bạn xử lý như thế nào khi xe phía trước đang lùi ra khỏi nơi đỗ?</v>
      </c>
      <c r="F2384" t="str">
        <f t="shared" si="137"/>
        <v>q579.jpg</v>
      </c>
      <c r="G2384" t="str">
        <f>SUBSTITUTE(B2385,CHAR(34),CHAR(92)&amp;CHAR(34))</f>
        <v>Chuyển sang nửa đường bên trái để đi tiếp.</v>
      </c>
      <c r="H2384" t="str">
        <f>SUBSTITUTE(B2386,CHAR(34),CHAR(92)&amp;CHAR(34))</f>
        <v>Bấm còi, nháy đèn báo hiệu và đi tiếp.</v>
      </c>
      <c r="I2384" t="str">
        <f>SUBSTITUTE(IF(LEFT(A2387,3)="Câu","",B2387),CHAR(34),CHAR(92)&amp;CHAR(34))</f>
        <v xml:space="preserve"> Giảm tốc độ, dừng lại nhường đường.</v>
      </c>
      <c r="J2384" t="str">
        <f>SUBSTITUTE(IF(OR(LEFT(A2388,3)="Câu",I2384=""),"",IF(B2388=0,"",B2388)),CHAR(34),CHAR(92)&amp;CHAR(34))</f>
        <v/>
      </c>
      <c r="K2384" t="str">
        <f ca="1">SUBSTITUTE(SUBSTITUTE(SUBSTITUTE(SUBSTITUTE(IFERROR(VLOOKUP("Câu "&amp;D2384&amp;".",dapan!$E:$J,6,0),""),"1","A"),"2","B"),"3","C"),"4","D")</f>
        <v>C</v>
      </c>
      <c r="P2384">
        <f t="shared" si="139"/>
        <v>579</v>
      </c>
      <c r="Q2384" t="str">
        <f t="shared" ca="1" si="140"/>
        <v>{"num":579,"id":579,"q":"Bạn xử lý như thế nào khi xe phía trước đang lùi ra khỏi nơi đỗ?","img":"q579.jpg","opts":{"A":"Chuyển sang nửa đường bên trái để đi tiếp.","B":"Bấm còi, nháy đèn báo hiệu và đi tiếp.","C":" Giảm tốc độ, dừng lại nhường đường."},"answer":"C"},</v>
      </c>
    </row>
    <row r="2385" spans="1:17" hidden="1" x14ac:dyDescent="0.25">
      <c r="A2385">
        <v>1</v>
      </c>
      <c r="B2385" t="s">
        <v>1686</v>
      </c>
      <c r="C2385">
        <f>IFERROR(COUNTIFS($A$1:A2385,"Câu "&amp;"*")-MID(A2385,5,FIND(".",A2385,1)-5),0)</f>
        <v>0</v>
      </c>
      <c r="D2385" t="str">
        <f t="shared" si="138"/>
        <v/>
      </c>
      <c r="E2385" t="str">
        <f>SUBSTITUTE(IF(LEFT(A2385,3)="Câu",MID(A2385,FIND(".",A2385,1)+2,LEN(A2385)),""),CHAR(34),CHAR(92)&amp;CHAR(34))</f>
        <v/>
      </c>
      <c r="F2385" t="str">
        <f t="shared" si="137"/>
        <v/>
      </c>
      <c r="G2385" t="str">
        <f>SUBSTITUTE(B2386,CHAR(34),CHAR(92)&amp;CHAR(34))</f>
        <v>Bấm còi, nháy đèn báo hiệu và đi tiếp.</v>
      </c>
      <c r="H2385" t="str">
        <f>SUBSTITUTE(B2387,CHAR(34),CHAR(92)&amp;CHAR(34))</f>
        <v xml:space="preserve"> Giảm tốc độ, dừng lại nhường đường.</v>
      </c>
      <c r="I2385" t="str">
        <f>SUBSTITUTE(IF(LEFT(A2388,3)="Câu","",B2388),CHAR(34),CHAR(92)&amp;CHAR(34))</f>
        <v/>
      </c>
      <c r="J2385" t="str">
        <f>SUBSTITUTE(IF(OR(LEFT(A2389,3)="Câu",I2385=""),"",IF(B2389=0,"",B2389)),CHAR(34),CHAR(92)&amp;CHAR(34))</f>
        <v/>
      </c>
      <c r="K2385" t="str">
        <f>SUBSTITUTE(SUBSTITUTE(SUBSTITUTE(SUBSTITUTE(IFERROR(VLOOKUP("Câu "&amp;D2385&amp;".",dapan!$E:$J,6,0),""),"1","A"),"2","B"),"3","C"),"4","D")</f>
        <v/>
      </c>
      <c r="P2385" t="str">
        <f t="shared" si="139"/>
        <v/>
      </c>
      <c r="Q2385" t="str">
        <f t="shared" si="140"/>
        <v/>
      </c>
    </row>
    <row r="2386" spans="1:17" hidden="1" x14ac:dyDescent="0.25">
      <c r="A2386">
        <v>2</v>
      </c>
      <c r="B2386" t="s">
        <v>1687</v>
      </c>
      <c r="C2386">
        <f>IFERROR(COUNTIFS($A$1:A2386,"Câu "&amp;"*")-MID(A2386,5,FIND(".",A2386,1)-5),0)</f>
        <v>0</v>
      </c>
      <c r="D2386" t="str">
        <f t="shared" si="138"/>
        <v/>
      </c>
      <c r="E2386" t="str">
        <f>SUBSTITUTE(IF(LEFT(A2386,3)="Câu",MID(A2386,FIND(".",A2386,1)+2,LEN(A2386)),""),CHAR(34),CHAR(92)&amp;CHAR(34))</f>
        <v/>
      </c>
      <c r="F2386" t="str">
        <f t="shared" si="137"/>
        <v/>
      </c>
      <c r="G2386" t="str">
        <f>SUBSTITUTE(B2387,CHAR(34),CHAR(92)&amp;CHAR(34))</f>
        <v xml:space="preserve"> Giảm tốc độ, dừng lại nhường đường.</v>
      </c>
      <c r="H2386" t="str">
        <f>SUBSTITUTE(B2388,CHAR(34),CHAR(92)&amp;CHAR(34))</f>
        <v/>
      </c>
      <c r="I2386" t="str">
        <f>SUBSTITUTE(IF(LEFT(A2389,3)="Câu","",B2389),CHAR(34),CHAR(92)&amp;CHAR(34))</f>
        <v xml:space="preserve"> Phanh xe giảm tốc độ và đi sát lề đường bên phải.</v>
      </c>
      <c r="J2386" t="str">
        <f>SUBSTITUTE(IF(OR(LEFT(A2390,3)="Câu",I2386=""),"",IF(B2390=0,"",B2390)),CHAR(34),CHAR(92)&amp;CHAR(34))</f>
        <v>Bấm còi, nháy đèn báo hiệu, giữ nguyên tốc độ và đi tiếp.</v>
      </c>
      <c r="K2386" t="str">
        <f>SUBSTITUTE(SUBSTITUTE(SUBSTITUTE(SUBSTITUTE(IFERROR(VLOOKUP("Câu "&amp;D2386&amp;".",dapan!$E:$J,6,0),""),"1","A"),"2","B"),"3","C"),"4","D")</f>
        <v/>
      </c>
      <c r="P2386" t="str">
        <f t="shared" si="139"/>
        <v/>
      </c>
      <c r="Q2386" t="str">
        <f t="shared" si="140"/>
        <v/>
      </c>
    </row>
    <row r="2387" spans="1:17" hidden="1" x14ac:dyDescent="0.25">
      <c r="A2387">
        <v>3</v>
      </c>
      <c r="B2387" t="s">
        <v>1688</v>
      </c>
      <c r="C2387">
        <f>IFERROR(COUNTIFS($A$1:A2387,"Câu "&amp;"*")-MID(A2387,5,FIND(".",A2387,1)-5),0)</f>
        <v>0</v>
      </c>
      <c r="D2387" t="str">
        <f t="shared" si="138"/>
        <v/>
      </c>
      <c r="E2387" t="str">
        <f>SUBSTITUTE(IF(LEFT(A2387,3)="Câu",MID(A2387,FIND(".",A2387,1)+2,LEN(A2387)),""),CHAR(34),CHAR(92)&amp;CHAR(34))</f>
        <v/>
      </c>
      <c r="F2387" t="str">
        <f t="shared" si="137"/>
        <v/>
      </c>
      <c r="G2387" t="str">
        <f>SUBSTITUTE(B2388,CHAR(34),CHAR(92)&amp;CHAR(34))</f>
        <v/>
      </c>
      <c r="H2387" t="str">
        <f>SUBSTITUTE(B2389,CHAR(34),CHAR(92)&amp;CHAR(34))</f>
        <v xml:space="preserve"> Phanh xe giảm tốc độ và đi sát lề đường bên phải.</v>
      </c>
      <c r="I2387" t="str">
        <f>SUBSTITUTE(IF(LEFT(A2390,3)="Câu","",B2390),CHAR(34),CHAR(92)&amp;CHAR(34))</f>
        <v>Bấm còi, nháy đèn báo hiệu, giữ nguyên tốc độ và đi tiếp.</v>
      </c>
      <c r="J2387" t="str">
        <f>SUBSTITUTE(IF(OR(LEFT(A2391,3)="Câu",I2387=""),"",IF(B2391=0,"",B2391)),CHAR(34),CHAR(92)&amp;CHAR(34))</f>
        <v>Phanh xe giảm tốc độ và đi sát vào lề đường bên trái.</v>
      </c>
      <c r="K2387" t="str">
        <f>SUBSTITUTE(SUBSTITUTE(SUBSTITUTE(SUBSTITUTE(IFERROR(VLOOKUP("Câu "&amp;D2387&amp;".",dapan!$E:$J,6,0),""),"1","A"),"2","B"),"3","C"),"4","D")</f>
        <v/>
      </c>
      <c r="P2387" t="str">
        <f t="shared" si="139"/>
        <v/>
      </c>
      <c r="Q2387" t="str">
        <f t="shared" si="140"/>
        <v/>
      </c>
    </row>
    <row r="2388" spans="1:17" x14ac:dyDescent="0.25">
      <c r="A2388" t="s">
        <v>1689</v>
      </c>
      <c r="C2388">
        <f>IFERROR(COUNTIFS($A$1:A2388,"Câu "&amp;"*")-MID(A2388,5,FIND(".",A2388,1)-5),0)</f>
        <v>0</v>
      </c>
      <c r="D2388">
        <f t="shared" si="138"/>
        <v>580</v>
      </c>
      <c r="E2388" t="str">
        <f>SUBSTITUTE(IF(LEFT(A2388,3)="Câu",MID(A2388,FIND(".",A2388,1)+2,LEN(A2388)),""),CHAR(34),CHAR(92)&amp;CHAR(34))</f>
        <v>Phía trước có một xe màu xanh đang vượt xe màu vàng trên làn đường của bạn, bạn xử lý như thế nào trong trường hợp này?</v>
      </c>
      <c r="F2388" t="str">
        <f t="shared" si="137"/>
        <v>q580.jpg</v>
      </c>
      <c r="G2388" t="str">
        <f>SUBSTITUTE(B2389,CHAR(34),CHAR(92)&amp;CHAR(34))</f>
        <v xml:space="preserve"> Phanh xe giảm tốc độ và đi sát lề đường bên phải.</v>
      </c>
      <c r="H2388" t="str">
        <f>SUBSTITUTE(B2390,CHAR(34),CHAR(92)&amp;CHAR(34))</f>
        <v>Bấm còi, nháy đèn báo hiệu, giữ nguyên tốc độ và đi tiếp.</v>
      </c>
      <c r="I2388" t="str">
        <f>SUBSTITUTE(IF(LEFT(A2391,3)="Câu","",B2391),CHAR(34),CHAR(92)&amp;CHAR(34))</f>
        <v>Phanh xe giảm tốc độ và đi sát vào lề đường bên trái.</v>
      </c>
      <c r="J2388" t="str">
        <f>SUBSTITUTE(IF(OR(LEFT(A2392,3)="Câu",I2388=""),"",IF(B2392=0,"",B2392)),CHAR(34),CHAR(92)&amp;CHAR(34))</f>
        <v/>
      </c>
      <c r="K2388" t="str">
        <f ca="1">SUBSTITUTE(SUBSTITUTE(SUBSTITUTE(SUBSTITUTE(IFERROR(VLOOKUP("Câu "&amp;D2388&amp;".",dapan!$E:$J,6,0),""),"1","A"),"2","B"),"3","C"),"4","D")</f>
        <v>A</v>
      </c>
      <c r="P2388">
        <f t="shared" si="139"/>
        <v>580</v>
      </c>
      <c r="Q2388" t="str">
        <f t="shared" ca="1" si="140"/>
        <v>{"num":580,"id":580,"q":"Phía trước có một xe màu xanh đang vượt xe màu vàng trên làn đường của bạn, bạn xử lý như thế nào trong trường hợp này?","img":"q580.jpg","opts":{"A":" Phanh xe giảm tốc độ và đi sát lề đường bên phải.","B":"Bấm còi, nháy đèn báo hiệu, giữ nguyên tốc độ và đi tiếp.","C":"Phanh xe giảm tốc độ và đi sát vào lề đường bên trái."},"answer":"A"},</v>
      </c>
    </row>
    <row r="2389" spans="1:17" hidden="1" x14ac:dyDescent="0.25">
      <c r="A2389">
        <v>1</v>
      </c>
      <c r="B2389" t="s">
        <v>1690</v>
      </c>
      <c r="C2389">
        <f>IFERROR(COUNTIFS($A$1:A2389,"Câu "&amp;"*")-MID(A2389,5,FIND(".",A2389,1)-5),0)</f>
        <v>0</v>
      </c>
      <c r="D2389" t="str">
        <f t="shared" si="138"/>
        <v/>
      </c>
      <c r="E2389" t="str">
        <f>SUBSTITUTE(IF(LEFT(A2389,3)="Câu",MID(A2389,FIND(".",A2389,1)+2,LEN(A2389)),""),CHAR(34),CHAR(92)&amp;CHAR(34))</f>
        <v/>
      </c>
      <c r="F2389" t="str">
        <f t="shared" si="137"/>
        <v/>
      </c>
      <c r="G2389" t="str">
        <f>SUBSTITUTE(B2390,CHAR(34),CHAR(92)&amp;CHAR(34))</f>
        <v>Bấm còi, nháy đèn báo hiệu, giữ nguyên tốc độ và đi tiếp.</v>
      </c>
      <c r="H2389" t="str">
        <f>SUBSTITUTE(B2391,CHAR(34),CHAR(92)&amp;CHAR(34))</f>
        <v>Phanh xe giảm tốc độ và đi sát vào lề đường bên trái.</v>
      </c>
      <c r="I2389" t="str">
        <f>SUBSTITUTE(IF(LEFT(A2392,3)="Câu","",B2392),CHAR(34),CHAR(92)&amp;CHAR(34))</f>
        <v/>
      </c>
      <c r="J2389" t="str">
        <f>SUBSTITUTE(IF(OR(LEFT(A2393,3)="Câu",I2389=""),"",IF(B2393=0,"",B2393)),CHAR(34),CHAR(92)&amp;CHAR(34))</f>
        <v/>
      </c>
      <c r="K2389" t="str">
        <f>SUBSTITUTE(SUBSTITUTE(SUBSTITUTE(SUBSTITUTE(IFERROR(VLOOKUP("Câu "&amp;D2389&amp;".",dapan!$E:$J,6,0),""),"1","A"),"2","B"),"3","C"),"4","D")</f>
        <v/>
      </c>
      <c r="P2389" t="str">
        <f t="shared" si="139"/>
        <v/>
      </c>
      <c r="Q2389" t="str">
        <f t="shared" si="140"/>
        <v/>
      </c>
    </row>
    <row r="2390" spans="1:17" hidden="1" x14ac:dyDescent="0.25">
      <c r="A2390">
        <v>2</v>
      </c>
      <c r="B2390" t="s">
        <v>1691</v>
      </c>
      <c r="C2390">
        <f>IFERROR(COUNTIFS($A$1:A2390,"Câu "&amp;"*")-MID(A2390,5,FIND(".",A2390,1)-5),0)</f>
        <v>0</v>
      </c>
      <c r="D2390" t="str">
        <f t="shared" si="138"/>
        <v/>
      </c>
      <c r="E2390" t="str">
        <f>SUBSTITUTE(IF(LEFT(A2390,3)="Câu",MID(A2390,FIND(".",A2390,1)+2,LEN(A2390)),""),CHAR(34),CHAR(92)&amp;CHAR(34))</f>
        <v/>
      </c>
      <c r="F2390" t="str">
        <f t="shared" ref="F2390:F2453" si="141">IF(D2390="","","q"&amp;TEXT(D2390,"000")&amp;".jpg")</f>
        <v/>
      </c>
      <c r="G2390" t="str">
        <f>SUBSTITUTE(B2391,CHAR(34),CHAR(92)&amp;CHAR(34))</f>
        <v>Phanh xe giảm tốc độ và đi sát vào lề đường bên trái.</v>
      </c>
      <c r="H2390" t="str">
        <f>SUBSTITUTE(B2392,CHAR(34),CHAR(92)&amp;CHAR(34))</f>
        <v/>
      </c>
      <c r="I2390" t="str">
        <f>SUBSTITUTE(IF(LEFT(A2393,3)="Câu","",B2393),CHAR(34),CHAR(92)&amp;CHAR(34))</f>
        <v>Bật tín hiệu xin chuyển làn đường sang trái để vượt xe tải.</v>
      </c>
      <c r="J2390" t="str">
        <f>SUBSTITUTE(IF(OR(LEFT(A2394,3)="Câu",I2390=""),"",IF(B2394=0,"",B2394)),CHAR(34),CHAR(92)&amp;CHAR(34))</f>
        <v xml:space="preserve"> Phanh xe giảm tốc độ chờ xe tải phía trước chuyển làn đường.</v>
      </c>
      <c r="K2390" t="str">
        <f>SUBSTITUTE(SUBSTITUTE(SUBSTITUTE(SUBSTITUTE(IFERROR(VLOOKUP("Câu "&amp;D2390&amp;".",dapan!$E:$J,6,0),""),"1","A"),"2","B"),"3","C"),"4","D")</f>
        <v/>
      </c>
      <c r="P2390" t="str">
        <f t="shared" si="139"/>
        <v/>
      </c>
      <c r="Q2390" t="str">
        <f t="shared" si="140"/>
        <v/>
      </c>
    </row>
    <row r="2391" spans="1:17" hidden="1" x14ac:dyDescent="0.25">
      <c r="A2391">
        <v>3</v>
      </c>
      <c r="B2391" t="s">
        <v>1692</v>
      </c>
      <c r="C2391">
        <f>IFERROR(COUNTIFS($A$1:A2391,"Câu "&amp;"*")-MID(A2391,5,FIND(".",A2391,1)-5),0)</f>
        <v>0</v>
      </c>
      <c r="D2391" t="str">
        <f t="shared" si="138"/>
        <v/>
      </c>
      <c r="E2391" t="str">
        <f>SUBSTITUTE(IF(LEFT(A2391,3)="Câu",MID(A2391,FIND(".",A2391,1)+2,LEN(A2391)),""),CHAR(34),CHAR(92)&amp;CHAR(34))</f>
        <v/>
      </c>
      <c r="F2391" t="str">
        <f t="shared" si="141"/>
        <v/>
      </c>
      <c r="G2391" t="str">
        <f>SUBSTITUTE(B2392,CHAR(34),CHAR(92)&amp;CHAR(34))</f>
        <v/>
      </c>
      <c r="H2391" t="str">
        <f>SUBSTITUTE(B2393,CHAR(34),CHAR(92)&amp;CHAR(34))</f>
        <v>Bật tín hiệu xin chuyển làn đường sang trái để vượt xe tải.</v>
      </c>
      <c r="I2391" t="str">
        <f>SUBSTITUTE(IF(LEFT(A2394,3)="Câu","",B2394),CHAR(34),CHAR(92)&amp;CHAR(34))</f>
        <v xml:space="preserve"> Phanh xe giảm tốc độ chờ xe tải phía trước chuyển làn đường.</v>
      </c>
      <c r="J2391" t="str">
        <f>SUBSTITUTE(IF(OR(LEFT(A2395,3)="Câu",I2391=""),"",IF(B2395=0,"",B2395)),CHAR(34),CHAR(92)&amp;CHAR(34))</f>
        <v>Bấm còi báo hiệu và vượt qua xe tải trên làn đường của mình.</v>
      </c>
      <c r="K2391" t="str">
        <f>SUBSTITUTE(SUBSTITUTE(SUBSTITUTE(SUBSTITUTE(IFERROR(VLOOKUP("Câu "&amp;D2391&amp;".",dapan!$E:$J,6,0),""),"1","A"),"2","B"),"3","C"),"4","D")</f>
        <v/>
      </c>
      <c r="P2391" t="str">
        <f t="shared" si="139"/>
        <v/>
      </c>
      <c r="Q2391" t="str">
        <f t="shared" si="140"/>
        <v/>
      </c>
    </row>
    <row r="2392" spans="1:17" x14ac:dyDescent="0.25">
      <c r="A2392" t="s">
        <v>1693</v>
      </c>
      <c r="C2392">
        <f>IFERROR(COUNTIFS($A$1:A2392,"Câu "&amp;"*")-MID(A2392,5,FIND(".",A2392,1)-5),0)</f>
        <v>0</v>
      </c>
      <c r="D2392">
        <f t="shared" si="138"/>
        <v>581</v>
      </c>
      <c r="E2392" t="str">
        <f>SUBSTITUTE(IF(LEFT(A2392,3)="Câu",MID(A2392,FIND(".",A2392,1)+2,LEN(A2392)),""),CHAR(34),CHAR(92)&amp;CHAR(34))</f>
        <v>Xe tải phía trước có tín hiệu xin chuyển làn đường, bạn xử lý như thế nào trong trường hợp này?</v>
      </c>
      <c r="F2392" t="str">
        <f t="shared" si="141"/>
        <v>q581.jpg</v>
      </c>
      <c r="G2392" t="str">
        <f>SUBSTITUTE(B2393,CHAR(34),CHAR(92)&amp;CHAR(34))</f>
        <v>Bật tín hiệu xin chuyển làn đường sang trái để vượt xe tải.</v>
      </c>
      <c r="H2392" t="str">
        <f>SUBSTITUTE(B2394,CHAR(34),CHAR(92)&amp;CHAR(34))</f>
        <v xml:space="preserve"> Phanh xe giảm tốc độ chờ xe tải phía trước chuyển làn đường.</v>
      </c>
      <c r="I2392" t="str">
        <f>SUBSTITUTE(IF(LEFT(A2395,3)="Câu","",B2395),CHAR(34),CHAR(92)&amp;CHAR(34))</f>
        <v>Bấm còi báo hiệu và vượt qua xe tải trên làn đường của mình.</v>
      </c>
      <c r="J2392" t="str">
        <f>SUBSTITUTE(IF(OR(LEFT(A2396,3)="Câu",I2392=""),"",IF(B2396=0,"",B2396)),CHAR(34),CHAR(92)&amp;CHAR(34))</f>
        <v/>
      </c>
      <c r="K2392" t="str">
        <f ca="1">SUBSTITUTE(SUBSTITUTE(SUBSTITUTE(SUBSTITUTE(IFERROR(VLOOKUP("Câu "&amp;D2392&amp;".",dapan!$E:$J,6,0),""),"1","A"),"2","B"),"3","C"),"4","D")</f>
        <v>B</v>
      </c>
      <c r="P2392">
        <f t="shared" si="139"/>
        <v>581</v>
      </c>
      <c r="Q2392" t="str">
        <f t="shared" ca="1" si="140"/>
        <v>{"num":581,"id":581,"q":"Xe tải phía trước có tín hiệu xin chuyển làn đường, bạn xử lý như thế nào trong trường hợp này?","img":"q581.jpg","opts":{"A":"Bật tín hiệu xin chuyển làn đường sang trái để vượt xe tải.","B":" Phanh xe giảm tốc độ chờ xe tải phía trước chuyển làn đường.","C":"Bấm còi báo hiệu và vượt qua xe tải trên làn đường của mình."},"answer":"B"},</v>
      </c>
    </row>
    <row r="2393" spans="1:17" hidden="1" x14ac:dyDescent="0.25">
      <c r="A2393">
        <v>1</v>
      </c>
      <c r="B2393" t="s">
        <v>1694</v>
      </c>
      <c r="C2393">
        <f>IFERROR(COUNTIFS($A$1:A2393,"Câu "&amp;"*")-MID(A2393,5,FIND(".",A2393,1)-5),0)</f>
        <v>0</v>
      </c>
      <c r="D2393" t="str">
        <f t="shared" ref="D2393:D2456" si="142">IF(LEFT(A2393,3)="Câu",VALUE(MID(A2393,5,FIND(".",A2393,1)-5)),"")</f>
        <v/>
      </c>
      <c r="E2393" t="str">
        <f>SUBSTITUTE(IF(LEFT(A2393,3)="Câu",MID(A2393,FIND(".",A2393,1)+2,LEN(A2393)),""),CHAR(34),CHAR(92)&amp;CHAR(34))</f>
        <v/>
      </c>
      <c r="F2393" t="str">
        <f t="shared" si="141"/>
        <v/>
      </c>
      <c r="G2393" t="str">
        <f>SUBSTITUTE(B2394,CHAR(34),CHAR(92)&amp;CHAR(34))</f>
        <v xml:space="preserve"> Phanh xe giảm tốc độ chờ xe tải phía trước chuyển làn đường.</v>
      </c>
      <c r="H2393" t="str">
        <f>SUBSTITUTE(B2395,CHAR(34),CHAR(92)&amp;CHAR(34))</f>
        <v>Bấm còi báo hiệu và vượt qua xe tải trên làn đường của mình.</v>
      </c>
      <c r="I2393" t="str">
        <f>SUBSTITUTE(IF(LEFT(A2396,3)="Câu","",B2396),CHAR(34),CHAR(92)&amp;CHAR(34))</f>
        <v/>
      </c>
      <c r="J2393" t="str">
        <f>SUBSTITUTE(IF(OR(LEFT(A2397,3)="Câu",I2393=""),"",IF(B2397=0,"",B2397)),CHAR(34),CHAR(92)&amp;CHAR(34))</f>
        <v/>
      </c>
      <c r="K2393" t="str">
        <f>SUBSTITUTE(SUBSTITUTE(SUBSTITUTE(SUBSTITUTE(IFERROR(VLOOKUP("Câu "&amp;D2393&amp;".",dapan!$E:$J,6,0),""),"1","A"),"2","B"),"3","C"),"4","D")</f>
        <v/>
      </c>
      <c r="P2393" t="str">
        <f t="shared" si="139"/>
        <v/>
      </c>
      <c r="Q2393" t="str">
        <f t="shared" si="140"/>
        <v/>
      </c>
    </row>
    <row r="2394" spans="1:17" hidden="1" x14ac:dyDescent="0.25">
      <c r="A2394">
        <v>2</v>
      </c>
      <c r="B2394" t="s">
        <v>1695</v>
      </c>
      <c r="C2394">
        <f>IFERROR(COUNTIFS($A$1:A2394,"Câu "&amp;"*")-MID(A2394,5,FIND(".",A2394,1)-5),0)</f>
        <v>0</v>
      </c>
      <c r="D2394" t="str">
        <f t="shared" si="142"/>
        <v/>
      </c>
      <c r="E2394" t="str">
        <f>SUBSTITUTE(IF(LEFT(A2394,3)="Câu",MID(A2394,FIND(".",A2394,1)+2,LEN(A2394)),""),CHAR(34),CHAR(92)&amp;CHAR(34))</f>
        <v/>
      </c>
      <c r="F2394" t="str">
        <f t="shared" si="141"/>
        <v/>
      </c>
      <c r="G2394" t="str">
        <f>SUBSTITUTE(B2395,CHAR(34),CHAR(92)&amp;CHAR(34))</f>
        <v>Bấm còi báo hiệu và vượt qua xe tải trên làn đường của mình.</v>
      </c>
      <c r="H2394" t="str">
        <f>SUBSTITUTE(B2396,CHAR(34),CHAR(92)&amp;CHAR(34))</f>
        <v/>
      </c>
      <c r="I2394" t="str">
        <f>SUBSTITUTE(IF(LEFT(A2397,3)="Câu","",B2397),CHAR(34),CHAR(92)&amp;CHAR(34))</f>
        <v>Tăng tốc độ và đi thẳng qua ngã tư.</v>
      </c>
      <c r="J2394" t="str">
        <f>SUBSTITUTE(IF(OR(LEFT(A2398,3)="Câu",I2394=""),"",IF(B2398=0,"",B2398)),CHAR(34),CHAR(92)&amp;CHAR(34))</f>
        <v>Dừng xe trước vạch dừng.</v>
      </c>
      <c r="K2394" t="str">
        <f>SUBSTITUTE(SUBSTITUTE(SUBSTITUTE(SUBSTITUTE(IFERROR(VLOOKUP("Câu "&amp;D2394&amp;".",dapan!$E:$J,6,0),""),"1","A"),"2","B"),"3","C"),"4","D")</f>
        <v/>
      </c>
      <c r="P2394" t="str">
        <f t="shared" si="139"/>
        <v/>
      </c>
      <c r="Q2394" t="str">
        <f t="shared" si="140"/>
        <v/>
      </c>
    </row>
    <row r="2395" spans="1:17" hidden="1" x14ac:dyDescent="0.25">
      <c r="A2395">
        <v>3</v>
      </c>
      <c r="B2395" t="s">
        <v>1696</v>
      </c>
      <c r="C2395">
        <f>IFERROR(COUNTIFS($A$1:A2395,"Câu "&amp;"*")-MID(A2395,5,FIND(".",A2395,1)-5),0)</f>
        <v>0</v>
      </c>
      <c r="D2395" t="str">
        <f t="shared" si="142"/>
        <v/>
      </c>
      <c r="E2395" t="str">
        <f>SUBSTITUTE(IF(LEFT(A2395,3)="Câu",MID(A2395,FIND(".",A2395,1)+2,LEN(A2395)),""),CHAR(34),CHAR(92)&amp;CHAR(34))</f>
        <v/>
      </c>
      <c r="F2395" t="str">
        <f t="shared" si="141"/>
        <v/>
      </c>
      <c r="G2395" t="str">
        <f>SUBSTITUTE(B2396,CHAR(34),CHAR(92)&amp;CHAR(34))</f>
        <v/>
      </c>
      <c r="H2395" t="str">
        <f>SUBSTITUTE(B2397,CHAR(34),CHAR(92)&amp;CHAR(34))</f>
        <v>Tăng tốc độ và đi thẳng qua ngã tư.</v>
      </c>
      <c r="I2395" t="str">
        <f>SUBSTITUTE(IF(LEFT(A2398,3)="Câu","",B2398),CHAR(34),CHAR(92)&amp;CHAR(34))</f>
        <v>Dừng xe trước vạch dừng.</v>
      </c>
      <c r="J2395" t="str">
        <f>SUBSTITUTE(IF(OR(LEFT(A2399,3)="Câu",I2395=""),"",IF(B2399=0,"",B2399)),CHAR(34),CHAR(92)&amp;CHAR(34))</f>
        <v xml:space="preserve"> Giảm tốc độ và đi thẳng qua ngã tư.</v>
      </c>
      <c r="K2395" t="str">
        <f>SUBSTITUTE(SUBSTITUTE(SUBSTITUTE(SUBSTITUTE(IFERROR(VLOOKUP("Câu "&amp;D2395&amp;".",dapan!$E:$J,6,0),""),"1","A"),"2","B"),"3","C"),"4","D")</f>
        <v/>
      </c>
      <c r="P2395" t="str">
        <f t="shared" si="139"/>
        <v/>
      </c>
      <c r="Q2395" t="str">
        <f t="shared" si="140"/>
        <v/>
      </c>
    </row>
    <row r="2396" spans="1:17" x14ac:dyDescent="0.25">
      <c r="A2396" t="s">
        <v>1697</v>
      </c>
      <c r="C2396">
        <f>IFERROR(COUNTIFS($A$1:A2396,"Câu "&amp;"*")-MID(A2396,5,FIND(".",A2396,1)-5),0)</f>
        <v>0</v>
      </c>
      <c r="D2396">
        <f t="shared" si="142"/>
        <v>582</v>
      </c>
      <c r="E2396" t="str">
        <f>SUBSTITUTE(IF(LEFT(A2396,3)="Câu",MID(A2396,FIND(".",A2396,1)+2,LEN(A2396)),""),CHAR(34),CHAR(92)&amp;CHAR(34))</f>
        <v>Bạn xử lý như thế nào trong trường hợp này?</v>
      </c>
      <c r="F2396" t="str">
        <f t="shared" si="141"/>
        <v>q582.jpg</v>
      </c>
      <c r="G2396" t="str">
        <f>SUBSTITUTE(B2397,CHAR(34),CHAR(92)&amp;CHAR(34))</f>
        <v>Tăng tốc độ và đi thẳng qua ngã tư.</v>
      </c>
      <c r="H2396" t="str">
        <f>SUBSTITUTE(B2398,CHAR(34),CHAR(92)&amp;CHAR(34))</f>
        <v>Dừng xe trước vạch dừng.</v>
      </c>
      <c r="I2396" t="str">
        <f>SUBSTITUTE(IF(LEFT(A2399,3)="Câu","",B2399),CHAR(34),CHAR(92)&amp;CHAR(34))</f>
        <v xml:space="preserve"> Giảm tốc độ và đi thẳng qua ngã tư.</v>
      </c>
      <c r="J2396" t="str">
        <f>SUBSTITUTE(IF(OR(LEFT(A2400,3)="Câu",I2396=""),"",IF(B2400=0,"",B2400)),CHAR(34),CHAR(92)&amp;CHAR(34))</f>
        <v/>
      </c>
      <c r="K2396" t="str">
        <f ca="1">SUBSTITUTE(SUBSTITUTE(SUBSTITUTE(SUBSTITUTE(IFERROR(VLOOKUP("Câu "&amp;D2396&amp;".",dapan!$E:$J,6,0),""),"1","A"),"2","B"),"3","C"),"4","D")</f>
        <v>C</v>
      </c>
      <c r="P2396">
        <f t="shared" si="139"/>
        <v>582</v>
      </c>
      <c r="Q2396" t="str">
        <f t="shared" ca="1" si="140"/>
        <v>{"num":582,"id":582,"q":"Bạn xử lý như thế nào trong trường hợp này?","img":"q582.jpg","opts":{"A":"Tăng tốc độ và đi thẳng qua ngã tư.","B":"Dừng xe trước vạch dừng.","C":" Giảm tốc độ và đi thẳng qua ngã tư."},"answer":"C"},</v>
      </c>
    </row>
    <row r="2397" spans="1:17" hidden="1" x14ac:dyDescent="0.25">
      <c r="A2397">
        <v>1</v>
      </c>
      <c r="B2397" t="s">
        <v>1698</v>
      </c>
      <c r="C2397">
        <f>IFERROR(COUNTIFS($A$1:A2397,"Câu "&amp;"*")-MID(A2397,5,FIND(".",A2397,1)-5),0)</f>
        <v>0</v>
      </c>
      <c r="D2397" t="str">
        <f t="shared" si="142"/>
        <v/>
      </c>
      <c r="E2397" t="str">
        <f>SUBSTITUTE(IF(LEFT(A2397,3)="Câu",MID(A2397,FIND(".",A2397,1)+2,LEN(A2397)),""),CHAR(34),CHAR(92)&amp;CHAR(34))</f>
        <v/>
      </c>
      <c r="F2397" t="str">
        <f t="shared" si="141"/>
        <v/>
      </c>
      <c r="G2397" t="str">
        <f>SUBSTITUTE(B2398,CHAR(34),CHAR(92)&amp;CHAR(34))</f>
        <v>Dừng xe trước vạch dừng.</v>
      </c>
      <c r="H2397" t="str">
        <f>SUBSTITUTE(B2399,CHAR(34),CHAR(92)&amp;CHAR(34))</f>
        <v xml:space="preserve"> Giảm tốc độ và đi thẳng qua ngã tư.</v>
      </c>
      <c r="I2397" t="str">
        <f>SUBSTITUTE(IF(LEFT(A2400,3)="Câu","",B2400),CHAR(34),CHAR(92)&amp;CHAR(34))</f>
        <v/>
      </c>
      <c r="J2397" t="str">
        <f>SUBSTITUTE(IF(OR(LEFT(A2401,3)="Câu",I2397=""),"",IF(B2401=0,"",B2401)),CHAR(34),CHAR(92)&amp;CHAR(34))</f>
        <v/>
      </c>
      <c r="K2397" t="str">
        <f>SUBSTITUTE(SUBSTITUTE(SUBSTITUTE(SUBSTITUTE(IFERROR(VLOOKUP("Câu "&amp;D2397&amp;".",dapan!$E:$J,6,0),""),"1","A"),"2","B"),"3","C"),"4","D")</f>
        <v/>
      </c>
      <c r="P2397" t="str">
        <f t="shared" si="139"/>
        <v/>
      </c>
      <c r="Q2397" t="str">
        <f t="shared" si="140"/>
        <v/>
      </c>
    </row>
    <row r="2398" spans="1:17" hidden="1" x14ac:dyDescent="0.25">
      <c r="A2398">
        <v>2</v>
      </c>
      <c r="B2398" t="s">
        <v>1699</v>
      </c>
      <c r="C2398">
        <f>IFERROR(COUNTIFS($A$1:A2398,"Câu "&amp;"*")-MID(A2398,5,FIND(".",A2398,1)-5),0)</f>
        <v>0</v>
      </c>
      <c r="D2398" t="str">
        <f t="shared" si="142"/>
        <v/>
      </c>
      <c r="E2398" t="str">
        <f>SUBSTITUTE(IF(LEFT(A2398,3)="Câu",MID(A2398,FIND(".",A2398,1)+2,LEN(A2398)),""),CHAR(34),CHAR(92)&amp;CHAR(34))</f>
        <v/>
      </c>
      <c r="F2398" t="str">
        <f t="shared" si="141"/>
        <v/>
      </c>
      <c r="G2398" t="str">
        <f>SUBSTITUTE(B2399,CHAR(34),CHAR(92)&amp;CHAR(34))</f>
        <v xml:space="preserve"> Giảm tốc độ và đi thẳng qua ngã tư.</v>
      </c>
      <c r="H2398" t="str">
        <f>SUBSTITUTE(B2400,CHAR(34),CHAR(92)&amp;CHAR(34))</f>
        <v/>
      </c>
      <c r="I2398" t="str">
        <f>SUBSTITUTE(IF(LEFT(A2401,3)="Câu","",B2401),CHAR(34),CHAR(92)&amp;CHAR(34))</f>
        <v>Xe của bạn, xe mô tô, xe đạp.</v>
      </c>
      <c r="J2398" t="str">
        <f>SUBSTITUTE(IF(OR(LEFT(A2402,3)="Câu",I2398=""),"",IF(B2402=0,"",B2402)),CHAR(34),CHAR(92)&amp;CHAR(34))</f>
        <v>Xe mô tô, xe đạp, xe của bạn.</v>
      </c>
      <c r="K2398" t="str">
        <f>SUBSTITUTE(SUBSTITUTE(SUBSTITUTE(SUBSTITUTE(IFERROR(VLOOKUP("Câu "&amp;D2398&amp;".",dapan!$E:$J,6,0),""),"1","A"),"2","B"),"3","C"),"4","D")</f>
        <v/>
      </c>
      <c r="P2398" t="str">
        <f t="shared" si="139"/>
        <v/>
      </c>
      <c r="Q2398" t="str">
        <f t="shared" si="140"/>
        <v/>
      </c>
    </row>
    <row r="2399" spans="1:17" hidden="1" x14ac:dyDescent="0.25">
      <c r="A2399">
        <v>3</v>
      </c>
      <c r="B2399" t="s">
        <v>1700</v>
      </c>
      <c r="C2399">
        <f>IFERROR(COUNTIFS($A$1:A2399,"Câu "&amp;"*")-MID(A2399,5,FIND(".",A2399,1)-5),0)</f>
        <v>0</v>
      </c>
      <c r="D2399" t="str">
        <f t="shared" si="142"/>
        <v/>
      </c>
      <c r="E2399" t="str">
        <f>SUBSTITUTE(IF(LEFT(A2399,3)="Câu",MID(A2399,FIND(".",A2399,1)+2,LEN(A2399)),""),CHAR(34),CHAR(92)&amp;CHAR(34))</f>
        <v/>
      </c>
      <c r="F2399" t="str">
        <f t="shared" si="141"/>
        <v/>
      </c>
      <c r="G2399" t="str">
        <f>SUBSTITUTE(B2400,CHAR(34),CHAR(92)&amp;CHAR(34))</f>
        <v/>
      </c>
      <c r="H2399" t="str">
        <f>SUBSTITUTE(B2401,CHAR(34),CHAR(92)&amp;CHAR(34))</f>
        <v>Xe của bạn, xe mô tô, xe đạp.</v>
      </c>
      <c r="I2399" t="str">
        <f>SUBSTITUTE(IF(LEFT(A2402,3)="Câu","",B2402),CHAR(34),CHAR(92)&amp;CHAR(34))</f>
        <v>Xe mô tô, xe đạp, xe của bạn.</v>
      </c>
      <c r="J2399" t="str">
        <f>SUBSTITUTE(IF(OR(LEFT(A2403,3)="Câu",I2399=""),"",IF(B2403=0,"",B2403)),CHAR(34),CHAR(92)&amp;CHAR(34))</f>
        <v xml:space="preserve"> Xe đạp, xe mô tô, xe của bạn.</v>
      </c>
      <c r="K2399" t="str">
        <f>SUBSTITUTE(SUBSTITUTE(SUBSTITUTE(SUBSTITUTE(IFERROR(VLOOKUP("Câu "&amp;D2399&amp;".",dapan!$E:$J,6,0),""),"1","A"),"2","B"),"3","C"),"4","D")</f>
        <v/>
      </c>
      <c r="P2399" t="str">
        <f t="shared" si="139"/>
        <v/>
      </c>
      <c r="Q2399" t="str">
        <f t="shared" si="140"/>
        <v/>
      </c>
    </row>
    <row r="2400" spans="1:17" x14ac:dyDescent="0.25">
      <c r="A2400" t="s">
        <v>1701</v>
      </c>
      <c r="C2400">
        <f>IFERROR(COUNTIFS($A$1:A2400,"Câu "&amp;"*")-MID(A2400,5,FIND(".",A2400,1)-5),0)</f>
        <v>0</v>
      </c>
      <c r="D2400">
        <f t="shared" si="142"/>
        <v>583</v>
      </c>
      <c r="E2400" t="str">
        <f>SUBSTITUTE(IF(LEFT(A2400,3)="Câu",MID(A2400,FIND(".",A2400,1)+2,LEN(A2400)),""),CHAR(34),CHAR(92)&amp;CHAR(34))</f>
        <v>Các xe đi theo thứ tự nào là đúng quy tắc giao thông đường bộ?</v>
      </c>
      <c r="F2400" t="str">
        <f t="shared" si="141"/>
        <v>q583.jpg</v>
      </c>
      <c r="G2400" t="str">
        <f>SUBSTITUTE(B2401,CHAR(34),CHAR(92)&amp;CHAR(34))</f>
        <v>Xe của bạn, xe mô tô, xe đạp.</v>
      </c>
      <c r="H2400" t="str">
        <f>SUBSTITUTE(B2402,CHAR(34),CHAR(92)&amp;CHAR(34))</f>
        <v>Xe mô tô, xe đạp, xe của bạn.</v>
      </c>
      <c r="I2400" t="str">
        <f>SUBSTITUTE(IF(LEFT(A2403,3)="Câu","",B2403),CHAR(34),CHAR(92)&amp;CHAR(34))</f>
        <v xml:space="preserve"> Xe đạp, xe mô tô, xe của bạn.</v>
      </c>
      <c r="J2400" t="str">
        <f>SUBSTITUTE(IF(OR(LEFT(A2404,3)="Câu",I2400=""),"",IF(B2404=0,"",B2404)),CHAR(34),CHAR(92)&amp;CHAR(34))</f>
        <v/>
      </c>
      <c r="K2400" t="str">
        <f ca="1">SUBSTITUTE(SUBSTITUTE(SUBSTITUTE(SUBSTITUTE(IFERROR(VLOOKUP("Câu "&amp;D2400&amp;".",dapan!$E:$J,6,0),""),"1","A"),"2","B"),"3","C"),"4","D")</f>
        <v>C</v>
      </c>
      <c r="P2400">
        <f t="shared" si="139"/>
        <v>583</v>
      </c>
      <c r="Q2400" t="str">
        <f t="shared" ca="1" si="140"/>
        <v>{"num":583,"id":583,"q":"Các xe đi theo thứ tự nào là đúng quy tắc giao thông đường bộ?","img":"q583.jpg","opts":{"A":"Xe của bạn, xe mô tô, xe đạp.","B":"Xe mô tô, xe đạp, xe của bạn.","C":" Xe đạp, xe mô tô, xe của bạn."},"answer":"C"},</v>
      </c>
    </row>
    <row r="2401" spans="1:17" hidden="1" x14ac:dyDescent="0.25">
      <c r="A2401">
        <v>1</v>
      </c>
      <c r="B2401" t="s">
        <v>1702</v>
      </c>
      <c r="C2401">
        <f>IFERROR(COUNTIFS($A$1:A2401,"Câu "&amp;"*")-MID(A2401,5,FIND(".",A2401,1)-5),0)</f>
        <v>0</v>
      </c>
      <c r="D2401" t="str">
        <f t="shared" si="142"/>
        <v/>
      </c>
      <c r="E2401" t="str">
        <f>SUBSTITUTE(IF(LEFT(A2401,3)="Câu",MID(A2401,FIND(".",A2401,1)+2,LEN(A2401)),""),CHAR(34),CHAR(92)&amp;CHAR(34))</f>
        <v/>
      </c>
      <c r="F2401" t="str">
        <f t="shared" si="141"/>
        <v/>
      </c>
      <c r="G2401" t="str">
        <f>SUBSTITUTE(B2402,CHAR(34),CHAR(92)&amp;CHAR(34))</f>
        <v>Xe mô tô, xe đạp, xe của bạn.</v>
      </c>
      <c r="H2401" t="str">
        <f>SUBSTITUTE(B2403,CHAR(34),CHAR(92)&amp;CHAR(34))</f>
        <v xml:space="preserve"> Xe đạp, xe mô tô, xe của bạn.</v>
      </c>
      <c r="I2401" t="str">
        <f>SUBSTITUTE(IF(LEFT(A2404,3)="Câu","",B2404),CHAR(34),CHAR(92)&amp;CHAR(34))</f>
        <v/>
      </c>
      <c r="J2401" t="str">
        <f>SUBSTITUTE(IF(OR(LEFT(A2405,3)="Câu",I2401=""),"",IF(B2405=0,"",B2405)),CHAR(34),CHAR(92)&amp;CHAR(34))</f>
        <v/>
      </c>
      <c r="K2401" t="str">
        <f>SUBSTITUTE(SUBSTITUTE(SUBSTITUTE(SUBSTITUTE(IFERROR(VLOOKUP("Câu "&amp;D2401&amp;".",dapan!$E:$J,6,0),""),"1","A"),"2","B"),"3","C"),"4","D")</f>
        <v/>
      </c>
      <c r="P2401" t="str">
        <f t="shared" si="139"/>
        <v/>
      </c>
      <c r="Q2401" t="str">
        <f t="shared" si="140"/>
        <v/>
      </c>
    </row>
    <row r="2402" spans="1:17" hidden="1" x14ac:dyDescent="0.25">
      <c r="A2402">
        <v>2</v>
      </c>
      <c r="B2402" t="s">
        <v>1703</v>
      </c>
      <c r="C2402">
        <f>IFERROR(COUNTIFS($A$1:A2402,"Câu "&amp;"*")-MID(A2402,5,FIND(".",A2402,1)-5),0)</f>
        <v>0</v>
      </c>
      <c r="D2402" t="str">
        <f t="shared" si="142"/>
        <v/>
      </c>
      <c r="E2402" t="str">
        <f>SUBSTITUTE(IF(LEFT(A2402,3)="Câu",MID(A2402,FIND(".",A2402,1)+2,LEN(A2402)),""),CHAR(34),CHAR(92)&amp;CHAR(34))</f>
        <v/>
      </c>
      <c r="F2402" t="str">
        <f t="shared" si="141"/>
        <v/>
      </c>
      <c r="G2402" t="str">
        <f>SUBSTITUTE(B2403,CHAR(34),CHAR(92)&amp;CHAR(34))</f>
        <v xml:space="preserve"> Xe đạp, xe mô tô, xe của bạn.</v>
      </c>
      <c r="H2402" t="str">
        <f>SUBSTITUTE(B2404,CHAR(34),CHAR(92)&amp;CHAR(34))</f>
        <v/>
      </c>
      <c r="I2402" t="str">
        <f>SUBSTITUTE(IF(LEFT(A2405,3)="Câu","",B2405),CHAR(34),CHAR(92)&amp;CHAR(34))</f>
        <v>Xe của bạn, xe tải, xe con.</v>
      </c>
      <c r="J2402" t="str">
        <f>SUBSTITUTE(IF(OR(LEFT(A2406,3)="Câu",I2402=""),"",IF(B2406=0,"",B2406)),CHAR(34),CHAR(92)&amp;CHAR(34))</f>
        <v>Xe con, xe tải, xe của bạn.</v>
      </c>
      <c r="K2402" t="str">
        <f>SUBSTITUTE(SUBSTITUTE(SUBSTITUTE(SUBSTITUTE(IFERROR(VLOOKUP("Câu "&amp;D2402&amp;".",dapan!$E:$J,6,0),""),"1","A"),"2","B"),"3","C"),"4","D")</f>
        <v/>
      </c>
      <c r="P2402" t="str">
        <f t="shared" si="139"/>
        <v/>
      </c>
      <c r="Q2402" t="str">
        <f t="shared" si="140"/>
        <v/>
      </c>
    </row>
    <row r="2403" spans="1:17" hidden="1" x14ac:dyDescent="0.25">
      <c r="A2403">
        <v>3</v>
      </c>
      <c r="B2403" t="s">
        <v>1704</v>
      </c>
      <c r="C2403">
        <f>IFERROR(COUNTIFS($A$1:A2403,"Câu "&amp;"*")-MID(A2403,5,FIND(".",A2403,1)-5),0)</f>
        <v>0</v>
      </c>
      <c r="D2403" t="str">
        <f t="shared" si="142"/>
        <v/>
      </c>
      <c r="E2403" t="str">
        <f>SUBSTITUTE(IF(LEFT(A2403,3)="Câu",MID(A2403,FIND(".",A2403,1)+2,LEN(A2403)),""),CHAR(34),CHAR(92)&amp;CHAR(34))</f>
        <v/>
      </c>
      <c r="F2403" t="str">
        <f t="shared" si="141"/>
        <v/>
      </c>
      <c r="G2403" t="str">
        <f>SUBSTITUTE(B2404,CHAR(34),CHAR(92)&amp;CHAR(34))</f>
        <v/>
      </c>
      <c r="H2403" t="str">
        <f>SUBSTITUTE(B2405,CHAR(34),CHAR(92)&amp;CHAR(34))</f>
        <v>Xe của bạn, xe tải, xe con.</v>
      </c>
      <c r="I2403" t="str">
        <f>SUBSTITUTE(IF(LEFT(A2406,3)="Câu","",B2406),CHAR(34),CHAR(92)&amp;CHAR(34))</f>
        <v>Xe con, xe tải, xe của bạn.</v>
      </c>
      <c r="J2403" t="str">
        <f>SUBSTITUTE(IF(OR(LEFT(A2407,3)="Câu",I2403=""),"",IF(B2407=0,"",B2407)),CHAR(34),CHAR(92)&amp;CHAR(34))</f>
        <v>Xe tải, xe của bạn, xe con.</v>
      </c>
      <c r="K2403" t="str">
        <f>SUBSTITUTE(SUBSTITUTE(SUBSTITUTE(SUBSTITUTE(IFERROR(VLOOKUP("Câu "&amp;D2403&amp;".",dapan!$E:$J,6,0),""),"1","A"),"2","B"),"3","C"),"4","D")</f>
        <v/>
      </c>
      <c r="P2403" t="str">
        <f t="shared" si="139"/>
        <v/>
      </c>
      <c r="Q2403" t="str">
        <f t="shared" si="140"/>
        <v/>
      </c>
    </row>
    <row r="2404" spans="1:17" x14ac:dyDescent="0.25">
      <c r="A2404" t="s">
        <v>1705</v>
      </c>
      <c r="C2404">
        <f>IFERROR(COUNTIFS($A$1:A2404,"Câu "&amp;"*")-MID(A2404,5,FIND(".",A2404,1)-5),0)</f>
        <v>0</v>
      </c>
      <c r="D2404">
        <f t="shared" si="142"/>
        <v>584</v>
      </c>
      <c r="E2404" t="str">
        <f>SUBSTITUTE(IF(LEFT(A2404,3)="Câu",MID(A2404,FIND(".",A2404,1)+2,LEN(A2404)),""),CHAR(34),CHAR(92)&amp;CHAR(34))</f>
        <v>Các xe đi theo thứ tự nào là đúng quy tắc giao thông đường bộ?</v>
      </c>
      <c r="F2404" t="str">
        <f t="shared" si="141"/>
        <v>q584.jpg</v>
      </c>
      <c r="G2404" t="str">
        <f>SUBSTITUTE(B2405,CHAR(34),CHAR(92)&amp;CHAR(34))</f>
        <v>Xe của bạn, xe tải, xe con.</v>
      </c>
      <c r="H2404" t="str">
        <f>SUBSTITUTE(B2406,CHAR(34),CHAR(92)&amp;CHAR(34))</f>
        <v>Xe con, xe tải, xe của bạn.</v>
      </c>
      <c r="I2404" t="str">
        <f>SUBSTITUTE(IF(LEFT(A2407,3)="Câu","",B2407),CHAR(34),CHAR(92)&amp;CHAR(34))</f>
        <v>Xe tải, xe của bạn, xe con.</v>
      </c>
      <c r="J2404" t="str">
        <f>SUBSTITUTE(IF(OR(LEFT(A2408,3)="Câu",I2404=""),"",IF(B2408=0,"",B2408)),CHAR(34),CHAR(92)&amp;CHAR(34))</f>
        <v xml:space="preserve"> Xe của bạn, xe con, xe tải.</v>
      </c>
      <c r="K2404" t="str">
        <f ca="1">SUBSTITUTE(SUBSTITUTE(SUBSTITUTE(SUBSTITUTE(IFERROR(VLOOKUP("Câu "&amp;D2404&amp;".",dapan!$E:$J,6,0),""),"1","A"),"2","B"),"3","C"),"4","D")</f>
        <v>D</v>
      </c>
      <c r="P2404">
        <f t="shared" si="139"/>
        <v>584</v>
      </c>
      <c r="Q2404" t="str">
        <f t="shared" ca="1" si="140"/>
        <v>{"num":584,"id":584,"q":"Các xe đi theo thứ tự nào là đúng quy tắc giao thông đường bộ?","img":"q584.jpg","opts":{"A":"Xe của bạn, xe tải, xe con.","B":"Xe con, xe tải, xe của bạn.","C":"Xe tải, xe của bạn, xe con.","D":" Xe của bạn, xe con, xe tải."},"answer":"D"},</v>
      </c>
    </row>
    <row r="2405" spans="1:17" hidden="1" x14ac:dyDescent="0.25">
      <c r="A2405">
        <v>1</v>
      </c>
      <c r="B2405" t="s">
        <v>1602</v>
      </c>
      <c r="C2405">
        <f>IFERROR(COUNTIFS($A$1:A2405,"Câu "&amp;"*")-MID(A2405,5,FIND(".",A2405,1)-5),0)</f>
        <v>0</v>
      </c>
      <c r="D2405" t="str">
        <f t="shared" si="142"/>
        <v/>
      </c>
      <c r="E2405" t="str">
        <f>SUBSTITUTE(IF(LEFT(A2405,3)="Câu",MID(A2405,FIND(".",A2405,1)+2,LEN(A2405)),""),CHAR(34),CHAR(92)&amp;CHAR(34))</f>
        <v/>
      </c>
      <c r="F2405" t="str">
        <f t="shared" si="141"/>
        <v/>
      </c>
      <c r="G2405" t="str">
        <f>SUBSTITUTE(B2406,CHAR(34),CHAR(92)&amp;CHAR(34))</f>
        <v>Xe con, xe tải, xe của bạn.</v>
      </c>
      <c r="H2405" t="str">
        <f>SUBSTITUTE(B2407,CHAR(34),CHAR(92)&amp;CHAR(34))</f>
        <v>Xe tải, xe của bạn, xe con.</v>
      </c>
      <c r="I2405" t="str">
        <f>SUBSTITUTE(IF(LEFT(A2408,3)="Câu","",B2408),CHAR(34),CHAR(92)&amp;CHAR(34))</f>
        <v xml:space="preserve"> Xe của bạn, xe con, xe tải.</v>
      </c>
      <c r="J2405" t="str">
        <f>SUBSTITUTE(IF(OR(LEFT(A2409,3)="Câu",I2405=""),"",IF(B2409=0,"",B2409)),CHAR(34),CHAR(92)&amp;CHAR(34))</f>
        <v/>
      </c>
      <c r="K2405" t="str">
        <f>SUBSTITUTE(SUBSTITUTE(SUBSTITUTE(SUBSTITUTE(IFERROR(VLOOKUP("Câu "&amp;D2405&amp;".",dapan!$E:$J,6,0),""),"1","A"),"2","B"),"3","C"),"4","D")</f>
        <v/>
      </c>
      <c r="P2405" t="str">
        <f t="shared" si="139"/>
        <v/>
      </c>
      <c r="Q2405" t="str">
        <f t="shared" si="140"/>
        <v/>
      </c>
    </row>
    <row r="2406" spans="1:17" hidden="1" x14ac:dyDescent="0.25">
      <c r="A2406">
        <v>2</v>
      </c>
      <c r="B2406" t="s">
        <v>1706</v>
      </c>
      <c r="C2406">
        <f>IFERROR(COUNTIFS($A$1:A2406,"Câu "&amp;"*")-MID(A2406,5,FIND(".",A2406,1)-5),0)</f>
        <v>0</v>
      </c>
      <c r="D2406" t="str">
        <f t="shared" si="142"/>
        <v/>
      </c>
      <c r="E2406" t="str">
        <f>SUBSTITUTE(IF(LEFT(A2406,3)="Câu",MID(A2406,FIND(".",A2406,1)+2,LEN(A2406)),""),CHAR(34),CHAR(92)&amp;CHAR(34))</f>
        <v/>
      </c>
      <c r="F2406" t="str">
        <f t="shared" si="141"/>
        <v/>
      </c>
      <c r="G2406" t="str">
        <f>SUBSTITUTE(B2407,CHAR(34),CHAR(92)&amp;CHAR(34))</f>
        <v>Xe tải, xe của bạn, xe con.</v>
      </c>
      <c r="H2406" t="str">
        <f>SUBSTITUTE(B2408,CHAR(34),CHAR(92)&amp;CHAR(34))</f>
        <v xml:space="preserve"> Xe của bạn, xe con, xe tải.</v>
      </c>
      <c r="I2406" t="str">
        <f>SUBSTITUTE(IF(LEFT(A2409,3)="Câu","",B2409),CHAR(34),CHAR(92)&amp;CHAR(34))</f>
        <v/>
      </c>
      <c r="J2406" t="str">
        <f>SUBSTITUTE(IF(OR(LEFT(A2410,3)="Câu",I2406=""),"",IF(B2410=0,"",B2410)),CHAR(34),CHAR(92)&amp;CHAR(34))</f>
        <v/>
      </c>
      <c r="K2406" t="str">
        <f>SUBSTITUTE(SUBSTITUTE(SUBSTITUTE(SUBSTITUTE(IFERROR(VLOOKUP("Câu "&amp;D2406&amp;".",dapan!$E:$J,6,0),""),"1","A"),"2","B"),"3","C"),"4","D")</f>
        <v/>
      </c>
      <c r="P2406" t="str">
        <f t="shared" si="139"/>
        <v/>
      </c>
      <c r="Q2406" t="str">
        <f t="shared" si="140"/>
        <v/>
      </c>
    </row>
    <row r="2407" spans="1:17" hidden="1" x14ac:dyDescent="0.25">
      <c r="A2407">
        <v>3</v>
      </c>
      <c r="B2407" t="s">
        <v>1707</v>
      </c>
      <c r="C2407">
        <f>IFERROR(COUNTIFS($A$1:A2407,"Câu "&amp;"*")-MID(A2407,5,FIND(".",A2407,1)-5),0)</f>
        <v>0</v>
      </c>
      <c r="D2407" t="str">
        <f t="shared" si="142"/>
        <v/>
      </c>
      <c r="E2407" t="str">
        <f>SUBSTITUTE(IF(LEFT(A2407,3)="Câu",MID(A2407,FIND(".",A2407,1)+2,LEN(A2407)),""),CHAR(34),CHAR(92)&amp;CHAR(34))</f>
        <v/>
      </c>
      <c r="F2407" t="str">
        <f t="shared" si="141"/>
        <v/>
      </c>
      <c r="G2407" t="str">
        <f>SUBSTITUTE(B2408,CHAR(34),CHAR(92)&amp;CHAR(34))</f>
        <v xml:space="preserve"> Xe của bạn, xe con, xe tải.</v>
      </c>
      <c r="H2407" t="str">
        <f>SUBSTITUTE(B2409,CHAR(34),CHAR(92)&amp;CHAR(34))</f>
        <v/>
      </c>
      <c r="I2407" t="str">
        <f>SUBSTITUTE(IF(LEFT(A2410,3)="Câu","",B2410),CHAR(34),CHAR(92)&amp;CHAR(34))</f>
        <v xml:space="preserve"> Xe của bạn.</v>
      </c>
      <c r="J2407" t="str">
        <f>SUBSTITUTE(IF(OR(LEFT(A2411,3)="Câu",I2407=""),"",IF(B2411=0,"",B2411)),CHAR(34),CHAR(92)&amp;CHAR(34))</f>
        <v>Xe con.</v>
      </c>
      <c r="K2407" t="str">
        <f>SUBSTITUTE(SUBSTITUTE(SUBSTITUTE(SUBSTITUTE(IFERROR(VLOOKUP("Câu "&amp;D2407&amp;".",dapan!$E:$J,6,0),""),"1","A"),"2","B"),"3","C"),"4","D")</f>
        <v/>
      </c>
      <c r="P2407" t="str">
        <f t="shared" si="139"/>
        <v/>
      </c>
      <c r="Q2407" t="str">
        <f t="shared" si="140"/>
        <v/>
      </c>
    </row>
    <row r="2408" spans="1:17" hidden="1" x14ac:dyDescent="0.25">
      <c r="A2408">
        <v>4</v>
      </c>
      <c r="B2408" t="s">
        <v>1708</v>
      </c>
      <c r="C2408">
        <f>IFERROR(COUNTIFS($A$1:A2408,"Câu "&amp;"*")-MID(A2408,5,FIND(".",A2408,1)-5),0)</f>
        <v>0</v>
      </c>
      <c r="D2408" t="str">
        <f t="shared" si="142"/>
        <v/>
      </c>
      <c r="E2408" t="str">
        <f>SUBSTITUTE(IF(LEFT(A2408,3)="Câu",MID(A2408,FIND(".",A2408,1)+2,LEN(A2408)),""),CHAR(34),CHAR(92)&amp;CHAR(34))</f>
        <v/>
      </c>
      <c r="F2408" t="str">
        <f t="shared" si="141"/>
        <v/>
      </c>
      <c r="G2408" t="str">
        <f>SUBSTITUTE(B2409,CHAR(34),CHAR(92)&amp;CHAR(34))</f>
        <v/>
      </c>
      <c r="H2408" t="str">
        <f>SUBSTITUTE(B2410,CHAR(34),CHAR(92)&amp;CHAR(34))</f>
        <v xml:space="preserve"> Xe của bạn.</v>
      </c>
      <c r="I2408" t="str">
        <f>SUBSTITUTE(IF(LEFT(A2411,3)="Câu","",B2411),CHAR(34),CHAR(92)&amp;CHAR(34))</f>
        <v>Xe con.</v>
      </c>
      <c r="J2408" t="str">
        <f>SUBSTITUTE(IF(OR(LEFT(A2412,3)="Câu",I2408=""),"",IF(B2412=0,"",B2412)),CHAR(34),CHAR(92)&amp;CHAR(34))</f>
        <v/>
      </c>
      <c r="K2408" t="str">
        <f>SUBSTITUTE(SUBSTITUTE(SUBSTITUTE(SUBSTITUTE(IFERROR(VLOOKUP("Câu "&amp;D2408&amp;".",dapan!$E:$J,6,0),""),"1","A"),"2","B"),"3","C"),"4","D")</f>
        <v/>
      </c>
      <c r="P2408" t="str">
        <f t="shared" si="139"/>
        <v/>
      </c>
      <c r="Q2408" t="str">
        <f t="shared" si="140"/>
        <v/>
      </c>
    </row>
    <row r="2409" spans="1:17" x14ac:dyDescent="0.25">
      <c r="A2409" t="s">
        <v>1709</v>
      </c>
      <c r="C2409">
        <f>IFERROR(COUNTIFS($A$1:A2409,"Câu "&amp;"*")-MID(A2409,5,FIND(".",A2409,1)-5),0)</f>
        <v>0</v>
      </c>
      <c r="D2409">
        <f t="shared" si="142"/>
        <v>585</v>
      </c>
      <c r="E2409" t="str">
        <f>SUBSTITUTE(IF(LEFT(A2409,3)="Câu",MID(A2409,FIND(".",A2409,1)+2,LEN(A2409)),""),CHAR(34),CHAR(92)&amp;CHAR(34))</f>
        <v>Xe nào phải nhường đường trong trường hợp này?</v>
      </c>
      <c r="F2409" t="str">
        <f t="shared" si="141"/>
        <v>q585.jpg</v>
      </c>
      <c r="G2409" t="str">
        <f>SUBSTITUTE(B2410,CHAR(34),CHAR(92)&amp;CHAR(34))</f>
        <v xml:space="preserve"> Xe của bạn.</v>
      </c>
      <c r="H2409" t="str">
        <f>SUBSTITUTE(B2411,CHAR(34),CHAR(92)&amp;CHAR(34))</f>
        <v>Xe con.</v>
      </c>
      <c r="I2409" t="str">
        <f>SUBSTITUTE(IF(LEFT(A2412,3)="Câu","",B2412),CHAR(34),CHAR(92)&amp;CHAR(34))</f>
        <v/>
      </c>
      <c r="J2409" t="str">
        <f>SUBSTITUTE(IF(OR(LEFT(A2413,3)="Câu",I2409=""),"",IF(B2413=0,"",B2413)),CHAR(34),CHAR(92)&amp;CHAR(34))</f>
        <v/>
      </c>
      <c r="K2409" t="str">
        <f ca="1">SUBSTITUTE(SUBSTITUTE(SUBSTITUTE(SUBSTITUTE(IFERROR(VLOOKUP("Câu "&amp;D2409&amp;".",dapan!$E:$J,6,0),""),"1","A"),"2","B"),"3","C"),"4","D")</f>
        <v>A</v>
      </c>
      <c r="P2409">
        <f t="shared" si="139"/>
        <v>585</v>
      </c>
      <c r="Q2409" t="str">
        <f t="shared" ca="1" si="140"/>
        <v>{"num":585,"id":585,"q":"Xe nào phải nhường đường trong trường hợp này?","img":"q585.jpg","opts":{"A":" Xe của bạn.","B":"Xe con."},"answer":"A"},</v>
      </c>
    </row>
    <row r="2410" spans="1:17" hidden="1" x14ac:dyDescent="0.25">
      <c r="A2410">
        <v>1</v>
      </c>
      <c r="B2410" t="s">
        <v>1677</v>
      </c>
      <c r="C2410">
        <f>IFERROR(COUNTIFS($A$1:A2410,"Câu "&amp;"*")-MID(A2410,5,FIND(".",A2410,1)-5),0)</f>
        <v>0</v>
      </c>
      <c r="D2410" t="str">
        <f t="shared" si="142"/>
        <v/>
      </c>
      <c r="E2410" t="str">
        <f>SUBSTITUTE(IF(LEFT(A2410,3)="Câu",MID(A2410,FIND(".",A2410,1)+2,LEN(A2410)),""),CHAR(34),CHAR(92)&amp;CHAR(34))</f>
        <v/>
      </c>
      <c r="F2410" t="str">
        <f t="shared" si="141"/>
        <v/>
      </c>
      <c r="G2410" t="str">
        <f>SUBSTITUTE(B2411,CHAR(34),CHAR(92)&amp;CHAR(34))</f>
        <v>Xe con.</v>
      </c>
      <c r="H2410" t="str">
        <f>SUBSTITUTE(B2412,CHAR(34),CHAR(92)&amp;CHAR(34))</f>
        <v/>
      </c>
      <c r="I2410" t="str">
        <f>SUBSTITUTE(IF(LEFT(A2413,3)="Câu","",B2413),CHAR(34),CHAR(92)&amp;CHAR(34))</f>
        <v>Xe con.</v>
      </c>
      <c r="J2410" t="str">
        <f>SUBSTITUTE(IF(OR(LEFT(A2414,3)="Câu",I2410=""),"",IF(B2414=0,"",B2414)),CHAR(34),CHAR(92)&amp;CHAR(34))</f>
        <v xml:space="preserve"> Xe của bạn.</v>
      </c>
      <c r="K2410" t="str">
        <f>SUBSTITUTE(SUBSTITUTE(SUBSTITUTE(SUBSTITUTE(IFERROR(VLOOKUP("Câu "&amp;D2410&amp;".",dapan!$E:$J,6,0),""),"1","A"),"2","B"),"3","C"),"4","D")</f>
        <v/>
      </c>
      <c r="P2410" t="str">
        <f t="shared" si="139"/>
        <v/>
      </c>
      <c r="Q2410" t="str">
        <f t="shared" si="140"/>
        <v/>
      </c>
    </row>
    <row r="2411" spans="1:17" hidden="1" x14ac:dyDescent="0.25">
      <c r="A2411">
        <v>2</v>
      </c>
      <c r="B2411" t="s">
        <v>1434</v>
      </c>
      <c r="C2411">
        <f>IFERROR(COUNTIFS($A$1:A2411,"Câu "&amp;"*")-MID(A2411,5,FIND(".",A2411,1)-5),0)</f>
        <v>0</v>
      </c>
      <c r="D2411" t="str">
        <f t="shared" si="142"/>
        <v/>
      </c>
      <c r="E2411" t="str">
        <f>SUBSTITUTE(IF(LEFT(A2411,3)="Câu",MID(A2411,FIND(".",A2411,1)+2,LEN(A2411)),""),CHAR(34),CHAR(92)&amp;CHAR(34))</f>
        <v/>
      </c>
      <c r="F2411" t="str">
        <f t="shared" si="141"/>
        <v/>
      </c>
      <c r="G2411" t="str">
        <f>SUBSTITUTE(B2412,CHAR(34),CHAR(92)&amp;CHAR(34))</f>
        <v/>
      </c>
      <c r="H2411" t="str">
        <f>SUBSTITUTE(B2413,CHAR(34),CHAR(92)&amp;CHAR(34))</f>
        <v>Xe con.</v>
      </c>
      <c r="I2411" t="str">
        <f>SUBSTITUTE(IF(LEFT(A2414,3)="Câu","",B2414),CHAR(34),CHAR(92)&amp;CHAR(34))</f>
        <v xml:space="preserve"> Xe của bạn.</v>
      </c>
      <c r="J2411" t="str">
        <f>SUBSTITUTE(IF(OR(LEFT(A2415,3)="Câu",I2411=""),"",IF(B2415=0,"",B2415)),CHAR(34),CHAR(92)&amp;CHAR(34))</f>
        <v/>
      </c>
      <c r="K2411" t="str">
        <f>SUBSTITUTE(SUBSTITUTE(SUBSTITUTE(SUBSTITUTE(IFERROR(VLOOKUP("Câu "&amp;D2411&amp;".",dapan!$E:$J,6,0),""),"1","A"),"2","B"),"3","C"),"4","D")</f>
        <v/>
      </c>
      <c r="P2411" t="str">
        <f t="shared" si="139"/>
        <v/>
      </c>
      <c r="Q2411" t="str">
        <f t="shared" si="140"/>
        <v/>
      </c>
    </row>
    <row r="2412" spans="1:17" x14ac:dyDescent="0.25">
      <c r="A2412" t="s">
        <v>1710</v>
      </c>
      <c r="C2412">
        <f>IFERROR(COUNTIFS($A$1:A2412,"Câu "&amp;"*")-MID(A2412,5,FIND(".",A2412,1)-5),0)</f>
        <v>0</v>
      </c>
      <c r="D2412">
        <f t="shared" si="142"/>
        <v>586</v>
      </c>
      <c r="E2412" t="str">
        <f>SUBSTITUTE(IF(LEFT(A2412,3)="Câu",MID(A2412,FIND(".",A2412,1)+2,LEN(A2412)),""),CHAR(34),CHAR(92)&amp;CHAR(34))</f>
        <v>Xe nào phải nhường đường trong trường hợp này?</v>
      </c>
      <c r="F2412" t="str">
        <f t="shared" si="141"/>
        <v>q586.jpg</v>
      </c>
      <c r="G2412" t="str">
        <f>SUBSTITUTE(B2413,CHAR(34),CHAR(92)&amp;CHAR(34))</f>
        <v>Xe con.</v>
      </c>
      <c r="H2412" t="str">
        <f>SUBSTITUTE(B2414,CHAR(34),CHAR(92)&amp;CHAR(34))</f>
        <v xml:space="preserve"> Xe của bạn.</v>
      </c>
      <c r="I2412" t="str">
        <f>SUBSTITUTE(IF(LEFT(A2415,3)="Câu","",B2415),CHAR(34),CHAR(92)&amp;CHAR(34))</f>
        <v/>
      </c>
      <c r="J2412" t="str">
        <f>SUBSTITUTE(IF(OR(LEFT(A2416,3)="Câu",I2412=""),"",IF(B2416=0,"",B2416)),CHAR(34),CHAR(92)&amp;CHAR(34))</f>
        <v/>
      </c>
      <c r="K2412" t="str">
        <f ca="1">SUBSTITUTE(SUBSTITUTE(SUBSTITUTE(SUBSTITUTE(IFERROR(VLOOKUP("Câu "&amp;D2412&amp;".",dapan!$E:$J,6,0),""),"1","A"),"2","B"),"3","C"),"4","D")</f>
        <v>B</v>
      </c>
      <c r="P2412">
        <f t="shared" si="139"/>
        <v>586</v>
      </c>
      <c r="Q2412" t="str">
        <f t="shared" ca="1" si="140"/>
        <v>{"num":586,"id":586,"q":"Xe nào phải nhường đường trong trường hợp này?","img":"q586.jpg","opts":{"A":"Xe con.","B":" Xe của bạn."},"answer":"B"},</v>
      </c>
    </row>
    <row r="2413" spans="1:17" hidden="1" x14ac:dyDescent="0.25">
      <c r="A2413">
        <v>1</v>
      </c>
      <c r="B2413" t="s">
        <v>1434</v>
      </c>
      <c r="C2413">
        <f>IFERROR(COUNTIFS($A$1:A2413,"Câu "&amp;"*")-MID(A2413,5,FIND(".",A2413,1)-5),0)</f>
        <v>0</v>
      </c>
      <c r="D2413" t="str">
        <f t="shared" si="142"/>
        <v/>
      </c>
      <c r="E2413" t="str">
        <f>SUBSTITUTE(IF(LEFT(A2413,3)="Câu",MID(A2413,FIND(".",A2413,1)+2,LEN(A2413)),""),CHAR(34),CHAR(92)&amp;CHAR(34))</f>
        <v/>
      </c>
      <c r="F2413" t="str">
        <f t="shared" si="141"/>
        <v/>
      </c>
      <c r="G2413" t="str">
        <f>SUBSTITUTE(B2414,CHAR(34),CHAR(92)&amp;CHAR(34))</f>
        <v xml:space="preserve"> Xe của bạn.</v>
      </c>
      <c r="H2413" t="str">
        <f>SUBSTITUTE(B2415,CHAR(34),CHAR(92)&amp;CHAR(34))</f>
        <v/>
      </c>
      <c r="I2413" t="str">
        <f>SUBSTITUTE(IF(LEFT(A2416,3)="Câu","",B2416),CHAR(34),CHAR(92)&amp;CHAR(34))</f>
        <v>Tăng tốc độ, đi qua vạch người đi bộ sang đường, để người đi bộ sang đường sau.</v>
      </c>
      <c r="J2413" t="str">
        <f>SUBSTITUTE(IF(OR(LEFT(A2417,3)="Câu",I2413=""),"",IF(B2417=0,"",B2417)),CHAR(34),CHAR(92)&amp;CHAR(34))</f>
        <v>Giảm tốc độ, đi qua vạch người đi bộ sang đường, để người đi bộ sang đường sau.</v>
      </c>
      <c r="K2413" t="str">
        <f>SUBSTITUTE(SUBSTITUTE(SUBSTITUTE(SUBSTITUTE(IFERROR(VLOOKUP("Câu "&amp;D2413&amp;".",dapan!$E:$J,6,0),""),"1","A"),"2","B"),"3","C"),"4","D")</f>
        <v/>
      </c>
      <c r="P2413" t="str">
        <f t="shared" si="139"/>
        <v/>
      </c>
      <c r="Q2413" t="str">
        <f t="shared" si="140"/>
        <v/>
      </c>
    </row>
    <row r="2414" spans="1:17" hidden="1" x14ac:dyDescent="0.25">
      <c r="A2414">
        <v>2</v>
      </c>
      <c r="B2414" t="s">
        <v>1677</v>
      </c>
      <c r="C2414">
        <f>IFERROR(COUNTIFS($A$1:A2414,"Câu "&amp;"*")-MID(A2414,5,FIND(".",A2414,1)-5),0)</f>
        <v>0</v>
      </c>
      <c r="D2414" t="str">
        <f t="shared" si="142"/>
        <v/>
      </c>
      <c r="E2414" t="str">
        <f>SUBSTITUTE(IF(LEFT(A2414,3)="Câu",MID(A2414,FIND(".",A2414,1)+2,LEN(A2414)),""),CHAR(34),CHAR(92)&amp;CHAR(34))</f>
        <v/>
      </c>
      <c r="F2414" t="str">
        <f t="shared" si="141"/>
        <v/>
      </c>
      <c r="G2414" t="str">
        <f>SUBSTITUTE(B2415,CHAR(34),CHAR(92)&amp;CHAR(34))</f>
        <v/>
      </c>
      <c r="H2414" t="str">
        <f>SUBSTITUTE(B2416,CHAR(34),CHAR(92)&amp;CHAR(34))</f>
        <v>Tăng tốc độ, đi qua vạch người đi bộ sang đường, để người đi bộ sang đường sau.</v>
      </c>
      <c r="I2414" t="str">
        <f>SUBSTITUTE(IF(LEFT(A2417,3)="Câu","",B2417),CHAR(34),CHAR(92)&amp;CHAR(34))</f>
        <v>Giảm tốc độ, đi qua vạch người đi bộ sang đường, để người đi bộ sang đường sau.</v>
      </c>
      <c r="J2414" t="str">
        <f>SUBSTITUTE(IF(OR(LEFT(A2418,3)="Câu",I2414=""),"",IF(B2418=0,"",B2418)),CHAR(34),CHAR(92)&amp;CHAR(34))</f>
        <v>Giảm tốc độ, để người đi bộ sang đường trước, sau đó cho xe đi qua vạch người đi bộ sang đường.</v>
      </c>
      <c r="K2414" t="str">
        <f>SUBSTITUTE(SUBSTITUTE(SUBSTITUTE(SUBSTITUTE(IFERROR(VLOOKUP("Câu "&amp;D2414&amp;".",dapan!$E:$J,6,0),""),"1","A"),"2","B"),"3","C"),"4","D")</f>
        <v/>
      </c>
      <c r="P2414" t="str">
        <f t="shared" si="139"/>
        <v/>
      </c>
      <c r="Q2414" t="str">
        <f t="shared" si="140"/>
        <v/>
      </c>
    </row>
    <row r="2415" spans="1:17" x14ac:dyDescent="0.25">
      <c r="A2415" t="s">
        <v>1711</v>
      </c>
      <c r="C2415">
        <f>IFERROR(COUNTIFS($A$1:A2415,"Câu "&amp;"*")-MID(A2415,5,FIND(".",A2415,1)-5),0)</f>
        <v>0</v>
      </c>
      <c r="D2415">
        <f t="shared" si="142"/>
        <v>587</v>
      </c>
      <c r="E2415" t="str">
        <f>SUBSTITUTE(IF(LEFT(A2415,3)="Câu",MID(A2415,FIND(".",A2415,1)+2,LEN(A2415)),""),CHAR(34),CHAR(92)&amp;CHAR(34))</f>
        <v>Bạn xử lý như thế nào trong trường hợp này?</v>
      </c>
      <c r="F2415" t="str">
        <f t="shared" si="141"/>
        <v>q587.jpg</v>
      </c>
      <c r="G2415" t="str">
        <f>SUBSTITUTE(B2416,CHAR(34),CHAR(92)&amp;CHAR(34))</f>
        <v>Tăng tốc độ, đi qua vạch người đi bộ sang đường, để người đi bộ sang đường sau.</v>
      </c>
      <c r="H2415" t="str">
        <f>SUBSTITUTE(B2417,CHAR(34),CHAR(92)&amp;CHAR(34))</f>
        <v>Giảm tốc độ, đi qua vạch người đi bộ sang đường, để người đi bộ sang đường sau.</v>
      </c>
      <c r="I2415" t="str">
        <f>SUBSTITUTE(IF(LEFT(A2418,3)="Câu","",B2418),CHAR(34),CHAR(92)&amp;CHAR(34))</f>
        <v>Giảm tốc độ, để người đi bộ sang đường trước, sau đó cho xe đi qua vạch người đi bộ sang đường.</v>
      </c>
      <c r="J2415" t="str">
        <f>SUBSTITUTE(IF(OR(LEFT(A2419,3)="Câu",I2415=""),"",IF(B2419=0,"",B2419)),CHAR(34),CHAR(92)&amp;CHAR(34))</f>
        <v/>
      </c>
      <c r="K2415" t="str">
        <f ca="1">SUBSTITUTE(SUBSTITUTE(SUBSTITUTE(SUBSTITUTE(IFERROR(VLOOKUP("Câu "&amp;D2415&amp;".",dapan!$E:$J,6,0),""),"1","A"),"2","B"),"3","C"),"4","D")</f>
        <v>C</v>
      </c>
      <c r="P2415">
        <f t="shared" si="139"/>
        <v>587</v>
      </c>
      <c r="Q2415" t="str">
        <f t="shared" ca="1" si="140"/>
        <v>{"num":587,"id":587,"q":"Bạn xử lý như thế nào trong trường hợp này?","img":"q587.jpg","opts":{"A":"Tăng tốc độ, đi qua vạch người đi bộ sang đường, để người đi bộ sang đường sau.","B":"Giảm tốc độ, đi qua vạch người đi bộ sang đường, để người đi bộ sang đường sau.","C":"Giảm tốc độ, để người đi bộ sang đường trước, sau đó cho xe đi qua vạch người đi bộ sang đường."},"answer":"C"},</v>
      </c>
    </row>
    <row r="2416" spans="1:17" hidden="1" x14ac:dyDescent="0.25">
      <c r="A2416">
        <v>1</v>
      </c>
      <c r="B2416" t="s">
        <v>1712</v>
      </c>
      <c r="C2416">
        <f>IFERROR(COUNTIFS($A$1:A2416,"Câu "&amp;"*")-MID(A2416,5,FIND(".",A2416,1)-5),0)</f>
        <v>0</v>
      </c>
      <c r="D2416" t="str">
        <f t="shared" si="142"/>
        <v/>
      </c>
      <c r="E2416" t="str">
        <f>SUBSTITUTE(IF(LEFT(A2416,3)="Câu",MID(A2416,FIND(".",A2416,1)+2,LEN(A2416)),""),CHAR(34),CHAR(92)&amp;CHAR(34))</f>
        <v/>
      </c>
      <c r="F2416" t="str">
        <f t="shared" si="141"/>
        <v/>
      </c>
      <c r="G2416" t="str">
        <f>SUBSTITUTE(B2417,CHAR(34),CHAR(92)&amp;CHAR(34))</f>
        <v>Giảm tốc độ, đi qua vạch người đi bộ sang đường, để người đi bộ sang đường sau.</v>
      </c>
      <c r="H2416" t="str">
        <f>SUBSTITUTE(B2418,CHAR(34),CHAR(92)&amp;CHAR(34))</f>
        <v>Giảm tốc độ, để người đi bộ sang đường trước, sau đó cho xe đi qua vạch người đi bộ sang đường.</v>
      </c>
      <c r="I2416" t="str">
        <f>SUBSTITUTE(IF(LEFT(A2419,3)="Câu","",B2419),CHAR(34),CHAR(92)&amp;CHAR(34))</f>
        <v/>
      </c>
      <c r="J2416" t="str">
        <f>SUBSTITUTE(IF(OR(LEFT(A2420,3)="Câu",I2416=""),"",IF(B2420=0,"",B2420)),CHAR(34),CHAR(92)&amp;CHAR(34))</f>
        <v/>
      </c>
      <c r="K2416" t="str">
        <f>SUBSTITUTE(SUBSTITUTE(SUBSTITUTE(SUBSTITUTE(IFERROR(VLOOKUP("Câu "&amp;D2416&amp;".",dapan!$E:$J,6,0),""),"1","A"),"2","B"),"3","C"),"4","D")</f>
        <v/>
      </c>
      <c r="P2416" t="str">
        <f t="shared" si="139"/>
        <v/>
      </c>
      <c r="Q2416" t="str">
        <f t="shared" si="140"/>
        <v/>
      </c>
    </row>
    <row r="2417" spans="1:17" hidden="1" x14ac:dyDescent="0.25">
      <c r="A2417">
        <v>2</v>
      </c>
      <c r="B2417" t="s">
        <v>1713</v>
      </c>
      <c r="C2417">
        <f>IFERROR(COUNTIFS($A$1:A2417,"Câu "&amp;"*")-MID(A2417,5,FIND(".",A2417,1)-5),0)</f>
        <v>0</v>
      </c>
      <c r="D2417" t="str">
        <f t="shared" si="142"/>
        <v/>
      </c>
      <c r="E2417" t="str">
        <f>SUBSTITUTE(IF(LEFT(A2417,3)="Câu",MID(A2417,FIND(".",A2417,1)+2,LEN(A2417)),""),CHAR(34),CHAR(92)&amp;CHAR(34))</f>
        <v/>
      </c>
      <c r="F2417" t="str">
        <f t="shared" si="141"/>
        <v/>
      </c>
      <c r="G2417" t="str">
        <f>SUBSTITUTE(B2418,CHAR(34),CHAR(92)&amp;CHAR(34))</f>
        <v>Giảm tốc độ, để người đi bộ sang đường trước, sau đó cho xe đi qua vạch người đi bộ sang đường.</v>
      </c>
      <c r="H2417" t="str">
        <f>SUBSTITUTE(B2419,CHAR(34),CHAR(92)&amp;CHAR(34))</f>
        <v/>
      </c>
      <c r="I2417" t="str">
        <f>SUBSTITUTE(IF(LEFT(A2420,3)="Câu","",B2420),CHAR(34),CHAR(92)&amp;CHAR(34))</f>
        <v>Xe con.</v>
      </c>
      <c r="J2417" t="str">
        <f>SUBSTITUTE(IF(OR(LEFT(A2421,3)="Câu",I2417=""),"",IF(B2421=0,"",B2421)),CHAR(34),CHAR(92)&amp;CHAR(34))</f>
        <v xml:space="preserve"> Xe của bạn.</v>
      </c>
      <c r="K2417" t="str">
        <f>SUBSTITUTE(SUBSTITUTE(SUBSTITUTE(SUBSTITUTE(IFERROR(VLOOKUP("Câu "&amp;D2417&amp;".",dapan!$E:$J,6,0),""),"1","A"),"2","B"),"3","C"),"4","D")</f>
        <v/>
      </c>
      <c r="P2417" t="str">
        <f t="shared" si="139"/>
        <v/>
      </c>
      <c r="Q2417" t="str">
        <f t="shared" si="140"/>
        <v/>
      </c>
    </row>
    <row r="2418" spans="1:17" hidden="1" x14ac:dyDescent="0.25">
      <c r="A2418">
        <v>3</v>
      </c>
      <c r="B2418" t="s">
        <v>3095</v>
      </c>
      <c r="C2418">
        <f>IFERROR(COUNTIFS($A$1:A2418,"Câu "&amp;"*")-MID(A2418,5,FIND(".",A2418,1)-5),0)</f>
        <v>0</v>
      </c>
      <c r="D2418" t="str">
        <f t="shared" si="142"/>
        <v/>
      </c>
      <c r="E2418" t="str">
        <f>SUBSTITUTE(IF(LEFT(A2418,3)="Câu",MID(A2418,FIND(".",A2418,1)+2,LEN(A2418)),""),CHAR(34),CHAR(92)&amp;CHAR(34))</f>
        <v/>
      </c>
      <c r="F2418" t="str">
        <f t="shared" si="141"/>
        <v/>
      </c>
      <c r="G2418" t="str">
        <f>SUBSTITUTE(B2419,CHAR(34),CHAR(92)&amp;CHAR(34))</f>
        <v/>
      </c>
      <c r="H2418" t="str">
        <f>SUBSTITUTE(B2420,CHAR(34),CHAR(92)&amp;CHAR(34))</f>
        <v>Xe con.</v>
      </c>
      <c r="I2418" t="str">
        <f>SUBSTITUTE(IF(LEFT(A2421,3)="Câu","",B2421),CHAR(34),CHAR(92)&amp;CHAR(34))</f>
        <v xml:space="preserve"> Xe của bạn.</v>
      </c>
      <c r="J2418" t="str">
        <f>SUBSTITUTE(IF(OR(LEFT(A2422,3)="Câu",I2418=""),"",IF(B2422=0,"",B2422)),CHAR(34),CHAR(92)&amp;CHAR(34))</f>
        <v/>
      </c>
      <c r="K2418" t="str">
        <f>SUBSTITUTE(SUBSTITUTE(SUBSTITUTE(SUBSTITUTE(IFERROR(VLOOKUP("Câu "&amp;D2418&amp;".",dapan!$E:$J,6,0),""),"1","A"),"2","B"),"3","C"),"4","D")</f>
        <v/>
      </c>
      <c r="P2418" t="str">
        <f t="shared" si="139"/>
        <v/>
      </c>
      <c r="Q2418" t="str">
        <f t="shared" si="140"/>
        <v/>
      </c>
    </row>
    <row r="2419" spans="1:17" x14ac:dyDescent="0.25">
      <c r="A2419" t="s">
        <v>1714</v>
      </c>
      <c r="C2419">
        <f>IFERROR(COUNTIFS($A$1:A2419,"Câu "&amp;"*")-MID(A2419,5,FIND(".",A2419,1)-5),0)</f>
        <v>0</v>
      </c>
      <c r="D2419">
        <f t="shared" si="142"/>
        <v>588</v>
      </c>
      <c r="E2419" t="str">
        <f>SUBSTITUTE(IF(LEFT(A2419,3)="Câu",MID(A2419,FIND(".",A2419,1)+2,LEN(A2419)),""),CHAR(34),CHAR(92)&amp;CHAR(34))</f>
        <v>Xe nào được đi trước trong trường hợp này?</v>
      </c>
      <c r="F2419" t="str">
        <f t="shared" si="141"/>
        <v>q588.jpg</v>
      </c>
      <c r="G2419" t="str">
        <f>SUBSTITUTE(B2420,CHAR(34),CHAR(92)&amp;CHAR(34))</f>
        <v>Xe con.</v>
      </c>
      <c r="H2419" t="str">
        <f>SUBSTITUTE(B2421,CHAR(34),CHAR(92)&amp;CHAR(34))</f>
        <v xml:space="preserve"> Xe của bạn.</v>
      </c>
      <c r="I2419" t="str">
        <f>SUBSTITUTE(IF(LEFT(A2422,3)="Câu","",B2422),CHAR(34),CHAR(92)&amp;CHAR(34))</f>
        <v/>
      </c>
      <c r="J2419" t="str">
        <f>SUBSTITUTE(IF(OR(LEFT(A2423,3)="Câu",I2419=""),"",IF(B2423=0,"",B2423)),CHAR(34),CHAR(92)&amp;CHAR(34))</f>
        <v/>
      </c>
      <c r="K2419" t="str">
        <f ca="1">SUBSTITUTE(SUBSTITUTE(SUBSTITUTE(SUBSTITUTE(IFERROR(VLOOKUP("Câu "&amp;D2419&amp;".",dapan!$E:$J,6,0),""),"1","A"),"2","B"),"3","C"),"4","D")</f>
        <v>B</v>
      </c>
      <c r="P2419">
        <f t="shared" si="139"/>
        <v>588</v>
      </c>
      <c r="Q2419" t="str">
        <f t="shared" ca="1" si="140"/>
        <v>{"num":588,"id":588,"q":"Xe nào được đi trước trong trường hợp này?","img":"q588.jpg","opts":{"A":"Xe con.","B":" Xe của bạn."},"answer":"B"},</v>
      </c>
    </row>
    <row r="2420" spans="1:17" hidden="1" x14ac:dyDescent="0.25">
      <c r="A2420">
        <v>1</v>
      </c>
      <c r="B2420" t="s">
        <v>1434</v>
      </c>
      <c r="C2420">
        <f>IFERROR(COUNTIFS($A$1:A2420,"Câu "&amp;"*")-MID(A2420,5,FIND(".",A2420,1)-5),0)</f>
        <v>0</v>
      </c>
      <c r="D2420" t="str">
        <f t="shared" si="142"/>
        <v/>
      </c>
      <c r="E2420" t="str">
        <f>SUBSTITUTE(IF(LEFT(A2420,3)="Câu",MID(A2420,FIND(".",A2420,1)+2,LEN(A2420)),""),CHAR(34),CHAR(92)&amp;CHAR(34))</f>
        <v/>
      </c>
      <c r="F2420" t="str">
        <f t="shared" si="141"/>
        <v/>
      </c>
      <c r="G2420" t="str">
        <f>SUBSTITUTE(B2421,CHAR(34),CHAR(92)&amp;CHAR(34))</f>
        <v xml:space="preserve"> Xe của bạn.</v>
      </c>
      <c r="H2420" t="str">
        <f>SUBSTITUTE(B2422,CHAR(34),CHAR(92)&amp;CHAR(34))</f>
        <v/>
      </c>
      <c r="I2420" t="str">
        <f>SUBSTITUTE(IF(LEFT(A2423,3)="Câu","",B2423),CHAR(34),CHAR(92)&amp;CHAR(34))</f>
        <v>Xe con, xe tải, xe của bạn.</v>
      </c>
      <c r="J2420" t="str">
        <f>SUBSTITUTE(IF(OR(LEFT(A2424,3)="Câu",I2420=""),"",IF(B2424=0,"",B2424)),CHAR(34),CHAR(92)&amp;CHAR(34))</f>
        <v xml:space="preserve"> Xe tải, xe con, xe của bạn.</v>
      </c>
      <c r="K2420" t="str">
        <f>SUBSTITUTE(SUBSTITUTE(SUBSTITUTE(SUBSTITUTE(IFERROR(VLOOKUP("Câu "&amp;D2420&amp;".",dapan!$E:$J,6,0),""),"1","A"),"2","B"),"3","C"),"4","D")</f>
        <v/>
      </c>
      <c r="P2420" t="str">
        <f t="shared" si="139"/>
        <v/>
      </c>
      <c r="Q2420" t="str">
        <f t="shared" si="140"/>
        <v/>
      </c>
    </row>
    <row r="2421" spans="1:17" hidden="1" x14ac:dyDescent="0.25">
      <c r="A2421">
        <v>2</v>
      </c>
      <c r="B2421" t="s">
        <v>1677</v>
      </c>
      <c r="C2421">
        <f>IFERROR(COUNTIFS($A$1:A2421,"Câu "&amp;"*")-MID(A2421,5,FIND(".",A2421,1)-5),0)</f>
        <v>0</v>
      </c>
      <c r="D2421" t="str">
        <f t="shared" si="142"/>
        <v/>
      </c>
      <c r="E2421" t="str">
        <f>SUBSTITUTE(IF(LEFT(A2421,3)="Câu",MID(A2421,FIND(".",A2421,1)+2,LEN(A2421)),""),CHAR(34),CHAR(92)&amp;CHAR(34))</f>
        <v/>
      </c>
      <c r="F2421" t="str">
        <f t="shared" si="141"/>
        <v/>
      </c>
      <c r="G2421" t="str">
        <f>SUBSTITUTE(B2422,CHAR(34),CHAR(92)&amp;CHAR(34))</f>
        <v/>
      </c>
      <c r="H2421" t="str">
        <f>SUBSTITUTE(B2423,CHAR(34),CHAR(92)&amp;CHAR(34))</f>
        <v>Xe con, xe tải, xe của bạn.</v>
      </c>
      <c r="I2421" t="str">
        <f>SUBSTITUTE(IF(LEFT(A2424,3)="Câu","",B2424),CHAR(34),CHAR(92)&amp;CHAR(34))</f>
        <v xml:space="preserve"> Xe tải, xe con, xe của bạn.</v>
      </c>
      <c r="J2421" t="str">
        <f>SUBSTITUTE(IF(OR(LEFT(A2425,3)="Câu",I2421=""),"",IF(B2425=0,"",B2425)),CHAR(34),CHAR(92)&amp;CHAR(34))</f>
        <v>Xe tải, xe của bạn, xe con.</v>
      </c>
      <c r="K2421" t="str">
        <f>SUBSTITUTE(SUBSTITUTE(SUBSTITUTE(SUBSTITUTE(IFERROR(VLOOKUP("Câu "&amp;D2421&amp;".",dapan!$E:$J,6,0),""),"1","A"),"2","B"),"3","C"),"4","D")</f>
        <v/>
      </c>
      <c r="P2421" t="str">
        <f t="shared" si="139"/>
        <v/>
      </c>
      <c r="Q2421" t="str">
        <f t="shared" si="140"/>
        <v/>
      </c>
    </row>
    <row r="2422" spans="1:17" x14ac:dyDescent="0.25">
      <c r="A2422" t="s">
        <v>1715</v>
      </c>
      <c r="C2422">
        <f>IFERROR(COUNTIFS($A$1:A2422,"Câu "&amp;"*")-MID(A2422,5,FIND(".",A2422,1)-5),0)</f>
        <v>0</v>
      </c>
      <c r="D2422">
        <f t="shared" si="142"/>
        <v>589</v>
      </c>
      <c r="E2422" t="str">
        <f>SUBSTITUTE(IF(LEFT(A2422,3)="Câu",MID(A2422,FIND(".",A2422,1)+2,LEN(A2422)),""),CHAR(34),CHAR(92)&amp;CHAR(34))</f>
        <v>Các xe đi theo thứ tự nào là đúng quy tắc giao thông đường bộ?</v>
      </c>
      <c r="F2422" t="str">
        <f t="shared" si="141"/>
        <v>q589.jpg</v>
      </c>
      <c r="G2422" t="str">
        <f>SUBSTITUTE(B2423,CHAR(34),CHAR(92)&amp;CHAR(34))</f>
        <v>Xe con, xe tải, xe của bạn.</v>
      </c>
      <c r="H2422" t="str">
        <f>SUBSTITUTE(B2424,CHAR(34),CHAR(92)&amp;CHAR(34))</f>
        <v xml:space="preserve"> Xe tải, xe con, xe của bạn.</v>
      </c>
      <c r="I2422" t="str">
        <f>SUBSTITUTE(IF(LEFT(A2425,3)="Câu","",B2425),CHAR(34),CHAR(92)&amp;CHAR(34))</f>
        <v>Xe tải, xe của bạn, xe con.</v>
      </c>
      <c r="J2422" t="str">
        <f>SUBSTITUTE(IF(OR(LEFT(A2426,3)="Câu",I2422=""),"",IF(B2426=0,"",B2426)),CHAR(34),CHAR(92)&amp;CHAR(34))</f>
        <v/>
      </c>
      <c r="K2422" t="str">
        <f ca="1">SUBSTITUTE(SUBSTITUTE(SUBSTITUTE(SUBSTITUTE(IFERROR(VLOOKUP("Câu "&amp;D2422&amp;".",dapan!$E:$J,6,0),""),"1","A"),"2","B"),"3","C"),"4","D")</f>
        <v>B</v>
      </c>
      <c r="P2422">
        <f t="shared" si="139"/>
        <v>589</v>
      </c>
      <c r="Q2422" t="str">
        <f t="shared" ca="1" si="140"/>
        <v>{"num":589,"id":589,"q":"Các xe đi theo thứ tự nào là đúng quy tắc giao thông đường bộ?","img":"q589.jpg","opts":{"A":"Xe con, xe tải, xe của bạn.","B":" Xe tải, xe con, xe của bạn.","C":"Xe tải, xe của bạn, xe con."},"answer":"B"},</v>
      </c>
    </row>
    <row r="2423" spans="1:17" hidden="1" x14ac:dyDescent="0.25">
      <c r="A2423">
        <v>1</v>
      </c>
      <c r="B2423" t="s">
        <v>1706</v>
      </c>
      <c r="C2423">
        <f>IFERROR(COUNTIFS($A$1:A2423,"Câu "&amp;"*")-MID(A2423,5,FIND(".",A2423,1)-5),0)</f>
        <v>0</v>
      </c>
      <c r="D2423" t="str">
        <f t="shared" si="142"/>
        <v/>
      </c>
      <c r="E2423" t="str">
        <f>SUBSTITUTE(IF(LEFT(A2423,3)="Câu",MID(A2423,FIND(".",A2423,1)+2,LEN(A2423)),""),CHAR(34),CHAR(92)&amp;CHAR(34))</f>
        <v/>
      </c>
      <c r="F2423" t="str">
        <f t="shared" si="141"/>
        <v/>
      </c>
      <c r="G2423" t="str">
        <f>SUBSTITUTE(B2424,CHAR(34),CHAR(92)&amp;CHAR(34))</f>
        <v xml:space="preserve"> Xe tải, xe con, xe của bạn.</v>
      </c>
      <c r="H2423" t="str">
        <f>SUBSTITUTE(B2425,CHAR(34),CHAR(92)&amp;CHAR(34))</f>
        <v>Xe tải, xe của bạn, xe con.</v>
      </c>
      <c r="I2423" t="str">
        <f>SUBSTITUTE(IF(LEFT(A2426,3)="Câu","",B2426),CHAR(34),CHAR(92)&amp;CHAR(34))</f>
        <v/>
      </c>
      <c r="J2423" t="str">
        <f>SUBSTITUTE(IF(OR(LEFT(A2427,3)="Câu",I2423=""),"",IF(B2427=0,"",B2427)),CHAR(34),CHAR(92)&amp;CHAR(34))</f>
        <v/>
      </c>
      <c r="K2423" t="str">
        <f>SUBSTITUTE(SUBSTITUTE(SUBSTITUTE(SUBSTITUTE(IFERROR(VLOOKUP("Câu "&amp;D2423&amp;".",dapan!$E:$J,6,0),""),"1","A"),"2","B"),"3","C"),"4","D")</f>
        <v/>
      </c>
      <c r="P2423" t="str">
        <f t="shared" si="139"/>
        <v/>
      </c>
      <c r="Q2423" t="str">
        <f t="shared" si="140"/>
        <v/>
      </c>
    </row>
    <row r="2424" spans="1:17" hidden="1" x14ac:dyDescent="0.25">
      <c r="A2424">
        <v>2</v>
      </c>
      <c r="B2424" t="s">
        <v>1716</v>
      </c>
      <c r="C2424">
        <f>IFERROR(COUNTIFS($A$1:A2424,"Câu "&amp;"*")-MID(A2424,5,FIND(".",A2424,1)-5),0)</f>
        <v>0</v>
      </c>
      <c r="D2424" t="str">
        <f t="shared" si="142"/>
        <v/>
      </c>
      <c r="E2424" t="str">
        <f>SUBSTITUTE(IF(LEFT(A2424,3)="Câu",MID(A2424,FIND(".",A2424,1)+2,LEN(A2424)),""),CHAR(34),CHAR(92)&amp;CHAR(34))</f>
        <v/>
      </c>
      <c r="F2424" t="str">
        <f t="shared" si="141"/>
        <v/>
      </c>
      <c r="G2424" t="str">
        <f>SUBSTITUTE(B2425,CHAR(34),CHAR(92)&amp;CHAR(34))</f>
        <v>Xe tải, xe của bạn, xe con.</v>
      </c>
      <c r="H2424" t="str">
        <f>SUBSTITUTE(B2426,CHAR(34),CHAR(92)&amp;CHAR(34))</f>
        <v/>
      </c>
      <c r="I2424" t="str">
        <f>SUBSTITUTE(IF(LEFT(A2427,3)="Câu","",B2427),CHAR(34),CHAR(92)&amp;CHAR(34))</f>
        <v>Tăng tốc độ cho xe lấn sang phần đường bên trái.</v>
      </c>
      <c r="J2424" t="str">
        <f>SUBSTITUTE(IF(OR(LEFT(A2428,3)="Câu",I2424=""),"",IF(B2428=0,"",B2428)),CHAR(34),CHAR(92)&amp;CHAR(34))</f>
        <v>Giảm tốc độ cho xe lấn sang phần đường bên trái.</v>
      </c>
      <c r="K2424" t="str">
        <f>SUBSTITUTE(SUBSTITUTE(SUBSTITUTE(SUBSTITUTE(IFERROR(VLOOKUP("Câu "&amp;D2424&amp;".",dapan!$E:$J,6,0),""),"1","A"),"2","B"),"3","C"),"4","D")</f>
        <v/>
      </c>
      <c r="P2424" t="str">
        <f t="shared" si="139"/>
        <v/>
      </c>
      <c r="Q2424" t="str">
        <f t="shared" si="140"/>
        <v/>
      </c>
    </row>
    <row r="2425" spans="1:17" hidden="1" x14ac:dyDescent="0.25">
      <c r="A2425">
        <v>3</v>
      </c>
      <c r="B2425" t="s">
        <v>1707</v>
      </c>
      <c r="C2425">
        <f>IFERROR(COUNTIFS($A$1:A2425,"Câu "&amp;"*")-MID(A2425,5,FIND(".",A2425,1)-5),0)</f>
        <v>0</v>
      </c>
      <c r="D2425" t="str">
        <f t="shared" si="142"/>
        <v/>
      </c>
      <c r="E2425" t="str">
        <f>SUBSTITUTE(IF(LEFT(A2425,3)="Câu",MID(A2425,FIND(".",A2425,1)+2,LEN(A2425)),""),CHAR(34),CHAR(92)&amp;CHAR(34))</f>
        <v/>
      </c>
      <c r="F2425" t="str">
        <f t="shared" si="141"/>
        <v/>
      </c>
      <c r="G2425" t="str">
        <f>SUBSTITUTE(B2426,CHAR(34),CHAR(92)&amp;CHAR(34))</f>
        <v/>
      </c>
      <c r="H2425" t="str">
        <f>SUBSTITUTE(B2427,CHAR(34),CHAR(92)&amp;CHAR(34))</f>
        <v>Tăng tốc độ cho xe lấn sang phần đường bên trái.</v>
      </c>
      <c r="I2425" t="str">
        <f>SUBSTITUTE(IF(LEFT(A2428,3)="Câu","",B2428),CHAR(34),CHAR(92)&amp;CHAR(34))</f>
        <v>Giảm tốc độ cho xe lấn sang phần đường bên trái.</v>
      </c>
      <c r="J2425" t="str">
        <f>SUBSTITUTE(IF(OR(LEFT(A2429,3)="Câu",I2425=""),"",IF(B2429=0,"",B2429)),CHAR(34),CHAR(92)&amp;CHAR(34))</f>
        <v xml:space="preserve"> Giảm tốc độ cho xe đi sát phần đường bên phải.</v>
      </c>
      <c r="K2425" t="str">
        <f>SUBSTITUTE(SUBSTITUTE(SUBSTITUTE(SUBSTITUTE(IFERROR(VLOOKUP("Câu "&amp;D2425&amp;".",dapan!$E:$J,6,0),""),"1","A"),"2","B"),"3","C"),"4","D")</f>
        <v/>
      </c>
      <c r="P2425" t="str">
        <f t="shared" si="139"/>
        <v/>
      </c>
      <c r="Q2425" t="str">
        <f t="shared" si="140"/>
        <v/>
      </c>
    </row>
    <row r="2426" spans="1:17" x14ac:dyDescent="0.25">
      <c r="A2426" t="s">
        <v>1717</v>
      </c>
      <c r="C2426">
        <f>IFERROR(COUNTIFS($A$1:A2426,"Câu "&amp;"*")-MID(A2426,5,FIND(".",A2426,1)-5),0)</f>
        <v>0</v>
      </c>
      <c r="D2426">
        <f t="shared" si="142"/>
        <v>590</v>
      </c>
      <c r="E2426" t="str">
        <f>SUBSTITUTE(IF(LEFT(A2426,3)="Câu",MID(A2426,FIND(".",A2426,1)+2,LEN(A2426)),""),CHAR(34),CHAR(92)&amp;CHAR(34))</f>
        <v>Bạn xử lý như thế nào trong trường hợp này?</v>
      </c>
      <c r="F2426" t="str">
        <f t="shared" si="141"/>
        <v>q590.jpg</v>
      </c>
      <c r="G2426" t="str">
        <f>SUBSTITUTE(B2427,CHAR(34),CHAR(92)&amp;CHAR(34))</f>
        <v>Tăng tốc độ cho xe lấn sang phần đường bên trái.</v>
      </c>
      <c r="H2426" t="str">
        <f>SUBSTITUTE(B2428,CHAR(34),CHAR(92)&amp;CHAR(34))</f>
        <v>Giảm tốc độ cho xe lấn sang phần đường bên trái.</v>
      </c>
      <c r="I2426" t="str">
        <f>SUBSTITUTE(IF(LEFT(A2429,3)="Câu","",B2429),CHAR(34),CHAR(92)&amp;CHAR(34))</f>
        <v xml:space="preserve"> Giảm tốc độ cho xe đi sát phần đường bên phải.</v>
      </c>
      <c r="J2426" t="str">
        <f>SUBSTITUTE(IF(OR(LEFT(A2430,3)="Câu",I2426=""),"",IF(B2430=0,"",B2430)),CHAR(34),CHAR(92)&amp;CHAR(34))</f>
        <v/>
      </c>
      <c r="K2426" t="str">
        <f ca="1">SUBSTITUTE(SUBSTITUTE(SUBSTITUTE(SUBSTITUTE(IFERROR(VLOOKUP("Câu "&amp;D2426&amp;".",dapan!$E:$J,6,0),""),"1","A"),"2","B"),"3","C"),"4","D")</f>
        <v>C</v>
      </c>
      <c r="P2426">
        <f t="shared" si="139"/>
        <v>590</v>
      </c>
      <c r="Q2426" t="str">
        <f t="shared" ca="1" si="140"/>
        <v>{"num":590,"id":590,"q":"Bạn xử lý như thế nào trong trường hợp này?","img":"q590.jpg","opts":{"A":"Tăng tốc độ cho xe lấn sang phần đường bên trái.","B":"Giảm tốc độ cho xe lấn sang phần đường bên trái.","C":" Giảm tốc độ cho xe đi sát phần đường bên phải."},"answer":"C"},</v>
      </c>
    </row>
    <row r="2427" spans="1:17" hidden="1" x14ac:dyDescent="0.25">
      <c r="A2427">
        <v>1</v>
      </c>
      <c r="B2427" t="s">
        <v>1718</v>
      </c>
      <c r="C2427">
        <f>IFERROR(COUNTIFS($A$1:A2427,"Câu "&amp;"*")-MID(A2427,5,FIND(".",A2427,1)-5),0)</f>
        <v>0</v>
      </c>
      <c r="D2427" t="str">
        <f t="shared" si="142"/>
        <v/>
      </c>
      <c r="E2427" t="str">
        <f>SUBSTITUTE(IF(LEFT(A2427,3)="Câu",MID(A2427,FIND(".",A2427,1)+2,LEN(A2427)),""),CHAR(34),CHAR(92)&amp;CHAR(34))</f>
        <v/>
      </c>
      <c r="F2427" t="str">
        <f t="shared" si="141"/>
        <v/>
      </c>
      <c r="G2427" t="str">
        <f>SUBSTITUTE(B2428,CHAR(34),CHAR(92)&amp;CHAR(34))</f>
        <v>Giảm tốc độ cho xe lấn sang phần đường bên trái.</v>
      </c>
      <c r="H2427" t="str">
        <f>SUBSTITUTE(B2429,CHAR(34),CHAR(92)&amp;CHAR(34))</f>
        <v xml:space="preserve"> Giảm tốc độ cho xe đi sát phần đường bên phải.</v>
      </c>
      <c r="I2427" t="str">
        <f>SUBSTITUTE(IF(LEFT(A2430,3)="Câu","",B2430),CHAR(34),CHAR(92)&amp;CHAR(34))</f>
        <v/>
      </c>
      <c r="J2427" t="str">
        <f>SUBSTITUTE(IF(OR(LEFT(A2431,3)="Câu",I2427=""),"",IF(B2431=0,"",B2431)),CHAR(34),CHAR(92)&amp;CHAR(34))</f>
        <v/>
      </c>
      <c r="K2427" t="str">
        <f>SUBSTITUTE(SUBSTITUTE(SUBSTITUTE(SUBSTITUTE(IFERROR(VLOOKUP("Câu "&amp;D2427&amp;".",dapan!$E:$J,6,0),""),"1","A"),"2","B"),"3","C"),"4","D")</f>
        <v/>
      </c>
      <c r="P2427" t="str">
        <f t="shared" si="139"/>
        <v/>
      </c>
      <c r="Q2427" t="str">
        <f t="shared" si="140"/>
        <v/>
      </c>
    </row>
    <row r="2428" spans="1:17" hidden="1" x14ac:dyDescent="0.25">
      <c r="A2428">
        <v>2</v>
      </c>
      <c r="B2428" t="s">
        <v>1719</v>
      </c>
      <c r="C2428">
        <f>IFERROR(COUNTIFS($A$1:A2428,"Câu "&amp;"*")-MID(A2428,5,FIND(".",A2428,1)-5),0)</f>
        <v>0</v>
      </c>
      <c r="D2428" t="str">
        <f t="shared" si="142"/>
        <v/>
      </c>
      <c r="E2428" t="str">
        <f>SUBSTITUTE(IF(LEFT(A2428,3)="Câu",MID(A2428,FIND(".",A2428,1)+2,LEN(A2428)),""),CHAR(34),CHAR(92)&amp;CHAR(34))</f>
        <v/>
      </c>
      <c r="F2428" t="str">
        <f t="shared" si="141"/>
        <v/>
      </c>
      <c r="G2428" t="str">
        <f>SUBSTITUTE(B2429,CHAR(34),CHAR(92)&amp;CHAR(34))</f>
        <v xml:space="preserve"> Giảm tốc độ cho xe đi sát phần đường bên phải.</v>
      </c>
      <c r="H2428" t="str">
        <f>SUBSTITUTE(B2430,CHAR(34),CHAR(92)&amp;CHAR(34))</f>
        <v/>
      </c>
      <c r="I2428" t="str">
        <f>SUBSTITUTE(IF(LEFT(A2431,3)="Câu","",B2431),CHAR(34),CHAR(92)&amp;CHAR(34))</f>
        <v xml:space="preserve"> Xe tải.</v>
      </c>
      <c r="J2428" t="str">
        <f>SUBSTITUTE(IF(OR(LEFT(A2432,3)="Câu",I2428=""),"",IF(B2432=0,"",B2432)),CHAR(34),CHAR(92)&amp;CHAR(34))</f>
        <v>Xe của bạn.</v>
      </c>
      <c r="K2428" t="str">
        <f>SUBSTITUTE(SUBSTITUTE(SUBSTITUTE(SUBSTITUTE(IFERROR(VLOOKUP("Câu "&amp;D2428&amp;".",dapan!$E:$J,6,0),""),"1","A"),"2","B"),"3","C"),"4","D")</f>
        <v/>
      </c>
      <c r="P2428" t="str">
        <f t="shared" si="139"/>
        <v/>
      </c>
      <c r="Q2428" t="str">
        <f t="shared" si="140"/>
        <v/>
      </c>
    </row>
    <row r="2429" spans="1:17" hidden="1" x14ac:dyDescent="0.25">
      <c r="A2429">
        <v>3</v>
      </c>
      <c r="B2429" t="s">
        <v>1720</v>
      </c>
      <c r="C2429">
        <f>IFERROR(COUNTIFS($A$1:A2429,"Câu "&amp;"*")-MID(A2429,5,FIND(".",A2429,1)-5),0)</f>
        <v>0</v>
      </c>
      <c r="D2429" t="str">
        <f t="shared" si="142"/>
        <v/>
      </c>
      <c r="E2429" t="str">
        <f>SUBSTITUTE(IF(LEFT(A2429,3)="Câu",MID(A2429,FIND(".",A2429,1)+2,LEN(A2429)),""),CHAR(34),CHAR(92)&amp;CHAR(34))</f>
        <v/>
      </c>
      <c r="F2429" t="str">
        <f t="shared" si="141"/>
        <v/>
      </c>
      <c r="G2429" t="str">
        <f>SUBSTITUTE(B2430,CHAR(34),CHAR(92)&amp;CHAR(34))</f>
        <v/>
      </c>
      <c r="H2429" t="str">
        <f>SUBSTITUTE(B2431,CHAR(34),CHAR(92)&amp;CHAR(34))</f>
        <v xml:space="preserve"> Xe tải.</v>
      </c>
      <c r="I2429" t="str">
        <f>SUBSTITUTE(IF(LEFT(A2432,3)="Câu","",B2432),CHAR(34),CHAR(92)&amp;CHAR(34))</f>
        <v>Xe của bạn.</v>
      </c>
      <c r="J2429" t="str">
        <f>SUBSTITUTE(IF(OR(LEFT(A2433,3)="Câu",I2429=""),"",IF(B2433=0,"",B2433)),CHAR(34),CHAR(92)&amp;CHAR(34))</f>
        <v/>
      </c>
      <c r="K2429" t="str">
        <f>SUBSTITUTE(SUBSTITUTE(SUBSTITUTE(SUBSTITUTE(IFERROR(VLOOKUP("Câu "&amp;D2429&amp;".",dapan!$E:$J,6,0),""),"1","A"),"2","B"),"3","C"),"4","D")</f>
        <v/>
      </c>
      <c r="P2429" t="str">
        <f t="shared" si="139"/>
        <v/>
      </c>
      <c r="Q2429" t="str">
        <f t="shared" si="140"/>
        <v/>
      </c>
    </row>
    <row r="2430" spans="1:17" x14ac:dyDescent="0.25">
      <c r="A2430" t="s">
        <v>1721</v>
      </c>
      <c r="C2430">
        <f>IFERROR(COUNTIFS($A$1:A2430,"Câu "&amp;"*")-MID(A2430,5,FIND(".",A2430,1)-5),0)</f>
        <v>0</v>
      </c>
      <c r="D2430">
        <f t="shared" si="142"/>
        <v>591</v>
      </c>
      <c r="E2430" t="str">
        <f>SUBSTITUTE(IF(LEFT(A2430,3)="Câu",MID(A2430,FIND(".",A2430,1)+2,LEN(A2430)),""),CHAR(34),CHAR(92)&amp;CHAR(34))</f>
        <v>Xe nào được đi trước trong trường hợp này?</v>
      </c>
      <c r="F2430" t="str">
        <f t="shared" si="141"/>
        <v>q591.jpg</v>
      </c>
      <c r="G2430" t="str">
        <f>SUBSTITUTE(B2431,CHAR(34),CHAR(92)&amp;CHAR(34))</f>
        <v xml:space="preserve"> Xe tải.</v>
      </c>
      <c r="H2430" t="str">
        <f>SUBSTITUTE(B2432,CHAR(34),CHAR(92)&amp;CHAR(34))</f>
        <v>Xe của bạn.</v>
      </c>
      <c r="I2430" t="str">
        <f>SUBSTITUTE(IF(LEFT(A2433,3)="Câu","",B2433),CHAR(34),CHAR(92)&amp;CHAR(34))</f>
        <v/>
      </c>
      <c r="J2430" t="str">
        <f>SUBSTITUTE(IF(OR(LEFT(A2434,3)="Câu",I2430=""),"",IF(B2434=0,"",B2434)),CHAR(34),CHAR(92)&amp;CHAR(34))</f>
        <v/>
      </c>
      <c r="K2430" t="str">
        <f ca="1">SUBSTITUTE(SUBSTITUTE(SUBSTITUTE(SUBSTITUTE(IFERROR(VLOOKUP("Câu "&amp;D2430&amp;".",dapan!$E:$J,6,0),""),"1","A"),"2","B"),"3","C"),"4","D")</f>
        <v>A</v>
      </c>
      <c r="P2430">
        <f t="shared" si="139"/>
        <v>591</v>
      </c>
      <c r="Q2430" t="str">
        <f t="shared" ca="1" si="140"/>
        <v>{"num":591,"id":591,"q":"Xe nào được đi trước trong trường hợp này?","img":"q591.jpg","opts":{"A":" Xe tải.","B":"Xe của bạn."},"answer":"A"},</v>
      </c>
    </row>
    <row r="2431" spans="1:17" hidden="1" x14ac:dyDescent="0.25">
      <c r="A2431">
        <v>1</v>
      </c>
      <c r="B2431" t="s">
        <v>1460</v>
      </c>
      <c r="C2431">
        <f>IFERROR(COUNTIFS($A$1:A2431,"Câu "&amp;"*")-MID(A2431,5,FIND(".",A2431,1)-5),0)</f>
        <v>0</v>
      </c>
      <c r="D2431" t="str">
        <f t="shared" si="142"/>
        <v/>
      </c>
      <c r="E2431" t="str">
        <f>SUBSTITUTE(IF(LEFT(A2431,3)="Câu",MID(A2431,FIND(".",A2431,1)+2,LEN(A2431)),""),CHAR(34),CHAR(92)&amp;CHAR(34))</f>
        <v/>
      </c>
      <c r="F2431" t="str">
        <f t="shared" si="141"/>
        <v/>
      </c>
      <c r="G2431" t="str">
        <f>SUBSTITUTE(B2432,CHAR(34),CHAR(92)&amp;CHAR(34))</f>
        <v>Xe của bạn.</v>
      </c>
      <c r="H2431" t="str">
        <f>SUBSTITUTE(B2433,CHAR(34),CHAR(92)&amp;CHAR(34))</f>
        <v/>
      </c>
      <c r="I2431" t="str">
        <f>SUBSTITUTE(IF(LEFT(A2434,3)="Câu","",B2434),CHAR(34),CHAR(92)&amp;CHAR(34))</f>
        <v xml:space="preserve"> Xe con.</v>
      </c>
      <c r="J2431" t="str">
        <f>SUBSTITUTE(IF(OR(LEFT(A2435,3)="Câu",I2431=""),"",IF(B2435=0,"",B2435)),CHAR(34),CHAR(92)&amp;CHAR(34))</f>
        <v>Xe mô tô.</v>
      </c>
      <c r="K2431" t="str">
        <f>SUBSTITUTE(SUBSTITUTE(SUBSTITUTE(SUBSTITUTE(IFERROR(VLOOKUP("Câu "&amp;D2431&amp;".",dapan!$E:$J,6,0),""),"1","A"),"2","B"),"3","C"),"4","D")</f>
        <v/>
      </c>
      <c r="P2431" t="str">
        <f t="shared" si="139"/>
        <v/>
      </c>
      <c r="Q2431" t="str">
        <f t="shared" si="140"/>
        <v/>
      </c>
    </row>
    <row r="2432" spans="1:17" hidden="1" x14ac:dyDescent="0.25">
      <c r="A2432">
        <v>2</v>
      </c>
      <c r="B2432" t="s">
        <v>1595</v>
      </c>
      <c r="C2432">
        <f>IFERROR(COUNTIFS($A$1:A2432,"Câu "&amp;"*")-MID(A2432,5,FIND(".",A2432,1)-5),0)</f>
        <v>0</v>
      </c>
      <c r="D2432" t="str">
        <f t="shared" si="142"/>
        <v/>
      </c>
      <c r="E2432" t="str">
        <f>SUBSTITUTE(IF(LEFT(A2432,3)="Câu",MID(A2432,FIND(".",A2432,1)+2,LEN(A2432)),""),CHAR(34),CHAR(92)&amp;CHAR(34))</f>
        <v/>
      </c>
      <c r="F2432" t="str">
        <f t="shared" si="141"/>
        <v/>
      </c>
      <c r="G2432" t="str">
        <f>SUBSTITUTE(B2433,CHAR(34),CHAR(92)&amp;CHAR(34))</f>
        <v/>
      </c>
      <c r="H2432" t="str">
        <f>SUBSTITUTE(B2434,CHAR(34),CHAR(92)&amp;CHAR(34))</f>
        <v xml:space="preserve"> Xe con.</v>
      </c>
      <c r="I2432" t="str">
        <f>SUBSTITUTE(IF(LEFT(A2435,3)="Câu","",B2435),CHAR(34),CHAR(92)&amp;CHAR(34))</f>
        <v>Xe mô tô.</v>
      </c>
      <c r="J2432" t="str">
        <f>SUBSTITUTE(IF(OR(LEFT(A2436,3)="Câu",I2432=""),"",IF(B2436=0,"",B2436)),CHAR(34),CHAR(92)&amp;CHAR(34))</f>
        <v>Cả 2 xe đều đúng.</v>
      </c>
      <c r="K2432" t="str">
        <f>SUBSTITUTE(SUBSTITUTE(SUBSTITUTE(SUBSTITUTE(IFERROR(VLOOKUP("Câu "&amp;D2432&amp;".",dapan!$E:$J,6,0),""),"1","A"),"2","B"),"3","C"),"4","D")</f>
        <v/>
      </c>
      <c r="P2432" t="str">
        <f t="shared" si="139"/>
        <v/>
      </c>
      <c r="Q2432" t="str">
        <f t="shared" si="140"/>
        <v/>
      </c>
    </row>
    <row r="2433" spans="1:17" x14ac:dyDescent="0.25">
      <c r="A2433" t="s">
        <v>1722</v>
      </c>
      <c r="C2433">
        <f>IFERROR(COUNTIFS($A$1:A2433,"Câu "&amp;"*")-MID(A2433,5,FIND(".",A2433,1)-5),0)</f>
        <v>0</v>
      </c>
      <c r="D2433">
        <f t="shared" si="142"/>
        <v>592</v>
      </c>
      <c r="E2433" t="str">
        <f>SUBSTITUTE(IF(LEFT(A2433,3)="Câu",MID(A2433,FIND(".",A2433,1)+2,LEN(A2433)),""),CHAR(34),CHAR(92)&amp;CHAR(34))</f>
        <v>Xe nào dừng đúng theo quy tắc giao thông?</v>
      </c>
      <c r="F2433" t="str">
        <f t="shared" si="141"/>
        <v>q592.jpg</v>
      </c>
      <c r="G2433" t="str">
        <f>SUBSTITUTE(B2434,CHAR(34),CHAR(92)&amp;CHAR(34))</f>
        <v xml:space="preserve"> Xe con.</v>
      </c>
      <c r="H2433" t="str">
        <f>SUBSTITUTE(B2435,CHAR(34),CHAR(92)&amp;CHAR(34))</f>
        <v>Xe mô tô.</v>
      </c>
      <c r="I2433" t="str">
        <f>SUBSTITUTE(IF(LEFT(A2436,3)="Câu","",B2436),CHAR(34),CHAR(92)&amp;CHAR(34))</f>
        <v>Cả 2 xe đều đúng.</v>
      </c>
      <c r="J2433" t="str">
        <f>SUBSTITUTE(IF(OR(LEFT(A2437,3)="Câu",I2433=""),"",IF(B2437=0,"",B2437)),CHAR(34),CHAR(92)&amp;CHAR(34))</f>
        <v/>
      </c>
      <c r="K2433" t="str">
        <f ca="1">SUBSTITUTE(SUBSTITUTE(SUBSTITUTE(SUBSTITUTE(IFERROR(VLOOKUP("Câu "&amp;D2433&amp;".",dapan!$E:$J,6,0),""),"1","A"),"2","B"),"3","C"),"4","D")</f>
        <v>A</v>
      </c>
      <c r="P2433">
        <f t="shared" si="139"/>
        <v>592</v>
      </c>
      <c r="Q2433" t="str">
        <f t="shared" ca="1" si="140"/>
        <v>{"num":592,"id":592,"q":"Xe nào dừng đúng theo quy tắc giao thông?","img":"q592.jpg","opts":{"A":" Xe con.","B":"Xe mô tô.","C":"Cả 2 xe đều đúng."},"answer":"A"},</v>
      </c>
    </row>
    <row r="2434" spans="1:17" hidden="1" x14ac:dyDescent="0.25">
      <c r="A2434">
        <v>1</v>
      </c>
      <c r="B2434" t="s">
        <v>1418</v>
      </c>
      <c r="C2434">
        <f>IFERROR(COUNTIFS($A$1:A2434,"Câu "&amp;"*")-MID(A2434,5,FIND(".",A2434,1)-5),0)</f>
        <v>0</v>
      </c>
      <c r="D2434" t="str">
        <f t="shared" si="142"/>
        <v/>
      </c>
      <c r="E2434" t="str">
        <f>SUBSTITUTE(IF(LEFT(A2434,3)="Câu",MID(A2434,FIND(".",A2434,1)+2,LEN(A2434)),""),CHAR(34),CHAR(92)&amp;CHAR(34))</f>
        <v/>
      </c>
      <c r="F2434" t="str">
        <f t="shared" si="141"/>
        <v/>
      </c>
      <c r="G2434" t="str">
        <f>SUBSTITUTE(B2435,CHAR(34),CHAR(92)&amp;CHAR(34))</f>
        <v>Xe mô tô.</v>
      </c>
      <c r="H2434" t="str">
        <f>SUBSTITUTE(B2436,CHAR(34),CHAR(92)&amp;CHAR(34))</f>
        <v>Cả 2 xe đều đúng.</v>
      </c>
      <c r="I2434" t="str">
        <f>SUBSTITUTE(IF(LEFT(A2437,3)="Câu","",B2437),CHAR(34),CHAR(92)&amp;CHAR(34))</f>
        <v/>
      </c>
      <c r="J2434" t="str">
        <f>SUBSTITUTE(IF(OR(LEFT(A2438,3)="Câu",I2434=""),"",IF(B2438=0,"",B2438)),CHAR(34),CHAR(92)&amp;CHAR(34))</f>
        <v/>
      </c>
      <c r="K2434" t="str">
        <f>SUBSTITUTE(SUBSTITUTE(SUBSTITUTE(SUBSTITUTE(IFERROR(VLOOKUP("Câu "&amp;D2434&amp;".",dapan!$E:$J,6,0),""),"1","A"),"2","B"),"3","C"),"4","D")</f>
        <v/>
      </c>
      <c r="P2434" t="str">
        <f t="shared" si="139"/>
        <v/>
      </c>
      <c r="Q2434" t="str">
        <f t="shared" si="140"/>
        <v/>
      </c>
    </row>
    <row r="2435" spans="1:17" hidden="1" x14ac:dyDescent="0.25">
      <c r="A2435">
        <v>2</v>
      </c>
      <c r="B2435" t="s">
        <v>1421</v>
      </c>
      <c r="C2435">
        <f>IFERROR(COUNTIFS($A$1:A2435,"Câu "&amp;"*")-MID(A2435,5,FIND(".",A2435,1)-5),0)</f>
        <v>0</v>
      </c>
      <c r="D2435" t="str">
        <f t="shared" si="142"/>
        <v/>
      </c>
      <c r="E2435" t="str">
        <f>SUBSTITUTE(IF(LEFT(A2435,3)="Câu",MID(A2435,FIND(".",A2435,1)+2,LEN(A2435)),""),CHAR(34),CHAR(92)&amp;CHAR(34))</f>
        <v/>
      </c>
      <c r="F2435" t="str">
        <f t="shared" si="141"/>
        <v/>
      </c>
      <c r="G2435" t="str">
        <f>SUBSTITUTE(B2436,CHAR(34),CHAR(92)&amp;CHAR(34))</f>
        <v>Cả 2 xe đều đúng.</v>
      </c>
      <c r="H2435" t="str">
        <f>SUBSTITUTE(B2437,CHAR(34),CHAR(92)&amp;CHAR(34))</f>
        <v/>
      </c>
      <c r="I2435" t="str">
        <f>SUBSTITUTE(IF(LEFT(A2438,3)="Câu","",B2438),CHAR(34),CHAR(92)&amp;CHAR(34))</f>
        <v>Xe tải, xe đạp, xe của bạn.</v>
      </c>
      <c r="J2435" t="str">
        <f>SUBSTITUTE(IF(OR(LEFT(A2439,3)="Câu",I2435=""),"",IF(B2439=0,"",B2439)),CHAR(34),CHAR(92)&amp;CHAR(34))</f>
        <v>Xe của bạn, xe đạp, xe tải.</v>
      </c>
      <c r="K2435" t="str">
        <f>SUBSTITUTE(SUBSTITUTE(SUBSTITUTE(SUBSTITUTE(IFERROR(VLOOKUP("Câu "&amp;D2435&amp;".",dapan!$E:$J,6,0),""),"1","A"),"2","B"),"3","C"),"4","D")</f>
        <v/>
      </c>
      <c r="P2435" t="str">
        <f t="shared" ref="P2435:P2465" si="143">D2435</f>
        <v/>
      </c>
      <c r="Q2435" t="str">
        <f t="shared" ref="Q2435:Q2465" si="144">IF(D2435="","",CHAR(123)&amp;CHAR(34)&amp;"num"&amp;CHAR(34)&amp;":"&amp;P2435&amp;","&amp;CHAR(34)&amp;"id"&amp;CHAR(34)&amp;":"&amp;D2435&amp;","
&amp;CHAR(34)&amp;"q"&amp;CHAR(34)&amp;":"&amp;CHAR(34)&amp;E2435&amp;CHAR(34)&amp;","
&amp;IF(F2435="","",CHAR(34)&amp;"img"&amp;CHAR(34)&amp;":"&amp;CHAR(34)&amp;F2435&amp;CHAR(34)&amp;",")
&amp;CHAR(34)&amp;"opts"&amp;CHAR(34)&amp;":"&amp;CHAR(123)&amp;CHAR(34)&amp;"A"&amp;CHAR(34)&amp;":"&amp;CHAR(34)&amp;G2435&amp;CHAR(34)&amp;","&amp;CHAR(34)&amp;"B"&amp;CHAR(34)&amp;":"&amp;CHAR(34)&amp;H2435&amp;CHAR(34)
&amp;IF(I2435="","",","&amp;CHAR(34)&amp;"C"&amp;CHAR(34)&amp;":"&amp;CHAR(34)&amp;I2435&amp;CHAR(34))&amp;IF(J2435="","",","&amp;CHAR(34)&amp;"D"&amp;CHAR(34)&amp;":"&amp;CHAR(34)&amp;J2435&amp;CHAR(34))&amp;CHAR(125)&amp;","
&amp;CHAR(34)&amp;"answer"&amp;CHAR(34)&amp;":"&amp;CHAR(34)&amp;K2435&amp;CHAR(34)
&amp;IF(L2435="","",","&amp;CHAR(34)&amp;"danger"&amp;CHAR(34)&amp;":"&amp;CHAR(34)&amp;"true"&amp;CHAR(34))
&amp;IF(M2435="","",","&amp;CHAR(34)&amp;"explain"&amp;CHAR(34)&amp;":"&amp;CHAR(34)&amp;M2435&amp;CHAR(34))
&amp;IF(N2435="","",","&amp;CHAR(34)&amp;"explainImg"&amp;CHAR(34)&amp;":"&amp;CHAR(34)&amp;N2435&amp;CHAR(34))
&amp;IF(O2435="","",","&amp;CHAR(34)&amp;"shuffle"&amp;CHAR(34)&amp;":"&amp;CHAR(34)&amp;"false"&amp;CHAR(34))&amp;CHAR(125)&amp;",")</f>
        <v/>
      </c>
    </row>
    <row r="2436" spans="1:17" hidden="1" x14ac:dyDescent="0.25">
      <c r="A2436">
        <v>3</v>
      </c>
      <c r="B2436" t="s">
        <v>1723</v>
      </c>
      <c r="C2436">
        <f>IFERROR(COUNTIFS($A$1:A2436,"Câu "&amp;"*")-MID(A2436,5,FIND(".",A2436,1)-5),0)</f>
        <v>0</v>
      </c>
      <c r="D2436" t="str">
        <f t="shared" si="142"/>
        <v/>
      </c>
      <c r="E2436" t="str">
        <f>SUBSTITUTE(IF(LEFT(A2436,3)="Câu",MID(A2436,FIND(".",A2436,1)+2,LEN(A2436)),""),CHAR(34),CHAR(92)&amp;CHAR(34))</f>
        <v/>
      </c>
      <c r="F2436" t="str">
        <f t="shared" si="141"/>
        <v/>
      </c>
      <c r="G2436" t="str">
        <f>SUBSTITUTE(B2437,CHAR(34),CHAR(92)&amp;CHAR(34))</f>
        <v/>
      </c>
      <c r="H2436" t="str">
        <f>SUBSTITUTE(B2438,CHAR(34),CHAR(92)&amp;CHAR(34))</f>
        <v>Xe tải, xe đạp, xe của bạn.</v>
      </c>
      <c r="I2436" t="str">
        <f>SUBSTITUTE(IF(LEFT(A2439,3)="Câu","",B2439),CHAR(34),CHAR(92)&amp;CHAR(34))</f>
        <v>Xe của bạn, xe đạp, xe tải.</v>
      </c>
      <c r="J2436" t="str">
        <f>SUBSTITUTE(IF(OR(LEFT(A2440,3)="Câu",I2436=""),"",IF(B2440=0,"",B2440)),CHAR(34),CHAR(92)&amp;CHAR(34))</f>
        <v xml:space="preserve"> Xe của bạn, xe tải, xe đạp.</v>
      </c>
      <c r="K2436" t="str">
        <f>SUBSTITUTE(SUBSTITUTE(SUBSTITUTE(SUBSTITUTE(IFERROR(VLOOKUP("Câu "&amp;D2436&amp;".",dapan!$E:$J,6,0),""),"1","A"),"2","B"),"3","C"),"4","D")</f>
        <v/>
      </c>
      <c r="P2436" t="str">
        <f t="shared" si="143"/>
        <v/>
      </c>
      <c r="Q2436" t="str">
        <f t="shared" si="144"/>
        <v/>
      </c>
    </row>
    <row r="2437" spans="1:17" x14ac:dyDescent="0.25">
      <c r="A2437" t="s">
        <v>1724</v>
      </c>
      <c r="C2437">
        <f>IFERROR(COUNTIFS($A$1:A2437,"Câu "&amp;"*")-MID(A2437,5,FIND(".",A2437,1)-5),0)</f>
        <v>0</v>
      </c>
      <c r="D2437">
        <f t="shared" si="142"/>
        <v>593</v>
      </c>
      <c r="E2437" t="str">
        <f>SUBSTITUTE(IF(LEFT(A2437,3)="Câu",MID(A2437,FIND(".",A2437,1)+2,LEN(A2437)),""),CHAR(34),CHAR(92)&amp;CHAR(34))</f>
        <v>Các xe đi theo thứ tự nào là đúng quy tắc giao thông đường bộ?</v>
      </c>
      <c r="F2437" t="str">
        <f t="shared" si="141"/>
        <v>q593.jpg</v>
      </c>
      <c r="G2437" t="str">
        <f>SUBSTITUTE(B2438,CHAR(34),CHAR(92)&amp;CHAR(34))</f>
        <v>Xe tải, xe đạp, xe của bạn.</v>
      </c>
      <c r="H2437" t="str">
        <f>SUBSTITUTE(B2439,CHAR(34),CHAR(92)&amp;CHAR(34))</f>
        <v>Xe của bạn, xe đạp, xe tải.</v>
      </c>
      <c r="I2437" t="str">
        <f>SUBSTITUTE(IF(LEFT(A2440,3)="Câu","",B2440),CHAR(34),CHAR(92)&amp;CHAR(34))</f>
        <v xml:space="preserve"> Xe của bạn, xe tải, xe đạp.</v>
      </c>
      <c r="J2437" t="str">
        <f>SUBSTITUTE(IF(OR(LEFT(A2441,3)="Câu",I2437=""),"",IF(B2441=0,"",B2441)),CHAR(34),CHAR(92)&amp;CHAR(34))</f>
        <v/>
      </c>
      <c r="K2437" t="str">
        <f ca="1">SUBSTITUTE(SUBSTITUTE(SUBSTITUTE(SUBSTITUTE(IFERROR(VLOOKUP("Câu "&amp;D2437&amp;".",dapan!$E:$J,6,0),""),"1","A"),"2","B"),"3","C"),"4","D")</f>
        <v>C</v>
      </c>
      <c r="P2437">
        <f t="shared" si="143"/>
        <v>593</v>
      </c>
      <c r="Q2437" t="str">
        <f t="shared" ca="1" si="144"/>
        <v>{"num":593,"id":593,"q":"Các xe đi theo thứ tự nào là đúng quy tắc giao thông đường bộ?","img":"q593.jpg","opts":{"A":"Xe tải, xe đạp, xe của bạn.","B":"Xe của bạn, xe đạp, xe tải.","C":" Xe của bạn, xe tải, xe đạp."},"answer":"C"},</v>
      </c>
    </row>
    <row r="2438" spans="1:17" hidden="1" x14ac:dyDescent="0.25">
      <c r="A2438">
        <v>1</v>
      </c>
      <c r="B2438" t="s">
        <v>1725</v>
      </c>
      <c r="C2438">
        <f>IFERROR(COUNTIFS($A$1:A2438,"Câu "&amp;"*")-MID(A2438,5,FIND(".",A2438,1)-5),0)</f>
        <v>0</v>
      </c>
      <c r="D2438" t="str">
        <f t="shared" si="142"/>
        <v/>
      </c>
      <c r="E2438" t="str">
        <f>SUBSTITUTE(IF(LEFT(A2438,3)="Câu",MID(A2438,FIND(".",A2438,1)+2,LEN(A2438)),""),CHAR(34),CHAR(92)&amp;CHAR(34))</f>
        <v/>
      </c>
      <c r="F2438" t="str">
        <f t="shared" si="141"/>
        <v/>
      </c>
      <c r="G2438" t="str">
        <f>SUBSTITUTE(B2439,CHAR(34),CHAR(92)&amp;CHAR(34))</f>
        <v>Xe của bạn, xe đạp, xe tải.</v>
      </c>
      <c r="H2438" t="str">
        <f>SUBSTITUTE(B2440,CHAR(34),CHAR(92)&amp;CHAR(34))</f>
        <v xml:space="preserve"> Xe của bạn, xe tải, xe đạp.</v>
      </c>
      <c r="I2438" t="str">
        <f>SUBSTITUTE(IF(LEFT(A2441,3)="Câu","",B2441),CHAR(34),CHAR(92)&amp;CHAR(34))</f>
        <v/>
      </c>
      <c r="J2438" t="str">
        <f>SUBSTITUTE(IF(OR(LEFT(A2442,3)="Câu",I2438=""),"",IF(B2442=0,"",B2442)),CHAR(34),CHAR(92)&amp;CHAR(34))</f>
        <v/>
      </c>
      <c r="K2438" t="str">
        <f>SUBSTITUTE(SUBSTITUTE(SUBSTITUTE(SUBSTITUTE(IFERROR(VLOOKUP("Câu "&amp;D2438&amp;".",dapan!$E:$J,6,0),""),"1","A"),"2","B"),"3","C"),"4","D")</f>
        <v/>
      </c>
      <c r="P2438" t="str">
        <f t="shared" si="143"/>
        <v/>
      </c>
      <c r="Q2438" t="str">
        <f t="shared" si="144"/>
        <v/>
      </c>
    </row>
    <row r="2439" spans="1:17" hidden="1" x14ac:dyDescent="0.25">
      <c r="A2439">
        <v>2</v>
      </c>
      <c r="B2439" t="s">
        <v>1726</v>
      </c>
      <c r="C2439">
        <f>IFERROR(COUNTIFS($A$1:A2439,"Câu "&amp;"*")-MID(A2439,5,FIND(".",A2439,1)-5),0)</f>
        <v>0</v>
      </c>
      <c r="D2439" t="str">
        <f t="shared" si="142"/>
        <v/>
      </c>
      <c r="E2439" t="str">
        <f>SUBSTITUTE(IF(LEFT(A2439,3)="Câu",MID(A2439,FIND(".",A2439,1)+2,LEN(A2439)),""),CHAR(34),CHAR(92)&amp;CHAR(34))</f>
        <v/>
      </c>
      <c r="F2439" t="str">
        <f t="shared" si="141"/>
        <v/>
      </c>
      <c r="G2439" t="str">
        <f>SUBSTITUTE(B2440,CHAR(34),CHAR(92)&amp;CHAR(34))</f>
        <v xml:space="preserve"> Xe của bạn, xe tải, xe đạp.</v>
      </c>
      <c r="H2439" t="str">
        <f>SUBSTITUTE(B2441,CHAR(34),CHAR(92)&amp;CHAR(34))</f>
        <v/>
      </c>
      <c r="I2439" t="str">
        <f>SUBSTITUTE(IF(LEFT(A2442,3)="Câu","",B2442),CHAR(34),CHAR(92)&amp;CHAR(34))</f>
        <v xml:space="preserve"> Hướng 1.</v>
      </c>
      <c r="J2439" t="str">
        <f>SUBSTITUTE(IF(OR(LEFT(A2443,3)="Câu",I2439=""),"",IF(B2443=0,"",B2443)),CHAR(34),CHAR(92)&amp;CHAR(34))</f>
        <v>Hướng 2.</v>
      </c>
      <c r="K2439" t="str">
        <f>SUBSTITUTE(SUBSTITUTE(SUBSTITUTE(SUBSTITUTE(IFERROR(VLOOKUP("Câu "&amp;D2439&amp;".",dapan!$E:$J,6,0),""),"1","A"),"2","B"),"3","C"),"4","D")</f>
        <v/>
      </c>
      <c r="P2439" t="str">
        <f t="shared" si="143"/>
        <v/>
      </c>
      <c r="Q2439" t="str">
        <f t="shared" si="144"/>
        <v/>
      </c>
    </row>
    <row r="2440" spans="1:17" hidden="1" x14ac:dyDescent="0.25">
      <c r="A2440">
        <v>3</v>
      </c>
      <c r="B2440" t="s">
        <v>1727</v>
      </c>
      <c r="C2440">
        <f>IFERROR(COUNTIFS($A$1:A2440,"Câu "&amp;"*")-MID(A2440,5,FIND(".",A2440,1)-5),0)</f>
        <v>0</v>
      </c>
      <c r="D2440" t="str">
        <f t="shared" si="142"/>
        <v/>
      </c>
      <c r="E2440" t="str">
        <f>SUBSTITUTE(IF(LEFT(A2440,3)="Câu",MID(A2440,FIND(".",A2440,1)+2,LEN(A2440)),""),CHAR(34),CHAR(92)&amp;CHAR(34))</f>
        <v/>
      </c>
      <c r="F2440" t="str">
        <f t="shared" si="141"/>
        <v/>
      </c>
      <c r="G2440" t="str">
        <f>SUBSTITUTE(B2441,CHAR(34),CHAR(92)&amp;CHAR(34))</f>
        <v/>
      </c>
      <c r="H2440" t="str">
        <f>SUBSTITUTE(B2442,CHAR(34),CHAR(92)&amp;CHAR(34))</f>
        <v xml:space="preserve"> Hướng 1.</v>
      </c>
      <c r="I2440" t="str">
        <f>SUBSTITUTE(IF(LEFT(A2443,3)="Câu","",B2443),CHAR(34),CHAR(92)&amp;CHAR(34))</f>
        <v>Hướng 2.</v>
      </c>
      <c r="J2440" t="str">
        <f>SUBSTITUTE(IF(OR(LEFT(A2444,3)="Câu",I2440=""),"",IF(B2444=0,"",B2444)),CHAR(34),CHAR(92)&amp;CHAR(34))</f>
        <v>Cả hai hướng đều được.</v>
      </c>
      <c r="K2440" t="str">
        <f>SUBSTITUTE(SUBSTITUTE(SUBSTITUTE(SUBSTITUTE(IFERROR(VLOOKUP("Câu "&amp;D2440&amp;".",dapan!$E:$J,6,0),""),"1","A"),"2","B"),"3","C"),"4","D")</f>
        <v/>
      </c>
      <c r="P2440" t="str">
        <f t="shared" si="143"/>
        <v/>
      </c>
      <c r="Q2440" t="str">
        <f t="shared" si="144"/>
        <v/>
      </c>
    </row>
    <row r="2441" spans="1:17" x14ac:dyDescent="0.25">
      <c r="A2441" t="s">
        <v>1728</v>
      </c>
      <c r="C2441">
        <f>IFERROR(COUNTIFS($A$1:A2441,"Câu "&amp;"*")-MID(A2441,5,FIND(".",A2441,1)-5),0)</f>
        <v>0</v>
      </c>
      <c r="D2441">
        <f t="shared" si="142"/>
        <v>594</v>
      </c>
      <c r="E2441" t="str">
        <f>SUBSTITUTE(IF(LEFT(A2441,3)="Câu",MID(A2441,FIND(".",A2441,1)+2,LEN(A2441)),""),CHAR(34),CHAR(92)&amp;CHAR(34))</f>
        <v>Để điều khiển xe rẽ trái, bạn chọn hướng đi nào dưới đây?</v>
      </c>
      <c r="F2441" t="str">
        <f t="shared" si="141"/>
        <v>q594.jpg</v>
      </c>
      <c r="G2441" t="str">
        <f>SUBSTITUTE(B2442,CHAR(34),CHAR(92)&amp;CHAR(34))</f>
        <v xml:space="preserve"> Hướng 1.</v>
      </c>
      <c r="H2441" t="str">
        <f>SUBSTITUTE(B2443,CHAR(34),CHAR(92)&amp;CHAR(34))</f>
        <v>Hướng 2.</v>
      </c>
      <c r="I2441" t="str">
        <f>SUBSTITUTE(IF(LEFT(A2444,3)="Câu","",B2444),CHAR(34),CHAR(92)&amp;CHAR(34))</f>
        <v>Cả hai hướng đều được.</v>
      </c>
      <c r="J2441" t="str">
        <f>SUBSTITUTE(IF(OR(LEFT(A2445,3)="Câu",I2441=""),"",IF(B2445=0,"",B2445)),CHAR(34),CHAR(92)&amp;CHAR(34))</f>
        <v/>
      </c>
      <c r="K2441" t="str">
        <f ca="1">SUBSTITUTE(SUBSTITUTE(SUBSTITUTE(SUBSTITUTE(IFERROR(VLOOKUP("Câu "&amp;D2441&amp;".",dapan!$E:$J,6,0),""),"1","A"),"2","B"),"3","C"),"4","D")</f>
        <v>A</v>
      </c>
      <c r="P2441">
        <f t="shared" si="143"/>
        <v>594</v>
      </c>
      <c r="Q2441" t="str">
        <f t="shared" ca="1" si="144"/>
        <v>{"num":594,"id":594,"q":"Để điều khiển xe rẽ trái, bạn chọn hướng đi nào dưới đây?","img":"q594.jpg","opts":{"A":" Hướng 1.","B":"Hướng 2.","C":"Cả hai hướng đều được."},"answer":"A"},</v>
      </c>
    </row>
    <row r="2442" spans="1:17" hidden="1" x14ac:dyDescent="0.25">
      <c r="A2442">
        <v>1</v>
      </c>
      <c r="B2442" t="s">
        <v>1729</v>
      </c>
      <c r="C2442">
        <f>IFERROR(COUNTIFS($A$1:A2442,"Câu "&amp;"*")-MID(A2442,5,FIND(".",A2442,1)-5),0)</f>
        <v>0</v>
      </c>
      <c r="D2442" t="str">
        <f t="shared" si="142"/>
        <v/>
      </c>
      <c r="E2442" t="str">
        <f>SUBSTITUTE(IF(LEFT(A2442,3)="Câu",MID(A2442,FIND(".",A2442,1)+2,LEN(A2442)),""),CHAR(34),CHAR(92)&amp;CHAR(34))</f>
        <v/>
      </c>
      <c r="F2442" t="str">
        <f t="shared" si="141"/>
        <v/>
      </c>
      <c r="G2442" t="str">
        <f>SUBSTITUTE(B2443,CHAR(34),CHAR(92)&amp;CHAR(34))</f>
        <v>Hướng 2.</v>
      </c>
      <c r="H2442" t="str">
        <f>SUBSTITUTE(B2444,CHAR(34),CHAR(92)&amp;CHAR(34))</f>
        <v>Cả hai hướng đều được.</v>
      </c>
      <c r="I2442" t="str">
        <f>SUBSTITUTE(IF(LEFT(A2445,3)="Câu","",B2445),CHAR(34),CHAR(92)&amp;CHAR(34))</f>
        <v/>
      </c>
      <c r="J2442" t="str">
        <f>SUBSTITUTE(IF(OR(LEFT(A2446,3)="Câu",I2442=""),"",IF(B2446=0,"",B2446)),CHAR(34),CHAR(92)&amp;CHAR(34))</f>
        <v/>
      </c>
      <c r="K2442" t="str">
        <f>SUBSTITUTE(SUBSTITUTE(SUBSTITUTE(SUBSTITUTE(IFERROR(VLOOKUP("Câu "&amp;D2442&amp;".",dapan!$E:$J,6,0),""),"1","A"),"2","B"),"3","C"),"4","D")</f>
        <v/>
      </c>
      <c r="P2442" t="str">
        <f t="shared" si="143"/>
        <v/>
      </c>
      <c r="Q2442" t="str">
        <f t="shared" si="144"/>
        <v/>
      </c>
    </row>
    <row r="2443" spans="1:17" hidden="1" x14ac:dyDescent="0.25">
      <c r="A2443">
        <v>2</v>
      </c>
      <c r="B2443" t="s">
        <v>1730</v>
      </c>
      <c r="C2443">
        <f>IFERROR(COUNTIFS($A$1:A2443,"Câu "&amp;"*")-MID(A2443,5,FIND(".",A2443,1)-5),0)</f>
        <v>0</v>
      </c>
      <c r="D2443" t="str">
        <f t="shared" si="142"/>
        <v/>
      </c>
      <c r="E2443" t="str">
        <f>SUBSTITUTE(IF(LEFT(A2443,3)="Câu",MID(A2443,FIND(".",A2443,1)+2,LEN(A2443)),""),CHAR(34),CHAR(92)&amp;CHAR(34))</f>
        <v/>
      </c>
      <c r="F2443" t="str">
        <f t="shared" si="141"/>
        <v/>
      </c>
      <c r="G2443" t="str">
        <f>SUBSTITUTE(B2444,CHAR(34),CHAR(92)&amp;CHAR(34))</f>
        <v>Cả hai hướng đều được.</v>
      </c>
      <c r="H2443" t="str">
        <f>SUBSTITUTE(B2445,CHAR(34),CHAR(92)&amp;CHAR(34))</f>
        <v/>
      </c>
      <c r="I2443" t="str">
        <f>SUBSTITUTE(IF(LEFT(A2446,3)="Câu","",B2446),CHAR(34),CHAR(92)&amp;CHAR(34))</f>
        <v>Bật đèn chiếu xa, tăng tốc độ vượt xe cùng chiều.</v>
      </c>
      <c r="J2443" t="str">
        <f>SUBSTITUTE(IF(OR(LEFT(A2447,3)="Câu",I2443=""),"",IF(B2447=0,"",B2447)),CHAR(34),CHAR(92)&amp;CHAR(34))</f>
        <v xml:space="preserve"> Giữ nguyên đèn chiếu gần, giảm tốc độ, đi sau xe phía trước.</v>
      </c>
      <c r="K2443" t="str">
        <f>SUBSTITUTE(SUBSTITUTE(SUBSTITUTE(SUBSTITUTE(IFERROR(VLOOKUP("Câu "&amp;D2443&amp;".",dapan!$E:$J,6,0),""),"1","A"),"2","B"),"3","C"),"4","D")</f>
        <v/>
      </c>
      <c r="P2443" t="str">
        <f t="shared" si="143"/>
        <v/>
      </c>
      <c r="Q2443" t="str">
        <f t="shared" si="144"/>
        <v/>
      </c>
    </row>
    <row r="2444" spans="1:17" hidden="1" x14ac:dyDescent="0.25">
      <c r="A2444">
        <v>3</v>
      </c>
      <c r="B2444" t="s">
        <v>1731</v>
      </c>
      <c r="C2444">
        <f>IFERROR(COUNTIFS($A$1:A2444,"Câu "&amp;"*")-MID(A2444,5,FIND(".",A2444,1)-5),0)</f>
        <v>0</v>
      </c>
      <c r="D2444" t="str">
        <f t="shared" si="142"/>
        <v/>
      </c>
      <c r="E2444" t="str">
        <f>SUBSTITUTE(IF(LEFT(A2444,3)="Câu",MID(A2444,FIND(".",A2444,1)+2,LEN(A2444)),""),CHAR(34),CHAR(92)&amp;CHAR(34))</f>
        <v/>
      </c>
      <c r="F2444" t="str">
        <f t="shared" si="141"/>
        <v/>
      </c>
      <c r="G2444" t="str">
        <f>SUBSTITUTE(B2445,CHAR(34),CHAR(92)&amp;CHAR(34))</f>
        <v/>
      </c>
      <c r="H2444" t="str">
        <f>SUBSTITUTE(B2446,CHAR(34),CHAR(92)&amp;CHAR(34))</f>
        <v>Bật đèn chiếu xa, tăng tốc độ vượt xe cùng chiều.</v>
      </c>
      <c r="I2444" t="str">
        <f>SUBSTITUTE(IF(LEFT(A2447,3)="Câu","",B2447),CHAR(34),CHAR(92)&amp;CHAR(34))</f>
        <v xml:space="preserve"> Giữ nguyên đèn chiếu gần, giảm tốc độ, đi sau xe phía trước.</v>
      </c>
      <c r="J2444" t="str">
        <f>SUBSTITUTE(IF(OR(LEFT(A2448,3)="Câu",I2444=""),"",IF(B2448=0,"",B2448)),CHAR(34),CHAR(92)&amp;CHAR(34))</f>
        <v>Giữ nguyên đèn chiếu gần, tăng tốc độ vượt xe cùng chiều.</v>
      </c>
      <c r="K2444" t="str">
        <f>SUBSTITUTE(SUBSTITUTE(SUBSTITUTE(SUBSTITUTE(IFERROR(VLOOKUP("Câu "&amp;D2444&amp;".",dapan!$E:$J,6,0),""),"1","A"),"2","B"),"3","C"),"4","D")</f>
        <v/>
      </c>
      <c r="P2444" t="str">
        <f t="shared" si="143"/>
        <v/>
      </c>
      <c r="Q2444" t="str">
        <f t="shared" si="144"/>
        <v/>
      </c>
    </row>
    <row r="2445" spans="1:17" x14ac:dyDescent="0.25">
      <c r="A2445" t="s">
        <v>1732</v>
      </c>
      <c r="C2445">
        <f>IFERROR(COUNTIFS($A$1:A2445,"Câu "&amp;"*")-MID(A2445,5,FIND(".",A2445,1)-5),0)</f>
        <v>0</v>
      </c>
      <c r="D2445">
        <f t="shared" si="142"/>
        <v>595</v>
      </c>
      <c r="E2445" t="str">
        <f>SUBSTITUTE(IF(LEFT(A2445,3)="Câu",MID(A2445,FIND(".",A2445,1)+2,LEN(A2445)),""),CHAR(34),CHAR(92)&amp;CHAR(34))</f>
        <v>Khi gặp xe ngược chiều bật đèn pha trong tình huống dưới dây, bạn xử lý như thế nào?</v>
      </c>
      <c r="F2445" t="str">
        <f t="shared" si="141"/>
        <v>q595.jpg</v>
      </c>
      <c r="G2445" t="str">
        <f>SUBSTITUTE(B2446,CHAR(34),CHAR(92)&amp;CHAR(34))</f>
        <v>Bật đèn chiếu xa, tăng tốc độ vượt xe cùng chiều.</v>
      </c>
      <c r="H2445" t="str">
        <f>SUBSTITUTE(B2447,CHAR(34),CHAR(92)&amp;CHAR(34))</f>
        <v xml:space="preserve"> Giữ nguyên đèn chiếu gần, giảm tốc độ, đi sau xe phía trước.</v>
      </c>
      <c r="I2445" t="str">
        <f>SUBSTITUTE(IF(LEFT(A2448,3)="Câu","",B2448),CHAR(34),CHAR(92)&amp;CHAR(34))</f>
        <v>Giữ nguyên đèn chiếu gần, tăng tốc độ vượt xe cùng chiều.</v>
      </c>
      <c r="J2445" t="str">
        <f>SUBSTITUTE(IF(OR(LEFT(A2449,3)="Câu",I2445=""),"",IF(B2449=0,"",B2449)),CHAR(34),CHAR(92)&amp;CHAR(34))</f>
        <v/>
      </c>
      <c r="K2445" t="str">
        <f ca="1">SUBSTITUTE(SUBSTITUTE(SUBSTITUTE(SUBSTITUTE(IFERROR(VLOOKUP("Câu "&amp;D2445&amp;".",dapan!$E:$J,6,0),""),"1","A"),"2","B"),"3","C"),"4","D")</f>
        <v>B</v>
      </c>
      <c r="P2445">
        <f t="shared" si="143"/>
        <v>595</v>
      </c>
      <c r="Q2445" t="str">
        <f t="shared" ca="1" si="144"/>
        <v>{"num":595,"id":595,"q":"Khi gặp xe ngược chiều bật đèn pha trong tình huống dưới dây, bạn xử lý như thế nào?","img":"q595.jpg","opts":{"A":"Bật đèn chiếu xa, tăng tốc độ vượt xe cùng chiều.","B":" Giữ nguyên đèn chiếu gần, giảm tốc độ, đi sau xe phía trước.","C":"Giữ nguyên đèn chiếu gần, tăng tốc độ vượt xe cùng chiều."},"answer":"B"},</v>
      </c>
    </row>
    <row r="2446" spans="1:17" hidden="1" x14ac:dyDescent="0.25">
      <c r="A2446">
        <v>1</v>
      </c>
      <c r="B2446" t="s">
        <v>1733</v>
      </c>
      <c r="C2446">
        <f>IFERROR(COUNTIFS($A$1:A2446,"Câu "&amp;"*")-MID(A2446,5,FIND(".",A2446,1)-5),0)</f>
        <v>0</v>
      </c>
      <c r="D2446" t="str">
        <f t="shared" si="142"/>
        <v/>
      </c>
      <c r="E2446" t="str">
        <f>SUBSTITUTE(IF(LEFT(A2446,3)="Câu",MID(A2446,FIND(".",A2446,1)+2,LEN(A2446)),""),CHAR(34),CHAR(92)&amp;CHAR(34))</f>
        <v/>
      </c>
      <c r="F2446" t="str">
        <f t="shared" si="141"/>
        <v/>
      </c>
      <c r="G2446" t="str">
        <f>SUBSTITUTE(B2447,CHAR(34),CHAR(92)&amp;CHAR(34))</f>
        <v xml:space="preserve"> Giữ nguyên đèn chiếu gần, giảm tốc độ, đi sau xe phía trước.</v>
      </c>
      <c r="H2446" t="str">
        <f>SUBSTITUTE(B2448,CHAR(34),CHAR(92)&amp;CHAR(34))</f>
        <v>Giữ nguyên đèn chiếu gần, tăng tốc độ vượt xe cùng chiều.</v>
      </c>
      <c r="I2446" t="str">
        <f>SUBSTITUTE(IF(LEFT(A2449,3)="Câu","",B2449),CHAR(34),CHAR(92)&amp;CHAR(34))</f>
        <v/>
      </c>
      <c r="J2446" t="str">
        <f>SUBSTITUTE(IF(OR(LEFT(A2450,3)="Câu",I2446=""),"",IF(B2450=0,"",B2450)),CHAR(34),CHAR(92)&amp;CHAR(34))</f>
        <v/>
      </c>
      <c r="K2446" t="str">
        <f>SUBSTITUTE(SUBSTITUTE(SUBSTITUTE(SUBSTITUTE(IFERROR(VLOOKUP("Câu "&amp;D2446&amp;".",dapan!$E:$J,6,0),""),"1","A"),"2","B"),"3","C"),"4","D")</f>
        <v/>
      </c>
      <c r="P2446" t="str">
        <f t="shared" si="143"/>
        <v/>
      </c>
      <c r="Q2446" t="str">
        <f t="shared" si="144"/>
        <v/>
      </c>
    </row>
    <row r="2447" spans="1:17" hidden="1" x14ac:dyDescent="0.25">
      <c r="A2447">
        <v>2</v>
      </c>
      <c r="B2447" t="s">
        <v>1734</v>
      </c>
      <c r="C2447">
        <f>IFERROR(COUNTIFS($A$1:A2447,"Câu "&amp;"*")-MID(A2447,5,FIND(".",A2447,1)-5),0)</f>
        <v>0</v>
      </c>
      <c r="D2447" t="str">
        <f t="shared" si="142"/>
        <v/>
      </c>
      <c r="E2447" t="str">
        <f>SUBSTITUTE(IF(LEFT(A2447,3)="Câu",MID(A2447,FIND(".",A2447,1)+2,LEN(A2447)),""),CHAR(34),CHAR(92)&amp;CHAR(34))</f>
        <v/>
      </c>
      <c r="F2447" t="str">
        <f t="shared" si="141"/>
        <v/>
      </c>
      <c r="G2447" t="str">
        <f>SUBSTITUTE(B2448,CHAR(34),CHAR(92)&amp;CHAR(34))</f>
        <v>Giữ nguyên đèn chiếu gần, tăng tốc độ vượt xe cùng chiều.</v>
      </c>
      <c r="H2447" t="str">
        <f>SUBSTITUTE(B2449,CHAR(34),CHAR(92)&amp;CHAR(34))</f>
        <v/>
      </c>
      <c r="I2447" t="str">
        <f>SUBSTITUTE(IF(LEFT(A2450,3)="Câu","",B2450),CHAR(34),CHAR(92)&amp;CHAR(34))</f>
        <v>Quan sát nếu thấy không có tàu thì tăng tốc cho xe vượt qua đường sắt.</v>
      </c>
      <c r="J2447" t="str">
        <f>SUBSTITUTE(IF(OR(LEFT(A2451,3)="Câu",I2447=""),"",IF(B2451=0,"",B2451)),CHAR(34),CHAR(92)&amp;CHAR(34))</f>
        <v xml:space="preserve"> Dừng lại trước rào chắn một khoảng cách an toàn.</v>
      </c>
      <c r="K2447" t="str">
        <f>SUBSTITUTE(SUBSTITUTE(SUBSTITUTE(SUBSTITUTE(IFERROR(VLOOKUP("Câu "&amp;D2447&amp;".",dapan!$E:$J,6,0),""),"1","A"),"2","B"),"3","C"),"4","D")</f>
        <v/>
      </c>
      <c r="P2447" t="str">
        <f t="shared" si="143"/>
        <v/>
      </c>
      <c r="Q2447" t="str">
        <f t="shared" si="144"/>
        <v/>
      </c>
    </row>
    <row r="2448" spans="1:17" hidden="1" x14ac:dyDescent="0.25">
      <c r="A2448">
        <v>3</v>
      </c>
      <c r="B2448" t="s">
        <v>1735</v>
      </c>
      <c r="C2448">
        <f>IFERROR(COUNTIFS($A$1:A2448,"Câu "&amp;"*")-MID(A2448,5,FIND(".",A2448,1)-5),0)</f>
        <v>0</v>
      </c>
      <c r="D2448" t="str">
        <f t="shared" si="142"/>
        <v/>
      </c>
      <c r="E2448" t="str">
        <f>SUBSTITUTE(IF(LEFT(A2448,3)="Câu",MID(A2448,FIND(".",A2448,1)+2,LEN(A2448)),""),CHAR(34),CHAR(92)&amp;CHAR(34))</f>
        <v/>
      </c>
      <c r="F2448" t="str">
        <f t="shared" si="141"/>
        <v/>
      </c>
      <c r="G2448" t="str">
        <f>SUBSTITUTE(B2449,CHAR(34),CHAR(92)&amp;CHAR(34))</f>
        <v/>
      </c>
      <c r="H2448" t="str">
        <f>SUBSTITUTE(B2450,CHAR(34),CHAR(92)&amp;CHAR(34))</f>
        <v>Quan sát nếu thấy không có tàu thì tăng tốc cho xe vượt qua đường sắt.</v>
      </c>
      <c r="I2448" t="str">
        <f>SUBSTITUTE(IF(LEFT(A2451,3)="Câu","",B2451),CHAR(34),CHAR(92)&amp;CHAR(34))</f>
        <v xml:space="preserve"> Dừng lại trước rào chắn một khoảng cách an toàn.</v>
      </c>
      <c r="J2448" t="str">
        <f>SUBSTITUTE(IF(OR(LEFT(A2452,3)="Câu",I2448=""),"",IF(B2452=0,"",B2452)),CHAR(34),CHAR(92)&amp;CHAR(34))</f>
        <v>Ra tín hiệu, yêu cầu người gác chắn tàu kéo chậm barie để xe bạn qua.</v>
      </c>
      <c r="K2448" t="str">
        <f>SUBSTITUTE(SUBSTITUTE(SUBSTITUTE(SUBSTITUTE(IFERROR(VLOOKUP("Câu "&amp;D2448&amp;".",dapan!$E:$J,6,0),""),"1","A"),"2","B"),"3","C"),"4","D")</f>
        <v/>
      </c>
      <c r="P2448" t="str">
        <f t="shared" si="143"/>
        <v/>
      </c>
      <c r="Q2448" t="str">
        <f t="shared" si="144"/>
        <v/>
      </c>
    </row>
    <row r="2449" spans="1:17" x14ac:dyDescent="0.25">
      <c r="A2449" t="s">
        <v>1736</v>
      </c>
      <c r="C2449">
        <f>IFERROR(COUNTIFS($A$1:A2449,"Câu "&amp;"*")-MID(A2449,5,FIND(".",A2449,1)-5),0)</f>
        <v>0</v>
      </c>
      <c r="D2449">
        <f t="shared" si="142"/>
        <v>596</v>
      </c>
      <c r="E2449" t="str">
        <f>SUBSTITUTE(IF(LEFT(A2449,3)="Câu",MID(A2449,FIND(".",A2449,1)+2,LEN(A2449)),""),CHAR(34),CHAR(92)&amp;CHAR(34))</f>
        <v>Xe của bạn đang di chuyển gần đến khu vực giao cắt với đường sắt, khi rào chắn đang dịch chuyển, bạn điều khiển xe như thế nào là đúng quy tắc giao thông?</v>
      </c>
      <c r="F2449" t="str">
        <f t="shared" si="141"/>
        <v>q596.jpg</v>
      </c>
      <c r="G2449" t="str">
        <f>SUBSTITUTE(B2450,CHAR(34),CHAR(92)&amp;CHAR(34))</f>
        <v>Quan sát nếu thấy không có tàu thì tăng tốc cho xe vượt qua đường sắt.</v>
      </c>
      <c r="H2449" t="str">
        <f>SUBSTITUTE(B2451,CHAR(34),CHAR(92)&amp;CHAR(34))</f>
        <v xml:space="preserve"> Dừng lại trước rào chắn một khoảng cách an toàn.</v>
      </c>
      <c r="I2449" t="str">
        <f>SUBSTITUTE(IF(LEFT(A2452,3)="Câu","",B2452),CHAR(34),CHAR(92)&amp;CHAR(34))</f>
        <v>Ra tín hiệu, yêu cầu người gác chắn tàu kéo chậm barie để xe bạn qua.</v>
      </c>
      <c r="J2449" t="str">
        <f>SUBSTITUTE(IF(OR(LEFT(A2453,3)="Câu",I2449=""),"",IF(B2453=0,"",B2453)),CHAR(34),CHAR(92)&amp;CHAR(34))</f>
        <v/>
      </c>
      <c r="K2449" t="str">
        <f ca="1">SUBSTITUTE(SUBSTITUTE(SUBSTITUTE(SUBSTITUTE(IFERROR(VLOOKUP("Câu "&amp;D2449&amp;".",dapan!$E:$J,6,0),""),"1","A"),"2","B"),"3","C"),"4","D")</f>
        <v>B</v>
      </c>
      <c r="P2449">
        <f t="shared" si="143"/>
        <v>596</v>
      </c>
      <c r="Q2449" t="str">
        <f t="shared" ca="1" si="144"/>
        <v>{"num":596,"id":596,"q":"Xe của bạn đang di chuyển gần đến khu vực giao cắt với đường sắt, khi rào chắn đang dịch chuyển, bạn điều khiển xe như thế nào là đúng quy tắc giao thông?","img":"q596.jpg","opts":{"A":"Quan sát nếu thấy không có tàu thì tăng tốc cho xe vượt qua đường sắt.","B":" Dừng lại trước rào chắn một khoảng cách an toàn.","C":"Ra tín hiệu, yêu cầu người gác chắn tàu kéo chậm barie để xe bạn qua."},"answer":"B"},</v>
      </c>
    </row>
    <row r="2450" spans="1:17" hidden="1" x14ac:dyDescent="0.25">
      <c r="A2450">
        <v>1</v>
      </c>
      <c r="B2450" t="s">
        <v>1737</v>
      </c>
      <c r="C2450">
        <f>IFERROR(COUNTIFS($A$1:A2450,"Câu "&amp;"*")-MID(A2450,5,FIND(".",A2450,1)-5),0)</f>
        <v>0</v>
      </c>
      <c r="D2450" t="str">
        <f t="shared" si="142"/>
        <v/>
      </c>
      <c r="E2450" t="str">
        <f>SUBSTITUTE(IF(LEFT(A2450,3)="Câu",MID(A2450,FIND(".",A2450,1)+2,LEN(A2450)),""),CHAR(34),CHAR(92)&amp;CHAR(34))</f>
        <v/>
      </c>
      <c r="F2450" t="str">
        <f t="shared" si="141"/>
        <v/>
      </c>
      <c r="G2450" t="str">
        <f>SUBSTITUTE(B2451,CHAR(34),CHAR(92)&amp;CHAR(34))</f>
        <v xml:space="preserve"> Dừng lại trước rào chắn một khoảng cách an toàn.</v>
      </c>
      <c r="H2450" t="str">
        <f>SUBSTITUTE(B2452,CHAR(34),CHAR(92)&amp;CHAR(34))</f>
        <v>Ra tín hiệu, yêu cầu người gác chắn tàu kéo chậm barie để xe bạn qua.</v>
      </c>
      <c r="I2450" t="str">
        <f>SUBSTITUTE(IF(LEFT(A2453,3)="Câu","",B2453),CHAR(34),CHAR(92)&amp;CHAR(34))</f>
        <v/>
      </c>
      <c r="J2450" t="str">
        <f>SUBSTITUTE(IF(OR(LEFT(A2454,3)="Câu",I2450=""),"",IF(B2454=0,"",B2454)),CHAR(34),CHAR(92)&amp;CHAR(34))</f>
        <v/>
      </c>
      <c r="K2450" t="str">
        <f>SUBSTITUTE(SUBSTITUTE(SUBSTITUTE(SUBSTITUTE(IFERROR(VLOOKUP("Câu "&amp;D2450&amp;".",dapan!$E:$J,6,0),""),"1","A"),"2","B"),"3","C"),"4","D")</f>
        <v/>
      </c>
      <c r="P2450" t="str">
        <f t="shared" si="143"/>
        <v/>
      </c>
      <c r="Q2450" t="str">
        <f t="shared" si="144"/>
        <v/>
      </c>
    </row>
    <row r="2451" spans="1:17" hidden="1" x14ac:dyDescent="0.25">
      <c r="A2451">
        <v>2</v>
      </c>
      <c r="B2451" t="s">
        <v>1738</v>
      </c>
      <c r="C2451">
        <f>IFERROR(COUNTIFS($A$1:A2451,"Câu "&amp;"*")-MID(A2451,5,FIND(".",A2451,1)-5),0)</f>
        <v>0</v>
      </c>
      <c r="D2451" t="str">
        <f t="shared" si="142"/>
        <v/>
      </c>
      <c r="E2451" t="str">
        <f>SUBSTITUTE(IF(LEFT(A2451,3)="Câu",MID(A2451,FIND(".",A2451,1)+2,LEN(A2451)),""),CHAR(34),CHAR(92)&amp;CHAR(34))</f>
        <v/>
      </c>
      <c r="F2451" t="str">
        <f t="shared" si="141"/>
        <v/>
      </c>
      <c r="G2451" t="str">
        <f>SUBSTITUTE(B2452,CHAR(34),CHAR(92)&amp;CHAR(34))</f>
        <v>Ra tín hiệu, yêu cầu người gác chắn tàu kéo chậm barie để xe bạn qua.</v>
      </c>
      <c r="H2451" t="str">
        <f>SUBSTITUTE(B2453,CHAR(34),CHAR(92)&amp;CHAR(34))</f>
        <v/>
      </c>
      <c r="I2451" t="str">
        <f>SUBSTITUTE(IF(LEFT(A2454,3)="Câu","",B2454),CHAR(34),CHAR(92)&amp;CHAR(34))</f>
        <v>Đúng.</v>
      </c>
      <c r="J2451" t="str">
        <f>SUBSTITUTE(IF(OR(LEFT(A2455,3)="Câu",I2451=""),"",IF(B2455=0,"",B2455)),CHAR(34),CHAR(92)&amp;CHAR(34))</f>
        <v xml:space="preserve"> Sai.</v>
      </c>
      <c r="K2451" t="str">
        <f>SUBSTITUTE(SUBSTITUTE(SUBSTITUTE(SUBSTITUTE(IFERROR(VLOOKUP("Câu "&amp;D2451&amp;".",dapan!$E:$J,6,0),""),"1","A"),"2","B"),"3","C"),"4","D")</f>
        <v/>
      </c>
      <c r="P2451" t="str">
        <f t="shared" si="143"/>
        <v/>
      </c>
      <c r="Q2451" t="str">
        <f t="shared" si="144"/>
        <v/>
      </c>
    </row>
    <row r="2452" spans="1:17" hidden="1" x14ac:dyDescent="0.25">
      <c r="A2452">
        <v>3</v>
      </c>
      <c r="B2452" t="s">
        <v>1739</v>
      </c>
      <c r="C2452">
        <f>IFERROR(COUNTIFS($A$1:A2452,"Câu "&amp;"*")-MID(A2452,5,FIND(".",A2452,1)-5),0)</f>
        <v>0</v>
      </c>
      <c r="D2452" t="str">
        <f t="shared" si="142"/>
        <v/>
      </c>
      <c r="E2452" t="str">
        <f>SUBSTITUTE(IF(LEFT(A2452,3)="Câu",MID(A2452,FIND(".",A2452,1)+2,LEN(A2452)),""),CHAR(34),CHAR(92)&amp;CHAR(34))</f>
        <v/>
      </c>
      <c r="F2452" t="str">
        <f t="shared" si="141"/>
        <v/>
      </c>
      <c r="G2452" t="str">
        <f>SUBSTITUTE(B2453,CHAR(34),CHAR(92)&amp;CHAR(34))</f>
        <v/>
      </c>
      <c r="H2452" t="str">
        <f>SUBSTITUTE(B2454,CHAR(34),CHAR(92)&amp;CHAR(34))</f>
        <v>Đúng.</v>
      </c>
      <c r="I2452" t="str">
        <f>SUBSTITUTE(IF(LEFT(A2455,3)="Câu","",B2455),CHAR(34),CHAR(92)&amp;CHAR(34))</f>
        <v xml:space="preserve"> Sai.</v>
      </c>
      <c r="J2452" t="str">
        <f>SUBSTITUTE(IF(OR(LEFT(A2456,3)="Câu",I2452=""),"",IF(B2456=0,"",B2456)),CHAR(34),CHAR(92)&amp;CHAR(34))</f>
        <v/>
      </c>
      <c r="K2452" t="str">
        <f>SUBSTITUTE(SUBSTITUTE(SUBSTITUTE(SUBSTITUTE(IFERROR(VLOOKUP("Câu "&amp;D2452&amp;".",dapan!$E:$J,6,0),""),"1","A"),"2","B"),"3","C"),"4","D")</f>
        <v/>
      </c>
      <c r="P2452" t="str">
        <f t="shared" si="143"/>
        <v/>
      </c>
      <c r="Q2452" t="str">
        <f t="shared" si="144"/>
        <v/>
      </c>
    </row>
    <row r="2453" spans="1:17" x14ac:dyDescent="0.25">
      <c r="A2453" t="s">
        <v>1740</v>
      </c>
      <c r="C2453">
        <f>IFERROR(COUNTIFS($A$1:A2453,"Câu "&amp;"*")-MID(A2453,5,FIND(".",A2453,1)-5),0)</f>
        <v>0</v>
      </c>
      <c r="D2453">
        <f t="shared" si="142"/>
        <v>597</v>
      </c>
      <c r="E2453" t="str">
        <f>SUBSTITUTE(IF(LEFT(A2453,3)="Câu",MID(A2453,FIND(".",A2453,1)+2,LEN(A2453)),""),CHAR(34),CHAR(92)&amp;CHAR(34))</f>
        <v>Trong tình huống dưới đây, xe con màu đỏ nhập làn đường cao tốc theo hướng mũi tên là đúng hay sai?</v>
      </c>
      <c r="F2453" t="str">
        <f t="shared" si="141"/>
        <v>q597.jpg</v>
      </c>
      <c r="G2453" t="str">
        <f>SUBSTITUTE(B2454,CHAR(34),CHAR(92)&amp;CHAR(34))</f>
        <v>Đúng.</v>
      </c>
      <c r="H2453" t="str">
        <f>SUBSTITUTE(B2455,CHAR(34),CHAR(92)&amp;CHAR(34))</f>
        <v xml:space="preserve"> Sai.</v>
      </c>
      <c r="I2453" t="str">
        <f>SUBSTITUTE(IF(LEFT(A2456,3)="Câu","",B2456),CHAR(34),CHAR(92)&amp;CHAR(34))</f>
        <v/>
      </c>
      <c r="J2453" t="str">
        <f>SUBSTITUTE(IF(OR(LEFT(A2457,3)="Câu",I2453=""),"",IF(B2457=0,"",B2457)),CHAR(34),CHAR(92)&amp;CHAR(34))</f>
        <v/>
      </c>
      <c r="K2453" t="str">
        <f ca="1">SUBSTITUTE(SUBSTITUTE(SUBSTITUTE(SUBSTITUTE(IFERROR(VLOOKUP("Câu "&amp;D2453&amp;".",dapan!$E:$J,6,0),""),"1","A"),"2","B"),"3","C"),"4","D")</f>
        <v>B</v>
      </c>
      <c r="P2453">
        <f t="shared" si="143"/>
        <v>597</v>
      </c>
      <c r="Q2453" t="str">
        <f t="shared" ca="1" si="144"/>
        <v>{"num":597,"id":597,"q":"Trong tình huống dưới đây, xe con màu đỏ nhập làn đường cao tốc theo hướng mũi tên là đúng hay sai?","img":"q597.jpg","opts":{"A":"Đúng.","B":" Sai."},"answer":"B"},</v>
      </c>
    </row>
    <row r="2454" spans="1:17" hidden="1" x14ac:dyDescent="0.25">
      <c r="A2454">
        <v>1</v>
      </c>
      <c r="B2454" t="s">
        <v>1482</v>
      </c>
      <c r="C2454">
        <f>IFERROR(COUNTIFS($A$1:A2454,"Câu "&amp;"*")-MID(A2454,5,FIND(".",A2454,1)-5),0)</f>
        <v>0</v>
      </c>
      <c r="D2454" t="str">
        <f t="shared" si="142"/>
        <v/>
      </c>
      <c r="E2454" t="str">
        <f>SUBSTITUTE(IF(LEFT(A2454,3)="Câu",MID(A2454,FIND(".",A2454,1)+2,LEN(A2454)),""),CHAR(34),CHAR(92)&amp;CHAR(34))</f>
        <v/>
      </c>
      <c r="F2454" t="str">
        <f t="shared" ref="F2454:F2465" si="145">IF(D2454="","","q"&amp;TEXT(D2454,"000")&amp;".jpg")</f>
        <v/>
      </c>
      <c r="G2454" t="str">
        <f>SUBSTITUTE(B2455,CHAR(34),CHAR(92)&amp;CHAR(34))</f>
        <v xml:space="preserve"> Sai.</v>
      </c>
      <c r="H2454" t="str">
        <f>SUBSTITUTE(B2456,CHAR(34),CHAR(92)&amp;CHAR(34))</f>
        <v/>
      </c>
      <c r="I2454" t="str">
        <f>SUBSTITUTE(IF(LEFT(A2457,3)="Câu","",B2457),CHAR(34),CHAR(92)&amp;CHAR(34))</f>
        <v>Được vượt.</v>
      </c>
      <c r="J2454" t="str">
        <f>SUBSTITUTE(IF(OR(LEFT(A2458,3)="Câu",I2454=""),"",IF(B2458=0,"",B2458)),CHAR(34),CHAR(92)&amp;CHAR(34))</f>
        <v xml:space="preserve"> Không được vượt.</v>
      </c>
      <c r="K2454" t="str">
        <f>SUBSTITUTE(SUBSTITUTE(SUBSTITUTE(SUBSTITUTE(IFERROR(VLOOKUP("Câu "&amp;D2454&amp;".",dapan!$E:$J,6,0),""),"1","A"),"2","B"),"3","C"),"4","D")</f>
        <v/>
      </c>
      <c r="P2454" t="str">
        <f t="shared" si="143"/>
        <v/>
      </c>
      <c r="Q2454" t="str">
        <f t="shared" si="144"/>
        <v/>
      </c>
    </row>
    <row r="2455" spans="1:17" hidden="1" x14ac:dyDescent="0.25">
      <c r="A2455">
        <v>2</v>
      </c>
      <c r="B2455" t="s">
        <v>1741</v>
      </c>
      <c r="C2455">
        <f>IFERROR(COUNTIFS($A$1:A2455,"Câu "&amp;"*")-MID(A2455,5,FIND(".",A2455,1)-5),0)</f>
        <v>0</v>
      </c>
      <c r="D2455" t="str">
        <f t="shared" si="142"/>
        <v/>
      </c>
      <c r="E2455" t="str">
        <f>SUBSTITUTE(IF(LEFT(A2455,3)="Câu",MID(A2455,FIND(".",A2455,1)+2,LEN(A2455)),""),CHAR(34),CHAR(92)&amp;CHAR(34))</f>
        <v/>
      </c>
      <c r="F2455" t="str">
        <f t="shared" si="145"/>
        <v/>
      </c>
      <c r="G2455" t="str">
        <f>SUBSTITUTE(B2456,CHAR(34),CHAR(92)&amp;CHAR(34))</f>
        <v/>
      </c>
      <c r="H2455" t="str">
        <f>SUBSTITUTE(B2457,CHAR(34),CHAR(92)&amp;CHAR(34))</f>
        <v>Được vượt.</v>
      </c>
      <c r="I2455" t="str">
        <f>SUBSTITUTE(IF(LEFT(A2458,3)="Câu","",B2458),CHAR(34),CHAR(92)&amp;CHAR(34))</f>
        <v xml:space="preserve"> Không được vượt.</v>
      </c>
      <c r="J2455" t="str">
        <f>SUBSTITUTE(IF(OR(LEFT(A2459,3)="Câu",I2455=""),"",IF(B2459=0,"",B2459)),CHAR(34),CHAR(92)&amp;CHAR(34))</f>
        <v/>
      </c>
      <c r="K2455" t="str">
        <f>SUBSTITUTE(SUBSTITUTE(SUBSTITUTE(SUBSTITUTE(IFERROR(VLOOKUP("Câu "&amp;D2455&amp;".",dapan!$E:$J,6,0),""),"1","A"),"2","B"),"3","C"),"4","D")</f>
        <v/>
      </c>
      <c r="P2455" t="str">
        <f t="shared" si="143"/>
        <v/>
      </c>
      <c r="Q2455" t="str">
        <f t="shared" si="144"/>
        <v/>
      </c>
    </row>
    <row r="2456" spans="1:17" x14ac:dyDescent="0.25">
      <c r="A2456" t="s">
        <v>1742</v>
      </c>
      <c r="C2456">
        <f>IFERROR(COUNTIFS($A$1:A2456,"Câu "&amp;"*")-MID(A2456,5,FIND(".",A2456,1)-5),0)</f>
        <v>0</v>
      </c>
      <c r="D2456">
        <f t="shared" si="142"/>
        <v>598</v>
      </c>
      <c r="E2456" t="str">
        <f>SUBSTITUTE(IF(LEFT(A2456,3)="Câu",MID(A2456,FIND(".",A2456,1)+2,LEN(A2456)),""),CHAR(34),CHAR(92)&amp;CHAR(34))</f>
        <v>Trong tình huống dưới đây, xe con màu đỏ có được phép vượt khi xe con màu xanh đang vượt xe tải hay không?</v>
      </c>
      <c r="F2456" t="str">
        <f t="shared" si="145"/>
        <v>q598.jpg</v>
      </c>
      <c r="G2456" t="str">
        <f>SUBSTITUTE(B2457,CHAR(34),CHAR(92)&amp;CHAR(34))</f>
        <v>Được vượt.</v>
      </c>
      <c r="H2456" t="str">
        <f>SUBSTITUTE(B2458,CHAR(34),CHAR(92)&amp;CHAR(34))</f>
        <v xml:space="preserve"> Không được vượt.</v>
      </c>
      <c r="I2456" t="str">
        <f>SUBSTITUTE(IF(LEFT(A2459,3)="Câu","",B2459),CHAR(34),CHAR(92)&amp;CHAR(34))</f>
        <v/>
      </c>
      <c r="J2456" t="str">
        <f>SUBSTITUTE(IF(OR(LEFT(A2460,3)="Câu",I2456=""),"",IF(B2460=0,"",B2460)),CHAR(34),CHAR(92)&amp;CHAR(34))</f>
        <v/>
      </c>
      <c r="K2456" t="str">
        <f ca="1">SUBSTITUTE(SUBSTITUTE(SUBSTITUTE(SUBSTITUTE(IFERROR(VLOOKUP("Câu "&amp;D2456&amp;".",dapan!$E:$J,6,0),""),"1","A"),"2","B"),"3","C"),"4","D")</f>
        <v>B</v>
      </c>
      <c r="P2456">
        <f t="shared" si="143"/>
        <v>598</v>
      </c>
      <c r="Q2456" t="str">
        <f t="shared" ca="1" si="144"/>
        <v>{"num":598,"id":598,"q":"Trong tình huống dưới đây, xe con màu đỏ có được phép vượt khi xe con màu xanh đang vượt xe tải hay không?","img":"q598.jpg","opts":{"A":"Được vượt.","B":" Không được vượt."},"answer":"B"},</v>
      </c>
    </row>
    <row r="2457" spans="1:17" hidden="1" x14ac:dyDescent="0.25">
      <c r="A2457">
        <v>1</v>
      </c>
      <c r="B2457" t="s">
        <v>1613</v>
      </c>
      <c r="C2457">
        <f>IFERROR(COUNTIFS($A$1:A2457,"Câu "&amp;"*")-MID(A2457,5,FIND(".",A2457,1)-5),0)</f>
        <v>0</v>
      </c>
      <c r="D2457" t="str">
        <f t="shared" ref="D2457:D2465" si="146">IF(LEFT(A2457,3)="Câu",VALUE(MID(A2457,5,FIND(".",A2457,1)-5)),"")</f>
        <v/>
      </c>
      <c r="E2457" t="str">
        <f>SUBSTITUTE(IF(LEFT(A2457,3)="Câu",MID(A2457,FIND(".",A2457,1)+2,LEN(A2457)),""),CHAR(34),CHAR(92)&amp;CHAR(34))</f>
        <v/>
      </c>
      <c r="F2457" t="str">
        <f t="shared" si="145"/>
        <v/>
      </c>
      <c r="G2457" t="str">
        <f>SUBSTITUTE(B2458,CHAR(34),CHAR(92)&amp;CHAR(34))</f>
        <v xml:space="preserve"> Không được vượt.</v>
      </c>
      <c r="H2457" t="str">
        <f>SUBSTITUTE(B2459,CHAR(34),CHAR(92)&amp;CHAR(34))</f>
        <v/>
      </c>
      <c r="I2457" t="str">
        <f>SUBSTITUTE(IF(LEFT(A2460,3)="Câu","",B2460),CHAR(34),CHAR(92)&amp;CHAR(34))</f>
        <v xml:space="preserve"> Đúng.</v>
      </c>
      <c r="J2457" t="str">
        <f>SUBSTITUTE(IF(OR(LEFT(A2461,3)="Câu",I2457=""),"",IF(B2461=0,"",B2461)),CHAR(34),CHAR(92)&amp;CHAR(34))</f>
        <v>Không đúng.</v>
      </c>
      <c r="K2457" t="str">
        <f>SUBSTITUTE(SUBSTITUTE(SUBSTITUTE(SUBSTITUTE(IFERROR(VLOOKUP("Câu "&amp;D2457&amp;".",dapan!$E:$J,6,0),""),"1","A"),"2","B"),"3","C"),"4","D")</f>
        <v/>
      </c>
      <c r="P2457" t="str">
        <f t="shared" si="143"/>
        <v/>
      </c>
      <c r="Q2457" t="str">
        <f t="shared" si="144"/>
        <v/>
      </c>
    </row>
    <row r="2458" spans="1:17" hidden="1" x14ac:dyDescent="0.25">
      <c r="A2458">
        <v>2</v>
      </c>
      <c r="B2458" t="s">
        <v>361</v>
      </c>
      <c r="C2458">
        <f>IFERROR(COUNTIFS($A$1:A2458,"Câu "&amp;"*")-MID(A2458,5,FIND(".",A2458,1)-5),0)</f>
        <v>0</v>
      </c>
      <c r="D2458" t="str">
        <f t="shared" si="146"/>
        <v/>
      </c>
      <c r="E2458" t="str">
        <f>SUBSTITUTE(IF(LEFT(A2458,3)="Câu",MID(A2458,FIND(".",A2458,1)+2,LEN(A2458)),""),CHAR(34),CHAR(92)&amp;CHAR(34))</f>
        <v/>
      </c>
      <c r="F2458" t="str">
        <f t="shared" si="145"/>
        <v/>
      </c>
      <c r="G2458" t="str">
        <f>SUBSTITUTE(B2459,CHAR(34),CHAR(92)&amp;CHAR(34))</f>
        <v/>
      </c>
      <c r="H2458" t="str">
        <f>SUBSTITUTE(B2460,CHAR(34),CHAR(92)&amp;CHAR(34))</f>
        <v xml:space="preserve"> Đúng.</v>
      </c>
      <c r="I2458" t="str">
        <f>SUBSTITUTE(IF(LEFT(A2461,3)="Câu","",B2461),CHAR(34),CHAR(92)&amp;CHAR(34))</f>
        <v>Không đúng.</v>
      </c>
      <c r="J2458" t="str">
        <f>SUBSTITUTE(IF(OR(LEFT(A2462,3)="Câu",I2458=""),"",IF(B2462=0,"",B2462)),CHAR(34),CHAR(92)&amp;CHAR(34))</f>
        <v/>
      </c>
      <c r="K2458" t="str">
        <f>SUBSTITUTE(SUBSTITUTE(SUBSTITUTE(SUBSTITUTE(IFERROR(VLOOKUP("Câu "&amp;D2458&amp;".",dapan!$E:$J,6,0),""),"1","A"),"2","B"),"3","C"),"4","D")</f>
        <v/>
      </c>
      <c r="P2458" t="str">
        <f t="shared" si="143"/>
        <v/>
      </c>
      <c r="Q2458" t="str">
        <f t="shared" si="144"/>
        <v/>
      </c>
    </row>
    <row r="2459" spans="1:17" x14ac:dyDescent="0.25">
      <c r="A2459" t="s">
        <v>1743</v>
      </c>
      <c r="C2459">
        <f>IFERROR(COUNTIFS($A$1:A2459,"Câu "&amp;"*")-MID(A2459,5,FIND(".",A2459,1)-5),0)</f>
        <v>0</v>
      </c>
      <c r="D2459">
        <f t="shared" si="146"/>
        <v>599</v>
      </c>
      <c r="E2459" t="str">
        <f>SUBSTITUTE(IF(LEFT(A2459,3)="Câu",MID(A2459,FIND(".",A2459,1)+2,LEN(A2459)),""),CHAR(34),CHAR(92)&amp;CHAR(34))</f>
        <v>Trong tình huống dưới đây, xe con màu vàng vượt xe con màu đỏ là đúng quy tắc giao thông hay không?</v>
      </c>
      <c r="F2459" t="str">
        <f t="shared" si="145"/>
        <v>q599.jpg</v>
      </c>
      <c r="G2459" t="str">
        <f>SUBSTITUTE(B2460,CHAR(34),CHAR(92)&amp;CHAR(34))</f>
        <v xml:space="preserve"> Đúng.</v>
      </c>
      <c r="H2459" t="str">
        <f>SUBSTITUTE(B2461,CHAR(34),CHAR(92)&amp;CHAR(34))</f>
        <v>Không đúng.</v>
      </c>
      <c r="I2459" t="str">
        <f>SUBSTITUTE(IF(LEFT(A2462,3)="Câu","",B2462),CHAR(34),CHAR(92)&amp;CHAR(34))</f>
        <v/>
      </c>
      <c r="J2459" t="str">
        <f>SUBSTITUTE(IF(OR(LEFT(A2463,3)="Câu",I2459=""),"",IF(B2463=0,"",B2463)),CHAR(34),CHAR(92)&amp;CHAR(34))</f>
        <v/>
      </c>
      <c r="K2459" t="str">
        <f ca="1">SUBSTITUTE(SUBSTITUTE(SUBSTITUTE(SUBSTITUTE(IFERROR(VLOOKUP("Câu "&amp;D2459&amp;".",dapan!$E:$J,6,0),""),"1","A"),"2","B"),"3","C"),"4","D")</f>
        <v>A</v>
      </c>
      <c r="P2459">
        <f t="shared" si="143"/>
        <v>599</v>
      </c>
      <c r="Q2459" t="str">
        <f t="shared" ca="1" si="144"/>
        <v>{"num":599,"id":599,"q":"Trong tình huống dưới đây, xe con màu vàng vượt xe con màu đỏ là đúng quy tắc giao thông hay không?","img":"q599.jpg","opts":{"A":" Đúng.","B":"Không đúng."},"answer":"A"},</v>
      </c>
    </row>
    <row r="2460" spans="1:17" hidden="1" x14ac:dyDescent="0.25">
      <c r="A2460">
        <v>1</v>
      </c>
      <c r="B2460" t="s">
        <v>831</v>
      </c>
      <c r="C2460">
        <f>IFERROR(COUNTIFS($A$1:A2460,"Câu "&amp;"*")-MID(A2460,5,FIND(".",A2460,1)-5),0)</f>
        <v>0</v>
      </c>
      <c r="D2460" t="str">
        <f t="shared" si="146"/>
        <v/>
      </c>
      <c r="E2460" t="str">
        <f>SUBSTITUTE(IF(LEFT(A2460,3)="Câu",MID(A2460,FIND(".",A2460,1)+2,LEN(A2460)),""),CHAR(34),CHAR(92)&amp;CHAR(34))</f>
        <v/>
      </c>
      <c r="F2460" t="str">
        <f t="shared" si="145"/>
        <v/>
      </c>
      <c r="G2460" t="str">
        <f>SUBSTITUTE(B2461,CHAR(34),CHAR(92)&amp;CHAR(34))</f>
        <v>Không đúng.</v>
      </c>
      <c r="H2460" t="str">
        <f>SUBSTITUTE(B2462,CHAR(34),CHAR(92)&amp;CHAR(34))</f>
        <v/>
      </c>
      <c r="I2460" t="str">
        <f>SUBSTITUTE(IF(LEFT(A2463,3)="Câu","",B2463),CHAR(34),CHAR(92)&amp;CHAR(34))</f>
        <v>Vượt về phía bên phải để đi tiếp.</v>
      </c>
      <c r="J2460" t="str">
        <f>SUBSTITUTE(IF(OR(LEFT(A2464,3)="Câu",I2460=""),"",IF(B2464=0,"",B2464)),CHAR(34),CHAR(92)&amp;CHAR(34))</f>
        <v xml:space="preserve"> Giảm tốc độ chờ xe container rẽ xong rồi tiếp tục đi.</v>
      </c>
      <c r="K2460" t="str">
        <f>SUBSTITUTE(SUBSTITUTE(SUBSTITUTE(SUBSTITUTE(IFERROR(VLOOKUP("Câu "&amp;D2460&amp;".",dapan!$E:$J,6,0),""),"1","A"),"2","B"),"3","C"),"4","D")</f>
        <v/>
      </c>
      <c r="P2460" t="str">
        <f t="shared" si="143"/>
        <v/>
      </c>
      <c r="Q2460" t="str">
        <f t="shared" si="144"/>
        <v/>
      </c>
    </row>
    <row r="2461" spans="1:17" hidden="1" x14ac:dyDescent="0.25">
      <c r="A2461">
        <v>2</v>
      </c>
      <c r="B2461" t="s">
        <v>830</v>
      </c>
      <c r="C2461">
        <f>IFERROR(COUNTIFS($A$1:A2461,"Câu "&amp;"*")-MID(A2461,5,FIND(".",A2461,1)-5),0)</f>
        <v>0</v>
      </c>
      <c r="D2461" t="str">
        <f t="shared" si="146"/>
        <v/>
      </c>
      <c r="E2461" t="str">
        <f>SUBSTITUTE(IF(LEFT(A2461,3)="Câu",MID(A2461,FIND(".",A2461,1)+2,LEN(A2461)),""),CHAR(34),CHAR(92)&amp;CHAR(34))</f>
        <v/>
      </c>
      <c r="F2461" t="str">
        <f t="shared" si="145"/>
        <v/>
      </c>
      <c r="G2461" t="str">
        <f>SUBSTITUTE(B2462,CHAR(34),CHAR(92)&amp;CHAR(34))</f>
        <v/>
      </c>
      <c r="H2461" t="str">
        <f>SUBSTITUTE(B2463,CHAR(34),CHAR(92)&amp;CHAR(34))</f>
        <v>Vượt về phía bên phải để đi tiếp.</v>
      </c>
      <c r="I2461" t="str">
        <f>SUBSTITUTE(IF(LEFT(A2464,3)="Câu","",B2464),CHAR(34),CHAR(92)&amp;CHAR(34))</f>
        <v xml:space="preserve"> Giảm tốc độ chờ xe container rẽ xong rồi tiếp tục đi.</v>
      </c>
      <c r="J2461" t="str">
        <f>SUBSTITUTE(IF(OR(LEFT(A2465,3)="Câu",I2461=""),"",IF(B2465=0,"",B2465)),CHAR(34),CHAR(92)&amp;CHAR(34))</f>
        <v>Vượt về phía bên trái để đi tiếp.</v>
      </c>
      <c r="K2461" t="str">
        <f>SUBSTITUTE(SUBSTITUTE(SUBSTITUTE(SUBSTITUTE(IFERROR(VLOOKUP("Câu "&amp;D2461&amp;".",dapan!$E:$J,6,0),""),"1","A"),"2","B"),"3","C"),"4","D")</f>
        <v/>
      </c>
      <c r="P2461" t="str">
        <f t="shared" si="143"/>
        <v/>
      </c>
      <c r="Q2461" t="str">
        <f t="shared" si="144"/>
        <v/>
      </c>
    </row>
    <row r="2462" spans="1:17" x14ac:dyDescent="0.25">
      <c r="A2462" t="s">
        <v>1744</v>
      </c>
      <c r="C2462">
        <f>IFERROR(COUNTIFS($A$1:A2462,"Câu "&amp;"*")-MID(A2462,5,FIND(".",A2462,1)-5),0)</f>
        <v>0</v>
      </c>
      <c r="D2462">
        <f t="shared" si="146"/>
        <v>600</v>
      </c>
      <c r="E2462" t="str">
        <f>SUBSTITUTE(IF(LEFT(A2462,3)="Câu",MID(A2462,FIND(".",A2462,1)+2,LEN(A2462)),""),CHAR(34),CHAR(92)&amp;CHAR(34))</f>
        <v>Trong tình huống dưới đây, xe đầu kéo kéo rơ moóc (xe container) đang rẽ phải, xe con màu xanh và xe máy phía sau xe container đi như thế nào để bảo đảm an toàn?</v>
      </c>
      <c r="F2462" t="str">
        <f t="shared" si="145"/>
        <v>q600.jpg</v>
      </c>
      <c r="G2462" t="str">
        <f>SUBSTITUTE(B2463,CHAR(34),CHAR(92)&amp;CHAR(34))</f>
        <v>Vượt về phía bên phải để đi tiếp.</v>
      </c>
      <c r="H2462" t="str">
        <f>SUBSTITUTE(B2464,CHAR(34),CHAR(92)&amp;CHAR(34))</f>
        <v xml:space="preserve"> Giảm tốc độ chờ xe container rẽ xong rồi tiếp tục đi.</v>
      </c>
      <c r="I2462" t="str">
        <f>SUBSTITUTE(IF(LEFT(A2465,3)="Câu","",B2465),CHAR(34),CHAR(92)&amp;CHAR(34))</f>
        <v>Vượt về phía bên trái để đi tiếp.</v>
      </c>
      <c r="J2462" t="str">
        <f>SUBSTITUTE(IF(OR(LEFT(A2466,3)="Câu",I2462=""),"",IF(B2466=0,"",B2466)),CHAR(34),CHAR(92)&amp;CHAR(34))</f>
        <v/>
      </c>
      <c r="K2462" t="str">
        <f ca="1">SUBSTITUTE(SUBSTITUTE(SUBSTITUTE(SUBSTITUTE(IFERROR(VLOOKUP("Câu "&amp;D2462&amp;".",dapan!$E:$J,6,0),""),"1","A"),"2","B"),"3","C"),"4","D")</f>
        <v>B</v>
      </c>
      <c r="P2462">
        <f t="shared" si="143"/>
        <v>600</v>
      </c>
      <c r="Q2462" t="str">
        <f t="shared" ca="1" si="144"/>
        <v>{"num":600,"id":600,"q":"Trong tình huống dưới đây, xe đầu kéo kéo rơ moóc (xe container) đang rẽ phải, xe con màu xanh và xe máy phía sau xe container đi như thế nào để bảo đảm an toàn?","img":"q600.jpg","opts":{"A":"Vượt về phía bên phải để đi tiếp.","B":" Giảm tốc độ chờ xe container rẽ xong rồi tiếp tục đi.","C":"Vượt về phía bên trái để đi tiếp."},"answer":"B"},</v>
      </c>
    </row>
    <row r="2463" spans="1:17" hidden="1" x14ac:dyDescent="0.25">
      <c r="A2463">
        <v>1</v>
      </c>
      <c r="B2463" t="s">
        <v>1745</v>
      </c>
      <c r="C2463">
        <f>IFERROR(COUNTIFS($A$1:A2463,"Câu "&amp;"*")-MID(A2463,5,FIND(".",A2463,1)-5),0)</f>
        <v>0</v>
      </c>
      <c r="D2463" t="str">
        <f t="shared" si="146"/>
        <v/>
      </c>
      <c r="E2463" t="str">
        <f>SUBSTITUTE(IF(LEFT(A2463,3)="Câu",MID(A2463,FIND(".",A2463,1)+2,LEN(A2463)),""),CHAR(34),CHAR(92)&amp;CHAR(34))</f>
        <v/>
      </c>
      <c r="F2463" t="str">
        <f t="shared" si="145"/>
        <v/>
      </c>
      <c r="G2463" t="str">
        <f>SUBSTITUTE(B2464,CHAR(34),CHAR(92)&amp;CHAR(34))</f>
        <v xml:space="preserve"> Giảm tốc độ chờ xe container rẽ xong rồi tiếp tục đi.</v>
      </c>
      <c r="H2463" t="str">
        <f>SUBSTITUTE(B2465,CHAR(34),CHAR(92)&amp;CHAR(34))</f>
        <v>Vượt về phía bên trái để đi tiếp.</v>
      </c>
      <c r="I2463" t="str">
        <f>SUBSTITUTE(IF(LEFT(A2466,3)="Câu","",B2466),CHAR(34),CHAR(92)&amp;CHAR(34))</f>
        <v/>
      </c>
      <c r="J2463" t="str">
        <f>SUBSTITUTE(IF(OR(LEFT(A2467,3)="Câu",I2463=""),"",IF(B2467=0,"",B2467)),CHAR(34),CHAR(92)&amp;CHAR(34))</f>
        <v/>
      </c>
      <c r="K2463" t="str">
        <f>SUBSTITUTE(SUBSTITUTE(SUBSTITUTE(SUBSTITUTE(IFERROR(VLOOKUP("Câu "&amp;D2463&amp;".",dapan!$E:$J,6,0),""),"1","A"),"2","B"),"3","C"),"4","D")</f>
        <v/>
      </c>
      <c r="P2463" t="str">
        <f t="shared" si="143"/>
        <v/>
      </c>
      <c r="Q2463" t="str">
        <f t="shared" si="144"/>
        <v/>
      </c>
    </row>
    <row r="2464" spans="1:17" hidden="1" x14ac:dyDescent="0.25">
      <c r="A2464">
        <v>2</v>
      </c>
      <c r="B2464" t="s">
        <v>1746</v>
      </c>
      <c r="C2464">
        <f>IFERROR(COUNTIFS($A$1:A2464,"Câu "&amp;"*")-MID(A2464,5,FIND(".",A2464,1)-5),0)</f>
        <v>0</v>
      </c>
      <c r="D2464" t="str">
        <f t="shared" si="146"/>
        <v/>
      </c>
      <c r="E2464" t="str">
        <f>SUBSTITUTE(IF(LEFT(A2464,3)="Câu",MID(A2464,FIND(".",A2464,1)+2,LEN(A2464)),""),CHAR(34),CHAR(92)&amp;CHAR(34))</f>
        <v/>
      </c>
      <c r="F2464" t="str">
        <f t="shared" si="145"/>
        <v/>
      </c>
      <c r="G2464" t="str">
        <f>SUBSTITUTE(B2465,CHAR(34),CHAR(92)&amp;CHAR(34))</f>
        <v>Vượt về phía bên trái để đi tiếp.</v>
      </c>
      <c r="H2464" t="str">
        <f>SUBSTITUTE(B2466,CHAR(34),CHAR(92)&amp;CHAR(34))</f>
        <v/>
      </c>
      <c r="I2464" t="str">
        <f>SUBSTITUTE(IF(LEFT(A2467,3)="Câu","",B2467),CHAR(34),CHAR(92)&amp;CHAR(34))</f>
        <v/>
      </c>
      <c r="J2464" t="str">
        <f>SUBSTITUTE(IF(OR(LEFT(A2468,3)="Câu",I2464=""),"",IF(B2468=0,"",B2468)),CHAR(34),CHAR(92)&amp;CHAR(34))</f>
        <v/>
      </c>
      <c r="K2464" t="str">
        <f>SUBSTITUTE(SUBSTITUTE(SUBSTITUTE(SUBSTITUTE(IFERROR(VLOOKUP("Câu "&amp;D2464&amp;".",dapan!$E:$J,6,0),""),"1","A"),"2","B"),"3","C"),"4","D")</f>
        <v/>
      </c>
      <c r="P2464" t="str">
        <f t="shared" si="143"/>
        <v/>
      </c>
      <c r="Q2464" t="str">
        <f t="shared" si="144"/>
        <v/>
      </c>
    </row>
    <row r="2465" spans="1:17" hidden="1" x14ac:dyDescent="0.25">
      <c r="A2465">
        <v>3</v>
      </c>
      <c r="B2465" t="s">
        <v>1747</v>
      </c>
      <c r="C2465">
        <f>IFERROR(COUNTIFS($A$1:A2465,"Câu "&amp;"*")-MID(A2465,5,FIND(".",A2465,1)-5),0)</f>
        <v>0</v>
      </c>
      <c r="D2465" t="str">
        <f t="shared" si="146"/>
        <v/>
      </c>
      <c r="E2465" t="str">
        <f>SUBSTITUTE(IF(LEFT(A2465,3)="Câu",MID(A2465,FIND(".",A2465,1)+2,LEN(A2465)),""),CHAR(34),CHAR(92)&amp;CHAR(34))</f>
        <v/>
      </c>
      <c r="F2465" t="str">
        <f t="shared" si="145"/>
        <v/>
      </c>
      <c r="G2465" t="str">
        <f>SUBSTITUTE(B2466,CHAR(34),CHAR(92)&amp;CHAR(34))</f>
        <v/>
      </c>
      <c r="H2465" t="str">
        <f>SUBSTITUTE(B2467,CHAR(34),CHAR(92)&amp;CHAR(34))</f>
        <v/>
      </c>
      <c r="I2465" t="str">
        <f>SUBSTITUTE(IF(LEFT(A2468,3)="Câu","",B2468),CHAR(34),CHAR(92)&amp;CHAR(34))</f>
        <v/>
      </c>
      <c r="J2465" t="str">
        <f>SUBSTITUTE(IF(OR(LEFT(A2469,3)="Câu",I2465=""),"",IF(B2469=0,"",B2469)),CHAR(34),CHAR(92)&amp;CHAR(34))</f>
        <v/>
      </c>
      <c r="K2465" t="str">
        <f>SUBSTITUTE(SUBSTITUTE(SUBSTITUTE(SUBSTITUTE(IFERROR(VLOOKUP("Câu "&amp;D2465&amp;".",dapan!$E:$J,6,0),""),"1","A"),"2","B"),"3","C"),"4","D")</f>
        <v/>
      </c>
      <c r="P2465" t="str">
        <f t="shared" si="143"/>
        <v/>
      </c>
      <c r="Q2465" t="str">
        <f t="shared" si="144"/>
        <v/>
      </c>
    </row>
  </sheetData>
  <autoFilter ref="A1:Q2465" xr:uid="{00000000-0001-0000-0000-000000000000}">
    <filterColumn colId="15">
      <customFilters>
        <customFilter operator="notEqual" val=" "/>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L2471"/>
  <sheetViews>
    <sheetView topLeftCell="A304" workbookViewId="0">
      <selection activeCell="A304" sqref="A304"/>
    </sheetView>
  </sheetViews>
  <sheetFormatPr defaultRowHeight="15" x14ac:dyDescent="0.25"/>
  <cols>
    <col min="1" max="1" width="11.140625" customWidth="1"/>
    <col min="2" max="2" width="4.5703125" customWidth="1"/>
    <col min="3" max="3" width="6.140625" bestFit="1" customWidth="1"/>
  </cols>
  <sheetData>
    <row r="1" spans="1:12" ht="18.75" x14ac:dyDescent="0.25">
      <c r="A1" s="10" t="s">
        <v>0</v>
      </c>
      <c r="C1" t="b">
        <v>0</v>
      </c>
    </row>
    <row r="2" spans="1:12" ht="18.75" x14ac:dyDescent="0.25">
      <c r="A2" s="10" t="s">
        <v>1</v>
      </c>
      <c r="B2">
        <f>IFERROR(COUNTIFS($A$1:A2,"Câu "&amp;"*")-MID(A2,5,FIND(".",A2,1)-5),0)</f>
        <v>0</v>
      </c>
      <c r="C2" t="b">
        <v>0</v>
      </c>
      <c r="E2" t="str">
        <f>IF(LEFT(A2,3)="Câu",LEFT(A2,FIND(".",A2,1)),LEFT(A2,1))</f>
        <v>Câu 1.</v>
      </c>
      <c r="F2" t="str">
        <f>IF(LEFT(A3,3)="Câu",LEFT(A3,FIND(".",A3,1)),LEFT(A3,1))</f>
        <v>1</v>
      </c>
      <c r="G2" t="str">
        <f>IF(LEFT(A4,3)="Câu",LEFT(A4,FIND(".",A4,1)),LEFT(A4,1))</f>
        <v>2</v>
      </c>
      <c r="H2" t="str">
        <f>IF(LEFT(A5,3)="Câu","",LEFT(A5,1))</f>
        <v>3</v>
      </c>
      <c r="I2" t="str">
        <f>IF(LEFT(A6,3)="Câu","",LEFT(A6,1))</f>
        <v/>
      </c>
      <c r="J2" t="str">
        <f ca="1">IFERROR(VLOOKUP(TRUE,INDIRECT("C"&amp;MATCH(E2,$E$1:$E$2471,0)&amp;":E"&amp;MATCH("Câu "&amp;VALUE(MID(E2,5,LEN(E2)-5))+1&amp;".",$E$1:$E$2471,0)),3,0),"")</f>
        <v>2</v>
      </c>
      <c r="K2">
        <f>MATCH(E2,$E$1:$E$2470,0)</f>
        <v>2</v>
      </c>
      <c r="L2">
        <f>MATCH("Câu "&amp;VALUE(MID(E2,5,LEN(E2)-5))+1&amp;".",$E$1:$E$2470,0)</f>
        <v>6</v>
      </c>
    </row>
    <row r="3" spans="1:12" ht="18.75" x14ac:dyDescent="0.25">
      <c r="A3" s="11" t="s">
        <v>1797</v>
      </c>
      <c r="B3">
        <f>IFERROR(COUNTIFS($A$1:A3,"Câu "&amp;"*")-MID(A3,5,FIND(".",A3,1)-5),0)</f>
        <v>0</v>
      </c>
      <c r="C3" t="b">
        <v>0</v>
      </c>
      <c r="E3" t="str">
        <f t="shared" ref="E3:E66" si="0">IF(LEFT(A3,3)="Câu",LEFT(A3,FIND(".",A3,1)),LEFT(A3,1))</f>
        <v>1</v>
      </c>
      <c r="F3" t="str">
        <f>IF(LEFT(A4,3)="Câu",LEFT(A4,FIND(".",A4,1)),LEFT(A4,1))</f>
        <v>2</v>
      </c>
      <c r="G3" t="str">
        <f>IF(LEFT(A5,3)="Câu",LEFT(A5,FIND(".",A5,1)),LEFT(A5,1))</f>
        <v>3</v>
      </c>
      <c r="H3" t="str">
        <f>IF(LEFT(A6,3)="Câu","",LEFT(A6,1))</f>
        <v/>
      </c>
      <c r="I3" t="str">
        <f t="shared" ref="I3:I66" si="1">IF(LEFT(A7,3)="Câu","",LEFT(A7,1))</f>
        <v>1</v>
      </c>
      <c r="J3" t="str">
        <f t="shared" ref="J3:J66" ca="1" si="2">IFERROR(VLOOKUP(TRUE,INDIRECT("C"&amp;MATCH(E3,$E$1:$E$2471,0)&amp;":E"&amp;MATCH("Câu "&amp;VALUE(MID(E3,5,LEN(E3)-5))+1&amp;".",$E$1:$E$2471,0)),3,0),"")</f>
        <v/>
      </c>
    </row>
    <row r="4" spans="1:12" ht="18.75" x14ac:dyDescent="0.25">
      <c r="A4" s="11" t="s">
        <v>1798</v>
      </c>
      <c r="B4">
        <f>IFERROR(COUNTIFS($A$1:A4,"Câu "&amp;"*")-MID(A4,5,FIND(".",A4,1)-5),0)</f>
        <v>0</v>
      </c>
      <c r="C4" t="b">
        <v>1</v>
      </c>
      <c r="E4" t="str">
        <f t="shared" si="0"/>
        <v>2</v>
      </c>
      <c r="F4" t="str">
        <f t="shared" ref="F4:F66" si="3">IF(LEFT(A5,3)="Câu",LEFT(A5,FIND(".",A5,1)),LEFT(A5,1))</f>
        <v>3</v>
      </c>
      <c r="G4" t="str">
        <f t="shared" ref="G4:G66" si="4">IF(LEFT(A6,3)="Câu",LEFT(A6,FIND(".",A6,1)),LEFT(A6,1))</f>
        <v>Câu 2.</v>
      </c>
      <c r="H4" t="str">
        <f t="shared" ref="H4:H66" si="5">IF(LEFT(A7,3)="Câu","",LEFT(A7,1))</f>
        <v>1</v>
      </c>
      <c r="I4" t="str">
        <f t="shared" si="1"/>
        <v>2</v>
      </c>
      <c r="J4" t="str">
        <f t="shared" ca="1" si="2"/>
        <v/>
      </c>
    </row>
    <row r="5" spans="1:12" ht="18.75" x14ac:dyDescent="0.25">
      <c r="A5" s="11" t="s">
        <v>1799</v>
      </c>
      <c r="B5">
        <f>IFERROR(COUNTIFS($A$1:A5,"Câu "&amp;"*")-MID(A5,5,FIND(".",A5,1)-5),0)</f>
        <v>0</v>
      </c>
      <c r="C5" t="b">
        <v>0</v>
      </c>
      <c r="E5" t="str">
        <f t="shared" si="0"/>
        <v>3</v>
      </c>
      <c r="F5" t="str">
        <f t="shared" si="3"/>
        <v>Câu 2.</v>
      </c>
      <c r="G5" t="str">
        <f t="shared" si="4"/>
        <v>1</v>
      </c>
      <c r="H5" t="str">
        <f t="shared" si="5"/>
        <v>2</v>
      </c>
      <c r="I5" t="str">
        <f t="shared" si="1"/>
        <v>3</v>
      </c>
      <c r="J5" t="str">
        <f t="shared" ca="1" si="2"/>
        <v/>
      </c>
    </row>
    <row r="6" spans="1:12" ht="18.75" x14ac:dyDescent="0.25">
      <c r="A6" s="10" t="s">
        <v>4</v>
      </c>
      <c r="B6">
        <f>IFERROR(COUNTIFS($A$1:A6,"Câu "&amp;"*")-MID(A6,5,FIND(".",A6,1)-5),0)</f>
        <v>0</v>
      </c>
      <c r="C6" t="b">
        <v>0</v>
      </c>
      <c r="E6" t="str">
        <f t="shared" si="0"/>
        <v>Câu 2.</v>
      </c>
      <c r="F6" t="str">
        <f t="shared" si="3"/>
        <v>1</v>
      </c>
      <c r="G6" t="str">
        <f t="shared" si="4"/>
        <v>2</v>
      </c>
      <c r="H6" t="str">
        <f t="shared" si="5"/>
        <v>3</v>
      </c>
      <c r="I6" t="str">
        <f t="shared" si="1"/>
        <v/>
      </c>
      <c r="J6" t="str">
        <f t="shared" ca="1" si="2"/>
        <v>2</v>
      </c>
    </row>
    <row r="7" spans="1:12" ht="18.75" x14ac:dyDescent="0.25">
      <c r="A7" s="11" t="s">
        <v>1800</v>
      </c>
      <c r="B7">
        <f>IFERROR(COUNTIFS($A$1:A7,"Câu "&amp;"*")-MID(A7,5,FIND(".",A7,1)-5),0)</f>
        <v>0</v>
      </c>
      <c r="C7" t="b">
        <v>0</v>
      </c>
      <c r="E7" t="str">
        <f t="shared" si="0"/>
        <v>1</v>
      </c>
      <c r="F7" t="str">
        <f t="shared" si="3"/>
        <v>2</v>
      </c>
      <c r="G7" t="str">
        <f t="shared" si="4"/>
        <v>3</v>
      </c>
      <c r="H7" t="str">
        <f t="shared" si="5"/>
        <v/>
      </c>
      <c r="I7" t="str">
        <f t="shared" si="1"/>
        <v>1</v>
      </c>
      <c r="J7" t="str">
        <f t="shared" ca="1" si="2"/>
        <v/>
      </c>
    </row>
    <row r="8" spans="1:12" ht="18.75" x14ac:dyDescent="0.25">
      <c r="A8" s="11" t="s">
        <v>1801</v>
      </c>
      <c r="B8">
        <f>IFERROR(COUNTIFS($A$1:A8,"Câu "&amp;"*")-MID(A8,5,FIND(".",A8,1)-5),0)</f>
        <v>0</v>
      </c>
      <c r="C8" t="b">
        <v>1</v>
      </c>
      <c r="E8" t="str">
        <f t="shared" si="0"/>
        <v>2</v>
      </c>
      <c r="F8" t="str">
        <f t="shared" si="3"/>
        <v>3</v>
      </c>
      <c r="G8" t="str">
        <f t="shared" si="4"/>
        <v>Câu 3.</v>
      </c>
      <c r="H8" t="str">
        <f t="shared" si="5"/>
        <v>1</v>
      </c>
      <c r="I8" t="str">
        <f t="shared" si="1"/>
        <v>2</v>
      </c>
      <c r="J8" t="str">
        <f t="shared" ca="1" si="2"/>
        <v/>
      </c>
    </row>
    <row r="9" spans="1:12" ht="18.75" x14ac:dyDescent="0.25">
      <c r="A9" s="11" t="s">
        <v>1802</v>
      </c>
      <c r="B9">
        <f>IFERROR(COUNTIFS($A$1:A9,"Câu "&amp;"*")-MID(A9,5,FIND(".",A9,1)-5),0)</f>
        <v>0</v>
      </c>
      <c r="C9" t="b">
        <v>0</v>
      </c>
      <c r="E9" t="str">
        <f t="shared" si="0"/>
        <v>3</v>
      </c>
      <c r="F9" t="str">
        <f t="shared" si="3"/>
        <v>Câu 3.</v>
      </c>
      <c r="G9" t="str">
        <f t="shared" si="4"/>
        <v>1</v>
      </c>
      <c r="H9" t="str">
        <f t="shared" si="5"/>
        <v>2</v>
      </c>
      <c r="I9" t="str">
        <f t="shared" si="1"/>
        <v>3</v>
      </c>
      <c r="J9" t="str">
        <f t="shared" ca="1" si="2"/>
        <v/>
      </c>
    </row>
    <row r="10" spans="1:12" ht="18.75" x14ac:dyDescent="0.25">
      <c r="A10" s="10" t="s">
        <v>7</v>
      </c>
      <c r="B10">
        <f>IFERROR(COUNTIFS($A$1:A10,"Câu "&amp;"*")-MID(A10,5,FIND(".",A10,1)-5),0)</f>
        <v>0</v>
      </c>
      <c r="C10" t="b">
        <v>0</v>
      </c>
      <c r="E10" t="str">
        <f t="shared" si="0"/>
        <v>Câu 3.</v>
      </c>
      <c r="F10" t="str">
        <f t="shared" si="3"/>
        <v>1</v>
      </c>
      <c r="G10" t="str">
        <f t="shared" si="4"/>
        <v>2</v>
      </c>
      <c r="H10" t="str">
        <f t="shared" si="5"/>
        <v>3</v>
      </c>
      <c r="I10" t="str">
        <f t="shared" si="1"/>
        <v/>
      </c>
      <c r="J10" t="str">
        <f t="shared" ca="1" si="2"/>
        <v>1</v>
      </c>
    </row>
    <row r="11" spans="1:12" ht="409.5" x14ac:dyDescent="0.25">
      <c r="A11" s="3" t="s">
        <v>1803</v>
      </c>
      <c r="B11">
        <f>IFERROR(COUNTIFS($A$1:A11,"Câu "&amp;"*")-MID(A11,5,FIND(".",A11,1)-5),0)</f>
        <v>0</v>
      </c>
      <c r="C11" t="b">
        <v>1</v>
      </c>
      <c r="E11" t="str">
        <f t="shared" si="0"/>
        <v>1</v>
      </c>
      <c r="F11" t="str">
        <f t="shared" si="3"/>
        <v>2</v>
      </c>
      <c r="G11" t="str">
        <f t="shared" si="4"/>
        <v>3</v>
      </c>
      <c r="H11" t="str">
        <f t="shared" si="5"/>
        <v/>
      </c>
      <c r="I11" t="str">
        <f t="shared" si="1"/>
        <v>1</v>
      </c>
      <c r="J11" t="str">
        <f t="shared" ca="1" si="2"/>
        <v/>
      </c>
    </row>
    <row r="12" spans="1:12" ht="393.75" x14ac:dyDescent="0.25">
      <c r="A12" s="3" t="s">
        <v>3063</v>
      </c>
      <c r="B12">
        <f>IFERROR(COUNTIFS($A$1:A12,"Câu "&amp;"*")-MID(A12,5,FIND(".",A12,1)-5),0)</f>
        <v>0</v>
      </c>
      <c r="C12" t="b">
        <v>0</v>
      </c>
      <c r="E12" t="str">
        <f t="shared" si="0"/>
        <v>2</v>
      </c>
      <c r="F12" t="str">
        <f t="shared" si="3"/>
        <v>3</v>
      </c>
      <c r="G12" t="str">
        <f t="shared" si="4"/>
        <v>Câu 4.</v>
      </c>
      <c r="H12" t="str">
        <f t="shared" si="5"/>
        <v>1</v>
      </c>
      <c r="I12" t="str">
        <f t="shared" si="1"/>
        <v>2</v>
      </c>
      <c r="J12" t="str">
        <f t="shared" ca="1" si="2"/>
        <v/>
      </c>
    </row>
    <row r="13" spans="1:12" ht="318.75" x14ac:dyDescent="0.25">
      <c r="A13" s="3" t="s">
        <v>1804</v>
      </c>
      <c r="B13">
        <f>IFERROR(COUNTIFS($A$1:A13,"Câu "&amp;"*")-MID(A13,5,FIND(".",A13,1)-5),0)</f>
        <v>0</v>
      </c>
      <c r="C13" t="b">
        <v>0</v>
      </c>
      <c r="E13" t="str">
        <f t="shared" si="0"/>
        <v>3</v>
      </c>
      <c r="F13" t="str">
        <f t="shared" si="3"/>
        <v>Câu 4.</v>
      </c>
      <c r="G13" t="str">
        <f t="shared" si="4"/>
        <v>1</v>
      </c>
      <c r="H13" t="str">
        <f t="shared" si="5"/>
        <v>2</v>
      </c>
      <c r="I13" t="str">
        <f t="shared" si="1"/>
        <v>3</v>
      </c>
      <c r="J13" t="str">
        <f t="shared" ca="1" si="2"/>
        <v/>
      </c>
    </row>
    <row r="14" spans="1:12" ht="150" x14ac:dyDescent="0.25">
      <c r="A14" s="4" t="s">
        <v>9</v>
      </c>
      <c r="B14">
        <f>IFERROR(COUNTIFS($A$1:A14,"Câu "&amp;"*")-MID(A14,5,FIND(".",A14,1)-5),0)</f>
        <v>0</v>
      </c>
      <c r="C14" t="b">
        <v>0</v>
      </c>
      <c r="E14" t="str">
        <f t="shared" si="0"/>
        <v>Câu 4.</v>
      </c>
      <c r="F14" t="str">
        <f t="shared" si="3"/>
        <v>1</v>
      </c>
      <c r="G14" t="str">
        <f t="shared" si="4"/>
        <v>2</v>
      </c>
      <c r="H14" t="str">
        <f t="shared" si="5"/>
        <v>3</v>
      </c>
      <c r="I14" t="str">
        <f t="shared" si="1"/>
        <v/>
      </c>
      <c r="J14" t="str">
        <f t="shared" ca="1" si="2"/>
        <v>2</v>
      </c>
    </row>
    <row r="15" spans="1:12" ht="225" x14ac:dyDescent="0.25">
      <c r="A15" s="3" t="s">
        <v>1805</v>
      </c>
      <c r="B15">
        <f>IFERROR(COUNTIFS($A$1:A15,"Câu "&amp;"*")-MID(A15,5,FIND(".",A15,1)-5),0)</f>
        <v>0</v>
      </c>
      <c r="C15" t="b">
        <v>0</v>
      </c>
      <c r="E15" t="str">
        <f t="shared" si="0"/>
        <v>1</v>
      </c>
      <c r="F15" t="str">
        <f t="shared" si="3"/>
        <v>2</v>
      </c>
      <c r="G15" t="str">
        <f t="shared" si="4"/>
        <v>3</v>
      </c>
      <c r="H15" t="str">
        <f t="shared" si="5"/>
        <v/>
      </c>
      <c r="I15" t="str">
        <f t="shared" si="1"/>
        <v>1</v>
      </c>
      <c r="J15" t="str">
        <f t="shared" ca="1" si="2"/>
        <v/>
      </c>
    </row>
    <row r="16" spans="1:12" ht="409.5" x14ac:dyDescent="0.25">
      <c r="A16" s="3" t="s">
        <v>1806</v>
      </c>
      <c r="B16">
        <f>IFERROR(COUNTIFS($A$1:A16,"Câu "&amp;"*")-MID(A16,5,FIND(".",A16,1)-5),0)</f>
        <v>0</v>
      </c>
      <c r="C16" t="b">
        <v>1</v>
      </c>
      <c r="E16" t="str">
        <f t="shared" si="0"/>
        <v>2</v>
      </c>
      <c r="F16" t="str">
        <f t="shared" si="3"/>
        <v>3</v>
      </c>
      <c r="G16" t="str">
        <f t="shared" si="4"/>
        <v>Câu 5.</v>
      </c>
      <c r="H16" t="str">
        <f t="shared" si="5"/>
        <v>1</v>
      </c>
      <c r="I16" t="str">
        <f t="shared" si="1"/>
        <v>2</v>
      </c>
      <c r="J16" t="str">
        <f t="shared" ca="1" si="2"/>
        <v/>
      </c>
    </row>
    <row r="17" spans="1:10" ht="187.5" x14ac:dyDescent="0.25">
      <c r="A17" s="3" t="s">
        <v>1807</v>
      </c>
      <c r="B17">
        <f>IFERROR(COUNTIFS($A$1:A17,"Câu "&amp;"*")-MID(A17,5,FIND(".",A17,1)-5),0)</f>
        <v>0</v>
      </c>
      <c r="C17" t="b">
        <v>0</v>
      </c>
      <c r="E17" t="str">
        <f t="shared" si="0"/>
        <v>3</v>
      </c>
      <c r="F17" t="str">
        <f t="shared" si="3"/>
        <v>Câu 5.</v>
      </c>
      <c r="G17" t="str">
        <f t="shared" si="4"/>
        <v>1</v>
      </c>
      <c r="H17" t="str">
        <f t="shared" si="5"/>
        <v>2</v>
      </c>
      <c r="I17" t="str">
        <f t="shared" si="1"/>
        <v>3</v>
      </c>
      <c r="J17" t="str">
        <f t="shared" ca="1" si="2"/>
        <v/>
      </c>
    </row>
    <row r="18" spans="1:10" ht="75" x14ac:dyDescent="0.25">
      <c r="A18" s="4" t="s">
        <v>12</v>
      </c>
      <c r="B18">
        <f>IFERROR(COUNTIFS($A$1:A18,"Câu "&amp;"*")-MID(A18,5,FIND(".",A18,1)-5),0)</f>
        <v>0</v>
      </c>
      <c r="C18" t="b">
        <v>0</v>
      </c>
      <c r="E18" t="str">
        <f t="shared" si="0"/>
        <v>Câu 5.</v>
      </c>
      <c r="F18" t="str">
        <f t="shared" si="3"/>
        <v>1</v>
      </c>
      <c r="G18" t="str">
        <f t="shared" si="4"/>
        <v>2</v>
      </c>
      <c r="H18" t="str">
        <f t="shared" si="5"/>
        <v>3</v>
      </c>
      <c r="I18" t="str">
        <f t="shared" si="1"/>
        <v>4</v>
      </c>
      <c r="J18" t="str">
        <f t="shared" ca="1" si="2"/>
        <v>2</v>
      </c>
    </row>
    <row r="19" spans="1:10" ht="18.75" x14ac:dyDescent="0.25">
      <c r="A19" s="11" t="s">
        <v>1808</v>
      </c>
      <c r="B19">
        <f>IFERROR(COUNTIFS($A$1:A19,"Câu "&amp;"*")-MID(A19,5,FIND(".",A19,1)-5),0)</f>
        <v>0</v>
      </c>
      <c r="C19" t="b">
        <v>0</v>
      </c>
      <c r="E19" t="str">
        <f t="shared" si="0"/>
        <v>1</v>
      </c>
      <c r="F19" t="str">
        <f t="shared" si="3"/>
        <v>2</v>
      </c>
      <c r="G19" t="str">
        <f t="shared" si="4"/>
        <v>3</v>
      </c>
      <c r="H19" t="str">
        <f t="shared" si="5"/>
        <v>4</v>
      </c>
      <c r="I19" t="str">
        <f t="shared" si="1"/>
        <v/>
      </c>
      <c r="J19" t="str">
        <f t="shared" ca="1" si="2"/>
        <v/>
      </c>
    </row>
    <row r="20" spans="1:10" ht="18.75" x14ac:dyDescent="0.25">
      <c r="A20" s="11" t="s">
        <v>1809</v>
      </c>
      <c r="B20">
        <f>IFERROR(COUNTIFS($A$1:A20,"Câu "&amp;"*")-MID(A20,5,FIND(".",A20,1)-5),0)</f>
        <v>0</v>
      </c>
      <c r="C20" t="b">
        <v>1</v>
      </c>
      <c r="E20" t="str">
        <f t="shared" si="0"/>
        <v>2</v>
      </c>
      <c r="F20" t="str">
        <f t="shared" si="3"/>
        <v>3</v>
      </c>
      <c r="G20" t="str">
        <f t="shared" si="4"/>
        <v>4</v>
      </c>
      <c r="H20" t="str">
        <f t="shared" si="5"/>
        <v/>
      </c>
      <c r="I20" t="str">
        <f t="shared" si="1"/>
        <v>1</v>
      </c>
      <c r="J20" t="str">
        <f t="shared" ca="1" si="2"/>
        <v/>
      </c>
    </row>
    <row r="21" spans="1:10" ht="18.75" x14ac:dyDescent="0.25">
      <c r="A21" s="11" t="s">
        <v>1810</v>
      </c>
      <c r="B21">
        <f>IFERROR(COUNTIFS($A$1:A21,"Câu "&amp;"*")-MID(A21,5,FIND(".",A21,1)-5),0)</f>
        <v>0</v>
      </c>
      <c r="C21" t="b">
        <v>0</v>
      </c>
      <c r="E21" t="str">
        <f t="shared" si="0"/>
        <v>3</v>
      </c>
      <c r="F21" t="str">
        <f t="shared" si="3"/>
        <v>4</v>
      </c>
      <c r="G21" t="str">
        <f t="shared" si="4"/>
        <v>Câu 6.</v>
      </c>
      <c r="H21" t="str">
        <f t="shared" si="5"/>
        <v>1</v>
      </c>
      <c r="I21" t="str">
        <f t="shared" si="1"/>
        <v>2</v>
      </c>
      <c r="J21" t="str">
        <f t="shared" ca="1" si="2"/>
        <v/>
      </c>
    </row>
    <row r="22" spans="1:10" ht="18.75" x14ac:dyDescent="0.25">
      <c r="A22" s="11" t="s">
        <v>1811</v>
      </c>
      <c r="B22">
        <f>IFERROR(COUNTIFS($A$1:A22,"Câu "&amp;"*")-MID(A22,5,FIND(".",A22,1)-5),0)</f>
        <v>0</v>
      </c>
      <c r="C22" t="b">
        <v>0</v>
      </c>
      <c r="E22" t="str">
        <f t="shared" si="0"/>
        <v>4</v>
      </c>
      <c r="F22" t="str">
        <f t="shared" si="3"/>
        <v>Câu 6.</v>
      </c>
      <c r="G22" t="str">
        <f t="shared" si="4"/>
        <v>1</v>
      </c>
      <c r="H22" t="str">
        <f t="shared" si="5"/>
        <v>2</v>
      </c>
      <c r="I22" t="str">
        <f t="shared" si="1"/>
        <v>3</v>
      </c>
      <c r="J22" t="str">
        <f t="shared" ca="1" si="2"/>
        <v/>
      </c>
    </row>
    <row r="23" spans="1:10" ht="18.75" x14ac:dyDescent="0.25">
      <c r="A23" s="10" t="s">
        <v>16</v>
      </c>
      <c r="B23">
        <f>IFERROR(COUNTIFS($A$1:A23,"Câu "&amp;"*")-MID(A23,5,FIND(".",A23,1)-5),0)</f>
        <v>0</v>
      </c>
      <c r="C23" t="b">
        <v>0</v>
      </c>
      <c r="E23" t="str">
        <f t="shared" si="0"/>
        <v>Câu 6.</v>
      </c>
      <c r="F23" t="str">
        <f t="shared" si="3"/>
        <v>1</v>
      </c>
      <c r="G23" t="str">
        <f t="shared" si="4"/>
        <v>2</v>
      </c>
      <c r="H23" t="str">
        <f t="shared" si="5"/>
        <v>3</v>
      </c>
      <c r="I23" t="str">
        <f t="shared" si="1"/>
        <v/>
      </c>
      <c r="J23" t="str">
        <f t="shared" ca="1" si="2"/>
        <v>1</v>
      </c>
    </row>
    <row r="24" spans="1:10" ht="18.75" x14ac:dyDescent="0.25">
      <c r="A24" s="11" t="s">
        <v>1812</v>
      </c>
      <c r="B24">
        <f>IFERROR(COUNTIFS($A$1:A24,"Câu "&amp;"*")-MID(A24,5,FIND(".",A24,1)-5),0)</f>
        <v>0</v>
      </c>
      <c r="C24" t="b">
        <v>1</v>
      </c>
      <c r="E24" t="str">
        <f t="shared" si="0"/>
        <v>1</v>
      </c>
      <c r="F24" t="str">
        <f t="shared" si="3"/>
        <v>2</v>
      </c>
      <c r="G24" t="str">
        <f t="shared" si="4"/>
        <v>3</v>
      </c>
      <c r="H24" t="str">
        <f t="shared" si="5"/>
        <v/>
      </c>
      <c r="I24" t="str">
        <f t="shared" si="1"/>
        <v>1</v>
      </c>
      <c r="J24" t="str">
        <f t="shared" ca="1" si="2"/>
        <v/>
      </c>
    </row>
    <row r="25" spans="1:10" ht="18.75" x14ac:dyDescent="0.25">
      <c r="A25" s="11" t="s">
        <v>1813</v>
      </c>
      <c r="B25">
        <f>IFERROR(COUNTIFS($A$1:A25,"Câu "&amp;"*")-MID(A25,5,FIND(".",A25,1)-5),0)</f>
        <v>0</v>
      </c>
      <c r="C25" t="b">
        <v>0</v>
      </c>
      <c r="E25" t="str">
        <f t="shared" si="0"/>
        <v>2</v>
      </c>
      <c r="F25" t="str">
        <f t="shared" si="3"/>
        <v>3</v>
      </c>
      <c r="G25" t="str">
        <f t="shared" si="4"/>
        <v>Câu 7.</v>
      </c>
      <c r="H25" t="str">
        <f t="shared" si="5"/>
        <v>1</v>
      </c>
      <c r="I25" t="str">
        <f t="shared" si="1"/>
        <v>2</v>
      </c>
      <c r="J25" t="str">
        <f t="shared" ca="1" si="2"/>
        <v/>
      </c>
    </row>
    <row r="26" spans="1:10" ht="18.75" x14ac:dyDescent="0.25">
      <c r="A26" s="11" t="s">
        <v>1814</v>
      </c>
      <c r="B26">
        <f>IFERROR(COUNTIFS($A$1:A26,"Câu "&amp;"*")-MID(A26,5,FIND(".",A26,1)-5),0)</f>
        <v>0</v>
      </c>
      <c r="C26" t="b">
        <v>0</v>
      </c>
      <c r="E26" t="str">
        <f t="shared" si="0"/>
        <v>3</v>
      </c>
      <c r="F26" t="str">
        <f t="shared" si="3"/>
        <v>Câu 7.</v>
      </c>
      <c r="G26" t="str">
        <f t="shared" si="4"/>
        <v>1</v>
      </c>
      <c r="H26" t="str">
        <f t="shared" si="5"/>
        <v>2</v>
      </c>
      <c r="I26" t="str">
        <f t="shared" si="1"/>
        <v>3</v>
      </c>
      <c r="J26" t="str">
        <f t="shared" ca="1" si="2"/>
        <v/>
      </c>
    </row>
    <row r="27" spans="1:10" ht="18.75" x14ac:dyDescent="0.25">
      <c r="A27" s="10" t="s">
        <v>19</v>
      </c>
      <c r="B27">
        <f>IFERROR(COUNTIFS($A$1:A27,"Câu "&amp;"*")-MID(A27,5,FIND(".",A27,1)-5),0)</f>
        <v>0</v>
      </c>
      <c r="C27" t="b">
        <v>0</v>
      </c>
      <c r="E27" t="str">
        <f t="shared" si="0"/>
        <v>Câu 7.</v>
      </c>
      <c r="F27" t="str">
        <f t="shared" si="3"/>
        <v>1</v>
      </c>
      <c r="G27" t="str">
        <f t="shared" si="4"/>
        <v>2</v>
      </c>
      <c r="H27" t="str">
        <f t="shared" si="5"/>
        <v>3</v>
      </c>
      <c r="I27" t="str">
        <f t="shared" si="1"/>
        <v/>
      </c>
      <c r="J27" t="str">
        <f t="shared" ca="1" si="2"/>
        <v>1</v>
      </c>
    </row>
    <row r="28" spans="1:10" ht="18.75" x14ac:dyDescent="0.25">
      <c r="A28" s="11" t="s">
        <v>1815</v>
      </c>
      <c r="B28">
        <f>IFERROR(COUNTIFS($A$1:A28,"Câu "&amp;"*")-MID(A28,5,FIND(".",A28,1)-5),0)</f>
        <v>0</v>
      </c>
      <c r="C28" t="b">
        <v>1</v>
      </c>
      <c r="E28" t="str">
        <f t="shared" si="0"/>
        <v>1</v>
      </c>
      <c r="F28" t="str">
        <f t="shared" si="3"/>
        <v>2</v>
      </c>
      <c r="G28" t="str">
        <f t="shared" si="4"/>
        <v>3</v>
      </c>
      <c r="H28" t="str">
        <f t="shared" si="5"/>
        <v/>
      </c>
      <c r="I28" t="str">
        <f t="shared" si="1"/>
        <v>1</v>
      </c>
      <c r="J28" t="str">
        <f t="shared" ca="1" si="2"/>
        <v/>
      </c>
    </row>
    <row r="29" spans="1:10" ht="18.75" x14ac:dyDescent="0.25">
      <c r="A29" s="11" t="s">
        <v>1816</v>
      </c>
      <c r="B29">
        <f>IFERROR(COUNTIFS($A$1:A29,"Câu "&amp;"*")-MID(A29,5,FIND(".",A29,1)-5),0)</f>
        <v>0</v>
      </c>
      <c r="C29" t="b">
        <v>0</v>
      </c>
      <c r="E29" t="str">
        <f t="shared" si="0"/>
        <v>2</v>
      </c>
      <c r="F29" t="str">
        <f t="shared" si="3"/>
        <v>3</v>
      </c>
      <c r="G29" t="str">
        <f t="shared" si="4"/>
        <v>Câu 8.</v>
      </c>
      <c r="H29" t="str">
        <f t="shared" si="5"/>
        <v>1</v>
      </c>
      <c r="I29" t="str">
        <f t="shared" si="1"/>
        <v>2</v>
      </c>
      <c r="J29" t="str">
        <f t="shared" ca="1" si="2"/>
        <v/>
      </c>
    </row>
    <row r="30" spans="1:10" ht="18.75" x14ac:dyDescent="0.25">
      <c r="A30" s="11" t="s">
        <v>1817</v>
      </c>
      <c r="B30">
        <f>IFERROR(COUNTIFS($A$1:A30,"Câu "&amp;"*")-MID(A30,5,FIND(".",A30,1)-5),0)</f>
        <v>0</v>
      </c>
      <c r="C30" t="b">
        <v>0</v>
      </c>
      <c r="E30" t="str">
        <f t="shared" si="0"/>
        <v>3</v>
      </c>
      <c r="F30" t="str">
        <f t="shared" si="3"/>
        <v>Câu 8.</v>
      </c>
      <c r="G30" t="str">
        <f t="shared" si="4"/>
        <v>1</v>
      </c>
      <c r="H30" t="str">
        <f t="shared" si="5"/>
        <v>2</v>
      </c>
      <c r="I30" t="str">
        <f t="shared" si="1"/>
        <v/>
      </c>
      <c r="J30" t="str">
        <f t="shared" ca="1" si="2"/>
        <v/>
      </c>
    </row>
    <row r="31" spans="1:10" ht="18.75" x14ac:dyDescent="0.25">
      <c r="A31" s="10" t="s">
        <v>23</v>
      </c>
      <c r="B31">
        <f>IFERROR(COUNTIFS($A$1:A31,"Câu "&amp;"*")-MID(A31,5,FIND(".",A31,1)-5),0)</f>
        <v>0</v>
      </c>
      <c r="C31" t="b">
        <v>0</v>
      </c>
      <c r="E31" t="str">
        <f t="shared" si="0"/>
        <v>Câu 8.</v>
      </c>
      <c r="F31" t="str">
        <f t="shared" si="3"/>
        <v>1</v>
      </c>
      <c r="G31" t="str">
        <f t="shared" si="4"/>
        <v>2</v>
      </c>
      <c r="H31" t="str">
        <f t="shared" si="5"/>
        <v/>
      </c>
      <c r="I31" t="str">
        <f t="shared" si="1"/>
        <v>1</v>
      </c>
      <c r="J31" t="str">
        <f t="shared" ca="1" si="2"/>
        <v>2</v>
      </c>
    </row>
    <row r="32" spans="1:10" ht="409.5" x14ac:dyDescent="0.25">
      <c r="A32" s="3" t="s">
        <v>1818</v>
      </c>
      <c r="B32">
        <f>IFERROR(COUNTIFS($A$1:A32,"Câu "&amp;"*")-MID(A32,5,FIND(".",A32,1)-5),0)</f>
        <v>0</v>
      </c>
      <c r="C32" t="b">
        <v>0</v>
      </c>
      <c r="E32" t="str">
        <f t="shared" si="0"/>
        <v>1</v>
      </c>
      <c r="F32" t="str">
        <f t="shared" si="3"/>
        <v>2</v>
      </c>
      <c r="G32" t="str">
        <f t="shared" si="4"/>
        <v>Câu 9.</v>
      </c>
      <c r="H32" t="str">
        <f t="shared" si="5"/>
        <v>1</v>
      </c>
      <c r="I32" t="str">
        <f t="shared" si="1"/>
        <v>2</v>
      </c>
      <c r="J32" t="str">
        <f t="shared" ca="1" si="2"/>
        <v/>
      </c>
    </row>
    <row r="33" spans="1:10" ht="409.5" x14ac:dyDescent="0.25">
      <c r="A33" s="3" t="s">
        <v>1819</v>
      </c>
      <c r="B33">
        <f>IFERROR(COUNTIFS($A$1:A33,"Câu "&amp;"*")-MID(A33,5,FIND(".",A33,1)-5),0)</f>
        <v>0</v>
      </c>
      <c r="C33" t="b">
        <v>1</v>
      </c>
      <c r="E33" t="str">
        <f t="shared" si="0"/>
        <v>2</v>
      </c>
      <c r="F33" t="str">
        <f t="shared" si="3"/>
        <v>Câu 9.</v>
      </c>
      <c r="G33" t="str">
        <f t="shared" si="4"/>
        <v>1</v>
      </c>
      <c r="H33" t="str">
        <f t="shared" si="5"/>
        <v>2</v>
      </c>
      <c r="I33" t="str">
        <f t="shared" si="1"/>
        <v>3</v>
      </c>
      <c r="J33" t="str">
        <f t="shared" ca="1" si="2"/>
        <v/>
      </c>
    </row>
    <row r="34" spans="1:10" ht="300" x14ac:dyDescent="0.25">
      <c r="A34" s="4" t="s">
        <v>25</v>
      </c>
      <c r="B34">
        <f>IFERROR(COUNTIFS($A$1:A34,"Câu "&amp;"*")-MID(A34,5,FIND(".",A34,1)-5),0)</f>
        <v>0</v>
      </c>
      <c r="C34" t="b">
        <v>0</v>
      </c>
      <c r="E34" t="str">
        <f t="shared" si="0"/>
        <v>Câu 9.</v>
      </c>
      <c r="F34" t="str">
        <f t="shared" si="3"/>
        <v>1</v>
      </c>
      <c r="G34" t="str">
        <f t="shared" si="4"/>
        <v>2</v>
      </c>
      <c r="H34" t="str">
        <f t="shared" si="5"/>
        <v>3</v>
      </c>
      <c r="I34" t="str">
        <f t="shared" si="1"/>
        <v/>
      </c>
      <c r="J34" t="str">
        <f t="shared" ca="1" si="2"/>
        <v>1</v>
      </c>
    </row>
    <row r="35" spans="1:10" ht="18.75" x14ac:dyDescent="0.25">
      <c r="A35" s="11" t="s">
        <v>1820</v>
      </c>
      <c r="B35">
        <f>IFERROR(COUNTIFS($A$1:A35,"Câu "&amp;"*")-MID(A35,5,FIND(".",A35,1)-5),0)</f>
        <v>0</v>
      </c>
      <c r="C35" t="b">
        <v>1</v>
      </c>
      <c r="E35" t="str">
        <f t="shared" si="0"/>
        <v>1</v>
      </c>
      <c r="F35" t="str">
        <f t="shared" si="3"/>
        <v>2</v>
      </c>
      <c r="G35" t="str">
        <f t="shared" si="4"/>
        <v>3</v>
      </c>
      <c r="H35" t="str">
        <f t="shared" si="5"/>
        <v/>
      </c>
      <c r="I35" t="str">
        <f t="shared" si="1"/>
        <v>1</v>
      </c>
      <c r="J35" t="str">
        <f t="shared" ca="1" si="2"/>
        <v/>
      </c>
    </row>
    <row r="36" spans="1:10" ht="18.75" x14ac:dyDescent="0.25">
      <c r="A36" s="11" t="s">
        <v>1821</v>
      </c>
      <c r="B36">
        <f>IFERROR(COUNTIFS($A$1:A36,"Câu "&amp;"*")-MID(A36,5,FIND(".",A36,1)-5),0)</f>
        <v>0</v>
      </c>
      <c r="C36" t="b">
        <v>0</v>
      </c>
      <c r="E36" t="str">
        <f t="shared" si="0"/>
        <v>2</v>
      </c>
      <c r="F36" t="str">
        <f t="shared" si="3"/>
        <v>3</v>
      </c>
      <c r="G36" t="str">
        <f t="shared" si="4"/>
        <v>Câu 10.</v>
      </c>
      <c r="H36" t="str">
        <f t="shared" si="5"/>
        <v>1</v>
      </c>
      <c r="I36" t="str">
        <f t="shared" si="1"/>
        <v>2</v>
      </c>
      <c r="J36" t="str">
        <f t="shared" ca="1" si="2"/>
        <v/>
      </c>
    </row>
    <row r="37" spans="1:10" ht="18.75" x14ac:dyDescent="0.25">
      <c r="A37" s="11" t="s">
        <v>1822</v>
      </c>
      <c r="B37">
        <f>IFERROR(COUNTIFS($A$1:A37,"Câu "&amp;"*")-MID(A37,5,FIND(".",A37,1)-5),0)</f>
        <v>0</v>
      </c>
      <c r="C37" t="b">
        <v>0</v>
      </c>
      <c r="E37" t="str">
        <f t="shared" si="0"/>
        <v>3</v>
      </c>
      <c r="F37" t="str">
        <f t="shared" si="3"/>
        <v>Câu 10.</v>
      </c>
      <c r="G37" t="str">
        <f t="shared" si="4"/>
        <v>1</v>
      </c>
      <c r="H37" t="str">
        <f t="shared" si="5"/>
        <v>2</v>
      </c>
      <c r="I37" t="str">
        <f t="shared" si="1"/>
        <v>3</v>
      </c>
      <c r="J37" t="str">
        <f t="shared" ca="1" si="2"/>
        <v/>
      </c>
    </row>
    <row r="38" spans="1:10" ht="18.75" x14ac:dyDescent="0.25">
      <c r="A38" s="10" t="s">
        <v>29</v>
      </c>
      <c r="B38">
        <f>IFERROR(COUNTIFS($A$1:A38,"Câu "&amp;"*")-MID(A38,5,FIND(".",A38,1)-5),0)</f>
        <v>0</v>
      </c>
      <c r="C38" t="b">
        <v>0</v>
      </c>
      <c r="E38" t="str">
        <f t="shared" si="0"/>
        <v>Câu 10.</v>
      </c>
      <c r="F38" t="str">
        <f t="shared" si="3"/>
        <v>1</v>
      </c>
      <c r="G38" t="str">
        <f t="shared" si="4"/>
        <v>2</v>
      </c>
      <c r="H38" t="str">
        <f t="shared" si="5"/>
        <v>3</v>
      </c>
      <c r="I38" t="str">
        <f t="shared" si="1"/>
        <v/>
      </c>
      <c r="J38" t="str">
        <f t="shared" ca="1" si="2"/>
        <v>3</v>
      </c>
    </row>
    <row r="39" spans="1:10" ht="18.75" x14ac:dyDescent="0.25">
      <c r="A39" s="11" t="s">
        <v>1823</v>
      </c>
      <c r="B39">
        <f>IFERROR(COUNTIFS($A$1:A39,"Câu "&amp;"*")-MID(A39,5,FIND(".",A39,1)-5),0)</f>
        <v>0</v>
      </c>
      <c r="C39" t="b">
        <v>0</v>
      </c>
      <c r="E39" t="str">
        <f t="shared" si="0"/>
        <v>1</v>
      </c>
      <c r="F39" t="str">
        <f t="shared" si="3"/>
        <v>2</v>
      </c>
      <c r="G39" t="str">
        <f t="shared" si="4"/>
        <v>3</v>
      </c>
      <c r="H39" t="str">
        <f t="shared" si="5"/>
        <v/>
      </c>
      <c r="I39" t="str">
        <f t="shared" si="1"/>
        <v>1</v>
      </c>
      <c r="J39" t="str">
        <f t="shared" ca="1" si="2"/>
        <v/>
      </c>
    </row>
    <row r="40" spans="1:10" ht="18.75" x14ac:dyDescent="0.25">
      <c r="A40" s="11" t="s">
        <v>1824</v>
      </c>
      <c r="B40">
        <f>IFERROR(COUNTIFS($A$1:A40,"Câu "&amp;"*")-MID(A40,5,FIND(".",A40,1)-5),0)</f>
        <v>0</v>
      </c>
      <c r="C40" t="b">
        <v>0</v>
      </c>
      <c r="E40" t="str">
        <f t="shared" si="0"/>
        <v>2</v>
      </c>
      <c r="F40" t="str">
        <f t="shared" si="3"/>
        <v>3</v>
      </c>
      <c r="G40" t="str">
        <f t="shared" si="4"/>
        <v>Câu 11.</v>
      </c>
      <c r="H40" t="str">
        <f t="shared" si="5"/>
        <v>1</v>
      </c>
      <c r="I40" t="str">
        <f t="shared" si="1"/>
        <v>2</v>
      </c>
      <c r="J40" t="str">
        <f t="shared" ca="1" si="2"/>
        <v/>
      </c>
    </row>
    <row r="41" spans="1:10" ht="18.75" x14ac:dyDescent="0.25">
      <c r="A41" s="11" t="s">
        <v>1825</v>
      </c>
      <c r="B41">
        <f>IFERROR(COUNTIFS($A$1:A41,"Câu "&amp;"*")-MID(A41,5,FIND(".",A41,1)-5),0)</f>
        <v>0</v>
      </c>
      <c r="C41" t="b">
        <v>1</v>
      </c>
      <c r="E41" t="str">
        <f t="shared" si="0"/>
        <v>3</v>
      </c>
      <c r="F41" t="str">
        <f t="shared" si="3"/>
        <v>Câu 11.</v>
      </c>
      <c r="G41" t="str">
        <f t="shared" si="4"/>
        <v>1</v>
      </c>
      <c r="H41" t="str">
        <f t="shared" si="5"/>
        <v>2</v>
      </c>
      <c r="I41" t="str">
        <f t="shared" si="1"/>
        <v>3</v>
      </c>
      <c r="J41" t="str">
        <f t="shared" ca="1" si="2"/>
        <v/>
      </c>
    </row>
    <row r="42" spans="1:10" ht="18.75" x14ac:dyDescent="0.25">
      <c r="A42" s="10" t="s">
        <v>33</v>
      </c>
      <c r="B42">
        <f>IFERROR(COUNTIFS($A$1:A42,"Câu "&amp;"*")-MID(A42,5,FIND(".",A42,1)-5),0)</f>
        <v>0</v>
      </c>
      <c r="C42" t="b">
        <v>0</v>
      </c>
      <c r="E42" t="str">
        <f t="shared" si="0"/>
        <v>Câu 11.</v>
      </c>
      <c r="F42" t="str">
        <f t="shared" si="3"/>
        <v>1</v>
      </c>
      <c r="G42" t="str">
        <f t="shared" si="4"/>
        <v>2</v>
      </c>
      <c r="H42" t="str">
        <f t="shared" si="5"/>
        <v>3</v>
      </c>
      <c r="I42" t="str">
        <f t="shared" si="1"/>
        <v/>
      </c>
      <c r="J42" t="str">
        <f t="shared" ca="1" si="2"/>
        <v>3</v>
      </c>
    </row>
    <row r="43" spans="1:10" ht="18.75" x14ac:dyDescent="0.25">
      <c r="A43" s="11" t="s">
        <v>1826</v>
      </c>
      <c r="B43">
        <f>IFERROR(COUNTIFS($A$1:A43,"Câu "&amp;"*")-MID(A43,5,FIND(".",A43,1)-5),0)</f>
        <v>0</v>
      </c>
      <c r="C43" t="b">
        <v>0</v>
      </c>
      <c r="E43" t="str">
        <f t="shared" si="0"/>
        <v>1</v>
      </c>
      <c r="F43" t="str">
        <f t="shared" si="3"/>
        <v>2</v>
      </c>
      <c r="G43" t="str">
        <f t="shared" si="4"/>
        <v>3</v>
      </c>
      <c r="H43" t="str">
        <f t="shared" si="5"/>
        <v/>
      </c>
      <c r="I43" t="str">
        <f t="shared" si="1"/>
        <v>1</v>
      </c>
      <c r="J43" t="str">
        <f t="shared" ca="1" si="2"/>
        <v/>
      </c>
    </row>
    <row r="44" spans="1:10" ht="18.75" x14ac:dyDescent="0.25">
      <c r="A44" s="11" t="s">
        <v>1827</v>
      </c>
      <c r="B44">
        <f>IFERROR(COUNTIFS($A$1:A44,"Câu "&amp;"*")-MID(A44,5,FIND(".",A44,1)-5),0)</f>
        <v>0</v>
      </c>
      <c r="C44" t="b">
        <v>0</v>
      </c>
      <c r="E44" t="str">
        <f t="shared" si="0"/>
        <v>2</v>
      </c>
      <c r="F44" t="str">
        <f t="shared" si="3"/>
        <v>3</v>
      </c>
      <c r="G44" t="str">
        <f t="shared" si="4"/>
        <v>Câu 12.</v>
      </c>
      <c r="H44" t="str">
        <f t="shared" si="5"/>
        <v>1</v>
      </c>
      <c r="I44" t="str">
        <f t="shared" si="1"/>
        <v>2</v>
      </c>
      <c r="J44" t="str">
        <f t="shared" ca="1" si="2"/>
        <v/>
      </c>
    </row>
    <row r="45" spans="1:10" ht="18.75" x14ac:dyDescent="0.25">
      <c r="A45" s="11" t="s">
        <v>1825</v>
      </c>
      <c r="B45">
        <f>IFERROR(COUNTIFS($A$1:A45,"Câu "&amp;"*")-MID(A45,5,FIND(".",A45,1)-5),0)</f>
        <v>0</v>
      </c>
      <c r="C45" t="b">
        <v>1</v>
      </c>
      <c r="E45" t="str">
        <f t="shared" si="0"/>
        <v>3</v>
      </c>
      <c r="F45" t="str">
        <f t="shared" si="3"/>
        <v>Câu 12.</v>
      </c>
      <c r="G45" t="str">
        <f t="shared" si="4"/>
        <v>1</v>
      </c>
      <c r="H45" t="str">
        <f t="shared" si="5"/>
        <v>2</v>
      </c>
      <c r="I45" t="str">
        <f t="shared" si="1"/>
        <v>3</v>
      </c>
      <c r="J45" t="str">
        <f t="shared" ca="1" si="2"/>
        <v/>
      </c>
    </row>
    <row r="46" spans="1:10" ht="18.75" x14ac:dyDescent="0.25">
      <c r="A46" s="10" t="s">
        <v>36</v>
      </c>
      <c r="B46">
        <f>IFERROR(COUNTIFS($A$1:A46,"Câu "&amp;"*")-MID(A46,5,FIND(".",A46,1)-5),0)</f>
        <v>0</v>
      </c>
      <c r="C46" t="b">
        <v>0</v>
      </c>
      <c r="E46" t="str">
        <f t="shared" si="0"/>
        <v>Câu 12.</v>
      </c>
      <c r="F46" t="str">
        <f t="shared" si="3"/>
        <v>1</v>
      </c>
      <c r="G46" t="str">
        <f t="shared" si="4"/>
        <v>2</v>
      </c>
      <c r="H46" t="str">
        <f t="shared" si="5"/>
        <v>3</v>
      </c>
      <c r="I46" t="str">
        <f t="shared" si="1"/>
        <v/>
      </c>
      <c r="J46" t="str">
        <f t="shared" ca="1" si="2"/>
        <v>3</v>
      </c>
    </row>
    <row r="47" spans="1:10" ht="18.75" x14ac:dyDescent="0.25">
      <c r="A47" s="11" t="s">
        <v>1828</v>
      </c>
      <c r="B47">
        <f>IFERROR(COUNTIFS($A$1:A47,"Câu "&amp;"*")-MID(A47,5,FIND(".",A47,1)-5),0)</f>
        <v>0</v>
      </c>
      <c r="C47" t="b">
        <v>0</v>
      </c>
      <c r="E47" t="str">
        <f t="shared" si="0"/>
        <v>1</v>
      </c>
      <c r="F47" t="str">
        <f t="shared" si="3"/>
        <v>2</v>
      </c>
      <c r="G47" t="str">
        <f t="shared" si="4"/>
        <v>3</v>
      </c>
      <c r="H47" t="str">
        <f t="shared" si="5"/>
        <v/>
      </c>
      <c r="I47" t="str">
        <f t="shared" si="1"/>
        <v>1</v>
      </c>
      <c r="J47" t="str">
        <f t="shared" ca="1" si="2"/>
        <v/>
      </c>
    </row>
    <row r="48" spans="1:10" ht="18.75" x14ac:dyDescent="0.25">
      <c r="A48" s="11" t="s">
        <v>1829</v>
      </c>
      <c r="B48">
        <f>IFERROR(COUNTIFS($A$1:A48,"Câu "&amp;"*")-MID(A48,5,FIND(".",A48,1)-5),0)</f>
        <v>0</v>
      </c>
      <c r="C48" t="b">
        <v>0</v>
      </c>
      <c r="E48" t="str">
        <f t="shared" si="0"/>
        <v>2</v>
      </c>
      <c r="F48" t="str">
        <f t="shared" si="3"/>
        <v>3</v>
      </c>
      <c r="G48" t="str">
        <f t="shared" si="4"/>
        <v>Câu 13.</v>
      </c>
      <c r="H48" t="str">
        <f t="shared" si="5"/>
        <v>1</v>
      </c>
      <c r="I48" t="str">
        <f t="shared" si="1"/>
        <v>2</v>
      </c>
      <c r="J48" t="str">
        <f t="shared" ca="1" si="2"/>
        <v/>
      </c>
    </row>
    <row r="49" spans="1:10" ht="18.75" x14ac:dyDescent="0.25">
      <c r="A49" s="11" t="s">
        <v>1825</v>
      </c>
      <c r="B49">
        <f>IFERROR(COUNTIFS($A$1:A49,"Câu "&amp;"*")-MID(A49,5,FIND(".",A49,1)-5),0)</f>
        <v>0</v>
      </c>
      <c r="C49" t="b">
        <v>1</v>
      </c>
      <c r="E49" t="str">
        <f t="shared" si="0"/>
        <v>3</v>
      </c>
      <c r="F49" t="str">
        <f t="shared" si="3"/>
        <v>Câu 13.</v>
      </c>
      <c r="G49" t="str">
        <f t="shared" si="4"/>
        <v>1</v>
      </c>
      <c r="H49" t="str">
        <f t="shared" si="5"/>
        <v>2</v>
      </c>
      <c r="I49" t="str">
        <f t="shared" si="1"/>
        <v>3</v>
      </c>
      <c r="J49" t="str">
        <f t="shared" ca="1" si="2"/>
        <v/>
      </c>
    </row>
    <row r="50" spans="1:10" ht="18.75" x14ac:dyDescent="0.25">
      <c r="A50" s="10" t="s">
        <v>39</v>
      </c>
      <c r="B50">
        <f>IFERROR(COUNTIFS($A$1:A50,"Câu "&amp;"*")-MID(A50,5,FIND(".",A50,1)-5),0)</f>
        <v>0</v>
      </c>
      <c r="C50" t="b">
        <v>0</v>
      </c>
      <c r="E50" t="str">
        <f t="shared" si="0"/>
        <v>Câu 13.</v>
      </c>
      <c r="F50" t="str">
        <f t="shared" si="3"/>
        <v>1</v>
      </c>
      <c r="G50" t="str">
        <f t="shared" si="4"/>
        <v>2</v>
      </c>
      <c r="H50" t="str">
        <f t="shared" si="5"/>
        <v>3</v>
      </c>
      <c r="I50" t="str">
        <f t="shared" si="1"/>
        <v/>
      </c>
      <c r="J50" t="str">
        <f t="shared" ca="1" si="2"/>
        <v>2</v>
      </c>
    </row>
    <row r="51" spans="1:10" ht="18.75" x14ac:dyDescent="0.25">
      <c r="A51" s="11" t="s">
        <v>1830</v>
      </c>
      <c r="B51">
        <f>IFERROR(COUNTIFS($A$1:A51,"Câu "&amp;"*")-MID(A51,5,FIND(".",A51,1)-5),0)</f>
        <v>0</v>
      </c>
      <c r="C51" t="b">
        <v>0</v>
      </c>
      <c r="E51" t="str">
        <f t="shared" si="0"/>
        <v>1</v>
      </c>
      <c r="F51" t="str">
        <f t="shared" si="3"/>
        <v>2</v>
      </c>
      <c r="G51" t="str">
        <f t="shared" si="4"/>
        <v>3</v>
      </c>
      <c r="H51" t="str">
        <f t="shared" si="5"/>
        <v/>
      </c>
      <c r="I51" t="str">
        <f t="shared" si="1"/>
        <v>1</v>
      </c>
      <c r="J51" t="str">
        <f t="shared" ca="1" si="2"/>
        <v/>
      </c>
    </row>
    <row r="52" spans="1:10" ht="18.75" x14ac:dyDescent="0.25">
      <c r="A52" s="11" t="s">
        <v>1831</v>
      </c>
      <c r="B52">
        <f>IFERROR(COUNTIFS($A$1:A52,"Câu "&amp;"*")-MID(A52,5,FIND(".",A52,1)-5),0)</f>
        <v>0</v>
      </c>
      <c r="C52" t="b">
        <v>1</v>
      </c>
      <c r="E52" t="str">
        <f t="shared" si="0"/>
        <v>2</v>
      </c>
      <c r="F52" t="str">
        <f t="shared" si="3"/>
        <v>3</v>
      </c>
      <c r="G52" t="str">
        <f t="shared" si="4"/>
        <v>Câu 14.</v>
      </c>
      <c r="H52" t="str">
        <f t="shared" si="5"/>
        <v>1</v>
      </c>
      <c r="I52" t="str">
        <f t="shared" si="1"/>
        <v>2</v>
      </c>
      <c r="J52" t="str">
        <f t="shared" ca="1" si="2"/>
        <v/>
      </c>
    </row>
    <row r="53" spans="1:10" ht="18.75" x14ac:dyDescent="0.25">
      <c r="A53" s="11" t="s">
        <v>1832</v>
      </c>
      <c r="B53">
        <f>IFERROR(COUNTIFS($A$1:A53,"Câu "&amp;"*")-MID(A53,5,FIND(".",A53,1)-5),0)</f>
        <v>0</v>
      </c>
      <c r="C53" t="b">
        <v>0</v>
      </c>
      <c r="E53" t="str">
        <f t="shared" si="0"/>
        <v>3</v>
      </c>
      <c r="F53" t="str">
        <f t="shared" si="3"/>
        <v>Câu 14.</v>
      </c>
      <c r="G53" t="str">
        <f t="shared" si="4"/>
        <v>1</v>
      </c>
      <c r="H53" t="str">
        <f t="shared" si="5"/>
        <v>2</v>
      </c>
      <c r="I53" t="str">
        <f t="shared" si="1"/>
        <v>3</v>
      </c>
      <c r="J53" t="str">
        <f t="shared" ca="1" si="2"/>
        <v/>
      </c>
    </row>
    <row r="54" spans="1:10" ht="18.75" x14ac:dyDescent="0.25">
      <c r="A54" s="10" t="s">
        <v>43</v>
      </c>
      <c r="B54">
        <f>IFERROR(COUNTIFS($A$1:A54,"Câu "&amp;"*")-MID(A54,5,FIND(".",A54,1)-5),0)</f>
        <v>0</v>
      </c>
      <c r="C54" t="b">
        <v>0</v>
      </c>
      <c r="E54" t="str">
        <f t="shared" si="0"/>
        <v>Câu 14.</v>
      </c>
      <c r="F54" t="str">
        <f t="shared" si="3"/>
        <v>1</v>
      </c>
      <c r="G54" t="str">
        <f t="shared" si="4"/>
        <v>2</v>
      </c>
      <c r="H54" t="str">
        <f t="shared" si="5"/>
        <v>3</v>
      </c>
      <c r="I54" t="str">
        <f t="shared" si="1"/>
        <v/>
      </c>
      <c r="J54" t="str">
        <f t="shared" ca="1" si="2"/>
        <v>2</v>
      </c>
    </row>
    <row r="55" spans="1:10" ht="337.5" x14ac:dyDescent="0.25">
      <c r="A55" s="3" t="s">
        <v>1833</v>
      </c>
      <c r="B55">
        <f>IFERROR(COUNTIFS($A$1:A55,"Câu "&amp;"*")-MID(A55,5,FIND(".",A55,1)-5),0)</f>
        <v>0</v>
      </c>
      <c r="C55" t="b">
        <v>0</v>
      </c>
      <c r="E55" t="str">
        <f t="shared" si="0"/>
        <v>1</v>
      </c>
      <c r="F55" t="str">
        <f t="shared" si="3"/>
        <v>2</v>
      </c>
      <c r="G55" t="str">
        <f t="shared" si="4"/>
        <v>3</v>
      </c>
      <c r="H55" t="str">
        <f t="shared" si="5"/>
        <v/>
      </c>
      <c r="I55" t="str">
        <f t="shared" si="1"/>
        <v>1</v>
      </c>
      <c r="J55" t="str">
        <f t="shared" ca="1" si="2"/>
        <v/>
      </c>
    </row>
    <row r="56" spans="1:10" ht="409.5" x14ac:dyDescent="0.25">
      <c r="A56" s="3" t="s">
        <v>1834</v>
      </c>
      <c r="B56">
        <f>IFERROR(COUNTIFS($A$1:A56,"Câu "&amp;"*")-MID(A56,5,FIND(".",A56,1)-5),0)</f>
        <v>0</v>
      </c>
      <c r="C56" t="b">
        <v>1</v>
      </c>
      <c r="E56" t="str">
        <f t="shared" si="0"/>
        <v>2</v>
      </c>
      <c r="F56" t="str">
        <f t="shared" si="3"/>
        <v>3</v>
      </c>
      <c r="G56" t="str">
        <f t="shared" si="4"/>
        <v>Câu 15.</v>
      </c>
      <c r="H56" t="str">
        <f t="shared" si="5"/>
        <v>1</v>
      </c>
      <c r="I56" t="str">
        <f t="shared" si="1"/>
        <v>2</v>
      </c>
      <c r="J56" t="str">
        <f t="shared" ca="1" si="2"/>
        <v/>
      </c>
    </row>
    <row r="57" spans="1:10" ht="262.5" x14ac:dyDescent="0.25">
      <c r="A57" s="3" t="s">
        <v>1835</v>
      </c>
      <c r="B57">
        <f>IFERROR(COUNTIFS($A$1:A57,"Câu "&amp;"*")-MID(A57,5,FIND(".",A57,1)-5),0)</f>
        <v>0</v>
      </c>
      <c r="C57" t="b">
        <v>0</v>
      </c>
      <c r="E57" t="str">
        <f t="shared" si="0"/>
        <v>3</v>
      </c>
      <c r="F57" t="str">
        <f t="shared" si="3"/>
        <v>Câu 15.</v>
      </c>
      <c r="G57" t="str">
        <f t="shared" si="4"/>
        <v>1</v>
      </c>
      <c r="H57" t="str">
        <f t="shared" si="5"/>
        <v>2</v>
      </c>
      <c r="I57" t="str">
        <f t="shared" si="1"/>
        <v/>
      </c>
      <c r="J57" t="str">
        <f t="shared" ca="1" si="2"/>
        <v/>
      </c>
    </row>
    <row r="58" spans="1:10" ht="131.25" x14ac:dyDescent="0.25">
      <c r="A58" s="4" t="s">
        <v>47</v>
      </c>
      <c r="B58">
        <f>IFERROR(COUNTIFS($A$1:A58,"Câu "&amp;"*")-MID(A58,5,FIND(".",A58,1)-5),0)</f>
        <v>0</v>
      </c>
      <c r="C58" t="b">
        <v>0</v>
      </c>
      <c r="E58" t="str">
        <f t="shared" si="0"/>
        <v>Câu 15.</v>
      </c>
      <c r="F58" t="str">
        <f t="shared" si="3"/>
        <v>1</v>
      </c>
      <c r="G58" t="str">
        <f t="shared" si="4"/>
        <v>2</v>
      </c>
      <c r="H58" t="str">
        <f t="shared" si="5"/>
        <v/>
      </c>
      <c r="I58" t="str">
        <f t="shared" si="1"/>
        <v>1</v>
      </c>
      <c r="J58" t="str">
        <f t="shared" ca="1" si="2"/>
        <v>2</v>
      </c>
    </row>
    <row r="59" spans="1:10" ht="409.5" x14ac:dyDescent="0.25">
      <c r="A59" s="3" t="s">
        <v>1836</v>
      </c>
      <c r="B59">
        <f>IFERROR(COUNTIFS($A$1:A59,"Câu "&amp;"*")-MID(A59,5,FIND(".",A59,1)-5),0)</f>
        <v>0</v>
      </c>
      <c r="C59" t="b">
        <v>0</v>
      </c>
      <c r="E59" t="str">
        <f t="shared" si="0"/>
        <v>1</v>
      </c>
      <c r="F59" t="str">
        <f t="shared" si="3"/>
        <v>2</v>
      </c>
      <c r="G59" t="str">
        <f t="shared" si="4"/>
        <v>Câu 16.</v>
      </c>
      <c r="H59" t="str">
        <f t="shared" si="5"/>
        <v>1</v>
      </c>
      <c r="I59" t="str">
        <f t="shared" si="1"/>
        <v>2</v>
      </c>
      <c r="J59" t="str">
        <f t="shared" ca="1" si="2"/>
        <v/>
      </c>
    </row>
    <row r="60" spans="1:10" ht="409.5" x14ac:dyDescent="0.25">
      <c r="A60" s="3" t="s">
        <v>1837</v>
      </c>
      <c r="B60">
        <f>IFERROR(COUNTIFS($A$1:A60,"Câu "&amp;"*")-MID(A60,5,FIND(".",A60,1)-5),0)</f>
        <v>0</v>
      </c>
      <c r="C60" t="b">
        <v>1</v>
      </c>
      <c r="E60" t="str">
        <f t="shared" si="0"/>
        <v>2</v>
      </c>
      <c r="F60" t="str">
        <f t="shared" si="3"/>
        <v>Câu 16.</v>
      </c>
      <c r="G60" t="str">
        <f t="shared" si="4"/>
        <v>1</v>
      </c>
      <c r="H60" t="str">
        <f t="shared" si="5"/>
        <v>2</v>
      </c>
      <c r="I60" t="str">
        <f t="shared" si="1"/>
        <v/>
      </c>
      <c r="J60" t="str">
        <f t="shared" ca="1" si="2"/>
        <v/>
      </c>
    </row>
    <row r="61" spans="1:10" ht="150" x14ac:dyDescent="0.25">
      <c r="A61" s="4" t="s">
        <v>50</v>
      </c>
      <c r="B61">
        <f>IFERROR(COUNTIFS($A$1:A61,"Câu "&amp;"*")-MID(A61,5,FIND(".",A61,1)-5),0)</f>
        <v>0</v>
      </c>
      <c r="C61" t="b">
        <v>0</v>
      </c>
      <c r="E61" t="str">
        <f t="shared" si="0"/>
        <v>Câu 16.</v>
      </c>
      <c r="F61" t="str">
        <f t="shared" si="3"/>
        <v>1</v>
      </c>
      <c r="G61" t="str">
        <f t="shared" si="4"/>
        <v>2</v>
      </c>
      <c r="H61" t="str">
        <f t="shared" si="5"/>
        <v/>
      </c>
      <c r="I61" t="str">
        <f t="shared" si="1"/>
        <v>1</v>
      </c>
      <c r="J61" t="str">
        <f t="shared" ca="1" si="2"/>
        <v>1</v>
      </c>
    </row>
    <row r="62" spans="1:10" ht="409.5" x14ac:dyDescent="0.25">
      <c r="A62" s="3" t="s">
        <v>1838</v>
      </c>
      <c r="B62">
        <f>IFERROR(COUNTIFS($A$1:A62,"Câu "&amp;"*")-MID(A62,5,FIND(".",A62,1)-5),0)</f>
        <v>0</v>
      </c>
      <c r="C62" t="b">
        <v>1</v>
      </c>
      <c r="E62" t="str">
        <f t="shared" si="0"/>
        <v>1</v>
      </c>
      <c r="F62" t="str">
        <f t="shared" si="3"/>
        <v>2</v>
      </c>
      <c r="G62" t="str">
        <f t="shared" si="4"/>
        <v>Câu 17.</v>
      </c>
      <c r="H62" t="str">
        <f t="shared" si="5"/>
        <v>1</v>
      </c>
      <c r="I62" t="str">
        <f t="shared" si="1"/>
        <v>2</v>
      </c>
      <c r="J62" t="str">
        <f t="shared" ca="1" si="2"/>
        <v/>
      </c>
    </row>
    <row r="63" spans="1:10" ht="409.5" x14ac:dyDescent="0.25">
      <c r="A63" s="3" t="s">
        <v>1839</v>
      </c>
      <c r="B63">
        <f>IFERROR(COUNTIFS($A$1:A63,"Câu "&amp;"*")-MID(A63,5,FIND(".",A63,1)-5),0)</f>
        <v>0</v>
      </c>
      <c r="C63" t="b">
        <v>0</v>
      </c>
      <c r="E63" t="str">
        <f t="shared" si="0"/>
        <v>2</v>
      </c>
      <c r="F63" t="str">
        <f t="shared" si="3"/>
        <v>Câu 17.</v>
      </c>
      <c r="G63" t="str">
        <f t="shared" si="4"/>
        <v>1</v>
      </c>
      <c r="H63" t="str">
        <f t="shared" si="5"/>
        <v>2</v>
      </c>
      <c r="I63" t="str">
        <f t="shared" si="1"/>
        <v/>
      </c>
      <c r="J63" t="str">
        <f t="shared" ca="1" si="2"/>
        <v/>
      </c>
    </row>
    <row r="64" spans="1:10" ht="187.5" x14ac:dyDescent="0.25">
      <c r="A64" s="4" t="s">
        <v>53</v>
      </c>
      <c r="B64">
        <f>IFERROR(COUNTIFS($A$1:A64,"Câu "&amp;"*")-MID(A64,5,FIND(".",A64,1)-5),0)</f>
        <v>0</v>
      </c>
      <c r="C64" t="b">
        <v>0</v>
      </c>
      <c r="E64" t="str">
        <f t="shared" si="0"/>
        <v>Câu 17.</v>
      </c>
      <c r="F64" t="str">
        <f t="shared" si="3"/>
        <v>1</v>
      </c>
      <c r="G64" t="str">
        <f t="shared" si="4"/>
        <v>2</v>
      </c>
      <c r="H64" t="str">
        <f t="shared" si="5"/>
        <v/>
      </c>
      <c r="I64" t="str">
        <f t="shared" si="1"/>
        <v>1</v>
      </c>
      <c r="J64" t="str">
        <f t="shared" ca="1" si="2"/>
        <v>1</v>
      </c>
    </row>
    <row r="65" spans="1:10" ht="409.5" x14ac:dyDescent="0.25">
      <c r="A65" s="3" t="s">
        <v>1840</v>
      </c>
      <c r="B65">
        <f>IFERROR(COUNTIFS($A$1:A65,"Câu "&amp;"*")-MID(A65,5,FIND(".",A65,1)-5),0)</f>
        <v>0</v>
      </c>
      <c r="C65" t="b">
        <v>1</v>
      </c>
      <c r="E65" t="str">
        <f t="shared" si="0"/>
        <v>1</v>
      </c>
      <c r="F65" t="str">
        <f t="shared" si="3"/>
        <v>2</v>
      </c>
      <c r="G65" t="str">
        <f t="shared" si="4"/>
        <v>Câu 18.</v>
      </c>
      <c r="H65" t="str">
        <f t="shared" si="5"/>
        <v>1</v>
      </c>
      <c r="I65" t="str">
        <f t="shared" si="1"/>
        <v>2</v>
      </c>
      <c r="J65" t="str">
        <f t="shared" ca="1" si="2"/>
        <v/>
      </c>
    </row>
    <row r="66" spans="1:10" ht="409.5" x14ac:dyDescent="0.25">
      <c r="A66" s="3" t="s">
        <v>1841</v>
      </c>
      <c r="B66">
        <f>IFERROR(COUNTIFS($A$1:A66,"Câu "&amp;"*")-MID(A66,5,FIND(".",A66,1)-5),0)</f>
        <v>0</v>
      </c>
      <c r="C66" t="b">
        <v>0</v>
      </c>
      <c r="E66" t="str">
        <f t="shared" si="0"/>
        <v>2</v>
      </c>
      <c r="F66" t="str">
        <f t="shared" si="3"/>
        <v>Câu 18.</v>
      </c>
      <c r="G66" t="str">
        <f t="shared" si="4"/>
        <v>1</v>
      </c>
      <c r="H66" t="str">
        <f t="shared" si="5"/>
        <v>2</v>
      </c>
      <c r="I66" t="str">
        <f t="shared" si="1"/>
        <v>3</v>
      </c>
      <c r="J66" t="str">
        <f t="shared" ca="1" si="2"/>
        <v/>
      </c>
    </row>
    <row r="67" spans="1:10" ht="225" x14ac:dyDescent="0.25">
      <c r="A67" s="4" t="s">
        <v>56</v>
      </c>
      <c r="B67">
        <f>IFERROR(COUNTIFS($A$1:A67,"Câu "&amp;"*")-MID(A67,5,FIND(".",A67,1)-5),0)</f>
        <v>0</v>
      </c>
      <c r="C67" t="b">
        <v>0</v>
      </c>
      <c r="E67" t="str">
        <f t="shared" ref="E67:E130" si="6">IF(LEFT(A67,3)="Câu",LEFT(A67,FIND(".",A67,1)),LEFT(A67,1))</f>
        <v>Câu 18.</v>
      </c>
      <c r="F67" t="str">
        <f t="shared" ref="F67:F130" si="7">IF(LEFT(A68,3)="Câu",LEFT(A68,FIND(".",A68,1)),LEFT(A68,1))</f>
        <v>1</v>
      </c>
      <c r="G67" t="str">
        <f t="shared" ref="G67:G130" si="8">IF(LEFT(A69,3)="Câu",LEFT(A69,FIND(".",A69,1)),LEFT(A69,1))</f>
        <v>2</v>
      </c>
      <c r="H67" t="str">
        <f t="shared" ref="H67:H130" si="9">IF(LEFT(A70,3)="Câu","",LEFT(A70,1))</f>
        <v>3</v>
      </c>
      <c r="I67" t="str">
        <f t="shared" ref="I67:I130" si="10">IF(LEFT(A71,3)="Câu","",LEFT(A71,1))</f>
        <v/>
      </c>
      <c r="J67" t="str">
        <f t="shared" ref="J67:J130" ca="1" si="11">IFERROR(VLOOKUP(TRUE,INDIRECT("C"&amp;MATCH(E67,$E$1:$E$2471,0)&amp;":E"&amp;MATCH("Câu "&amp;VALUE(MID(E67,5,LEN(E67)-5))+1&amp;".",$E$1:$E$2471,0)),3,0),"")</f>
        <v>1</v>
      </c>
    </row>
    <row r="68" spans="1:10" ht="409.5" x14ac:dyDescent="0.25">
      <c r="A68" s="3" t="s">
        <v>1842</v>
      </c>
      <c r="B68">
        <f>IFERROR(COUNTIFS($A$1:A68,"Câu "&amp;"*")-MID(A68,5,FIND(".",A68,1)-5),0)</f>
        <v>0</v>
      </c>
      <c r="C68" t="b">
        <v>1</v>
      </c>
      <c r="E68" t="str">
        <f t="shared" si="6"/>
        <v>1</v>
      </c>
      <c r="F68" t="str">
        <f t="shared" si="7"/>
        <v>2</v>
      </c>
      <c r="G68" t="str">
        <f t="shared" si="8"/>
        <v>3</v>
      </c>
      <c r="H68" t="str">
        <f t="shared" si="9"/>
        <v/>
      </c>
      <c r="I68" t="str">
        <f t="shared" si="10"/>
        <v>1</v>
      </c>
      <c r="J68" t="str">
        <f t="shared" ca="1" si="11"/>
        <v/>
      </c>
    </row>
    <row r="69" spans="1:10" ht="409.5" x14ac:dyDescent="0.25">
      <c r="A69" s="3" t="s">
        <v>1843</v>
      </c>
      <c r="B69">
        <f>IFERROR(COUNTIFS($A$1:A69,"Câu "&amp;"*")-MID(A69,5,FIND(".",A69,1)-5),0)</f>
        <v>0</v>
      </c>
      <c r="C69" t="b">
        <v>0</v>
      </c>
      <c r="E69" t="str">
        <f t="shared" si="6"/>
        <v>2</v>
      </c>
      <c r="F69" t="str">
        <f t="shared" si="7"/>
        <v>3</v>
      </c>
      <c r="G69" t="str">
        <f t="shared" si="8"/>
        <v>Câu 19.</v>
      </c>
      <c r="H69" t="str">
        <f t="shared" si="9"/>
        <v>1</v>
      </c>
      <c r="I69" t="str">
        <f t="shared" si="10"/>
        <v>2</v>
      </c>
      <c r="J69" t="str">
        <f t="shared" ca="1" si="11"/>
        <v/>
      </c>
    </row>
    <row r="70" spans="1:10" ht="409.5" x14ac:dyDescent="0.25">
      <c r="A70" s="3" t="s">
        <v>1844</v>
      </c>
      <c r="B70">
        <f>IFERROR(COUNTIFS($A$1:A70,"Câu "&amp;"*")-MID(A70,5,FIND(".",A70,1)-5),0)</f>
        <v>0</v>
      </c>
      <c r="C70" t="b">
        <v>0</v>
      </c>
      <c r="E70" t="str">
        <f t="shared" si="6"/>
        <v>3</v>
      </c>
      <c r="F70" t="str">
        <f t="shared" si="7"/>
        <v>Câu 19.</v>
      </c>
      <c r="G70" t="str">
        <f t="shared" si="8"/>
        <v>1</v>
      </c>
      <c r="H70" t="str">
        <f t="shared" si="9"/>
        <v>2</v>
      </c>
      <c r="I70" t="str">
        <f t="shared" si="10"/>
        <v>3</v>
      </c>
      <c r="J70" t="str">
        <f t="shared" ca="1" si="11"/>
        <v/>
      </c>
    </row>
    <row r="71" spans="1:10" ht="131.25" x14ac:dyDescent="0.25">
      <c r="A71" s="4" t="s">
        <v>60</v>
      </c>
      <c r="B71">
        <f>IFERROR(COUNTIFS($A$1:A71,"Câu "&amp;"*")-MID(A71,5,FIND(".",A71,1)-5),0)</f>
        <v>0</v>
      </c>
      <c r="C71" t="b">
        <v>0</v>
      </c>
      <c r="E71" t="str">
        <f t="shared" si="6"/>
        <v>Câu 19.</v>
      </c>
      <c r="F71" t="str">
        <f t="shared" si="7"/>
        <v>1</v>
      </c>
      <c r="G71" t="str">
        <f t="shared" si="8"/>
        <v>2</v>
      </c>
      <c r="H71" t="str">
        <f t="shared" si="9"/>
        <v>3</v>
      </c>
      <c r="I71" t="str">
        <f t="shared" si="10"/>
        <v/>
      </c>
      <c r="J71" t="str">
        <f t="shared" ca="1" si="11"/>
        <v>2</v>
      </c>
    </row>
    <row r="72" spans="1:10" ht="18.75" x14ac:dyDescent="0.25">
      <c r="A72" s="11" t="s">
        <v>1845</v>
      </c>
      <c r="B72">
        <f>IFERROR(COUNTIFS($A$1:A72,"Câu "&amp;"*")-MID(A72,5,FIND(".",A72,1)-5),0)</f>
        <v>0</v>
      </c>
      <c r="C72" t="b">
        <v>0</v>
      </c>
      <c r="E72" t="str">
        <f t="shared" si="6"/>
        <v>1</v>
      </c>
      <c r="F72" t="str">
        <f t="shared" si="7"/>
        <v>2</v>
      </c>
      <c r="G72" t="str">
        <f t="shared" si="8"/>
        <v>3</v>
      </c>
      <c r="H72" t="str">
        <f t="shared" si="9"/>
        <v/>
      </c>
      <c r="I72" t="str">
        <f t="shared" si="10"/>
        <v>1</v>
      </c>
      <c r="J72" t="str">
        <f t="shared" ca="1" si="11"/>
        <v/>
      </c>
    </row>
    <row r="73" spans="1:10" ht="18.75" x14ac:dyDescent="0.25">
      <c r="A73" s="11" t="s">
        <v>1846</v>
      </c>
      <c r="B73">
        <f>IFERROR(COUNTIFS($A$1:A73,"Câu "&amp;"*")-MID(A73,5,FIND(".",A73,1)-5),0)</f>
        <v>0</v>
      </c>
      <c r="C73" t="b">
        <v>1</v>
      </c>
      <c r="E73" t="str">
        <f t="shared" si="6"/>
        <v>2</v>
      </c>
      <c r="F73" t="str">
        <f t="shared" si="7"/>
        <v>3</v>
      </c>
      <c r="G73" t="str">
        <f t="shared" si="8"/>
        <v>Câu 20.</v>
      </c>
      <c r="H73" t="str">
        <f t="shared" si="9"/>
        <v>1</v>
      </c>
      <c r="I73" t="str">
        <f t="shared" si="10"/>
        <v>2</v>
      </c>
      <c r="J73" t="str">
        <f t="shared" ca="1" si="11"/>
        <v/>
      </c>
    </row>
    <row r="74" spans="1:10" ht="18.75" x14ac:dyDescent="0.25">
      <c r="A74" s="11" t="s">
        <v>1814</v>
      </c>
      <c r="B74">
        <f>IFERROR(COUNTIFS($A$1:A74,"Câu "&amp;"*")-MID(A74,5,FIND(".",A74,1)-5),0)</f>
        <v>0</v>
      </c>
      <c r="C74" t="b">
        <v>0</v>
      </c>
      <c r="E74" t="str">
        <f t="shared" si="6"/>
        <v>3</v>
      </c>
      <c r="F74" t="str">
        <f t="shared" si="7"/>
        <v>Câu 20.</v>
      </c>
      <c r="G74" t="str">
        <f t="shared" si="8"/>
        <v>1</v>
      </c>
      <c r="H74" t="str">
        <f t="shared" si="9"/>
        <v>2</v>
      </c>
      <c r="I74" t="str">
        <f t="shared" si="10"/>
        <v>3</v>
      </c>
      <c r="J74" t="str">
        <f t="shared" ca="1" si="11"/>
        <v/>
      </c>
    </row>
    <row r="75" spans="1:10" ht="18.75" x14ac:dyDescent="0.25">
      <c r="A75" s="10" t="s">
        <v>63</v>
      </c>
      <c r="B75">
        <f>IFERROR(COUNTIFS($A$1:A75,"Câu "&amp;"*")-MID(A75,5,FIND(".",A75,1)-5),0)</f>
        <v>0</v>
      </c>
      <c r="C75" t="b">
        <v>0</v>
      </c>
      <c r="E75" t="str">
        <f t="shared" si="6"/>
        <v>Câu 20.</v>
      </c>
      <c r="F75" t="str">
        <f t="shared" si="7"/>
        <v>1</v>
      </c>
      <c r="G75" t="str">
        <f t="shared" si="8"/>
        <v>2</v>
      </c>
      <c r="H75" t="str">
        <f t="shared" si="9"/>
        <v>3</v>
      </c>
      <c r="I75" t="str">
        <f t="shared" si="10"/>
        <v/>
      </c>
      <c r="J75" t="str">
        <f t="shared" ca="1" si="11"/>
        <v>3</v>
      </c>
    </row>
    <row r="76" spans="1:10" ht="18.75" x14ac:dyDescent="0.25">
      <c r="A76" s="11" t="s">
        <v>1847</v>
      </c>
      <c r="B76">
        <f>IFERROR(COUNTIFS($A$1:A76,"Câu "&amp;"*")-MID(A76,5,FIND(".",A76,1)-5),0)</f>
        <v>0</v>
      </c>
      <c r="C76" t="b">
        <v>0</v>
      </c>
      <c r="E76" t="str">
        <f t="shared" si="6"/>
        <v>1</v>
      </c>
      <c r="F76" t="str">
        <f t="shared" si="7"/>
        <v>2</v>
      </c>
      <c r="G76" t="str">
        <f t="shared" si="8"/>
        <v>3</v>
      </c>
      <c r="H76" t="str">
        <f t="shared" si="9"/>
        <v/>
      </c>
      <c r="I76" t="str">
        <f t="shared" si="10"/>
        <v>1</v>
      </c>
      <c r="J76" t="str">
        <f t="shared" ca="1" si="11"/>
        <v/>
      </c>
    </row>
    <row r="77" spans="1:10" ht="18.75" x14ac:dyDescent="0.25">
      <c r="A77" s="11" t="s">
        <v>1848</v>
      </c>
      <c r="B77">
        <f>IFERROR(COUNTIFS($A$1:A77,"Câu "&amp;"*")-MID(A77,5,FIND(".",A77,1)-5),0)</f>
        <v>0</v>
      </c>
      <c r="C77" t="b">
        <v>0</v>
      </c>
      <c r="E77" t="str">
        <f t="shared" si="6"/>
        <v>2</v>
      </c>
      <c r="F77" t="str">
        <f t="shared" si="7"/>
        <v>3</v>
      </c>
      <c r="G77" t="str">
        <f t="shared" si="8"/>
        <v>Câu 21.</v>
      </c>
      <c r="H77" t="str">
        <f t="shared" si="9"/>
        <v>1</v>
      </c>
      <c r="I77" t="str">
        <f t="shared" si="10"/>
        <v>2</v>
      </c>
      <c r="J77" t="str">
        <f t="shared" ca="1" si="11"/>
        <v/>
      </c>
    </row>
    <row r="78" spans="1:10" ht="18.75" x14ac:dyDescent="0.25">
      <c r="A78" s="11" t="s">
        <v>1825</v>
      </c>
      <c r="B78">
        <f>IFERROR(COUNTIFS($A$1:A78,"Câu "&amp;"*")-MID(A78,5,FIND(".",A78,1)-5),0)</f>
        <v>0</v>
      </c>
      <c r="C78" t="b">
        <v>1</v>
      </c>
      <c r="E78" t="str">
        <f t="shared" si="6"/>
        <v>3</v>
      </c>
      <c r="F78" t="str">
        <f t="shared" si="7"/>
        <v>Câu 21.</v>
      </c>
      <c r="G78" t="str">
        <f t="shared" si="8"/>
        <v>1</v>
      </c>
      <c r="H78" t="str">
        <f t="shared" si="9"/>
        <v>2</v>
      </c>
      <c r="I78" t="str">
        <f t="shared" si="10"/>
        <v>3</v>
      </c>
      <c r="J78" t="str">
        <f t="shared" ca="1" si="11"/>
        <v/>
      </c>
    </row>
    <row r="79" spans="1:10" ht="18.75" x14ac:dyDescent="0.25">
      <c r="A79" s="10" t="s">
        <v>66</v>
      </c>
      <c r="B79">
        <f>IFERROR(COUNTIFS($A$1:A79,"Câu "&amp;"*")-MID(A79,5,FIND(".",A79,1)-5),0)</f>
        <v>0</v>
      </c>
      <c r="C79" t="b">
        <v>0</v>
      </c>
      <c r="E79" t="str">
        <f t="shared" si="6"/>
        <v>Câu 21.</v>
      </c>
      <c r="F79" t="str">
        <f t="shared" si="7"/>
        <v>1</v>
      </c>
      <c r="G79" t="str">
        <f t="shared" si="8"/>
        <v>2</v>
      </c>
      <c r="H79" t="str">
        <f t="shared" si="9"/>
        <v>3</v>
      </c>
      <c r="I79" t="str">
        <f t="shared" si="10"/>
        <v/>
      </c>
      <c r="J79" t="str">
        <f t="shared" ca="1" si="11"/>
        <v>3</v>
      </c>
    </row>
    <row r="80" spans="1:10" ht="18.75" x14ac:dyDescent="0.25">
      <c r="A80" s="11" t="s">
        <v>1849</v>
      </c>
      <c r="B80">
        <f>IFERROR(COUNTIFS($A$1:A80,"Câu "&amp;"*")-MID(A80,5,FIND(".",A80,1)-5),0)</f>
        <v>0</v>
      </c>
      <c r="C80" t="b">
        <v>0</v>
      </c>
      <c r="E80" t="str">
        <f t="shared" si="6"/>
        <v>1</v>
      </c>
      <c r="F80" t="str">
        <f t="shared" si="7"/>
        <v>2</v>
      </c>
      <c r="G80" t="str">
        <f t="shared" si="8"/>
        <v>3</v>
      </c>
      <c r="H80" t="str">
        <f t="shared" si="9"/>
        <v/>
      </c>
      <c r="I80" t="str">
        <f t="shared" si="10"/>
        <v>1</v>
      </c>
      <c r="J80" t="str">
        <f t="shared" ca="1" si="11"/>
        <v/>
      </c>
    </row>
    <row r="81" spans="1:10" ht="18.75" x14ac:dyDescent="0.25">
      <c r="A81" s="11" t="s">
        <v>1850</v>
      </c>
      <c r="B81">
        <f>IFERROR(COUNTIFS($A$1:A81,"Câu "&amp;"*")-MID(A81,5,FIND(".",A81,1)-5),0)</f>
        <v>0</v>
      </c>
      <c r="C81" t="b">
        <v>0</v>
      </c>
      <c r="E81" t="str">
        <f t="shared" si="6"/>
        <v>2</v>
      </c>
      <c r="F81" t="str">
        <f t="shared" si="7"/>
        <v>3</v>
      </c>
      <c r="G81" t="str">
        <f t="shared" si="8"/>
        <v>Câu 22.</v>
      </c>
      <c r="H81" t="str">
        <f t="shared" si="9"/>
        <v>1</v>
      </c>
      <c r="I81" t="str">
        <f t="shared" si="10"/>
        <v>2</v>
      </c>
      <c r="J81" t="str">
        <f t="shared" ca="1" si="11"/>
        <v/>
      </c>
    </row>
    <row r="82" spans="1:10" ht="18.75" x14ac:dyDescent="0.25">
      <c r="A82" s="11" t="s">
        <v>1851</v>
      </c>
      <c r="B82">
        <f>IFERROR(COUNTIFS($A$1:A82,"Câu "&amp;"*")-MID(A82,5,FIND(".",A82,1)-5),0)</f>
        <v>0</v>
      </c>
      <c r="C82" t="b">
        <v>1</v>
      </c>
      <c r="E82" t="str">
        <f t="shared" si="6"/>
        <v>3</v>
      </c>
      <c r="F82" t="str">
        <f t="shared" si="7"/>
        <v>Câu 22.</v>
      </c>
      <c r="G82" t="str">
        <f t="shared" si="8"/>
        <v>1</v>
      </c>
      <c r="H82" t="str">
        <f t="shared" si="9"/>
        <v>2</v>
      </c>
      <c r="I82" t="str">
        <f t="shared" si="10"/>
        <v/>
      </c>
      <c r="J82" t="str">
        <f t="shared" ca="1" si="11"/>
        <v/>
      </c>
    </row>
    <row r="83" spans="1:10" ht="18.75" x14ac:dyDescent="0.25">
      <c r="A83" s="10" t="s">
        <v>70</v>
      </c>
      <c r="B83">
        <f>IFERROR(COUNTIFS($A$1:A83,"Câu "&amp;"*")-MID(A83,5,FIND(".",A83,1)-5),0)</f>
        <v>0</v>
      </c>
      <c r="C83" t="b">
        <v>0</v>
      </c>
      <c r="E83" t="str">
        <f t="shared" si="6"/>
        <v>Câu 22.</v>
      </c>
      <c r="F83" t="str">
        <f t="shared" si="7"/>
        <v>1</v>
      </c>
      <c r="G83" t="str">
        <f t="shared" si="8"/>
        <v>2</v>
      </c>
      <c r="H83" t="str">
        <f t="shared" si="9"/>
        <v/>
      </c>
      <c r="I83" t="str">
        <f t="shared" si="10"/>
        <v>1</v>
      </c>
      <c r="J83" t="str">
        <f t="shared" ca="1" si="11"/>
        <v>2</v>
      </c>
    </row>
    <row r="84" spans="1:10" ht="18.75" x14ac:dyDescent="0.25">
      <c r="A84" s="11" t="s">
        <v>1852</v>
      </c>
      <c r="B84">
        <f>IFERROR(COUNTIFS($A$1:A84,"Câu "&amp;"*")-MID(A84,5,FIND(".",A84,1)-5),0)</f>
        <v>0</v>
      </c>
      <c r="C84" t="b">
        <v>0</v>
      </c>
      <c r="E84" t="str">
        <f t="shared" si="6"/>
        <v>1</v>
      </c>
      <c r="F84" t="str">
        <f t="shared" si="7"/>
        <v>2</v>
      </c>
      <c r="G84" t="str">
        <f t="shared" si="8"/>
        <v>Câu 23.</v>
      </c>
      <c r="H84" t="str">
        <f t="shared" si="9"/>
        <v>1</v>
      </c>
      <c r="I84" t="str">
        <f t="shared" si="10"/>
        <v>2</v>
      </c>
      <c r="J84" t="str">
        <f t="shared" ca="1" si="11"/>
        <v/>
      </c>
    </row>
    <row r="85" spans="1:10" ht="225" x14ac:dyDescent="0.25">
      <c r="A85" s="3" t="s">
        <v>1853</v>
      </c>
      <c r="B85">
        <f>IFERROR(COUNTIFS($A$1:A85,"Câu "&amp;"*")-MID(A85,5,FIND(".",A85,1)-5),0)</f>
        <v>0</v>
      </c>
      <c r="C85" t="b">
        <v>1</v>
      </c>
      <c r="E85" t="str">
        <f t="shared" si="6"/>
        <v>2</v>
      </c>
      <c r="F85" t="str">
        <f t="shared" si="7"/>
        <v>Câu 23.</v>
      </c>
      <c r="G85" t="str">
        <f t="shared" si="8"/>
        <v>1</v>
      </c>
      <c r="H85" t="str">
        <f t="shared" si="9"/>
        <v>2</v>
      </c>
      <c r="I85" t="str">
        <f t="shared" si="10"/>
        <v>3</v>
      </c>
      <c r="J85" t="str">
        <f t="shared" ca="1" si="11"/>
        <v/>
      </c>
    </row>
    <row r="86" spans="1:10" ht="409.5" x14ac:dyDescent="0.25">
      <c r="A86" s="4" t="s">
        <v>73</v>
      </c>
      <c r="B86">
        <f>IFERROR(COUNTIFS($A$1:A86,"Câu "&amp;"*")-MID(A86,5,FIND(".",A86,1)-5),0)</f>
        <v>0</v>
      </c>
      <c r="C86" t="b">
        <v>0</v>
      </c>
      <c r="E86" t="str">
        <f t="shared" si="6"/>
        <v>Câu 23.</v>
      </c>
      <c r="F86" t="str">
        <f t="shared" si="7"/>
        <v>1</v>
      </c>
      <c r="G86" t="str">
        <f t="shared" si="8"/>
        <v>2</v>
      </c>
      <c r="H86" t="str">
        <f t="shared" si="9"/>
        <v>3</v>
      </c>
      <c r="I86" t="str">
        <f t="shared" si="10"/>
        <v/>
      </c>
      <c r="J86" t="str">
        <f t="shared" ca="1" si="11"/>
        <v>3</v>
      </c>
    </row>
    <row r="87" spans="1:10" ht="18.75" x14ac:dyDescent="0.25">
      <c r="A87" s="11" t="s">
        <v>1854</v>
      </c>
      <c r="B87">
        <f>IFERROR(COUNTIFS($A$1:A87,"Câu "&amp;"*")-MID(A87,5,FIND(".",A87,1)-5),0)</f>
        <v>0</v>
      </c>
      <c r="C87" t="b">
        <v>0</v>
      </c>
      <c r="E87" t="str">
        <f t="shared" si="6"/>
        <v>1</v>
      </c>
      <c r="F87" t="str">
        <f t="shared" si="7"/>
        <v>2</v>
      </c>
      <c r="G87" t="str">
        <f t="shared" si="8"/>
        <v>3</v>
      </c>
      <c r="H87" t="str">
        <f t="shared" si="9"/>
        <v/>
      </c>
      <c r="I87" t="str">
        <f t="shared" si="10"/>
        <v>1</v>
      </c>
      <c r="J87" t="str">
        <f t="shared" ca="1" si="11"/>
        <v/>
      </c>
    </row>
    <row r="88" spans="1:10" ht="18.75" x14ac:dyDescent="0.25">
      <c r="A88" s="11" t="s">
        <v>1855</v>
      </c>
      <c r="B88">
        <f>IFERROR(COUNTIFS($A$1:A88,"Câu "&amp;"*")-MID(A88,5,FIND(".",A88,1)-5),0)</f>
        <v>0</v>
      </c>
      <c r="C88" t="b">
        <v>0</v>
      </c>
      <c r="E88" t="str">
        <f t="shared" si="6"/>
        <v>2</v>
      </c>
      <c r="F88" t="str">
        <f t="shared" si="7"/>
        <v>3</v>
      </c>
      <c r="G88" t="str">
        <f t="shared" si="8"/>
        <v>Câu 24.</v>
      </c>
      <c r="H88" t="str">
        <f t="shared" si="9"/>
        <v>1</v>
      </c>
      <c r="I88" t="str">
        <f t="shared" si="10"/>
        <v>2</v>
      </c>
      <c r="J88" t="str">
        <f t="shared" ca="1" si="11"/>
        <v/>
      </c>
    </row>
    <row r="89" spans="1:10" ht="18.75" x14ac:dyDescent="0.25">
      <c r="A89" s="11" t="s">
        <v>1825</v>
      </c>
      <c r="B89">
        <f>IFERROR(COUNTIFS($A$1:A89,"Câu "&amp;"*")-MID(A89,5,FIND(".",A89,1)-5),0)</f>
        <v>0</v>
      </c>
      <c r="C89" t="b">
        <v>1</v>
      </c>
      <c r="E89" t="str">
        <f t="shared" si="6"/>
        <v>3</v>
      </c>
      <c r="F89" t="str">
        <f t="shared" si="7"/>
        <v>Câu 24.</v>
      </c>
      <c r="G89" t="str">
        <f t="shared" si="8"/>
        <v>1</v>
      </c>
      <c r="H89" t="str">
        <f t="shared" si="9"/>
        <v>2</v>
      </c>
      <c r="I89" t="str">
        <f t="shared" si="10"/>
        <v>3</v>
      </c>
      <c r="J89" t="str">
        <f t="shared" ca="1" si="11"/>
        <v/>
      </c>
    </row>
    <row r="90" spans="1:10" ht="18.75" x14ac:dyDescent="0.25">
      <c r="A90" s="10" t="s">
        <v>76</v>
      </c>
      <c r="B90">
        <f>IFERROR(COUNTIFS($A$1:A90,"Câu "&amp;"*")-MID(A90,5,FIND(".",A90,1)-5),0)</f>
        <v>0</v>
      </c>
      <c r="C90" t="b">
        <v>0</v>
      </c>
      <c r="E90" t="str">
        <f t="shared" si="6"/>
        <v>Câu 24.</v>
      </c>
      <c r="F90" t="str">
        <f t="shared" si="7"/>
        <v>1</v>
      </c>
      <c r="G90" t="str">
        <f t="shared" si="8"/>
        <v>2</v>
      </c>
      <c r="H90" t="str">
        <f t="shared" si="9"/>
        <v>3</v>
      </c>
      <c r="I90" t="str">
        <f t="shared" si="10"/>
        <v/>
      </c>
      <c r="J90" t="str">
        <f t="shared" ca="1" si="11"/>
        <v>1</v>
      </c>
    </row>
    <row r="91" spans="1:10" ht="18.75" x14ac:dyDescent="0.25">
      <c r="A91" s="11" t="s">
        <v>1856</v>
      </c>
      <c r="B91">
        <f>IFERROR(COUNTIFS($A$1:A91,"Câu "&amp;"*")-MID(A91,5,FIND(".",A91,1)-5),0)</f>
        <v>0</v>
      </c>
      <c r="C91" t="b">
        <v>1</v>
      </c>
      <c r="E91" t="str">
        <f t="shared" si="6"/>
        <v>1</v>
      </c>
      <c r="F91" t="str">
        <f t="shared" si="7"/>
        <v>2</v>
      </c>
      <c r="G91" t="str">
        <f t="shared" si="8"/>
        <v>3</v>
      </c>
      <c r="H91" t="str">
        <f t="shared" si="9"/>
        <v/>
      </c>
      <c r="I91" t="str">
        <f t="shared" si="10"/>
        <v>1</v>
      </c>
      <c r="J91" t="str">
        <f t="shared" ca="1" si="11"/>
        <v/>
      </c>
    </row>
    <row r="92" spans="1:10" ht="18.75" x14ac:dyDescent="0.25">
      <c r="A92" s="11" t="s">
        <v>1857</v>
      </c>
      <c r="B92">
        <f>IFERROR(COUNTIFS($A$1:A92,"Câu "&amp;"*")-MID(A92,5,FIND(".",A92,1)-5),0)</f>
        <v>0</v>
      </c>
      <c r="C92" t="b">
        <v>0</v>
      </c>
      <c r="E92" t="str">
        <f t="shared" si="6"/>
        <v>2</v>
      </c>
      <c r="F92" t="str">
        <f t="shared" si="7"/>
        <v>3</v>
      </c>
      <c r="G92" t="str">
        <f t="shared" si="8"/>
        <v>Câu 25.</v>
      </c>
      <c r="H92" t="str">
        <f t="shared" si="9"/>
        <v>1</v>
      </c>
      <c r="I92" t="str">
        <f t="shared" si="10"/>
        <v>2</v>
      </c>
      <c r="J92" t="str">
        <f t="shared" ca="1" si="11"/>
        <v/>
      </c>
    </row>
    <row r="93" spans="1:10" ht="18.75" x14ac:dyDescent="0.25">
      <c r="A93" s="11" t="s">
        <v>1858</v>
      </c>
      <c r="B93">
        <f>IFERROR(COUNTIFS($A$1:A93,"Câu "&amp;"*")-MID(A93,5,FIND(".",A93,1)-5),0)</f>
        <v>0</v>
      </c>
      <c r="C93" t="b">
        <v>0</v>
      </c>
      <c r="E93" t="str">
        <f t="shared" si="6"/>
        <v>3</v>
      </c>
      <c r="F93" t="str">
        <f t="shared" si="7"/>
        <v>Câu 25.</v>
      </c>
      <c r="G93" t="str">
        <f t="shared" si="8"/>
        <v>1</v>
      </c>
      <c r="H93" t="str">
        <f t="shared" si="9"/>
        <v>2</v>
      </c>
      <c r="I93" t="str">
        <f t="shared" si="10"/>
        <v>3</v>
      </c>
      <c r="J93" t="str">
        <f t="shared" ca="1" si="11"/>
        <v/>
      </c>
    </row>
    <row r="94" spans="1:10" ht="409.5" x14ac:dyDescent="0.25">
      <c r="A94" s="4" t="s">
        <v>80</v>
      </c>
      <c r="B94">
        <f>IFERROR(COUNTIFS($A$1:A94,"Câu "&amp;"*")-MID(A94,5,FIND(".",A94,1)-5),0)</f>
        <v>0</v>
      </c>
      <c r="C94" t="b">
        <v>0</v>
      </c>
      <c r="E94" t="str">
        <f t="shared" si="6"/>
        <v>Câu 25.</v>
      </c>
      <c r="F94" t="str">
        <f t="shared" si="7"/>
        <v>1</v>
      </c>
      <c r="G94" t="str">
        <f t="shared" si="8"/>
        <v>2</v>
      </c>
      <c r="H94" t="str">
        <f t="shared" si="9"/>
        <v>3</v>
      </c>
      <c r="I94" t="str">
        <f t="shared" si="10"/>
        <v/>
      </c>
      <c r="J94" t="str">
        <f t="shared" ca="1" si="11"/>
        <v>3</v>
      </c>
    </row>
    <row r="95" spans="1:10" ht="18.75" x14ac:dyDescent="0.25">
      <c r="A95" s="11" t="s">
        <v>1854</v>
      </c>
      <c r="B95">
        <f>IFERROR(COUNTIFS($A$1:A95,"Câu "&amp;"*")-MID(A95,5,FIND(".",A95,1)-5),0)</f>
        <v>0</v>
      </c>
      <c r="C95" t="b">
        <v>0</v>
      </c>
      <c r="E95" t="str">
        <f t="shared" si="6"/>
        <v>1</v>
      </c>
      <c r="F95" t="str">
        <f t="shared" si="7"/>
        <v>2</v>
      </c>
      <c r="G95" t="str">
        <f t="shared" si="8"/>
        <v>3</v>
      </c>
      <c r="H95" t="str">
        <f t="shared" si="9"/>
        <v/>
      </c>
      <c r="I95" t="str">
        <f t="shared" si="10"/>
        <v>1</v>
      </c>
      <c r="J95" t="str">
        <f t="shared" ca="1" si="11"/>
        <v/>
      </c>
    </row>
    <row r="96" spans="1:10" ht="18.75" x14ac:dyDescent="0.25">
      <c r="A96" s="11" t="s">
        <v>1859</v>
      </c>
      <c r="B96">
        <f>IFERROR(COUNTIFS($A$1:A96,"Câu "&amp;"*")-MID(A96,5,FIND(".",A96,1)-5),0)</f>
        <v>0</v>
      </c>
      <c r="C96" t="b">
        <v>0</v>
      </c>
      <c r="E96" t="str">
        <f t="shared" si="6"/>
        <v>2</v>
      </c>
      <c r="F96" t="str">
        <f t="shared" si="7"/>
        <v>3</v>
      </c>
      <c r="G96" t="str">
        <f t="shared" si="8"/>
        <v>Câu 26.</v>
      </c>
      <c r="H96" t="str">
        <f t="shared" si="9"/>
        <v>1</v>
      </c>
      <c r="I96" t="str">
        <f t="shared" si="10"/>
        <v>2</v>
      </c>
      <c r="J96" t="str">
        <f t="shared" ca="1" si="11"/>
        <v/>
      </c>
    </row>
    <row r="97" spans="1:10" ht="18.75" x14ac:dyDescent="0.25">
      <c r="A97" s="11" t="s">
        <v>1825</v>
      </c>
      <c r="B97">
        <f>IFERROR(COUNTIFS($A$1:A97,"Câu "&amp;"*")-MID(A97,5,FIND(".",A97,1)-5),0)</f>
        <v>0</v>
      </c>
      <c r="C97" t="b">
        <v>1</v>
      </c>
      <c r="E97" t="str">
        <f t="shared" si="6"/>
        <v>3</v>
      </c>
      <c r="F97" t="str">
        <f t="shared" si="7"/>
        <v>Câu 26.</v>
      </c>
      <c r="G97" t="str">
        <f t="shared" si="8"/>
        <v>1</v>
      </c>
      <c r="H97" t="str">
        <f t="shared" si="9"/>
        <v>2</v>
      </c>
      <c r="I97" t="str">
        <f t="shared" si="10"/>
        <v>3</v>
      </c>
      <c r="J97" t="str">
        <f t="shared" ca="1" si="11"/>
        <v/>
      </c>
    </row>
    <row r="98" spans="1:10" ht="18.75" x14ac:dyDescent="0.25">
      <c r="A98" s="10" t="s">
        <v>82</v>
      </c>
      <c r="B98">
        <f>IFERROR(COUNTIFS($A$1:A98,"Câu "&amp;"*")-MID(A98,5,FIND(".",A98,1)-5),0)</f>
        <v>0</v>
      </c>
      <c r="C98" t="b">
        <v>0</v>
      </c>
      <c r="E98" t="str">
        <f t="shared" si="6"/>
        <v>Câu 26.</v>
      </c>
      <c r="F98" t="str">
        <f t="shared" si="7"/>
        <v>1</v>
      </c>
      <c r="G98" t="str">
        <f t="shared" si="8"/>
        <v>2</v>
      </c>
      <c r="H98" t="str">
        <f t="shared" si="9"/>
        <v>3</v>
      </c>
      <c r="I98" t="str">
        <f t="shared" si="10"/>
        <v/>
      </c>
      <c r="J98" t="str">
        <f t="shared" ca="1" si="11"/>
        <v>1</v>
      </c>
    </row>
    <row r="99" spans="1:10" ht="18.75" x14ac:dyDescent="0.25">
      <c r="A99" s="11" t="s">
        <v>1860</v>
      </c>
      <c r="B99">
        <f>IFERROR(COUNTIFS($A$1:A99,"Câu "&amp;"*")-MID(A99,5,FIND(".",A99,1)-5),0)</f>
        <v>0</v>
      </c>
      <c r="C99" t="b">
        <v>1</v>
      </c>
      <c r="E99" t="str">
        <f t="shared" si="6"/>
        <v>1</v>
      </c>
      <c r="F99" t="str">
        <f t="shared" si="7"/>
        <v>2</v>
      </c>
      <c r="G99" t="str">
        <f t="shared" si="8"/>
        <v>3</v>
      </c>
      <c r="H99" t="str">
        <f t="shared" si="9"/>
        <v/>
      </c>
      <c r="I99" t="str">
        <f t="shared" si="10"/>
        <v>1</v>
      </c>
      <c r="J99" t="str">
        <f t="shared" ca="1" si="11"/>
        <v/>
      </c>
    </row>
    <row r="100" spans="1:10" ht="18.75" x14ac:dyDescent="0.25">
      <c r="A100" s="11" t="s">
        <v>1861</v>
      </c>
      <c r="B100">
        <f>IFERROR(COUNTIFS($A$1:A100,"Câu "&amp;"*")-MID(A100,5,FIND(".",A100,1)-5),0)</f>
        <v>0</v>
      </c>
      <c r="C100" t="b">
        <v>0</v>
      </c>
      <c r="E100" t="str">
        <f t="shared" si="6"/>
        <v>2</v>
      </c>
      <c r="F100" t="str">
        <f t="shared" si="7"/>
        <v>3</v>
      </c>
      <c r="G100" t="str">
        <f t="shared" si="8"/>
        <v>Câu 27.</v>
      </c>
      <c r="H100" t="str">
        <f t="shared" si="9"/>
        <v>1</v>
      </c>
      <c r="I100" t="str">
        <f t="shared" si="10"/>
        <v>2</v>
      </c>
      <c r="J100" t="str">
        <f t="shared" ca="1" si="11"/>
        <v/>
      </c>
    </row>
    <row r="101" spans="1:10" ht="18.75" x14ac:dyDescent="0.25">
      <c r="A101" s="11" t="s">
        <v>1814</v>
      </c>
      <c r="B101">
        <f>IFERROR(COUNTIFS($A$1:A101,"Câu "&amp;"*")-MID(A101,5,FIND(".",A101,1)-5),0)</f>
        <v>0</v>
      </c>
      <c r="C101" t="b">
        <v>0</v>
      </c>
      <c r="E101" t="str">
        <f t="shared" si="6"/>
        <v>3</v>
      </c>
      <c r="F101" t="str">
        <f t="shared" si="7"/>
        <v>Câu 27.</v>
      </c>
      <c r="G101" t="str">
        <f t="shared" si="8"/>
        <v>1</v>
      </c>
      <c r="H101" t="str">
        <f t="shared" si="9"/>
        <v>2</v>
      </c>
      <c r="I101" t="str">
        <f t="shared" si="10"/>
        <v>3</v>
      </c>
      <c r="J101" t="str">
        <f t="shared" ca="1" si="11"/>
        <v/>
      </c>
    </row>
    <row r="102" spans="1:10" ht="18.75" x14ac:dyDescent="0.25">
      <c r="A102" s="10" t="s">
        <v>85</v>
      </c>
      <c r="B102">
        <f>IFERROR(COUNTIFS($A$1:A102,"Câu "&amp;"*")-MID(A102,5,FIND(".",A102,1)-5),0)</f>
        <v>0</v>
      </c>
      <c r="C102" t="b">
        <v>0</v>
      </c>
      <c r="E102" t="str">
        <f t="shared" si="6"/>
        <v>Câu 27.</v>
      </c>
      <c r="F102" t="str">
        <f t="shared" si="7"/>
        <v>1</v>
      </c>
      <c r="G102" t="str">
        <f t="shared" si="8"/>
        <v>2</v>
      </c>
      <c r="H102" t="str">
        <f t="shared" si="9"/>
        <v>3</v>
      </c>
      <c r="I102" t="str">
        <f t="shared" si="10"/>
        <v>4</v>
      </c>
      <c r="J102" t="str">
        <f t="shared" ca="1" si="11"/>
        <v>4</v>
      </c>
    </row>
    <row r="103" spans="1:10" ht="18.75" x14ac:dyDescent="0.25">
      <c r="A103" s="11" t="s">
        <v>1862</v>
      </c>
      <c r="B103">
        <f>IFERROR(COUNTIFS($A$1:A103,"Câu "&amp;"*")-MID(A103,5,FIND(".",A103,1)-5),0)</f>
        <v>0</v>
      </c>
      <c r="C103" t="b">
        <v>0</v>
      </c>
      <c r="E103" t="str">
        <f t="shared" si="6"/>
        <v>1</v>
      </c>
      <c r="F103" t="str">
        <f t="shared" si="7"/>
        <v>2</v>
      </c>
      <c r="G103" t="str">
        <f t="shared" si="8"/>
        <v>3</v>
      </c>
      <c r="H103" t="str">
        <f t="shared" si="9"/>
        <v>4</v>
      </c>
      <c r="I103" t="str">
        <f t="shared" si="10"/>
        <v/>
      </c>
      <c r="J103" t="str">
        <f t="shared" ca="1" si="11"/>
        <v/>
      </c>
    </row>
    <row r="104" spans="1:10" ht="18.75" x14ac:dyDescent="0.25">
      <c r="A104" s="11" t="s">
        <v>1863</v>
      </c>
      <c r="B104">
        <f>IFERROR(COUNTIFS($A$1:A104,"Câu "&amp;"*")-MID(A104,5,FIND(".",A104,1)-5),0)</f>
        <v>0</v>
      </c>
      <c r="C104" t="b">
        <v>0</v>
      </c>
      <c r="E104" t="str">
        <f t="shared" si="6"/>
        <v>2</v>
      </c>
      <c r="F104" t="str">
        <f t="shared" si="7"/>
        <v>3</v>
      </c>
      <c r="G104" t="str">
        <f t="shared" si="8"/>
        <v>4</v>
      </c>
      <c r="H104" t="str">
        <f t="shared" si="9"/>
        <v/>
      </c>
      <c r="I104" t="str">
        <f t="shared" si="10"/>
        <v>1</v>
      </c>
      <c r="J104" t="str">
        <f t="shared" ca="1" si="11"/>
        <v/>
      </c>
    </row>
    <row r="105" spans="1:10" ht="18.75" x14ac:dyDescent="0.25">
      <c r="A105" s="11" t="s">
        <v>1864</v>
      </c>
      <c r="B105">
        <f>IFERROR(COUNTIFS($A$1:A105,"Câu "&amp;"*")-MID(A105,5,FIND(".",A105,1)-5),0)</f>
        <v>0</v>
      </c>
      <c r="C105" t="b">
        <v>0</v>
      </c>
      <c r="E105" t="str">
        <f t="shared" si="6"/>
        <v>3</v>
      </c>
      <c r="F105" t="str">
        <f t="shared" si="7"/>
        <v>4</v>
      </c>
      <c r="G105" t="str">
        <f t="shared" si="8"/>
        <v>Câu 28.</v>
      </c>
      <c r="H105" t="str">
        <f t="shared" si="9"/>
        <v>1</v>
      </c>
      <c r="I105" t="str">
        <f t="shared" si="10"/>
        <v>2</v>
      </c>
      <c r="J105" t="str">
        <f t="shared" ca="1" si="11"/>
        <v/>
      </c>
    </row>
    <row r="106" spans="1:10" ht="18.75" x14ac:dyDescent="0.25">
      <c r="A106" s="11" t="s">
        <v>1865</v>
      </c>
      <c r="B106">
        <f>IFERROR(COUNTIFS($A$1:A106,"Câu "&amp;"*")-MID(A106,5,FIND(".",A106,1)-5),0)</f>
        <v>0</v>
      </c>
      <c r="C106" t="b">
        <v>1</v>
      </c>
      <c r="E106" t="str">
        <f t="shared" si="6"/>
        <v>4</v>
      </c>
      <c r="F106" t="str">
        <f t="shared" si="7"/>
        <v>Câu 28.</v>
      </c>
      <c r="G106" t="str">
        <f t="shared" si="8"/>
        <v>1</v>
      </c>
      <c r="H106" t="str">
        <f t="shared" si="9"/>
        <v>2</v>
      </c>
      <c r="I106" t="str">
        <f t="shared" si="10"/>
        <v>3</v>
      </c>
      <c r="J106" t="str">
        <f t="shared" ca="1" si="11"/>
        <v/>
      </c>
    </row>
    <row r="107" spans="1:10" ht="18.75" x14ac:dyDescent="0.25">
      <c r="A107" s="10" t="s">
        <v>90</v>
      </c>
      <c r="B107">
        <f>IFERROR(COUNTIFS($A$1:A107,"Câu "&amp;"*")-MID(A107,5,FIND(".",A107,1)-5),0)</f>
        <v>0</v>
      </c>
      <c r="C107" t="b">
        <v>0</v>
      </c>
      <c r="E107" t="str">
        <f t="shared" si="6"/>
        <v>Câu 28.</v>
      </c>
      <c r="F107" t="str">
        <f t="shared" si="7"/>
        <v>1</v>
      </c>
      <c r="G107" t="str">
        <f t="shared" si="8"/>
        <v>2</v>
      </c>
      <c r="H107" t="str">
        <f t="shared" si="9"/>
        <v>3</v>
      </c>
      <c r="I107" t="str">
        <f t="shared" si="10"/>
        <v/>
      </c>
      <c r="J107" t="str">
        <f t="shared" ca="1" si="11"/>
        <v>3</v>
      </c>
    </row>
    <row r="108" spans="1:10" ht="18.75" x14ac:dyDescent="0.25">
      <c r="A108" s="11" t="s">
        <v>1866</v>
      </c>
      <c r="B108">
        <f>IFERROR(COUNTIFS($A$1:A108,"Câu "&amp;"*")-MID(A108,5,FIND(".",A108,1)-5),0)</f>
        <v>0</v>
      </c>
      <c r="C108" t="b">
        <v>0</v>
      </c>
      <c r="E108" t="str">
        <f t="shared" si="6"/>
        <v>1</v>
      </c>
      <c r="F108" t="str">
        <f t="shared" si="7"/>
        <v>2</v>
      </c>
      <c r="G108" t="str">
        <f t="shared" si="8"/>
        <v>3</v>
      </c>
      <c r="H108" t="str">
        <f t="shared" si="9"/>
        <v/>
      </c>
      <c r="I108" t="str">
        <f t="shared" si="10"/>
        <v>1</v>
      </c>
      <c r="J108" t="str">
        <f t="shared" ca="1" si="11"/>
        <v/>
      </c>
    </row>
    <row r="109" spans="1:10" ht="409.5" x14ac:dyDescent="0.25">
      <c r="A109" s="3" t="s">
        <v>1867</v>
      </c>
      <c r="B109">
        <f>IFERROR(COUNTIFS($A$1:A109,"Câu "&amp;"*")-MID(A109,5,FIND(".",A109,1)-5),0)</f>
        <v>0</v>
      </c>
      <c r="C109" t="b">
        <v>0</v>
      </c>
      <c r="E109" t="str">
        <f t="shared" si="6"/>
        <v>2</v>
      </c>
      <c r="F109" t="str">
        <f t="shared" si="7"/>
        <v>3</v>
      </c>
      <c r="G109" t="str">
        <f t="shared" si="8"/>
        <v>Câu 29.</v>
      </c>
      <c r="H109" t="str">
        <f t="shared" si="9"/>
        <v>1</v>
      </c>
      <c r="I109" t="str">
        <f t="shared" si="10"/>
        <v>2</v>
      </c>
      <c r="J109" t="str">
        <f t="shared" ca="1" si="11"/>
        <v/>
      </c>
    </row>
    <row r="110" spans="1:10" ht="37.5" x14ac:dyDescent="0.25">
      <c r="A110" s="3" t="s">
        <v>1825</v>
      </c>
      <c r="B110">
        <f>IFERROR(COUNTIFS($A$1:A110,"Câu "&amp;"*")-MID(A110,5,FIND(".",A110,1)-5),0)</f>
        <v>0</v>
      </c>
      <c r="C110" t="b">
        <v>1</v>
      </c>
      <c r="E110" t="str">
        <f t="shared" si="6"/>
        <v>3</v>
      </c>
      <c r="F110" t="str">
        <f t="shared" si="7"/>
        <v>Câu 29.</v>
      </c>
      <c r="G110" t="str">
        <f t="shared" si="8"/>
        <v>1</v>
      </c>
      <c r="H110" t="str">
        <f t="shared" si="9"/>
        <v>2</v>
      </c>
      <c r="I110" t="str">
        <f t="shared" si="10"/>
        <v/>
      </c>
      <c r="J110" t="str">
        <f t="shared" ca="1" si="11"/>
        <v/>
      </c>
    </row>
    <row r="111" spans="1:10" ht="262.5" x14ac:dyDescent="0.25">
      <c r="A111" s="4" t="s">
        <v>93</v>
      </c>
      <c r="B111">
        <f>IFERROR(COUNTIFS($A$1:A111,"Câu "&amp;"*")-MID(A111,5,FIND(".",A111,1)-5),0)</f>
        <v>0</v>
      </c>
      <c r="C111" t="b">
        <v>0</v>
      </c>
      <c r="E111" t="str">
        <f t="shared" si="6"/>
        <v>Câu 29.</v>
      </c>
      <c r="F111" t="str">
        <f t="shared" si="7"/>
        <v>1</v>
      </c>
      <c r="G111" t="str">
        <f t="shared" si="8"/>
        <v>2</v>
      </c>
      <c r="H111" t="str">
        <f t="shared" si="9"/>
        <v/>
      </c>
      <c r="I111" t="str">
        <f t="shared" si="10"/>
        <v>1</v>
      </c>
      <c r="J111" t="str">
        <f t="shared" ca="1" si="11"/>
        <v>2</v>
      </c>
    </row>
    <row r="112" spans="1:10" ht="243.75" x14ac:dyDescent="0.25">
      <c r="A112" s="3" t="s">
        <v>1868</v>
      </c>
      <c r="B112">
        <f>IFERROR(COUNTIFS($A$1:A112,"Câu "&amp;"*")-MID(A112,5,FIND(".",A112,1)-5),0)</f>
        <v>0</v>
      </c>
      <c r="C112" t="b">
        <v>0</v>
      </c>
      <c r="E112" t="str">
        <f t="shared" si="6"/>
        <v>1</v>
      </c>
      <c r="F112" t="str">
        <f t="shared" si="7"/>
        <v>2</v>
      </c>
      <c r="G112" t="str">
        <f t="shared" si="8"/>
        <v>Câu 30.</v>
      </c>
      <c r="H112" t="str">
        <f t="shared" si="9"/>
        <v>1</v>
      </c>
      <c r="I112" t="str">
        <f t="shared" si="10"/>
        <v>2</v>
      </c>
      <c r="J112" t="str">
        <f t="shared" ca="1" si="11"/>
        <v/>
      </c>
    </row>
    <row r="113" spans="1:10" ht="409.5" x14ac:dyDescent="0.25">
      <c r="A113" s="3" t="s">
        <v>1869</v>
      </c>
      <c r="B113">
        <f>IFERROR(COUNTIFS($A$1:A113,"Câu "&amp;"*")-MID(A113,5,FIND(".",A113,1)-5),0)</f>
        <v>0</v>
      </c>
      <c r="C113" t="b">
        <v>1</v>
      </c>
      <c r="E113" t="str">
        <f t="shared" si="6"/>
        <v>2</v>
      </c>
      <c r="F113" t="str">
        <f t="shared" si="7"/>
        <v>Câu 30.</v>
      </c>
      <c r="G113" t="str">
        <f t="shared" si="8"/>
        <v>1</v>
      </c>
      <c r="H113" t="str">
        <f t="shared" si="9"/>
        <v>2</v>
      </c>
      <c r="I113" t="str">
        <f t="shared" si="10"/>
        <v>3</v>
      </c>
      <c r="J113" t="str">
        <f t="shared" ca="1" si="11"/>
        <v/>
      </c>
    </row>
    <row r="114" spans="1:10" ht="93.75" x14ac:dyDescent="0.25">
      <c r="A114" s="4" t="s">
        <v>96</v>
      </c>
      <c r="B114">
        <f>IFERROR(COUNTIFS($A$1:A114,"Câu "&amp;"*")-MID(A114,5,FIND(".",A114,1)-5),0)</f>
        <v>0</v>
      </c>
      <c r="C114" t="b">
        <v>0</v>
      </c>
      <c r="E114" t="str">
        <f t="shared" si="6"/>
        <v>Câu 30.</v>
      </c>
      <c r="F114" t="str">
        <f t="shared" si="7"/>
        <v>1</v>
      </c>
      <c r="G114" t="str">
        <f t="shared" si="8"/>
        <v>2</v>
      </c>
      <c r="H114" t="str">
        <f t="shared" si="9"/>
        <v>3</v>
      </c>
      <c r="I114" t="str">
        <f t="shared" si="10"/>
        <v/>
      </c>
      <c r="J114" t="str">
        <f t="shared" ca="1" si="11"/>
        <v>3</v>
      </c>
    </row>
    <row r="115" spans="1:10" ht="337.5" x14ac:dyDescent="0.25">
      <c r="A115" s="3" t="s">
        <v>1870</v>
      </c>
      <c r="B115">
        <f>IFERROR(COUNTIFS($A$1:A115,"Câu "&amp;"*")-MID(A115,5,FIND(".",A115,1)-5),0)</f>
        <v>0</v>
      </c>
      <c r="C115" t="b">
        <v>0</v>
      </c>
      <c r="E115" t="str">
        <f t="shared" si="6"/>
        <v>1</v>
      </c>
      <c r="F115" t="str">
        <f t="shared" si="7"/>
        <v>2</v>
      </c>
      <c r="G115" t="str">
        <f t="shared" si="8"/>
        <v>3</v>
      </c>
      <c r="H115" t="str">
        <f t="shared" si="9"/>
        <v/>
      </c>
      <c r="I115" t="str">
        <f t="shared" si="10"/>
        <v>1</v>
      </c>
      <c r="J115" t="str">
        <f t="shared" ca="1" si="11"/>
        <v/>
      </c>
    </row>
    <row r="116" spans="1:10" ht="409.5" x14ac:dyDescent="0.25">
      <c r="A116" s="3" t="s">
        <v>1871</v>
      </c>
      <c r="B116">
        <f>IFERROR(COUNTIFS($A$1:A116,"Câu "&amp;"*")-MID(A116,5,FIND(".",A116,1)-5),0)</f>
        <v>0</v>
      </c>
      <c r="C116" t="b">
        <v>0</v>
      </c>
      <c r="E116" t="str">
        <f t="shared" si="6"/>
        <v>2</v>
      </c>
      <c r="F116" t="str">
        <f t="shared" si="7"/>
        <v>3</v>
      </c>
      <c r="G116" t="str">
        <f t="shared" si="8"/>
        <v>Câu 31.</v>
      </c>
      <c r="H116" t="str">
        <f t="shared" si="9"/>
        <v>1</v>
      </c>
      <c r="I116" t="str">
        <f t="shared" si="10"/>
        <v>2</v>
      </c>
      <c r="J116" t="str">
        <f t="shared" ca="1" si="11"/>
        <v/>
      </c>
    </row>
    <row r="117" spans="1:10" ht="37.5" x14ac:dyDescent="0.25">
      <c r="A117" s="3" t="s">
        <v>1825</v>
      </c>
      <c r="B117">
        <f>IFERROR(COUNTIFS($A$1:A117,"Câu "&amp;"*")-MID(A117,5,FIND(".",A117,1)-5),0)</f>
        <v>0</v>
      </c>
      <c r="C117" t="b">
        <v>1</v>
      </c>
      <c r="E117" t="str">
        <f t="shared" si="6"/>
        <v>3</v>
      </c>
      <c r="F117" t="str">
        <f t="shared" si="7"/>
        <v>Câu 31.</v>
      </c>
      <c r="G117" t="str">
        <f t="shared" si="8"/>
        <v>1</v>
      </c>
      <c r="H117" t="str">
        <f t="shared" si="9"/>
        <v>2</v>
      </c>
      <c r="I117" t="str">
        <f t="shared" si="10"/>
        <v>3</v>
      </c>
      <c r="J117" t="str">
        <f t="shared" ca="1" si="11"/>
        <v/>
      </c>
    </row>
    <row r="118" spans="1:10" ht="225" x14ac:dyDescent="0.25">
      <c r="A118" s="4" t="s">
        <v>99</v>
      </c>
      <c r="B118">
        <f>IFERROR(COUNTIFS($A$1:A118,"Câu "&amp;"*")-MID(A118,5,FIND(".",A118,1)-5),0)</f>
        <v>0</v>
      </c>
      <c r="C118" t="b">
        <v>0</v>
      </c>
      <c r="E118" t="str">
        <f t="shared" si="6"/>
        <v>Câu 31.</v>
      </c>
      <c r="F118" t="str">
        <f t="shared" si="7"/>
        <v>1</v>
      </c>
      <c r="G118" t="str">
        <f t="shared" si="8"/>
        <v>2</v>
      </c>
      <c r="H118" t="str">
        <f t="shared" si="9"/>
        <v>3</v>
      </c>
      <c r="I118" t="str">
        <f t="shared" si="10"/>
        <v/>
      </c>
      <c r="J118" t="str">
        <f t="shared" ca="1" si="11"/>
        <v>2</v>
      </c>
    </row>
    <row r="119" spans="1:10" ht="18.75" x14ac:dyDescent="0.25">
      <c r="A119" s="11" t="s">
        <v>1872</v>
      </c>
      <c r="B119">
        <f>IFERROR(COUNTIFS($A$1:A119,"Câu "&amp;"*")-MID(A119,5,FIND(".",A119,1)-5),0)</f>
        <v>0</v>
      </c>
      <c r="C119" t="b">
        <v>0</v>
      </c>
      <c r="E119" t="str">
        <f t="shared" si="6"/>
        <v>1</v>
      </c>
      <c r="F119" t="str">
        <f t="shared" si="7"/>
        <v>2</v>
      </c>
      <c r="G119" t="str">
        <f t="shared" si="8"/>
        <v>3</v>
      </c>
      <c r="H119" t="str">
        <f t="shared" si="9"/>
        <v/>
      </c>
      <c r="I119" t="str">
        <f t="shared" si="10"/>
        <v>1</v>
      </c>
      <c r="J119" t="str">
        <f t="shared" ca="1" si="11"/>
        <v/>
      </c>
    </row>
    <row r="120" spans="1:10" ht="18.75" x14ac:dyDescent="0.25">
      <c r="A120" s="11" t="s">
        <v>1873</v>
      </c>
      <c r="B120">
        <f>IFERROR(COUNTIFS($A$1:A120,"Câu "&amp;"*")-MID(A120,5,FIND(".",A120,1)-5),0)</f>
        <v>0</v>
      </c>
      <c r="C120" t="b">
        <v>1</v>
      </c>
      <c r="E120" t="str">
        <f t="shared" si="6"/>
        <v>2</v>
      </c>
      <c r="F120" t="str">
        <f t="shared" si="7"/>
        <v>3</v>
      </c>
      <c r="G120" t="str">
        <f t="shared" si="8"/>
        <v>Câu 32.</v>
      </c>
      <c r="H120" t="str">
        <f t="shared" si="9"/>
        <v>1</v>
      </c>
      <c r="I120" t="str">
        <f t="shared" si="10"/>
        <v>2</v>
      </c>
      <c r="J120" t="str">
        <f t="shared" ca="1" si="11"/>
        <v/>
      </c>
    </row>
    <row r="121" spans="1:10" ht="18.75" x14ac:dyDescent="0.25">
      <c r="A121" s="11" t="s">
        <v>1874</v>
      </c>
      <c r="B121">
        <f>IFERROR(COUNTIFS($A$1:A121,"Câu "&amp;"*")-MID(A121,5,FIND(".",A121,1)-5),0)</f>
        <v>0</v>
      </c>
      <c r="C121" t="b">
        <v>0</v>
      </c>
      <c r="E121" t="str">
        <f t="shared" si="6"/>
        <v>3</v>
      </c>
      <c r="F121" t="str">
        <f t="shared" si="7"/>
        <v>Câu 32.</v>
      </c>
      <c r="G121" t="str">
        <f t="shared" si="8"/>
        <v>1</v>
      </c>
      <c r="H121" t="str">
        <f t="shared" si="9"/>
        <v>2</v>
      </c>
      <c r="I121" t="str">
        <f t="shared" si="10"/>
        <v>3</v>
      </c>
      <c r="J121" t="str">
        <f t="shared" ca="1" si="11"/>
        <v/>
      </c>
    </row>
    <row r="122" spans="1:10" ht="18.75" x14ac:dyDescent="0.25">
      <c r="A122" s="10" t="s">
        <v>101</v>
      </c>
      <c r="B122">
        <f>IFERROR(COUNTIFS($A$1:A122,"Câu "&amp;"*")-MID(A122,5,FIND(".",A122,1)-5),0)</f>
        <v>0</v>
      </c>
      <c r="C122" t="b">
        <v>0</v>
      </c>
      <c r="E122" t="str">
        <f t="shared" si="6"/>
        <v>Câu 32.</v>
      </c>
      <c r="F122" t="str">
        <f t="shared" si="7"/>
        <v>1</v>
      </c>
      <c r="G122" t="str">
        <f t="shared" si="8"/>
        <v>2</v>
      </c>
      <c r="H122" t="str">
        <f t="shared" si="9"/>
        <v>3</v>
      </c>
      <c r="I122" t="str">
        <f t="shared" si="10"/>
        <v/>
      </c>
      <c r="J122" t="str">
        <f t="shared" ca="1" si="11"/>
        <v>3</v>
      </c>
    </row>
    <row r="123" spans="1:10" ht="18.75" x14ac:dyDescent="0.25">
      <c r="A123" s="11" t="s">
        <v>1875</v>
      </c>
      <c r="B123">
        <f>IFERROR(COUNTIFS($A$1:A123,"Câu "&amp;"*")-MID(A123,5,FIND(".",A123,1)-5),0)</f>
        <v>0</v>
      </c>
      <c r="C123" t="b">
        <v>0</v>
      </c>
      <c r="E123" t="str">
        <f t="shared" si="6"/>
        <v>1</v>
      </c>
      <c r="F123" t="str">
        <f t="shared" si="7"/>
        <v>2</v>
      </c>
      <c r="G123" t="str">
        <f t="shared" si="8"/>
        <v>3</v>
      </c>
      <c r="H123" t="str">
        <f t="shared" si="9"/>
        <v/>
      </c>
      <c r="I123" t="str">
        <f t="shared" si="10"/>
        <v>1</v>
      </c>
      <c r="J123" t="str">
        <f t="shared" ca="1" si="11"/>
        <v/>
      </c>
    </row>
    <row r="124" spans="1:10" ht="18.75" x14ac:dyDescent="0.25">
      <c r="A124" s="11" t="s">
        <v>1876</v>
      </c>
      <c r="B124">
        <f>IFERROR(COUNTIFS($A$1:A124,"Câu "&amp;"*")-MID(A124,5,FIND(".",A124,1)-5),0)</f>
        <v>0</v>
      </c>
      <c r="C124" t="b">
        <v>0</v>
      </c>
      <c r="E124" t="str">
        <f t="shared" si="6"/>
        <v>2</v>
      </c>
      <c r="F124" t="str">
        <f t="shared" si="7"/>
        <v>3</v>
      </c>
      <c r="G124" t="str">
        <f t="shared" si="8"/>
        <v>Câu 33.</v>
      </c>
      <c r="H124" t="str">
        <f t="shared" si="9"/>
        <v>1</v>
      </c>
      <c r="I124" t="str">
        <f t="shared" si="10"/>
        <v>2</v>
      </c>
      <c r="J124" t="str">
        <f t="shared" ca="1" si="11"/>
        <v/>
      </c>
    </row>
    <row r="125" spans="1:10" ht="18.75" x14ac:dyDescent="0.25">
      <c r="A125" s="11" t="s">
        <v>1877</v>
      </c>
      <c r="B125">
        <f>IFERROR(COUNTIFS($A$1:A125,"Câu "&amp;"*")-MID(A125,5,FIND(".",A125,1)-5),0)</f>
        <v>0</v>
      </c>
      <c r="C125" t="b">
        <v>1</v>
      </c>
      <c r="E125" t="str">
        <f t="shared" si="6"/>
        <v>3</v>
      </c>
      <c r="F125" t="str">
        <f t="shared" si="7"/>
        <v>Câu 33.</v>
      </c>
      <c r="G125" t="str">
        <f t="shared" si="8"/>
        <v>1</v>
      </c>
      <c r="H125" t="str">
        <f t="shared" si="9"/>
        <v>2</v>
      </c>
      <c r="I125" t="str">
        <f t="shared" si="10"/>
        <v>3</v>
      </c>
      <c r="J125" t="str">
        <f t="shared" ca="1" si="11"/>
        <v/>
      </c>
    </row>
    <row r="126" spans="1:10" ht="18.75" x14ac:dyDescent="0.25">
      <c r="A126" s="10" t="s">
        <v>105</v>
      </c>
      <c r="B126">
        <f>IFERROR(COUNTIFS($A$1:A126,"Câu "&amp;"*")-MID(A126,5,FIND(".",A126,1)-5),0)</f>
        <v>0</v>
      </c>
      <c r="C126" t="b">
        <v>0</v>
      </c>
      <c r="E126" t="str">
        <f t="shared" si="6"/>
        <v>Câu 33.</v>
      </c>
      <c r="F126" t="str">
        <f t="shared" si="7"/>
        <v>1</v>
      </c>
      <c r="G126" t="str">
        <f t="shared" si="8"/>
        <v>2</v>
      </c>
      <c r="H126" t="str">
        <f t="shared" si="9"/>
        <v>3</v>
      </c>
      <c r="I126" t="str">
        <f t="shared" si="10"/>
        <v/>
      </c>
      <c r="J126" t="str">
        <f t="shared" ca="1" si="11"/>
        <v>3</v>
      </c>
    </row>
    <row r="127" spans="1:10" ht="18.75" x14ac:dyDescent="0.25">
      <c r="A127" s="11" t="s">
        <v>1878</v>
      </c>
      <c r="B127">
        <f>IFERROR(COUNTIFS($A$1:A127,"Câu "&amp;"*")-MID(A127,5,FIND(".",A127,1)-5),0)</f>
        <v>0</v>
      </c>
      <c r="C127" t="b">
        <v>0</v>
      </c>
      <c r="E127" t="str">
        <f t="shared" si="6"/>
        <v>1</v>
      </c>
      <c r="F127" t="str">
        <f t="shared" si="7"/>
        <v>2</v>
      </c>
      <c r="G127" t="str">
        <f t="shared" si="8"/>
        <v>3</v>
      </c>
      <c r="H127" t="str">
        <f t="shared" si="9"/>
        <v/>
      </c>
      <c r="I127" t="str">
        <f t="shared" si="10"/>
        <v>1</v>
      </c>
      <c r="J127" t="str">
        <f t="shared" ca="1" si="11"/>
        <v/>
      </c>
    </row>
    <row r="128" spans="1:10" ht="18.75" x14ac:dyDescent="0.25">
      <c r="A128" s="11" t="s">
        <v>1879</v>
      </c>
      <c r="B128">
        <f>IFERROR(COUNTIFS($A$1:A128,"Câu "&amp;"*")-MID(A128,5,FIND(".",A128,1)-5),0)</f>
        <v>0</v>
      </c>
      <c r="C128" t="b">
        <v>0</v>
      </c>
      <c r="E128" t="str">
        <f t="shared" si="6"/>
        <v>2</v>
      </c>
      <c r="F128" t="str">
        <f t="shared" si="7"/>
        <v>3</v>
      </c>
      <c r="G128" t="str">
        <f t="shared" si="8"/>
        <v>Câu 34.</v>
      </c>
      <c r="H128" t="str">
        <f t="shared" si="9"/>
        <v>1</v>
      </c>
      <c r="I128" t="str">
        <f t="shared" si="10"/>
        <v>2</v>
      </c>
      <c r="J128" t="str">
        <f t="shared" ca="1" si="11"/>
        <v/>
      </c>
    </row>
    <row r="129" spans="1:10" ht="18.75" x14ac:dyDescent="0.25">
      <c r="A129" s="11" t="s">
        <v>1880</v>
      </c>
      <c r="B129">
        <f>IFERROR(COUNTIFS($A$1:A129,"Câu "&amp;"*")-MID(A129,5,FIND(".",A129,1)-5),0)</f>
        <v>0</v>
      </c>
      <c r="C129" t="b">
        <v>1</v>
      </c>
      <c r="E129" t="str">
        <f t="shared" si="6"/>
        <v>3</v>
      </c>
      <c r="F129" t="str">
        <f t="shared" si="7"/>
        <v>Câu 34.</v>
      </c>
      <c r="G129" t="str">
        <f t="shared" si="8"/>
        <v>1</v>
      </c>
      <c r="H129" t="str">
        <f t="shared" si="9"/>
        <v>2</v>
      </c>
      <c r="I129" t="str">
        <f t="shared" si="10"/>
        <v>3</v>
      </c>
      <c r="J129" t="str">
        <f t="shared" ca="1" si="11"/>
        <v/>
      </c>
    </row>
    <row r="130" spans="1:10" ht="409.5" x14ac:dyDescent="0.25">
      <c r="A130" s="4" t="s">
        <v>109</v>
      </c>
      <c r="B130">
        <f>IFERROR(COUNTIFS($A$1:A130,"Câu "&amp;"*")-MID(A130,5,FIND(".",A130,1)-5),0)</f>
        <v>0</v>
      </c>
      <c r="C130" t="b">
        <v>0</v>
      </c>
      <c r="E130" t="str">
        <f t="shared" si="6"/>
        <v>Câu 34.</v>
      </c>
      <c r="F130" t="str">
        <f t="shared" si="7"/>
        <v>1</v>
      </c>
      <c r="G130" t="str">
        <f t="shared" si="8"/>
        <v>2</v>
      </c>
      <c r="H130" t="str">
        <f t="shared" si="9"/>
        <v>3</v>
      </c>
      <c r="I130" t="str">
        <f t="shared" si="10"/>
        <v/>
      </c>
      <c r="J130" t="str">
        <f t="shared" ca="1" si="11"/>
        <v>2</v>
      </c>
    </row>
    <row r="131" spans="1:10" ht="18.75" x14ac:dyDescent="0.25">
      <c r="A131" s="11" t="s">
        <v>1881</v>
      </c>
      <c r="B131">
        <f>IFERROR(COUNTIFS($A$1:A131,"Câu "&amp;"*")-MID(A131,5,FIND(".",A131,1)-5),0)</f>
        <v>0</v>
      </c>
      <c r="C131" t="b">
        <v>0</v>
      </c>
      <c r="E131" t="str">
        <f t="shared" ref="E131:E194" si="12">IF(LEFT(A131,3)="Câu",LEFT(A131,FIND(".",A131,1)),LEFT(A131,1))</f>
        <v>1</v>
      </c>
      <c r="F131" t="str">
        <f t="shared" ref="F131:F194" si="13">IF(LEFT(A132,3)="Câu",LEFT(A132,FIND(".",A132,1)),LEFT(A132,1))</f>
        <v>2</v>
      </c>
      <c r="G131" t="str">
        <f t="shared" ref="G131:G194" si="14">IF(LEFT(A133,3)="Câu",LEFT(A133,FIND(".",A133,1)),LEFT(A133,1))</f>
        <v>3</v>
      </c>
      <c r="H131" t="str">
        <f t="shared" ref="H131:H194" si="15">IF(LEFT(A134,3)="Câu","",LEFT(A134,1))</f>
        <v/>
      </c>
      <c r="I131" t="str">
        <f t="shared" ref="I131:I194" si="16">IF(LEFT(A135,3)="Câu","",LEFT(A135,1))</f>
        <v>1</v>
      </c>
      <c r="J131" t="str">
        <f t="shared" ref="J131:J194" ca="1" si="17">IFERROR(VLOOKUP(TRUE,INDIRECT("C"&amp;MATCH(E131,$E$1:$E$2471,0)&amp;":E"&amp;MATCH("Câu "&amp;VALUE(MID(E131,5,LEN(E131)-5))+1&amp;".",$E$1:$E$2471,0)),3,0),"")</f>
        <v/>
      </c>
    </row>
    <row r="132" spans="1:10" ht="18.75" x14ac:dyDescent="0.25">
      <c r="A132" s="11" t="s">
        <v>1882</v>
      </c>
      <c r="B132">
        <f>IFERROR(COUNTIFS($A$1:A132,"Câu "&amp;"*")-MID(A132,5,FIND(".",A132,1)-5),0)</f>
        <v>0</v>
      </c>
      <c r="C132" t="b">
        <v>1</v>
      </c>
      <c r="E132" t="str">
        <f t="shared" si="12"/>
        <v>2</v>
      </c>
      <c r="F132" t="str">
        <f t="shared" si="13"/>
        <v>3</v>
      </c>
      <c r="G132" t="str">
        <f t="shared" si="14"/>
        <v>Câu 35.</v>
      </c>
      <c r="H132" t="str">
        <f t="shared" si="15"/>
        <v>1</v>
      </c>
      <c r="I132" t="str">
        <f t="shared" si="16"/>
        <v>2</v>
      </c>
      <c r="J132" t="str">
        <f t="shared" ca="1" si="17"/>
        <v/>
      </c>
    </row>
    <row r="133" spans="1:10" ht="18.75" x14ac:dyDescent="0.25">
      <c r="A133" s="11" t="s">
        <v>1883</v>
      </c>
      <c r="B133">
        <f>IFERROR(COUNTIFS($A$1:A133,"Câu "&amp;"*")-MID(A133,5,FIND(".",A133,1)-5),0)</f>
        <v>0</v>
      </c>
      <c r="C133" t="b">
        <v>0</v>
      </c>
      <c r="E133" t="str">
        <f t="shared" si="12"/>
        <v>3</v>
      </c>
      <c r="F133" t="str">
        <f t="shared" si="13"/>
        <v>Câu 35.</v>
      </c>
      <c r="G133" t="str">
        <f t="shared" si="14"/>
        <v>1</v>
      </c>
      <c r="H133" t="str">
        <f t="shared" si="15"/>
        <v>2</v>
      </c>
      <c r="I133" t="str">
        <f t="shared" si="16"/>
        <v>3</v>
      </c>
      <c r="J133" t="str">
        <f t="shared" ca="1" si="17"/>
        <v/>
      </c>
    </row>
    <row r="134" spans="1:10" ht="18.75" x14ac:dyDescent="0.25">
      <c r="A134" s="10" t="s">
        <v>113</v>
      </c>
      <c r="B134">
        <f>IFERROR(COUNTIFS($A$1:A134,"Câu "&amp;"*")-MID(A134,5,FIND(".",A134,1)-5),0)</f>
        <v>0</v>
      </c>
      <c r="C134" t="b">
        <v>0</v>
      </c>
      <c r="E134" t="str">
        <f t="shared" si="12"/>
        <v>Câu 35.</v>
      </c>
      <c r="F134" t="str">
        <f t="shared" si="13"/>
        <v>1</v>
      </c>
      <c r="G134" t="str">
        <f t="shared" si="14"/>
        <v>2</v>
      </c>
      <c r="H134" t="str">
        <f t="shared" si="15"/>
        <v>3</v>
      </c>
      <c r="I134" t="str">
        <f t="shared" si="16"/>
        <v>4</v>
      </c>
      <c r="J134" t="str">
        <f t="shared" ca="1" si="17"/>
        <v>4</v>
      </c>
    </row>
    <row r="135" spans="1:10" ht="18.75" x14ac:dyDescent="0.25">
      <c r="A135" s="11" t="s">
        <v>1884</v>
      </c>
      <c r="B135">
        <f>IFERROR(COUNTIFS($A$1:A135,"Câu "&amp;"*")-MID(A135,5,FIND(".",A135,1)-5),0)</f>
        <v>0</v>
      </c>
      <c r="C135" t="b">
        <v>0</v>
      </c>
      <c r="E135" t="str">
        <f t="shared" si="12"/>
        <v>1</v>
      </c>
      <c r="F135" t="str">
        <f t="shared" si="13"/>
        <v>2</v>
      </c>
      <c r="G135" t="str">
        <f t="shared" si="14"/>
        <v>3</v>
      </c>
      <c r="H135" t="str">
        <f t="shared" si="15"/>
        <v>4</v>
      </c>
      <c r="I135" t="str">
        <f t="shared" si="16"/>
        <v/>
      </c>
      <c r="J135" t="str">
        <f t="shared" ca="1" si="17"/>
        <v/>
      </c>
    </row>
    <row r="136" spans="1:10" ht="18.75" x14ac:dyDescent="0.25">
      <c r="A136" s="11" t="s">
        <v>1885</v>
      </c>
      <c r="B136">
        <f>IFERROR(COUNTIFS($A$1:A136,"Câu "&amp;"*")-MID(A136,5,FIND(".",A136,1)-5),0)</f>
        <v>0</v>
      </c>
      <c r="C136" t="b">
        <v>0</v>
      </c>
      <c r="E136" t="str">
        <f t="shared" si="12"/>
        <v>2</v>
      </c>
      <c r="F136" t="str">
        <f t="shared" si="13"/>
        <v>3</v>
      </c>
      <c r="G136" t="str">
        <f t="shared" si="14"/>
        <v>4</v>
      </c>
      <c r="H136" t="str">
        <f t="shared" si="15"/>
        <v/>
      </c>
      <c r="I136" t="str">
        <f t="shared" si="16"/>
        <v>1</v>
      </c>
      <c r="J136" t="str">
        <f t="shared" ca="1" si="17"/>
        <v/>
      </c>
    </row>
    <row r="137" spans="1:10" ht="18.75" x14ac:dyDescent="0.25">
      <c r="A137" s="11" t="s">
        <v>1886</v>
      </c>
      <c r="B137">
        <f>IFERROR(COUNTIFS($A$1:A137,"Câu "&amp;"*")-MID(A137,5,FIND(".",A137,1)-5),0)</f>
        <v>0</v>
      </c>
      <c r="C137" t="b">
        <v>0</v>
      </c>
      <c r="E137" t="str">
        <f t="shared" si="12"/>
        <v>3</v>
      </c>
      <c r="F137" t="str">
        <f t="shared" si="13"/>
        <v>4</v>
      </c>
      <c r="G137" t="str">
        <f t="shared" si="14"/>
        <v>Câu 36.</v>
      </c>
      <c r="H137" t="str">
        <f t="shared" si="15"/>
        <v>1</v>
      </c>
      <c r="I137" t="str">
        <f t="shared" si="16"/>
        <v>2</v>
      </c>
      <c r="J137" t="str">
        <f t="shared" ca="1" si="17"/>
        <v/>
      </c>
    </row>
    <row r="138" spans="1:10" ht="18.75" x14ac:dyDescent="0.25">
      <c r="A138" s="11" t="s">
        <v>1865</v>
      </c>
      <c r="B138">
        <f>IFERROR(COUNTIFS($A$1:A138,"Câu "&amp;"*")-MID(A138,5,FIND(".",A138,1)-5),0)</f>
        <v>0</v>
      </c>
      <c r="C138" t="b">
        <v>1</v>
      </c>
      <c r="E138" t="str">
        <f t="shared" si="12"/>
        <v>4</v>
      </c>
      <c r="F138" t="str">
        <f t="shared" si="13"/>
        <v>Câu 36.</v>
      </c>
      <c r="G138" t="str">
        <f t="shared" si="14"/>
        <v>1</v>
      </c>
      <c r="H138" t="str">
        <f t="shared" si="15"/>
        <v>2</v>
      </c>
      <c r="I138" t="str">
        <f t="shared" si="16"/>
        <v>3</v>
      </c>
      <c r="J138" t="str">
        <f t="shared" ca="1" si="17"/>
        <v/>
      </c>
    </row>
    <row r="139" spans="1:10" ht="409.5" x14ac:dyDescent="0.25">
      <c r="A139" s="4" t="s">
        <v>117</v>
      </c>
      <c r="B139">
        <f>IFERROR(COUNTIFS($A$1:A139,"Câu "&amp;"*")-MID(A139,5,FIND(".",A139,1)-5),0)</f>
        <v>0</v>
      </c>
      <c r="C139" t="b">
        <v>0</v>
      </c>
      <c r="E139" t="str">
        <f t="shared" si="12"/>
        <v>Câu 36.</v>
      </c>
      <c r="F139" t="str">
        <f t="shared" si="13"/>
        <v>1</v>
      </c>
      <c r="G139" t="str">
        <f t="shared" si="14"/>
        <v>2</v>
      </c>
      <c r="H139" t="str">
        <f t="shared" si="15"/>
        <v>3</v>
      </c>
      <c r="I139" t="str">
        <f t="shared" si="16"/>
        <v>4</v>
      </c>
      <c r="J139" t="str">
        <f t="shared" ca="1" si="17"/>
        <v>4</v>
      </c>
    </row>
    <row r="140" spans="1:10" ht="168.75" x14ac:dyDescent="0.25">
      <c r="A140" s="3" t="s">
        <v>1887</v>
      </c>
      <c r="B140">
        <f>IFERROR(COUNTIFS($A$1:A140,"Câu "&amp;"*")-MID(A140,5,FIND(".",A140,1)-5),0)</f>
        <v>0</v>
      </c>
      <c r="C140" t="b">
        <v>0</v>
      </c>
      <c r="E140" t="str">
        <f t="shared" si="12"/>
        <v>1</v>
      </c>
      <c r="F140" t="str">
        <f t="shared" si="13"/>
        <v>2</v>
      </c>
      <c r="G140" t="str">
        <f t="shared" si="14"/>
        <v>3</v>
      </c>
      <c r="H140" t="str">
        <f t="shared" si="15"/>
        <v>4</v>
      </c>
      <c r="I140" t="str">
        <f t="shared" si="16"/>
        <v/>
      </c>
      <c r="J140" t="str">
        <f t="shared" ca="1" si="17"/>
        <v/>
      </c>
    </row>
    <row r="141" spans="1:10" ht="281.25" x14ac:dyDescent="0.25">
      <c r="A141" s="3" t="s">
        <v>1888</v>
      </c>
      <c r="B141">
        <f>IFERROR(COUNTIFS($A$1:A141,"Câu "&amp;"*")-MID(A141,5,FIND(".",A141,1)-5),0)</f>
        <v>0</v>
      </c>
      <c r="C141" t="b">
        <v>0</v>
      </c>
      <c r="E141" t="str">
        <f t="shared" si="12"/>
        <v>2</v>
      </c>
      <c r="F141" t="str">
        <f t="shared" si="13"/>
        <v>3</v>
      </c>
      <c r="G141" t="str">
        <f t="shared" si="14"/>
        <v>4</v>
      </c>
      <c r="H141" t="str">
        <f t="shared" si="15"/>
        <v/>
      </c>
      <c r="I141" t="str">
        <f t="shared" si="16"/>
        <v>1</v>
      </c>
      <c r="J141" t="str">
        <f t="shared" ca="1" si="17"/>
        <v/>
      </c>
    </row>
    <row r="142" spans="1:10" ht="409.5" x14ac:dyDescent="0.25">
      <c r="A142" s="3" t="s">
        <v>1889</v>
      </c>
      <c r="B142">
        <f>IFERROR(COUNTIFS($A$1:A142,"Câu "&amp;"*")-MID(A142,5,FIND(".",A142,1)-5),0)</f>
        <v>0</v>
      </c>
      <c r="C142" t="b">
        <v>0</v>
      </c>
      <c r="E142" t="str">
        <f t="shared" si="12"/>
        <v>3</v>
      </c>
      <c r="F142" t="str">
        <f t="shared" si="13"/>
        <v>4</v>
      </c>
      <c r="G142" t="str">
        <f t="shared" si="14"/>
        <v>Câu 37.</v>
      </c>
      <c r="H142" t="str">
        <f t="shared" si="15"/>
        <v>1</v>
      </c>
      <c r="I142" t="str">
        <f t="shared" si="16"/>
        <v>2</v>
      </c>
      <c r="J142" t="str">
        <f t="shared" ca="1" si="17"/>
        <v/>
      </c>
    </row>
    <row r="143" spans="1:10" ht="409.5" x14ac:dyDescent="0.25">
      <c r="A143" s="3" t="s">
        <v>1890</v>
      </c>
      <c r="B143">
        <f>IFERROR(COUNTIFS($A$1:A143,"Câu "&amp;"*")-MID(A143,5,FIND(".",A143,1)-5),0)</f>
        <v>0</v>
      </c>
      <c r="C143" t="b">
        <v>1</v>
      </c>
      <c r="E143" t="str">
        <f t="shared" si="12"/>
        <v>4</v>
      </c>
      <c r="F143" t="str">
        <f t="shared" si="13"/>
        <v>Câu 37.</v>
      </c>
      <c r="G143" t="str">
        <f t="shared" si="14"/>
        <v>1</v>
      </c>
      <c r="H143" t="str">
        <f t="shared" si="15"/>
        <v>2</v>
      </c>
      <c r="I143" t="str">
        <f t="shared" si="16"/>
        <v>3</v>
      </c>
      <c r="J143" t="str">
        <f t="shared" ca="1" si="17"/>
        <v/>
      </c>
    </row>
    <row r="144" spans="1:10" ht="409.5" x14ac:dyDescent="0.25">
      <c r="A144" s="4" t="s">
        <v>122</v>
      </c>
      <c r="B144">
        <f>IFERROR(COUNTIFS($A$1:A144,"Câu "&amp;"*")-MID(A144,5,FIND(".",A144,1)-5),0)</f>
        <v>0</v>
      </c>
      <c r="C144" t="b">
        <v>0</v>
      </c>
      <c r="E144" t="str">
        <f t="shared" si="12"/>
        <v>Câu 37.</v>
      </c>
      <c r="F144" t="str">
        <f t="shared" si="13"/>
        <v>1</v>
      </c>
      <c r="G144" t="str">
        <f t="shared" si="14"/>
        <v>2</v>
      </c>
      <c r="H144" t="str">
        <f t="shared" si="15"/>
        <v>3</v>
      </c>
      <c r="I144" t="str">
        <f t="shared" si="16"/>
        <v>4</v>
      </c>
      <c r="J144" t="str">
        <f t="shared" ca="1" si="17"/>
        <v>3</v>
      </c>
    </row>
    <row r="145" spans="1:10" ht="18.75" x14ac:dyDescent="0.25">
      <c r="A145" s="11" t="s">
        <v>1891</v>
      </c>
      <c r="B145">
        <f>IFERROR(COUNTIFS($A$1:A145,"Câu "&amp;"*")-MID(A145,5,FIND(".",A145,1)-5),0)</f>
        <v>0</v>
      </c>
      <c r="C145" t="b">
        <v>0</v>
      </c>
      <c r="E145" t="str">
        <f t="shared" si="12"/>
        <v>1</v>
      </c>
      <c r="F145" t="str">
        <f t="shared" si="13"/>
        <v>2</v>
      </c>
      <c r="G145" t="str">
        <f t="shared" si="14"/>
        <v>3</v>
      </c>
      <c r="H145" t="str">
        <f t="shared" si="15"/>
        <v>4</v>
      </c>
      <c r="I145" t="str">
        <f t="shared" si="16"/>
        <v/>
      </c>
      <c r="J145" t="str">
        <f t="shared" ca="1" si="17"/>
        <v/>
      </c>
    </row>
    <row r="146" spans="1:10" ht="18.75" x14ac:dyDescent="0.25">
      <c r="A146" s="11" t="s">
        <v>1892</v>
      </c>
      <c r="B146">
        <f>IFERROR(COUNTIFS($A$1:A146,"Câu "&amp;"*")-MID(A146,5,FIND(".",A146,1)-5),0)</f>
        <v>0</v>
      </c>
      <c r="C146" t="b">
        <v>0</v>
      </c>
      <c r="E146" t="str">
        <f t="shared" si="12"/>
        <v>2</v>
      </c>
      <c r="F146" t="str">
        <f t="shared" si="13"/>
        <v>3</v>
      </c>
      <c r="G146" t="str">
        <f t="shared" si="14"/>
        <v>4</v>
      </c>
      <c r="H146" t="str">
        <f t="shared" si="15"/>
        <v/>
      </c>
      <c r="I146" t="str">
        <f t="shared" si="16"/>
        <v>1</v>
      </c>
      <c r="J146" t="str">
        <f t="shared" ca="1" si="17"/>
        <v/>
      </c>
    </row>
    <row r="147" spans="1:10" ht="18.75" x14ac:dyDescent="0.25">
      <c r="A147" s="11" t="s">
        <v>1893</v>
      </c>
      <c r="B147">
        <f>IFERROR(COUNTIFS($A$1:A147,"Câu "&amp;"*")-MID(A147,5,FIND(".",A147,1)-5),0)</f>
        <v>0</v>
      </c>
      <c r="C147" t="b">
        <v>1</v>
      </c>
      <c r="E147" t="str">
        <f t="shared" si="12"/>
        <v>3</v>
      </c>
      <c r="F147" t="str">
        <f t="shared" si="13"/>
        <v>4</v>
      </c>
      <c r="G147" t="str">
        <f t="shared" si="14"/>
        <v>Câu 38.</v>
      </c>
      <c r="H147" t="str">
        <f t="shared" si="15"/>
        <v>1</v>
      </c>
      <c r="I147" t="str">
        <f t="shared" si="16"/>
        <v>2</v>
      </c>
      <c r="J147" t="str">
        <f t="shared" ca="1" si="17"/>
        <v/>
      </c>
    </row>
    <row r="148" spans="1:10" ht="18.75" x14ac:dyDescent="0.25">
      <c r="A148" s="11" t="s">
        <v>1894</v>
      </c>
      <c r="B148">
        <f>IFERROR(COUNTIFS($A$1:A148,"Câu "&amp;"*")-MID(A148,5,FIND(".",A148,1)-5),0)</f>
        <v>0</v>
      </c>
      <c r="C148" t="b">
        <v>0</v>
      </c>
      <c r="E148" t="str">
        <f t="shared" si="12"/>
        <v>4</v>
      </c>
      <c r="F148" t="str">
        <f t="shared" si="13"/>
        <v>Câu 38.</v>
      </c>
      <c r="G148" t="str">
        <f t="shared" si="14"/>
        <v>1</v>
      </c>
      <c r="H148" t="str">
        <f t="shared" si="15"/>
        <v>2</v>
      </c>
      <c r="I148" t="str">
        <f t="shared" si="16"/>
        <v>3</v>
      </c>
      <c r="J148" t="str">
        <f t="shared" ca="1" si="17"/>
        <v/>
      </c>
    </row>
    <row r="149" spans="1:10" ht="409.5" x14ac:dyDescent="0.25">
      <c r="A149" s="4" t="s">
        <v>127</v>
      </c>
      <c r="B149">
        <f>IFERROR(COUNTIFS($A$1:A149,"Câu "&amp;"*")-MID(A149,5,FIND(".",A149,1)-5),0)</f>
        <v>0</v>
      </c>
      <c r="C149" t="b">
        <v>0</v>
      </c>
      <c r="E149" t="str">
        <f t="shared" si="12"/>
        <v>Câu 38.</v>
      </c>
      <c r="F149" t="str">
        <f t="shared" si="13"/>
        <v>1</v>
      </c>
      <c r="G149" t="str">
        <f t="shared" si="14"/>
        <v>2</v>
      </c>
      <c r="H149" t="str">
        <f t="shared" si="15"/>
        <v>3</v>
      </c>
      <c r="I149" t="str">
        <f t="shared" si="16"/>
        <v/>
      </c>
      <c r="J149" t="str">
        <f t="shared" ca="1" si="17"/>
        <v>1</v>
      </c>
    </row>
    <row r="150" spans="1:10" ht="18.75" x14ac:dyDescent="0.25">
      <c r="A150" s="11" t="s">
        <v>1895</v>
      </c>
      <c r="B150">
        <f>IFERROR(COUNTIFS($A$1:A150,"Câu "&amp;"*")-MID(A150,5,FIND(".",A150,1)-5),0)</f>
        <v>0</v>
      </c>
      <c r="C150" t="b">
        <v>1</v>
      </c>
      <c r="E150" t="str">
        <f t="shared" si="12"/>
        <v>1</v>
      </c>
      <c r="F150" t="str">
        <f t="shared" si="13"/>
        <v>2</v>
      </c>
      <c r="G150" t="str">
        <f t="shared" si="14"/>
        <v>3</v>
      </c>
      <c r="H150" t="str">
        <f t="shared" si="15"/>
        <v/>
      </c>
      <c r="I150" t="str">
        <f t="shared" si="16"/>
        <v>1</v>
      </c>
      <c r="J150" t="str">
        <f t="shared" ca="1" si="17"/>
        <v/>
      </c>
    </row>
    <row r="151" spans="1:10" ht="18.75" x14ac:dyDescent="0.25">
      <c r="A151" s="11" t="s">
        <v>1896</v>
      </c>
      <c r="B151">
        <f>IFERROR(COUNTIFS($A$1:A151,"Câu "&amp;"*")-MID(A151,5,FIND(".",A151,1)-5),0)</f>
        <v>0</v>
      </c>
      <c r="C151" t="b">
        <v>0</v>
      </c>
      <c r="E151" t="str">
        <f t="shared" si="12"/>
        <v>2</v>
      </c>
      <c r="F151" t="str">
        <f t="shared" si="13"/>
        <v>3</v>
      </c>
      <c r="G151" t="str">
        <f t="shared" si="14"/>
        <v>Câu 39.</v>
      </c>
      <c r="H151" t="str">
        <f t="shared" si="15"/>
        <v>1</v>
      </c>
      <c r="I151" t="str">
        <f t="shared" si="16"/>
        <v>2</v>
      </c>
      <c r="J151" t="str">
        <f t="shared" ca="1" si="17"/>
        <v/>
      </c>
    </row>
    <row r="152" spans="1:10" ht="18.75" x14ac:dyDescent="0.25">
      <c r="A152" s="11" t="s">
        <v>1897</v>
      </c>
      <c r="B152">
        <f>IFERROR(COUNTIFS($A$1:A152,"Câu "&amp;"*")-MID(A152,5,FIND(".",A152,1)-5),0)</f>
        <v>0</v>
      </c>
      <c r="C152" t="b">
        <v>0</v>
      </c>
      <c r="E152" t="str">
        <f t="shared" si="12"/>
        <v>3</v>
      </c>
      <c r="F152" t="str">
        <f t="shared" si="13"/>
        <v>Câu 39.</v>
      </c>
      <c r="G152" t="str">
        <f t="shared" si="14"/>
        <v>1</v>
      </c>
      <c r="H152" t="str">
        <f t="shared" si="15"/>
        <v>2</v>
      </c>
      <c r="I152" t="str">
        <f t="shared" si="16"/>
        <v>3</v>
      </c>
      <c r="J152" t="str">
        <f t="shared" ca="1" si="17"/>
        <v/>
      </c>
    </row>
    <row r="153" spans="1:10" ht="409.5" x14ac:dyDescent="0.25">
      <c r="A153" s="4" t="s">
        <v>131</v>
      </c>
      <c r="B153">
        <f>IFERROR(COUNTIFS($A$1:A153,"Câu "&amp;"*")-MID(A153,5,FIND(".",A153,1)-5),0)</f>
        <v>0</v>
      </c>
      <c r="C153" t="b">
        <v>0</v>
      </c>
      <c r="E153" t="str">
        <f t="shared" si="12"/>
        <v>Câu 39.</v>
      </c>
      <c r="F153" t="str">
        <f t="shared" si="13"/>
        <v>1</v>
      </c>
      <c r="G153" t="str">
        <f t="shared" si="14"/>
        <v>2</v>
      </c>
      <c r="H153" t="str">
        <f t="shared" si="15"/>
        <v>3</v>
      </c>
      <c r="I153" t="str">
        <f t="shared" si="16"/>
        <v/>
      </c>
      <c r="J153" t="str">
        <f t="shared" ca="1" si="17"/>
        <v>2</v>
      </c>
    </row>
    <row r="154" spans="1:10" ht="18.75" x14ac:dyDescent="0.25">
      <c r="A154" s="11" t="s">
        <v>1898</v>
      </c>
      <c r="B154">
        <f>IFERROR(COUNTIFS($A$1:A154,"Câu "&amp;"*")-MID(A154,5,FIND(".",A154,1)-5),0)</f>
        <v>0</v>
      </c>
      <c r="C154" t="b">
        <v>0</v>
      </c>
      <c r="E154" t="str">
        <f t="shared" si="12"/>
        <v>1</v>
      </c>
      <c r="F154" t="str">
        <f t="shared" si="13"/>
        <v>2</v>
      </c>
      <c r="G154" t="str">
        <f t="shared" si="14"/>
        <v>3</v>
      </c>
      <c r="H154" t="str">
        <f t="shared" si="15"/>
        <v/>
      </c>
      <c r="I154" t="str">
        <f t="shared" si="16"/>
        <v>1</v>
      </c>
      <c r="J154" t="str">
        <f t="shared" ca="1" si="17"/>
        <v/>
      </c>
    </row>
    <row r="155" spans="1:10" ht="18.75" x14ac:dyDescent="0.25">
      <c r="A155" s="11" t="s">
        <v>1899</v>
      </c>
      <c r="B155">
        <f>IFERROR(COUNTIFS($A$1:A155,"Câu "&amp;"*")-MID(A155,5,FIND(".",A155,1)-5),0)</f>
        <v>0</v>
      </c>
      <c r="C155" t="b">
        <v>1</v>
      </c>
      <c r="E155" t="str">
        <f t="shared" si="12"/>
        <v>2</v>
      </c>
      <c r="F155" t="str">
        <f t="shared" si="13"/>
        <v>3</v>
      </c>
      <c r="G155" t="str">
        <f t="shared" si="14"/>
        <v>Câu 40.</v>
      </c>
      <c r="H155" t="str">
        <f t="shared" si="15"/>
        <v>1</v>
      </c>
      <c r="I155" t="str">
        <f t="shared" si="16"/>
        <v>2</v>
      </c>
      <c r="J155" t="str">
        <f t="shared" ca="1" si="17"/>
        <v/>
      </c>
    </row>
    <row r="156" spans="1:10" ht="18.75" x14ac:dyDescent="0.25">
      <c r="A156" s="11" t="s">
        <v>1900</v>
      </c>
      <c r="B156">
        <f>IFERROR(COUNTIFS($A$1:A156,"Câu "&amp;"*")-MID(A156,5,FIND(".",A156,1)-5),0)</f>
        <v>0</v>
      </c>
      <c r="C156" t="b">
        <v>0</v>
      </c>
      <c r="E156" t="str">
        <f t="shared" si="12"/>
        <v>3</v>
      </c>
      <c r="F156" t="str">
        <f t="shared" si="13"/>
        <v>Câu 40.</v>
      </c>
      <c r="G156" t="str">
        <f t="shared" si="14"/>
        <v>1</v>
      </c>
      <c r="H156" t="str">
        <f t="shared" si="15"/>
        <v>2</v>
      </c>
      <c r="I156" t="str">
        <f t="shared" si="16"/>
        <v>3</v>
      </c>
      <c r="J156" t="str">
        <f t="shared" ca="1" si="17"/>
        <v/>
      </c>
    </row>
    <row r="157" spans="1:10" ht="409.5" x14ac:dyDescent="0.25">
      <c r="A157" s="4" t="s">
        <v>135</v>
      </c>
      <c r="B157">
        <f>IFERROR(COUNTIFS($A$1:A157,"Câu "&amp;"*")-MID(A157,5,FIND(".",A157,1)-5),0)</f>
        <v>0</v>
      </c>
      <c r="C157" t="b">
        <v>0</v>
      </c>
      <c r="E157" t="str">
        <f t="shared" si="12"/>
        <v>Câu 40.</v>
      </c>
      <c r="F157" t="str">
        <f t="shared" si="13"/>
        <v>1</v>
      </c>
      <c r="G157" t="str">
        <f t="shared" si="14"/>
        <v>2</v>
      </c>
      <c r="H157" t="str">
        <f t="shared" si="15"/>
        <v>3</v>
      </c>
      <c r="I157" t="str">
        <f t="shared" si="16"/>
        <v/>
      </c>
      <c r="J157" t="str">
        <f t="shared" ca="1" si="17"/>
        <v>1</v>
      </c>
    </row>
    <row r="158" spans="1:10" ht="409.5" x14ac:dyDescent="0.25">
      <c r="A158" s="3" t="s">
        <v>1901</v>
      </c>
      <c r="B158">
        <f>IFERROR(COUNTIFS($A$1:A158,"Câu "&amp;"*")-MID(A158,5,FIND(".",A158,1)-5),0)</f>
        <v>0</v>
      </c>
      <c r="C158" t="b">
        <v>1</v>
      </c>
      <c r="E158" t="str">
        <f t="shared" si="12"/>
        <v>1</v>
      </c>
      <c r="F158" t="str">
        <f t="shared" si="13"/>
        <v>2</v>
      </c>
      <c r="G158" t="str">
        <f t="shared" si="14"/>
        <v>3</v>
      </c>
      <c r="H158" t="str">
        <f t="shared" si="15"/>
        <v/>
      </c>
      <c r="I158" t="str">
        <f t="shared" si="16"/>
        <v>1</v>
      </c>
      <c r="J158" t="str">
        <f t="shared" ca="1" si="17"/>
        <v/>
      </c>
    </row>
    <row r="159" spans="1:10" ht="18.75" x14ac:dyDescent="0.25">
      <c r="A159" s="11" t="s">
        <v>1902</v>
      </c>
      <c r="B159">
        <f>IFERROR(COUNTIFS($A$1:A159,"Câu "&amp;"*")-MID(A159,5,FIND(".",A159,1)-5),0)</f>
        <v>0</v>
      </c>
      <c r="C159" t="b">
        <v>0</v>
      </c>
      <c r="E159" t="str">
        <f t="shared" si="12"/>
        <v>2</v>
      </c>
      <c r="F159" t="str">
        <f t="shared" si="13"/>
        <v>3</v>
      </c>
      <c r="G159" t="str">
        <f t="shared" si="14"/>
        <v>Câu 41.</v>
      </c>
      <c r="H159" t="str">
        <f t="shared" si="15"/>
        <v>1</v>
      </c>
      <c r="I159" t="str">
        <f t="shared" si="16"/>
        <v>2</v>
      </c>
      <c r="J159" t="str">
        <f t="shared" ca="1" si="17"/>
        <v/>
      </c>
    </row>
    <row r="160" spans="1:10" ht="18.75" x14ac:dyDescent="0.25">
      <c r="A160" s="11" t="s">
        <v>1903</v>
      </c>
      <c r="B160">
        <f>IFERROR(COUNTIFS($A$1:A160,"Câu "&amp;"*")-MID(A160,5,FIND(".",A160,1)-5),0)</f>
        <v>0</v>
      </c>
      <c r="C160" t="b">
        <v>0</v>
      </c>
      <c r="E160" t="str">
        <f t="shared" si="12"/>
        <v>3</v>
      </c>
      <c r="F160" t="str">
        <f t="shared" si="13"/>
        <v>Câu 41.</v>
      </c>
      <c r="G160" t="str">
        <f t="shared" si="14"/>
        <v>1</v>
      </c>
      <c r="H160" t="str">
        <f t="shared" si="15"/>
        <v>2</v>
      </c>
      <c r="I160" t="str">
        <f t="shared" si="16"/>
        <v>3</v>
      </c>
      <c r="J160" t="str">
        <f t="shared" ca="1" si="17"/>
        <v/>
      </c>
    </row>
    <row r="161" spans="1:10" ht="18.75" x14ac:dyDescent="0.25">
      <c r="A161" s="10" t="s">
        <v>139</v>
      </c>
      <c r="B161">
        <f>IFERROR(COUNTIFS($A$1:A161,"Câu "&amp;"*")-MID(A161,5,FIND(".",A161,1)-5),0)</f>
        <v>0</v>
      </c>
      <c r="C161" t="b">
        <v>0</v>
      </c>
      <c r="E161" t="str">
        <f t="shared" si="12"/>
        <v>Câu 41.</v>
      </c>
      <c r="F161" t="str">
        <f t="shared" si="13"/>
        <v>1</v>
      </c>
      <c r="G161" t="str">
        <f t="shared" si="14"/>
        <v>2</v>
      </c>
      <c r="H161" t="str">
        <f t="shared" si="15"/>
        <v>3</v>
      </c>
      <c r="I161" t="str">
        <f t="shared" si="16"/>
        <v/>
      </c>
      <c r="J161" t="str">
        <f t="shared" ca="1" si="17"/>
        <v>3</v>
      </c>
    </row>
    <row r="162" spans="1:10" ht="18.75" x14ac:dyDescent="0.25">
      <c r="A162" s="11" t="s">
        <v>1904</v>
      </c>
      <c r="B162">
        <f>IFERROR(COUNTIFS($A$1:A162,"Câu "&amp;"*")-MID(A162,5,FIND(".",A162,1)-5),0)</f>
        <v>0</v>
      </c>
      <c r="C162" t="b">
        <v>0</v>
      </c>
      <c r="E162" t="str">
        <f t="shared" si="12"/>
        <v>1</v>
      </c>
      <c r="F162" t="str">
        <f t="shared" si="13"/>
        <v>2</v>
      </c>
      <c r="G162" t="str">
        <f t="shared" si="14"/>
        <v>3</v>
      </c>
      <c r="H162" t="str">
        <f t="shared" si="15"/>
        <v/>
      </c>
      <c r="I162" t="str">
        <f t="shared" si="16"/>
        <v>1</v>
      </c>
      <c r="J162" t="str">
        <f t="shared" ca="1" si="17"/>
        <v/>
      </c>
    </row>
    <row r="163" spans="1:10" ht="18.75" x14ac:dyDescent="0.25">
      <c r="A163" s="11" t="s">
        <v>1905</v>
      </c>
      <c r="B163">
        <f>IFERROR(COUNTIFS($A$1:A163,"Câu "&amp;"*")-MID(A163,5,FIND(".",A163,1)-5),0)</f>
        <v>0</v>
      </c>
      <c r="C163" t="b">
        <v>0</v>
      </c>
      <c r="E163" t="str">
        <f t="shared" si="12"/>
        <v>2</v>
      </c>
      <c r="F163" t="str">
        <f t="shared" si="13"/>
        <v>3</v>
      </c>
      <c r="G163" t="str">
        <f t="shared" si="14"/>
        <v>Câu 42.</v>
      </c>
      <c r="H163" t="str">
        <f t="shared" si="15"/>
        <v>1</v>
      </c>
      <c r="I163" t="str">
        <f t="shared" si="16"/>
        <v>2</v>
      </c>
      <c r="J163" t="str">
        <f t="shared" ca="1" si="17"/>
        <v/>
      </c>
    </row>
    <row r="164" spans="1:10" ht="18.75" x14ac:dyDescent="0.25">
      <c r="A164" s="11" t="s">
        <v>1906</v>
      </c>
      <c r="B164">
        <f>IFERROR(COUNTIFS($A$1:A164,"Câu "&amp;"*")-MID(A164,5,FIND(".",A164,1)-5),0)</f>
        <v>0</v>
      </c>
      <c r="C164" t="b">
        <v>1</v>
      </c>
      <c r="E164" t="str">
        <f t="shared" si="12"/>
        <v>3</v>
      </c>
      <c r="F164" t="str">
        <f t="shared" si="13"/>
        <v>Câu 42.</v>
      </c>
      <c r="G164" t="str">
        <f t="shared" si="14"/>
        <v>1</v>
      </c>
      <c r="H164" t="str">
        <f t="shared" si="15"/>
        <v>2</v>
      </c>
      <c r="I164" t="str">
        <f t="shared" si="16"/>
        <v/>
      </c>
      <c r="J164" t="str">
        <f t="shared" ca="1" si="17"/>
        <v/>
      </c>
    </row>
    <row r="165" spans="1:10" ht="18.75" x14ac:dyDescent="0.25">
      <c r="A165" s="10" t="s">
        <v>143</v>
      </c>
      <c r="B165">
        <f>IFERROR(COUNTIFS($A$1:A165,"Câu "&amp;"*")-MID(A165,5,FIND(".",A165,1)-5),0)</f>
        <v>0</v>
      </c>
      <c r="C165" t="b">
        <v>0</v>
      </c>
      <c r="E165" t="str">
        <f t="shared" si="12"/>
        <v>Câu 42.</v>
      </c>
      <c r="F165" t="str">
        <f t="shared" si="13"/>
        <v>1</v>
      </c>
      <c r="G165" t="str">
        <f t="shared" si="14"/>
        <v>2</v>
      </c>
      <c r="H165" t="str">
        <f t="shared" si="15"/>
        <v/>
      </c>
      <c r="I165" t="str">
        <f t="shared" si="16"/>
        <v>1</v>
      </c>
      <c r="J165" t="str">
        <f t="shared" ca="1" si="17"/>
        <v>1</v>
      </c>
    </row>
    <row r="166" spans="1:10" ht="409.5" x14ac:dyDescent="0.25">
      <c r="A166" s="3" t="s">
        <v>1907</v>
      </c>
      <c r="B166">
        <f>IFERROR(COUNTIFS($A$1:A166,"Câu "&amp;"*")-MID(A166,5,FIND(".",A166,1)-5),0)</f>
        <v>0</v>
      </c>
      <c r="C166" t="b">
        <v>1</v>
      </c>
      <c r="E166" t="str">
        <f t="shared" si="12"/>
        <v>1</v>
      </c>
      <c r="F166" t="str">
        <f t="shared" si="13"/>
        <v>2</v>
      </c>
      <c r="G166" t="str">
        <f t="shared" si="14"/>
        <v>Câu 43.</v>
      </c>
      <c r="H166" t="str">
        <f t="shared" si="15"/>
        <v>1</v>
      </c>
      <c r="I166" t="str">
        <f t="shared" si="16"/>
        <v>2</v>
      </c>
      <c r="J166" t="str">
        <f t="shared" ca="1" si="17"/>
        <v/>
      </c>
    </row>
    <row r="167" spans="1:10" ht="356.25" x14ac:dyDescent="0.25">
      <c r="A167" s="3" t="s">
        <v>1908</v>
      </c>
      <c r="B167">
        <f>IFERROR(COUNTIFS($A$1:A167,"Câu "&amp;"*")-MID(A167,5,FIND(".",A167,1)-5),0)</f>
        <v>0</v>
      </c>
      <c r="C167" t="b">
        <v>0</v>
      </c>
      <c r="E167" t="str">
        <f t="shared" si="12"/>
        <v>2</v>
      </c>
      <c r="F167" t="str">
        <f t="shared" si="13"/>
        <v>Câu 43.</v>
      </c>
      <c r="G167" t="str">
        <f t="shared" si="14"/>
        <v>1</v>
      </c>
      <c r="H167" t="str">
        <f t="shared" si="15"/>
        <v>2</v>
      </c>
      <c r="I167" t="str">
        <f t="shared" si="16"/>
        <v>3</v>
      </c>
      <c r="J167" t="str">
        <f t="shared" ca="1" si="17"/>
        <v/>
      </c>
    </row>
    <row r="168" spans="1:10" ht="281.25" x14ac:dyDescent="0.25">
      <c r="A168" s="4" t="s">
        <v>146</v>
      </c>
      <c r="B168">
        <f>IFERROR(COUNTIFS($A$1:A168,"Câu "&amp;"*")-MID(A168,5,FIND(".",A168,1)-5),0)</f>
        <v>0</v>
      </c>
      <c r="C168" t="b">
        <v>0</v>
      </c>
      <c r="E168" t="str">
        <f t="shared" si="12"/>
        <v>Câu 43.</v>
      </c>
      <c r="F168" t="str">
        <f t="shared" si="13"/>
        <v>1</v>
      </c>
      <c r="G168" t="str">
        <f t="shared" si="14"/>
        <v>2</v>
      </c>
      <c r="H168" t="str">
        <f t="shared" si="15"/>
        <v>3</v>
      </c>
      <c r="I168" t="str">
        <f t="shared" si="16"/>
        <v/>
      </c>
      <c r="J168" t="str">
        <f t="shared" ca="1" si="17"/>
        <v>2</v>
      </c>
    </row>
    <row r="169" spans="1:10" ht="18.75" x14ac:dyDescent="0.25">
      <c r="A169" s="11" t="s">
        <v>1909</v>
      </c>
      <c r="B169">
        <f>IFERROR(COUNTIFS($A$1:A169,"Câu "&amp;"*")-MID(A169,5,FIND(".",A169,1)-5),0)</f>
        <v>0</v>
      </c>
      <c r="C169" t="b">
        <v>0</v>
      </c>
      <c r="E169" t="str">
        <f t="shared" si="12"/>
        <v>1</v>
      </c>
      <c r="F169" t="str">
        <f t="shared" si="13"/>
        <v>2</v>
      </c>
      <c r="G169" t="str">
        <f t="shared" si="14"/>
        <v>3</v>
      </c>
      <c r="H169" t="str">
        <f t="shared" si="15"/>
        <v/>
      </c>
      <c r="I169" t="str">
        <f t="shared" si="16"/>
        <v>1</v>
      </c>
      <c r="J169" t="str">
        <f t="shared" ca="1" si="17"/>
        <v/>
      </c>
    </row>
    <row r="170" spans="1:10" ht="18.75" x14ac:dyDescent="0.25">
      <c r="A170" s="11" t="s">
        <v>1910</v>
      </c>
      <c r="B170">
        <f>IFERROR(COUNTIFS($A$1:A170,"Câu "&amp;"*")-MID(A170,5,FIND(".",A170,1)-5),0)</f>
        <v>0</v>
      </c>
      <c r="C170" t="b">
        <v>1</v>
      </c>
      <c r="E170" t="str">
        <f t="shared" si="12"/>
        <v>2</v>
      </c>
      <c r="F170" t="str">
        <f t="shared" si="13"/>
        <v>3</v>
      </c>
      <c r="G170" t="str">
        <f t="shared" si="14"/>
        <v>Câu 44.</v>
      </c>
      <c r="H170" t="str">
        <f t="shared" si="15"/>
        <v>1</v>
      </c>
      <c r="I170" t="str">
        <f t="shared" si="16"/>
        <v>2</v>
      </c>
      <c r="J170" t="str">
        <f t="shared" ca="1" si="17"/>
        <v/>
      </c>
    </row>
    <row r="171" spans="1:10" ht="18.75" x14ac:dyDescent="0.25">
      <c r="A171" s="11" t="s">
        <v>1911</v>
      </c>
      <c r="B171">
        <f>IFERROR(COUNTIFS($A$1:A171,"Câu "&amp;"*")-MID(A171,5,FIND(".",A171,1)-5),0)</f>
        <v>0</v>
      </c>
      <c r="C171" t="b">
        <v>0</v>
      </c>
      <c r="E171" t="str">
        <f t="shared" si="12"/>
        <v>3</v>
      </c>
      <c r="F171" t="str">
        <f t="shared" si="13"/>
        <v>Câu 44.</v>
      </c>
      <c r="G171" t="str">
        <f t="shared" si="14"/>
        <v>1</v>
      </c>
      <c r="H171" t="str">
        <f t="shared" si="15"/>
        <v>2</v>
      </c>
      <c r="I171" t="str">
        <f t="shared" si="16"/>
        <v>3</v>
      </c>
      <c r="J171" t="str">
        <f t="shared" ca="1" si="17"/>
        <v/>
      </c>
    </row>
    <row r="172" spans="1:10" ht="18.75" x14ac:dyDescent="0.25">
      <c r="A172" s="10" t="s">
        <v>150</v>
      </c>
      <c r="B172">
        <f>IFERROR(COUNTIFS($A$1:A172,"Câu "&amp;"*")-MID(A172,5,FIND(".",A172,1)-5),0)</f>
        <v>0</v>
      </c>
      <c r="C172" t="b">
        <v>0</v>
      </c>
      <c r="E172" t="str">
        <f t="shared" si="12"/>
        <v>Câu 44.</v>
      </c>
      <c r="F172" t="str">
        <f t="shared" si="13"/>
        <v>1</v>
      </c>
      <c r="G172" t="str">
        <f t="shared" si="14"/>
        <v>2</v>
      </c>
      <c r="H172" t="str">
        <f t="shared" si="15"/>
        <v>3</v>
      </c>
      <c r="I172" t="str">
        <f t="shared" si="16"/>
        <v/>
      </c>
      <c r="J172" t="str">
        <f t="shared" ca="1" si="17"/>
        <v>2</v>
      </c>
    </row>
    <row r="173" spans="1:10" ht="18.75" x14ac:dyDescent="0.25">
      <c r="A173" s="11" t="s">
        <v>1912</v>
      </c>
      <c r="B173">
        <f>IFERROR(COUNTIFS($A$1:A173,"Câu "&amp;"*")-MID(A173,5,FIND(".",A173,1)-5),0)</f>
        <v>0</v>
      </c>
      <c r="C173" t="b">
        <v>0</v>
      </c>
      <c r="E173" t="str">
        <f t="shared" si="12"/>
        <v>1</v>
      </c>
      <c r="F173" t="str">
        <f t="shared" si="13"/>
        <v>2</v>
      </c>
      <c r="G173" t="str">
        <f t="shared" si="14"/>
        <v>3</v>
      </c>
      <c r="H173" t="str">
        <f t="shared" si="15"/>
        <v/>
      </c>
      <c r="I173" t="str">
        <f t="shared" si="16"/>
        <v>1</v>
      </c>
      <c r="J173" t="str">
        <f t="shared" ca="1" si="17"/>
        <v/>
      </c>
    </row>
    <row r="174" spans="1:10" ht="18.75" x14ac:dyDescent="0.25">
      <c r="A174" s="11" t="s">
        <v>1913</v>
      </c>
      <c r="B174">
        <f>IFERROR(COUNTIFS($A$1:A174,"Câu "&amp;"*")-MID(A174,5,FIND(".",A174,1)-5),0)</f>
        <v>0</v>
      </c>
      <c r="C174" t="b">
        <v>1</v>
      </c>
      <c r="E174" t="str">
        <f t="shared" si="12"/>
        <v>2</v>
      </c>
      <c r="F174" t="str">
        <f t="shared" si="13"/>
        <v>3</v>
      </c>
      <c r="G174" t="str">
        <f t="shared" si="14"/>
        <v>Câu 45.</v>
      </c>
      <c r="H174" t="str">
        <f t="shared" si="15"/>
        <v>1</v>
      </c>
      <c r="I174" t="str">
        <f t="shared" si="16"/>
        <v>2</v>
      </c>
      <c r="J174" t="str">
        <f t="shared" ca="1" si="17"/>
        <v/>
      </c>
    </row>
    <row r="175" spans="1:10" ht="18.75" x14ac:dyDescent="0.25">
      <c r="A175" s="11" t="s">
        <v>1914</v>
      </c>
      <c r="B175">
        <f>IFERROR(COUNTIFS($A$1:A175,"Câu "&amp;"*")-MID(A175,5,FIND(".",A175,1)-5),0)</f>
        <v>0</v>
      </c>
      <c r="C175" t="b">
        <v>0</v>
      </c>
      <c r="E175" t="str">
        <f t="shared" si="12"/>
        <v>3</v>
      </c>
      <c r="F175" t="str">
        <f t="shared" si="13"/>
        <v>Câu 45.</v>
      </c>
      <c r="G175" t="str">
        <f t="shared" si="14"/>
        <v>1</v>
      </c>
      <c r="H175" t="str">
        <f t="shared" si="15"/>
        <v>2</v>
      </c>
      <c r="I175" t="str">
        <f t="shared" si="16"/>
        <v>3</v>
      </c>
      <c r="J175" t="str">
        <f t="shared" ca="1" si="17"/>
        <v/>
      </c>
    </row>
    <row r="176" spans="1:10" ht="18.75" x14ac:dyDescent="0.25">
      <c r="A176" s="10" t="s">
        <v>154</v>
      </c>
      <c r="B176">
        <f>IFERROR(COUNTIFS($A$1:A176,"Câu "&amp;"*")-MID(A176,5,FIND(".",A176,1)-5),0)</f>
        <v>0</v>
      </c>
      <c r="C176" t="b">
        <v>0</v>
      </c>
      <c r="E176" t="str">
        <f t="shared" si="12"/>
        <v>Câu 45.</v>
      </c>
      <c r="F176" t="str">
        <f t="shared" si="13"/>
        <v>1</v>
      </c>
      <c r="G176" t="str">
        <f t="shared" si="14"/>
        <v>2</v>
      </c>
      <c r="H176" t="str">
        <f t="shared" si="15"/>
        <v>3</v>
      </c>
      <c r="I176" t="str">
        <f t="shared" si="16"/>
        <v>4</v>
      </c>
      <c r="J176" t="str">
        <f t="shared" ca="1" si="17"/>
        <v>3</v>
      </c>
    </row>
    <row r="177" spans="1:10" ht="18.75" x14ac:dyDescent="0.25">
      <c r="A177" s="11" t="s">
        <v>1915</v>
      </c>
      <c r="B177">
        <f>IFERROR(COUNTIFS($A$1:A177,"Câu "&amp;"*")-MID(A177,5,FIND(".",A177,1)-5),0)</f>
        <v>0</v>
      </c>
      <c r="C177" t="b">
        <v>0</v>
      </c>
      <c r="E177" t="str">
        <f t="shared" si="12"/>
        <v>1</v>
      </c>
      <c r="F177" t="str">
        <f t="shared" si="13"/>
        <v>2</v>
      </c>
      <c r="G177" t="str">
        <f t="shared" si="14"/>
        <v>3</v>
      </c>
      <c r="H177" t="str">
        <f t="shared" si="15"/>
        <v>4</v>
      </c>
      <c r="I177" t="str">
        <f t="shared" si="16"/>
        <v/>
      </c>
      <c r="J177" t="str">
        <f t="shared" ca="1" si="17"/>
        <v/>
      </c>
    </row>
    <row r="178" spans="1:10" ht="18.75" x14ac:dyDescent="0.25">
      <c r="A178" s="11" t="s">
        <v>1916</v>
      </c>
      <c r="B178">
        <f>IFERROR(COUNTIFS($A$1:A178,"Câu "&amp;"*")-MID(A178,5,FIND(".",A178,1)-5),0)</f>
        <v>0</v>
      </c>
      <c r="C178" t="b">
        <v>0</v>
      </c>
      <c r="E178" t="str">
        <f t="shared" si="12"/>
        <v>2</v>
      </c>
      <c r="F178" t="str">
        <f t="shared" si="13"/>
        <v>3</v>
      </c>
      <c r="G178" t="str">
        <f t="shared" si="14"/>
        <v>4</v>
      </c>
      <c r="H178" t="str">
        <f t="shared" si="15"/>
        <v/>
      </c>
      <c r="I178" t="str">
        <f t="shared" si="16"/>
        <v>1</v>
      </c>
      <c r="J178" t="str">
        <f t="shared" ca="1" si="17"/>
        <v/>
      </c>
    </row>
    <row r="179" spans="1:10" ht="18.75" x14ac:dyDescent="0.25">
      <c r="A179" s="11" t="s">
        <v>1917</v>
      </c>
      <c r="B179">
        <f>IFERROR(COUNTIFS($A$1:A179,"Câu "&amp;"*")-MID(A179,5,FIND(".",A179,1)-5),0)</f>
        <v>0</v>
      </c>
      <c r="C179" t="b">
        <v>1</v>
      </c>
      <c r="E179" t="str">
        <f t="shared" si="12"/>
        <v>3</v>
      </c>
      <c r="F179" t="str">
        <f t="shared" si="13"/>
        <v>4</v>
      </c>
      <c r="G179" t="str">
        <f t="shared" si="14"/>
        <v>Câu 46.</v>
      </c>
      <c r="H179" t="str">
        <f t="shared" si="15"/>
        <v>1</v>
      </c>
      <c r="I179" t="str">
        <f t="shared" si="16"/>
        <v>2</v>
      </c>
      <c r="J179" t="str">
        <f t="shared" ca="1" si="17"/>
        <v/>
      </c>
    </row>
    <row r="180" spans="1:10" ht="18.75" x14ac:dyDescent="0.25">
      <c r="A180" s="11" t="s">
        <v>1918</v>
      </c>
      <c r="B180">
        <f>IFERROR(COUNTIFS($A$1:A180,"Câu "&amp;"*")-MID(A180,5,FIND(".",A180,1)-5),0)</f>
        <v>0</v>
      </c>
      <c r="C180" t="b">
        <v>0</v>
      </c>
      <c r="E180" t="str">
        <f t="shared" si="12"/>
        <v>4</v>
      </c>
      <c r="F180" t="str">
        <f t="shared" si="13"/>
        <v>Câu 46.</v>
      </c>
      <c r="G180" t="str">
        <f t="shared" si="14"/>
        <v>1</v>
      </c>
      <c r="H180" t="str">
        <f t="shared" si="15"/>
        <v>2</v>
      </c>
      <c r="I180" t="str">
        <f t="shared" si="16"/>
        <v/>
      </c>
      <c r="J180" t="str">
        <f t="shared" ca="1" si="17"/>
        <v/>
      </c>
    </row>
    <row r="181" spans="1:10" ht="18.75" x14ac:dyDescent="0.25">
      <c r="A181" s="10" t="s">
        <v>159</v>
      </c>
      <c r="B181">
        <f>IFERROR(COUNTIFS($A$1:A181,"Câu "&amp;"*")-MID(A181,5,FIND(".",A181,1)-5),0)</f>
        <v>0</v>
      </c>
      <c r="C181" t="b">
        <v>0</v>
      </c>
      <c r="E181" t="str">
        <f t="shared" si="12"/>
        <v>Câu 46.</v>
      </c>
      <c r="F181" t="str">
        <f t="shared" si="13"/>
        <v>1</v>
      </c>
      <c r="G181" t="str">
        <f t="shared" si="14"/>
        <v>2</v>
      </c>
      <c r="H181" t="str">
        <f t="shared" si="15"/>
        <v/>
      </c>
      <c r="I181" t="str">
        <f t="shared" si="16"/>
        <v>1</v>
      </c>
      <c r="J181" t="str">
        <f t="shared" ca="1" si="17"/>
        <v>1</v>
      </c>
    </row>
    <row r="182" spans="1:10" ht="409.5" x14ac:dyDescent="0.25">
      <c r="A182" s="3" t="s">
        <v>1919</v>
      </c>
      <c r="B182">
        <f>IFERROR(COUNTIFS($A$1:A182,"Câu "&amp;"*")-MID(A182,5,FIND(".",A182,1)-5),0)</f>
        <v>0</v>
      </c>
      <c r="C182" t="b">
        <v>1</v>
      </c>
      <c r="E182" t="str">
        <f t="shared" si="12"/>
        <v>1</v>
      </c>
      <c r="F182" t="str">
        <f t="shared" si="13"/>
        <v>2</v>
      </c>
      <c r="G182" t="str">
        <f t="shared" si="14"/>
        <v>Câu 47.</v>
      </c>
      <c r="H182" t="str">
        <f t="shared" si="15"/>
        <v>1</v>
      </c>
      <c r="I182" t="str">
        <f t="shared" si="16"/>
        <v>2</v>
      </c>
      <c r="J182" t="str">
        <f t="shared" ca="1" si="17"/>
        <v/>
      </c>
    </row>
    <row r="183" spans="1:10" ht="409.5" x14ac:dyDescent="0.25">
      <c r="A183" s="3" t="s">
        <v>1920</v>
      </c>
      <c r="B183">
        <f>IFERROR(COUNTIFS($A$1:A183,"Câu "&amp;"*")-MID(A183,5,FIND(".",A183,1)-5),0)</f>
        <v>0</v>
      </c>
      <c r="C183" t="b">
        <v>0</v>
      </c>
      <c r="E183" t="str">
        <f t="shared" si="12"/>
        <v>2</v>
      </c>
      <c r="F183" t="str">
        <f t="shared" si="13"/>
        <v>Câu 47.</v>
      </c>
      <c r="G183" t="str">
        <f t="shared" si="14"/>
        <v>1</v>
      </c>
      <c r="H183" t="str">
        <f t="shared" si="15"/>
        <v>2</v>
      </c>
      <c r="I183" t="str">
        <f t="shared" si="16"/>
        <v>3</v>
      </c>
      <c r="J183" t="str">
        <f t="shared" ca="1" si="17"/>
        <v/>
      </c>
    </row>
    <row r="184" spans="1:10" ht="318.75" x14ac:dyDescent="0.25">
      <c r="A184" s="4" t="s">
        <v>162</v>
      </c>
      <c r="B184">
        <f>IFERROR(COUNTIFS($A$1:A184,"Câu "&amp;"*")-MID(A184,5,FIND(".",A184,1)-5),0)</f>
        <v>0</v>
      </c>
      <c r="C184" t="b">
        <v>0</v>
      </c>
      <c r="E184" t="str">
        <f t="shared" si="12"/>
        <v>Câu 47.</v>
      </c>
      <c r="F184" t="str">
        <f t="shared" si="13"/>
        <v>1</v>
      </c>
      <c r="G184" t="str">
        <f t="shared" si="14"/>
        <v>2</v>
      </c>
      <c r="H184" t="str">
        <f t="shared" si="15"/>
        <v>3</v>
      </c>
      <c r="I184" t="str">
        <f t="shared" si="16"/>
        <v/>
      </c>
      <c r="J184" t="str">
        <f t="shared" ca="1" si="17"/>
        <v>2</v>
      </c>
    </row>
    <row r="185" spans="1:10" ht="18.75" x14ac:dyDescent="0.25">
      <c r="A185" s="11" t="s">
        <v>1921</v>
      </c>
      <c r="B185">
        <f>IFERROR(COUNTIFS($A$1:A185,"Câu "&amp;"*")-MID(A185,5,FIND(".",A185,1)-5),0)</f>
        <v>0</v>
      </c>
      <c r="C185" t="b">
        <v>0</v>
      </c>
      <c r="E185" t="str">
        <f t="shared" si="12"/>
        <v>1</v>
      </c>
      <c r="F185" t="str">
        <f t="shared" si="13"/>
        <v>2</v>
      </c>
      <c r="G185" t="str">
        <f t="shared" si="14"/>
        <v>3</v>
      </c>
      <c r="H185" t="str">
        <f t="shared" si="15"/>
        <v/>
      </c>
      <c r="I185" t="str">
        <f t="shared" si="16"/>
        <v>1</v>
      </c>
      <c r="J185" t="str">
        <f t="shared" ca="1" si="17"/>
        <v/>
      </c>
    </row>
    <row r="186" spans="1:10" ht="18.75" x14ac:dyDescent="0.25">
      <c r="A186" s="11" t="s">
        <v>1922</v>
      </c>
      <c r="B186">
        <f>IFERROR(COUNTIFS($A$1:A186,"Câu "&amp;"*")-MID(A186,5,FIND(".",A186,1)-5),0)</f>
        <v>0</v>
      </c>
      <c r="C186" t="b">
        <v>1</v>
      </c>
      <c r="E186" t="str">
        <f t="shared" si="12"/>
        <v>2</v>
      </c>
      <c r="F186" t="str">
        <f t="shared" si="13"/>
        <v>3</v>
      </c>
      <c r="G186" t="str">
        <f t="shared" si="14"/>
        <v>Câu 48.</v>
      </c>
      <c r="H186" t="str">
        <f t="shared" si="15"/>
        <v>1</v>
      </c>
      <c r="I186" t="str">
        <f t="shared" si="16"/>
        <v>2</v>
      </c>
      <c r="J186" t="str">
        <f t="shared" ca="1" si="17"/>
        <v/>
      </c>
    </row>
    <row r="187" spans="1:10" ht="18.75" x14ac:dyDescent="0.25">
      <c r="A187" s="11" t="s">
        <v>1923</v>
      </c>
      <c r="B187">
        <f>IFERROR(COUNTIFS($A$1:A187,"Câu "&amp;"*")-MID(A187,5,FIND(".",A187,1)-5),0)</f>
        <v>0</v>
      </c>
      <c r="C187" t="b">
        <v>0</v>
      </c>
      <c r="E187" t="str">
        <f t="shared" si="12"/>
        <v>3</v>
      </c>
      <c r="F187" t="str">
        <f t="shared" si="13"/>
        <v>Câu 48.</v>
      </c>
      <c r="G187" t="str">
        <f t="shared" si="14"/>
        <v>1</v>
      </c>
      <c r="H187" t="str">
        <f t="shared" si="15"/>
        <v>2</v>
      </c>
      <c r="I187" t="str">
        <f t="shared" si="16"/>
        <v>3</v>
      </c>
      <c r="J187" t="str">
        <f t="shared" ca="1" si="17"/>
        <v/>
      </c>
    </row>
    <row r="188" spans="1:10" ht="18.75" x14ac:dyDescent="0.25">
      <c r="A188" s="10" t="s">
        <v>166</v>
      </c>
      <c r="B188">
        <f>IFERROR(COUNTIFS($A$1:A188,"Câu "&amp;"*")-MID(A188,5,FIND(".",A188,1)-5),0)</f>
        <v>0</v>
      </c>
      <c r="C188" t="b">
        <v>0</v>
      </c>
      <c r="E188" t="str">
        <f t="shared" si="12"/>
        <v>Câu 48.</v>
      </c>
      <c r="F188" t="str">
        <f t="shared" si="13"/>
        <v>1</v>
      </c>
      <c r="G188" t="str">
        <f t="shared" si="14"/>
        <v>2</v>
      </c>
      <c r="H188" t="str">
        <f t="shared" si="15"/>
        <v>3</v>
      </c>
      <c r="I188" t="str">
        <f t="shared" si="16"/>
        <v/>
      </c>
      <c r="J188" t="str">
        <f t="shared" ca="1" si="17"/>
        <v>3</v>
      </c>
    </row>
    <row r="189" spans="1:10" ht="18.75" x14ac:dyDescent="0.25">
      <c r="A189" s="11" t="s">
        <v>1924</v>
      </c>
      <c r="B189">
        <f>IFERROR(COUNTIFS($A$1:A189,"Câu "&amp;"*")-MID(A189,5,FIND(".",A189,1)-5),0)</f>
        <v>0</v>
      </c>
      <c r="C189" t="b">
        <v>0</v>
      </c>
      <c r="E189" t="str">
        <f t="shared" si="12"/>
        <v>1</v>
      </c>
      <c r="F189" t="str">
        <f t="shared" si="13"/>
        <v>2</v>
      </c>
      <c r="G189" t="str">
        <f t="shared" si="14"/>
        <v>3</v>
      </c>
      <c r="H189" t="str">
        <f t="shared" si="15"/>
        <v/>
      </c>
      <c r="I189" t="str">
        <f t="shared" si="16"/>
        <v>1</v>
      </c>
      <c r="J189" t="str">
        <f t="shared" ca="1" si="17"/>
        <v/>
      </c>
    </row>
    <row r="190" spans="1:10" ht="18.75" x14ac:dyDescent="0.25">
      <c r="A190" s="11" t="s">
        <v>1925</v>
      </c>
      <c r="B190">
        <f>IFERROR(COUNTIFS($A$1:A190,"Câu "&amp;"*")-MID(A190,5,FIND(".",A190,1)-5),0)</f>
        <v>0</v>
      </c>
      <c r="C190" t="b">
        <v>0</v>
      </c>
      <c r="E190" t="str">
        <f t="shared" si="12"/>
        <v>2</v>
      </c>
      <c r="F190" t="str">
        <f t="shared" si="13"/>
        <v>3</v>
      </c>
      <c r="G190" t="str">
        <f t="shared" si="14"/>
        <v>Câu 49.</v>
      </c>
      <c r="H190" t="str">
        <f t="shared" si="15"/>
        <v>1</v>
      </c>
      <c r="I190" t="str">
        <f t="shared" si="16"/>
        <v>2</v>
      </c>
      <c r="J190" t="str">
        <f t="shared" ca="1" si="17"/>
        <v/>
      </c>
    </row>
    <row r="191" spans="1:10" ht="18.75" x14ac:dyDescent="0.25">
      <c r="A191" s="11" t="s">
        <v>1926</v>
      </c>
      <c r="B191">
        <f>IFERROR(COUNTIFS($A$1:A191,"Câu "&amp;"*")-MID(A191,5,FIND(".",A191,1)-5),0)</f>
        <v>0</v>
      </c>
      <c r="C191" t="b">
        <v>1</v>
      </c>
      <c r="E191" t="str">
        <f t="shared" si="12"/>
        <v>3</v>
      </c>
      <c r="F191" t="str">
        <f t="shared" si="13"/>
        <v>Câu 49.</v>
      </c>
      <c r="G191" t="str">
        <f t="shared" si="14"/>
        <v>1</v>
      </c>
      <c r="H191" t="str">
        <f t="shared" si="15"/>
        <v>2</v>
      </c>
      <c r="I191" t="str">
        <f t="shared" si="16"/>
        <v>3</v>
      </c>
      <c r="J191" t="str">
        <f t="shared" ca="1" si="17"/>
        <v/>
      </c>
    </row>
    <row r="192" spans="1:10" ht="409.5" x14ac:dyDescent="0.25">
      <c r="A192" s="4" t="s">
        <v>170</v>
      </c>
      <c r="B192">
        <f>IFERROR(COUNTIFS($A$1:A192,"Câu "&amp;"*")-MID(A192,5,FIND(".",A192,1)-5),0)</f>
        <v>0</v>
      </c>
      <c r="C192" t="b">
        <v>0</v>
      </c>
      <c r="E192" t="str">
        <f t="shared" si="12"/>
        <v>Câu 49.</v>
      </c>
      <c r="F192" t="str">
        <f t="shared" si="13"/>
        <v>1</v>
      </c>
      <c r="G192" t="str">
        <f t="shared" si="14"/>
        <v>2</v>
      </c>
      <c r="H192" t="str">
        <f t="shared" si="15"/>
        <v>3</v>
      </c>
      <c r="I192" t="str">
        <f t="shared" si="16"/>
        <v/>
      </c>
      <c r="J192" t="str">
        <f t="shared" ca="1" si="17"/>
        <v>2</v>
      </c>
    </row>
    <row r="193" spans="1:10" ht="18.75" x14ac:dyDescent="0.25">
      <c r="A193" s="11" t="s">
        <v>1927</v>
      </c>
      <c r="B193">
        <f>IFERROR(COUNTIFS($A$1:A193,"Câu "&amp;"*")-MID(A193,5,FIND(".",A193,1)-5),0)</f>
        <v>0</v>
      </c>
      <c r="C193" t="b">
        <v>0</v>
      </c>
      <c r="E193" t="str">
        <f t="shared" si="12"/>
        <v>1</v>
      </c>
      <c r="F193" t="str">
        <f t="shared" si="13"/>
        <v>2</v>
      </c>
      <c r="G193" t="str">
        <f t="shared" si="14"/>
        <v>3</v>
      </c>
      <c r="H193" t="str">
        <f t="shared" si="15"/>
        <v/>
      </c>
      <c r="I193" t="str">
        <f t="shared" si="16"/>
        <v>1</v>
      </c>
      <c r="J193" t="str">
        <f t="shared" ca="1" si="17"/>
        <v/>
      </c>
    </row>
    <row r="194" spans="1:10" ht="18.75" x14ac:dyDescent="0.25">
      <c r="A194" s="11" t="s">
        <v>1928</v>
      </c>
      <c r="B194">
        <f>IFERROR(COUNTIFS($A$1:A194,"Câu "&amp;"*")-MID(A194,5,FIND(".",A194,1)-5),0)</f>
        <v>0</v>
      </c>
      <c r="C194" t="b">
        <v>1</v>
      </c>
      <c r="E194" t="str">
        <f t="shared" si="12"/>
        <v>2</v>
      </c>
      <c r="F194" t="str">
        <f t="shared" si="13"/>
        <v>3</v>
      </c>
      <c r="G194" t="str">
        <f t="shared" si="14"/>
        <v>Câu 50.</v>
      </c>
      <c r="H194" t="str">
        <f t="shared" si="15"/>
        <v>1</v>
      </c>
      <c r="I194" t="str">
        <f t="shared" si="16"/>
        <v>2</v>
      </c>
      <c r="J194" t="str">
        <f t="shared" ca="1" si="17"/>
        <v/>
      </c>
    </row>
    <row r="195" spans="1:10" ht="18.75" x14ac:dyDescent="0.25">
      <c r="A195" s="11" t="s">
        <v>1929</v>
      </c>
      <c r="B195">
        <f>IFERROR(COUNTIFS($A$1:A195,"Câu "&amp;"*")-MID(A195,5,FIND(".",A195,1)-5),0)</f>
        <v>0</v>
      </c>
      <c r="C195" t="b">
        <v>0</v>
      </c>
      <c r="E195" t="str">
        <f t="shared" ref="E195:E258" si="18">IF(LEFT(A195,3)="Câu",LEFT(A195,FIND(".",A195,1)),LEFT(A195,1))</f>
        <v>3</v>
      </c>
      <c r="F195" t="str">
        <f t="shared" ref="F195:F258" si="19">IF(LEFT(A196,3)="Câu",LEFT(A196,FIND(".",A196,1)),LEFT(A196,1))</f>
        <v>Câu 50.</v>
      </c>
      <c r="G195" t="str">
        <f t="shared" ref="G195:G258" si="20">IF(LEFT(A197,3)="Câu",LEFT(A197,FIND(".",A197,1)),LEFT(A197,1))</f>
        <v>1</v>
      </c>
      <c r="H195" t="str">
        <f t="shared" ref="H195:H258" si="21">IF(LEFT(A198,3)="Câu","",LEFT(A198,1))</f>
        <v>2</v>
      </c>
      <c r="I195" t="str">
        <f t="shared" ref="I195:I258" si="22">IF(LEFT(A199,3)="Câu","",LEFT(A199,1))</f>
        <v>3</v>
      </c>
      <c r="J195" t="str">
        <f t="shared" ref="J195:J258" ca="1" si="23">IFERROR(VLOOKUP(TRUE,INDIRECT("C"&amp;MATCH(E195,$E$1:$E$2471,0)&amp;":E"&amp;MATCH("Câu "&amp;VALUE(MID(E195,5,LEN(E195)-5))+1&amp;".",$E$1:$E$2471,0)),3,0),"")</f>
        <v/>
      </c>
    </row>
    <row r="196" spans="1:10" ht="18.75" x14ac:dyDescent="0.25">
      <c r="A196" s="10" t="s">
        <v>174</v>
      </c>
      <c r="B196">
        <f>IFERROR(COUNTIFS($A$1:A196,"Câu "&amp;"*")-MID(A196,5,FIND(".",A196,1)-5),0)</f>
        <v>0</v>
      </c>
      <c r="C196" t="b">
        <v>0</v>
      </c>
      <c r="E196" t="str">
        <f t="shared" si="18"/>
        <v>Câu 50.</v>
      </c>
      <c r="F196" t="str">
        <f t="shared" si="19"/>
        <v>1</v>
      </c>
      <c r="G196" t="str">
        <f t="shared" si="20"/>
        <v>2</v>
      </c>
      <c r="H196" t="str">
        <f t="shared" si="21"/>
        <v>3</v>
      </c>
      <c r="I196" t="str">
        <f t="shared" si="22"/>
        <v/>
      </c>
      <c r="J196" t="str">
        <f t="shared" ca="1" si="23"/>
        <v>1</v>
      </c>
    </row>
    <row r="197" spans="1:10" ht="375" x14ac:dyDescent="0.25">
      <c r="A197" s="3" t="s">
        <v>1930</v>
      </c>
      <c r="B197">
        <f>IFERROR(COUNTIFS($A$1:A197,"Câu "&amp;"*")-MID(A197,5,FIND(".",A197,1)-5),0)</f>
        <v>0</v>
      </c>
      <c r="C197" t="b">
        <v>1</v>
      </c>
      <c r="E197" t="str">
        <f t="shared" si="18"/>
        <v>1</v>
      </c>
      <c r="F197" t="str">
        <f t="shared" si="19"/>
        <v>2</v>
      </c>
      <c r="G197" t="str">
        <f t="shared" si="20"/>
        <v>3</v>
      </c>
      <c r="H197" t="str">
        <f t="shared" si="21"/>
        <v/>
      </c>
      <c r="I197" t="str">
        <f t="shared" si="22"/>
        <v>1</v>
      </c>
      <c r="J197" t="str">
        <f t="shared" ca="1" si="23"/>
        <v/>
      </c>
    </row>
    <row r="198" spans="1:10" ht="409.5" x14ac:dyDescent="0.25">
      <c r="A198" s="3" t="s">
        <v>1931</v>
      </c>
      <c r="B198">
        <f>IFERROR(COUNTIFS($A$1:A198,"Câu "&amp;"*")-MID(A198,5,FIND(".",A198,1)-5),0)</f>
        <v>0</v>
      </c>
      <c r="C198" t="b">
        <v>0</v>
      </c>
      <c r="E198" t="str">
        <f t="shared" si="18"/>
        <v>2</v>
      </c>
      <c r="F198" t="str">
        <f t="shared" si="19"/>
        <v>3</v>
      </c>
      <c r="G198" t="str">
        <f t="shared" si="20"/>
        <v>Câu 51.</v>
      </c>
      <c r="H198" t="str">
        <f t="shared" si="21"/>
        <v>1</v>
      </c>
      <c r="I198" t="str">
        <f t="shared" si="22"/>
        <v>2</v>
      </c>
      <c r="J198" t="str">
        <f t="shared" ca="1" si="23"/>
        <v/>
      </c>
    </row>
    <row r="199" spans="1:10" ht="37.5" x14ac:dyDescent="0.25">
      <c r="A199" s="3" t="s">
        <v>1814</v>
      </c>
      <c r="B199">
        <f>IFERROR(COUNTIFS($A$1:A199,"Câu "&amp;"*")-MID(A199,5,FIND(".",A199,1)-5),0)</f>
        <v>0</v>
      </c>
      <c r="C199" t="b">
        <v>0</v>
      </c>
      <c r="E199" t="str">
        <f t="shared" si="18"/>
        <v>3</v>
      </c>
      <c r="F199" t="str">
        <f t="shared" si="19"/>
        <v>Câu 51.</v>
      </c>
      <c r="G199" t="str">
        <f t="shared" si="20"/>
        <v>1</v>
      </c>
      <c r="H199" t="str">
        <f t="shared" si="21"/>
        <v>2</v>
      </c>
      <c r="I199" t="str">
        <f t="shared" si="22"/>
        <v>3</v>
      </c>
      <c r="J199" t="str">
        <f t="shared" ca="1" si="23"/>
        <v/>
      </c>
    </row>
    <row r="200" spans="1:10" ht="375" x14ac:dyDescent="0.25">
      <c r="A200" s="4" t="s">
        <v>177</v>
      </c>
      <c r="B200">
        <f>IFERROR(COUNTIFS($A$1:A200,"Câu "&amp;"*")-MID(A200,5,FIND(".",A200,1)-5),0)</f>
        <v>0</v>
      </c>
      <c r="C200" t="b">
        <v>0</v>
      </c>
      <c r="E200" t="str">
        <f t="shared" si="18"/>
        <v>Câu 51.</v>
      </c>
      <c r="F200" t="str">
        <f t="shared" si="19"/>
        <v>1</v>
      </c>
      <c r="G200" t="str">
        <f t="shared" si="20"/>
        <v>2</v>
      </c>
      <c r="H200" t="str">
        <f t="shared" si="21"/>
        <v>3</v>
      </c>
      <c r="I200" t="str">
        <f t="shared" si="22"/>
        <v/>
      </c>
      <c r="J200" t="str">
        <f t="shared" ca="1" si="23"/>
        <v>3</v>
      </c>
    </row>
    <row r="201" spans="1:10" ht="18.75" x14ac:dyDescent="0.25">
      <c r="A201" s="11" t="s">
        <v>1932</v>
      </c>
      <c r="B201">
        <f>IFERROR(COUNTIFS($A$1:A201,"Câu "&amp;"*")-MID(A201,5,FIND(".",A201,1)-5),0)</f>
        <v>0</v>
      </c>
      <c r="C201" t="b">
        <v>0</v>
      </c>
      <c r="E201" t="str">
        <f t="shared" si="18"/>
        <v>1</v>
      </c>
      <c r="F201" t="str">
        <f t="shared" si="19"/>
        <v>2</v>
      </c>
      <c r="G201" t="str">
        <f t="shared" si="20"/>
        <v>3</v>
      </c>
      <c r="H201" t="str">
        <f t="shared" si="21"/>
        <v/>
      </c>
      <c r="I201" t="str">
        <f t="shared" si="22"/>
        <v>1</v>
      </c>
      <c r="J201" t="str">
        <f t="shared" ca="1" si="23"/>
        <v/>
      </c>
    </row>
    <row r="202" spans="1:10" ht="18.75" x14ac:dyDescent="0.25">
      <c r="A202" s="11" t="s">
        <v>1933</v>
      </c>
      <c r="B202">
        <f>IFERROR(COUNTIFS($A$1:A202,"Câu "&amp;"*")-MID(A202,5,FIND(".",A202,1)-5),0)</f>
        <v>0</v>
      </c>
      <c r="C202" t="b">
        <v>0</v>
      </c>
      <c r="E202" t="str">
        <f t="shared" si="18"/>
        <v>2</v>
      </c>
      <c r="F202" t="str">
        <f t="shared" si="19"/>
        <v>3</v>
      </c>
      <c r="G202" t="str">
        <f t="shared" si="20"/>
        <v>Câu 52.</v>
      </c>
      <c r="H202" t="str">
        <f t="shared" si="21"/>
        <v>1</v>
      </c>
      <c r="I202" t="str">
        <f t="shared" si="22"/>
        <v>2</v>
      </c>
      <c r="J202" t="str">
        <f t="shared" ca="1" si="23"/>
        <v/>
      </c>
    </row>
    <row r="203" spans="1:10" ht="18.75" x14ac:dyDescent="0.25">
      <c r="A203" s="11" t="s">
        <v>1934</v>
      </c>
      <c r="B203">
        <f>IFERROR(COUNTIFS($A$1:A203,"Câu "&amp;"*")-MID(A203,5,FIND(".",A203,1)-5),0)</f>
        <v>0</v>
      </c>
      <c r="C203" t="b">
        <v>1</v>
      </c>
      <c r="E203" t="str">
        <f t="shared" si="18"/>
        <v>3</v>
      </c>
      <c r="F203" t="str">
        <f t="shared" si="19"/>
        <v>Câu 52.</v>
      </c>
      <c r="G203" t="str">
        <f t="shared" si="20"/>
        <v>1</v>
      </c>
      <c r="H203" t="str">
        <f t="shared" si="21"/>
        <v>2</v>
      </c>
      <c r="I203" t="str">
        <f t="shared" si="22"/>
        <v/>
      </c>
      <c r="J203" t="str">
        <f t="shared" ca="1" si="23"/>
        <v/>
      </c>
    </row>
    <row r="204" spans="1:10" ht="18.75" x14ac:dyDescent="0.25">
      <c r="A204" s="10" t="s">
        <v>181</v>
      </c>
      <c r="B204">
        <f>IFERROR(COUNTIFS($A$1:A204,"Câu "&amp;"*")-MID(A204,5,FIND(".",A204,1)-5),0)</f>
        <v>0</v>
      </c>
      <c r="C204" t="b">
        <v>0</v>
      </c>
      <c r="E204" t="str">
        <f t="shared" si="18"/>
        <v>Câu 52.</v>
      </c>
      <c r="F204" t="str">
        <f t="shared" si="19"/>
        <v>1</v>
      </c>
      <c r="G204" t="str">
        <f t="shared" si="20"/>
        <v>2</v>
      </c>
      <c r="H204" t="str">
        <f t="shared" si="21"/>
        <v/>
      </c>
      <c r="I204" t="str">
        <f t="shared" si="22"/>
        <v>1</v>
      </c>
      <c r="J204" t="str">
        <f t="shared" ca="1" si="23"/>
        <v>1</v>
      </c>
    </row>
    <row r="205" spans="1:10" ht="18.75" x14ac:dyDescent="0.25">
      <c r="A205" s="11" t="s">
        <v>1935</v>
      </c>
      <c r="B205">
        <f>IFERROR(COUNTIFS($A$1:A205,"Câu "&amp;"*")-MID(A205,5,FIND(".",A205,1)-5),0)</f>
        <v>0</v>
      </c>
      <c r="C205" t="b">
        <v>1</v>
      </c>
      <c r="E205" t="str">
        <f t="shared" si="18"/>
        <v>1</v>
      </c>
      <c r="F205" t="str">
        <f t="shared" si="19"/>
        <v>2</v>
      </c>
      <c r="G205" t="str">
        <f t="shared" si="20"/>
        <v>Câu 53.</v>
      </c>
      <c r="H205" t="str">
        <f t="shared" si="21"/>
        <v>1</v>
      </c>
      <c r="I205" t="str">
        <f t="shared" si="22"/>
        <v>2</v>
      </c>
      <c r="J205" t="str">
        <f t="shared" ca="1" si="23"/>
        <v/>
      </c>
    </row>
    <row r="206" spans="1:10" ht="409.5" x14ac:dyDescent="0.25">
      <c r="A206" s="3" t="s">
        <v>1936</v>
      </c>
      <c r="B206">
        <f>IFERROR(COUNTIFS($A$1:A206,"Câu "&amp;"*")-MID(A206,5,FIND(".",A206,1)-5),0)</f>
        <v>0</v>
      </c>
      <c r="C206" t="b">
        <v>0</v>
      </c>
      <c r="E206" t="str">
        <f t="shared" si="18"/>
        <v>2</v>
      </c>
      <c r="F206" t="str">
        <f t="shared" si="19"/>
        <v>Câu 53.</v>
      </c>
      <c r="G206" t="str">
        <f t="shared" si="20"/>
        <v>1</v>
      </c>
      <c r="H206" t="str">
        <f t="shared" si="21"/>
        <v>2</v>
      </c>
      <c r="I206" t="str">
        <f t="shared" si="22"/>
        <v>3</v>
      </c>
      <c r="J206" t="str">
        <f t="shared" ca="1" si="23"/>
        <v/>
      </c>
    </row>
    <row r="207" spans="1:10" ht="225" x14ac:dyDescent="0.25">
      <c r="A207" s="4" t="s">
        <v>184</v>
      </c>
      <c r="B207">
        <f>IFERROR(COUNTIFS($A$1:A207,"Câu "&amp;"*")-MID(A207,5,FIND(".",A207,1)-5),0)</f>
        <v>0</v>
      </c>
      <c r="C207" t="b">
        <v>0</v>
      </c>
      <c r="E207" t="str">
        <f t="shared" si="18"/>
        <v>Câu 53.</v>
      </c>
      <c r="F207" t="str">
        <f t="shared" si="19"/>
        <v>1</v>
      </c>
      <c r="G207" t="str">
        <f t="shared" si="20"/>
        <v>2</v>
      </c>
      <c r="H207" t="str">
        <f t="shared" si="21"/>
        <v>3</v>
      </c>
      <c r="I207" t="str">
        <f t="shared" si="22"/>
        <v/>
      </c>
      <c r="J207" t="str">
        <f t="shared" ca="1" si="23"/>
        <v>1</v>
      </c>
    </row>
    <row r="208" spans="1:10" ht="18.75" x14ac:dyDescent="0.25">
      <c r="A208" s="11" t="s">
        <v>1937</v>
      </c>
      <c r="B208">
        <f>IFERROR(COUNTIFS($A$1:A208,"Câu "&amp;"*")-MID(A208,5,FIND(".",A208,1)-5),0)</f>
        <v>0</v>
      </c>
      <c r="C208" t="b">
        <v>1</v>
      </c>
      <c r="E208" t="str">
        <f t="shared" si="18"/>
        <v>1</v>
      </c>
      <c r="F208" t="str">
        <f t="shared" si="19"/>
        <v>2</v>
      </c>
      <c r="G208" t="str">
        <f t="shared" si="20"/>
        <v>3</v>
      </c>
      <c r="H208" t="str">
        <f t="shared" si="21"/>
        <v/>
      </c>
      <c r="I208" t="str">
        <f t="shared" si="22"/>
        <v>1</v>
      </c>
      <c r="J208" t="str">
        <f t="shared" ca="1" si="23"/>
        <v/>
      </c>
    </row>
    <row r="209" spans="1:10" ht="18.75" x14ac:dyDescent="0.25">
      <c r="A209" s="11" t="s">
        <v>1938</v>
      </c>
      <c r="B209">
        <f>IFERROR(COUNTIFS($A$1:A209,"Câu "&amp;"*")-MID(A209,5,FIND(".",A209,1)-5),0)</f>
        <v>0</v>
      </c>
      <c r="C209" t="b">
        <v>0</v>
      </c>
      <c r="E209" t="str">
        <f t="shared" si="18"/>
        <v>2</v>
      </c>
      <c r="F209" t="str">
        <f t="shared" si="19"/>
        <v>3</v>
      </c>
      <c r="G209" t="str">
        <f t="shared" si="20"/>
        <v>Câu 54.</v>
      </c>
      <c r="H209" t="str">
        <f t="shared" si="21"/>
        <v>1</v>
      </c>
      <c r="I209" t="str">
        <f t="shared" si="22"/>
        <v>2</v>
      </c>
      <c r="J209" t="str">
        <f t="shared" ca="1" si="23"/>
        <v/>
      </c>
    </row>
    <row r="210" spans="1:10" ht="18.75" x14ac:dyDescent="0.25">
      <c r="A210" s="11" t="s">
        <v>1939</v>
      </c>
      <c r="B210">
        <f>IFERROR(COUNTIFS($A$1:A210,"Câu "&amp;"*")-MID(A210,5,FIND(".",A210,1)-5),0)</f>
        <v>0</v>
      </c>
      <c r="C210" t="b">
        <v>0</v>
      </c>
      <c r="E210" t="str">
        <f t="shared" si="18"/>
        <v>3</v>
      </c>
      <c r="F210" t="str">
        <f t="shared" si="19"/>
        <v>Câu 54.</v>
      </c>
      <c r="G210" t="str">
        <f t="shared" si="20"/>
        <v>1</v>
      </c>
      <c r="H210" t="str">
        <f t="shared" si="21"/>
        <v>2</v>
      </c>
      <c r="I210" t="str">
        <f t="shared" si="22"/>
        <v>3</v>
      </c>
      <c r="J210" t="str">
        <f t="shared" ca="1" si="23"/>
        <v/>
      </c>
    </row>
    <row r="211" spans="1:10" ht="18.75" x14ac:dyDescent="0.25">
      <c r="A211" s="10" t="s">
        <v>188</v>
      </c>
      <c r="B211">
        <f>IFERROR(COUNTIFS($A$1:A211,"Câu "&amp;"*")-MID(A211,5,FIND(".",A211,1)-5),0)</f>
        <v>0</v>
      </c>
      <c r="C211" t="b">
        <v>0</v>
      </c>
      <c r="E211" t="str">
        <f t="shared" si="18"/>
        <v>Câu 54.</v>
      </c>
      <c r="F211" t="str">
        <f t="shared" si="19"/>
        <v>1</v>
      </c>
      <c r="G211" t="str">
        <f t="shared" si="20"/>
        <v>2</v>
      </c>
      <c r="H211" t="str">
        <f t="shared" si="21"/>
        <v>3</v>
      </c>
      <c r="I211" t="str">
        <f t="shared" si="22"/>
        <v/>
      </c>
      <c r="J211" t="str">
        <f t="shared" ca="1" si="23"/>
        <v>3</v>
      </c>
    </row>
    <row r="212" spans="1:10" ht="225" x14ac:dyDescent="0.25">
      <c r="A212" s="3" t="s">
        <v>1940</v>
      </c>
      <c r="B212">
        <f>IFERROR(COUNTIFS($A$1:A212,"Câu "&amp;"*")-MID(A212,5,FIND(".",A212,1)-5),0)</f>
        <v>0</v>
      </c>
      <c r="C212" t="b">
        <v>0</v>
      </c>
      <c r="E212" t="str">
        <f t="shared" si="18"/>
        <v>1</v>
      </c>
      <c r="F212" t="str">
        <f t="shared" si="19"/>
        <v>2</v>
      </c>
      <c r="G212" t="str">
        <f t="shared" si="20"/>
        <v>3</v>
      </c>
      <c r="H212" t="str">
        <f t="shared" si="21"/>
        <v/>
      </c>
      <c r="I212" t="str">
        <f t="shared" si="22"/>
        <v>1</v>
      </c>
      <c r="J212" t="str">
        <f t="shared" ca="1" si="23"/>
        <v/>
      </c>
    </row>
    <row r="213" spans="1:10" ht="409.5" x14ac:dyDescent="0.25">
      <c r="A213" s="3" t="s">
        <v>1941</v>
      </c>
      <c r="B213">
        <f>IFERROR(COUNTIFS($A$1:A213,"Câu "&amp;"*")-MID(A213,5,FIND(".",A213,1)-5),0)</f>
        <v>0</v>
      </c>
      <c r="C213" t="b">
        <v>0</v>
      </c>
      <c r="E213" t="str">
        <f t="shared" si="18"/>
        <v>2</v>
      </c>
      <c r="F213" t="str">
        <f t="shared" si="19"/>
        <v>3</v>
      </c>
      <c r="G213" t="str">
        <f t="shared" si="20"/>
        <v>Câu 55.</v>
      </c>
      <c r="H213" t="str">
        <f t="shared" si="21"/>
        <v>1</v>
      </c>
      <c r="I213" t="str">
        <f t="shared" si="22"/>
        <v>2</v>
      </c>
      <c r="J213" t="str">
        <f t="shared" ca="1" si="23"/>
        <v/>
      </c>
    </row>
    <row r="214" spans="1:10" ht="37.5" x14ac:dyDescent="0.25">
      <c r="A214" s="3" t="s">
        <v>1825</v>
      </c>
      <c r="B214">
        <f>IFERROR(COUNTIFS($A$1:A214,"Câu "&amp;"*")-MID(A214,5,FIND(".",A214,1)-5),0)</f>
        <v>0</v>
      </c>
      <c r="C214" t="b">
        <v>1</v>
      </c>
      <c r="E214" t="str">
        <f t="shared" si="18"/>
        <v>3</v>
      </c>
      <c r="F214" t="str">
        <f t="shared" si="19"/>
        <v>Câu 55.</v>
      </c>
      <c r="G214" t="str">
        <f t="shared" si="20"/>
        <v>1</v>
      </c>
      <c r="H214" t="str">
        <f t="shared" si="21"/>
        <v>2</v>
      </c>
      <c r="I214" t="str">
        <f t="shared" si="22"/>
        <v>3</v>
      </c>
      <c r="J214" t="str">
        <f t="shared" ca="1" si="23"/>
        <v/>
      </c>
    </row>
    <row r="215" spans="1:10" ht="243.75" x14ac:dyDescent="0.25">
      <c r="A215" s="4" t="s">
        <v>191</v>
      </c>
      <c r="B215">
        <f>IFERROR(COUNTIFS($A$1:A215,"Câu "&amp;"*")-MID(A215,5,FIND(".",A215,1)-5),0)</f>
        <v>0</v>
      </c>
      <c r="C215" t="b">
        <v>0</v>
      </c>
      <c r="E215" t="str">
        <f t="shared" si="18"/>
        <v>Câu 55.</v>
      </c>
      <c r="F215" t="str">
        <f t="shared" si="19"/>
        <v>1</v>
      </c>
      <c r="G215" t="str">
        <f t="shared" si="20"/>
        <v>2</v>
      </c>
      <c r="H215" t="str">
        <f t="shared" si="21"/>
        <v>3</v>
      </c>
      <c r="I215" t="str">
        <f t="shared" si="22"/>
        <v/>
      </c>
      <c r="J215" t="str">
        <f t="shared" ca="1" si="23"/>
        <v>1</v>
      </c>
    </row>
    <row r="216" spans="1:10" ht="18.75" x14ac:dyDescent="0.25">
      <c r="A216" s="11" t="s">
        <v>1942</v>
      </c>
      <c r="B216">
        <f>IFERROR(COUNTIFS($A$1:A216,"Câu "&amp;"*")-MID(A216,5,FIND(".",A216,1)-5),0)</f>
        <v>0</v>
      </c>
      <c r="C216" t="b">
        <v>1</v>
      </c>
      <c r="E216" t="str">
        <f t="shared" si="18"/>
        <v>1</v>
      </c>
      <c r="F216" t="str">
        <f t="shared" si="19"/>
        <v>2</v>
      </c>
      <c r="G216" t="str">
        <f t="shared" si="20"/>
        <v>3</v>
      </c>
      <c r="H216" t="str">
        <f t="shared" si="21"/>
        <v/>
      </c>
      <c r="I216" t="str">
        <f t="shared" si="22"/>
        <v>1</v>
      </c>
      <c r="J216" t="str">
        <f t="shared" ca="1" si="23"/>
        <v/>
      </c>
    </row>
    <row r="217" spans="1:10" ht="18.75" x14ac:dyDescent="0.25">
      <c r="A217" s="11" t="s">
        <v>1943</v>
      </c>
      <c r="B217">
        <f>IFERROR(COUNTIFS($A$1:A217,"Câu "&amp;"*")-MID(A217,5,FIND(".",A217,1)-5),0)</f>
        <v>0</v>
      </c>
      <c r="C217" t="b">
        <v>0</v>
      </c>
      <c r="E217" t="str">
        <f t="shared" si="18"/>
        <v>2</v>
      </c>
      <c r="F217" t="str">
        <f t="shared" si="19"/>
        <v>3</v>
      </c>
      <c r="G217" t="str">
        <f t="shared" si="20"/>
        <v>Câu 56.</v>
      </c>
      <c r="H217" t="str">
        <f t="shared" si="21"/>
        <v>1</v>
      </c>
      <c r="I217" t="str">
        <f t="shared" si="22"/>
        <v>2</v>
      </c>
      <c r="J217" t="str">
        <f t="shared" ca="1" si="23"/>
        <v/>
      </c>
    </row>
    <row r="218" spans="1:10" ht="18.75" x14ac:dyDescent="0.25">
      <c r="A218" s="11" t="s">
        <v>1814</v>
      </c>
      <c r="B218">
        <f>IFERROR(COUNTIFS($A$1:A218,"Câu "&amp;"*")-MID(A218,5,FIND(".",A218,1)-5),0)</f>
        <v>0</v>
      </c>
      <c r="C218" t="b">
        <v>0</v>
      </c>
      <c r="E218" t="str">
        <f t="shared" si="18"/>
        <v>3</v>
      </c>
      <c r="F218" t="str">
        <f t="shared" si="19"/>
        <v>Câu 56.</v>
      </c>
      <c r="G218" t="str">
        <f t="shared" si="20"/>
        <v>1</v>
      </c>
      <c r="H218" t="str">
        <f t="shared" si="21"/>
        <v>2</v>
      </c>
      <c r="I218" t="str">
        <f t="shared" si="22"/>
        <v>3</v>
      </c>
      <c r="J218" t="str">
        <f t="shared" ca="1" si="23"/>
        <v/>
      </c>
    </row>
    <row r="219" spans="1:10" ht="18.75" x14ac:dyDescent="0.25">
      <c r="A219" s="10" t="s">
        <v>194</v>
      </c>
      <c r="B219">
        <f>IFERROR(COUNTIFS($A$1:A219,"Câu "&amp;"*")-MID(A219,5,FIND(".",A219,1)-5),0)</f>
        <v>0</v>
      </c>
      <c r="C219" t="b">
        <v>0</v>
      </c>
      <c r="E219" t="str">
        <f t="shared" si="18"/>
        <v>Câu 56.</v>
      </c>
      <c r="F219" t="str">
        <f t="shared" si="19"/>
        <v>1</v>
      </c>
      <c r="G219" t="str">
        <f t="shared" si="20"/>
        <v>2</v>
      </c>
      <c r="H219" t="str">
        <f t="shared" si="21"/>
        <v>3</v>
      </c>
      <c r="I219" t="str">
        <f t="shared" si="22"/>
        <v>4</v>
      </c>
      <c r="J219" t="str">
        <f t="shared" ca="1" si="23"/>
        <v>4</v>
      </c>
    </row>
    <row r="220" spans="1:10" ht="18.75" x14ac:dyDescent="0.25">
      <c r="A220" s="11" t="s">
        <v>1944</v>
      </c>
      <c r="B220">
        <f>IFERROR(COUNTIFS($A$1:A220,"Câu "&amp;"*")-MID(A220,5,FIND(".",A220,1)-5),0)</f>
        <v>0</v>
      </c>
      <c r="C220" t="b">
        <v>0</v>
      </c>
      <c r="E220" t="str">
        <f t="shared" si="18"/>
        <v>1</v>
      </c>
      <c r="F220" t="str">
        <f t="shared" si="19"/>
        <v>2</v>
      </c>
      <c r="G220" t="str">
        <f t="shared" si="20"/>
        <v>3</v>
      </c>
      <c r="H220" t="str">
        <f t="shared" si="21"/>
        <v>4</v>
      </c>
      <c r="I220" t="str">
        <f t="shared" si="22"/>
        <v/>
      </c>
      <c r="J220" t="str">
        <f t="shared" ca="1" si="23"/>
        <v/>
      </c>
    </row>
    <row r="221" spans="1:10" ht="18.75" x14ac:dyDescent="0.25">
      <c r="A221" s="11" t="s">
        <v>1945</v>
      </c>
      <c r="B221">
        <f>IFERROR(COUNTIFS($A$1:A221,"Câu "&amp;"*")-MID(A221,5,FIND(".",A221,1)-5),0)</f>
        <v>0</v>
      </c>
      <c r="C221" t="b">
        <v>0</v>
      </c>
      <c r="E221" t="str">
        <f t="shared" si="18"/>
        <v>2</v>
      </c>
      <c r="F221" t="str">
        <f t="shared" si="19"/>
        <v>3</v>
      </c>
      <c r="G221" t="str">
        <f t="shared" si="20"/>
        <v>4</v>
      </c>
      <c r="H221" t="str">
        <f t="shared" si="21"/>
        <v/>
      </c>
      <c r="I221" t="str">
        <f t="shared" si="22"/>
        <v>1</v>
      </c>
      <c r="J221" t="str">
        <f t="shared" ca="1" si="23"/>
        <v/>
      </c>
    </row>
    <row r="222" spans="1:10" ht="18.75" x14ac:dyDescent="0.25">
      <c r="A222" s="11" t="s">
        <v>1946</v>
      </c>
      <c r="B222">
        <f>IFERROR(COUNTIFS($A$1:A222,"Câu "&amp;"*")-MID(A222,5,FIND(".",A222,1)-5),0)</f>
        <v>0</v>
      </c>
      <c r="C222" t="b">
        <v>0</v>
      </c>
      <c r="E222" t="str">
        <f t="shared" si="18"/>
        <v>3</v>
      </c>
      <c r="F222" t="str">
        <f t="shared" si="19"/>
        <v>4</v>
      </c>
      <c r="G222" t="str">
        <f t="shared" si="20"/>
        <v>Câu 57.</v>
      </c>
      <c r="H222" t="str">
        <f t="shared" si="21"/>
        <v>1</v>
      </c>
      <c r="I222" t="str">
        <f t="shared" si="22"/>
        <v>2</v>
      </c>
      <c r="J222" t="str">
        <f t="shared" ca="1" si="23"/>
        <v/>
      </c>
    </row>
    <row r="223" spans="1:10" ht="18.75" x14ac:dyDescent="0.25">
      <c r="A223" s="11" t="s">
        <v>1865</v>
      </c>
      <c r="B223">
        <f>IFERROR(COUNTIFS($A$1:A223,"Câu "&amp;"*")-MID(A223,5,FIND(".",A223,1)-5),0)</f>
        <v>0</v>
      </c>
      <c r="C223" t="b">
        <v>1</v>
      </c>
      <c r="E223" t="str">
        <f t="shared" si="18"/>
        <v>4</v>
      </c>
      <c r="F223" t="str">
        <f t="shared" si="19"/>
        <v>Câu 57.</v>
      </c>
      <c r="G223" t="str">
        <f t="shared" si="20"/>
        <v>1</v>
      </c>
      <c r="H223" t="str">
        <f t="shared" si="21"/>
        <v>2</v>
      </c>
      <c r="I223" t="str">
        <f t="shared" si="22"/>
        <v>3</v>
      </c>
      <c r="J223" t="str">
        <f t="shared" ca="1" si="23"/>
        <v/>
      </c>
    </row>
    <row r="224" spans="1:10" ht="18.75" x14ac:dyDescent="0.25">
      <c r="A224" s="10" t="s">
        <v>198</v>
      </c>
      <c r="B224">
        <f>IFERROR(COUNTIFS($A$1:A224,"Câu "&amp;"*")-MID(A224,5,FIND(".",A224,1)-5),0)</f>
        <v>0</v>
      </c>
      <c r="C224" t="b">
        <v>0</v>
      </c>
      <c r="E224" t="str">
        <f t="shared" si="18"/>
        <v>Câu 57.</v>
      </c>
      <c r="F224" t="str">
        <f t="shared" si="19"/>
        <v>1</v>
      </c>
      <c r="G224" t="str">
        <f t="shared" si="20"/>
        <v>2</v>
      </c>
      <c r="H224" t="str">
        <f t="shared" si="21"/>
        <v>3</v>
      </c>
      <c r="I224" t="str">
        <f t="shared" si="22"/>
        <v/>
      </c>
      <c r="J224" t="str">
        <f t="shared" ca="1" si="23"/>
        <v>2</v>
      </c>
    </row>
    <row r="225" spans="1:10" ht="18.75" x14ac:dyDescent="0.25">
      <c r="A225" s="11" t="s">
        <v>1947</v>
      </c>
      <c r="B225">
        <f>IFERROR(COUNTIFS($A$1:A225,"Câu "&amp;"*")-MID(A225,5,FIND(".",A225,1)-5),0)</f>
        <v>0</v>
      </c>
      <c r="C225" t="b">
        <v>0</v>
      </c>
      <c r="E225" t="str">
        <f t="shared" si="18"/>
        <v>1</v>
      </c>
      <c r="F225" t="str">
        <f t="shared" si="19"/>
        <v>2</v>
      </c>
      <c r="G225" t="str">
        <f t="shared" si="20"/>
        <v>3</v>
      </c>
      <c r="H225" t="str">
        <f t="shared" si="21"/>
        <v/>
      </c>
      <c r="I225" t="str">
        <f t="shared" si="22"/>
        <v>1</v>
      </c>
      <c r="J225" t="str">
        <f t="shared" ca="1" si="23"/>
        <v/>
      </c>
    </row>
    <row r="226" spans="1:10" ht="18.75" x14ac:dyDescent="0.25">
      <c r="A226" s="11" t="s">
        <v>1948</v>
      </c>
      <c r="B226">
        <f>IFERROR(COUNTIFS($A$1:A226,"Câu "&amp;"*")-MID(A226,5,FIND(".",A226,1)-5),0)</f>
        <v>0</v>
      </c>
      <c r="C226" t="b">
        <v>1</v>
      </c>
      <c r="E226" t="str">
        <f t="shared" si="18"/>
        <v>2</v>
      </c>
      <c r="F226" t="str">
        <f t="shared" si="19"/>
        <v>3</v>
      </c>
      <c r="G226" t="str">
        <f t="shared" si="20"/>
        <v>Câu 58.</v>
      </c>
      <c r="H226" t="str">
        <f t="shared" si="21"/>
        <v>1</v>
      </c>
      <c r="I226" t="str">
        <f t="shared" si="22"/>
        <v>2</v>
      </c>
      <c r="J226" t="str">
        <f t="shared" ca="1" si="23"/>
        <v/>
      </c>
    </row>
    <row r="227" spans="1:10" ht="18.75" x14ac:dyDescent="0.25">
      <c r="A227" s="11" t="s">
        <v>1949</v>
      </c>
      <c r="B227">
        <f>IFERROR(COUNTIFS($A$1:A227,"Câu "&amp;"*")-MID(A227,5,FIND(".",A227,1)-5),0)</f>
        <v>0</v>
      </c>
      <c r="C227" t="b">
        <v>0</v>
      </c>
      <c r="E227" t="str">
        <f t="shared" si="18"/>
        <v>3</v>
      </c>
      <c r="F227" t="str">
        <f t="shared" si="19"/>
        <v>Câu 58.</v>
      </c>
      <c r="G227" t="str">
        <f t="shared" si="20"/>
        <v>1</v>
      </c>
      <c r="H227" t="str">
        <f t="shared" si="21"/>
        <v>2</v>
      </c>
      <c r="I227" t="str">
        <f t="shared" si="22"/>
        <v>3</v>
      </c>
      <c r="J227" t="str">
        <f t="shared" ca="1" si="23"/>
        <v/>
      </c>
    </row>
    <row r="228" spans="1:10" ht="18.75" x14ac:dyDescent="0.25">
      <c r="A228" s="10" t="s">
        <v>202</v>
      </c>
      <c r="B228">
        <f>IFERROR(COUNTIFS($A$1:A228,"Câu "&amp;"*")-MID(A228,5,FIND(".",A228,1)-5),0)</f>
        <v>0</v>
      </c>
      <c r="C228" t="b">
        <v>0</v>
      </c>
      <c r="E228" t="str">
        <f t="shared" si="18"/>
        <v>Câu 58.</v>
      </c>
      <c r="F228" t="str">
        <f t="shared" si="19"/>
        <v>1</v>
      </c>
      <c r="G228" t="str">
        <f t="shared" si="20"/>
        <v>2</v>
      </c>
      <c r="H228" t="str">
        <f t="shared" si="21"/>
        <v>3</v>
      </c>
      <c r="I228" t="str">
        <f t="shared" si="22"/>
        <v>4</v>
      </c>
      <c r="J228" t="str">
        <f t="shared" ca="1" si="23"/>
        <v>4</v>
      </c>
    </row>
    <row r="229" spans="1:10" ht="18.75" x14ac:dyDescent="0.25">
      <c r="A229" s="11" t="s">
        <v>1950</v>
      </c>
      <c r="B229">
        <f>IFERROR(COUNTIFS($A$1:A229,"Câu "&amp;"*")-MID(A229,5,FIND(".",A229,1)-5),0)</f>
        <v>0</v>
      </c>
      <c r="C229" t="b">
        <v>0</v>
      </c>
      <c r="E229" t="str">
        <f t="shared" si="18"/>
        <v>1</v>
      </c>
      <c r="F229" t="str">
        <f t="shared" si="19"/>
        <v>2</v>
      </c>
      <c r="G229" t="str">
        <f t="shared" si="20"/>
        <v>3</v>
      </c>
      <c r="H229" t="str">
        <f t="shared" si="21"/>
        <v>4</v>
      </c>
      <c r="I229" t="str">
        <f t="shared" si="22"/>
        <v/>
      </c>
      <c r="J229" t="str">
        <f t="shared" ca="1" si="23"/>
        <v/>
      </c>
    </row>
    <row r="230" spans="1:10" ht="18.75" x14ac:dyDescent="0.25">
      <c r="A230" s="11" t="s">
        <v>1951</v>
      </c>
      <c r="B230">
        <f>IFERROR(COUNTIFS($A$1:A230,"Câu "&amp;"*")-MID(A230,5,FIND(".",A230,1)-5),0)</f>
        <v>0</v>
      </c>
      <c r="C230" t="b">
        <v>0</v>
      </c>
      <c r="E230" t="str">
        <f t="shared" si="18"/>
        <v>2</v>
      </c>
      <c r="F230" t="str">
        <f t="shared" si="19"/>
        <v>3</v>
      </c>
      <c r="G230" t="str">
        <f t="shared" si="20"/>
        <v>4</v>
      </c>
      <c r="H230" t="str">
        <f t="shared" si="21"/>
        <v/>
      </c>
      <c r="I230" t="str">
        <f t="shared" si="22"/>
        <v>1</v>
      </c>
      <c r="J230" t="str">
        <f t="shared" ca="1" si="23"/>
        <v/>
      </c>
    </row>
    <row r="231" spans="1:10" ht="18.75" x14ac:dyDescent="0.25">
      <c r="A231" s="11" t="s">
        <v>1952</v>
      </c>
      <c r="B231">
        <f>IFERROR(COUNTIFS($A$1:A231,"Câu "&amp;"*")-MID(A231,5,FIND(".",A231,1)-5),0)</f>
        <v>0</v>
      </c>
      <c r="C231" t="b">
        <v>0</v>
      </c>
      <c r="E231" t="str">
        <f t="shared" si="18"/>
        <v>3</v>
      </c>
      <c r="F231" t="str">
        <f t="shared" si="19"/>
        <v>4</v>
      </c>
      <c r="G231" t="str">
        <f t="shared" si="20"/>
        <v>Câu 59.</v>
      </c>
      <c r="H231" t="str">
        <f t="shared" si="21"/>
        <v>1</v>
      </c>
      <c r="I231" t="str">
        <f t="shared" si="22"/>
        <v>2</v>
      </c>
      <c r="J231" t="str">
        <f t="shared" ca="1" si="23"/>
        <v/>
      </c>
    </row>
    <row r="232" spans="1:10" ht="18.75" x14ac:dyDescent="0.25">
      <c r="A232" s="11" t="s">
        <v>1865</v>
      </c>
      <c r="B232">
        <f>IFERROR(COUNTIFS($A$1:A232,"Câu "&amp;"*")-MID(A232,5,FIND(".",A232,1)-5),0)</f>
        <v>0</v>
      </c>
      <c r="C232" t="b">
        <v>1</v>
      </c>
      <c r="E232" t="str">
        <f t="shared" si="18"/>
        <v>4</v>
      </c>
      <c r="F232" t="str">
        <f t="shared" si="19"/>
        <v>Câu 59.</v>
      </c>
      <c r="G232" t="str">
        <f t="shared" si="20"/>
        <v>1</v>
      </c>
      <c r="H232" t="str">
        <f t="shared" si="21"/>
        <v>2</v>
      </c>
      <c r="I232" t="str">
        <f t="shared" si="22"/>
        <v>3</v>
      </c>
      <c r="J232" t="str">
        <f t="shared" ca="1" si="23"/>
        <v/>
      </c>
    </row>
    <row r="233" spans="1:10" ht="18.75" x14ac:dyDescent="0.25">
      <c r="A233" s="10" t="s">
        <v>206</v>
      </c>
      <c r="B233">
        <f>IFERROR(COUNTIFS($A$1:A233,"Câu "&amp;"*")-MID(A233,5,FIND(".",A233,1)-5),0)</f>
        <v>0</v>
      </c>
      <c r="C233" t="b">
        <v>0</v>
      </c>
      <c r="E233" t="str">
        <f t="shared" si="18"/>
        <v>Câu 59.</v>
      </c>
      <c r="F233" t="str">
        <f t="shared" si="19"/>
        <v>1</v>
      </c>
      <c r="G233" t="str">
        <f t="shared" si="20"/>
        <v>2</v>
      </c>
      <c r="H233" t="str">
        <f t="shared" si="21"/>
        <v>3</v>
      </c>
      <c r="I233" t="str">
        <f t="shared" si="22"/>
        <v/>
      </c>
      <c r="J233" t="str">
        <f t="shared" ca="1" si="23"/>
        <v>3</v>
      </c>
    </row>
    <row r="234" spans="1:10" ht="18.75" x14ac:dyDescent="0.25">
      <c r="A234" s="11" t="s">
        <v>1953</v>
      </c>
      <c r="B234">
        <f>IFERROR(COUNTIFS($A$1:A234,"Câu "&amp;"*")-MID(A234,5,FIND(".",A234,1)-5),0)</f>
        <v>0</v>
      </c>
      <c r="C234" t="b">
        <v>0</v>
      </c>
      <c r="E234" t="str">
        <f t="shared" si="18"/>
        <v>1</v>
      </c>
      <c r="F234" t="str">
        <f t="shared" si="19"/>
        <v>2</v>
      </c>
      <c r="G234" t="str">
        <f t="shared" si="20"/>
        <v>3</v>
      </c>
      <c r="H234" t="str">
        <f t="shared" si="21"/>
        <v/>
      </c>
      <c r="I234" t="str">
        <f t="shared" si="22"/>
        <v>1</v>
      </c>
      <c r="J234" t="str">
        <f t="shared" ca="1" si="23"/>
        <v/>
      </c>
    </row>
    <row r="235" spans="1:10" ht="18.75" x14ac:dyDescent="0.25">
      <c r="A235" s="11" t="s">
        <v>1954</v>
      </c>
      <c r="B235">
        <f>IFERROR(COUNTIFS($A$1:A235,"Câu "&amp;"*")-MID(A235,5,FIND(".",A235,1)-5),0)</f>
        <v>0</v>
      </c>
      <c r="C235" t="b">
        <v>0</v>
      </c>
      <c r="E235" t="str">
        <f t="shared" si="18"/>
        <v>2</v>
      </c>
      <c r="F235" t="str">
        <f t="shared" si="19"/>
        <v>3</v>
      </c>
      <c r="G235" t="str">
        <f t="shared" si="20"/>
        <v>Câu 60.</v>
      </c>
      <c r="H235" t="str">
        <f t="shared" si="21"/>
        <v>1</v>
      </c>
      <c r="I235" t="str">
        <f t="shared" si="22"/>
        <v>2</v>
      </c>
      <c r="J235" t="str">
        <f t="shared" ca="1" si="23"/>
        <v/>
      </c>
    </row>
    <row r="236" spans="1:10" ht="18.75" x14ac:dyDescent="0.25">
      <c r="A236" s="11" t="s">
        <v>1825</v>
      </c>
      <c r="B236">
        <f>IFERROR(COUNTIFS($A$1:A236,"Câu "&amp;"*")-MID(A236,5,FIND(".",A236,1)-5),0)</f>
        <v>0</v>
      </c>
      <c r="C236" t="b">
        <v>1</v>
      </c>
      <c r="E236" t="str">
        <f t="shared" si="18"/>
        <v>3</v>
      </c>
      <c r="F236" t="str">
        <f t="shared" si="19"/>
        <v>Câu 60.</v>
      </c>
      <c r="G236" t="str">
        <f t="shared" si="20"/>
        <v>1</v>
      </c>
      <c r="H236" t="str">
        <f t="shared" si="21"/>
        <v>2</v>
      </c>
      <c r="I236" t="str">
        <f t="shared" si="22"/>
        <v>3</v>
      </c>
      <c r="J236" t="str">
        <f t="shared" ca="1" si="23"/>
        <v/>
      </c>
    </row>
    <row r="237" spans="1:10" ht="409.5" x14ac:dyDescent="0.25">
      <c r="A237" s="4" t="s">
        <v>209</v>
      </c>
      <c r="B237">
        <f>IFERROR(COUNTIFS($A$1:A237,"Câu "&amp;"*")-MID(A237,5,FIND(".",A237,1)-5),0)</f>
        <v>0</v>
      </c>
      <c r="C237" t="b">
        <v>0</v>
      </c>
      <c r="E237" t="str">
        <f t="shared" si="18"/>
        <v>Câu 60.</v>
      </c>
      <c r="F237" t="str">
        <f t="shared" si="19"/>
        <v>1</v>
      </c>
      <c r="G237" t="str">
        <f t="shared" si="20"/>
        <v>2</v>
      </c>
      <c r="H237" t="str">
        <f t="shared" si="21"/>
        <v>3</v>
      </c>
      <c r="I237" t="str">
        <f t="shared" si="22"/>
        <v>4</v>
      </c>
      <c r="J237" t="str">
        <f t="shared" ca="1" si="23"/>
        <v>1</v>
      </c>
    </row>
    <row r="238" spans="1:10" ht="18.75" x14ac:dyDescent="0.25">
      <c r="A238" s="11" t="s">
        <v>1955</v>
      </c>
      <c r="B238">
        <f>IFERROR(COUNTIFS($A$1:A238,"Câu "&amp;"*")-MID(A238,5,FIND(".",A238,1)-5),0)</f>
        <v>0</v>
      </c>
      <c r="C238" t="b">
        <v>1</v>
      </c>
      <c r="E238" t="str">
        <f t="shared" si="18"/>
        <v>1</v>
      </c>
      <c r="F238" t="str">
        <f t="shared" si="19"/>
        <v>2</v>
      </c>
      <c r="G238" t="str">
        <f t="shared" si="20"/>
        <v>3</v>
      </c>
      <c r="H238" t="str">
        <f t="shared" si="21"/>
        <v>4</v>
      </c>
      <c r="I238" t="str">
        <f t="shared" si="22"/>
        <v/>
      </c>
      <c r="J238" t="str">
        <f t="shared" ca="1" si="23"/>
        <v/>
      </c>
    </row>
    <row r="239" spans="1:10" ht="18.75" x14ac:dyDescent="0.25">
      <c r="A239" s="11" t="s">
        <v>1956</v>
      </c>
      <c r="B239">
        <f>IFERROR(COUNTIFS($A$1:A239,"Câu "&amp;"*")-MID(A239,5,FIND(".",A239,1)-5),0)</f>
        <v>0</v>
      </c>
      <c r="C239" t="b">
        <v>0</v>
      </c>
      <c r="E239" t="str">
        <f t="shared" si="18"/>
        <v>2</v>
      </c>
      <c r="F239" t="str">
        <f t="shared" si="19"/>
        <v>3</v>
      </c>
      <c r="G239" t="str">
        <f t="shared" si="20"/>
        <v>4</v>
      </c>
      <c r="H239" t="str">
        <f t="shared" si="21"/>
        <v/>
      </c>
      <c r="I239" t="str">
        <f t="shared" si="22"/>
        <v>1</v>
      </c>
      <c r="J239" t="str">
        <f t="shared" ca="1" si="23"/>
        <v/>
      </c>
    </row>
    <row r="240" spans="1:10" ht="18.75" x14ac:dyDescent="0.25">
      <c r="A240" s="11" t="s">
        <v>1957</v>
      </c>
      <c r="B240">
        <f>IFERROR(COUNTIFS($A$1:A240,"Câu "&amp;"*")-MID(A240,5,FIND(".",A240,1)-5),0)</f>
        <v>0</v>
      </c>
      <c r="C240" t="b">
        <v>0</v>
      </c>
      <c r="E240" t="str">
        <f t="shared" si="18"/>
        <v>3</v>
      </c>
      <c r="F240" t="str">
        <f t="shared" si="19"/>
        <v>4</v>
      </c>
      <c r="G240" t="str">
        <f t="shared" si="20"/>
        <v>Câu 61.</v>
      </c>
      <c r="H240" t="str">
        <f t="shared" si="21"/>
        <v>1</v>
      </c>
      <c r="I240" t="str">
        <f t="shared" si="22"/>
        <v>2</v>
      </c>
      <c r="J240" t="str">
        <f t="shared" ca="1" si="23"/>
        <v/>
      </c>
    </row>
    <row r="241" spans="1:10" ht="18.75" x14ac:dyDescent="0.25">
      <c r="A241" s="11" t="s">
        <v>1958</v>
      </c>
      <c r="B241">
        <f>IFERROR(COUNTIFS($A$1:A241,"Câu "&amp;"*")-MID(A241,5,FIND(".",A241,1)-5),0)</f>
        <v>0</v>
      </c>
      <c r="C241" t="b">
        <v>0</v>
      </c>
      <c r="E241" t="str">
        <f t="shared" si="18"/>
        <v>4</v>
      </c>
      <c r="F241" t="str">
        <f t="shared" si="19"/>
        <v>Câu 61.</v>
      </c>
      <c r="G241" t="str">
        <f t="shared" si="20"/>
        <v>1</v>
      </c>
      <c r="H241" t="str">
        <f t="shared" si="21"/>
        <v>2</v>
      </c>
      <c r="I241" t="str">
        <f t="shared" si="22"/>
        <v>3</v>
      </c>
      <c r="J241" t="str">
        <f t="shared" ca="1" si="23"/>
        <v/>
      </c>
    </row>
    <row r="242" spans="1:10" ht="409.5" x14ac:dyDescent="0.25">
      <c r="A242" s="4" t="s">
        <v>214</v>
      </c>
      <c r="B242">
        <f>IFERROR(COUNTIFS($A$1:A242,"Câu "&amp;"*")-MID(A242,5,FIND(".",A242,1)-5),0)</f>
        <v>0</v>
      </c>
      <c r="C242" t="b">
        <v>0</v>
      </c>
      <c r="E242" t="str">
        <f t="shared" si="18"/>
        <v>Câu 61.</v>
      </c>
      <c r="F242" t="str">
        <f t="shared" si="19"/>
        <v>1</v>
      </c>
      <c r="G242" t="str">
        <f t="shared" si="20"/>
        <v>2</v>
      </c>
      <c r="H242" t="str">
        <f t="shared" si="21"/>
        <v>3</v>
      </c>
      <c r="I242" t="str">
        <f t="shared" si="22"/>
        <v>4</v>
      </c>
      <c r="J242" t="str">
        <f t="shared" ca="1" si="23"/>
        <v>3</v>
      </c>
    </row>
    <row r="243" spans="1:10" ht="18.75" x14ac:dyDescent="0.25">
      <c r="A243" s="11" t="s">
        <v>1959</v>
      </c>
      <c r="B243">
        <f>IFERROR(COUNTIFS($A$1:A243,"Câu "&amp;"*")-MID(A243,5,FIND(".",A243,1)-5),0)</f>
        <v>0</v>
      </c>
      <c r="C243" t="b">
        <v>0</v>
      </c>
      <c r="E243" t="str">
        <f t="shared" si="18"/>
        <v>1</v>
      </c>
      <c r="F243" t="str">
        <f t="shared" si="19"/>
        <v>2</v>
      </c>
      <c r="G243" t="str">
        <f t="shared" si="20"/>
        <v>3</v>
      </c>
      <c r="H243" t="str">
        <f t="shared" si="21"/>
        <v>4</v>
      </c>
      <c r="I243" t="str">
        <f t="shared" si="22"/>
        <v/>
      </c>
      <c r="J243" t="str">
        <f t="shared" ca="1" si="23"/>
        <v/>
      </c>
    </row>
    <row r="244" spans="1:10" ht="18.75" x14ac:dyDescent="0.25">
      <c r="A244" s="11" t="s">
        <v>1960</v>
      </c>
      <c r="B244">
        <f>IFERROR(COUNTIFS($A$1:A244,"Câu "&amp;"*")-MID(A244,5,FIND(".",A244,1)-5),0)</f>
        <v>0</v>
      </c>
      <c r="C244" t="b">
        <v>0</v>
      </c>
      <c r="E244" t="str">
        <f t="shared" si="18"/>
        <v>2</v>
      </c>
      <c r="F244" t="str">
        <f t="shared" si="19"/>
        <v>3</v>
      </c>
      <c r="G244" t="str">
        <f t="shared" si="20"/>
        <v>4</v>
      </c>
      <c r="H244" t="str">
        <f t="shared" si="21"/>
        <v/>
      </c>
      <c r="I244" t="str">
        <f t="shared" si="22"/>
        <v>1</v>
      </c>
      <c r="J244" t="str">
        <f t="shared" ca="1" si="23"/>
        <v/>
      </c>
    </row>
    <row r="245" spans="1:10" ht="18.75" x14ac:dyDescent="0.25">
      <c r="A245" s="11" t="s">
        <v>1961</v>
      </c>
      <c r="B245">
        <f>IFERROR(COUNTIFS($A$1:A245,"Câu "&amp;"*")-MID(A245,5,FIND(".",A245,1)-5),0)</f>
        <v>0</v>
      </c>
      <c r="C245" t="b">
        <v>1</v>
      </c>
      <c r="E245" t="str">
        <f t="shared" si="18"/>
        <v>3</v>
      </c>
      <c r="F245" t="str">
        <f t="shared" si="19"/>
        <v>4</v>
      </c>
      <c r="G245" t="str">
        <f t="shared" si="20"/>
        <v>Câu 62.</v>
      </c>
      <c r="H245" t="str">
        <f t="shared" si="21"/>
        <v>1</v>
      </c>
      <c r="I245" t="str">
        <f t="shared" si="22"/>
        <v>2</v>
      </c>
      <c r="J245" t="str">
        <f t="shared" ca="1" si="23"/>
        <v/>
      </c>
    </row>
    <row r="246" spans="1:10" ht="18.75" x14ac:dyDescent="0.25">
      <c r="A246" s="11" t="s">
        <v>1962</v>
      </c>
      <c r="B246">
        <f>IFERROR(COUNTIFS($A$1:A246,"Câu "&amp;"*")-MID(A246,5,FIND(".",A246,1)-5),0)</f>
        <v>0</v>
      </c>
      <c r="C246" t="b">
        <v>0</v>
      </c>
      <c r="E246" t="str">
        <f t="shared" si="18"/>
        <v>4</v>
      </c>
      <c r="F246" t="str">
        <f t="shared" si="19"/>
        <v>Câu 62.</v>
      </c>
      <c r="G246" t="str">
        <f t="shared" si="20"/>
        <v>1</v>
      </c>
      <c r="H246" t="str">
        <f t="shared" si="21"/>
        <v>2</v>
      </c>
      <c r="I246" t="str">
        <f t="shared" si="22"/>
        <v>3</v>
      </c>
      <c r="J246" t="str">
        <f t="shared" ca="1" si="23"/>
        <v/>
      </c>
    </row>
    <row r="247" spans="1:10" ht="18.75" x14ac:dyDescent="0.25">
      <c r="A247" s="10" t="s">
        <v>219</v>
      </c>
      <c r="B247">
        <f>IFERROR(COUNTIFS($A$1:A247,"Câu "&amp;"*")-MID(A247,5,FIND(".",A247,1)-5),0)</f>
        <v>0</v>
      </c>
      <c r="C247" t="b">
        <v>0</v>
      </c>
      <c r="E247" t="str">
        <f t="shared" si="18"/>
        <v>Câu 62.</v>
      </c>
      <c r="F247" t="str">
        <f t="shared" si="19"/>
        <v>1</v>
      </c>
      <c r="G247" t="str">
        <f t="shared" si="20"/>
        <v>2</v>
      </c>
      <c r="H247" t="str">
        <f t="shared" si="21"/>
        <v>3</v>
      </c>
      <c r="I247" t="str">
        <f t="shared" si="22"/>
        <v/>
      </c>
      <c r="J247" t="str">
        <f t="shared" ca="1" si="23"/>
        <v>2</v>
      </c>
    </row>
    <row r="248" spans="1:10" ht="18.75" x14ac:dyDescent="0.25">
      <c r="A248" s="11" t="s">
        <v>1963</v>
      </c>
      <c r="B248">
        <f>IFERROR(COUNTIFS($A$1:A248,"Câu "&amp;"*")-MID(A248,5,FIND(".",A248,1)-5),0)</f>
        <v>0</v>
      </c>
      <c r="C248" t="b">
        <v>0</v>
      </c>
      <c r="E248" t="str">
        <f t="shared" si="18"/>
        <v>1</v>
      </c>
      <c r="F248" t="str">
        <f t="shared" si="19"/>
        <v>2</v>
      </c>
      <c r="G248" t="str">
        <f t="shared" si="20"/>
        <v>3</v>
      </c>
      <c r="H248" t="str">
        <f t="shared" si="21"/>
        <v/>
      </c>
      <c r="I248" t="str">
        <f t="shared" si="22"/>
        <v>1</v>
      </c>
      <c r="J248" t="str">
        <f t="shared" ca="1" si="23"/>
        <v/>
      </c>
    </row>
    <row r="249" spans="1:10" ht="18.75" x14ac:dyDescent="0.25">
      <c r="A249" s="11" t="s">
        <v>1964</v>
      </c>
      <c r="B249">
        <f>IFERROR(COUNTIFS($A$1:A249,"Câu "&amp;"*")-MID(A249,5,FIND(".",A249,1)-5),0)</f>
        <v>0</v>
      </c>
      <c r="C249" t="b">
        <v>1</v>
      </c>
      <c r="E249" t="str">
        <f t="shared" si="18"/>
        <v>2</v>
      </c>
      <c r="F249" t="str">
        <f t="shared" si="19"/>
        <v>3</v>
      </c>
      <c r="G249" t="str">
        <f t="shared" si="20"/>
        <v>Câu 63.</v>
      </c>
      <c r="H249" t="str">
        <f t="shared" si="21"/>
        <v>1</v>
      </c>
      <c r="I249" t="str">
        <f t="shared" si="22"/>
        <v>2</v>
      </c>
      <c r="J249" t="str">
        <f t="shared" ca="1" si="23"/>
        <v/>
      </c>
    </row>
    <row r="250" spans="1:10" ht="18.75" x14ac:dyDescent="0.25">
      <c r="A250" s="11" t="s">
        <v>1814</v>
      </c>
      <c r="B250">
        <f>IFERROR(COUNTIFS($A$1:A250,"Câu "&amp;"*")-MID(A250,5,FIND(".",A250,1)-5),0)</f>
        <v>0</v>
      </c>
      <c r="C250" t="b">
        <v>0</v>
      </c>
      <c r="E250" t="str">
        <f t="shared" si="18"/>
        <v>3</v>
      </c>
      <c r="F250" t="str">
        <f t="shared" si="19"/>
        <v>Câu 63.</v>
      </c>
      <c r="G250" t="str">
        <f t="shared" si="20"/>
        <v>1</v>
      </c>
      <c r="H250" t="str">
        <f t="shared" si="21"/>
        <v>2</v>
      </c>
      <c r="I250" t="str">
        <f t="shared" si="22"/>
        <v>3</v>
      </c>
      <c r="J250" t="str">
        <f t="shared" ca="1" si="23"/>
        <v/>
      </c>
    </row>
    <row r="251" spans="1:10" ht="409.5" x14ac:dyDescent="0.25">
      <c r="A251" s="4" t="s">
        <v>222</v>
      </c>
      <c r="B251">
        <f>IFERROR(COUNTIFS($A$1:A251,"Câu "&amp;"*")-MID(A251,5,FIND(".",A251,1)-5),0)</f>
        <v>0</v>
      </c>
      <c r="C251" t="b">
        <v>0</v>
      </c>
      <c r="E251" t="str">
        <f t="shared" si="18"/>
        <v>Câu 63.</v>
      </c>
      <c r="F251" t="str">
        <f t="shared" si="19"/>
        <v>1</v>
      </c>
      <c r="G251" t="str">
        <f t="shared" si="20"/>
        <v>2</v>
      </c>
      <c r="H251" t="str">
        <f t="shared" si="21"/>
        <v>3</v>
      </c>
      <c r="I251" t="str">
        <f t="shared" si="22"/>
        <v>4</v>
      </c>
      <c r="J251" t="str">
        <f t="shared" ca="1" si="23"/>
        <v>4</v>
      </c>
    </row>
    <row r="252" spans="1:10" ht="37.5" x14ac:dyDescent="0.25">
      <c r="A252" s="3" t="s">
        <v>1965</v>
      </c>
      <c r="B252">
        <f>IFERROR(COUNTIFS($A$1:A252,"Câu "&amp;"*")-MID(A252,5,FIND(".",A252,1)-5),0)</f>
        <v>0</v>
      </c>
      <c r="C252" t="b">
        <v>0</v>
      </c>
      <c r="E252" t="str">
        <f t="shared" si="18"/>
        <v>1</v>
      </c>
      <c r="F252" t="str">
        <f t="shared" si="19"/>
        <v>2</v>
      </c>
      <c r="G252" t="str">
        <f t="shared" si="20"/>
        <v>3</v>
      </c>
      <c r="H252" t="str">
        <f t="shared" si="21"/>
        <v>4</v>
      </c>
      <c r="I252" t="str">
        <f t="shared" si="22"/>
        <v/>
      </c>
      <c r="J252" t="str">
        <f t="shared" ca="1" si="23"/>
        <v/>
      </c>
    </row>
    <row r="253" spans="1:10" ht="18.75" x14ac:dyDescent="0.25">
      <c r="A253" s="11" t="s">
        <v>1966</v>
      </c>
      <c r="B253">
        <f>IFERROR(COUNTIFS($A$1:A253,"Câu "&amp;"*")-MID(A253,5,FIND(".",A253,1)-5),0)</f>
        <v>0</v>
      </c>
      <c r="C253" t="b">
        <v>0</v>
      </c>
      <c r="E253" t="str">
        <f t="shared" si="18"/>
        <v>2</v>
      </c>
      <c r="F253" t="str">
        <f t="shared" si="19"/>
        <v>3</v>
      </c>
      <c r="G253" t="str">
        <f t="shared" si="20"/>
        <v>4</v>
      </c>
      <c r="H253" t="str">
        <f t="shared" si="21"/>
        <v/>
      </c>
      <c r="I253" t="str">
        <f t="shared" si="22"/>
        <v>1</v>
      </c>
      <c r="J253" t="str">
        <f t="shared" ca="1" si="23"/>
        <v/>
      </c>
    </row>
    <row r="254" spans="1:10" ht="18.75" x14ac:dyDescent="0.25">
      <c r="A254" s="11" t="s">
        <v>1967</v>
      </c>
      <c r="B254">
        <f>IFERROR(COUNTIFS($A$1:A254,"Câu "&amp;"*")-MID(A254,5,FIND(".",A254,1)-5),0)</f>
        <v>0</v>
      </c>
      <c r="C254" t="b">
        <v>0</v>
      </c>
      <c r="E254" t="str">
        <f t="shared" si="18"/>
        <v>3</v>
      </c>
      <c r="F254" t="str">
        <f t="shared" si="19"/>
        <v>4</v>
      </c>
      <c r="G254" t="str">
        <f t="shared" si="20"/>
        <v>Câu 64.</v>
      </c>
      <c r="H254" t="str">
        <f t="shared" si="21"/>
        <v>1</v>
      </c>
      <c r="I254" t="str">
        <f t="shared" si="22"/>
        <v>2</v>
      </c>
      <c r="J254" t="str">
        <f t="shared" ca="1" si="23"/>
        <v/>
      </c>
    </row>
    <row r="255" spans="1:10" ht="18.75" x14ac:dyDescent="0.25">
      <c r="A255" s="11" t="s">
        <v>1968</v>
      </c>
      <c r="B255">
        <f>IFERROR(COUNTIFS($A$1:A255,"Câu "&amp;"*")-MID(A255,5,FIND(".",A255,1)-5),0)</f>
        <v>0</v>
      </c>
      <c r="C255" t="b">
        <v>1</v>
      </c>
      <c r="E255" t="str">
        <f t="shared" si="18"/>
        <v>4</v>
      </c>
      <c r="F255" t="str">
        <f t="shared" si="19"/>
        <v>Câu 64.</v>
      </c>
      <c r="G255" t="str">
        <f t="shared" si="20"/>
        <v>1</v>
      </c>
      <c r="H255" t="str">
        <f t="shared" si="21"/>
        <v>2</v>
      </c>
      <c r="I255" t="str">
        <f t="shared" si="22"/>
        <v/>
      </c>
      <c r="J255" t="str">
        <f t="shared" ca="1" si="23"/>
        <v/>
      </c>
    </row>
    <row r="256" spans="1:10" ht="18.75" x14ac:dyDescent="0.25">
      <c r="A256" s="10" t="s">
        <v>227</v>
      </c>
      <c r="B256">
        <f>IFERROR(COUNTIFS($A$1:A256,"Câu "&amp;"*")-MID(A256,5,FIND(".",A256,1)-5),0)</f>
        <v>0</v>
      </c>
      <c r="C256" t="b">
        <v>0</v>
      </c>
      <c r="E256" t="str">
        <f t="shared" si="18"/>
        <v>Câu 64.</v>
      </c>
      <c r="F256" t="str">
        <f t="shared" si="19"/>
        <v>1</v>
      </c>
      <c r="G256" t="str">
        <f t="shared" si="20"/>
        <v>2</v>
      </c>
      <c r="H256" t="str">
        <f t="shared" si="21"/>
        <v/>
      </c>
      <c r="I256" t="str">
        <f t="shared" si="22"/>
        <v>1</v>
      </c>
      <c r="J256" t="str">
        <f t="shared" ca="1" si="23"/>
        <v>1</v>
      </c>
    </row>
    <row r="257" spans="1:10" ht="18.75" x14ac:dyDescent="0.25">
      <c r="A257" s="11" t="s">
        <v>1969</v>
      </c>
      <c r="B257">
        <f>IFERROR(COUNTIFS($A$1:A257,"Câu "&amp;"*")-MID(A257,5,FIND(".",A257,1)-5),0)</f>
        <v>0</v>
      </c>
      <c r="C257" t="b">
        <v>1</v>
      </c>
      <c r="E257" t="str">
        <f t="shared" si="18"/>
        <v>1</v>
      </c>
      <c r="F257" t="str">
        <f t="shared" si="19"/>
        <v>2</v>
      </c>
      <c r="G257" t="str">
        <f t="shared" si="20"/>
        <v>Câu 65.</v>
      </c>
      <c r="H257" t="str">
        <f t="shared" si="21"/>
        <v>1</v>
      </c>
      <c r="I257" t="str">
        <f t="shared" si="22"/>
        <v>2</v>
      </c>
      <c r="J257" t="str">
        <f t="shared" ca="1" si="23"/>
        <v/>
      </c>
    </row>
    <row r="258" spans="1:10" ht="18.75" x14ac:dyDescent="0.25">
      <c r="A258" s="11" t="s">
        <v>1970</v>
      </c>
      <c r="B258">
        <f>IFERROR(COUNTIFS($A$1:A258,"Câu "&amp;"*")-MID(A258,5,FIND(".",A258,1)-5),0)</f>
        <v>0</v>
      </c>
      <c r="C258" t="b">
        <v>0</v>
      </c>
      <c r="E258" t="str">
        <f t="shared" si="18"/>
        <v>2</v>
      </c>
      <c r="F258" t="str">
        <f t="shared" si="19"/>
        <v>Câu 65.</v>
      </c>
      <c r="G258" t="str">
        <f t="shared" si="20"/>
        <v>1</v>
      </c>
      <c r="H258" t="str">
        <f t="shared" si="21"/>
        <v>2</v>
      </c>
      <c r="I258" t="str">
        <f t="shared" si="22"/>
        <v>3</v>
      </c>
      <c r="J258" t="str">
        <f t="shared" ca="1" si="23"/>
        <v/>
      </c>
    </row>
    <row r="259" spans="1:10" ht="18.75" x14ac:dyDescent="0.25">
      <c r="A259" s="10" t="s">
        <v>230</v>
      </c>
      <c r="B259">
        <f>IFERROR(COUNTIFS($A$1:A259,"Câu "&amp;"*")-MID(A259,5,FIND(".",A259,1)-5),0)</f>
        <v>0</v>
      </c>
      <c r="C259" t="b">
        <v>0</v>
      </c>
      <c r="E259" t="str">
        <f t="shared" ref="E259:E322" si="24">IF(LEFT(A259,3)="Câu",LEFT(A259,FIND(".",A259,1)),LEFT(A259,1))</f>
        <v>Câu 65.</v>
      </c>
      <c r="F259" t="str">
        <f t="shared" ref="F259:F322" si="25">IF(LEFT(A260,3)="Câu",LEFT(A260,FIND(".",A260,1)),LEFT(A260,1))</f>
        <v>1</v>
      </c>
      <c r="G259" t="str">
        <f t="shared" ref="G259:G322" si="26">IF(LEFT(A261,3)="Câu",LEFT(A261,FIND(".",A261,1)),LEFT(A261,1))</f>
        <v>2</v>
      </c>
      <c r="H259" t="str">
        <f t="shared" ref="H259:H322" si="27">IF(LEFT(A262,3)="Câu","",LEFT(A262,1))</f>
        <v>3</v>
      </c>
      <c r="I259" t="str">
        <f t="shared" ref="I259:I322" si="28">IF(LEFT(A263,3)="Câu","",LEFT(A263,1))</f>
        <v>4</v>
      </c>
      <c r="J259" t="str">
        <f t="shared" ref="J259:J322" ca="1" si="29">IFERROR(VLOOKUP(TRUE,INDIRECT("C"&amp;MATCH(E259,$E$1:$E$2471,0)&amp;":E"&amp;MATCH("Câu "&amp;VALUE(MID(E259,5,LEN(E259)-5))+1&amp;".",$E$1:$E$2471,0)),3,0),"")</f>
        <v>1</v>
      </c>
    </row>
    <row r="260" spans="1:10" ht="18.75" x14ac:dyDescent="0.25">
      <c r="A260" s="11" t="s">
        <v>1971</v>
      </c>
      <c r="B260">
        <f>IFERROR(COUNTIFS($A$1:A260,"Câu "&amp;"*")-MID(A260,5,FIND(".",A260,1)-5),0)</f>
        <v>0</v>
      </c>
      <c r="C260" t="b">
        <v>1</v>
      </c>
      <c r="E260" t="str">
        <f t="shared" si="24"/>
        <v>1</v>
      </c>
      <c r="F260" t="str">
        <f t="shared" si="25"/>
        <v>2</v>
      </c>
      <c r="G260" t="str">
        <f t="shared" si="26"/>
        <v>3</v>
      </c>
      <c r="H260" t="str">
        <f t="shared" si="27"/>
        <v>4</v>
      </c>
      <c r="I260" t="str">
        <f t="shared" si="28"/>
        <v/>
      </c>
      <c r="J260" t="str">
        <f t="shared" ca="1" si="29"/>
        <v/>
      </c>
    </row>
    <row r="261" spans="1:10" ht="18.75" x14ac:dyDescent="0.25">
      <c r="A261" s="11" t="s">
        <v>1972</v>
      </c>
      <c r="B261">
        <f>IFERROR(COUNTIFS($A$1:A261,"Câu "&amp;"*")-MID(A261,5,FIND(".",A261,1)-5),0)</f>
        <v>0</v>
      </c>
      <c r="C261" t="b">
        <v>0</v>
      </c>
      <c r="E261" t="str">
        <f t="shared" si="24"/>
        <v>2</v>
      </c>
      <c r="F261" t="str">
        <f t="shared" si="25"/>
        <v>3</v>
      </c>
      <c r="G261" t="str">
        <f t="shared" si="26"/>
        <v>4</v>
      </c>
      <c r="H261" t="str">
        <f t="shared" si="27"/>
        <v/>
      </c>
      <c r="I261" t="str">
        <f t="shared" si="28"/>
        <v>1</v>
      </c>
      <c r="J261" t="str">
        <f t="shared" ca="1" si="29"/>
        <v/>
      </c>
    </row>
    <row r="262" spans="1:10" ht="18.75" x14ac:dyDescent="0.25">
      <c r="A262" s="11" t="s">
        <v>1973</v>
      </c>
      <c r="B262">
        <f>IFERROR(COUNTIFS($A$1:A262,"Câu "&amp;"*")-MID(A262,5,FIND(".",A262,1)-5),0)</f>
        <v>0</v>
      </c>
      <c r="C262" t="b">
        <v>0</v>
      </c>
      <c r="E262" t="str">
        <f t="shared" si="24"/>
        <v>3</v>
      </c>
      <c r="F262" t="str">
        <f t="shared" si="25"/>
        <v>4</v>
      </c>
      <c r="G262" t="str">
        <f t="shared" si="26"/>
        <v>Câu 66.</v>
      </c>
      <c r="H262" t="str">
        <f t="shared" si="27"/>
        <v>1</v>
      </c>
      <c r="I262" t="str">
        <f t="shared" si="28"/>
        <v>2</v>
      </c>
      <c r="J262" t="str">
        <f t="shared" ca="1" si="29"/>
        <v/>
      </c>
    </row>
    <row r="263" spans="1:10" ht="18.75" x14ac:dyDescent="0.25">
      <c r="A263" s="11" t="s">
        <v>1974</v>
      </c>
      <c r="B263">
        <f>IFERROR(COUNTIFS($A$1:A263,"Câu "&amp;"*")-MID(A263,5,FIND(".",A263,1)-5),0)</f>
        <v>0</v>
      </c>
      <c r="C263" t="b">
        <v>0</v>
      </c>
      <c r="E263" t="str">
        <f t="shared" si="24"/>
        <v>4</v>
      </c>
      <c r="F263" t="str">
        <f t="shared" si="25"/>
        <v>Câu 66.</v>
      </c>
      <c r="G263" t="str">
        <f t="shared" si="26"/>
        <v>1</v>
      </c>
      <c r="H263" t="str">
        <f t="shared" si="27"/>
        <v>2</v>
      </c>
      <c r="I263" t="str">
        <f t="shared" si="28"/>
        <v>3</v>
      </c>
      <c r="J263" t="str">
        <f t="shared" ca="1" si="29"/>
        <v/>
      </c>
    </row>
    <row r="264" spans="1:10" ht="409.5" x14ac:dyDescent="0.25">
      <c r="A264" s="4" t="s">
        <v>235</v>
      </c>
      <c r="B264">
        <f>IFERROR(COUNTIFS($A$1:A264,"Câu "&amp;"*")-MID(A264,5,FIND(".",A264,1)-5),0)</f>
        <v>0</v>
      </c>
      <c r="C264" t="b">
        <v>0</v>
      </c>
      <c r="E264" t="str">
        <f t="shared" si="24"/>
        <v>Câu 66.</v>
      </c>
      <c r="F264" t="str">
        <f t="shared" si="25"/>
        <v>1</v>
      </c>
      <c r="G264" t="str">
        <f t="shared" si="26"/>
        <v>2</v>
      </c>
      <c r="H264" t="str">
        <f t="shared" si="27"/>
        <v>3</v>
      </c>
      <c r="I264" t="str">
        <f t="shared" si="28"/>
        <v>4</v>
      </c>
      <c r="J264" t="str">
        <f t="shared" ca="1" si="29"/>
        <v>4</v>
      </c>
    </row>
    <row r="265" spans="1:10" ht="18.75" x14ac:dyDescent="0.25">
      <c r="A265" s="11" t="s">
        <v>1975</v>
      </c>
      <c r="B265">
        <f>IFERROR(COUNTIFS($A$1:A265,"Câu "&amp;"*")-MID(A265,5,FIND(".",A265,1)-5),0)</f>
        <v>0</v>
      </c>
      <c r="C265" t="b">
        <v>0</v>
      </c>
      <c r="E265" t="str">
        <f t="shared" si="24"/>
        <v>1</v>
      </c>
      <c r="F265" t="str">
        <f t="shared" si="25"/>
        <v>2</v>
      </c>
      <c r="G265" t="str">
        <f t="shared" si="26"/>
        <v>3</v>
      </c>
      <c r="H265" t="str">
        <f t="shared" si="27"/>
        <v>4</v>
      </c>
      <c r="I265" t="str">
        <f t="shared" si="28"/>
        <v/>
      </c>
      <c r="J265" t="str">
        <f t="shared" ca="1" si="29"/>
        <v/>
      </c>
    </row>
    <row r="266" spans="1:10" ht="18.75" x14ac:dyDescent="0.25">
      <c r="A266" s="11" t="s">
        <v>1976</v>
      </c>
      <c r="B266">
        <f>IFERROR(COUNTIFS($A$1:A266,"Câu "&amp;"*")-MID(A266,5,FIND(".",A266,1)-5),0)</f>
        <v>0</v>
      </c>
      <c r="C266" t="b">
        <v>0</v>
      </c>
      <c r="E266" t="str">
        <f t="shared" si="24"/>
        <v>2</v>
      </c>
      <c r="F266" t="str">
        <f t="shared" si="25"/>
        <v>3</v>
      </c>
      <c r="G266" t="str">
        <f t="shared" si="26"/>
        <v>4</v>
      </c>
      <c r="H266" t="str">
        <f t="shared" si="27"/>
        <v/>
      </c>
      <c r="I266" t="str">
        <f t="shared" si="28"/>
        <v>1</v>
      </c>
      <c r="J266" t="str">
        <f t="shared" ca="1" si="29"/>
        <v/>
      </c>
    </row>
    <row r="267" spans="1:10" ht="18.75" x14ac:dyDescent="0.25">
      <c r="A267" s="11" t="s">
        <v>1977</v>
      </c>
      <c r="B267">
        <f>IFERROR(COUNTIFS($A$1:A267,"Câu "&amp;"*")-MID(A267,5,FIND(".",A267,1)-5),0)</f>
        <v>0</v>
      </c>
      <c r="C267" t="b">
        <v>0</v>
      </c>
      <c r="E267" t="str">
        <f t="shared" si="24"/>
        <v>3</v>
      </c>
      <c r="F267" t="str">
        <f t="shared" si="25"/>
        <v>4</v>
      </c>
      <c r="G267" t="str">
        <f t="shared" si="26"/>
        <v>Câu 67.</v>
      </c>
      <c r="H267" t="str">
        <f t="shared" si="27"/>
        <v>1</v>
      </c>
      <c r="I267" t="str">
        <f t="shared" si="28"/>
        <v>2</v>
      </c>
      <c r="J267" t="str">
        <f t="shared" ca="1" si="29"/>
        <v/>
      </c>
    </row>
    <row r="268" spans="1:10" ht="18.75" x14ac:dyDescent="0.25">
      <c r="A268" s="11" t="s">
        <v>1978</v>
      </c>
      <c r="B268">
        <f>IFERROR(COUNTIFS($A$1:A268,"Câu "&amp;"*")-MID(A268,5,FIND(".",A268,1)-5),0)</f>
        <v>0</v>
      </c>
      <c r="C268" t="b">
        <v>1</v>
      </c>
      <c r="E268" t="str">
        <f t="shared" si="24"/>
        <v>4</v>
      </c>
      <c r="F268" t="str">
        <f t="shared" si="25"/>
        <v>Câu 67.</v>
      </c>
      <c r="G268" t="str">
        <f t="shared" si="26"/>
        <v>1</v>
      </c>
      <c r="H268" t="str">
        <f t="shared" si="27"/>
        <v>2</v>
      </c>
      <c r="I268" t="str">
        <f t="shared" si="28"/>
        <v>3</v>
      </c>
      <c r="J268" t="str">
        <f t="shared" ca="1" si="29"/>
        <v/>
      </c>
    </row>
    <row r="269" spans="1:10" ht="409.5" x14ac:dyDescent="0.25">
      <c r="A269" s="4" t="s">
        <v>240</v>
      </c>
      <c r="B269">
        <f>IFERROR(COUNTIFS($A$1:A269,"Câu "&amp;"*")-MID(A269,5,FIND(".",A269,1)-5),0)</f>
        <v>0</v>
      </c>
      <c r="C269" t="b">
        <v>0</v>
      </c>
      <c r="E269" t="str">
        <f t="shared" si="24"/>
        <v>Câu 67.</v>
      </c>
      <c r="F269" t="str">
        <f t="shared" si="25"/>
        <v>1</v>
      </c>
      <c r="G269" t="str">
        <f t="shared" si="26"/>
        <v>2</v>
      </c>
      <c r="H269" t="str">
        <f t="shared" si="27"/>
        <v>3</v>
      </c>
      <c r="I269" t="str">
        <f t="shared" si="28"/>
        <v>4</v>
      </c>
      <c r="J269" t="str">
        <f t="shared" ca="1" si="29"/>
        <v>4</v>
      </c>
    </row>
    <row r="270" spans="1:10" ht="18.75" x14ac:dyDescent="0.25">
      <c r="A270" s="11" t="s">
        <v>1965</v>
      </c>
      <c r="B270">
        <f>IFERROR(COUNTIFS($A$1:A270,"Câu "&amp;"*")-MID(A270,5,FIND(".",A270,1)-5),0)</f>
        <v>0</v>
      </c>
      <c r="C270" t="b">
        <v>0</v>
      </c>
      <c r="E270" t="str">
        <f t="shared" si="24"/>
        <v>1</v>
      </c>
      <c r="F270" t="str">
        <f t="shared" si="25"/>
        <v>2</v>
      </c>
      <c r="G270" t="str">
        <f t="shared" si="26"/>
        <v>3</v>
      </c>
      <c r="H270" t="str">
        <f t="shared" si="27"/>
        <v>4</v>
      </c>
      <c r="I270" t="str">
        <f t="shared" si="28"/>
        <v/>
      </c>
      <c r="J270" t="str">
        <f t="shared" ca="1" si="29"/>
        <v/>
      </c>
    </row>
    <row r="271" spans="1:10" ht="18.75" x14ac:dyDescent="0.25">
      <c r="A271" s="11" t="s">
        <v>1979</v>
      </c>
      <c r="B271">
        <f>IFERROR(COUNTIFS($A$1:A271,"Câu "&amp;"*")-MID(A271,5,FIND(".",A271,1)-5),0)</f>
        <v>0</v>
      </c>
      <c r="C271" t="b">
        <v>0</v>
      </c>
      <c r="E271" t="str">
        <f t="shared" si="24"/>
        <v>2</v>
      </c>
      <c r="F271" t="str">
        <f t="shared" si="25"/>
        <v>3</v>
      </c>
      <c r="G271" t="str">
        <f t="shared" si="26"/>
        <v>4</v>
      </c>
      <c r="H271" t="str">
        <f t="shared" si="27"/>
        <v/>
      </c>
      <c r="I271" t="str">
        <f t="shared" si="28"/>
        <v>1</v>
      </c>
      <c r="J271" t="str">
        <f t="shared" ca="1" si="29"/>
        <v/>
      </c>
    </row>
    <row r="272" spans="1:10" ht="18.75" x14ac:dyDescent="0.25">
      <c r="A272" s="11" t="s">
        <v>1980</v>
      </c>
      <c r="B272">
        <f>IFERROR(COUNTIFS($A$1:A272,"Câu "&amp;"*")-MID(A272,5,FIND(".",A272,1)-5),0)</f>
        <v>0</v>
      </c>
      <c r="C272" t="b">
        <v>0</v>
      </c>
      <c r="E272" t="str">
        <f t="shared" si="24"/>
        <v>3</v>
      </c>
      <c r="F272" t="str">
        <f t="shared" si="25"/>
        <v>4</v>
      </c>
      <c r="G272" t="str">
        <f t="shared" si="26"/>
        <v>Câu 68.</v>
      </c>
      <c r="H272" t="str">
        <f t="shared" si="27"/>
        <v>1</v>
      </c>
      <c r="I272" t="str">
        <f t="shared" si="28"/>
        <v>2</v>
      </c>
      <c r="J272" t="str">
        <f t="shared" ca="1" si="29"/>
        <v/>
      </c>
    </row>
    <row r="273" spans="1:10" ht="18.75" x14ac:dyDescent="0.25">
      <c r="A273" s="11" t="s">
        <v>1968</v>
      </c>
      <c r="B273">
        <f>IFERROR(COUNTIFS($A$1:A273,"Câu "&amp;"*")-MID(A273,5,FIND(".",A273,1)-5),0)</f>
        <v>0</v>
      </c>
      <c r="C273" t="b">
        <v>1</v>
      </c>
      <c r="E273" t="str">
        <f t="shared" si="24"/>
        <v>4</v>
      </c>
      <c r="F273" t="str">
        <f t="shared" si="25"/>
        <v>Câu 68.</v>
      </c>
      <c r="G273" t="str">
        <f t="shared" si="26"/>
        <v>1</v>
      </c>
      <c r="H273" t="str">
        <f t="shared" si="27"/>
        <v>2</v>
      </c>
      <c r="I273" t="str">
        <f t="shared" si="28"/>
        <v>3</v>
      </c>
      <c r="J273" t="str">
        <f t="shared" ca="1" si="29"/>
        <v/>
      </c>
    </row>
    <row r="274" spans="1:10" ht="18.75" x14ac:dyDescent="0.25">
      <c r="A274" s="10" t="s">
        <v>243</v>
      </c>
      <c r="B274">
        <f>IFERROR(COUNTIFS($A$1:A274,"Câu "&amp;"*")-MID(A274,5,FIND(".",A274,1)-5),0)</f>
        <v>0</v>
      </c>
      <c r="C274" t="b">
        <v>0</v>
      </c>
      <c r="E274" t="str">
        <f t="shared" si="24"/>
        <v>Câu 68.</v>
      </c>
      <c r="F274" t="str">
        <f t="shared" si="25"/>
        <v>1</v>
      </c>
      <c r="G274" t="str">
        <f t="shared" si="26"/>
        <v>2</v>
      </c>
      <c r="H274" t="str">
        <f t="shared" si="27"/>
        <v>3</v>
      </c>
      <c r="I274" t="str">
        <f t="shared" si="28"/>
        <v/>
      </c>
      <c r="J274" t="str">
        <f t="shared" ca="1" si="29"/>
        <v>1</v>
      </c>
    </row>
    <row r="275" spans="1:10" ht="18.75" x14ac:dyDescent="0.25">
      <c r="A275" s="11" t="s">
        <v>1981</v>
      </c>
      <c r="B275">
        <f>IFERROR(COUNTIFS($A$1:A275,"Câu "&amp;"*")-MID(A275,5,FIND(".",A275,1)-5),0)</f>
        <v>0</v>
      </c>
      <c r="C275" t="b">
        <v>1</v>
      </c>
      <c r="E275" t="str">
        <f t="shared" si="24"/>
        <v>1</v>
      </c>
      <c r="F275" t="str">
        <f t="shared" si="25"/>
        <v>2</v>
      </c>
      <c r="G275" t="str">
        <f t="shared" si="26"/>
        <v>3</v>
      </c>
      <c r="H275" t="str">
        <f t="shared" si="27"/>
        <v/>
      </c>
      <c r="I275" t="str">
        <f t="shared" si="28"/>
        <v>1</v>
      </c>
      <c r="J275" t="str">
        <f t="shared" ca="1" si="29"/>
        <v/>
      </c>
    </row>
    <row r="276" spans="1:10" ht="18.75" x14ac:dyDescent="0.25">
      <c r="A276" s="11" t="s">
        <v>1982</v>
      </c>
      <c r="B276">
        <f>IFERROR(COUNTIFS($A$1:A276,"Câu "&amp;"*")-MID(A276,5,FIND(".",A276,1)-5),0)</f>
        <v>0</v>
      </c>
      <c r="C276" t="b">
        <v>0</v>
      </c>
      <c r="E276" t="str">
        <f t="shared" si="24"/>
        <v>2</v>
      </c>
      <c r="F276" t="str">
        <f t="shared" si="25"/>
        <v>3</v>
      </c>
      <c r="G276" t="str">
        <f t="shared" si="26"/>
        <v>Câu 69.</v>
      </c>
      <c r="H276" t="str">
        <f t="shared" si="27"/>
        <v>1</v>
      </c>
      <c r="I276" t="str">
        <f t="shared" si="28"/>
        <v>2</v>
      </c>
      <c r="J276" t="str">
        <f t="shared" ca="1" si="29"/>
        <v/>
      </c>
    </row>
    <row r="277" spans="1:10" ht="18.75" x14ac:dyDescent="0.25">
      <c r="A277" s="11" t="s">
        <v>1983</v>
      </c>
      <c r="B277">
        <f>IFERROR(COUNTIFS($A$1:A277,"Câu "&amp;"*")-MID(A277,5,FIND(".",A277,1)-5),0)</f>
        <v>0</v>
      </c>
      <c r="C277" t="b">
        <v>0</v>
      </c>
      <c r="E277" t="str">
        <f t="shared" si="24"/>
        <v>3</v>
      </c>
      <c r="F277" t="str">
        <f t="shared" si="25"/>
        <v>Câu 69.</v>
      </c>
      <c r="G277" t="str">
        <f t="shared" si="26"/>
        <v>1</v>
      </c>
      <c r="H277" t="str">
        <f t="shared" si="27"/>
        <v>2</v>
      </c>
      <c r="I277" t="str">
        <f t="shared" si="28"/>
        <v>3</v>
      </c>
      <c r="J277" t="str">
        <f t="shared" ca="1" si="29"/>
        <v/>
      </c>
    </row>
    <row r="278" spans="1:10" ht="18.75" x14ac:dyDescent="0.25">
      <c r="A278" s="10" t="s">
        <v>247</v>
      </c>
      <c r="B278">
        <f>IFERROR(COUNTIFS($A$1:A278,"Câu "&amp;"*")-MID(A278,5,FIND(".",A278,1)-5),0)</f>
        <v>0</v>
      </c>
      <c r="C278" t="b">
        <v>0</v>
      </c>
      <c r="E278" t="str">
        <f t="shared" si="24"/>
        <v>Câu 69.</v>
      </c>
      <c r="F278" t="str">
        <f t="shared" si="25"/>
        <v>1</v>
      </c>
      <c r="G278" t="str">
        <f t="shared" si="26"/>
        <v>2</v>
      </c>
      <c r="H278" t="str">
        <f t="shared" si="27"/>
        <v>3</v>
      </c>
      <c r="I278" t="str">
        <f t="shared" si="28"/>
        <v/>
      </c>
      <c r="J278" t="str">
        <f t="shared" ca="1" si="29"/>
        <v>1</v>
      </c>
    </row>
    <row r="279" spans="1:10" ht="18.75" x14ac:dyDescent="0.25">
      <c r="A279" s="11" t="s">
        <v>1984</v>
      </c>
      <c r="B279">
        <f>IFERROR(COUNTIFS($A$1:A279,"Câu "&amp;"*")-MID(A279,5,FIND(".",A279,1)-5),0)</f>
        <v>0</v>
      </c>
      <c r="C279" t="b">
        <v>1</v>
      </c>
      <c r="E279" t="str">
        <f t="shared" si="24"/>
        <v>1</v>
      </c>
      <c r="F279" t="str">
        <f t="shared" si="25"/>
        <v>2</v>
      </c>
      <c r="G279" t="str">
        <f t="shared" si="26"/>
        <v>3</v>
      </c>
      <c r="H279" t="str">
        <f t="shared" si="27"/>
        <v/>
      </c>
      <c r="I279" t="str">
        <f t="shared" si="28"/>
        <v>1</v>
      </c>
      <c r="J279" t="str">
        <f t="shared" ca="1" si="29"/>
        <v/>
      </c>
    </row>
    <row r="280" spans="1:10" ht="18.75" x14ac:dyDescent="0.25">
      <c r="A280" s="11" t="s">
        <v>1985</v>
      </c>
      <c r="B280">
        <f>IFERROR(COUNTIFS($A$1:A280,"Câu "&amp;"*")-MID(A280,5,FIND(".",A280,1)-5),0)</f>
        <v>0</v>
      </c>
      <c r="C280" t="b">
        <v>0</v>
      </c>
      <c r="E280" t="str">
        <f t="shared" si="24"/>
        <v>2</v>
      </c>
      <c r="F280" t="str">
        <f t="shared" si="25"/>
        <v>3</v>
      </c>
      <c r="G280" t="str">
        <f t="shared" si="26"/>
        <v>Câu 70.</v>
      </c>
      <c r="H280" t="str">
        <f t="shared" si="27"/>
        <v>1</v>
      </c>
      <c r="I280" t="str">
        <f t="shared" si="28"/>
        <v>2</v>
      </c>
      <c r="J280" t="str">
        <f t="shared" ca="1" si="29"/>
        <v/>
      </c>
    </row>
    <row r="281" spans="1:10" ht="18.75" x14ac:dyDescent="0.25">
      <c r="A281" s="11" t="s">
        <v>1814</v>
      </c>
      <c r="B281">
        <f>IFERROR(COUNTIFS($A$1:A281,"Câu "&amp;"*")-MID(A281,5,FIND(".",A281,1)-5),0)</f>
        <v>0</v>
      </c>
      <c r="C281" t="b">
        <v>0</v>
      </c>
      <c r="E281" t="str">
        <f t="shared" si="24"/>
        <v>3</v>
      </c>
      <c r="F281" t="str">
        <f t="shared" si="25"/>
        <v>Câu 70.</v>
      </c>
      <c r="G281" t="str">
        <f t="shared" si="26"/>
        <v>1</v>
      </c>
      <c r="H281" t="str">
        <f t="shared" si="27"/>
        <v>2</v>
      </c>
      <c r="I281" t="str">
        <f t="shared" si="28"/>
        <v>3</v>
      </c>
      <c r="J281" t="str">
        <f t="shared" ca="1" si="29"/>
        <v/>
      </c>
    </row>
    <row r="282" spans="1:10" ht="18.75" x14ac:dyDescent="0.25">
      <c r="A282" s="10" t="s">
        <v>250</v>
      </c>
      <c r="B282">
        <f>IFERROR(COUNTIFS($A$1:A282,"Câu "&amp;"*")-MID(A282,5,FIND(".",A282,1)-5),0)</f>
        <v>0</v>
      </c>
      <c r="C282" t="b">
        <v>0</v>
      </c>
      <c r="E282" t="str">
        <f t="shared" si="24"/>
        <v>Câu 70.</v>
      </c>
      <c r="F282" t="str">
        <f t="shared" si="25"/>
        <v>1</v>
      </c>
      <c r="G282" t="str">
        <f t="shared" si="26"/>
        <v>2</v>
      </c>
      <c r="H282" t="str">
        <f t="shared" si="27"/>
        <v>3</v>
      </c>
      <c r="I282" t="str">
        <f t="shared" si="28"/>
        <v>4</v>
      </c>
      <c r="J282" t="str">
        <f t="shared" ca="1" si="29"/>
        <v>4</v>
      </c>
    </row>
    <row r="283" spans="1:10" ht="93.75" x14ac:dyDescent="0.25">
      <c r="A283" s="3" t="s">
        <v>1986</v>
      </c>
      <c r="B283">
        <f>IFERROR(COUNTIFS($A$1:A283,"Câu "&amp;"*")-MID(A283,5,FIND(".",A283,1)-5),0)</f>
        <v>0</v>
      </c>
      <c r="C283" t="b">
        <v>0</v>
      </c>
      <c r="E283" t="str">
        <f t="shared" si="24"/>
        <v>1</v>
      </c>
      <c r="F283" t="str">
        <f t="shared" si="25"/>
        <v>2</v>
      </c>
      <c r="G283" t="str">
        <f t="shared" si="26"/>
        <v>3</v>
      </c>
      <c r="H283" t="str">
        <f t="shared" si="27"/>
        <v>4</v>
      </c>
      <c r="I283" t="str">
        <f t="shared" si="28"/>
        <v/>
      </c>
      <c r="J283" t="str">
        <f t="shared" ca="1" si="29"/>
        <v/>
      </c>
    </row>
    <row r="284" spans="1:10" ht="409.5" x14ac:dyDescent="0.25">
      <c r="A284" s="3" t="s">
        <v>1987</v>
      </c>
      <c r="B284">
        <f>IFERROR(COUNTIFS($A$1:A284,"Câu "&amp;"*")-MID(A284,5,FIND(".",A284,1)-5),0)</f>
        <v>0</v>
      </c>
      <c r="C284" t="b">
        <v>0</v>
      </c>
      <c r="E284" t="str">
        <f t="shared" si="24"/>
        <v>2</v>
      </c>
      <c r="F284" t="str">
        <f t="shared" si="25"/>
        <v>3</v>
      </c>
      <c r="G284" t="str">
        <f t="shared" si="26"/>
        <v>4</v>
      </c>
      <c r="H284" t="str">
        <f t="shared" si="27"/>
        <v/>
      </c>
      <c r="I284" t="str">
        <f t="shared" si="28"/>
        <v>1</v>
      </c>
      <c r="J284" t="str">
        <f t="shared" ca="1" si="29"/>
        <v/>
      </c>
    </row>
    <row r="285" spans="1:10" ht="409.5" x14ac:dyDescent="0.25">
      <c r="A285" s="3" t="s">
        <v>1988</v>
      </c>
      <c r="B285">
        <f>IFERROR(COUNTIFS($A$1:A285,"Câu "&amp;"*")-MID(A285,5,FIND(".",A285,1)-5),0)</f>
        <v>0</v>
      </c>
      <c r="C285" t="b">
        <v>0</v>
      </c>
      <c r="E285" t="str">
        <f t="shared" si="24"/>
        <v>3</v>
      </c>
      <c r="F285" t="str">
        <f t="shared" si="25"/>
        <v>4</v>
      </c>
      <c r="G285" t="str">
        <f t="shared" si="26"/>
        <v>Câu 71.</v>
      </c>
      <c r="H285" t="str">
        <f t="shared" si="27"/>
        <v>1</v>
      </c>
      <c r="I285" t="str">
        <f t="shared" si="28"/>
        <v>2</v>
      </c>
      <c r="J285" t="str">
        <f t="shared" ca="1" si="29"/>
        <v/>
      </c>
    </row>
    <row r="286" spans="1:10" ht="37.5" x14ac:dyDescent="0.25">
      <c r="A286" s="3" t="s">
        <v>1865</v>
      </c>
      <c r="B286">
        <f>IFERROR(COUNTIFS($A$1:A286,"Câu "&amp;"*")-MID(A286,5,FIND(".",A286,1)-5),0)</f>
        <v>0</v>
      </c>
      <c r="C286" t="b">
        <v>1</v>
      </c>
      <c r="E286" t="str">
        <f t="shared" si="24"/>
        <v>4</v>
      </c>
      <c r="F286" t="str">
        <f t="shared" si="25"/>
        <v>Câu 71.</v>
      </c>
      <c r="G286" t="str">
        <f t="shared" si="26"/>
        <v>1</v>
      </c>
      <c r="H286" t="str">
        <f t="shared" si="27"/>
        <v>2</v>
      </c>
      <c r="I286" t="str">
        <f t="shared" si="28"/>
        <v>3</v>
      </c>
      <c r="J286" t="str">
        <f t="shared" ca="1" si="29"/>
        <v/>
      </c>
    </row>
    <row r="287" spans="1:10" ht="318.75" x14ac:dyDescent="0.25">
      <c r="A287" s="4" t="s">
        <v>254</v>
      </c>
      <c r="B287">
        <f>IFERROR(COUNTIFS($A$1:A287,"Câu "&amp;"*")-MID(A287,5,FIND(".",A287,1)-5),0)</f>
        <v>0</v>
      </c>
      <c r="C287" t="b">
        <v>0</v>
      </c>
      <c r="E287" t="str">
        <f t="shared" si="24"/>
        <v>Câu 71.</v>
      </c>
      <c r="F287" t="str">
        <f t="shared" si="25"/>
        <v>1</v>
      </c>
      <c r="G287" t="str">
        <f t="shared" si="26"/>
        <v>2</v>
      </c>
      <c r="H287" t="str">
        <f t="shared" si="27"/>
        <v>3</v>
      </c>
      <c r="I287" t="str">
        <f t="shared" si="28"/>
        <v/>
      </c>
      <c r="J287" t="str">
        <f t="shared" ca="1" si="29"/>
        <v>3</v>
      </c>
    </row>
    <row r="288" spans="1:10" ht="18.75" x14ac:dyDescent="0.25">
      <c r="A288" s="11" t="s">
        <v>1989</v>
      </c>
      <c r="B288">
        <f>IFERROR(COUNTIFS($A$1:A288,"Câu "&amp;"*")-MID(A288,5,FIND(".",A288,1)-5),0)</f>
        <v>0</v>
      </c>
      <c r="C288" t="b">
        <v>0</v>
      </c>
      <c r="E288" t="str">
        <f t="shared" si="24"/>
        <v>1</v>
      </c>
      <c r="F288" t="str">
        <f t="shared" si="25"/>
        <v>2</v>
      </c>
      <c r="G288" t="str">
        <f t="shared" si="26"/>
        <v>3</v>
      </c>
      <c r="H288" t="str">
        <f t="shared" si="27"/>
        <v/>
      </c>
      <c r="I288" t="str">
        <f t="shared" si="28"/>
        <v>1</v>
      </c>
      <c r="J288" t="str">
        <f t="shared" ca="1" si="29"/>
        <v/>
      </c>
    </row>
    <row r="289" spans="1:10" ht="18.75" x14ac:dyDescent="0.25">
      <c r="A289" s="11" t="s">
        <v>1990</v>
      </c>
      <c r="B289">
        <f>IFERROR(COUNTIFS($A$1:A289,"Câu "&amp;"*")-MID(A289,5,FIND(".",A289,1)-5),0)</f>
        <v>0</v>
      </c>
      <c r="C289" t="b">
        <v>0</v>
      </c>
      <c r="E289" t="str">
        <f t="shared" si="24"/>
        <v>2</v>
      </c>
      <c r="F289" t="str">
        <f t="shared" si="25"/>
        <v>3</v>
      </c>
      <c r="G289" t="str">
        <f t="shared" si="26"/>
        <v>Câu 72.</v>
      </c>
      <c r="H289" t="str">
        <f t="shared" si="27"/>
        <v>1</v>
      </c>
      <c r="I289" t="str">
        <f t="shared" si="28"/>
        <v>2</v>
      </c>
      <c r="J289" t="str">
        <f t="shared" ca="1" si="29"/>
        <v/>
      </c>
    </row>
    <row r="290" spans="1:10" ht="18.75" x14ac:dyDescent="0.25">
      <c r="A290" s="11" t="s">
        <v>1825</v>
      </c>
      <c r="B290">
        <f>IFERROR(COUNTIFS($A$1:A290,"Câu "&amp;"*")-MID(A290,5,FIND(".",A290,1)-5),0)</f>
        <v>0</v>
      </c>
      <c r="C290" t="b">
        <v>1</v>
      </c>
      <c r="E290" t="str">
        <f t="shared" si="24"/>
        <v>3</v>
      </c>
      <c r="F290" t="str">
        <f t="shared" si="25"/>
        <v>Câu 72.</v>
      </c>
      <c r="G290" t="str">
        <f t="shared" si="26"/>
        <v>1</v>
      </c>
      <c r="H290" t="str">
        <f t="shared" si="27"/>
        <v>2</v>
      </c>
      <c r="I290" t="str">
        <f t="shared" si="28"/>
        <v>3</v>
      </c>
      <c r="J290" t="str">
        <f t="shared" ca="1" si="29"/>
        <v/>
      </c>
    </row>
    <row r="291" spans="1:10" ht="18.75" x14ac:dyDescent="0.25">
      <c r="A291" s="10" t="s">
        <v>257</v>
      </c>
      <c r="B291">
        <f>IFERROR(COUNTIFS($A$1:A291,"Câu "&amp;"*")-MID(A291,5,FIND(".",A291,1)-5),0)</f>
        <v>0</v>
      </c>
      <c r="C291" t="b">
        <v>0</v>
      </c>
      <c r="E291" t="str">
        <f t="shared" si="24"/>
        <v>Câu 72.</v>
      </c>
      <c r="F291" t="str">
        <f t="shared" si="25"/>
        <v>1</v>
      </c>
      <c r="G291" t="str">
        <f t="shared" si="26"/>
        <v>2</v>
      </c>
      <c r="H291" t="str">
        <f t="shared" si="27"/>
        <v>3</v>
      </c>
      <c r="I291" t="str">
        <f t="shared" si="28"/>
        <v/>
      </c>
      <c r="J291" t="str">
        <f t="shared" ca="1" si="29"/>
        <v>2</v>
      </c>
    </row>
    <row r="292" spans="1:10" ht="18.75" x14ac:dyDescent="0.25">
      <c r="A292" s="11" t="s">
        <v>1991</v>
      </c>
      <c r="B292">
        <f>IFERROR(COUNTIFS($A$1:A292,"Câu "&amp;"*")-MID(A292,5,FIND(".",A292,1)-5),0)</f>
        <v>0</v>
      </c>
      <c r="C292" t="b">
        <v>0</v>
      </c>
      <c r="E292" t="str">
        <f t="shared" si="24"/>
        <v>1</v>
      </c>
      <c r="F292" t="str">
        <f t="shared" si="25"/>
        <v>2</v>
      </c>
      <c r="G292" t="str">
        <f t="shared" si="26"/>
        <v>3</v>
      </c>
      <c r="H292" t="str">
        <f t="shared" si="27"/>
        <v/>
      </c>
      <c r="I292" t="str">
        <f t="shared" si="28"/>
        <v>1</v>
      </c>
      <c r="J292" t="str">
        <f t="shared" ca="1" si="29"/>
        <v/>
      </c>
    </row>
    <row r="293" spans="1:10" ht="18.75" x14ac:dyDescent="0.25">
      <c r="A293" s="11" t="s">
        <v>1992</v>
      </c>
      <c r="B293">
        <f>IFERROR(COUNTIFS($A$1:A293,"Câu "&amp;"*")-MID(A293,5,FIND(".",A293,1)-5),0)</f>
        <v>0</v>
      </c>
      <c r="C293" t="b">
        <v>1</v>
      </c>
      <c r="E293" t="str">
        <f t="shared" si="24"/>
        <v>2</v>
      </c>
      <c r="F293" t="str">
        <f t="shared" si="25"/>
        <v>3</v>
      </c>
      <c r="G293" t="str">
        <f t="shared" si="26"/>
        <v>Câu 73.</v>
      </c>
      <c r="H293" t="str">
        <f t="shared" si="27"/>
        <v>1</v>
      </c>
      <c r="I293" t="str">
        <f t="shared" si="28"/>
        <v>2</v>
      </c>
      <c r="J293" t="str">
        <f t="shared" ca="1" si="29"/>
        <v/>
      </c>
    </row>
    <row r="294" spans="1:10" ht="18.75" x14ac:dyDescent="0.25">
      <c r="A294" s="11" t="s">
        <v>1814</v>
      </c>
      <c r="B294">
        <f>IFERROR(COUNTIFS($A$1:A294,"Câu "&amp;"*")-MID(A294,5,FIND(".",A294,1)-5),0)</f>
        <v>0</v>
      </c>
      <c r="C294" t="b">
        <v>0</v>
      </c>
      <c r="E294" t="str">
        <f t="shared" si="24"/>
        <v>3</v>
      </c>
      <c r="F294" t="str">
        <f t="shared" si="25"/>
        <v>Câu 73.</v>
      </c>
      <c r="G294" t="str">
        <f t="shared" si="26"/>
        <v>1</v>
      </c>
      <c r="H294" t="str">
        <f t="shared" si="27"/>
        <v>2</v>
      </c>
      <c r="I294" t="str">
        <f t="shared" si="28"/>
        <v>3</v>
      </c>
      <c r="J294" t="str">
        <f t="shared" ca="1" si="29"/>
        <v/>
      </c>
    </row>
    <row r="295" spans="1:10" ht="409.5" x14ac:dyDescent="0.25">
      <c r="A295" s="4" t="s">
        <v>260</v>
      </c>
      <c r="B295">
        <f>IFERROR(COUNTIFS($A$1:A295,"Câu "&amp;"*")-MID(A295,5,FIND(".",A295,1)-5),0)</f>
        <v>0</v>
      </c>
      <c r="C295" t="b">
        <v>0</v>
      </c>
      <c r="E295" t="str">
        <f t="shared" si="24"/>
        <v>Câu 73.</v>
      </c>
      <c r="F295" t="str">
        <f t="shared" si="25"/>
        <v>1</v>
      </c>
      <c r="G295" t="str">
        <f t="shared" si="26"/>
        <v>2</v>
      </c>
      <c r="H295" t="str">
        <f t="shared" si="27"/>
        <v>3</v>
      </c>
      <c r="I295" t="str">
        <f t="shared" si="28"/>
        <v>4</v>
      </c>
      <c r="J295" t="str">
        <f t="shared" ca="1" si="29"/>
        <v>3</v>
      </c>
    </row>
    <row r="296" spans="1:10" ht="18.75" x14ac:dyDescent="0.25">
      <c r="A296" s="11" t="s">
        <v>1993</v>
      </c>
      <c r="B296">
        <f>IFERROR(COUNTIFS($A$1:A296,"Câu "&amp;"*")-MID(A296,5,FIND(".",A296,1)-5),0)</f>
        <v>0</v>
      </c>
      <c r="C296" t="b">
        <v>0</v>
      </c>
      <c r="E296" t="str">
        <f t="shared" si="24"/>
        <v>1</v>
      </c>
      <c r="F296" t="str">
        <f t="shared" si="25"/>
        <v>2</v>
      </c>
      <c r="G296" t="str">
        <f t="shared" si="26"/>
        <v>3</v>
      </c>
      <c r="H296" t="str">
        <f t="shared" si="27"/>
        <v>4</v>
      </c>
      <c r="I296" t="str">
        <f t="shared" si="28"/>
        <v/>
      </c>
      <c r="J296" t="str">
        <f t="shared" ca="1" si="29"/>
        <v/>
      </c>
    </row>
    <row r="297" spans="1:10" ht="18.75" x14ac:dyDescent="0.25">
      <c r="A297" s="11" t="s">
        <v>1994</v>
      </c>
      <c r="B297">
        <f>IFERROR(COUNTIFS($A$1:A297,"Câu "&amp;"*")-MID(A297,5,FIND(".",A297,1)-5),0)</f>
        <v>0</v>
      </c>
      <c r="C297" t="b">
        <v>0</v>
      </c>
      <c r="E297" t="str">
        <f t="shared" si="24"/>
        <v>2</v>
      </c>
      <c r="F297" t="str">
        <f t="shared" si="25"/>
        <v>3</v>
      </c>
      <c r="G297" t="str">
        <f t="shared" si="26"/>
        <v>4</v>
      </c>
      <c r="H297" t="str">
        <f t="shared" si="27"/>
        <v/>
      </c>
      <c r="I297" t="str">
        <f t="shared" si="28"/>
        <v>1</v>
      </c>
      <c r="J297" t="str">
        <f t="shared" ca="1" si="29"/>
        <v/>
      </c>
    </row>
    <row r="298" spans="1:10" ht="18.75" x14ac:dyDescent="0.25">
      <c r="A298" s="11" t="s">
        <v>1995</v>
      </c>
      <c r="B298">
        <f>IFERROR(COUNTIFS($A$1:A298,"Câu "&amp;"*")-MID(A298,5,FIND(".",A298,1)-5),0)</f>
        <v>0</v>
      </c>
      <c r="C298" t="b">
        <v>1</v>
      </c>
      <c r="E298" t="str">
        <f t="shared" si="24"/>
        <v>3</v>
      </c>
      <c r="F298" t="str">
        <f t="shared" si="25"/>
        <v>4</v>
      </c>
      <c r="G298" t="str">
        <f t="shared" si="26"/>
        <v>Câu 74.</v>
      </c>
      <c r="H298" t="str">
        <f t="shared" si="27"/>
        <v>1</v>
      </c>
      <c r="I298" t="str">
        <f t="shared" si="28"/>
        <v>2</v>
      </c>
      <c r="J298" t="str">
        <f t="shared" ca="1" si="29"/>
        <v/>
      </c>
    </row>
    <row r="299" spans="1:10" ht="18.75" x14ac:dyDescent="0.25">
      <c r="A299" s="11" t="s">
        <v>1996</v>
      </c>
      <c r="B299">
        <f>IFERROR(COUNTIFS($A$1:A299,"Câu "&amp;"*")-MID(A299,5,FIND(".",A299,1)-5),0)</f>
        <v>0</v>
      </c>
      <c r="C299" t="b">
        <v>0</v>
      </c>
      <c r="E299" t="str">
        <f t="shared" si="24"/>
        <v>4</v>
      </c>
      <c r="F299" t="str">
        <f t="shared" si="25"/>
        <v>Câu 74.</v>
      </c>
      <c r="G299" t="str">
        <f t="shared" si="26"/>
        <v>1</v>
      </c>
      <c r="H299" t="str">
        <f t="shared" si="27"/>
        <v>2</v>
      </c>
      <c r="I299" t="str">
        <f t="shared" si="28"/>
        <v>3</v>
      </c>
      <c r="J299" t="str">
        <f t="shared" ca="1" si="29"/>
        <v/>
      </c>
    </row>
    <row r="300" spans="1:10" ht="18.75" x14ac:dyDescent="0.25">
      <c r="A300" s="10" t="s">
        <v>265</v>
      </c>
      <c r="B300">
        <f>IFERROR(COUNTIFS($A$1:A300,"Câu "&amp;"*")-MID(A300,5,FIND(".",A300,1)-5),0)</f>
        <v>0</v>
      </c>
      <c r="C300" t="b">
        <v>0</v>
      </c>
      <c r="E300" t="str">
        <f t="shared" si="24"/>
        <v>Câu 74.</v>
      </c>
      <c r="F300" t="str">
        <f t="shared" si="25"/>
        <v>1</v>
      </c>
      <c r="G300" t="str">
        <f t="shared" si="26"/>
        <v>2</v>
      </c>
      <c r="H300" t="str">
        <f t="shared" si="27"/>
        <v>3</v>
      </c>
      <c r="I300" t="str">
        <f t="shared" si="28"/>
        <v/>
      </c>
      <c r="J300" t="str">
        <f t="shared" ca="1" si="29"/>
        <v>2</v>
      </c>
    </row>
    <row r="301" spans="1:10" ht="18.75" x14ac:dyDescent="0.25">
      <c r="A301" s="11" t="s">
        <v>1997</v>
      </c>
      <c r="B301">
        <f>IFERROR(COUNTIFS($A$1:A301,"Câu "&amp;"*")-MID(A301,5,FIND(".",A301,1)-5),0)</f>
        <v>0</v>
      </c>
      <c r="C301" t="b">
        <v>0</v>
      </c>
      <c r="E301" t="str">
        <f t="shared" si="24"/>
        <v>1</v>
      </c>
      <c r="F301" t="str">
        <f t="shared" si="25"/>
        <v>2</v>
      </c>
      <c r="G301" t="str">
        <f t="shared" si="26"/>
        <v>3</v>
      </c>
      <c r="H301" t="str">
        <f t="shared" si="27"/>
        <v/>
      </c>
      <c r="I301" t="str">
        <f t="shared" si="28"/>
        <v>1</v>
      </c>
      <c r="J301" t="str">
        <f t="shared" ca="1" si="29"/>
        <v/>
      </c>
    </row>
    <row r="302" spans="1:10" ht="18.75" x14ac:dyDescent="0.25">
      <c r="A302" s="11" t="s">
        <v>1998</v>
      </c>
      <c r="B302">
        <f>IFERROR(COUNTIFS($A$1:A302,"Câu "&amp;"*")-MID(A302,5,FIND(".",A302,1)-5),0)</f>
        <v>0</v>
      </c>
      <c r="C302" t="b">
        <v>1</v>
      </c>
      <c r="E302" t="str">
        <f t="shared" si="24"/>
        <v>2</v>
      </c>
      <c r="F302" t="str">
        <f t="shared" si="25"/>
        <v>3</v>
      </c>
      <c r="G302" t="str">
        <f t="shared" si="26"/>
        <v>Câu 75.</v>
      </c>
      <c r="H302" t="str">
        <f t="shared" si="27"/>
        <v>1</v>
      </c>
      <c r="I302" t="str">
        <f t="shared" si="28"/>
        <v>2</v>
      </c>
      <c r="J302" t="str">
        <f t="shared" ca="1" si="29"/>
        <v/>
      </c>
    </row>
    <row r="303" spans="1:10" ht="18.75" x14ac:dyDescent="0.25">
      <c r="A303" s="11" t="s">
        <v>1999</v>
      </c>
      <c r="B303">
        <f>IFERROR(COUNTIFS($A$1:A303,"Câu "&amp;"*")-MID(A303,5,FIND(".",A303,1)-5),0)</f>
        <v>0</v>
      </c>
      <c r="C303" t="b">
        <v>0</v>
      </c>
      <c r="E303" t="str">
        <f t="shared" si="24"/>
        <v>3</v>
      </c>
      <c r="F303" t="str">
        <f t="shared" si="25"/>
        <v>Câu 75.</v>
      </c>
      <c r="G303" t="str">
        <f t="shared" si="26"/>
        <v>1</v>
      </c>
      <c r="H303" t="str">
        <f t="shared" si="27"/>
        <v>2</v>
      </c>
      <c r="I303" t="str">
        <f t="shared" si="28"/>
        <v>3</v>
      </c>
      <c r="J303" t="str">
        <f t="shared" ca="1" si="29"/>
        <v/>
      </c>
    </row>
    <row r="304" spans="1:10" ht="409.5" x14ac:dyDescent="0.25">
      <c r="A304" s="4" t="s">
        <v>268</v>
      </c>
      <c r="B304">
        <f>IFERROR(COUNTIFS($A$1:A304,"Câu "&amp;"*")-MID(A304,5,FIND(".",A304,1)-5),0)</f>
        <v>0</v>
      </c>
      <c r="C304" t="b">
        <v>0</v>
      </c>
      <c r="E304" t="str">
        <f t="shared" si="24"/>
        <v>Câu 75.</v>
      </c>
      <c r="F304" t="str">
        <f t="shared" si="25"/>
        <v>1</v>
      </c>
      <c r="G304" t="str">
        <f t="shared" si="26"/>
        <v>2</v>
      </c>
      <c r="H304" t="str">
        <f t="shared" si="27"/>
        <v>3</v>
      </c>
      <c r="I304" t="str">
        <f t="shared" si="28"/>
        <v>4</v>
      </c>
      <c r="J304" t="str">
        <f t="shared" ca="1" si="29"/>
        <v>4</v>
      </c>
    </row>
    <row r="305" spans="1:10" ht="18.75" x14ac:dyDescent="0.25">
      <c r="A305" s="11" t="s">
        <v>2000</v>
      </c>
      <c r="B305">
        <f>IFERROR(COUNTIFS($A$1:A305,"Câu "&amp;"*")-MID(A305,5,FIND(".",A305,1)-5),0)</f>
        <v>0</v>
      </c>
      <c r="C305" t="b">
        <v>0</v>
      </c>
      <c r="E305" t="str">
        <f t="shared" si="24"/>
        <v>1</v>
      </c>
      <c r="F305" t="str">
        <f t="shared" si="25"/>
        <v>2</v>
      </c>
      <c r="G305" t="str">
        <f t="shared" si="26"/>
        <v>3</v>
      </c>
      <c r="H305" t="str">
        <f t="shared" si="27"/>
        <v>4</v>
      </c>
      <c r="I305" t="str">
        <f t="shared" si="28"/>
        <v/>
      </c>
      <c r="J305" t="str">
        <f t="shared" ca="1" si="29"/>
        <v/>
      </c>
    </row>
    <row r="306" spans="1:10" ht="18.75" x14ac:dyDescent="0.25">
      <c r="A306" s="11" t="s">
        <v>2001</v>
      </c>
      <c r="B306">
        <f>IFERROR(COUNTIFS($A$1:A306,"Câu "&amp;"*")-MID(A306,5,FIND(".",A306,1)-5),0)</f>
        <v>0</v>
      </c>
      <c r="C306" t="b">
        <v>0</v>
      </c>
      <c r="E306" t="str">
        <f t="shared" si="24"/>
        <v>2</v>
      </c>
      <c r="F306" t="str">
        <f t="shared" si="25"/>
        <v>3</v>
      </c>
      <c r="G306" t="str">
        <f t="shared" si="26"/>
        <v>4</v>
      </c>
      <c r="H306" t="str">
        <f t="shared" si="27"/>
        <v/>
      </c>
      <c r="I306" t="str">
        <f t="shared" si="28"/>
        <v>1</v>
      </c>
      <c r="J306" t="str">
        <f t="shared" ca="1" si="29"/>
        <v/>
      </c>
    </row>
    <row r="307" spans="1:10" ht="18.75" x14ac:dyDescent="0.25">
      <c r="A307" s="11" t="s">
        <v>2002</v>
      </c>
      <c r="B307">
        <f>IFERROR(COUNTIFS($A$1:A307,"Câu "&amp;"*")-MID(A307,5,FIND(".",A307,1)-5),0)</f>
        <v>0</v>
      </c>
      <c r="C307" t="b">
        <v>0</v>
      </c>
      <c r="E307" t="str">
        <f t="shared" si="24"/>
        <v>3</v>
      </c>
      <c r="F307" t="str">
        <f t="shared" si="25"/>
        <v>4</v>
      </c>
      <c r="G307" t="str">
        <f t="shared" si="26"/>
        <v>Câu 76.</v>
      </c>
      <c r="H307" t="str">
        <f t="shared" si="27"/>
        <v>1</v>
      </c>
      <c r="I307" t="str">
        <f t="shared" si="28"/>
        <v>2</v>
      </c>
      <c r="J307" t="str">
        <f t="shared" ca="1" si="29"/>
        <v/>
      </c>
    </row>
    <row r="308" spans="1:10" ht="18.75" x14ac:dyDescent="0.25">
      <c r="A308" s="11" t="s">
        <v>2003</v>
      </c>
      <c r="B308">
        <f>IFERROR(COUNTIFS($A$1:A308,"Câu "&amp;"*")-MID(A308,5,FIND(".",A308,1)-5),0)</f>
        <v>0</v>
      </c>
      <c r="C308" t="b">
        <v>1</v>
      </c>
      <c r="E308" t="str">
        <f t="shared" si="24"/>
        <v>4</v>
      </c>
      <c r="F308" t="str">
        <f t="shared" si="25"/>
        <v>Câu 76.</v>
      </c>
      <c r="G308" t="str">
        <f t="shared" si="26"/>
        <v>1</v>
      </c>
      <c r="H308" t="str">
        <f t="shared" si="27"/>
        <v>2</v>
      </c>
      <c r="I308" t="str">
        <f t="shared" si="28"/>
        <v>3</v>
      </c>
      <c r="J308" t="str">
        <f t="shared" ca="1" si="29"/>
        <v/>
      </c>
    </row>
    <row r="309" spans="1:10" ht="18.75" x14ac:dyDescent="0.25">
      <c r="A309" s="10" t="s">
        <v>273</v>
      </c>
      <c r="B309">
        <f>IFERROR(COUNTIFS($A$1:A309,"Câu "&amp;"*")-MID(A309,5,FIND(".",A309,1)-5),0)</f>
        <v>0</v>
      </c>
      <c r="C309" t="b">
        <v>0</v>
      </c>
      <c r="E309" t="str">
        <f t="shared" si="24"/>
        <v>Câu 76.</v>
      </c>
      <c r="F309" t="str">
        <f t="shared" si="25"/>
        <v>1</v>
      </c>
      <c r="G309" t="str">
        <f t="shared" si="26"/>
        <v>2</v>
      </c>
      <c r="H309" t="str">
        <f t="shared" si="27"/>
        <v>3</v>
      </c>
      <c r="I309" t="str">
        <f t="shared" si="28"/>
        <v/>
      </c>
      <c r="J309" t="str">
        <f t="shared" ca="1" si="29"/>
        <v>1</v>
      </c>
    </row>
    <row r="310" spans="1:10" ht="18.75" x14ac:dyDescent="0.25">
      <c r="A310" s="11" t="s">
        <v>2004</v>
      </c>
      <c r="B310">
        <f>IFERROR(COUNTIFS($A$1:A310,"Câu "&amp;"*")-MID(A310,5,FIND(".",A310,1)-5),0)</f>
        <v>0</v>
      </c>
      <c r="C310" t="b">
        <v>1</v>
      </c>
      <c r="E310" t="str">
        <f t="shared" si="24"/>
        <v>1</v>
      </c>
      <c r="F310" t="str">
        <f t="shared" si="25"/>
        <v>2</v>
      </c>
      <c r="G310" t="str">
        <f t="shared" si="26"/>
        <v>3</v>
      </c>
      <c r="H310" t="str">
        <f t="shared" si="27"/>
        <v/>
      </c>
      <c r="I310" t="str">
        <f t="shared" si="28"/>
        <v>1</v>
      </c>
      <c r="J310" t="str">
        <f t="shared" ca="1" si="29"/>
        <v/>
      </c>
    </row>
    <row r="311" spans="1:10" ht="18.75" x14ac:dyDescent="0.25">
      <c r="A311" s="11" t="s">
        <v>2005</v>
      </c>
      <c r="B311">
        <f>IFERROR(COUNTIFS($A$1:A311,"Câu "&amp;"*")-MID(A311,5,FIND(".",A311,1)-5),0)</f>
        <v>0</v>
      </c>
      <c r="C311" t="b">
        <v>0</v>
      </c>
      <c r="E311" t="str">
        <f t="shared" si="24"/>
        <v>2</v>
      </c>
      <c r="F311" t="str">
        <f t="shared" si="25"/>
        <v>3</v>
      </c>
      <c r="G311" t="str">
        <f t="shared" si="26"/>
        <v>Câu 77.</v>
      </c>
      <c r="H311" t="str">
        <f t="shared" si="27"/>
        <v>1</v>
      </c>
      <c r="I311" t="str">
        <f t="shared" si="28"/>
        <v>2</v>
      </c>
      <c r="J311" t="str">
        <f t="shared" ca="1" si="29"/>
        <v/>
      </c>
    </row>
    <row r="312" spans="1:10" ht="18.75" x14ac:dyDescent="0.25">
      <c r="A312" s="11" t="s">
        <v>2006</v>
      </c>
      <c r="B312">
        <f>IFERROR(COUNTIFS($A$1:A312,"Câu "&amp;"*")-MID(A312,5,FIND(".",A312,1)-5),0)</f>
        <v>0</v>
      </c>
      <c r="C312" t="b">
        <v>0</v>
      </c>
      <c r="E312" t="str">
        <f t="shared" si="24"/>
        <v>3</v>
      </c>
      <c r="F312" t="str">
        <f t="shared" si="25"/>
        <v>Câu 77.</v>
      </c>
      <c r="G312" t="str">
        <f t="shared" si="26"/>
        <v>1</v>
      </c>
      <c r="H312" t="str">
        <f t="shared" si="27"/>
        <v>2</v>
      </c>
      <c r="I312" t="str">
        <f t="shared" si="28"/>
        <v>3</v>
      </c>
      <c r="J312" t="str">
        <f t="shared" ca="1" si="29"/>
        <v/>
      </c>
    </row>
    <row r="313" spans="1:10" ht="18.75" x14ac:dyDescent="0.25">
      <c r="A313" s="10" t="s">
        <v>277</v>
      </c>
      <c r="B313">
        <f>IFERROR(COUNTIFS($A$1:A313,"Câu "&amp;"*")-MID(A313,5,FIND(".",A313,1)-5),0)</f>
        <v>0</v>
      </c>
      <c r="C313" t="b">
        <v>0</v>
      </c>
      <c r="E313" t="str">
        <f t="shared" si="24"/>
        <v>Câu 77.</v>
      </c>
      <c r="F313" t="str">
        <f t="shared" si="25"/>
        <v>1</v>
      </c>
      <c r="G313" t="str">
        <f t="shared" si="26"/>
        <v>2</v>
      </c>
      <c r="H313" t="str">
        <f t="shared" si="27"/>
        <v>3</v>
      </c>
      <c r="I313" t="str">
        <f t="shared" si="28"/>
        <v/>
      </c>
      <c r="J313" t="str">
        <f t="shared" ca="1" si="29"/>
        <v>2</v>
      </c>
    </row>
    <row r="314" spans="1:10" ht="18.75" x14ac:dyDescent="0.25">
      <c r="A314" s="11" t="s">
        <v>2007</v>
      </c>
      <c r="B314">
        <f>IFERROR(COUNTIFS($A$1:A314,"Câu "&amp;"*")-MID(A314,5,FIND(".",A314,1)-5),0)</f>
        <v>0</v>
      </c>
      <c r="C314" t="b">
        <v>0</v>
      </c>
      <c r="E314" t="str">
        <f t="shared" si="24"/>
        <v>1</v>
      </c>
      <c r="F314" t="str">
        <f t="shared" si="25"/>
        <v>2</v>
      </c>
      <c r="G314" t="str">
        <f t="shared" si="26"/>
        <v>3</v>
      </c>
      <c r="H314" t="str">
        <f t="shared" si="27"/>
        <v/>
      </c>
      <c r="I314" t="str">
        <f t="shared" si="28"/>
        <v>1</v>
      </c>
      <c r="J314" t="str">
        <f t="shared" ca="1" si="29"/>
        <v/>
      </c>
    </row>
    <row r="315" spans="1:10" ht="18.75" x14ac:dyDescent="0.25">
      <c r="A315" s="11" t="s">
        <v>2008</v>
      </c>
      <c r="B315">
        <f>IFERROR(COUNTIFS($A$1:A315,"Câu "&amp;"*")-MID(A315,5,FIND(".",A315,1)-5),0)</f>
        <v>0</v>
      </c>
      <c r="C315" t="b">
        <v>1</v>
      </c>
      <c r="E315" t="str">
        <f t="shared" si="24"/>
        <v>2</v>
      </c>
      <c r="F315" t="str">
        <f t="shared" si="25"/>
        <v>3</v>
      </c>
      <c r="G315" t="str">
        <f t="shared" si="26"/>
        <v>Câu 78.</v>
      </c>
      <c r="H315" t="str">
        <f t="shared" si="27"/>
        <v>1</v>
      </c>
      <c r="I315" t="str">
        <f t="shared" si="28"/>
        <v>2</v>
      </c>
      <c r="J315" t="str">
        <f t="shared" ca="1" si="29"/>
        <v/>
      </c>
    </row>
    <row r="316" spans="1:10" ht="18.75" x14ac:dyDescent="0.25">
      <c r="A316" s="11" t="s">
        <v>2009</v>
      </c>
      <c r="B316">
        <f>IFERROR(COUNTIFS($A$1:A316,"Câu "&amp;"*")-MID(A316,5,FIND(".",A316,1)-5),0)</f>
        <v>0</v>
      </c>
      <c r="C316" t="b">
        <v>0</v>
      </c>
      <c r="E316" t="str">
        <f t="shared" si="24"/>
        <v>3</v>
      </c>
      <c r="F316" t="str">
        <f t="shared" si="25"/>
        <v>Câu 78.</v>
      </c>
      <c r="G316" t="str">
        <f t="shared" si="26"/>
        <v>1</v>
      </c>
      <c r="H316" t="str">
        <f t="shared" si="27"/>
        <v>2</v>
      </c>
      <c r="I316" t="str">
        <f t="shared" si="28"/>
        <v>l</v>
      </c>
      <c r="J316" t="str">
        <f t="shared" ca="1" si="29"/>
        <v/>
      </c>
    </row>
    <row r="317" spans="1:10" ht="409.5" x14ac:dyDescent="0.25">
      <c r="A317" s="4" t="s">
        <v>281</v>
      </c>
      <c r="B317">
        <f>IFERROR(COUNTIFS($A$1:A317,"Câu "&amp;"*")-MID(A317,5,FIND(".",A317,1)-5),0)</f>
        <v>0</v>
      </c>
      <c r="C317" t="b">
        <v>0</v>
      </c>
      <c r="E317" t="str">
        <f t="shared" si="24"/>
        <v>Câu 78.</v>
      </c>
      <c r="F317" t="str">
        <f t="shared" si="25"/>
        <v>1</v>
      </c>
      <c r="G317" t="str">
        <f t="shared" si="26"/>
        <v>2</v>
      </c>
      <c r="H317" t="str">
        <f t="shared" si="27"/>
        <v>l</v>
      </c>
      <c r="I317" t="str">
        <f t="shared" si="28"/>
        <v>3</v>
      </c>
      <c r="J317" t="str">
        <f t="shared" ca="1" si="29"/>
        <v>2</v>
      </c>
    </row>
    <row r="318" spans="1:10" ht="409.5" x14ac:dyDescent="0.25">
      <c r="A318" s="3" t="s">
        <v>2010</v>
      </c>
      <c r="B318">
        <f>IFERROR(COUNTIFS($A$1:A318,"Câu "&amp;"*")-MID(A318,5,FIND(".",A318,1)-5),0)</f>
        <v>0</v>
      </c>
      <c r="C318" t="b">
        <v>0</v>
      </c>
      <c r="E318" t="str">
        <f t="shared" si="24"/>
        <v>1</v>
      </c>
      <c r="F318" t="str">
        <f t="shared" si="25"/>
        <v>2</v>
      </c>
      <c r="G318" t="str">
        <f t="shared" si="26"/>
        <v>l</v>
      </c>
      <c r="H318" t="str">
        <f t="shared" si="27"/>
        <v>3</v>
      </c>
      <c r="I318" t="str">
        <f t="shared" si="28"/>
        <v/>
      </c>
      <c r="J318" t="str">
        <f t="shared" ca="1" si="29"/>
        <v/>
      </c>
    </row>
    <row r="319" spans="1:10" ht="409.5" x14ac:dyDescent="0.25">
      <c r="A319" s="3" t="s">
        <v>2011</v>
      </c>
      <c r="B319">
        <f>IFERROR(COUNTIFS($A$1:A319,"Câu "&amp;"*")-MID(A319,5,FIND(".",A319,1)-5),0)</f>
        <v>0</v>
      </c>
      <c r="C319" t="b">
        <v>1</v>
      </c>
      <c r="E319" t="str">
        <f t="shared" si="24"/>
        <v>2</v>
      </c>
      <c r="F319" t="str">
        <f t="shared" si="25"/>
        <v>l</v>
      </c>
      <c r="G319" t="str">
        <f t="shared" si="26"/>
        <v>3</v>
      </c>
      <c r="H319" t="str">
        <f t="shared" si="27"/>
        <v/>
      </c>
      <c r="I319" t="str">
        <f t="shared" si="28"/>
        <v>1</v>
      </c>
      <c r="J319" t="str">
        <f t="shared" ca="1" si="29"/>
        <v/>
      </c>
    </row>
    <row r="320" spans="1:10" ht="18.75" x14ac:dyDescent="0.25">
      <c r="A320" s="12" t="s">
        <v>2012</v>
      </c>
      <c r="B320">
        <f>IFERROR(COUNTIFS($A$1:A320,"Câu "&amp;"*")-MID(A320,5,FIND(".",A320,1)-5),0)</f>
        <v>0</v>
      </c>
      <c r="C320" t="b">
        <v>1</v>
      </c>
      <c r="E320" t="str">
        <f t="shared" si="24"/>
        <v>l</v>
      </c>
      <c r="F320" t="str">
        <f t="shared" si="25"/>
        <v>3</v>
      </c>
      <c r="G320" t="str">
        <f t="shared" si="26"/>
        <v>Câu 79.</v>
      </c>
      <c r="H320" t="str">
        <f t="shared" si="27"/>
        <v>1</v>
      </c>
      <c r="I320" t="str">
        <f t="shared" si="28"/>
        <v>2</v>
      </c>
      <c r="J320" t="str">
        <f t="shared" ca="1" si="29"/>
        <v/>
      </c>
    </row>
    <row r="321" spans="1:10" ht="18.75" x14ac:dyDescent="0.25">
      <c r="A321" s="11" t="s">
        <v>2013</v>
      </c>
      <c r="B321">
        <f>IFERROR(COUNTIFS($A$1:A321,"Câu "&amp;"*")-MID(A321,5,FIND(".",A321,1)-5),0)</f>
        <v>0</v>
      </c>
      <c r="C321" t="b">
        <v>0</v>
      </c>
      <c r="E321" t="str">
        <f t="shared" si="24"/>
        <v>3</v>
      </c>
      <c r="F321" t="str">
        <f t="shared" si="25"/>
        <v>Câu 79.</v>
      </c>
      <c r="G321" t="str">
        <f t="shared" si="26"/>
        <v>1</v>
      </c>
      <c r="H321" t="str">
        <f t="shared" si="27"/>
        <v>2</v>
      </c>
      <c r="I321" t="str">
        <f t="shared" si="28"/>
        <v>3</v>
      </c>
      <c r="J321" t="str">
        <f t="shared" ca="1" si="29"/>
        <v/>
      </c>
    </row>
    <row r="322" spans="1:10" ht="18.75" x14ac:dyDescent="0.25">
      <c r="A322" s="10" t="s">
        <v>284</v>
      </c>
      <c r="B322">
        <f>IFERROR(COUNTIFS($A$1:A322,"Câu "&amp;"*")-MID(A322,5,FIND(".",A322,1)-5),0)</f>
        <v>0</v>
      </c>
      <c r="C322" t="b">
        <v>0</v>
      </c>
      <c r="E322" t="str">
        <f t="shared" si="24"/>
        <v>Câu 79.</v>
      </c>
      <c r="F322" t="str">
        <f t="shared" si="25"/>
        <v>1</v>
      </c>
      <c r="G322" t="str">
        <f t="shared" si="26"/>
        <v>2</v>
      </c>
      <c r="H322" t="str">
        <f t="shared" si="27"/>
        <v>3</v>
      </c>
      <c r="I322" t="str">
        <f t="shared" si="28"/>
        <v/>
      </c>
      <c r="J322" t="str">
        <f t="shared" ca="1" si="29"/>
        <v>2</v>
      </c>
    </row>
    <row r="323" spans="1:10" ht="18.75" x14ac:dyDescent="0.25">
      <c r="A323" s="11" t="s">
        <v>2014</v>
      </c>
      <c r="B323">
        <f>IFERROR(COUNTIFS($A$1:A323,"Câu "&amp;"*")-MID(A323,5,FIND(".",A323,1)-5),0)</f>
        <v>0</v>
      </c>
      <c r="C323" t="b">
        <v>0</v>
      </c>
      <c r="E323" t="str">
        <f t="shared" ref="E323:E386" si="30">IF(LEFT(A323,3)="Câu",LEFT(A323,FIND(".",A323,1)),LEFT(A323,1))</f>
        <v>1</v>
      </c>
      <c r="F323" t="str">
        <f t="shared" ref="F323:F386" si="31">IF(LEFT(A324,3)="Câu",LEFT(A324,FIND(".",A324,1)),LEFT(A324,1))</f>
        <v>2</v>
      </c>
      <c r="G323" t="str">
        <f t="shared" ref="G323:G386" si="32">IF(LEFT(A325,3)="Câu",LEFT(A325,FIND(".",A325,1)),LEFT(A325,1))</f>
        <v>3</v>
      </c>
      <c r="H323" t="str">
        <f t="shared" ref="H323:H386" si="33">IF(LEFT(A326,3)="Câu","",LEFT(A326,1))</f>
        <v/>
      </c>
      <c r="I323" t="str">
        <f t="shared" ref="I323:I386" si="34">IF(LEFT(A327,3)="Câu","",LEFT(A327,1))</f>
        <v>1</v>
      </c>
      <c r="J323" t="str">
        <f t="shared" ref="J323:J386" ca="1" si="35">IFERROR(VLOOKUP(TRUE,INDIRECT("C"&amp;MATCH(E323,$E$1:$E$2471,0)&amp;":E"&amp;MATCH("Câu "&amp;VALUE(MID(E323,5,LEN(E323)-5))+1&amp;".",$E$1:$E$2471,0)),3,0),"")</f>
        <v/>
      </c>
    </row>
    <row r="324" spans="1:10" ht="18.75" x14ac:dyDescent="0.25">
      <c r="A324" s="11" t="s">
        <v>2015</v>
      </c>
      <c r="B324">
        <f>IFERROR(COUNTIFS($A$1:A324,"Câu "&amp;"*")-MID(A324,5,FIND(".",A324,1)-5),0)</f>
        <v>0</v>
      </c>
      <c r="C324" t="b">
        <v>1</v>
      </c>
      <c r="E324" t="str">
        <f t="shared" si="30"/>
        <v>2</v>
      </c>
      <c r="F324" t="str">
        <f t="shared" si="31"/>
        <v>3</v>
      </c>
      <c r="G324" t="str">
        <f t="shared" si="32"/>
        <v>Câu 80.</v>
      </c>
      <c r="H324" t="str">
        <f t="shared" si="33"/>
        <v>1</v>
      </c>
      <c r="I324" t="str">
        <f t="shared" si="34"/>
        <v>2</v>
      </c>
      <c r="J324" t="str">
        <f t="shared" ca="1" si="35"/>
        <v/>
      </c>
    </row>
    <row r="325" spans="1:10" ht="18.75" x14ac:dyDescent="0.25">
      <c r="A325" s="11" t="s">
        <v>2016</v>
      </c>
      <c r="B325">
        <f>IFERROR(COUNTIFS($A$1:A325,"Câu "&amp;"*")-MID(A325,5,FIND(".",A325,1)-5),0)</f>
        <v>0</v>
      </c>
      <c r="C325" t="b">
        <v>0</v>
      </c>
      <c r="E325" t="str">
        <f t="shared" si="30"/>
        <v>3</v>
      </c>
      <c r="F325" t="str">
        <f t="shared" si="31"/>
        <v>Câu 80.</v>
      </c>
      <c r="G325" t="str">
        <f t="shared" si="32"/>
        <v>1</v>
      </c>
      <c r="H325" t="str">
        <f t="shared" si="33"/>
        <v>2</v>
      </c>
      <c r="I325" t="str">
        <f t="shared" si="34"/>
        <v>3</v>
      </c>
      <c r="J325" t="str">
        <f t="shared" ca="1" si="35"/>
        <v/>
      </c>
    </row>
    <row r="326" spans="1:10" ht="409.5" x14ac:dyDescent="0.25">
      <c r="A326" s="4" t="s">
        <v>288</v>
      </c>
      <c r="B326">
        <f>IFERROR(COUNTIFS($A$1:A326,"Câu "&amp;"*")-MID(A326,5,FIND(".",A326,1)-5),0)</f>
        <v>0</v>
      </c>
      <c r="C326" t="b">
        <v>0</v>
      </c>
      <c r="E326" t="str">
        <f t="shared" si="30"/>
        <v>Câu 80.</v>
      </c>
      <c r="F326" t="str">
        <f t="shared" si="31"/>
        <v>1</v>
      </c>
      <c r="G326" t="str">
        <f t="shared" si="32"/>
        <v>2</v>
      </c>
      <c r="H326" t="str">
        <f t="shared" si="33"/>
        <v>3</v>
      </c>
      <c r="I326" t="str">
        <f t="shared" si="34"/>
        <v/>
      </c>
      <c r="J326" t="str">
        <f t="shared" ca="1" si="35"/>
        <v>3</v>
      </c>
    </row>
    <row r="327" spans="1:10" ht="18.75" x14ac:dyDescent="0.25">
      <c r="A327" s="11" t="s">
        <v>2017</v>
      </c>
      <c r="B327">
        <f>IFERROR(COUNTIFS($A$1:A327,"Câu "&amp;"*")-MID(A327,5,FIND(".",A327,1)-5),0)</f>
        <v>0</v>
      </c>
      <c r="C327" t="b">
        <v>0</v>
      </c>
      <c r="E327" t="str">
        <f t="shared" si="30"/>
        <v>1</v>
      </c>
      <c r="F327" t="str">
        <f t="shared" si="31"/>
        <v>2</v>
      </c>
      <c r="G327" t="str">
        <f t="shared" si="32"/>
        <v>3</v>
      </c>
      <c r="H327" t="str">
        <f t="shared" si="33"/>
        <v/>
      </c>
      <c r="I327" t="str">
        <f t="shared" si="34"/>
        <v>1</v>
      </c>
      <c r="J327" t="str">
        <f t="shared" ca="1" si="35"/>
        <v/>
      </c>
    </row>
    <row r="328" spans="1:10" ht="18.75" x14ac:dyDescent="0.25">
      <c r="A328" s="11" t="s">
        <v>2018</v>
      </c>
      <c r="B328">
        <f>IFERROR(COUNTIFS($A$1:A328,"Câu "&amp;"*")-MID(A328,5,FIND(".",A328,1)-5),0)</f>
        <v>0</v>
      </c>
      <c r="C328" t="b">
        <v>0</v>
      </c>
      <c r="E328" t="str">
        <f t="shared" si="30"/>
        <v>2</v>
      </c>
      <c r="F328" t="str">
        <f t="shared" si="31"/>
        <v>3</v>
      </c>
      <c r="G328" t="str">
        <f t="shared" si="32"/>
        <v>Câu 81.</v>
      </c>
      <c r="H328" t="str">
        <f t="shared" si="33"/>
        <v>1</v>
      </c>
      <c r="I328" t="str">
        <f t="shared" si="34"/>
        <v>2</v>
      </c>
      <c r="J328" t="str">
        <f t="shared" ca="1" si="35"/>
        <v/>
      </c>
    </row>
    <row r="329" spans="1:10" ht="18.75" x14ac:dyDescent="0.25">
      <c r="A329" s="11" t="s">
        <v>2019</v>
      </c>
      <c r="B329">
        <f>IFERROR(COUNTIFS($A$1:A329,"Câu "&amp;"*")-MID(A329,5,FIND(".",A329,1)-5),0)</f>
        <v>0</v>
      </c>
      <c r="C329" t="b">
        <v>1</v>
      </c>
      <c r="E329" t="str">
        <f t="shared" si="30"/>
        <v>3</v>
      </c>
      <c r="F329" t="str">
        <f t="shared" si="31"/>
        <v>Câu 81.</v>
      </c>
      <c r="G329" t="str">
        <f t="shared" si="32"/>
        <v>1</v>
      </c>
      <c r="H329" t="str">
        <f t="shared" si="33"/>
        <v>2</v>
      </c>
      <c r="I329" t="str">
        <f t="shared" si="34"/>
        <v>3</v>
      </c>
      <c r="J329" t="str">
        <f t="shared" ca="1" si="35"/>
        <v/>
      </c>
    </row>
    <row r="330" spans="1:10" ht="18.75" x14ac:dyDescent="0.25">
      <c r="A330" s="10" t="s">
        <v>292</v>
      </c>
      <c r="B330">
        <f>IFERROR(COUNTIFS($A$1:A330,"Câu "&amp;"*")-MID(A330,5,FIND(".",A330,1)-5),0)</f>
        <v>0</v>
      </c>
      <c r="C330" t="b">
        <v>0</v>
      </c>
      <c r="E330" t="str">
        <f t="shared" si="30"/>
        <v>Câu 81.</v>
      </c>
      <c r="F330" t="str">
        <f t="shared" si="31"/>
        <v>1</v>
      </c>
      <c r="G330" t="str">
        <f t="shared" si="32"/>
        <v>2</v>
      </c>
      <c r="H330" t="str">
        <f t="shared" si="33"/>
        <v>3</v>
      </c>
      <c r="I330" t="str">
        <f t="shared" si="34"/>
        <v/>
      </c>
      <c r="J330" t="str">
        <f t="shared" ca="1" si="35"/>
        <v>2</v>
      </c>
    </row>
    <row r="331" spans="1:10" ht="225" x14ac:dyDescent="0.25">
      <c r="A331" s="3" t="s">
        <v>2020</v>
      </c>
      <c r="B331">
        <f>IFERROR(COUNTIFS($A$1:A331,"Câu "&amp;"*")-MID(A331,5,FIND(".",A331,1)-5),0)</f>
        <v>0</v>
      </c>
      <c r="C331" t="b">
        <v>0</v>
      </c>
      <c r="E331" t="str">
        <f t="shared" si="30"/>
        <v>1</v>
      </c>
      <c r="F331" t="str">
        <f t="shared" si="31"/>
        <v>2</v>
      </c>
      <c r="G331" t="str">
        <f t="shared" si="32"/>
        <v>3</v>
      </c>
      <c r="H331" t="str">
        <f t="shared" si="33"/>
        <v/>
      </c>
      <c r="I331" t="str">
        <f t="shared" si="34"/>
        <v>1</v>
      </c>
      <c r="J331" t="str">
        <f t="shared" ca="1" si="35"/>
        <v/>
      </c>
    </row>
    <row r="332" spans="1:10" ht="409.5" x14ac:dyDescent="0.25">
      <c r="A332" s="3" t="s">
        <v>2021</v>
      </c>
      <c r="B332">
        <f>IFERROR(COUNTIFS($A$1:A332,"Câu "&amp;"*")-MID(A332,5,FIND(".",A332,1)-5),0)</f>
        <v>0</v>
      </c>
      <c r="C332" t="b">
        <v>1</v>
      </c>
      <c r="E332" t="str">
        <f t="shared" si="30"/>
        <v>2</v>
      </c>
      <c r="F332" t="str">
        <f t="shared" si="31"/>
        <v>3</v>
      </c>
      <c r="G332" t="str">
        <f t="shared" si="32"/>
        <v>Câu 82.</v>
      </c>
      <c r="H332" t="str">
        <f t="shared" si="33"/>
        <v>1</v>
      </c>
      <c r="I332" t="str">
        <f t="shared" si="34"/>
        <v>2</v>
      </c>
      <c r="J332" t="str">
        <f t="shared" ca="1" si="35"/>
        <v/>
      </c>
    </row>
    <row r="333" spans="1:10" ht="318.75" x14ac:dyDescent="0.25">
      <c r="A333" s="3" t="s">
        <v>2022</v>
      </c>
      <c r="B333">
        <f>IFERROR(COUNTIFS($A$1:A333,"Câu "&amp;"*")-MID(A333,5,FIND(".",A333,1)-5),0)</f>
        <v>0</v>
      </c>
      <c r="C333" t="b">
        <v>0</v>
      </c>
      <c r="E333" t="str">
        <f t="shared" si="30"/>
        <v>3</v>
      </c>
      <c r="F333" t="str">
        <f t="shared" si="31"/>
        <v>Câu 82.</v>
      </c>
      <c r="G333" t="str">
        <f t="shared" si="32"/>
        <v>1</v>
      </c>
      <c r="H333" t="str">
        <f t="shared" si="33"/>
        <v>2</v>
      </c>
      <c r="I333" t="str">
        <f t="shared" si="34"/>
        <v>3</v>
      </c>
      <c r="J333" t="str">
        <f t="shared" ca="1" si="35"/>
        <v/>
      </c>
    </row>
    <row r="334" spans="1:10" ht="409.5" x14ac:dyDescent="0.25">
      <c r="A334" s="4" t="s">
        <v>296</v>
      </c>
      <c r="B334">
        <f>IFERROR(COUNTIFS($A$1:A334,"Câu "&amp;"*")-MID(A334,5,FIND(".",A334,1)-5),0)</f>
        <v>0</v>
      </c>
      <c r="C334" t="b">
        <v>0</v>
      </c>
      <c r="E334" t="str">
        <f t="shared" si="30"/>
        <v>Câu 82.</v>
      </c>
      <c r="F334" t="str">
        <f t="shared" si="31"/>
        <v>1</v>
      </c>
      <c r="G334" t="str">
        <f t="shared" si="32"/>
        <v>2</v>
      </c>
      <c r="H334" t="str">
        <f t="shared" si="33"/>
        <v>3</v>
      </c>
      <c r="I334" t="str">
        <f t="shared" si="34"/>
        <v/>
      </c>
      <c r="J334" t="str">
        <f t="shared" ca="1" si="35"/>
        <v>1</v>
      </c>
    </row>
    <row r="335" spans="1:10" ht="18.75" x14ac:dyDescent="0.25">
      <c r="A335" s="11" t="s">
        <v>2023</v>
      </c>
      <c r="B335">
        <f>IFERROR(COUNTIFS($A$1:A335,"Câu "&amp;"*")-MID(A335,5,FIND(".",A335,1)-5),0)</f>
        <v>0</v>
      </c>
      <c r="C335" t="b">
        <v>1</v>
      </c>
      <c r="E335" t="str">
        <f t="shared" si="30"/>
        <v>1</v>
      </c>
      <c r="F335" t="str">
        <f t="shared" si="31"/>
        <v>2</v>
      </c>
      <c r="G335" t="str">
        <f t="shared" si="32"/>
        <v>3</v>
      </c>
      <c r="H335" t="str">
        <f t="shared" si="33"/>
        <v/>
      </c>
      <c r="I335" t="str">
        <f t="shared" si="34"/>
        <v>1</v>
      </c>
      <c r="J335" t="str">
        <f t="shared" ca="1" si="35"/>
        <v/>
      </c>
    </row>
    <row r="336" spans="1:10" ht="18.75" x14ac:dyDescent="0.25">
      <c r="A336" s="11" t="s">
        <v>2024</v>
      </c>
      <c r="B336">
        <f>IFERROR(COUNTIFS($A$1:A336,"Câu "&amp;"*")-MID(A336,5,FIND(".",A336,1)-5),0)</f>
        <v>0</v>
      </c>
      <c r="C336" t="b">
        <v>0</v>
      </c>
      <c r="E336" t="str">
        <f t="shared" si="30"/>
        <v>2</v>
      </c>
      <c r="F336" t="str">
        <f t="shared" si="31"/>
        <v>3</v>
      </c>
      <c r="G336" t="str">
        <f t="shared" si="32"/>
        <v>Câu 83.</v>
      </c>
      <c r="H336" t="str">
        <f t="shared" si="33"/>
        <v>1</v>
      </c>
      <c r="I336" t="str">
        <f t="shared" si="34"/>
        <v>2</v>
      </c>
      <c r="J336" t="str">
        <f t="shared" ca="1" si="35"/>
        <v/>
      </c>
    </row>
    <row r="337" spans="1:10" ht="18.75" x14ac:dyDescent="0.25">
      <c r="A337" s="11" t="s">
        <v>2025</v>
      </c>
      <c r="B337">
        <f>IFERROR(COUNTIFS($A$1:A337,"Câu "&amp;"*")-MID(A337,5,FIND(".",A337,1)-5),0)</f>
        <v>0</v>
      </c>
      <c r="C337" t="b">
        <v>0</v>
      </c>
      <c r="E337" t="str">
        <f t="shared" si="30"/>
        <v>3</v>
      </c>
      <c r="F337" t="str">
        <f t="shared" si="31"/>
        <v>Câu 83.</v>
      </c>
      <c r="G337" t="str">
        <f t="shared" si="32"/>
        <v>1</v>
      </c>
      <c r="H337" t="str">
        <f t="shared" si="33"/>
        <v>2</v>
      </c>
      <c r="I337" t="str">
        <f t="shared" si="34"/>
        <v>3</v>
      </c>
      <c r="J337" t="str">
        <f t="shared" ca="1" si="35"/>
        <v/>
      </c>
    </row>
    <row r="338" spans="1:10" ht="18.75" x14ac:dyDescent="0.25">
      <c r="A338" s="10" t="s">
        <v>300</v>
      </c>
      <c r="B338">
        <f>IFERROR(COUNTIFS($A$1:A338,"Câu "&amp;"*")-MID(A338,5,FIND(".",A338,1)-5),0)</f>
        <v>0</v>
      </c>
      <c r="C338" t="b">
        <v>0</v>
      </c>
      <c r="E338" t="str">
        <f t="shared" si="30"/>
        <v>Câu 83.</v>
      </c>
      <c r="F338" t="str">
        <f t="shared" si="31"/>
        <v>1</v>
      </c>
      <c r="G338" t="str">
        <f t="shared" si="32"/>
        <v>2</v>
      </c>
      <c r="H338" t="str">
        <f t="shared" si="33"/>
        <v>3</v>
      </c>
      <c r="I338" t="str">
        <f t="shared" si="34"/>
        <v/>
      </c>
      <c r="J338" t="str">
        <f t="shared" ca="1" si="35"/>
        <v>1</v>
      </c>
    </row>
    <row r="339" spans="1:10" ht="18.75" x14ac:dyDescent="0.25">
      <c r="A339" s="11" t="s">
        <v>2026</v>
      </c>
      <c r="B339">
        <f>IFERROR(COUNTIFS($A$1:A339,"Câu "&amp;"*")-MID(A339,5,FIND(".",A339,1)-5),0)</f>
        <v>0</v>
      </c>
      <c r="C339" t="b">
        <v>1</v>
      </c>
      <c r="E339" t="str">
        <f t="shared" si="30"/>
        <v>1</v>
      </c>
      <c r="F339" t="str">
        <f t="shared" si="31"/>
        <v>2</v>
      </c>
      <c r="G339" t="str">
        <f t="shared" si="32"/>
        <v>3</v>
      </c>
      <c r="H339" t="str">
        <f t="shared" si="33"/>
        <v/>
      </c>
      <c r="I339" t="str">
        <f t="shared" si="34"/>
        <v>1</v>
      </c>
      <c r="J339" t="str">
        <f t="shared" ca="1" si="35"/>
        <v/>
      </c>
    </row>
    <row r="340" spans="1:10" ht="18.75" x14ac:dyDescent="0.25">
      <c r="A340" s="11" t="s">
        <v>2027</v>
      </c>
      <c r="B340">
        <f>IFERROR(COUNTIFS($A$1:A340,"Câu "&amp;"*")-MID(A340,5,FIND(".",A340,1)-5),0)</f>
        <v>0</v>
      </c>
      <c r="C340" t="b">
        <v>0</v>
      </c>
      <c r="E340" t="str">
        <f t="shared" si="30"/>
        <v>2</v>
      </c>
      <c r="F340" t="str">
        <f t="shared" si="31"/>
        <v>3</v>
      </c>
      <c r="G340" t="str">
        <f t="shared" si="32"/>
        <v>Câu 84.</v>
      </c>
      <c r="H340" t="str">
        <f t="shared" si="33"/>
        <v>1</v>
      </c>
      <c r="I340" t="str">
        <f t="shared" si="34"/>
        <v>2</v>
      </c>
      <c r="J340" t="str">
        <f t="shared" ca="1" si="35"/>
        <v/>
      </c>
    </row>
    <row r="341" spans="1:10" ht="18.75" x14ac:dyDescent="0.25">
      <c r="A341" s="11" t="s">
        <v>2028</v>
      </c>
      <c r="B341">
        <f>IFERROR(COUNTIFS($A$1:A341,"Câu "&amp;"*")-MID(A341,5,FIND(".",A341,1)-5),0)</f>
        <v>0</v>
      </c>
      <c r="C341" t="b">
        <v>0</v>
      </c>
      <c r="E341" t="str">
        <f t="shared" si="30"/>
        <v>3</v>
      </c>
      <c r="F341" t="str">
        <f t="shared" si="31"/>
        <v>Câu 84.</v>
      </c>
      <c r="G341" t="str">
        <f t="shared" si="32"/>
        <v>1</v>
      </c>
      <c r="H341" t="str">
        <f t="shared" si="33"/>
        <v>2</v>
      </c>
      <c r="I341" t="str">
        <f t="shared" si="34"/>
        <v>3</v>
      </c>
      <c r="J341" t="str">
        <f t="shared" ca="1" si="35"/>
        <v/>
      </c>
    </row>
    <row r="342" spans="1:10" ht="18.75" x14ac:dyDescent="0.25">
      <c r="A342" s="10" t="s">
        <v>304</v>
      </c>
      <c r="B342">
        <f>IFERROR(COUNTIFS($A$1:A342,"Câu "&amp;"*")-MID(A342,5,FIND(".",A342,1)-5),0)</f>
        <v>0</v>
      </c>
      <c r="C342" t="b">
        <v>0</v>
      </c>
      <c r="E342" t="str">
        <f t="shared" si="30"/>
        <v>Câu 84.</v>
      </c>
      <c r="F342" t="str">
        <f t="shared" si="31"/>
        <v>1</v>
      </c>
      <c r="G342" t="str">
        <f t="shared" si="32"/>
        <v>2</v>
      </c>
      <c r="H342" t="str">
        <f t="shared" si="33"/>
        <v>3</v>
      </c>
      <c r="I342" t="str">
        <f t="shared" si="34"/>
        <v/>
      </c>
      <c r="J342" t="str">
        <f t="shared" ca="1" si="35"/>
        <v>2</v>
      </c>
    </row>
    <row r="343" spans="1:10" ht="243.75" x14ac:dyDescent="0.25">
      <c r="A343" s="3" t="s">
        <v>2029</v>
      </c>
      <c r="B343">
        <f>IFERROR(COUNTIFS($A$1:A343,"Câu "&amp;"*")-MID(A343,5,FIND(".",A343,1)-5),0)</f>
        <v>0</v>
      </c>
      <c r="C343" t="b">
        <v>0</v>
      </c>
      <c r="E343" t="str">
        <f t="shared" si="30"/>
        <v>1</v>
      </c>
      <c r="F343" t="str">
        <f t="shared" si="31"/>
        <v>2</v>
      </c>
      <c r="G343" t="str">
        <f t="shared" si="32"/>
        <v>3</v>
      </c>
      <c r="H343" t="str">
        <f t="shared" si="33"/>
        <v/>
      </c>
      <c r="I343" t="str">
        <f t="shared" si="34"/>
        <v>1</v>
      </c>
      <c r="J343" t="str">
        <f t="shared" ca="1" si="35"/>
        <v/>
      </c>
    </row>
    <row r="344" spans="1:10" ht="409.5" x14ac:dyDescent="0.25">
      <c r="A344" s="3" t="s">
        <v>2030</v>
      </c>
      <c r="B344">
        <f>IFERROR(COUNTIFS($A$1:A344,"Câu "&amp;"*")-MID(A344,5,FIND(".",A344,1)-5),0)</f>
        <v>0</v>
      </c>
      <c r="C344" t="b">
        <v>1</v>
      </c>
      <c r="E344" t="str">
        <f t="shared" si="30"/>
        <v>2</v>
      </c>
      <c r="F344" t="str">
        <f t="shared" si="31"/>
        <v>3</v>
      </c>
      <c r="G344" t="str">
        <f t="shared" si="32"/>
        <v>Câu 85.</v>
      </c>
      <c r="H344" t="str">
        <f t="shared" si="33"/>
        <v>1</v>
      </c>
      <c r="I344" t="str">
        <f t="shared" si="34"/>
        <v>2</v>
      </c>
      <c r="J344" t="str">
        <f t="shared" ca="1" si="35"/>
        <v/>
      </c>
    </row>
    <row r="345" spans="1:10" ht="150" x14ac:dyDescent="0.25">
      <c r="A345" s="3" t="s">
        <v>2031</v>
      </c>
      <c r="B345">
        <f>IFERROR(COUNTIFS($A$1:A345,"Câu "&amp;"*")-MID(A345,5,FIND(".",A345,1)-5),0)</f>
        <v>0</v>
      </c>
      <c r="C345" t="b">
        <v>0</v>
      </c>
      <c r="E345" t="str">
        <f t="shared" si="30"/>
        <v>3</v>
      </c>
      <c r="F345" t="str">
        <f t="shared" si="31"/>
        <v>Câu 85.</v>
      </c>
      <c r="G345" t="str">
        <f t="shared" si="32"/>
        <v>1</v>
      </c>
      <c r="H345" t="str">
        <f t="shared" si="33"/>
        <v>2</v>
      </c>
      <c r="I345" t="str">
        <f t="shared" si="34"/>
        <v>3</v>
      </c>
      <c r="J345" t="str">
        <f t="shared" ca="1" si="35"/>
        <v/>
      </c>
    </row>
    <row r="346" spans="1:10" ht="318.75" x14ac:dyDescent="0.25">
      <c r="A346" s="4" t="s">
        <v>308</v>
      </c>
      <c r="B346">
        <f>IFERROR(COUNTIFS($A$1:A346,"Câu "&amp;"*")-MID(A346,5,FIND(".",A346,1)-5),0)</f>
        <v>0</v>
      </c>
      <c r="C346" t="b">
        <v>0</v>
      </c>
      <c r="E346" t="str">
        <f t="shared" si="30"/>
        <v>Câu 85.</v>
      </c>
      <c r="F346" t="str">
        <f t="shared" si="31"/>
        <v>1</v>
      </c>
      <c r="G346" t="str">
        <f t="shared" si="32"/>
        <v>2</v>
      </c>
      <c r="H346" t="str">
        <f t="shared" si="33"/>
        <v>3</v>
      </c>
      <c r="I346" t="str">
        <f t="shared" si="34"/>
        <v/>
      </c>
      <c r="J346" t="str">
        <f t="shared" ca="1" si="35"/>
        <v>3</v>
      </c>
    </row>
    <row r="347" spans="1:10" ht="18.75" x14ac:dyDescent="0.25">
      <c r="A347" s="11" t="s">
        <v>2032</v>
      </c>
      <c r="B347">
        <f>IFERROR(COUNTIFS($A$1:A347,"Câu "&amp;"*")-MID(A347,5,FIND(".",A347,1)-5),0)</f>
        <v>0</v>
      </c>
      <c r="C347" t="b">
        <v>0</v>
      </c>
      <c r="E347" t="str">
        <f t="shared" si="30"/>
        <v>1</v>
      </c>
      <c r="F347" t="str">
        <f t="shared" si="31"/>
        <v>2</v>
      </c>
      <c r="G347" t="str">
        <f t="shared" si="32"/>
        <v>3</v>
      </c>
      <c r="H347" t="str">
        <f t="shared" si="33"/>
        <v/>
      </c>
      <c r="I347" t="str">
        <f t="shared" si="34"/>
        <v>1</v>
      </c>
      <c r="J347" t="str">
        <f t="shared" ca="1" si="35"/>
        <v/>
      </c>
    </row>
    <row r="348" spans="1:10" ht="18.75" x14ac:dyDescent="0.25">
      <c r="A348" s="11" t="s">
        <v>2033</v>
      </c>
      <c r="B348">
        <f>IFERROR(COUNTIFS($A$1:A348,"Câu "&amp;"*")-MID(A348,5,FIND(".",A348,1)-5),0)</f>
        <v>0</v>
      </c>
      <c r="C348" t="b">
        <v>0</v>
      </c>
      <c r="E348" t="str">
        <f t="shared" si="30"/>
        <v>2</v>
      </c>
      <c r="F348" t="str">
        <f t="shared" si="31"/>
        <v>3</v>
      </c>
      <c r="G348" t="str">
        <f t="shared" si="32"/>
        <v>Câu 86.</v>
      </c>
      <c r="H348" t="str">
        <f t="shared" si="33"/>
        <v>1</v>
      </c>
      <c r="I348" t="str">
        <f t="shared" si="34"/>
        <v>2</v>
      </c>
      <c r="J348" t="str">
        <f t="shared" ca="1" si="35"/>
        <v/>
      </c>
    </row>
    <row r="349" spans="1:10" ht="18.75" x14ac:dyDescent="0.25">
      <c r="A349" s="11" t="s">
        <v>2034</v>
      </c>
      <c r="B349">
        <f>IFERROR(COUNTIFS($A$1:A349,"Câu "&amp;"*")-MID(A349,5,FIND(".",A349,1)-5),0)</f>
        <v>0</v>
      </c>
      <c r="C349" t="b">
        <v>1</v>
      </c>
      <c r="E349" t="str">
        <f t="shared" si="30"/>
        <v>3</v>
      </c>
      <c r="F349" t="str">
        <f t="shared" si="31"/>
        <v>Câu 86.</v>
      </c>
      <c r="G349" t="str">
        <f t="shared" si="32"/>
        <v>1</v>
      </c>
      <c r="H349" t="str">
        <f t="shared" si="33"/>
        <v>2</v>
      </c>
      <c r="I349" t="str">
        <f t="shared" si="34"/>
        <v>3</v>
      </c>
      <c r="J349" t="str">
        <f t="shared" ca="1" si="35"/>
        <v/>
      </c>
    </row>
    <row r="350" spans="1:10" ht="18.75" x14ac:dyDescent="0.25">
      <c r="A350" s="10" t="s">
        <v>312</v>
      </c>
      <c r="B350">
        <f>IFERROR(COUNTIFS($A$1:A350,"Câu "&amp;"*")-MID(A350,5,FIND(".",A350,1)-5),0)</f>
        <v>0</v>
      </c>
      <c r="C350" t="b">
        <v>0</v>
      </c>
      <c r="E350" t="str">
        <f t="shared" si="30"/>
        <v>Câu 86.</v>
      </c>
      <c r="F350" t="str">
        <f t="shared" si="31"/>
        <v>1</v>
      </c>
      <c r="G350" t="str">
        <f t="shared" si="32"/>
        <v>2</v>
      </c>
      <c r="H350" t="str">
        <f t="shared" si="33"/>
        <v>3</v>
      </c>
      <c r="I350" t="str">
        <f t="shared" si="34"/>
        <v/>
      </c>
      <c r="J350" t="str">
        <f t="shared" ca="1" si="35"/>
        <v>3</v>
      </c>
    </row>
    <row r="351" spans="1:10" ht="18.75" x14ac:dyDescent="0.25">
      <c r="A351" s="11" t="s">
        <v>2035</v>
      </c>
      <c r="B351">
        <f>IFERROR(COUNTIFS($A$1:A351,"Câu "&amp;"*")-MID(A351,5,FIND(".",A351,1)-5),0)</f>
        <v>0</v>
      </c>
      <c r="C351" t="b">
        <v>0</v>
      </c>
      <c r="E351" t="str">
        <f t="shared" si="30"/>
        <v>1</v>
      </c>
      <c r="F351" t="str">
        <f t="shared" si="31"/>
        <v>2</v>
      </c>
      <c r="G351" t="str">
        <f t="shared" si="32"/>
        <v>3</v>
      </c>
      <c r="H351" t="str">
        <f t="shared" si="33"/>
        <v/>
      </c>
      <c r="I351" t="str">
        <f t="shared" si="34"/>
        <v>1</v>
      </c>
      <c r="J351" t="str">
        <f t="shared" ca="1" si="35"/>
        <v/>
      </c>
    </row>
    <row r="352" spans="1:10" ht="18.75" x14ac:dyDescent="0.25">
      <c r="A352" s="11" t="s">
        <v>2036</v>
      </c>
      <c r="B352">
        <f>IFERROR(COUNTIFS($A$1:A352,"Câu "&amp;"*")-MID(A352,5,FIND(".",A352,1)-5),0)</f>
        <v>0</v>
      </c>
      <c r="C352" t="b">
        <v>0</v>
      </c>
      <c r="E352" t="str">
        <f t="shared" si="30"/>
        <v>2</v>
      </c>
      <c r="F352" t="str">
        <f t="shared" si="31"/>
        <v>3</v>
      </c>
      <c r="G352" t="str">
        <f t="shared" si="32"/>
        <v>Câu 87.</v>
      </c>
      <c r="H352" t="str">
        <f t="shared" si="33"/>
        <v>1</v>
      </c>
      <c r="I352" t="str">
        <f t="shared" si="34"/>
        <v>2</v>
      </c>
      <c r="J352" t="str">
        <f t="shared" ca="1" si="35"/>
        <v/>
      </c>
    </row>
    <row r="353" spans="1:10" ht="18.75" x14ac:dyDescent="0.25">
      <c r="A353" s="11" t="s">
        <v>2037</v>
      </c>
      <c r="B353">
        <f>IFERROR(COUNTIFS($A$1:A353,"Câu "&amp;"*")-MID(A353,5,FIND(".",A353,1)-5),0)</f>
        <v>0</v>
      </c>
      <c r="C353" t="b">
        <v>1</v>
      </c>
      <c r="E353" t="str">
        <f t="shared" si="30"/>
        <v>3</v>
      </c>
      <c r="F353" t="str">
        <f t="shared" si="31"/>
        <v>Câu 87.</v>
      </c>
      <c r="G353" t="str">
        <f t="shared" si="32"/>
        <v>1</v>
      </c>
      <c r="H353" t="str">
        <f t="shared" si="33"/>
        <v>2</v>
      </c>
      <c r="I353" t="str">
        <f t="shared" si="34"/>
        <v>3</v>
      </c>
      <c r="J353" t="str">
        <f t="shared" ca="1" si="35"/>
        <v/>
      </c>
    </row>
    <row r="354" spans="1:10" ht="409.5" x14ac:dyDescent="0.25">
      <c r="A354" s="4" t="s">
        <v>316</v>
      </c>
      <c r="B354">
        <f>IFERROR(COUNTIFS($A$1:A354,"Câu "&amp;"*")-MID(A354,5,FIND(".",A354,1)-5),0)</f>
        <v>0</v>
      </c>
      <c r="C354" t="b">
        <v>0</v>
      </c>
      <c r="E354" t="str">
        <f t="shared" si="30"/>
        <v>Câu 87.</v>
      </c>
      <c r="F354" t="str">
        <f t="shared" si="31"/>
        <v>1</v>
      </c>
      <c r="G354" t="str">
        <f t="shared" si="32"/>
        <v>2</v>
      </c>
      <c r="H354" t="str">
        <f t="shared" si="33"/>
        <v>3</v>
      </c>
      <c r="I354" t="str">
        <f t="shared" si="34"/>
        <v/>
      </c>
      <c r="J354" t="str">
        <f t="shared" ca="1" si="35"/>
        <v>1</v>
      </c>
    </row>
    <row r="355" spans="1:10" ht="18.75" x14ac:dyDescent="0.25">
      <c r="A355" s="11" t="s">
        <v>2038</v>
      </c>
      <c r="B355">
        <f>IFERROR(COUNTIFS($A$1:A355,"Câu "&amp;"*")-MID(A355,5,FIND(".",A355,1)-5),0)</f>
        <v>0</v>
      </c>
      <c r="C355" t="b">
        <v>1</v>
      </c>
      <c r="E355" t="str">
        <f t="shared" si="30"/>
        <v>1</v>
      </c>
      <c r="F355" t="str">
        <f t="shared" si="31"/>
        <v>2</v>
      </c>
      <c r="G355" t="str">
        <f t="shared" si="32"/>
        <v>3</v>
      </c>
      <c r="H355" t="str">
        <f t="shared" si="33"/>
        <v/>
      </c>
      <c r="I355" t="str">
        <f t="shared" si="34"/>
        <v>1</v>
      </c>
      <c r="J355" t="str">
        <f t="shared" ca="1" si="35"/>
        <v/>
      </c>
    </row>
    <row r="356" spans="1:10" ht="18.75" x14ac:dyDescent="0.25">
      <c r="A356" s="11" t="s">
        <v>2039</v>
      </c>
      <c r="B356">
        <f>IFERROR(COUNTIFS($A$1:A356,"Câu "&amp;"*")-MID(A356,5,FIND(".",A356,1)-5),0)</f>
        <v>0</v>
      </c>
      <c r="C356" t="b">
        <v>0</v>
      </c>
      <c r="E356" t="str">
        <f t="shared" si="30"/>
        <v>2</v>
      </c>
      <c r="F356" t="str">
        <f t="shared" si="31"/>
        <v>3</v>
      </c>
      <c r="G356" t="str">
        <f t="shared" si="32"/>
        <v>Câu 88.</v>
      </c>
      <c r="H356" t="str">
        <f t="shared" si="33"/>
        <v>1</v>
      </c>
      <c r="I356" t="str">
        <f t="shared" si="34"/>
        <v>2</v>
      </c>
      <c r="J356" t="str">
        <f t="shared" ca="1" si="35"/>
        <v/>
      </c>
    </row>
    <row r="357" spans="1:10" ht="18.75" x14ac:dyDescent="0.25">
      <c r="A357" s="11" t="s">
        <v>2040</v>
      </c>
      <c r="B357">
        <f>IFERROR(COUNTIFS($A$1:A357,"Câu "&amp;"*")-MID(A357,5,FIND(".",A357,1)-5),0)</f>
        <v>0</v>
      </c>
      <c r="C357" t="b">
        <v>0</v>
      </c>
      <c r="E357" t="str">
        <f t="shared" si="30"/>
        <v>3</v>
      </c>
      <c r="F357" t="str">
        <f t="shared" si="31"/>
        <v>Câu 88.</v>
      </c>
      <c r="G357" t="str">
        <f t="shared" si="32"/>
        <v>1</v>
      </c>
      <c r="H357" t="str">
        <f t="shared" si="33"/>
        <v>2</v>
      </c>
      <c r="I357" t="str">
        <f t="shared" si="34"/>
        <v>3</v>
      </c>
      <c r="J357" t="str">
        <f t="shared" ca="1" si="35"/>
        <v/>
      </c>
    </row>
    <row r="358" spans="1:10" ht="18.75" x14ac:dyDescent="0.25">
      <c r="A358" s="10" t="s">
        <v>320</v>
      </c>
      <c r="B358">
        <f>IFERROR(COUNTIFS($A$1:A358,"Câu "&amp;"*")-MID(A358,5,FIND(".",A358,1)-5),0)</f>
        <v>0</v>
      </c>
      <c r="C358" t="b">
        <v>0</v>
      </c>
      <c r="E358" t="str">
        <f t="shared" si="30"/>
        <v>Câu 88.</v>
      </c>
      <c r="F358" t="str">
        <f t="shared" si="31"/>
        <v>1</v>
      </c>
      <c r="G358" t="str">
        <f t="shared" si="32"/>
        <v>2</v>
      </c>
      <c r="H358" t="str">
        <f t="shared" si="33"/>
        <v>3</v>
      </c>
      <c r="I358" t="str">
        <f t="shared" si="34"/>
        <v>4</v>
      </c>
      <c r="J358" t="str">
        <f t="shared" ca="1" si="35"/>
        <v>4</v>
      </c>
    </row>
    <row r="359" spans="1:10" ht="18.75" x14ac:dyDescent="0.25">
      <c r="A359" s="11" t="s">
        <v>2041</v>
      </c>
      <c r="B359">
        <f>IFERROR(COUNTIFS($A$1:A359,"Câu "&amp;"*")-MID(A359,5,FIND(".",A359,1)-5),0)</f>
        <v>0</v>
      </c>
      <c r="C359" t="b">
        <v>0</v>
      </c>
      <c r="E359" t="str">
        <f t="shared" si="30"/>
        <v>1</v>
      </c>
      <c r="F359" t="str">
        <f t="shared" si="31"/>
        <v>2</v>
      </c>
      <c r="G359" t="str">
        <f t="shared" si="32"/>
        <v>3</v>
      </c>
      <c r="H359" t="str">
        <f t="shared" si="33"/>
        <v>4</v>
      </c>
      <c r="I359" t="str">
        <f t="shared" si="34"/>
        <v/>
      </c>
      <c r="J359" t="str">
        <f t="shared" ca="1" si="35"/>
        <v/>
      </c>
    </row>
    <row r="360" spans="1:10" ht="18.75" x14ac:dyDescent="0.25">
      <c r="A360" s="11" t="s">
        <v>2042</v>
      </c>
      <c r="B360">
        <f>IFERROR(COUNTIFS($A$1:A360,"Câu "&amp;"*")-MID(A360,5,FIND(".",A360,1)-5),0)</f>
        <v>0</v>
      </c>
      <c r="C360" t="b">
        <v>0</v>
      </c>
      <c r="E360" t="str">
        <f t="shared" si="30"/>
        <v>2</v>
      </c>
      <c r="F360" t="str">
        <f t="shared" si="31"/>
        <v>3</v>
      </c>
      <c r="G360" t="str">
        <f t="shared" si="32"/>
        <v>4</v>
      </c>
      <c r="H360" t="str">
        <f t="shared" si="33"/>
        <v/>
      </c>
      <c r="I360" t="str">
        <f t="shared" si="34"/>
        <v>1</v>
      </c>
      <c r="J360" t="str">
        <f t="shared" ca="1" si="35"/>
        <v/>
      </c>
    </row>
    <row r="361" spans="1:10" ht="18.75" x14ac:dyDescent="0.25">
      <c r="A361" s="11" t="s">
        <v>2043</v>
      </c>
      <c r="B361">
        <f>IFERROR(COUNTIFS($A$1:A361,"Câu "&amp;"*")-MID(A361,5,FIND(".",A361,1)-5),0)</f>
        <v>0</v>
      </c>
      <c r="C361" t="b">
        <v>0</v>
      </c>
      <c r="E361" t="str">
        <f t="shared" si="30"/>
        <v>3</v>
      </c>
      <c r="F361" t="str">
        <f t="shared" si="31"/>
        <v>4</v>
      </c>
      <c r="G361" t="str">
        <f t="shared" si="32"/>
        <v>Câu 89.</v>
      </c>
      <c r="H361" t="str">
        <f t="shared" si="33"/>
        <v>1</v>
      </c>
      <c r="I361" t="str">
        <f t="shared" si="34"/>
        <v>2</v>
      </c>
      <c r="J361" t="str">
        <f t="shared" ca="1" si="35"/>
        <v/>
      </c>
    </row>
    <row r="362" spans="1:10" ht="18.75" x14ac:dyDescent="0.25">
      <c r="A362" s="11" t="s">
        <v>1865</v>
      </c>
      <c r="B362">
        <f>IFERROR(COUNTIFS($A$1:A362,"Câu "&amp;"*")-MID(A362,5,FIND(".",A362,1)-5),0)</f>
        <v>0</v>
      </c>
      <c r="C362" t="b">
        <v>1</v>
      </c>
      <c r="E362" t="str">
        <f t="shared" si="30"/>
        <v>4</v>
      </c>
      <c r="F362" t="str">
        <f t="shared" si="31"/>
        <v>Câu 89.</v>
      </c>
      <c r="G362" t="str">
        <f t="shared" si="32"/>
        <v>1</v>
      </c>
      <c r="H362" t="str">
        <f t="shared" si="33"/>
        <v>2</v>
      </c>
      <c r="I362" t="str">
        <f t="shared" si="34"/>
        <v>3</v>
      </c>
      <c r="J362" t="str">
        <f t="shared" ca="1" si="35"/>
        <v/>
      </c>
    </row>
    <row r="363" spans="1:10" ht="18.75" x14ac:dyDescent="0.25">
      <c r="A363" s="10" t="s">
        <v>324</v>
      </c>
      <c r="B363">
        <f>IFERROR(COUNTIFS($A$1:A363,"Câu "&amp;"*")-MID(A363,5,FIND(".",A363,1)-5),0)</f>
        <v>0</v>
      </c>
      <c r="C363" t="b">
        <v>0</v>
      </c>
      <c r="E363" t="str">
        <f t="shared" si="30"/>
        <v>Câu 89.</v>
      </c>
      <c r="F363" t="str">
        <f t="shared" si="31"/>
        <v>1</v>
      </c>
      <c r="G363" t="str">
        <f t="shared" si="32"/>
        <v>2</v>
      </c>
      <c r="H363" t="str">
        <f t="shared" si="33"/>
        <v>3</v>
      </c>
      <c r="I363" t="str">
        <f t="shared" si="34"/>
        <v/>
      </c>
      <c r="J363" t="str">
        <f t="shared" ca="1" si="35"/>
        <v>2</v>
      </c>
    </row>
    <row r="364" spans="1:10" ht="18.75" x14ac:dyDescent="0.25">
      <c r="A364" s="11" t="s">
        <v>2044</v>
      </c>
      <c r="B364">
        <f>IFERROR(COUNTIFS($A$1:A364,"Câu "&amp;"*")-MID(A364,5,FIND(".",A364,1)-5),0)</f>
        <v>0</v>
      </c>
      <c r="C364" t="b">
        <v>0</v>
      </c>
      <c r="E364" t="str">
        <f t="shared" si="30"/>
        <v>1</v>
      </c>
      <c r="F364" t="str">
        <f t="shared" si="31"/>
        <v>2</v>
      </c>
      <c r="G364" t="str">
        <f t="shared" si="32"/>
        <v>3</v>
      </c>
      <c r="H364" t="str">
        <f t="shared" si="33"/>
        <v/>
      </c>
      <c r="I364" t="str">
        <f t="shared" si="34"/>
        <v>1</v>
      </c>
      <c r="J364" t="str">
        <f t="shared" ca="1" si="35"/>
        <v/>
      </c>
    </row>
    <row r="365" spans="1:10" ht="18.75" x14ac:dyDescent="0.25">
      <c r="A365" s="11" t="s">
        <v>2045</v>
      </c>
      <c r="B365">
        <f>IFERROR(COUNTIFS($A$1:A365,"Câu "&amp;"*")-MID(A365,5,FIND(".",A365,1)-5),0)</f>
        <v>0</v>
      </c>
      <c r="C365" t="b">
        <v>1</v>
      </c>
      <c r="E365" t="str">
        <f t="shared" si="30"/>
        <v>2</v>
      </c>
      <c r="F365" t="str">
        <f t="shared" si="31"/>
        <v>3</v>
      </c>
      <c r="G365" t="str">
        <f t="shared" si="32"/>
        <v>Câu 90.</v>
      </c>
      <c r="H365" t="str">
        <f t="shared" si="33"/>
        <v>1</v>
      </c>
      <c r="I365" t="str">
        <f t="shared" si="34"/>
        <v>2</v>
      </c>
      <c r="J365" t="str">
        <f t="shared" ca="1" si="35"/>
        <v/>
      </c>
    </row>
    <row r="366" spans="1:10" ht="18.75" x14ac:dyDescent="0.25">
      <c r="A366" s="11" t="s">
        <v>2046</v>
      </c>
      <c r="B366">
        <f>IFERROR(COUNTIFS($A$1:A366,"Câu "&amp;"*")-MID(A366,5,FIND(".",A366,1)-5),0)</f>
        <v>0</v>
      </c>
      <c r="C366" t="b">
        <v>0</v>
      </c>
      <c r="E366" t="str">
        <f t="shared" si="30"/>
        <v>3</v>
      </c>
      <c r="F366" t="str">
        <f t="shared" si="31"/>
        <v>Câu 90.</v>
      </c>
      <c r="G366" t="str">
        <f t="shared" si="32"/>
        <v>1</v>
      </c>
      <c r="H366" t="str">
        <f t="shared" si="33"/>
        <v>2</v>
      </c>
      <c r="I366" t="str">
        <f t="shared" si="34"/>
        <v>3</v>
      </c>
      <c r="J366" t="str">
        <f t="shared" ca="1" si="35"/>
        <v/>
      </c>
    </row>
    <row r="367" spans="1:10" ht="18.75" x14ac:dyDescent="0.25">
      <c r="A367" s="10" t="s">
        <v>328</v>
      </c>
      <c r="B367">
        <f>IFERROR(COUNTIFS($A$1:A367,"Câu "&amp;"*")-MID(A367,5,FIND(".",A367,1)-5),0)</f>
        <v>0</v>
      </c>
      <c r="C367" t="b">
        <v>0</v>
      </c>
      <c r="E367" t="str">
        <f t="shared" si="30"/>
        <v>Câu 90.</v>
      </c>
      <c r="F367" t="str">
        <f t="shared" si="31"/>
        <v>1</v>
      </c>
      <c r="G367" t="str">
        <f t="shared" si="32"/>
        <v>2</v>
      </c>
      <c r="H367" t="str">
        <f t="shared" si="33"/>
        <v>3</v>
      </c>
      <c r="I367" t="str">
        <f t="shared" si="34"/>
        <v/>
      </c>
      <c r="J367" t="str">
        <f t="shared" ca="1" si="35"/>
        <v>1</v>
      </c>
    </row>
    <row r="368" spans="1:10" ht="18.75" x14ac:dyDescent="0.25">
      <c r="A368" s="11" t="s">
        <v>2047</v>
      </c>
      <c r="B368">
        <f>IFERROR(COUNTIFS($A$1:A368,"Câu "&amp;"*")-MID(A368,5,FIND(".",A368,1)-5),0)</f>
        <v>0</v>
      </c>
      <c r="C368" t="b">
        <v>1</v>
      </c>
      <c r="E368" t="str">
        <f t="shared" si="30"/>
        <v>1</v>
      </c>
      <c r="F368" t="str">
        <f t="shared" si="31"/>
        <v>2</v>
      </c>
      <c r="G368" t="str">
        <f t="shared" si="32"/>
        <v>3</v>
      </c>
      <c r="H368" t="str">
        <f t="shared" si="33"/>
        <v/>
      </c>
      <c r="I368" t="str">
        <f t="shared" si="34"/>
        <v>1</v>
      </c>
      <c r="J368" t="str">
        <f t="shared" ca="1" si="35"/>
        <v/>
      </c>
    </row>
    <row r="369" spans="1:10" ht="18.75" x14ac:dyDescent="0.25">
      <c r="A369" s="11" t="s">
        <v>2048</v>
      </c>
      <c r="B369">
        <f>IFERROR(COUNTIFS($A$1:A369,"Câu "&amp;"*")-MID(A369,5,FIND(".",A369,1)-5),0)</f>
        <v>0</v>
      </c>
      <c r="C369" t="b">
        <v>0</v>
      </c>
      <c r="E369" t="str">
        <f t="shared" si="30"/>
        <v>2</v>
      </c>
      <c r="F369" t="str">
        <f t="shared" si="31"/>
        <v>3</v>
      </c>
      <c r="G369" t="str">
        <f t="shared" si="32"/>
        <v>Câu 91.</v>
      </c>
      <c r="H369" t="str">
        <f t="shared" si="33"/>
        <v>1</v>
      </c>
      <c r="I369" t="str">
        <f t="shared" si="34"/>
        <v>2</v>
      </c>
      <c r="J369" t="str">
        <f t="shared" ca="1" si="35"/>
        <v/>
      </c>
    </row>
    <row r="370" spans="1:10" ht="18.75" x14ac:dyDescent="0.25">
      <c r="A370" s="11" t="s">
        <v>2049</v>
      </c>
      <c r="B370">
        <f>IFERROR(COUNTIFS($A$1:A370,"Câu "&amp;"*")-MID(A370,5,FIND(".",A370,1)-5),0)</f>
        <v>0</v>
      </c>
      <c r="C370" t="b">
        <v>0</v>
      </c>
      <c r="E370" t="str">
        <f t="shared" si="30"/>
        <v>3</v>
      </c>
      <c r="F370" t="str">
        <f t="shared" si="31"/>
        <v>Câu 91.</v>
      </c>
      <c r="G370" t="str">
        <f t="shared" si="32"/>
        <v>1</v>
      </c>
      <c r="H370" t="str">
        <f t="shared" si="33"/>
        <v>2</v>
      </c>
      <c r="I370" t="str">
        <f t="shared" si="34"/>
        <v>3</v>
      </c>
      <c r="J370" t="str">
        <f t="shared" ca="1" si="35"/>
        <v/>
      </c>
    </row>
    <row r="371" spans="1:10" ht="409.5" x14ac:dyDescent="0.25">
      <c r="A371" s="4" t="s">
        <v>332</v>
      </c>
      <c r="B371">
        <f>IFERROR(COUNTIFS($A$1:A371,"Câu "&amp;"*")-MID(A371,5,FIND(".",A371,1)-5),0)</f>
        <v>0</v>
      </c>
      <c r="C371" t="b">
        <v>0</v>
      </c>
      <c r="E371" t="str">
        <f t="shared" si="30"/>
        <v>Câu 91.</v>
      </c>
      <c r="F371" t="str">
        <f t="shared" si="31"/>
        <v>1</v>
      </c>
      <c r="G371" t="str">
        <f t="shared" si="32"/>
        <v>2</v>
      </c>
      <c r="H371" t="str">
        <f t="shared" si="33"/>
        <v>3</v>
      </c>
      <c r="I371" t="str">
        <f t="shared" si="34"/>
        <v/>
      </c>
      <c r="J371" t="str">
        <f t="shared" ca="1" si="35"/>
        <v>3</v>
      </c>
    </row>
    <row r="372" spans="1:10" ht="18.75" x14ac:dyDescent="0.25">
      <c r="A372" s="11" t="s">
        <v>2050</v>
      </c>
      <c r="B372">
        <f>IFERROR(COUNTIFS($A$1:A372,"Câu "&amp;"*")-MID(A372,5,FIND(".",A372,1)-5),0)</f>
        <v>0</v>
      </c>
      <c r="C372" t="b">
        <v>0</v>
      </c>
      <c r="E372" t="str">
        <f t="shared" si="30"/>
        <v>1</v>
      </c>
      <c r="F372" t="str">
        <f t="shared" si="31"/>
        <v>2</v>
      </c>
      <c r="G372" t="str">
        <f t="shared" si="32"/>
        <v>3</v>
      </c>
      <c r="H372" t="str">
        <f t="shared" si="33"/>
        <v/>
      </c>
      <c r="I372" t="str">
        <f t="shared" si="34"/>
        <v>1</v>
      </c>
      <c r="J372" t="str">
        <f t="shared" ca="1" si="35"/>
        <v/>
      </c>
    </row>
    <row r="373" spans="1:10" ht="18.75" x14ac:dyDescent="0.25">
      <c r="A373" s="11" t="s">
        <v>2051</v>
      </c>
      <c r="B373">
        <f>IFERROR(COUNTIFS($A$1:A373,"Câu "&amp;"*")-MID(A373,5,FIND(".",A373,1)-5),0)</f>
        <v>0</v>
      </c>
      <c r="C373" t="b">
        <v>0</v>
      </c>
      <c r="E373" t="str">
        <f t="shared" si="30"/>
        <v>2</v>
      </c>
      <c r="F373" t="str">
        <f t="shared" si="31"/>
        <v>3</v>
      </c>
      <c r="G373" t="str">
        <f t="shared" si="32"/>
        <v>Câu 92.</v>
      </c>
      <c r="H373" t="str">
        <f t="shared" si="33"/>
        <v>1</v>
      </c>
      <c r="I373" t="str">
        <f t="shared" si="34"/>
        <v>2</v>
      </c>
      <c r="J373" t="str">
        <f t="shared" ca="1" si="35"/>
        <v/>
      </c>
    </row>
    <row r="374" spans="1:10" ht="18.75" x14ac:dyDescent="0.25">
      <c r="A374" s="11" t="s">
        <v>2052</v>
      </c>
      <c r="B374">
        <f>IFERROR(COUNTIFS($A$1:A374,"Câu "&amp;"*")-MID(A374,5,FIND(".",A374,1)-5),0)</f>
        <v>0</v>
      </c>
      <c r="C374" t="b">
        <v>1</v>
      </c>
      <c r="E374" t="str">
        <f t="shared" si="30"/>
        <v>3</v>
      </c>
      <c r="F374" t="str">
        <f t="shared" si="31"/>
        <v>Câu 92.</v>
      </c>
      <c r="G374" t="str">
        <f t="shared" si="32"/>
        <v>1</v>
      </c>
      <c r="H374" t="str">
        <f t="shared" si="33"/>
        <v>2</v>
      </c>
      <c r="I374" t="str">
        <f t="shared" si="34"/>
        <v>3</v>
      </c>
      <c r="J374" t="str">
        <f t="shared" ca="1" si="35"/>
        <v/>
      </c>
    </row>
    <row r="375" spans="1:10" ht="18.75" x14ac:dyDescent="0.25">
      <c r="A375" s="10" t="s">
        <v>336</v>
      </c>
      <c r="B375">
        <f>IFERROR(COUNTIFS($A$1:A375,"Câu "&amp;"*")-MID(A375,5,FIND(".",A375,1)-5),0)</f>
        <v>0</v>
      </c>
      <c r="C375" t="b">
        <v>0</v>
      </c>
      <c r="E375" t="str">
        <f t="shared" si="30"/>
        <v>Câu 92.</v>
      </c>
      <c r="F375" t="str">
        <f t="shared" si="31"/>
        <v>1</v>
      </c>
      <c r="G375" t="str">
        <f t="shared" si="32"/>
        <v>2</v>
      </c>
      <c r="H375" t="str">
        <f t="shared" si="33"/>
        <v>3</v>
      </c>
      <c r="I375" t="str">
        <f t="shared" si="34"/>
        <v/>
      </c>
      <c r="J375" t="str">
        <f t="shared" ca="1" si="35"/>
        <v>2</v>
      </c>
    </row>
    <row r="376" spans="1:10" ht="18.75" x14ac:dyDescent="0.25">
      <c r="A376" s="11" t="s">
        <v>2053</v>
      </c>
      <c r="B376">
        <f>IFERROR(COUNTIFS($A$1:A376,"Câu "&amp;"*")-MID(A376,5,FIND(".",A376,1)-5),0)</f>
        <v>0</v>
      </c>
      <c r="C376" t="b">
        <v>0</v>
      </c>
      <c r="E376" t="str">
        <f t="shared" si="30"/>
        <v>1</v>
      </c>
      <c r="F376" t="str">
        <f t="shared" si="31"/>
        <v>2</v>
      </c>
      <c r="G376" t="str">
        <f t="shared" si="32"/>
        <v>3</v>
      </c>
      <c r="H376" t="str">
        <f t="shared" si="33"/>
        <v/>
      </c>
      <c r="I376" t="str">
        <f t="shared" si="34"/>
        <v>1</v>
      </c>
      <c r="J376" t="str">
        <f t="shared" ca="1" si="35"/>
        <v/>
      </c>
    </row>
    <row r="377" spans="1:10" ht="18.75" x14ac:dyDescent="0.25">
      <c r="A377" s="11" t="s">
        <v>2054</v>
      </c>
      <c r="B377">
        <f>IFERROR(COUNTIFS($A$1:A377,"Câu "&amp;"*")-MID(A377,5,FIND(".",A377,1)-5),0)</f>
        <v>0</v>
      </c>
      <c r="C377" t="b">
        <v>1</v>
      </c>
      <c r="E377" t="str">
        <f t="shared" si="30"/>
        <v>2</v>
      </c>
      <c r="F377" t="str">
        <f t="shared" si="31"/>
        <v>3</v>
      </c>
      <c r="G377" t="str">
        <f t="shared" si="32"/>
        <v>Câu 93.</v>
      </c>
      <c r="H377" t="str">
        <f t="shared" si="33"/>
        <v>1</v>
      </c>
      <c r="I377" t="str">
        <f t="shared" si="34"/>
        <v>2</v>
      </c>
      <c r="J377" t="str">
        <f t="shared" ca="1" si="35"/>
        <v/>
      </c>
    </row>
    <row r="378" spans="1:10" ht="18.75" x14ac:dyDescent="0.25">
      <c r="A378" s="11" t="s">
        <v>2055</v>
      </c>
      <c r="B378">
        <f>IFERROR(COUNTIFS($A$1:A378,"Câu "&amp;"*")-MID(A378,5,FIND(".",A378,1)-5),0)</f>
        <v>0</v>
      </c>
      <c r="C378" t="b">
        <v>0</v>
      </c>
      <c r="E378" t="str">
        <f t="shared" si="30"/>
        <v>3</v>
      </c>
      <c r="F378" t="str">
        <f t="shared" si="31"/>
        <v>Câu 93.</v>
      </c>
      <c r="G378" t="str">
        <f t="shared" si="32"/>
        <v>1</v>
      </c>
      <c r="H378" t="str">
        <f t="shared" si="33"/>
        <v>2</v>
      </c>
      <c r="I378" t="str">
        <f t="shared" si="34"/>
        <v>3</v>
      </c>
      <c r="J378" t="str">
        <f t="shared" ca="1" si="35"/>
        <v/>
      </c>
    </row>
    <row r="379" spans="1:10" ht="409.5" x14ac:dyDescent="0.25">
      <c r="A379" s="4" t="s">
        <v>340</v>
      </c>
      <c r="B379">
        <f>IFERROR(COUNTIFS($A$1:A379,"Câu "&amp;"*")-MID(A379,5,FIND(".",A379,1)-5),0)</f>
        <v>0</v>
      </c>
      <c r="C379" t="b">
        <v>0</v>
      </c>
      <c r="E379" t="str">
        <f t="shared" si="30"/>
        <v>Câu 93.</v>
      </c>
      <c r="F379" t="str">
        <f t="shared" si="31"/>
        <v>1</v>
      </c>
      <c r="G379" t="str">
        <f t="shared" si="32"/>
        <v>2</v>
      </c>
      <c r="H379" t="str">
        <f t="shared" si="33"/>
        <v>3</v>
      </c>
      <c r="I379" t="str">
        <f t="shared" si="34"/>
        <v/>
      </c>
      <c r="J379" t="str">
        <f t="shared" ca="1" si="35"/>
        <v>1</v>
      </c>
    </row>
    <row r="380" spans="1:10" ht="112.5" x14ac:dyDescent="0.25">
      <c r="A380" s="3" t="s">
        <v>2056</v>
      </c>
      <c r="B380">
        <f>IFERROR(COUNTIFS($A$1:A380,"Câu "&amp;"*")-MID(A380,5,FIND(".",A380,1)-5),0)</f>
        <v>0</v>
      </c>
      <c r="C380" t="b">
        <v>1</v>
      </c>
      <c r="E380" t="str">
        <f t="shared" si="30"/>
        <v>1</v>
      </c>
      <c r="F380" t="str">
        <f t="shared" si="31"/>
        <v>2</v>
      </c>
      <c r="G380" t="str">
        <f t="shared" si="32"/>
        <v>3</v>
      </c>
      <c r="H380" t="str">
        <f t="shared" si="33"/>
        <v/>
      </c>
      <c r="I380" t="str">
        <f t="shared" si="34"/>
        <v>1</v>
      </c>
      <c r="J380" t="str">
        <f t="shared" ca="1" si="35"/>
        <v/>
      </c>
    </row>
    <row r="381" spans="1:10" ht="131.25" x14ac:dyDescent="0.25">
      <c r="A381" s="3" t="s">
        <v>2057</v>
      </c>
      <c r="B381">
        <f>IFERROR(COUNTIFS($A$1:A381,"Câu "&amp;"*")-MID(A381,5,FIND(".",A381,1)-5),0)</f>
        <v>0</v>
      </c>
      <c r="C381" t="b">
        <v>0</v>
      </c>
      <c r="E381" t="str">
        <f t="shared" si="30"/>
        <v>2</v>
      </c>
      <c r="F381" t="str">
        <f t="shared" si="31"/>
        <v>3</v>
      </c>
      <c r="G381" t="str">
        <f t="shared" si="32"/>
        <v>Câu 94.</v>
      </c>
      <c r="H381" t="str">
        <f t="shared" si="33"/>
        <v>1</v>
      </c>
      <c r="I381" t="str">
        <f t="shared" si="34"/>
        <v>2</v>
      </c>
      <c r="J381" t="str">
        <f t="shared" ca="1" si="35"/>
        <v/>
      </c>
    </row>
    <row r="382" spans="1:10" ht="112.5" x14ac:dyDescent="0.25">
      <c r="A382" s="3" t="s">
        <v>2058</v>
      </c>
      <c r="B382">
        <f>IFERROR(COUNTIFS($A$1:A382,"Câu "&amp;"*")-MID(A382,5,FIND(".",A382,1)-5),0)</f>
        <v>0</v>
      </c>
      <c r="C382" t="b">
        <v>0</v>
      </c>
      <c r="E382" t="str">
        <f t="shared" si="30"/>
        <v>3</v>
      </c>
      <c r="F382" t="str">
        <f t="shared" si="31"/>
        <v>Câu 94.</v>
      </c>
      <c r="G382" t="str">
        <f t="shared" si="32"/>
        <v>1</v>
      </c>
      <c r="H382" t="str">
        <f t="shared" si="33"/>
        <v>2</v>
      </c>
      <c r="I382" t="str">
        <f t="shared" si="34"/>
        <v>3</v>
      </c>
      <c r="J382" t="str">
        <f t="shared" ca="1" si="35"/>
        <v/>
      </c>
    </row>
    <row r="383" spans="1:10" ht="393.75" x14ac:dyDescent="0.25">
      <c r="A383" s="4" t="s">
        <v>2059</v>
      </c>
      <c r="B383">
        <f>IFERROR(COUNTIFS($A$1:A383,"Câu "&amp;"*")-MID(A383,5,FIND(".",A383,1)-5),0)</f>
        <v>0</v>
      </c>
      <c r="C383" t="b">
        <v>0</v>
      </c>
      <c r="E383" t="str">
        <f t="shared" si="30"/>
        <v>Câu 94.</v>
      </c>
      <c r="F383" t="str">
        <f t="shared" si="31"/>
        <v>1</v>
      </c>
      <c r="G383" t="str">
        <f t="shared" si="32"/>
        <v>2</v>
      </c>
      <c r="H383" t="str">
        <f t="shared" si="33"/>
        <v>3</v>
      </c>
      <c r="I383" t="str">
        <f t="shared" si="34"/>
        <v/>
      </c>
      <c r="J383" t="str">
        <f t="shared" ca="1" si="35"/>
        <v>2</v>
      </c>
    </row>
    <row r="384" spans="1:10" ht="409.5" x14ac:dyDescent="0.25">
      <c r="A384" s="3" t="s">
        <v>2060</v>
      </c>
      <c r="B384">
        <f>IFERROR(COUNTIFS($A$1:A384,"Câu "&amp;"*")-MID(A384,5,FIND(".",A384,1)-5),0)</f>
        <v>0</v>
      </c>
      <c r="C384" t="b">
        <v>0</v>
      </c>
      <c r="E384" t="str">
        <f t="shared" si="30"/>
        <v>1</v>
      </c>
      <c r="F384" t="str">
        <f t="shared" si="31"/>
        <v>2</v>
      </c>
      <c r="G384" t="str">
        <f t="shared" si="32"/>
        <v>3</v>
      </c>
      <c r="H384" t="str">
        <f t="shared" si="33"/>
        <v/>
      </c>
      <c r="I384" t="str">
        <f t="shared" si="34"/>
        <v>1</v>
      </c>
      <c r="J384" t="str">
        <f t="shared" ca="1" si="35"/>
        <v/>
      </c>
    </row>
    <row r="385" spans="1:10" ht="409.5" x14ac:dyDescent="0.25">
      <c r="A385" s="3" t="s">
        <v>2061</v>
      </c>
      <c r="B385">
        <f>IFERROR(COUNTIFS($A$1:A385,"Câu "&amp;"*")-MID(A385,5,FIND(".",A385,1)-5),0)</f>
        <v>0</v>
      </c>
      <c r="C385" t="b">
        <v>1</v>
      </c>
      <c r="E385" t="str">
        <f t="shared" si="30"/>
        <v>2</v>
      </c>
      <c r="F385" t="str">
        <f t="shared" si="31"/>
        <v>3</v>
      </c>
      <c r="G385" t="str">
        <f t="shared" si="32"/>
        <v>Câu 95.</v>
      </c>
      <c r="H385" t="str">
        <f t="shared" si="33"/>
        <v>1</v>
      </c>
      <c r="I385" t="str">
        <f t="shared" si="34"/>
        <v>2</v>
      </c>
      <c r="J385" t="str">
        <f t="shared" ca="1" si="35"/>
        <v/>
      </c>
    </row>
    <row r="386" spans="1:10" ht="243.75" x14ac:dyDescent="0.25">
      <c r="A386" s="3" t="s">
        <v>2062</v>
      </c>
      <c r="B386">
        <f>IFERROR(COUNTIFS($A$1:A386,"Câu "&amp;"*")-MID(A386,5,FIND(".",A386,1)-5),0)</f>
        <v>0</v>
      </c>
      <c r="C386" t="b">
        <v>0</v>
      </c>
      <c r="E386" t="str">
        <f t="shared" si="30"/>
        <v>3</v>
      </c>
      <c r="F386" t="str">
        <f t="shared" si="31"/>
        <v>Câu 95.</v>
      </c>
      <c r="G386" t="str">
        <f t="shared" si="32"/>
        <v>1</v>
      </c>
      <c r="H386" t="str">
        <f t="shared" si="33"/>
        <v>2</v>
      </c>
      <c r="I386" t="str">
        <f t="shared" si="34"/>
        <v>3</v>
      </c>
      <c r="J386" t="str">
        <f t="shared" ca="1" si="35"/>
        <v/>
      </c>
    </row>
    <row r="387" spans="1:10" ht="337.5" x14ac:dyDescent="0.25">
      <c r="A387" s="4" t="s">
        <v>348</v>
      </c>
      <c r="B387">
        <f>IFERROR(COUNTIFS($A$1:A387,"Câu "&amp;"*")-MID(A387,5,FIND(".",A387,1)-5),0)</f>
        <v>0</v>
      </c>
      <c r="C387" t="b">
        <v>0</v>
      </c>
      <c r="E387" t="str">
        <f t="shared" ref="E387:E450" si="36">IF(LEFT(A387,3)="Câu",LEFT(A387,FIND(".",A387,1)),LEFT(A387,1))</f>
        <v>Câu 95.</v>
      </c>
      <c r="F387" t="str">
        <f t="shared" ref="F387:F450" si="37">IF(LEFT(A388,3)="Câu",LEFT(A388,FIND(".",A388,1)),LEFT(A388,1))</f>
        <v>1</v>
      </c>
      <c r="G387" t="str">
        <f t="shared" ref="G387:G450" si="38">IF(LEFT(A389,3)="Câu",LEFT(A389,FIND(".",A389,1)),LEFT(A389,1))</f>
        <v>2</v>
      </c>
      <c r="H387" t="str">
        <f t="shared" ref="H387:H450" si="39">IF(LEFT(A390,3)="Câu","",LEFT(A390,1))</f>
        <v>3</v>
      </c>
      <c r="I387" t="str">
        <f t="shared" ref="I387:I450" si="40">IF(LEFT(A391,3)="Câu","",LEFT(A391,1))</f>
        <v>4</v>
      </c>
      <c r="J387" t="str">
        <f t="shared" ref="J387:J450" ca="1" si="41">IFERROR(VLOOKUP(TRUE,INDIRECT("C"&amp;MATCH(E387,$E$1:$E$2471,0)&amp;":E"&amp;MATCH("Câu "&amp;VALUE(MID(E387,5,LEN(E387)-5))+1&amp;".",$E$1:$E$2471,0)),3,0),"")</f>
        <v>4</v>
      </c>
    </row>
    <row r="388" spans="1:10" ht="18.75" x14ac:dyDescent="0.25">
      <c r="A388" s="11" t="s">
        <v>2063</v>
      </c>
      <c r="B388">
        <f>IFERROR(COUNTIFS($A$1:A388,"Câu "&amp;"*")-MID(A388,5,FIND(".",A388,1)-5),0)</f>
        <v>0</v>
      </c>
      <c r="C388" t="b">
        <v>0</v>
      </c>
      <c r="E388" t="str">
        <f t="shared" si="36"/>
        <v>1</v>
      </c>
      <c r="F388" t="str">
        <f t="shared" si="37"/>
        <v>2</v>
      </c>
      <c r="G388" t="str">
        <f t="shared" si="38"/>
        <v>3</v>
      </c>
      <c r="H388" t="str">
        <f t="shared" si="39"/>
        <v>4</v>
      </c>
      <c r="I388" t="str">
        <f t="shared" si="40"/>
        <v/>
      </c>
      <c r="J388" t="str">
        <f t="shared" ca="1" si="41"/>
        <v/>
      </c>
    </row>
    <row r="389" spans="1:10" ht="18.75" x14ac:dyDescent="0.25">
      <c r="A389" s="11" t="s">
        <v>2064</v>
      </c>
      <c r="B389">
        <f>IFERROR(COUNTIFS($A$1:A389,"Câu "&amp;"*")-MID(A389,5,FIND(".",A389,1)-5),0)</f>
        <v>0</v>
      </c>
      <c r="C389" t="b">
        <v>0</v>
      </c>
      <c r="E389" t="str">
        <f t="shared" si="36"/>
        <v>2</v>
      </c>
      <c r="F389" t="str">
        <f t="shared" si="37"/>
        <v>3</v>
      </c>
      <c r="G389" t="str">
        <f t="shared" si="38"/>
        <v>4</v>
      </c>
      <c r="H389" t="str">
        <f t="shared" si="39"/>
        <v/>
      </c>
      <c r="I389" t="str">
        <f t="shared" si="40"/>
        <v>1</v>
      </c>
      <c r="J389" t="str">
        <f t="shared" ca="1" si="41"/>
        <v/>
      </c>
    </row>
    <row r="390" spans="1:10" ht="18.75" x14ac:dyDescent="0.25">
      <c r="A390" s="11" t="s">
        <v>2065</v>
      </c>
      <c r="B390">
        <f>IFERROR(COUNTIFS($A$1:A390,"Câu "&amp;"*")-MID(A390,5,FIND(".",A390,1)-5),0)</f>
        <v>0</v>
      </c>
      <c r="C390" t="b">
        <v>0</v>
      </c>
      <c r="E390" t="str">
        <f t="shared" si="36"/>
        <v>3</v>
      </c>
      <c r="F390" t="str">
        <f t="shared" si="37"/>
        <v>4</v>
      </c>
      <c r="G390" t="str">
        <f t="shared" si="38"/>
        <v>Câu 96.</v>
      </c>
      <c r="H390" t="str">
        <f t="shared" si="39"/>
        <v>1</v>
      </c>
      <c r="I390" t="str">
        <f t="shared" si="40"/>
        <v>2</v>
      </c>
      <c r="J390" t="str">
        <f t="shared" ca="1" si="41"/>
        <v/>
      </c>
    </row>
    <row r="391" spans="1:10" ht="18.75" x14ac:dyDescent="0.25">
      <c r="A391" s="11" t="s">
        <v>1865</v>
      </c>
      <c r="B391">
        <f>IFERROR(COUNTIFS($A$1:A391,"Câu "&amp;"*")-MID(A391,5,FIND(".",A391,1)-5),0)</f>
        <v>0</v>
      </c>
      <c r="C391" t="b">
        <v>1</v>
      </c>
      <c r="E391" t="str">
        <f t="shared" si="36"/>
        <v>4</v>
      </c>
      <c r="F391" t="str">
        <f t="shared" si="37"/>
        <v>Câu 96.</v>
      </c>
      <c r="G391" t="str">
        <f t="shared" si="38"/>
        <v>1</v>
      </c>
      <c r="H391" t="str">
        <f t="shared" si="39"/>
        <v>2</v>
      </c>
      <c r="I391" t="str">
        <f t="shared" si="40"/>
        <v>3</v>
      </c>
      <c r="J391" t="str">
        <f t="shared" ca="1" si="41"/>
        <v/>
      </c>
    </row>
    <row r="392" spans="1:10" ht="18.75" x14ac:dyDescent="0.25">
      <c r="A392" s="10" t="s">
        <v>352</v>
      </c>
      <c r="B392">
        <f>IFERROR(COUNTIFS($A$1:A392,"Câu "&amp;"*")-MID(A392,5,FIND(".",A392,1)-5),0)</f>
        <v>0</v>
      </c>
      <c r="C392" t="b">
        <v>0</v>
      </c>
      <c r="E392" t="str">
        <f t="shared" si="36"/>
        <v>Câu 96.</v>
      </c>
      <c r="F392" t="str">
        <f t="shared" si="37"/>
        <v>1</v>
      </c>
      <c r="G392" t="str">
        <f t="shared" si="38"/>
        <v>2</v>
      </c>
      <c r="H392" t="str">
        <f t="shared" si="39"/>
        <v>3</v>
      </c>
      <c r="I392" t="str">
        <f t="shared" si="40"/>
        <v/>
      </c>
      <c r="J392" t="str">
        <f t="shared" ca="1" si="41"/>
        <v>1</v>
      </c>
    </row>
    <row r="393" spans="1:10" ht="18.75" x14ac:dyDescent="0.25">
      <c r="A393" s="11" t="s">
        <v>2066</v>
      </c>
      <c r="B393">
        <f>IFERROR(COUNTIFS($A$1:A393,"Câu "&amp;"*")-MID(A393,5,FIND(".",A393,1)-5),0)</f>
        <v>0</v>
      </c>
      <c r="C393" t="b">
        <v>1</v>
      </c>
      <c r="E393" t="str">
        <f t="shared" si="36"/>
        <v>1</v>
      </c>
      <c r="F393" t="str">
        <f t="shared" si="37"/>
        <v>2</v>
      </c>
      <c r="G393" t="str">
        <f t="shared" si="38"/>
        <v>3</v>
      </c>
      <c r="H393" t="str">
        <f t="shared" si="39"/>
        <v/>
      </c>
      <c r="I393" t="str">
        <f t="shared" si="40"/>
        <v>1</v>
      </c>
      <c r="J393" t="str">
        <f t="shared" ca="1" si="41"/>
        <v/>
      </c>
    </row>
    <row r="394" spans="1:10" ht="18.75" x14ac:dyDescent="0.25">
      <c r="A394" s="11" t="s">
        <v>2067</v>
      </c>
      <c r="B394">
        <f>IFERROR(COUNTIFS($A$1:A394,"Câu "&amp;"*")-MID(A394,5,FIND(".",A394,1)-5),0)</f>
        <v>0</v>
      </c>
      <c r="C394" t="b">
        <v>0</v>
      </c>
      <c r="E394" t="str">
        <f t="shared" si="36"/>
        <v>2</v>
      </c>
      <c r="F394" t="str">
        <f t="shared" si="37"/>
        <v>3</v>
      </c>
      <c r="G394" t="str">
        <f t="shared" si="38"/>
        <v>Câu 97.</v>
      </c>
      <c r="H394" t="str">
        <f t="shared" si="39"/>
        <v>1</v>
      </c>
      <c r="I394" t="str">
        <f t="shared" si="40"/>
        <v>2</v>
      </c>
      <c r="J394" t="str">
        <f t="shared" ca="1" si="41"/>
        <v/>
      </c>
    </row>
    <row r="395" spans="1:10" ht="18.75" x14ac:dyDescent="0.25">
      <c r="A395" s="11" t="s">
        <v>2068</v>
      </c>
      <c r="B395">
        <f>IFERROR(COUNTIFS($A$1:A395,"Câu "&amp;"*")-MID(A395,5,FIND(".",A395,1)-5),0)</f>
        <v>0</v>
      </c>
      <c r="C395" t="b">
        <v>0</v>
      </c>
      <c r="E395" t="str">
        <f t="shared" si="36"/>
        <v>3</v>
      </c>
      <c r="F395" t="str">
        <f t="shared" si="37"/>
        <v>Câu 97.</v>
      </c>
      <c r="G395" t="str">
        <f t="shared" si="38"/>
        <v>1</v>
      </c>
      <c r="H395" t="str">
        <f t="shared" si="39"/>
        <v>2</v>
      </c>
      <c r="I395" t="str">
        <f t="shared" si="40"/>
        <v>3</v>
      </c>
      <c r="J395" t="str">
        <f t="shared" ca="1" si="41"/>
        <v/>
      </c>
    </row>
    <row r="396" spans="1:10" ht="18.75" x14ac:dyDescent="0.25">
      <c r="A396" s="10" t="s">
        <v>356</v>
      </c>
      <c r="B396">
        <f>IFERROR(COUNTIFS($A$1:A396,"Câu "&amp;"*")-MID(A396,5,FIND(".",A396,1)-5),0)</f>
        <v>0</v>
      </c>
      <c r="C396" t="b">
        <v>0</v>
      </c>
      <c r="E396" t="str">
        <f t="shared" si="36"/>
        <v>Câu 97.</v>
      </c>
      <c r="F396" t="str">
        <f t="shared" si="37"/>
        <v>1</v>
      </c>
      <c r="G396" t="str">
        <f t="shared" si="38"/>
        <v>2</v>
      </c>
      <c r="H396" t="str">
        <f t="shared" si="39"/>
        <v>3</v>
      </c>
      <c r="I396" t="str">
        <f t="shared" si="40"/>
        <v/>
      </c>
      <c r="J396" t="str">
        <f t="shared" ca="1" si="41"/>
        <v>3</v>
      </c>
    </row>
    <row r="397" spans="1:10" ht="18.75" x14ac:dyDescent="0.25">
      <c r="A397" s="11" t="s">
        <v>2069</v>
      </c>
      <c r="B397">
        <f>IFERROR(COUNTIFS($A$1:A397,"Câu "&amp;"*")-MID(A397,5,FIND(".",A397,1)-5),0)</f>
        <v>0</v>
      </c>
      <c r="C397" t="b">
        <v>0</v>
      </c>
      <c r="E397" t="str">
        <f t="shared" si="36"/>
        <v>1</v>
      </c>
      <c r="F397" t="str">
        <f t="shared" si="37"/>
        <v>2</v>
      </c>
      <c r="G397" t="str">
        <f t="shared" si="38"/>
        <v>3</v>
      </c>
      <c r="H397" t="str">
        <f t="shared" si="39"/>
        <v/>
      </c>
      <c r="I397" t="str">
        <f t="shared" si="40"/>
        <v>1</v>
      </c>
      <c r="J397" t="str">
        <f t="shared" ca="1" si="41"/>
        <v/>
      </c>
    </row>
    <row r="398" spans="1:10" ht="18.75" x14ac:dyDescent="0.25">
      <c r="A398" s="11" t="s">
        <v>2070</v>
      </c>
      <c r="B398">
        <f>IFERROR(COUNTIFS($A$1:A398,"Câu "&amp;"*")-MID(A398,5,FIND(".",A398,1)-5),0)</f>
        <v>0</v>
      </c>
      <c r="C398" t="b">
        <v>0</v>
      </c>
      <c r="E398" t="str">
        <f t="shared" si="36"/>
        <v>2</v>
      </c>
      <c r="F398" t="str">
        <f t="shared" si="37"/>
        <v>3</v>
      </c>
      <c r="G398" t="str">
        <f t="shared" si="38"/>
        <v>Câu 98.</v>
      </c>
      <c r="H398" t="str">
        <f t="shared" si="39"/>
        <v>1</v>
      </c>
      <c r="I398" t="str">
        <f t="shared" si="40"/>
        <v>2</v>
      </c>
      <c r="J398" t="str">
        <f t="shared" ca="1" si="41"/>
        <v/>
      </c>
    </row>
    <row r="399" spans="1:10" ht="18.75" x14ac:dyDescent="0.25">
      <c r="A399" s="11" t="s">
        <v>2071</v>
      </c>
      <c r="B399">
        <f>IFERROR(COUNTIFS($A$1:A399,"Câu "&amp;"*")-MID(A399,5,FIND(".",A399,1)-5),0)</f>
        <v>0</v>
      </c>
      <c r="C399" t="b">
        <v>1</v>
      </c>
      <c r="E399" t="str">
        <f t="shared" si="36"/>
        <v>3</v>
      </c>
      <c r="F399" t="str">
        <f t="shared" si="37"/>
        <v>Câu 98.</v>
      </c>
      <c r="G399" t="str">
        <f t="shared" si="38"/>
        <v>1</v>
      </c>
      <c r="H399" t="str">
        <f t="shared" si="39"/>
        <v>2</v>
      </c>
      <c r="I399" t="str">
        <f t="shared" si="40"/>
        <v>3</v>
      </c>
      <c r="J399" t="str">
        <f t="shared" ca="1" si="41"/>
        <v/>
      </c>
    </row>
    <row r="400" spans="1:10" ht="18.75" x14ac:dyDescent="0.25">
      <c r="A400" s="10" t="s">
        <v>360</v>
      </c>
      <c r="B400">
        <f>IFERROR(COUNTIFS($A$1:A400,"Câu "&amp;"*")-MID(A400,5,FIND(".",A400,1)-5),0)</f>
        <v>0</v>
      </c>
      <c r="C400" t="b">
        <v>0</v>
      </c>
      <c r="E400" t="str">
        <f t="shared" si="36"/>
        <v>Câu 98.</v>
      </c>
      <c r="F400" t="str">
        <f t="shared" si="37"/>
        <v>1</v>
      </c>
      <c r="G400" t="str">
        <f t="shared" si="38"/>
        <v>2</v>
      </c>
      <c r="H400" t="str">
        <f t="shared" si="39"/>
        <v>3</v>
      </c>
      <c r="I400" t="str">
        <f t="shared" si="40"/>
        <v>4</v>
      </c>
      <c r="J400" t="str">
        <f t="shared" ca="1" si="41"/>
        <v>1</v>
      </c>
    </row>
    <row r="401" spans="1:10" ht="18.75" x14ac:dyDescent="0.25">
      <c r="A401" s="11" t="s">
        <v>2072</v>
      </c>
      <c r="B401">
        <f>IFERROR(COUNTIFS($A$1:A401,"Câu "&amp;"*")-MID(A401,5,FIND(".",A401,1)-5),0)</f>
        <v>0</v>
      </c>
      <c r="C401" t="b">
        <v>1</v>
      </c>
      <c r="E401" t="str">
        <f t="shared" si="36"/>
        <v>1</v>
      </c>
      <c r="F401" t="str">
        <f t="shared" si="37"/>
        <v>2</v>
      </c>
      <c r="G401" t="str">
        <f t="shared" si="38"/>
        <v>3</v>
      </c>
      <c r="H401" t="str">
        <f t="shared" si="39"/>
        <v>4</v>
      </c>
      <c r="I401" t="str">
        <f t="shared" si="40"/>
        <v/>
      </c>
      <c r="J401" t="str">
        <f t="shared" ca="1" si="41"/>
        <v/>
      </c>
    </row>
    <row r="402" spans="1:10" ht="18.75" x14ac:dyDescent="0.25">
      <c r="A402" s="11" t="s">
        <v>2073</v>
      </c>
      <c r="B402">
        <f>IFERROR(COUNTIFS($A$1:A402,"Câu "&amp;"*")-MID(A402,5,FIND(".",A402,1)-5),0)</f>
        <v>0</v>
      </c>
      <c r="C402" t="b">
        <v>0</v>
      </c>
      <c r="E402" t="str">
        <f t="shared" si="36"/>
        <v>2</v>
      </c>
      <c r="F402" t="str">
        <f t="shared" si="37"/>
        <v>3</v>
      </c>
      <c r="G402" t="str">
        <f t="shared" si="38"/>
        <v>4</v>
      </c>
      <c r="H402" t="str">
        <f t="shared" si="39"/>
        <v/>
      </c>
      <c r="I402" t="str">
        <f t="shared" si="40"/>
        <v>1</v>
      </c>
      <c r="J402" t="str">
        <f t="shared" ca="1" si="41"/>
        <v/>
      </c>
    </row>
    <row r="403" spans="1:10" ht="225" x14ac:dyDescent="0.25">
      <c r="A403" s="3" t="s">
        <v>2074</v>
      </c>
      <c r="B403">
        <f>IFERROR(COUNTIFS($A$1:A403,"Câu "&amp;"*")-MID(A403,5,FIND(".",A403,1)-5),0)</f>
        <v>0</v>
      </c>
      <c r="C403" t="b">
        <v>0</v>
      </c>
      <c r="E403" t="str">
        <f t="shared" si="36"/>
        <v>3</v>
      </c>
      <c r="F403" t="str">
        <f t="shared" si="37"/>
        <v>4</v>
      </c>
      <c r="G403" t="str">
        <f t="shared" si="38"/>
        <v>Câu 99.</v>
      </c>
      <c r="H403" t="str">
        <f t="shared" si="39"/>
        <v>1</v>
      </c>
      <c r="I403" t="str">
        <f t="shared" si="40"/>
        <v>2</v>
      </c>
      <c r="J403" t="str">
        <f t="shared" ca="1" si="41"/>
        <v/>
      </c>
    </row>
    <row r="404" spans="1:10" ht="75" x14ac:dyDescent="0.25">
      <c r="A404" s="3" t="s">
        <v>2075</v>
      </c>
      <c r="B404">
        <f>IFERROR(COUNTIFS($A$1:A404,"Câu "&amp;"*")-MID(A404,5,FIND(".",A404,1)-5),0)</f>
        <v>0</v>
      </c>
      <c r="C404" t="b">
        <v>0</v>
      </c>
      <c r="E404" t="str">
        <f t="shared" si="36"/>
        <v>4</v>
      </c>
      <c r="F404" t="str">
        <f t="shared" si="37"/>
        <v>Câu 99.</v>
      </c>
      <c r="G404" t="str">
        <f t="shared" si="38"/>
        <v>1</v>
      </c>
      <c r="H404" t="str">
        <f t="shared" si="39"/>
        <v>2</v>
      </c>
      <c r="I404" t="str">
        <f t="shared" si="40"/>
        <v>3</v>
      </c>
      <c r="J404" t="str">
        <f t="shared" ca="1" si="41"/>
        <v/>
      </c>
    </row>
    <row r="405" spans="1:10" ht="409.5" x14ac:dyDescent="0.25">
      <c r="A405" s="4" t="s">
        <v>365</v>
      </c>
      <c r="B405">
        <f>IFERROR(COUNTIFS($A$1:A405,"Câu "&amp;"*")-MID(A405,5,FIND(".",A405,1)-5),0)</f>
        <v>0</v>
      </c>
      <c r="C405" t="b">
        <v>0</v>
      </c>
      <c r="E405" t="str">
        <f t="shared" si="36"/>
        <v>Câu 99.</v>
      </c>
      <c r="F405" t="str">
        <f t="shared" si="37"/>
        <v>1</v>
      </c>
      <c r="G405" t="str">
        <f t="shared" si="38"/>
        <v>2</v>
      </c>
      <c r="H405" t="str">
        <f t="shared" si="39"/>
        <v>3</v>
      </c>
      <c r="I405" t="str">
        <f t="shared" si="40"/>
        <v/>
      </c>
      <c r="J405" t="str">
        <f t="shared" ca="1" si="41"/>
        <v>1</v>
      </c>
    </row>
    <row r="406" spans="1:10" ht="18.75" x14ac:dyDescent="0.25">
      <c r="A406" s="11" t="s">
        <v>2076</v>
      </c>
      <c r="B406">
        <f>IFERROR(COUNTIFS($A$1:A406,"Câu "&amp;"*")-MID(A406,5,FIND(".",A406,1)-5),0)</f>
        <v>0</v>
      </c>
      <c r="C406" t="b">
        <v>1</v>
      </c>
      <c r="E406" t="str">
        <f t="shared" si="36"/>
        <v>1</v>
      </c>
      <c r="F406" t="str">
        <f t="shared" si="37"/>
        <v>2</v>
      </c>
      <c r="G406" t="str">
        <f t="shared" si="38"/>
        <v>3</v>
      </c>
      <c r="H406" t="str">
        <f t="shared" si="39"/>
        <v/>
      </c>
      <c r="I406" t="str">
        <f t="shared" si="40"/>
        <v>1</v>
      </c>
      <c r="J406" t="str">
        <f t="shared" ca="1" si="41"/>
        <v/>
      </c>
    </row>
    <row r="407" spans="1:10" ht="18.75" x14ac:dyDescent="0.25">
      <c r="A407" s="11" t="s">
        <v>2077</v>
      </c>
      <c r="B407">
        <f>IFERROR(COUNTIFS($A$1:A407,"Câu "&amp;"*")-MID(A407,5,FIND(".",A407,1)-5),0)</f>
        <v>0</v>
      </c>
      <c r="C407" t="b">
        <v>0</v>
      </c>
      <c r="E407" t="str">
        <f t="shared" si="36"/>
        <v>2</v>
      </c>
      <c r="F407" t="str">
        <f t="shared" si="37"/>
        <v>3</v>
      </c>
      <c r="G407" t="str">
        <f t="shared" si="38"/>
        <v>Câu 100.</v>
      </c>
      <c r="H407" t="str">
        <f t="shared" si="39"/>
        <v>1</v>
      </c>
      <c r="I407" t="str">
        <f t="shared" si="40"/>
        <v>2</v>
      </c>
      <c r="J407" t="str">
        <f t="shared" ca="1" si="41"/>
        <v/>
      </c>
    </row>
    <row r="408" spans="1:10" ht="18.75" x14ac:dyDescent="0.25">
      <c r="A408" s="11" t="s">
        <v>2078</v>
      </c>
      <c r="B408">
        <f>IFERROR(COUNTIFS($A$1:A408,"Câu "&amp;"*")-MID(A408,5,FIND(".",A408,1)-5),0)</f>
        <v>0</v>
      </c>
      <c r="C408" t="b">
        <v>0</v>
      </c>
      <c r="E408" t="str">
        <f t="shared" si="36"/>
        <v>3</v>
      </c>
      <c r="F408" t="str">
        <f t="shared" si="37"/>
        <v>Câu 100.</v>
      </c>
      <c r="G408" t="str">
        <f t="shared" si="38"/>
        <v>1</v>
      </c>
      <c r="H408" t="str">
        <f t="shared" si="39"/>
        <v>2</v>
      </c>
      <c r="I408" t="str">
        <f t="shared" si="40"/>
        <v>3</v>
      </c>
      <c r="J408" t="str">
        <f t="shared" ca="1" si="41"/>
        <v/>
      </c>
    </row>
    <row r="409" spans="1:10" ht="409.5" x14ac:dyDescent="0.25">
      <c r="A409" s="4" t="s">
        <v>369</v>
      </c>
      <c r="B409">
        <f>IFERROR(COUNTIFS($A$1:A409,"Câu "&amp;"*")-MID(A409,5,FIND(".",A409,1)-5),0)</f>
        <v>0</v>
      </c>
      <c r="C409" t="b">
        <v>0</v>
      </c>
      <c r="E409" t="str">
        <f t="shared" si="36"/>
        <v>Câu 100.</v>
      </c>
      <c r="F409" t="str">
        <f t="shared" si="37"/>
        <v>1</v>
      </c>
      <c r="G409" t="str">
        <f t="shared" si="38"/>
        <v>2</v>
      </c>
      <c r="H409" t="str">
        <f t="shared" si="39"/>
        <v>3</v>
      </c>
      <c r="I409" t="str">
        <f t="shared" si="40"/>
        <v/>
      </c>
      <c r="J409" t="str">
        <f t="shared" ca="1" si="41"/>
        <v>3</v>
      </c>
    </row>
    <row r="410" spans="1:10" ht="18.75" x14ac:dyDescent="0.25">
      <c r="A410" s="11" t="s">
        <v>2079</v>
      </c>
      <c r="B410">
        <f>IFERROR(COUNTIFS($A$1:A410,"Câu "&amp;"*")-MID(A410,5,FIND(".",A410,1)-5),0)</f>
        <v>0</v>
      </c>
      <c r="C410" t="b">
        <v>0</v>
      </c>
      <c r="E410" t="str">
        <f t="shared" si="36"/>
        <v>1</v>
      </c>
      <c r="F410" t="str">
        <f t="shared" si="37"/>
        <v>2</v>
      </c>
      <c r="G410" t="str">
        <f t="shared" si="38"/>
        <v>3</v>
      </c>
      <c r="H410" t="str">
        <f t="shared" si="39"/>
        <v/>
      </c>
      <c r="I410" t="str">
        <f t="shared" si="40"/>
        <v>1</v>
      </c>
      <c r="J410" t="str">
        <f t="shared" ca="1" si="41"/>
        <v/>
      </c>
    </row>
    <row r="411" spans="1:10" ht="18.75" x14ac:dyDescent="0.25">
      <c r="A411" s="11" t="s">
        <v>2080</v>
      </c>
      <c r="B411">
        <f>IFERROR(COUNTIFS($A$1:A411,"Câu "&amp;"*")-MID(A411,5,FIND(".",A411,1)-5),0)</f>
        <v>0</v>
      </c>
      <c r="C411" t="b">
        <v>0</v>
      </c>
      <c r="E411" t="str">
        <f t="shared" si="36"/>
        <v>2</v>
      </c>
      <c r="F411" t="str">
        <f t="shared" si="37"/>
        <v>3</v>
      </c>
      <c r="G411" t="str">
        <f t="shared" si="38"/>
        <v>Câu 101.</v>
      </c>
      <c r="H411" t="str">
        <f t="shared" si="39"/>
        <v>1</v>
      </c>
      <c r="I411" t="str">
        <f t="shared" si="40"/>
        <v>2</v>
      </c>
      <c r="J411" t="str">
        <f t="shared" ca="1" si="41"/>
        <v/>
      </c>
    </row>
    <row r="412" spans="1:10" ht="18.75" x14ac:dyDescent="0.25">
      <c r="A412" s="11" t="s">
        <v>2081</v>
      </c>
      <c r="B412">
        <f>IFERROR(COUNTIFS($A$1:A412,"Câu "&amp;"*")-MID(A412,5,FIND(".",A412,1)-5),0)</f>
        <v>0</v>
      </c>
      <c r="C412" t="b">
        <v>1</v>
      </c>
      <c r="E412" t="str">
        <f t="shared" si="36"/>
        <v>3</v>
      </c>
      <c r="F412" t="str">
        <f t="shared" si="37"/>
        <v>Câu 101.</v>
      </c>
      <c r="G412" t="str">
        <f t="shared" si="38"/>
        <v>1</v>
      </c>
      <c r="H412" t="str">
        <f t="shared" si="39"/>
        <v>2</v>
      </c>
      <c r="I412" t="str">
        <f t="shared" si="40"/>
        <v>3</v>
      </c>
      <c r="J412" t="str">
        <f t="shared" ca="1" si="41"/>
        <v/>
      </c>
    </row>
    <row r="413" spans="1:10" ht="409.5" x14ac:dyDescent="0.25">
      <c r="A413" s="4" t="s">
        <v>373</v>
      </c>
      <c r="B413">
        <f>IFERROR(COUNTIFS($A$1:A413,"Câu "&amp;"*")-MID(A413,5,FIND(".",A413,1)-5),0)</f>
        <v>0</v>
      </c>
      <c r="C413" t="b">
        <v>0</v>
      </c>
      <c r="E413" t="str">
        <f t="shared" si="36"/>
        <v>Câu 101.</v>
      </c>
      <c r="F413" t="str">
        <f t="shared" si="37"/>
        <v>1</v>
      </c>
      <c r="G413" t="str">
        <f t="shared" si="38"/>
        <v>2</v>
      </c>
      <c r="H413" t="str">
        <f t="shared" si="39"/>
        <v>3</v>
      </c>
      <c r="I413" t="str">
        <f t="shared" si="40"/>
        <v/>
      </c>
      <c r="J413" t="str">
        <f t="shared" ca="1" si="41"/>
        <v>1</v>
      </c>
    </row>
    <row r="414" spans="1:10" ht="18.75" x14ac:dyDescent="0.25">
      <c r="A414" s="11" t="s">
        <v>2082</v>
      </c>
      <c r="B414">
        <f>IFERROR(COUNTIFS($A$1:A414,"Câu "&amp;"*")-MID(A414,5,FIND(".",A414,1)-5),0)</f>
        <v>0</v>
      </c>
      <c r="C414" t="b">
        <v>1</v>
      </c>
      <c r="E414" t="str">
        <f t="shared" si="36"/>
        <v>1</v>
      </c>
      <c r="F414" t="str">
        <f t="shared" si="37"/>
        <v>2</v>
      </c>
      <c r="G414" t="str">
        <f t="shared" si="38"/>
        <v>3</v>
      </c>
      <c r="H414" t="str">
        <f t="shared" si="39"/>
        <v/>
      </c>
      <c r="I414" t="str">
        <f t="shared" si="40"/>
        <v>1</v>
      </c>
      <c r="J414" t="str">
        <f t="shared" ca="1" si="41"/>
        <v/>
      </c>
    </row>
    <row r="415" spans="1:10" ht="18.75" x14ac:dyDescent="0.25">
      <c r="A415" s="11" t="s">
        <v>2083</v>
      </c>
      <c r="B415">
        <f>IFERROR(COUNTIFS($A$1:A415,"Câu "&amp;"*")-MID(A415,5,FIND(".",A415,1)-5),0)</f>
        <v>0</v>
      </c>
      <c r="C415" t="b">
        <v>0</v>
      </c>
      <c r="E415" t="str">
        <f t="shared" si="36"/>
        <v>2</v>
      </c>
      <c r="F415" t="str">
        <f t="shared" si="37"/>
        <v>3</v>
      </c>
      <c r="G415" t="str">
        <f t="shared" si="38"/>
        <v>Câu 102.</v>
      </c>
      <c r="H415" t="str">
        <f t="shared" si="39"/>
        <v>1</v>
      </c>
      <c r="I415" t="str">
        <f t="shared" si="40"/>
        <v>2</v>
      </c>
      <c r="J415" t="str">
        <f t="shared" ca="1" si="41"/>
        <v/>
      </c>
    </row>
    <row r="416" spans="1:10" ht="18.75" x14ac:dyDescent="0.25">
      <c r="A416" s="11" t="s">
        <v>2084</v>
      </c>
      <c r="B416">
        <f>IFERROR(COUNTIFS($A$1:A416,"Câu "&amp;"*")-MID(A416,5,FIND(".",A416,1)-5),0)</f>
        <v>0</v>
      </c>
      <c r="C416" t="b">
        <v>0</v>
      </c>
      <c r="E416" t="str">
        <f t="shared" si="36"/>
        <v>3</v>
      </c>
      <c r="F416" t="str">
        <f t="shared" si="37"/>
        <v>Câu 102.</v>
      </c>
      <c r="G416" t="str">
        <f t="shared" si="38"/>
        <v>1</v>
      </c>
      <c r="H416" t="str">
        <f t="shared" si="39"/>
        <v>2</v>
      </c>
      <c r="I416" t="str">
        <f t="shared" si="40"/>
        <v>3</v>
      </c>
      <c r="J416" t="str">
        <f t="shared" ca="1" si="41"/>
        <v/>
      </c>
    </row>
    <row r="417" spans="1:10" ht="409.5" x14ac:dyDescent="0.25">
      <c r="A417" s="4" t="s">
        <v>377</v>
      </c>
      <c r="B417">
        <f>IFERROR(COUNTIFS($A$1:A417,"Câu "&amp;"*")-MID(A417,5,FIND(".",A417,1)-5),0)</f>
        <v>0</v>
      </c>
      <c r="C417" t="b">
        <v>0</v>
      </c>
      <c r="E417" t="str">
        <f t="shared" si="36"/>
        <v>Câu 102.</v>
      </c>
      <c r="F417" t="str">
        <f t="shared" si="37"/>
        <v>1</v>
      </c>
      <c r="G417" t="str">
        <f t="shared" si="38"/>
        <v>2</v>
      </c>
      <c r="H417" t="str">
        <f t="shared" si="39"/>
        <v>3</v>
      </c>
      <c r="I417" t="str">
        <f t="shared" si="40"/>
        <v>4</v>
      </c>
      <c r="J417" t="str">
        <f t="shared" ca="1" si="41"/>
        <v>4</v>
      </c>
    </row>
    <row r="418" spans="1:10" ht="18.75" x14ac:dyDescent="0.25">
      <c r="A418" s="11" t="s">
        <v>2085</v>
      </c>
      <c r="B418">
        <f>IFERROR(COUNTIFS($A$1:A418,"Câu "&amp;"*")-MID(A418,5,FIND(".",A418,1)-5),0)</f>
        <v>0</v>
      </c>
      <c r="C418" t="b">
        <v>0</v>
      </c>
      <c r="E418" t="str">
        <f t="shared" si="36"/>
        <v>1</v>
      </c>
      <c r="F418" t="str">
        <f t="shared" si="37"/>
        <v>2</v>
      </c>
      <c r="G418" t="str">
        <f t="shared" si="38"/>
        <v>3</v>
      </c>
      <c r="H418" t="str">
        <f t="shared" si="39"/>
        <v>4</v>
      </c>
      <c r="I418" t="str">
        <f t="shared" si="40"/>
        <v/>
      </c>
      <c r="J418" t="str">
        <f t="shared" ca="1" si="41"/>
        <v/>
      </c>
    </row>
    <row r="419" spans="1:10" ht="18.75" x14ac:dyDescent="0.25">
      <c r="A419" s="11" t="s">
        <v>2086</v>
      </c>
      <c r="B419">
        <f>IFERROR(COUNTIFS($A$1:A419,"Câu "&amp;"*")-MID(A419,5,FIND(".",A419,1)-5),0)</f>
        <v>0</v>
      </c>
      <c r="C419" t="b">
        <v>0</v>
      </c>
      <c r="E419" t="str">
        <f t="shared" si="36"/>
        <v>2</v>
      </c>
      <c r="F419" t="str">
        <f t="shared" si="37"/>
        <v>3</v>
      </c>
      <c r="G419" t="str">
        <f t="shared" si="38"/>
        <v>4</v>
      </c>
      <c r="H419" t="str">
        <f t="shared" si="39"/>
        <v/>
      </c>
      <c r="I419" t="str">
        <f t="shared" si="40"/>
        <v>1</v>
      </c>
      <c r="J419" t="str">
        <f t="shared" ca="1" si="41"/>
        <v/>
      </c>
    </row>
    <row r="420" spans="1:10" ht="18.75" x14ac:dyDescent="0.25">
      <c r="A420" s="11" t="s">
        <v>2087</v>
      </c>
      <c r="B420">
        <f>IFERROR(COUNTIFS($A$1:A420,"Câu "&amp;"*")-MID(A420,5,FIND(".",A420,1)-5),0)</f>
        <v>0</v>
      </c>
      <c r="C420" t="b">
        <v>0</v>
      </c>
      <c r="E420" t="str">
        <f t="shared" si="36"/>
        <v>3</v>
      </c>
      <c r="F420" t="str">
        <f t="shared" si="37"/>
        <v>4</v>
      </c>
      <c r="G420" t="str">
        <f t="shared" si="38"/>
        <v>Câu 103.</v>
      </c>
      <c r="H420" t="str">
        <f t="shared" si="39"/>
        <v>1</v>
      </c>
      <c r="I420" t="str">
        <f t="shared" si="40"/>
        <v>2</v>
      </c>
      <c r="J420" t="str">
        <f t="shared" ca="1" si="41"/>
        <v/>
      </c>
    </row>
    <row r="421" spans="1:10" ht="18.75" x14ac:dyDescent="0.25">
      <c r="A421" s="11" t="s">
        <v>1865</v>
      </c>
      <c r="B421">
        <f>IFERROR(COUNTIFS($A$1:A421,"Câu "&amp;"*")-MID(A421,5,FIND(".",A421,1)-5),0)</f>
        <v>0</v>
      </c>
      <c r="C421" t="b">
        <v>1</v>
      </c>
      <c r="E421" t="str">
        <f t="shared" si="36"/>
        <v>4</v>
      </c>
      <c r="F421" t="str">
        <f t="shared" si="37"/>
        <v>Câu 103.</v>
      </c>
      <c r="G421" t="str">
        <f t="shared" si="38"/>
        <v>1</v>
      </c>
      <c r="H421" t="str">
        <f t="shared" si="39"/>
        <v>2</v>
      </c>
      <c r="I421" t="str">
        <f t="shared" si="40"/>
        <v>3</v>
      </c>
      <c r="J421" t="str">
        <f t="shared" ca="1" si="41"/>
        <v/>
      </c>
    </row>
    <row r="422" spans="1:10" ht="409.5" x14ac:dyDescent="0.25">
      <c r="A422" s="4" t="s">
        <v>381</v>
      </c>
      <c r="B422">
        <f>IFERROR(COUNTIFS($A$1:A422,"Câu "&amp;"*")-MID(A422,5,FIND(".",A422,1)-5),0)</f>
        <v>0</v>
      </c>
      <c r="C422" t="b">
        <v>0</v>
      </c>
      <c r="E422" t="str">
        <f t="shared" si="36"/>
        <v>Câu 103.</v>
      </c>
      <c r="F422" t="str">
        <f t="shared" si="37"/>
        <v>1</v>
      </c>
      <c r="G422" t="str">
        <f t="shared" si="38"/>
        <v>2</v>
      </c>
      <c r="H422" t="str">
        <f t="shared" si="39"/>
        <v>3</v>
      </c>
      <c r="I422" t="str">
        <f t="shared" si="40"/>
        <v/>
      </c>
      <c r="J422" t="str">
        <f t="shared" ca="1" si="41"/>
        <v>1</v>
      </c>
    </row>
    <row r="423" spans="1:10" ht="409.5" x14ac:dyDescent="0.25">
      <c r="A423" s="3" t="s">
        <v>2088</v>
      </c>
      <c r="B423">
        <f>IFERROR(COUNTIFS($A$1:A423,"Câu "&amp;"*")-MID(A423,5,FIND(".",A423,1)-5),0)</f>
        <v>0</v>
      </c>
      <c r="C423" t="b">
        <v>1</v>
      </c>
      <c r="E423" t="str">
        <f t="shared" si="36"/>
        <v>1</v>
      </c>
      <c r="F423" t="str">
        <f t="shared" si="37"/>
        <v>2</v>
      </c>
      <c r="G423" t="str">
        <f t="shared" si="38"/>
        <v>3</v>
      </c>
      <c r="H423" t="str">
        <f t="shared" si="39"/>
        <v/>
      </c>
      <c r="I423" t="str">
        <f t="shared" si="40"/>
        <v>1</v>
      </c>
      <c r="J423" t="str">
        <f t="shared" ca="1" si="41"/>
        <v/>
      </c>
    </row>
    <row r="424" spans="1:10" ht="225" x14ac:dyDescent="0.25">
      <c r="A424" s="3" t="s">
        <v>2089</v>
      </c>
      <c r="B424">
        <f>IFERROR(COUNTIFS($A$1:A424,"Câu "&amp;"*")-MID(A424,5,FIND(".",A424,1)-5),0)</f>
        <v>0</v>
      </c>
      <c r="C424" t="b">
        <v>0</v>
      </c>
      <c r="E424" t="str">
        <f t="shared" si="36"/>
        <v>2</v>
      </c>
      <c r="F424" t="str">
        <f t="shared" si="37"/>
        <v>3</v>
      </c>
      <c r="G424" t="str">
        <f t="shared" si="38"/>
        <v>Câu 104.</v>
      </c>
      <c r="H424" t="str">
        <f t="shared" si="39"/>
        <v>1</v>
      </c>
      <c r="I424" t="str">
        <f t="shared" si="40"/>
        <v>2</v>
      </c>
      <c r="J424" t="str">
        <f t="shared" ca="1" si="41"/>
        <v/>
      </c>
    </row>
    <row r="425" spans="1:10" ht="281.25" x14ac:dyDescent="0.25">
      <c r="A425" s="3" t="s">
        <v>2090</v>
      </c>
      <c r="B425">
        <f>IFERROR(COUNTIFS($A$1:A425,"Câu "&amp;"*")-MID(A425,5,FIND(".",A425,1)-5),0)</f>
        <v>0</v>
      </c>
      <c r="C425" t="b">
        <v>0</v>
      </c>
      <c r="E425" t="str">
        <f t="shared" si="36"/>
        <v>3</v>
      </c>
      <c r="F425" t="str">
        <f t="shared" si="37"/>
        <v>Câu 104.</v>
      </c>
      <c r="G425" t="str">
        <f t="shared" si="38"/>
        <v>1</v>
      </c>
      <c r="H425" t="str">
        <f t="shared" si="39"/>
        <v>2</v>
      </c>
      <c r="I425" t="str">
        <f t="shared" si="40"/>
        <v>3</v>
      </c>
      <c r="J425" t="str">
        <f t="shared" ca="1" si="41"/>
        <v/>
      </c>
    </row>
    <row r="426" spans="1:10" ht="409.5" x14ac:dyDescent="0.25">
      <c r="A426" s="4" t="s">
        <v>385</v>
      </c>
      <c r="B426">
        <f>IFERROR(COUNTIFS($A$1:A426,"Câu "&amp;"*")-MID(A426,5,FIND(".",A426,1)-5),0)</f>
        <v>0</v>
      </c>
      <c r="C426" t="b">
        <v>0</v>
      </c>
      <c r="E426" t="str">
        <f t="shared" si="36"/>
        <v>Câu 104.</v>
      </c>
      <c r="F426" t="str">
        <f t="shared" si="37"/>
        <v>1</v>
      </c>
      <c r="G426" t="str">
        <f t="shared" si="38"/>
        <v>2</v>
      </c>
      <c r="H426" t="str">
        <f t="shared" si="39"/>
        <v>3</v>
      </c>
      <c r="I426" t="str">
        <f t="shared" si="40"/>
        <v/>
      </c>
      <c r="J426" t="str">
        <f t="shared" ca="1" si="41"/>
        <v>3</v>
      </c>
    </row>
    <row r="427" spans="1:10" ht="18.75" x14ac:dyDescent="0.25">
      <c r="A427" s="11" t="s">
        <v>2091</v>
      </c>
      <c r="B427">
        <f>IFERROR(COUNTIFS($A$1:A427,"Câu "&amp;"*")-MID(A427,5,FIND(".",A427,1)-5),0)</f>
        <v>0</v>
      </c>
      <c r="C427" t="b">
        <v>0</v>
      </c>
      <c r="E427" t="str">
        <f t="shared" si="36"/>
        <v>1</v>
      </c>
      <c r="F427" t="str">
        <f t="shared" si="37"/>
        <v>2</v>
      </c>
      <c r="G427" t="str">
        <f t="shared" si="38"/>
        <v>3</v>
      </c>
      <c r="H427" t="str">
        <f t="shared" si="39"/>
        <v/>
      </c>
      <c r="I427" t="str">
        <f t="shared" si="40"/>
        <v>1</v>
      </c>
      <c r="J427" t="str">
        <f t="shared" ca="1" si="41"/>
        <v/>
      </c>
    </row>
    <row r="428" spans="1:10" ht="18.75" x14ac:dyDescent="0.25">
      <c r="A428" s="11" t="s">
        <v>2092</v>
      </c>
      <c r="B428">
        <f>IFERROR(COUNTIFS($A$1:A428,"Câu "&amp;"*")-MID(A428,5,FIND(".",A428,1)-5),0)</f>
        <v>0</v>
      </c>
      <c r="C428" t="b">
        <v>0</v>
      </c>
      <c r="E428" t="str">
        <f t="shared" si="36"/>
        <v>2</v>
      </c>
      <c r="F428" t="str">
        <f t="shared" si="37"/>
        <v>3</v>
      </c>
      <c r="G428" t="str">
        <f t="shared" si="38"/>
        <v>Câu 105.</v>
      </c>
      <c r="H428" t="str">
        <f t="shared" si="39"/>
        <v>1</v>
      </c>
      <c r="I428" t="str">
        <f t="shared" si="40"/>
        <v>2</v>
      </c>
      <c r="J428" t="str">
        <f t="shared" ca="1" si="41"/>
        <v/>
      </c>
    </row>
    <row r="429" spans="1:10" ht="18.75" x14ac:dyDescent="0.25">
      <c r="A429" s="11" t="s">
        <v>2093</v>
      </c>
      <c r="B429">
        <f>IFERROR(COUNTIFS($A$1:A429,"Câu "&amp;"*")-MID(A429,5,FIND(".",A429,1)-5),0)</f>
        <v>0</v>
      </c>
      <c r="C429" t="b">
        <v>1</v>
      </c>
      <c r="E429" t="str">
        <f t="shared" si="36"/>
        <v>3</v>
      </c>
      <c r="F429" t="str">
        <f t="shared" si="37"/>
        <v>Câu 105.</v>
      </c>
      <c r="G429" t="str">
        <f t="shared" si="38"/>
        <v>1</v>
      </c>
      <c r="H429" t="str">
        <f t="shared" si="39"/>
        <v>2</v>
      </c>
      <c r="I429" t="str">
        <f t="shared" si="40"/>
        <v>3</v>
      </c>
      <c r="J429" t="str">
        <f t="shared" ca="1" si="41"/>
        <v/>
      </c>
    </row>
    <row r="430" spans="1:10" ht="18.75" x14ac:dyDescent="0.25">
      <c r="A430" s="10" t="s">
        <v>389</v>
      </c>
      <c r="B430">
        <f>IFERROR(COUNTIFS($A$1:A430,"Câu "&amp;"*")-MID(A430,5,FIND(".",A430,1)-5),0)</f>
        <v>0</v>
      </c>
      <c r="C430" t="b">
        <v>0</v>
      </c>
      <c r="E430" t="str">
        <f t="shared" si="36"/>
        <v>Câu 105.</v>
      </c>
      <c r="F430" t="str">
        <f t="shared" si="37"/>
        <v>1</v>
      </c>
      <c r="G430" t="str">
        <f t="shared" si="38"/>
        <v>2</v>
      </c>
      <c r="H430" t="str">
        <f t="shared" si="39"/>
        <v>3</v>
      </c>
      <c r="I430" t="str">
        <f t="shared" si="40"/>
        <v/>
      </c>
      <c r="J430" t="str">
        <f t="shared" ca="1" si="41"/>
        <v>1</v>
      </c>
    </row>
    <row r="431" spans="1:10" ht="409.5" x14ac:dyDescent="0.25">
      <c r="A431" s="3" t="s">
        <v>2094</v>
      </c>
      <c r="B431">
        <f>IFERROR(COUNTIFS($A$1:A431,"Câu "&amp;"*")-MID(A431,5,FIND(".",A431,1)-5),0)</f>
        <v>0</v>
      </c>
      <c r="C431" t="b">
        <v>1</v>
      </c>
      <c r="E431" t="str">
        <f t="shared" si="36"/>
        <v>1</v>
      </c>
      <c r="F431" t="str">
        <f t="shared" si="37"/>
        <v>2</v>
      </c>
      <c r="G431" t="str">
        <f t="shared" si="38"/>
        <v>3</v>
      </c>
      <c r="H431" t="str">
        <f t="shared" si="39"/>
        <v/>
      </c>
      <c r="I431" t="str">
        <f t="shared" si="40"/>
        <v>1</v>
      </c>
      <c r="J431" t="str">
        <f t="shared" ca="1" si="41"/>
        <v/>
      </c>
    </row>
    <row r="432" spans="1:10" ht="337.5" x14ac:dyDescent="0.25">
      <c r="A432" s="3" t="s">
        <v>2095</v>
      </c>
      <c r="B432">
        <f>IFERROR(COUNTIFS($A$1:A432,"Câu "&amp;"*")-MID(A432,5,FIND(".",A432,1)-5),0)</f>
        <v>0</v>
      </c>
      <c r="C432" t="b">
        <v>0</v>
      </c>
      <c r="E432" t="str">
        <f t="shared" si="36"/>
        <v>2</v>
      </c>
      <c r="F432" t="str">
        <f t="shared" si="37"/>
        <v>3</v>
      </c>
      <c r="G432" t="str">
        <f t="shared" si="38"/>
        <v>Câu 106.</v>
      </c>
      <c r="H432" t="str">
        <f t="shared" si="39"/>
        <v>1</v>
      </c>
      <c r="I432" t="str">
        <f t="shared" si="40"/>
        <v>2</v>
      </c>
      <c r="J432" t="str">
        <f t="shared" ca="1" si="41"/>
        <v/>
      </c>
    </row>
    <row r="433" spans="1:10" ht="150" x14ac:dyDescent="0.25">
      <c r="A433" s="3" t="s">
        <v>2096</v>
      </c>
      <c r="B433">
        <f>IFERROR(COUNTIFS($A$1:A433,"Câu "&amp;"*")-MID(A433,5,FIND(".",A433,1)-5),0)</f>
        <v>0</v>
      </c>
      <c r="C433" t="b">
        <v>0</v>
      </c>
      <c r="E433" t="str">
        <f t="shared" si="36"/>
        <v>3</v>
      </c>
      <c r="F433" t="str">
        <f t="shared" si="37"/>
        <v>Câu 106.</v>
      </c>
      <c r="G433" t="str">
        <f t="shared" si="38"/>
        <v>1</v>
      </c>
      <c r="H433" t="str">
        <f t="shared" si="39"/>
        <v>2</v>
      </c>
      <c r="I433" t="str">
        <f t="shared" si="40"/>
        <v>3</v>
      </c>
      <c r="J433" t="str">
        <f t="shared" ca="1" si="41"/>
        <v/>
      </c>
    </row>
    <row r="434" spans="1:10" ht="409.5" x14ac:dyDescent="0.25">
      <c r="A434" s="4" t="s">
        <v>393</v>
      </c>
      <c r="B434">
        <f>IFERROR(COUNTIFS($A$1:A434,"Câu "&amp;"*")-MID(A434,5,FIND(".",A434,1)-5),0)</f>
        <v>0</v>
      </c>
      <c r="C434" t="b">
        <v>0</v>
      </c>
      <c r="E434" t="str">
        <f t="shared" si="36"/>
        <v>Câu 106.</v>
      </c>
      <c r="F434" t="str">
        <f t="shared" si="37"/>
        <v>1</v>
      </c>
      <c r="G434" t="str">
        <f t="shared" si="38"/>
        <v>2</v>
      </c>
      <c r="H434" t="str">
        <f t="shared" si="39"/>
        <v>3</v>
      </c>
      <c r="I434" t="str">
        <f t="shared" si="40"/>
        <v/>
      </c>
      <c r="J434" t="str">
        <f t="shared" ca="1" si="41"/>
        <v>2</v>
      </c>
    </row>
    <row r="435" spans="1:10" ht="409.5" x14ac:dyDescent="0.25">
      <c r="A435" s="3" t="s">
        <v>2097</v>
      </c>
      <c r="B435">
        <f>IFERROR(COUNTIFS($A$1:A435,"Câu "&amp;"*")-MID(A435,5,FIND(".",A435,1)-5),0)</f>
        <v>0</v>
      </c>
      <c r="C435" t="b">
        <v>0</v>
      </c>
      <c r="E435" t="str">
        <f t="shared" si="36"/>
        <v>1</v>
      </c>
      <c r="F435" t="str">
        <f t="shared" si="37"/>
        <v>2</v>
      </c>
      <c r="G435" t="str">
        <f t="shared" si="38"/>
        <v>3</v>
      </c>
      <c r="H435" t="str">
        <f t="shared" si="39"/>
        <v/>
      </c>
      <c r="I435" t="str">
        <f t="shared" si="40"/>
        <v>1</v>
      </c>
      <c r="J435" t="str">
        <f t="shared" ca="1" si="41"/>
        <v/>
      </c>
    </row>
    <row r="436" spans="1:10" ht="409.5" x14ac:dyDescent="0.25">
      <c r="A436" s="3" t="s">
        <v>2098</v>
      </c>
      <c r="B436">
        <f>IFERROR(COUNTIFS($A$1:A436,"Câu "&amp;"*")-MID(A436,5,FIND(".",A436,1)-5),0)</f>
        <v>0</v>
      </c>
      <c r="C436" t="b">
        <v>1</v>
      </c>
      <c r="E436" t="str">
        <f t="shared" si="36"/>
        <v>2</v>
      </c>
      <c r="F436" t="str">
        <f t="shared" si="37"/>
        <v>3</v>
      </c>
      <c r="G436" t="str">
        <f t="shared" si="38"/>
        <v>Câu 107.</v>
      </c>
      <c r="H436" t="str">
        <f t="shared" si="39"/>
        <v>1</v>
      </c>
      <c r="I436" t="str">
        <f t="shared" si="40"/>
        <v>2</v>
      </c>
      <c r="J436" t="str">
        <f t="shared" ca="1" si="41"/>
        <v/>
      </c>
    </row>
    <row r="437" spans="1:10" ht="37.5" x14ac:dyDescent="0.25">
      <c r="A437" s="3" t="s">
        <v>1814</v>
      </c>
      <c r="B437">
        <f>IFERROR(COUNTIFS($A$1:A437,"Câu "&amp;"*")-MID(A437,5,FIND(".",A437,1)-5),0)</f>
        <v>0</v>
      </c>
      <c r="C437" t="b">
        <v>0</v>
      </c>
      <c r="E437" t="str">
        <f t="shared" si="36"/>
        <v>3</v>
      </c>
      <c r="F437" t="str">
        <f t="shared" si="37"/>
        <v>Câu 107.</v>
      </c>
      <c r="G437" t="str">
        <f t="shared" si="38"/>
        <v>1</v>
      </c>
      <c r="H437" t="str">
        <f t="shared" si="39"/>
        <v>2</v>
      </c>
      <c r="I437" t="str">
        <f t="shared" si="40"/>
        <v>3</v>
      </c>
      <c r="J437" t="str">
        <f t="shared" ca="1" si="41"/>
        <v/>
      </c>
    </row>
    <row r="438" spans="1:10" ht="409.5" x14ac:dyDescent="0.25">
      <c r="A438" s="4" t="s">
        <v>396</v>
      </c>
      <c r="B438">
        <f>IFERROR(COUNTIFS($A$1:A438,"Câu "&amp;"*")-MID(A438,5,FIND(".",A438,1)-5),0)</f>
        <v>0</v>
      </c>
      <c r="C438" t="b">
        <v>0</v>
      </c>
      <c r="E438" t="str">
        <f t="shared" si="36"/>
        <v>Câu 107.</v>
      </c>
      <c r="F438" t="str">
        <f t="shared" si="37"/>
        <v>1</v>
      </c>
      <c r="G438" t="str">
        <f t="shared" si="38"/>
        <v>2</v>
      </c>
      <c r="H438" t="str">
        <f t="shared" si="39"/>
        <v>3</v>
      </c>
      <c r="I438" t="str">
        <f t="shared" si="40"/>
        <v>4</v>
      </c>
      <c r="J438" t="str">
        <f t="shared" ca="1" si="41"/>
        <v>4</v>
      </c>
    </row>
    <row r="439" spans="1:10" ht="18.75" x14ac:dyDescent="0.25">
      <c r="A439" s="11" t="s">
        <v>2099</v>
      </c>
      <c r="B439">
        <f>IFERROR(COUNTIFS($A$1:A439,"Câu "&amp;"*")-MID(A439,5,FIND(".",A439,1)-5),0)</f>
        <v>0</v>
      </c>
      <c r="C439" t="b">
        <v>0</v>
      </c>
      <c r="E439" t="str">
        <f t="shared" si="36"/>
        <v>1</v>
      </c>
      <c r="F439" t="str">
        <f t="shared" si="37"/>
        <v>2</v>
      </c>
      <c r="G439" t="str">
        <f t="shared" si="38"/>
        <v>3</v>
      </c>
      <c r="H439" t="str">
        <f t="shared" si="39"/>
        <v>4</v>
      </c>
      <c r="I439" t="str">
        <f t="shared" si="40"/>
        <v/>
      </c>
      <c r="J439" t="str">
        <f t="shared" ca="1" si="41"/>
        <v/>
      </c>
    </row>
    <row r="440" spans="1:10" ht="18.75" x14ac:dyDescent="0.25">
      <c r="A440" s="11" t="s">
        <v>2100</v>
      </c>
      <c r="B440">
        <f>IFERROR(COUNTIFS($A$1:A440,"Câu "&amp;"*")-MID(A440,5,FIND(".",A440,1)-5),0)</f>
        <v>0</v>
      </c>
      <c r="C440" t="b">
        <v>0</v>
      </c>
      <c r="E440" t="str">
        <f t="shared" si="36"/>
        <v>2</v>
      </c>
      <c r="F440" t="str">
        <f t="shared" si="37"/>
        <v>3</v>
      </c>
      <c r="G440" t="str">
        <f t="shared" si="38"/>
        <v>4</v>
      </c>
      <c r="H440" t="str">
        <f t="shared" si="39"/>
        <v/>
      </c>
      <c r="I440" t="str">
        <f t="shared" si="40"/>
        <v>1</v>
      </c>
      <c r="J440" t="str">
        <f t="shared" ca="1" si="41"/>
        <v/>
      </c>
    </row>
    <row r="441" spans="1:10" ht="18.75" x14ac:dyDescent="0.25">
      <c r="A441" s="11" t="s">
        <v>2101</v>
      </c>
      <c r="B441">
        <f>IFERROR(COUNTIFS($A$1:A441,"Câu "&amp;"*")-MID(A441,5,FIND(".",A441,1)-5),0)</f>
        <v>0</v>
      </c>
      <c r="C441" t="b">
        <v>0</v>
      </c>
      <c r="E441" t="str">
        <f t="shared" si="36"/>
        <v>3</v>
      </c>
      <c r="F441" t="str">
        <f t="shared" si="37"/>
        <v>4</v>
      </c>
      <c r="G441" t="str">
        <f t="shared" si="38"/>
        <v>Câu 108.</v>
      </c>
      <c r="H441" t="str">
        <f t="shared" si="39"/>
        <v>1</v>
      </c>
      <c r="I441" t="str">
        <f t="shared" si="40"/>
        <v>2</v>
      </c>
      <c r="J441" t="str">
        <f t="shared" ca="1" si="41"/>
        <v/>
      </c>
    </row>
    <row r="442" spans="1:10" ht="18.75" x14ac:dyDescent="0.25">
      <c r="A442" s="11" t="s">
        <v>1865</v>
      </c>
      <c r="B442">
        <f>IFERROR(COUNTIFS($A$1:A442,"Câu "&amp;"*")-MID(A442,5,FIND(".",A442,1)-5),0)</f>
        <v>0</v>
      </c>
      <c r="C442" t="b">
        <v>1</v>
      </c>
      <c r="E442" t="str">
        <f t="shared" si="36"/>
        <v>4</v>
      </c>
      <c r="F442" t="str">
        <f t="shared" si="37"/>
        <v>Câu 108.</v>
      </c>
      <c r="G442" t="str">
        <f t="shared" si="38"/>
        <v>1</v>
      </c>
      <c r="H442" t="str">
        <f t="shared" si="39"/>
        <v>2</v>
      </c>
      <c r="I442" t="str">
        <f t="shared" si="40"/>
        <v>3</v>
      </c>
      <c r="J442" t="str">
        <f t="shared" ca="1" si="41"/>
        <v/>
      </c>
    </row>
    <row r="443" spans="1:10" ht="409.5" x14ac:dyDescent="0.25">
      <c r="A443" s="4" t="s">
        <v>400</v>
      </c>
      <c r="B443">
        <f>IFERROR(COUNTIFS($A$1:A443,"Câu "&amp;"*")-MID(A443,5,FIND(".",A443,1)-5),0)</f>
        <v>0</v>
      </c>
      <c r="C443" t="b">
        <v>0</v>
      </c>
      <c r="E443" t="str">
        <f t="shared" si="36"/>
        <v>Câu 108.</v>
      </c>
      <c r="F443" t="str">
        <f t="shared" si="37"/>
        <v>1</v>
      </c>
      <c r="G443" t="str">
        <f t="shared" si="38"/>
        <v>2</v>
      </c>
      <c r="H443" t="str">
        <f t="shared" si="39"/>
        <v>3</v>
      </c>
      <c r="I443" t="str">
        <f t="shared" si="40"/>
        <v/>
      </c>
      <c r="J443" t="str">
        <f t="shared" ca="1" si="41"/>
        <v>1</v>
      </c>
    </row>
    <row r="444" spans="1:10" ht="18.75" x14ac:dyDescent="0.25">
      <c r="A444" s="11" t="s">
        <v>2102</v>
      </c>
      <c r="B444">
        <f>IFERROR(COUNTIFS($A$1:A444,"Câu "&amp;"*")-MID(A444,5,FIND(".",A444,1)-5),0)</f>
        <v>0</v>
      </c>
      <c r="C444" t="b">
        <v>1</v>
      </c>
      <c r="E444" t="str">
        <f t="shared" si="36"/>
        <v>1</v>
      </c>
      <c r="F444" t="str">
        <f t="shared" si="37"/>
        <v>2</v>
      </c>
      <c r="G444" t="str">
        <f t="shared" si="38"/>
        <v>3</v>
      </c>
      <c r="H444" t="str">
        <f t="shared" si="39"/>
        <v/>
      </c>
      <c r="I444" t="str">
        <f t="shared" si="40"/>
        <v>1</v>
      </c>
      <c r="J444" t="str">
        <f t="shared" ca="1" si="41"/>
        <v/>
      </c>
    </row>
    <row r="445" spans="1:10" ht="18.75" x14ac:dyDescent="0.25">
      <c r="A445" s="11" t="s">
        <v>2103</v>
      </c>
      <c r="B445">
        <f>IFERROR(COUNTIFS($A$1:A445,"Câu "&amp;"*")-MID(A445,5,FIND(".",A445,1)-5),0)</f>
        <v>0</v>
      </c>
      <c r="C445" t="b">
        <v>0</v>
      </c>
      <c r="E445" t="str">
        <f t="shared" si="36"/>
        <v>2</v>
      </c>
      <c r="F445" t="str">
        <f t="shared" si="37"/>
        <v>3</v>
      </c>
      <c r="G445" t="str">
        <f t="shared" si="38"/>
        <v>Câu 109.</v>
      </c>
      <c r="H445" t="str">
        <f t="shared" si="39"/>
        <v>1</v>
      </c>
      <c r="I445" t="str">
        <f t="shared" si="40"/>
        <v>2</v>
      </c>
      <c r="J445" t="str">
        <f t="shared" ca="1" si="41"/>
        <v/>
      </c>
    </row>
    <row r="446" spans="1:10" ht="18.75" x14ac:dyDescent="0.25">
      <c r="A446" s="11" t="s">
        <v>1814</v>
      </c>
      <c r="B446">
        <f>IFERROR(COUNTIFS($A$1:A446,"Câu "&amp;"*")-MID(A446,5,FIND(".",A446,1)-5),0)</f>
        <v>0</v>
      </c>
      <c r="C446" t="b">
        <v>0</v>
      </c>
      <c r="E446" t="str">
        <f t="shared" si="36"/>
        <v>3</v>
      </c>
      <c r="F446" t="str">
        <f t="shared" si="37"/>
        <v>Câu 109.</v>
      </c>
      <c r="G446" t="str">
        <f t="shared" si="38"/>
        <v>1</v>
      </c>
      <c r="H446" t="str">
        <f t="shared" si="39"/>
        <v>2</v>
      </c>
      <c r="I446" t="str">
        <f t="shared" si="40"/>
        <v>3</v>
      </c>
      <c r="J446" t="str">
        <f t="shared" ca="1" si="41"/>
        <v/>
      </c>
    </row>
    <row r="447" spans="1:10" ht="18.75" x14ac:dyDescent="0.25">
      <c r="A447" s="10" t="s">
        <v>403</v>
      </c>
      <c r="B447">
        <f>IFERROR(COUNTIFS($A$1:A447,"Câu "&amp;"*")-MID(A447,5,FIND(".",A447,1)-5),0)</f>
        <v>0</v>
      </c>
      <c r="C447" t="b">
        <v>0</v>
      </c>
      <c r="E447" t="str">
        <f t="shared" si="36"/>
        <v>Câu 109.</v>
      </c>
      <c r="F447" t="str">
        <f t="shared" si="37"/>
        <v>1</v>
      </c>
      <c r="G447" t="str">
        <f t="shared" si="38"/>
        <v>2</v>
      </c>
      <c r="H447" t="str">
        <f t="shared" si="39"/>
        <v>3</v>
      </c>
      <c r="I447" t="str">
        <f t="shared" si="40"/>
        <v/>
      </c>
      <c r="J447" t="str">
        <f t="shared" ca="1" si="41"/>
        <v>1</v>
      </c>
    </row>
    <row r="448" spans="1:10" ht="18.75" x14ac:dyDescent="0.25">
      <c r="A448" s="11" t="s">
        <v>2104</v>
      </c>
      <c r="B448">
        <f>IFERROR(COUNTIFS($A$1:A448,"Câu "&amp;"*")-MID(A448,5,FIND(".",A448,1)-5),0)</f>
        <v>0</v>
      </c>
      <c r="C448" t="b">
        <v>1</v>
      </c>
      <c r="E448" t="str">
        <f t="shared" si="36"/>
        <v>1</v>
      </c>
      <c r="F448" t="str">
        <f t="shared" si="37"/>
        <v>2</v>
      </c>
      <c r="G448" t="str">
        <f t="shared" si="38"/>
        <v>3</v>
      </c>
      <c r="H448" t="str">
        <f t="shared" si="39"/>
        <v/>
      </c>
      <c r="I448" t="str">
        <f t="shared" si="40"/>
        <v>1</v>
      </c>
      <c r="J448" t="str">
        <f t="shared" ca="1" si="41"/>
        <v/>
      </c>
    </row>
    <row r="449" spans="1:10" ht="18.75" x14ac:dyDescent="0.25">
      <c r="A449" s="11" t="s">
        <v>2105</v>
      </c>
      <c r="B449">
        <f>IFERROR(COUNTIFS($A$1:A449,"Câu "&amp;"*")-MID(A449,5,FIND(".",A449,1)-5),0)</f>
        <v>0</v>
      </c>
      <c r="C449" t="b">
        <v>0</v>
      </c>
      <c r="E449" t="str">
        <f t="shared" si="36"/>
        <v>2</v>
      </c>
      <c r="F449" t="str">
        <f t="shared" si="37"/>
        <v>3</v>
      </c>
      <c r="G449" t="str">
        <f t="shared" si="38"/>
        <v>Câu 110.</v>
      </c>
      <c r="H449" t="str">
        <f t="shared" si="39"/>
        <v>1</v>
      </c>
      <c r="I449" t="str">
        <f t="shared" si="40"/>
        <v>2</v>
      </c>
      <c r="J449" t="str">
        <f t="shared" ca="1" si="41"/>
        <v/>
      </c>
    </row>
    <row r="450" spans="1:10" ht="18.75" x14ac:dyDescent="0.25">
      <c r="A450" s="11" t="s">
        <v>1814</v>
      </c>
      <c r="B450">
        <f>IFERROR(COUNTIFS($A$1:A450,"Câu "&amp;"*")-MID(A450,5,FIND(".",A450,1)-5),0)</f>
        <v>0</v>
      </c>
      <c r="C450" t="b">
        <v>0</v>
      </c>
      <c r="E450" t="str">
        <f t="shared" si="36"/>
        <v>3</v>
      </c>
      <c r="F450" t="str">
        <f t="shared" si="37"/>
        <v>Câu 110.</v>
      </c>
      <c r="G450" t="str">
        <f t="shared" si="38"/>
        <v>1</v>
      </c>
      <c r="H450" t="str">
        <f t="shared" si="39"/>
        <v>2</v>
      </c>
      <c r="I450" t="str">
        <f t="shared" si="40"/>
        <v>3</v>
      </c>
      <c r="J450" t="str">
        <f t="shared" ca="1" si="41"/>
        <v/>
      </c>
    </row>
    <row r="451" spans="1:10" ht="18.75" x14ac:dyDescent="0.25">
      <c r="A451" s="10" t="s">
        <v>406</v>
      </c>
      <c r="B451">
        <f>IFERROR(COUNTIFS($A$1:A451,"Câu "&amp;"*")-MID(A451,5,FIND(".",A451,1)-5),0)</f>
        <v>0</v>
      </c>
      <c r="C451" t="b">
        <v>0</v>
      </c>
      <c r="E451" t="str">
        <f t="shared" ref="E451:E514" si="42">IF(LEFT(A451,3)="Câu",LEFT(A451,FIND(".",A451,1)),LEFT(A451,1))</f>
        <v>Câu 110.</v>
      </c>
      <c r="F451" t="str">
        <f t="shared" ref="F451:F514" si="43">IF(LEFT(A452,3)="Câu",LEFT(A452,FIND(".",A452,1)),LEFT(A452,1))</f>
        <v>1</v>
      </c>
      <c r="G451" t="str">
        <f t="shared" ref="G451:G514" si="44">IF(LEFT(A453,3)="Câu",LEFT(A453,FIND(".",A453,1)),LEFT(A453,1))</f>
        <v>2</v>
      </c>
      <c r="H451" t="str">
        <f t="shared" ref="H451:H514" si="45">IF(LEFT(A454,3)="Câu","",LEFT(A454,1))</f>
        <v>3</v>
      </c>
      <c r="I451" t="str">
        <f t="shared" ref="I451:I514" si="46">IF(LEFT(A455,3)="Câu","",LEFT(A455,1))</f>
        <v/>
      </c>
      <c r="J451" t="str">
        <f t="shared" ref="J451:J514" ca="1" si="47">IFERROR(VLOOKUP(TRUE,INDIRECT("C"&amp;MATCH(E451,$E$1:$E$2471,0)&amp;":E"&amp;MATCH("Câu "&amp;VALUE(MID(E451,5,LEN(E451)-5))+1&amp;".",$E$1:$E$2471,0)),3,0),"")</f>
        <v>1</v>
      </c>
    </row>
    <row r="452" spans="1:10" ht="409.5" x14ac:dyDescent="0.25">
      <c r="A452" s="3" t="s">
        <v>2106</v>
      </c>
      <c r="B452">
        <f>IFERROR(COUNTIFS($A$1:A452,"Câu "&amp;"*")-MID(A452,5,FIND(".",A452,1)-5),0)</f>
        <v>0</v>
      </c>
      <c r="C452" t="b">
        <v>1</v>
      </c>
      <c r="E452" t="str">
        <f t="shared" si="42"/>
        <v>1</v>
      </c>
      <c r="F452" t="str">
        <f t="shared" si="43"/>
        <v>2</v>
      </c>
      <c r="G452" t="str">
        <f t="shared" si="44"/>
        <v>3</v>
      </c>
      <c r="H452" t="str">
        <f t="shared" si="45"/>
        <v/>
      </c>
      <c r="I452" t="str">
        <f t="shared" si="46"/>
        <v>1</v>
      </c>
      <c r="J452" t="str">
        <f t="shared" ca="1" si="47"/>
        <v/>
      </c>
    </row>
    <row r="453" spans="1:10" ht="300" x14ac:dyDescent="0.25">
      <c r="A453" s="3" t="s">
        <v>2107</v>
      </c>
      <c r="B453">
        <f>IFERROR(COUNTIFS($A$1:A453,"Câu "&amp;"*")-MID(A453,5,FIND(".",A453,1)-5),0)</f>
        <v>0</v>
      </c>
      <c r="C453" t="b">
        <v>0</v>
      </c>
      <c r="E453" t="str">
        <f t="shared" si="42"/>
        <v>2</v>
      </c>
      <c r="F453" t="str">
        <f t="shared" si="43"/>
        <v>3</v>
      </c>
      <c r="G453" t="str">
        <f t="shared" si="44"/>
        <v>Câu 111.</v>
      </c>
      <c r="H453" t="str">
        <f t="shared" si="45"/>
        <v>1</v>
      </c>
      <c r="I453" t="str">
        <f t="shared" si="46"/>
        <v>2</v>
      </c>
      <c r="J453" t="str">
        <f t="shared" ca="1" si="47"/>
        <v/>
      </c>
    </row>
    <row r="454" spans="1:10" ht="225" x14ac:dyDescent="0.25">
      <c r="A454" s="3" t="s">
        <v>2108</v>
      </c>
      <c r="B454">
        <f>IFERROR(COUNTIFS($A$1:A454,"Câu "&amp;"*")-MID(A454,5,FIND(".",A454,1)-5),0)</f>
        <v>0</v>
      </c>
      <c r="C454" t="b">
        <v>0</v>
      </c>
      <c r="E454" t="str">
        <f t="shared" si="42"/>
        <v>3</v>
      </c>
      <c r="F454" t="str">
        <f t="shared" si="43"/>
        <v>Câu 111.</v>
      </c>
      <c r="G454" t="str">
        <f t="shared" si="44"/>
        <v>1</v>
      </c>
      <c r="H454" t="str">
        <f t="shared" si="45"/>
        <v>2</v>
      </c>
      <c r="I454" t="str">
        <f t="shared" si="46"/>
        <v>3</v>
      </c>
      <c r="J454" t="str">
        <f t="shared" ca="1" si="47"/>
        <v/>
      </c>
    </row>
    <row r="455" spans="1:10" ht="409.5" x14ac:dyDescent="0.25">
      <c r="A455" s="4" t="s">
        <v>409</v>
      </c>
      <c r="B455">
        <f>IFERROR(COUNTIFS($A$1:A455,"Câu "&amp;"*")-MID(A455,5,FIND(".",A455,1)-5),0)</f>
        <v>0</v>
      </c>
      <c r="C455" t="b">
        <v>0</v>
      </c>
      <c r="E455" t="str">
        <f t="shared" si="42"/>
        <v>Câu 111.</v>
      </c>
      <c r="F455" t="str">
        <f t="shared" si="43"/>
        <v>1</v>
      </c>
      <c r="G455" t="str">
        <f t="shared" si="44"/>
        <v>2</v>
      </c>
      <c r="H455" t="str">
        <f t="shared" si="45"/>
        <v>3</v>
      </c>
      <c r="I455" t="str">
        <f t="shared" si="46"/>
        <v/>
      </c>
      <c r="J455" t="str">
        <f t="shared" ca="1" si="47"/>
        <v>1</v>
      </c>
    </row>
    <row r="456" spans="1:10" ht="409.5" x14ac:dyDescent="0.25">
      <c r="A456" s="3" t="s">
        <v>2109</v>
      </c>
      <c r="B456">
        <f>IFERROR(COUNTIFS($A$1:A456,"Câu "&amp;"*")-MID(A456,5,FIND(".",A456,1)-5),0)</f>
        <v>0</v>
      </c>
      <c r="C456" t="b">
        <v>1</v>
      </c>
      <c r="E456" t="str">
        <f t="shared" si="42"/>
        <v>1</v>
      </c>
      <c r="F456" t="str">
        <f t="shared" si="43"/>
        <v>2</v>
      </c>
      <c r="G456" t="str">
        <f t="shared" si="44"/>
        <v>3</v>
      </c>
      <c r="H456" t="str">
        <f t="shared" si="45"/>
        <v/>
      </c>
      <c r="I456" t="str">
        <f t="shared" si="46"/>
        <v>1</v>
      </c>
      <c r="J456" t="str">
        <f t="shared" ca="1" si="47"/>
        <v/>
      </c>
    </row>
    <row r="457" spans="1:10" ht="243.75" x14ac:dyDescent="0.25">
      <c r="A457" s="3" t="s">
        <v>2110</v>
      </c>
      <c r="B457">
        <f>IFERROR(COUNTIFS($A$1:A457,"Câu "&amp;"*")-MID(A457,5,FIND(".",A457,1)-5),0)</f>
        <v>0</v>
      </c>
      <c r="C457" t="b">
        <v>0</v>
      </c>
      <c r="E457" t="str">
        <f t="shared" si="42"/>
        <v>2</v>
      </c>
      <c r="F457" t="str">
        <f t="shared" si="43"/>
        <v>3</v>
      </c>
      <c r="G457" t="str">
        <f t="shared" si="44"/>
        <v>Câu 112.</v>
      </c>
      <c r="H457" t="str">
        <f t="shared" si="45"/>
        <v>1</v>
      </c>
      <c r="I457" t="str">
        <f t="shared" si="46"/>
        <v>2</v>
      </c>
      <c r="J457" t="str">
        <f t="shared" ca="1" si="47"/>
        <v/>
      </c>
    </row>
    <row r="458" spans="1:10" ht="18.75" x14ac:dyDescent="0.25">
      <c r="A458" s="11" t="s">
        <v>2111</v>
      </c>
      <c r="B458">
        <f>IFERROR(COUNTIFS($A$1:A458,"Câu "&amp;"*")-MID(A458,5,FIND(".",A458,1)-5),0)</f>
        <v>0</v>
      </c>
      <c r="C458" t="b">
        <v>0</v>
      </c>
      <c r="E458" t="str">
        <f t="shared" si="42"/>
        <v>3</v>
      </c>
      <c r="F458" t="str">
        <f t="shared" si="43"/>
        <v>Câu 112.</v>
      </c>
      <c r="G458" t="str">
        <f t="shared" si="44"/>
        <v>1</v>
      </c>
      <c r="H458" t="str">
        <f t="shared" si="45"/>
        <v>2</v>
      </c>
      <c r="I458" t="str">
        <f t="shared" si="46"/>
        <v>3</v>
      </c>
      <c r="J458" t="str">
        <f t="shared" ca="1" si="47"/>
        <v/>
      </c>
    </row>
    <row r="459" spans="1:10" ht="18.75" x14ac:dyDescent="0.25">
      <c r="A459" s="10" t="s">
        <v>413</v>
      </c>
      <c r="B459">
        <f>IFERROR(COUNTIFS($A$1:A459,"Câu "&amp;"*")-MID(A459,5,FIND(".",A459,1)-5),0)</f>
        <v>0</v>
      </c>
      <c r="C459" t="b">
        <v>0</v>
      </c>
      <c r="E459" t="str">
        <f t="shared" si="42"/>
        <v>Câu 112.</v>
      </c>
      <c r="F459" t="str">
        <f t="shared" si="43"/>
        <v>1</v>
      </c>
      <c r="G459" t="str">
        <f t="shared" si="44"/>
        <v>2</v>
      </c>
      <c r="H459" t="str">
        <f t="shared" si="45"/>
        <v>3</v>
      </c>
      <c r="I459" t="str">
        <f t="shared" si="46"/>
        <v/>
      </c>
      <c r="J459" t="str">
        <f t="shared" ca="1" si="47"/>
        <v>2</v>
      </c>
    </row>
    <row r="460" spans="1:10" ht="18.75" x14ac:dyDescent="0.25">
      <c r="A460" s="11" t="s">
        <v>2112</v>
      </c>
      <c r="B460">
        <f>IFERROR(COUNTIFS($A$1:A460,"Câu "&amp;"*")-MID(A460,5,FIND(".",A460,1)-5),0)</f>
        <v>0</v>
      </c>
      <c r="C460" t="b">
        <v>0</v>
      </c>
      <c r="E460" t="str">
        <f t="shared" si="42"/>
        <v>1</v>
      </c>
      <c r="F460" t="str">
        <f t="shared" si="43"/>
        <v>2</v>
      </c>
      <c r="G460" t="str">
        <f t="shared" si="44"/>
        <v>3</v>
      </c>
      <c r="H460" t="str">
        <f t="shared" si="45"/>
        <v/>
      </c>
      <c r="I460" t="str">
        <f t="shared" si="46"/>
        <v>1</v>
      </c>
      <c r="J460" t="str">
        <f t="shared" ca="1" si="47"/>
        <v/>
      </c>
    </row>
    <row r="461" spans="1:10" ht="18.75" x14ac:dyDescent="0.25">
      <c r="A461" s="11" t="s">
        <v>2113</v>
      </c>
      <c r="B461">
        <f>IFERROR(COUNTIFS($A$1:A461,"Câu "&amp;"*")-MID(A461,5,FIND(".",A461,1)-5),0)</f>
        <v>0</v>
      </c>
      <c r="C461" t="b">
        <v>1</v>
      </c>
      <c r="E461" t="str">
        <f t="shared" si="42"/>
        <v>2</v>
      </c>
      <c r="F461" t="str">
        <f t="shared" si="43"/>
        <v>3</v>
      </c>
      <c r="G461" t="str">
        <f t="shared" si="44"/>
        <v>Câu 113.</v>
      </c>
      <c r="H461" t="str">
        <f t="shared" si="45"/>
        <v>1</v>
      </c>
      <c r="I461" t="str">
        <f t="shared" si="46"/>
        <v>2</v>
      </c>
      <c r="J461" t="str">
        <f t="shared" ca="1" si="47"/>
        <v/>
      </c>
    </row>
    <row r="462" spans="1:10" ht="18.75" x14ac:dyDescent="0.25">
      <c r="A462" s="11" t="s">
        <v>2114</v>
      </c>
      <c r="B462">
        <f>IFERROR(COUNTIFS($A$1:A462,"Câu "&amp;"*")-MID(A462,5,FIND(".",A462,1)-5),0)</f>
        <v>0</v>
      </c>
      <c r="C462" t="b">
        <v>0</v>
      </c>
      <c r="E462" t="str">
        <f t="shared" si="42"/>
        <v>3</v>
      </c>
      <c r="F462" t="str">
        <f t="shared" si="43"/>
        <v>Câu 113.</v>
      </c>
      <c r="G462" t="str">
        <f t="shared" si="44"/>
        <v>1</v>
      </c>
      <c r="H462" t="str">
        <f t="shared" si="45"/>
        <v>2</v>
      </c>
      <c r="I462" t="str">
        <f t="shared" si="46"/>
        <v>3</v>
      </c>
      <c r="J462" t="str">
        <f t="shared" ca="1" si="47"/>
        <v/>
      </c>
    </row>
    <row r="463" spans="1:10" ht="18.75" x14ac:dyDescent="0.25">
      <c r="A463" s="10" t="s">
        <v>417</v>
      </c>
      <c r="B463">
        <f>IFERROR(COUNTIFS($A$1:A463,"Câu "&amp;"*")-MID(A463,5,FIND(".",A463,1)-5),0)</f>
        <v>0</v>
      </c>
      <c r="C463" t="b">
        <v>0</v>
      </c>
      <c r="E463" t="str">
        <f t="shared" si="42"/>
        <v>Câu 113.</v>
      </c>
      <c r="F463" t="str">
        <f t="shared" si="43"/>
        <v>1</v>
      </c>
      <c r="G463" t="str">
        <f t="shared" si="44"/>
        <v>2</v>
      </c>
      <c r="H463" t="str">
        <f t="shared" si="45"/>
        <v>3</v>
      </c>
      <c r="I463" t="str">
        <f t="shared" si="46"/>
        <v/>
      </c>
      <c r="J463" t="str">
        <f t="shared" ca="1" si="47"/>
        <v>3</v>
      </c>
    </row>
    <row r="464" spans="1:10" ht="18.75" x14ac:dyDescent="0.25">
      <c r="A464" s="11" t="s">
        <v>2115</v>
      </c>
      <c r="B464">
        <f>IFERROR(COUNTIFS($A$1:A464,"Câu "&amp;"*")-MID(A464,5,FIND(".",A464,1)-5),0)</f>
        <v>0</v>
      </c>
      <c r="C464" t="b">
        <v>0</v>
      </c>
      <c r="E464" t="str">
        <f t="shared" si="42"/>
        <v>1</v>
      </c>
      <c r="F464" t="str">
        <f t="shared" si="43"/>
        <v>2</v>
      </c>
      <c r="G464" t="str">
        <f t="shared" si="44"/>
        <v>3</v>
      </c>
      <c r="H464" t="str">
        <f t="shared" si="45"/>
        <v/>
      </c>
      <c r="I464" t="str">
        <f t="shared" si="46"/>
        <v>1</v>
      </c>
      <c r="J464" t="str">
        <f t="shared" ca="1" si="47"/>
        <v/>
      </c>
    </row>
    <row r="465" spans="1:10" ht="18.75" x14ac:dyDescent="0.25">
      <c r="A465" s="11" t="s">
        <v>2116</v>
      </c>
      <c r="B465">
        <f>IFERROR(COUNTIFS($A$1:A465,"Câu "&amp;"*")-MID(A465,5,FIND(".",A465,1)-5),0)</f>
        <v>0</v>
      </c>
      <c r="C465" t="b">
        <v>0</v>
      </c>
      <c r="E465" t="str">
        <f t="shared" si="42"/>
        <v>2</v>
      </c>
      <c r="F465" t="str">
        <f t="shared" si="43"/>
        <v>3</v>
      </c>
      <c r="G465" t="str">
        <f t="shared" si="44"/>
        <v>Câu 114.</v>
      </c>
      <c r="H465" t="str">
        <f t="shared" si="45"/>
        <v>1</v>
      </c>
      <c r="I465" t="str">
        <f t="shared" si="46"/>
        <v>2</v>
      </c>
      <c r="J465" t="str">
        <f t="shared" ca="1" si="47"/>
        <v/>
      </c>
    </row>
    <row r="466" spans="1:10" ht="18.75" x14ac:dyDescent="0.25">
      <c r="A466" s="11" t="s">
        <v>1825</v>
      </c>
      <c r="B466">
        <f>IFERROR(COUNTIFS($A$1:A466,"Câu "&amp;"*")-MID(A466,5,FIND(".",A466,1)-5),0)</f>
        <v>0</v>
      </c>
      <c r="C466" t="b">
        <v>1</v>
      </c>
      <c r="E466" t="str">
        <f t="shared" si="42"/>
        <v>3</v>
      </c>
      <c r="F466" t="str">
        <f t="shared" si="43"/>
        <v>Câu 114.</v>
      </c>
      <c r="G466" t="str">
        <f t="shared" si="44"/>
        <v>1</v>
      </c>
      <c r="H466" t="str">
        <f t="shared" si="45"/>
        <v>2</v>
      </c>
      <c r="I466" t="str">
        <f t="shared" si="46"/>
        <v>3</v>
      </c>
      <c r="J466" t="str">
        <f t="shared" ca="1" si="47"/>
        <v/>
      </c>
    </row>
    <row r="467" spans="1:10" ht="18.75" x14ac:dyDescent="0.25">
      <c r="A467" s="10" t="s">
        <v>420</v>
      </c>
      <c r="B467">
        <f>IFERROR(COUNTIFS($A$1:A467,"Câu "&amp;"*")-MID(A467,5,FIND(".",A467,1)-5),0)</f>
        <v>0</v>
      </c>
      <c r="C467" t="b">
        <v>0</v>
      </c>
      <c r="E467" t="str">
        <f t="shared" si="42"/>
        <v>Câu 114.</v>
      </c>
      <c r="F467" t="str">
        <f t="shared" si="43"/>
        <v>1</v>
      </c>
      <c r="G467" t="str">
        <f t="shared" si="44"/>
        <v>2</v>
      </c>
      <c r="H467" t="str">
        <f t="shared" si="45"/>
        <v>3</v>
      </c>
      <c r="I467" t="str">
        <f t="shared" si="46"/>
        <v/>
      </c>
      <c r="J467" t="str">
        <f t="shared" ca="1" si="47"/>
        <v>3</v>
      </c>
    </row>
    <row r="468" spans="1:10" ht="281.25" x14ac:dyDescent="0.25">
      <c r="A468" s="3" t="s">
        <v>2117</v>
      </c>
      <c r="B468">
        <f>IFERROR(COUNTIFS($A$1:A468,"Câu "&amp;"*")-MID(A468,5,FIND(".",A468,1)-5),0)</f>
        <v>0</v>
      </c>
      <c r="C468" t="b">
        <v>0</v>
      </c>
      <c r="E468" t="str">
        <f t="shared" si="42"/>
        <v>1</v>
      </c>
      <c r="F468" t="str">
        <f t="shared" si="43"/>
        <v>2</v>
      </c>
      <c r="G468" t="str">
        <f t="shared" si="44"/>
        <v>3</v>
      </c>
      <c r="H468" t="str">
        <f t="shared" si="45"/>
        <v/>
      </c>
      <c r="I468" t="str">
        <f t="shared" si="46"/>
        <v>1</v>
      </c>
      <c r="J468" t="str">
        <f t="shared" ca="1" si="47"/>
        <v/>
      </c>
    </row>
    <row r="469" spans="1:10" ht="356.25" x14ac:dyDescent="0.25">
      <c r="A469" s="3" t="s">
        <v>2118</v>
      </c>
      <c r="B469">
        <f>IFERROR(COUNTIFS($A$1:A469,"Câu "&amp;"*")-MID(A469,5,FIND(".",A469,1)-5),0)</f>
        <v>0</v>
      </c>
      <c r="C469" t="b">
        <v>0</v>
      </c>
      <c r="E469" t="str">
        <f t="shared" si="42"/>
        <v>2</v>
      </c>
      <c r="F469" t="str">
        <f t="shared" si="43"/>
        <v>3</v>
      </c>
      <c r="G469" t="str">
        <f t="shared" si="44"/>
        <v>Câu 115.</v>
      </c>
      <c r="H469" t="str">
        <f t="shared" si="45"/>
        <v>1</v>
      </c>
      <c r="I469" t="str">
        <f t="shared" si="46"/>
        <v>2</v>
      </c>
      <c r="J469" t="str">
        <f t="shared" ca="1" si="47"/>
        <v/>
      </c>
    </row>
    <row r="470" spans="1:10" ht="409.5" x14ac:dyDescent="0.25">
      <c r="A470" s="3" t="s">
        <v>2119</v>
      </c>
      <c r="B470">
        <f>IFERROR(COUNTIFS($A$1:A470,"Câu "&amp;"*")-MID(A470,5,FIND(".",A470,1)-5),0)</f>
        <v>0</v>
      </c>
      <c r="C470" t="b">
        <v>1</v>
      </c>
      <c r="E470" t="str">
        <f t="shared" si="42"/>
        <v>3</v>
      </c>
      <c r="F470" t="str">
        <f t="shared" si="43"/>
        <v>Câu 115.</v>
      </c>
      <c r="G470" t="str">
        <f t="shared" si="44"/>
        <v>1</v>
      </c>
      <c r="H470" t="str">
        <f t="shared" si="45"/>
        <v>2</v>
      </c>
      <c r="I470" t="str">
        <f t="shared" si="46"/>
        <v>3</v>
      </c>
      <c r="J470" t="str">
        <f t="shared" ca="1" si="47"/>
        <v/>
      </c>
    </row>
    <row r="471" spans="1:10" ht="281.25" x14ac:dyDescent="0.25">
      <c r="A471" s="4" t="s">
        <v>424</v>
      </c>
      <c r="B471">
        <f>IFERROR(COUNTIFS($A$1:A471,"Câu "&amp;"*")-MID(A471,5,FIND(".",A471,1)-5),0)</f>
        <v>0</v>
      </c>
      <c r="C471" t="b">
        <v>0</v>
      </c>
      <c r="E471" t="str">
        <f t="shared" si="42"/>
        <v>Câu 115.</v>
      </c>
      <c r="F471" t="str">
        <f t="shared" si="43"/>
        <v>1</v>
      </c>
      <c r="G471" t="str">
        <f t="shared" si="44"/>
        <v>2</v>
      </c>
      <c r="H471" t="str">
        <f t="shared" si="45"/>
        <v>3</v>
      </c>
      <c r="I471" t="str">
        <f t="shared" si="46"/>
        <v/>
      </c>
      <c r="J471" t="str">
        <f t="shared" ca="1" si="47"/>
        <v>3</v>
      </c>
    </row>
    <row r="472" spans="1:10" ht="18.75" x14ac:dyDescent="0.25">
      <c r="A472" s="11" t="s">
        <v>2120</v>
      </c>
      <c r="B472">
        <f>IFERROR(COUNTIFS($A$1:A472,"Câu "&amp;"*")-MID(A472,5,FIND(".",A472,1)-5),0)</f>
        <v>0</v>
      </c>
      <c r="C472" t="b">
        <v>0</v>
      </c>
      <c r="E472" t="str">
        <f t="shared" si="42"/>
        <v>1</v>
      </c>
      <c r="F472" t="str">
        <f t="shared" si="43"/>
        <v>2</v>
      </c>
      <c r="G472" t="str">
        <f t="shared" si="44"/>
        <v>3</v>
      </c>
      <c r="H472" t="str">
        <f t="shared" si="45"/>
        <v/>
      </c>
      <c r="I472" t="str">
        <f t="shared" si="46"/>
        <v>1</v>
      </c>
      <c r="J472" t="str">
        <f t="shared" ca="1" si="47"/>
        <v/>
      </c>
    </row>
    <row r="473" spans="1:10" ht="18.75" x14ac:dyDescent="0.25">
      <c r="A473" s="11" t="s">
        <v>2121</v>
      </c>
      <c r="B473">
        <f>IFERROR(COUNTIFS($A$1:A473,"Câu "&amp;"*")-MID(A473,5,FIND(".",A473,1)-5),0)</f>
        <v>0</v>
      </c>
      <c r="C473" t="b">
        <v>0</v>
      </c>
      <c r="E473" t="str">
        <f t="shared" si="42"/>
        <v>2</v>
      </c>
      <c r="F473" t="str">
        <f t="shared" si="43"/>
        <v>3</v>
      </c>
      <c r="G473" t="str">
        <f t="shared" si="44"/>
        <v>Câu 116.</v>
      </c>
      <c r="H473" t="str">
        <f t="shared" si="45"/>
        <v>1</v>
      </c>
      <c r="I473" t="str">
        <f t="shared" si="46"/>
        <v>2</v>
      </c>
      <c r="J473" t="str">
        <f t="shared" ca="1" si="47"/>
        <v/>
      </c>
    </row>
    <row r="474" spans="1:10" ht="18.75" x14ac:dyDescent="0.25">
      <c r="A474" s="11" t="s">
        <v>2122</v>
      </c>
      <c r="B474">
        <f>IFERROR(COUNTIFS($A$1:A474,"Câu "&amp;"*")-MID(A474,5,FIND(".",A474,1)-5),0)</f>
        <v>0</v>
      </c>
      <c r="C474" t="b">
        <v>1</v>
      </c>
      <c r="E474" t="str">
        <f t="shared" si="42"/>
        <v>3</v>
      </c>
      <c r="F474" t="str">
        <f t="shared" si="43"/>
        <v>Câu 116.</v>
      </c>
      <c r="G474" t="str">
        <f t="shared" si="44"/>
        <v>1</v>
      </c>
      <c r="H474" t="str">
        <f t="shared" si="45"/>
        <v>2</v>
      </c>
      <c r="I474" t="str">
        <f t="shared" si="46"/>
        <v/>
      </c>
      <c r="J474" t="str">
        <f t="shared" ca="1" si="47"/>
        <v/>
      </c>
    </row>
    <row r="475" spans="1:10" ht="409.5" x14ac:dyDescent="0.25">
      <c r="A475" s="4" t="s">
        <v>428</v>
      </c>
      <c r="B475">
        <f>IFERROR(COUNTIFS($A$1:A475,"Câu "&amp;"*")-MID(A475,5,FIND(".",A475,1)-5),0)</f>
        <v>0</v>
      </c>
      <c r="C475" t="b">
        <v>0</v>
      </c>
      <c r="E475" t="str">
        <f t="shared" si="42"/>
        <v>Câu 116.</v>
      </c>
      <c r="F475" t="str">
        <f t="shared" si="43"/>
        <v>1</v>
      </c>
      <c r="G475" t="str">
        <f t="shared" si="44"/>
        <v>2</v>
      </c>
      <c r="H475" t="str">
        <f t="shared" si="45"/>
        <v/>
      </c>
      <c r="I475" t="str">
        <f t="shared" si="46"/>
        <v>1</v>
      </c>
      <c r="J475" t="str">
        <f t="shared" ca="1" si="47"/>
        <v>2</v>
      </c>
    </row>
    <row r="476" spans="1:10" ht="18.75" x14ac:dyDescent="0.25">
      <c r="A476" s="3" t="s">
        <v>2123</v>
      </c>
      <c r="B476">
        <f>IFERROR(COUNTIFS($A$1:A476,"Câu "&amp;"*")-MID(A476,5,FIND(".",A476,1)-5),0)</f>
        <v>0</v>
      </c>
      <c r="C476" t="b">
        <v>0</v>
      </c>
      <c r="E476" t="str">
        <f t="shared" si="42"/>
        <v>1</v>
      </c>
      <c r="F476" t="str">
        <f t="shared" si="43"/>
        <v>2</v>
      </c>
      <c r="G476" t="str">
        <f t="shared" si="44"/>
        <v>Câu 117.</v>
      </c>
      <c r="H476" t="str">
        <f t="shared" si="45"/>
        <v>1</v>
      </c>
      <c r="I476" t="str">
        <f t="shared" si="46"/>
        <v>2</v>
      </c>
      <c r="J476" t="str">
        <f t="shared" ca="1" si="47"/>
        <v/>
      </c>
    </row>
    <row r="477" spans="1:10" ht="37.5" x14ac:dyDescent="0.25">
      <c r="A477" s="3" t="s">
        <v>2124</v>
      </c>
      <c r="B477">
        <f>IFERROR(COUNTIFS($A$1:A477,"Câu "&amp;"*")-MID(A477,5,FIND(".",A477,1)-5),0)</f>
        <v>0</v>
      </c>
      <c r="C477" t="b">
        <v>1</v>
      </c>
      <c r="E477" t="str">
        <f t="shared" si="42"/>
        <v>2</v>
      </c>
      <c r="F477" t="str">
        <f t="shared" si="43"/>
        <v>Câu 117.</v>
      </c>
      <c r="G477" t="str">
        <f t="shared" si="44"/>
        <v>1</v>
      </c>
      <c r="H477" t="str">
        <f t="shared" si="45"/>
        <v>2</v>
      </c>
      <c r="I477" t="str">
        <f t="shared" si="46"/>
        <v>3</v>
      </c>
      <c r="J477" t="str">
        <f t="shared" ca="1" si="47"/>
        <v/>
      </c>
    </row>
    <row r="478" spans="1:10" ht="409.5" x14ac:dyDescent="0.25">
      <c r="A478" s="4" t="s">
        <v>431</v>
      </c>
      <c r="B478">
        <f>IFERROR(COUNTIFS($A$1:A478,"Câu "&amp;"*")-MID(A478,5,FIND(".",A478,1)-5),0)</f>
        <v>0</v>
      </c>
      <c r="C478" t="b">
        <v>0</v>
      </c>
      <c r="E478" t="str">
        <f t="shared" si="42"/>
        <v>Câu 117.</v>
      </c>
      <c r="F478" t="str">
        <f t="shared" si="43"/>
        <v>1</v>
      </c>
      <c r="G478" t="str">
        <f t="shared" si="44"/>
        <v>2</v>
      </c>
      <c r="H478" t="str">
        <f t="shared" si="45"/>
        <v>3</v>
      </c>
      <c r="I478" t="str">
        <f t="shared" si="46"/>
        <v>4</v>
      </c>
      <c r="J478" t="str">
        <f t="shared" ca="1" si="47"/>
        <v>4</v>
      </c>
    </row>
    <row r="479" spans="1:10" ht="18.75" x14ac:dyDescent="0.25">
      <c r="A479" s="11" t="s">
        <v>2125</v>
      </c>
      <c r="B479">
        <f>IFERROR(COUNTIFS($A$1:A479,"Câu "&amp;"*")-MID(A479,5,FIND(".",A479,1)-5),0)</f>
        <v>0</v>
      </c>
      <c r="C479" t="b">
        <v>0</v>
      </c>
      <c r="E479" t="str">
        <f t="shared" si="42"/>
        <v>1</v>
      </c>
      <c r="F479" t="str">
        <f t="shared" si="43"/>
        <v>2</v>
      </c>
      <c r="G479" t="str">
        <f t="shared" si="44"/>
        <v>3</v>
      </c>
      <c r="H479" t="str">
        <f t="shared" si="45"/>
        <v>4</v>
      </c>
      <c r="I479" t="str">
        <f t="shared" si="46"/>
        <v/>
      </c>
      <c r="J479" t="str">
        <f t="shared" ca="1" si="47"/>
        <v/>
      </c>
    </row>
    <row r="480" spans="1:10" ht="18.75" x14ac:dyDescent="0.25">
      <c r="A480" s="11" t="s">
        <v>2126</v>
      </c>
      <c r="B480">
        <f>IFERROR(COUNTIFS($A$1:A480,"Câu "&amp;"*")-MID(A480,5,FIND(".",A480,1)-5),0)</f>
        <v>0</v>
      </c>
      <c r="C480" t="b">
        <v>0</v>
      </c>
      <c r="E480" t="str">
        <f t="shared" si="42"/>
        <v>2</v>
      </c>
      <c r="F480" t="str">
        <f t="shared" si="43"/>
        <v>3</v>
      </c>
      <c r="G480" t="str">
        <f t="shared" si="44"/>
        <v>4</v>
      </c>
      <c r="H480" t="str">
        <f t="shared" si="45"/>
        <v/>
      </c>
      <c r="I480" t="str">
        <f t="shared" si="46"/>
        <v>1</v>
      </c>
      <c r="J480" t="str">
        <f t="shared" ca="1" si="47"/>
        <v/>
      </c>
    </row>
    <row r="481" spans="1:10" ht="18.75" x14ac:dyDescent="0.25">
      <c r="A481" s="11" t="s">
        <v>2127</v>
      </c>
      <c r="B481">
        <f>IFERROR(COUNTIFS($A$1:A481,"Câu "&amp;"*")-MID(A481,5,FIND(".",A481,1)-5),0)</f>
        <v>0</v>
      </c>
      <c r="C481" t="b">
        <v>0</v>
      </c>
      <c r="E481" t="str">
        <f t="shared" si="42"/>
        <v>3</v>
      </c>
      <c r="F481" t="str">
        <f t="shared" si="43"/>
        <v>4</v>
      </c>
      <c r="G481" t="str">
        <f t="shared" si="44"/>
        <v>Câu 118.</v>
      </c>
      <c r="H481" t="str">
        <f t="shared" si="45"/>
        <v>1</v>
      </c>
      <c r="I481" t="str">
        <f t="shared" si="46"/>
        <v>2</v>
      </c>
      <c r="J481" t="str">
        <f t="shared" ca="1" si="47"/>
        <v/>
      </c>
    </row>
    <row r="482" spans="1:10" ht="18.75" x14ac:dyDescent="0.25">
      <c r="A482" s="11" t="s">
        <v>1865</v>
      </c>
      <c r="B482">
        <f>IFERROR(COUNTIFS($A$1:A482,"Câu "&amp;"*")-MID(A482,5,FIND(".",A482,1)-5),0)</f>
        <v>0</v>
      </c>
      <c r="C482" t="b">
        <v>1</v>
      </c>
      <c r="E482" t="str">
        <f t="shared" si="42"/>
        <v>4</v>
      </c>
      <c r="F482" t="str">
        <f t="shared" si="43"/>
        <v>Câu 118.</v>
      </c>
      <c r="G482" t="str">
        <f t="shared" si="44"/>
        <v>1</v>
      </c>
      <c r="H482" t="str">
        <f t="shared" si="45"/>
        <v>2</v>
      </c>
      <c r="I482" t="str">
        <f t="shared" si="46"/>
        <v>3</v>
      </c>
      <c r="J482" t="str">
        <f t="shared" ca="1" si="47"/>
        <v/>
      </c>
    </row>
    <row r="483" spans="1:10" ht="409.5" x14ac:dyDescent="0.25">
      <c r="A483" s="4" t="s">
        <v>435</v>
      </c>
      <c r="B483">
        <f>IFERROR(COUNTIFS($A$1:A483,"Câu "&amp;"*")-MID(A483,5,FIND(".",A483,1)-5),0)</f>
        <v>0</v>
      </c>
      <c r="C483" t="b">
        <v>0</v>
      </c>
      <c r="E483" t="str">
        <f t="shared" si="42"/>
        <v>Câu 118.</v>
      </c>
      <c r="F483" t="str">
        <f t="shared" si="43"/>
        <v>1</v>
      </c>
      <c r="G483" t="str">
        <f t="shared" si="44"/>
        <v>2</v>
      </c>
      <c r="H483" t="str">
        <f t="shared" si="45"/>
        <v>3</v>
      </c>
      <c r="I483" t="str">
        <f t="shared" si="46"/>
        <v/>
      </c>
      <c r="J483" t="str">
        <f t="shared" ca="1" si="47"/>
        <v>1</v>
      </c>
    </row>
    <row r="484" spans="1:10" ht="18.75" x14ac:dyDescent="0.25">
      <c r="A484" s="11" t="s">
        <v>2128</v>
      </c>
      <c r="B484">
        <f>IFERROR(COUNTIFS($A$1:A484,"Câu "&amp;"*")-MID(A484,5,FIND(".",A484,1)-5),0)</f>
        <v>0</v>
      </c>
      <c r="C484" t="b">
        <v>1</v>
      </c>
      <c r="E484" t="str">
        <f t="shared" si="42"/>
        <v>1</v>
      </c>
      <c r="F484" t="str">
        <f t="shared" si="43"/>
        <v>2</v>
      </c>
      <c r="G484" t="str">
        <f t="shared" si="44"/>
        <v>3</v>
      </c>
      <c r="H484" t="str">
        <f t="shared" si="45"/>
        <v/>
      </c>
      <c r="I484" t="str">
        <f t="shared" si="46"/>
        <v>1</v>
      </c>
      <c r="J484" t="str">
        <f t="shared" ca="1" si="47"/>
        <v/>
      </c>
    </row>
    <row r="485" spans="1:10" ht="18.75" x14ac:dyDescent="0.25">
      <c r="A485" s="11" t="s">
        <v>2129</v>
      </c>
      <c r="B485">
        <f>IFERROR(COUNTIFS($A$1:A485,"Câu "&amp;"*")-MID(A485,5,FIND(".",A485,1)-5),0)</f>
        <v>0</v>
      </c>
      <c r="C485" t="b">
        <v>0</v>
      </c>
      <c r="E485" t="str">
        <f t="shared" si="42"/>
        <v>2</v>
      </c>
      <c r="F485" t="str">
        <f t="shared" si="43"/>
        <v>3</v>
      </c>
      <c r="G485" t="str">
        <f t="shared" si="44"/>
        <v>Câu 119.</v>
      </c>
      <c r="H485" t="str">
        <f t="shared" si="45"/>
        <v>1</v>
      </c>
      <c r="I485" t="str">
        <f t="shared" si="46"/>
        <v>2</v>
      </c>
      <c r="J485" t="str">
        <f t="shared" ca="1" si="47"/>
        <v/>
      </c>
    </row>
    <row r="486" spans="1:10" ht="18.75" x14ac:dyDescent="0.25">
      <c r="A486" s="11" t="s">
        <v>2130</v>
      </c>
      <c r="B486">
        <f>IFERROR(COUNTIFS($A$1:A486,"Câu "&amp;"*")-MID(A486,5,FIND(".",A486,1)-5),0)</f>
        <v>0</v>
      </c>
      <c r="C486" t="b">
        <v>0</v>
      </c>
      <c r="E486" t="str">
        <f t="shared" si="42"/>
        <v>3</v>
      </c>
      <c r="F486" t="str">
        <f t="shared" si="43"/>
        <v>Câu 119.</v>
      </c>
      <c r="G486" t="str">
        <f t="shared" si="44"/>
        <v>1</v>
      </c>
      <c r="H486" t="str">
        <f t="shared" si="45"/>
        <v>2</v>
      </c>
      <c r="I486" t="str">
        <f t="shared" si="46"/>
        <v>3</v>
      </c>
      <c r="J486" t="str">
        <f t="shared" ca="1" si="47"/>
        <v/>
      </c>
    </row>
    <row r="487" spans="1:10" ht="409.5" x14ac:dyDescent="0.25">
      <c r="A487" s="4" t="s">
        <v>439</v>
      </c>
      <c r="B487">
        <f>IFERROR(COUNTIFS($A$1:A487,"Câu "&amp;"*")-MID(A487,5,FIND(".",A487,1)-5),0)</f>
        <v>0</v>
      </c>
      <c r="C487" t="b">
        <v>0</v>
      </c>
      <c r="E487" t="str">
        <f t="shared" si="42"/>
        <v>Câu 119.</v>
      </c>
      <c r="F487" t="str">
        <f t="shared" si="43"/>
        <v>1</v>
      </c>
      <c r="G487" t="str">
        <f t="shared" si="44"/>
        <v>2</v>
      </c>
      <c r="H487" t="str">
        <f t="shared" si="45"/>
        <v>3</v>
      </c>
      <c r="I487" t="str">
        <f t="shared" si="46"/>
        <v/>
      </c>
      <c r="J487" t="str">
        <f t="shared" ca="1" si="47"/>
        <v>3</v>
      </c>
    </row>
    <row r="488" spans="1:10" ht="18.75" x14ac:dyDescent="0.25">
      <c r="A488" s="11" t="s">
        <v>2131</v>
      </c>
      <c r="B488">
        <f>IFERROR(COUNTIFS($A$1:A488,"Câu "&amp;"*")-MID(A488,5,FIND(".",A488,1)-5),0)</f>
        <v>0</v>
      </c>
      <c r="C488" t="b">
        <v>0</v>
      </c>
      <c r="E488" t="str">
        <f t="shared" si="42"/>
        <v>1</v>
      </c>
      <c r="F488" t="str">
        <f t="shared" si="43"/>
        <v>2</v>
      </c>
      <c r="G488" t="str">
        <f t="shared" si="44"/>
        <v>3</v>
      </c>
      <c r="H488" t="str">
        <f t="shared" si="45"/>
        <v/>
      </c>
      <c r="I488" t="str">
        <f t="shared" si="46"/>
        <v>1</v>
      </c>
      <c r="J488" t="str">
        <f t="shared" ca="1" si="47"/>
        <v/>
      </c>
    </row>
    <row r="489" spans="1:10" ht="18.75" x14ac:dyDescent="0.25">
      <c r="A489" s="11" t="s">
        <v>2132</v>
      </c>
      <c r="B489">
        <f>IFERROR(COUNTIFS($A$1:A489,"Câu "&amp;"*")-MID(A489,5,FIND(".",A489,1)-5),0)</f>
        <v>0</v>
      </c>
      <c r="C489" t="b">
        <v>0</v>
      </c>
      <c r="E489" t="str">
        <f t="shared" si="42"/>
        <v>2</v>
      </c>
      <c r="F489" t="str">
        <f t="shared" si="43"/>
        <v>3</v>
      </c>
      <c r="G489" t="str">
        <f t="shared" si="44"/>
        <v>Câu 120.</v>
      </c>
      <c r="H489" t="str">
        <f t="shared" si="45"/>
        <v>1</v>
      </c>
      <c r="I489" t="str">
        <f t="shared" si="46"/>
        <v>2</v>
      </c>
      <c r="J489" t="str">
        <f t="shared" ca="1" si="47"/>
        <v/>
      </c>
    </row>
    <row r="490" spans="1:10" ht="18.75" x14ac:dyDescent="0.25">
      <c r="A490" s="11" t="s">
        <v>2133</v>
      </c>
      <c r="B490">
        <f>IFERROR(COUNTIFS($A$1:A490,"Câu "&amp;"*")-MID(A490,5,FIND(".",A490,1)-5),0)</f>
        <v>0</v>
      </c>
      <c r="C490" t="b">
        <v>1</v>
      </c>
      <c r="E490" t="str">
        <f t="shared" si="42"/>
        <v>3</v>
      </c>
      <c r="F490" t="str">
        <f t="shared" si="43"/>
        <v>Câu 120.</v>
      </c>
      <c r="G490" t="str">
        <f t="shared" si="44"/>
        <v>1</v>
      </c>
      <c r="H490" t="str">
        <f t="shared" si="45"/>
        <v>2</v>
      </c>
      <c r="I490" t="str">
        <f t="shared" si="46"/>
        <v>3</v>
      </c>
      <c r="J490" t="str">
        <f t="shared" ca="1" si="47"/>
        <v/>
      </c>
    </row>
    <row r="491" spans="1:10" ht="409.5" x14ac:dyDescent="0.25">
      <c r="A491" s="4" t="s">
        <v>441</v>
      </c>
      <c r="B491">
        <f>IFERROR(COUNTIFS($A$1:A491,"Câu "&amp;"*")-MID(A491,5,FIND(".",A491,1)-5),0)</f>
        <v>0</v>
      </c>
      <c r="C491" t="b">
        <v>0</v>
      </c>
      <c r="E491" t="str">
        <f t="shared" si="42"/>
        <v>Câu 120.</v>
      </c>
      <c r="F491" t="str">
        <f t="shared" si="43"/>
        <v>1</v>
      </c>
      <c r="G491" t="str">
        <f t="shared" si="44"/>
        <v>2</v>
      </c>
      <c r="H491" t="str">
        <f t="shared" si="45"/>
        <v>3</v>
      </c>
      <c r="I491" t="str">
        <f t="shared" si="46"/>
        <v>4</v>
      </c>
      <c r="J491" t="str">
        <f t="shared" ca="1" si="47"/>
        <v>3</v>
      </c>
    </row>
    <row r="492" spans="1:10" ht="18.75" x14ac:dyDescent="0.25">
      <c r="A492" s="11" t="s">
        <v>2134</v>
      </c>
      <c r="B492">
        <f>IFERROR(COUNTIFS($A$1:A492,"Câu "&amp;"*")-MID(A492,5,FIND(".",A492,1)-5),0)</f>
        <v>0</v>
      </c>
      <c r="C492" t="b">
        <v>0</v>
      </c>
      <c r="E492" t="str">
        <f t="shared" si="42"/>
        <v>1</v>
      </c>
      <c r="F492" t="str">
        <f t="shared" si="43"/>
        <v>2</v>
      </c>
      <c r="G492" t="str">
        <f t="shared" si="44"/>
        <v>3</v>
      </c>
      <c r="H492" t="str">
        <f t="shared" si="45"/>
        <v>4</v>
      </c>
      <c r="I492" t="str">
        <f t="shared" si="46"/>
        <v/>
      </c>
      <c r="J492" t="str">
        <f t="shared" ca="1" si="47"/>
        <v/>
      </c>
    </row>
    <row r="493" spans="1:10" ht="18.75" x14ac:dyDescent="0.25">
      <c r="A493" s="11" t="s">
        <v>2135</v>
      </c>
      <c r="B493">
        <f>IFERROR(COUNTIFS($A$1:A493,"Câu "&amp;"*")-MID(A493,5,FIND(".",A493,1)-5),0)</f>
        <v>0</v>
      </c>
      <c r="C493" t="b">
        <v>0</v>
      </c>
      <c r="E493" t="str">
        <f t="shared" si="42"/>
        <v>2</v>
      </c>
      <c r="F493" t="str">
        <f t="shared" si="43"/>
        <v>3</v>
      </c>
      <c r="G493" t="str">
        <f t="shared" si="44"/>
        <v>4</v>
      </c>
      <c r="H493" t="str">
        <f t="shared" si="45"/>
        <v/>
      </c>
      <c r="I493" t="str">
        <f t="shared" si="46"/>
        <v>1</v>
      </c>
      <c r="J493" t="str">
        <f t="shared" ca="1" si="47"/>
        <v/>
      </c>
    </row>
    <row r="494" spans="1:10" ht="18.75" x14ac:dyDescent="0.25">
      <c r="A494" s="11" t="s">
        <v>2136</v>
      </c>
      <c r="B494">
        <f>IFERROR(COUNTIFS($A$1:A494,"Câu "&amp;"*")-MID(A494,5,FIND(".",A494,1)-5),0)</f>
        <v>0</v>
      </c>
      <c r="C494" t="b">
        <v>1</v>
      </c>
      <c r="E494" t="str">
        <f t="shared" si="42"/>
        <v>3</v>
      </c>
      <c r="F494" t="str">
        <f t="shared" si="43"/>
        <v>4</v>
      </c>
      <c r="G494" t="str">
        <f t="shared" si="44"/>
        <v>Câu 121.</v>
      </c>
      <c r="H494" t="str">
        <f t="shared" si="45"/>
        <v>1</v>
      </c>
      <c r="I494" t="str">
        <f t="shared" si="46"/>
        <v>2</v>
      </c>
      <c r="J494" t="str">
        <f t="shared" ca="1" si="47"/>
        <v/>
      </c>
    </row>
    <row r="495" spans="1:10" ht="18.75" x14ac:dyDescent="0.25">
      <c r="A495" s="11" t="s">
        <v>2137</v>
      </c>
      <c r="B495">
        <f>IFERROR(COUNTIFS($A$1:A495,"Câu "&amp;"*")-MID(A495,5,FIND(".",A495,1)-5),0)</f>
        <v>0</v>
      </c>
      <c r="C495" t="b">
        <v>0</v>
      </c>
      <c r="E495" t="str">
        <f t="shared" si="42"/>
        <v>4</v>
      </c>
      <c r="F495" t="str">
        <f t="shared" si="43"/>
        <v>Câu 121.</v>
      </c>
      <c r="G495" t="str">
        <f t="shared" si="44"/>
        <v>1</v>
      </c>
      <c r="H495" t="str">
        <f t="shared" si="45"/>
        <v>2</v>
      </c>
      <c r="I495" t="str">
        <f t="shared" si="46"/>
        <v>3</v>
      </c>
      <c r="J495" t="str">
        <f t="shared" ca="1" si="47"/>
        <v/>
      </c>
    </row>
    <row r="496" spans="1:10" ht="409.5" x14ac:dyDescent="0.25">
      <c r="A496" s="4" t="s">
        <v>446</v>
      </c>
      <c r="B496">
        <f>IFERROR(COUNTIFS($A$1:A496,"Câu "&amp;"*")-MID(A496,5,FIND(".",A496,1)-5),0)</f>
        <v>0</v>
      </c>
      <c r="C496" t="b">
        <v>0</v>
      </c>
      <c r="E496" t="str">
        <f t="shared" si="42"/>
        <v>Câu 121.</v>
      </c>
      <c r="F496" t="str">
        <f t="shared" si="43"/>
        <v>1</v>
      </c>
      <c r="G496" t="str">
        <f t="shared" si="44"/>
        <v>2</v>
      </c>
      <c r="H496" t="str">
        <f t="shared" si="45"/>
        <v>3</v>
      </c>
      <c r="I496" t="str">
        <f t="shared" si="46"/>
        <v/>
      </c>
      <c r="J496" t="str">
        <f t="shared" ca="1" si="47"/>
        <v>3</v>
      </c>
    </row>
    <row r="497" spans="1:10" ht="18.75" x14ac:dyDescent="0.25">
      <c r="A497" s="11" t="s">
        <v>2138</v>
      </c>
      <c r="B497">
        <f>IFERROR(COUNTIFS($A$1:A497,"Câu "&amp;"*")-MID(A497,5,FIND(".",A497,1)-5),0)</f>
        <v>0</v>
      </c>
      <c r="C497" t="b">
        <v>0</v>
      </c>
      <c r="E497" t="str">
        <f t="shared" si="42"/>
        <v>1</v>
      </c>
      <c r="F497" t="str">
        <f t="shared" si="43"/>
        <v>2</v>
      </c>
      <c r="G497" t="str">
        <f t="shared" si="44"/>
        <v>3</v>
      </c>
      <c r="H497" t="str">
        <f t="shared" si="45"/>
        <v/>
      </c>
      <c r="I497" t="str">
        <f t="shared" si="46"/>
        <v>1</v>
      </c>
      <c r="J497" t="str">
        <f t="shared" ca="1" si="47"/>
        <v/>
      </c>
    </row>
    <row r="498" spans="1:10" ht="18.75" x14ac:dyDescent="0.25">
      <c r="A498" s="11" t="s">
        <v>2139</v>
      </c>
      <c r="B498">
        <f>IFERROR(COUNTIFS($A$1:A498,"Câu "&amp;"*")-MID(A498,5,FIND(".",A498,1)-5),0)</f>
        <v>0</v>
      </c>
      <c r="C498" t="b">
        <v>0</v>
      </c>
      <c r="E498" t="str">
        <f t="shared" si="42"/>
        <v>2</v>
      </c>
      <c r="F498" t="str">
        <f t="shared" si="43"/>
        <v>3</v>
      </c>
      <c r="G498" t="str">
        <f t="shared" si="44"/>
        <v>Câu 122.</v>
      </c>
      <c r="H498" t="str">
        <f t="shared" si="45"/>
        <v>1</v>
      </c>
      <c r="I498" t="str">
        <f t="shared" si="46"/>
        <v>2</v>
      </c>
      <c r="J498" t="str">
        <f t="shared" ca="1" si="47"/>
        <v/>
      </c>
    </row>
    <row r="499" spans="1:10" ht="18.75" x14ac:dyDescent="0.25">
      <c r="A499" s="11" t="s">
        <v>2140</v>
      </c>
      <c r="B499">
        <f>IFERROR(COUNTIFS($A$1:A499,"Câu "&amp;"*")-MID(A499,5,FIND(".",A499,1)-5),0)</f>
        <v>0</v>
      </c>
      <c r="C499" t="b">
        <v>1</v>
      </c>
      <c r="E499" t="str">
        <f t="shared" si="42"/>
        <v>3</v>
      </c>
      <c r="F499" t="str">
        <f t="shared" si="43"/>
        <v>Câu 122.</v>
      </c>
      <c r="G499" t="str">
        <f t="shared" si="44"/>
        <v>1</v>
      </c>
      <c r="H499" t="str">
        <f t="shared" si="45"/>
        <v>2</v>
      </c>
      <c r="I499" t="str">
        <f t="shared" si="46"/>
        <v>3</v>
      </c>
      <c r="J499" t="str">
        <f t="shared" ca="1" si="47"/>
        <v/>
      </c>
    </row>
    <row r="500" spans="1:10" ht="409.5" x14ac:dyDescent="0.25">
      <c r="A500" s="4" t="s">
        <v>450</v>
      </c>
      <c r="B500">
        <f>IFERROR(COUNTIFS($A$1:A500,"Câu "&amp;"*")-MID(A500,5,FIND(".",A500,1)-5),0)</f>
        <v>0</v>
      </c>
      <c r="C500" t="b">
        <v>0</v>
      </c>
      <c r="E500" t="str">
        <f t="shared" si="42"/>
        <v>Câu 122.</v>
      </c>
      <c r="F500" t="str">
        <f t="shared" si="43"/>
        <v>1</v>
      </c>
      <c r="G500" t="str">
        <f t="shared" si="44"/>
        <v>2</v>
      </c>
      <c r="H500" t="str">
        <f t="shared" si="45"/>
        <v>3</v>
      </c>
      <c r="I500" t="str">
        <f t="shared" si="46"/>
        <v/>
      </c>
      <c r="J500" t="str">
        <f t="shared" ca="1" si="47"/>
        <v>2</v>
      </c>
    </row>
    <row r="501" spans="1:10" ht="18.75" x14ac:dyDescent="0.25">
      <c r="A501" s="11" t="s">
        <v>2134</v>
      </c>
      <c r="B501">
        <f>IFERROR(COUNTIFS($A$1:A501,"Câu "&amp;"*")-MID(A501,5,FIND(".",A501,1)-5),0)</f>
        <v>0</v>
      </c>
      <c r="C501" t="b">
        <v>0</v>
      </c>
      <c r="E501" t="str">
        <f t="shared" si="42"/>
        <v>1</v>
      </c>
      <c r="F501" t="str">
        <f t="shared" si="43"/>
        <v>2</v>
      </c>
      <c r="G501" t="str">
        <f t="shared" si="44"/>
        <v>3</v>
      </c>
      <c r="H501" t="str">
        <f t="shared" si="45"/>
        <v/>
      </c>
      <c r="I501" t="str">
        <f t="shared" si="46"/>
        <v>1</v>
      </c>
      <c r="J501" t="str">
        <f t="shared" ca="1" si="47"/>
        <v/>
      </c>
    </row>
    <row r="502" spans="1:10" ht="18.75" x14ac:dyDescent="0.25">
      <c r="A502" s="11" t="s">
        <v>2141</v>
      </c>
      <c r="B502">
        <f>IFERROR(COUNTIFS($A$1:A502,"Câu "&amp;"*")-MID(A502,5,FIND(".",A502,1)-5),0)</f>
        <v>0</v>
      </c>
      <c r="C502" t="b">
        <v>1</v>
      </c>
      <c r="E502" t="str">
        <f t="shared" si="42"/>
        <v>2</v>
      </c>
      <c r="F502" t="str">
        <f t="shared" si="43"/>
        <v>3</v>
      </c>
      <c r="G502" t="str">
        <f t="shared" si="44"/>
        <v>Câu 123.</v>
      </c>
      <c r="H502" t="str">
        <f t="shared" si="45"/>
        <v>1</v>
      </c>
      <c r="I502" t="str">
        <f t="shared" si="46"/>
        <v>2</v>
      </c>
      <c r="J502" t="str">
        <f t="shared" ca="1" si="47"/>
        <v/>
      </c>
    </row>
    <row r="503" spans="1:10" ht="18.75" x14ac:dyDescent="0.25">
      <c r="A503" s="11" t="s">
        <v>2142</v>
      </c>
      <c r="B503">
        <f>IFERROR(COUNTIFS($A$1:A503,"Câu "&amp;"*")-MID(A503,5,FIND(".",A503,1)-5),0)</f>
        <v>0</v>
      </c>
      <c r="C503" t="b">
        <v>0</v>
      </c>
      <c r="E503" t="str">
        <f t="shared" si="42"/>
        <v>3</v>
      </c>
      <c r="F503" t="str">
        <f t="shared" si="43"/>
        <v>Câu 123.</v>
      </c>
      <c r="G503" t="str">
        <f t="shared" si="44"/>
        <v>1</v>
      </c>
      <c r="H503" t="str">
        <f t="shared" si="45"/>
        <v>2</v>
      </c>
      <c r="I503" t="str">
        <f t="shared" si="46"/>
        <v>3</v>
      </c>
      <c r="J503" t="str">
        <f t="shared" ca="1" si="47"/>
        <v/>
      </c>
    </row>
    <row r="504" spans="1:10" ht="18.75" x14ac:dyDescent="0.25">
      <c r="A504" s="10" t="s">
        <v>453</v>
      </c>
      <c r="B504">
        <f>IFERROR(COUNTIFS($A$1:A504,"Câu "&amp;"*")-MID(A504,5,FIND(".",A504,1)-5),0)</f>
        <v>0</v>
      </c>
      <c r="C504" t="b">
        <v>0</v>
      </c>
      <c r="E504" t="str">
        <f t="shared" si="42"/>
        <v>Câu 123.</v>
      </c>
      <c r="F504" t="str">
        <f t="shared" si="43"/>
        <v>1</v>
      </c>
      <c r="G504" t="str">
        <f t="shared" si="44"/>
        <v>2</v>
      </c>
      <c r="H504" t="str">
        <f t="shared" si="45"/>
        <v>3</v>
      </c>
      <c r="I504" t="str">
        <f t="shared" si="46"/>
        <v>4</v>
      </c>
      <c r="J504" t="str">
        <f t="shared" ca="1" si="47"/>
        <v>2</v>
      </c>
    </row>
    <row r="505" spans="1:10" ht="22.5" x14ac:dyDescent="0.25">
      <c r="A505" s="11" t="s">
        <v>2143</v>
      </c>
      <c r="B505">
        <f>IFERROR(COUNTIFS($A$1:A505,"Câu "&amp;"*")-MID(A505,5,FIND(".",A505,1)-5),0)</f>
        <v>0</v>
      </c>
      <c r="C505" t="b">
        <v>0</v>
      </c>
      <c r="E505" t="str">
        <f t="shared" si="42"/>
        <v>1</v>
      </c>
      <c r="F505" t="str">
        <f t="shared" si="43"/>
        <v>2</v>
      </c>
      <c r="G505" t="str">
        <f t="shared" si="44"/>
        <v>3</v>
      </c>
      <c r="H505" t="str">
        <f t="shared" si="45"/>
        <v>4</v>
      </c>
      <c r="I505" t="str">
        <f t="shared" si="46"/>
        <v/>
      </c>
      <c r="J505" t="str">
        <f t="shared" ca="1" si="47"/>
        <v/>
      </c>
    </row>
    <row r="506" spans="1:10" ht="18.75" x14ac:dyDescent="0.25">
      <c r="A506" s="11" t="s">
        <v>2144</v>
      </c>
      <c r="B506">
        <f>IFERROR(COUNTIFS($A$1:A506,"Câu "&amp;"*")-MID(A506,5,FIND(".",A506,1)-5),0)</f>
        <v>0</v>
      </c>
      <c r="C506" t="b">
        <v>1</v>
      </c>
      <c r="E506" t="str">
        <f t="shared" si="42"/>
        <v>2</v>
      </c>
      <c r="F506" t="str">
        <f t="shared" si="43"/>
        <v>3</v>
      </c>
      <c r="G506" t="str">
        <f t="shared" si="44"/>
        <v>4</v>
      </c>
      <c r="H506" t="str">
        <f t="shared" si="45"/>
        <v/>
      </c>
      <c r="I506" t="str">
        <f t="shared" si="46"/>
        <v>1</v>
      </c>
      <c r="J506" t="str">
        <f t="shared" ca="1" si="47"/>
        <v/>
      </c>
    </row>
    <row r="507" spans="1:10" ht="409.5" x14ac:dyDescent="0.25">
      <c r="A507" s="3" t="s">
        <v>2145</v>
      </c>
      <c r="B507">
        <f>IFERROR(COUNTIFS($A$1:A507,"Câu "&amp;"*")-MID(A507,5,FIND(".",A507,1)-5),0)</f>
        <v>0</v>
      </c>
      <c r="C507" t="b">
        <v>0</v>
      </c>
      <c r="E507" t="str">
        <f t="shared" si="42"/>
        <v>3</v>
      </c>
      <c r="F507" t="str">
        <f t="shared" si="43"/>
        <v>4</v>
      </c>
      <c r="G507" t="str">
        <f t="shared" si="44"/>
        <v>Câu 124.</v>
      </c>
      <c r="H507" t="str">
        <f t="shared" si="45"/>
        <v>1</v>
      </c>
      <c r="I507" t="str">
        <f t="shared" si="46"/>
        <v>2</v>
      </c>
      <c r="J507" t="str">
        <f t="shared" ca="1" si="47"/>
        <v/>
      </c>
    </row>
    <row r="508" spans="1:10" ht="37.5" x14ac:dyDescent="0.25">
      <c r="A508" s="3" t="s">
        <v>1811</v>
      </c>
      <c r="B508">
        <f>IFERROR(COUNTIFS($A$1:A508,"Câu "&amp;"*")-MID(A508,5,FIND(".",A508,1)-5),0)</f>
        <v>0</v>
      </c>
      <c r="C508" t="b">
        <v>0</v>
      </c>
      <c r="E508" t="str">
        <f t="shared" si="42"/>
        <v>4</v>
      </c>
      <c r="F508" t="str">
        <f t="shared" si="43"/>
        <v>Câu 124.</v>
      </c>
      <c r="G508" t="str">
        <f t="shared" si="44"/>
        <v>1</v>
      </c>
      <c r="H508" t="str">
        <f t="shared" si="45"/>
        <v>2</v>
      </c>
      <c r="I508" t="str">
        <f t="shared" si="46"/>
        <v>3</v>
      </c>
      <c r="J508" t="str">
        <f t="shared" ca="1" si="47"/>
        <v/>
      </c>
    </row>
    <row r="509" spans="1:10" ht="300" x14ac:dyDescent="0.25">
      <c r="A509" s="4" t="s">
        <v>457</v>
      </c>
      <c r="B509">
        <f>IFERROR(COUNTIFS($A$1:A509,"Câu "&amp;"*")-MID(A509,5,FIND(".",A509,1)-5),0)</f>
        <v>0</v>
      </c>
      <c r="C509" t="b">
        <v>0</v>
      </c>
      <c r="E509" t="str">
        <f t="shared" si="42"/>
        <v>Câu 124.</v>
      </c>
      <c r="F509" t="str">
        <f t="shared" si="43"/>
        <v>1</v>
      </c>
      <c r="G509" t="str">
        <f t="shared" si="44"/>
        <v>2</v>
      </c>
      <c r="H509" t="str">
        <f t="shared" si="45"/>
        <v>3</v>
      </c>
      <c r="I509" t="str">
        <f t="shared" si="46"/>
        <v/>
      </c>
      <c r="J509" t="str">
        <f t="shared" ca="1" si="47"/>
        <v>2</v>
      </c>
    </row>
    <row r="510" spans="1:10" ht="22.5" x14ac:dyDescent="0.25">
      <c r="A510" s="11" t="s">
        <v>2146</v>
      </c>
      <c r="B510">
        <f>IFERROR(COUNTIFS($A$1:A510,"Câu "&amp;"*")-MID(A510,5,FIND(".",A510,1)-5),0)</f>
        <v>0</v>
      </c>
      <c r="C510" t="b">
        <v>0</v>
      </c>
      <c r="E510" t="str">
        <f t="shared" si="42"/>
        <v>1</v>
      </c>
      <c r="F510" t="str">
        <f t="shared" si="43"/>
        <v>2</v>
      </c>
      <c r="G510" t="str">
        <f t="shared" si="44"/>
        <v>3</v>
      </c>
      <c r="H510" t="str">
        <f t="shared" si="45"/>
        <v/>
      </c>
      <c r="I510" t="str">
        <f t="shared" si="46"/>
        <v>1</v>
      </c>
      <c r="J510" t="str">
        <f t="shared" ca="1" si="47"/>
        <v/>
      </c>
    </row>
    <row r="511" spans="1:10" ht="18.75" x14ac:dyDescent="0.25">
      <c r="A511" s="11" t="s">
        <v>2147</v>
      </c>
      <c r="B511">
        <f>IFERROR(COUNTIFS($A$1:A511,"Câu "&amp;"*")-MID(A511,5,FIND(".",A511,1)-5),0)</f>
        <v>0</v>
      </c>
      <c r="C511" t="b">
        <v>1</v>
      </c>
      <c r="E511" t="str">
        <f t="shared" si="42"/>
        <v>2</v>
      </c>
      <c r="F511" t="str">
        <f t="shared" si="43"/>
        <v>3</v>
      </c>
      <c r="G511" t="str">
        <f t="shared" si="44"/>
        <v>Câu 125.</v>
      </c>
      <c r="H511" t="str">
        <f t="shared" si="45"/>
        <v>1</v>
      </c>
      <c r="I511" t="str">
        <f t="shared" si="46"/>
        <v>X</v>
      </c>
      <c r="J511" t="str">
        <f t="shared" ca="1" si="47"/>
        <v/>
      </c>
    </row>
    <row r="512" spans="1:10" ht="18.75" x14ac:dyDescent="0.25">
      <c r="A512" s="11" t="s">
        <v>1814</v>
      </c>
      <c r="B512">
        <f>IFERROR(COUNTIFS($A$1:A512,"Câu "&amp;"*")-MID(A512,5,FIND(".",A512,1)-5),0)</f>
        <v>0</v>
      </c>
      <c r="C512" t="b">
        <v>0</v>
      </c>
      <c r="E512" t="str">
        <f t="shared" si="42"/>
        <v>3</v>
      </c>
      <c r="F512" t="str">
        <f t="shared" si="43"/>
        <v>Câu 125.</v>
      </c>
      <c r="G512" t="str">
        <f t="shared" si="44"/>
        <v>1</v>
      </c>
      <c r="H512" t="str">
        <f t="shared" si="45"/>
        <v>X</v>
      </c>
      <c r="I512" t="str">
        <f t="shared" si="46"/>
        <v>2</v>
      </c>
      <c r="J512" t="str">
        <f t="shared" ca="1" si="47"/>
        <v/>
      </c>
    </row>
    <row r="513" spans="1:10" ht="18.75" x14ac:dyDescent="0.25">
      <c r="A513" s="10" t="s">
        <v>460</v>
      </c>
      <c r="B513">
        <f>IFERROR(COUNTIFS($A$1:A513,"Câu "&amp;"*")-MID(A513,5,FIND(".",A513,1)-5),0)</f>
        <v>0</v>
      </c>
      <c r="C513" t="b">
        <v>0</v>
      </c>
      <c r="E513" t="str">
        <f t="shared" si="42"/>
        <v>Câu 125.</v>
      </c>
      <c r="F513" t="str">
        <f t="shared" si="43"/>
        <v>1</v>
      </c>
      <c r="G513" t="str">
        <f t="shared" si="44"/>
        <v>X</v>
      </c>
      <c r="H513" t="str">
        <f t="shared" si="45"/>
        <v>2</v>
      </c>
      <c r="I513" t="str">
        <f t="shared" si="46"/>
        <v>3</v>
      </c>
      <c r="J513" t="str">
        <f t="shared" ca="1" si="47"/>
        <v>X</v>
      </c>
    </row>
    <row r="514" spans="1:10" ht="18.75" x14ac:dyDescent="0.25">
      <c r="A514" s="11" t="s">
        <v>2148</v>
      </c>
      <c r="B514">
        <f>IFERROR(COUNTIFS($A$1:A514,"Câu "&amp;"*")-MID(A514,5,FIND(".",A514,1)-5),0)</f>
        <v>0</v>
      </c>
      <c r="C514" t="b">
        <v>0</v>
      </c>
      <c r="E514" t="str">
        <f t="shared" si="42"/>
        <v>1</v>
      </c>
      <c r="F514" t="str">
        <f t="shared" si="43"/>
        <v>X</v>
      </c>
      <c r="G514" t="str">
        <f t="shared" si="44"/>
        <v>2</v>
      </c>
      <c r="H514" t="str">
        <f t="shared" si="45"/>
        <v>3</v>
      </c>
      <c r="I514" t="str">
        <f t="shared" si="46"/>
        <v/>
      </c>
      <c r="J514" t="str">
        <f t="shared" ca="1" si="47"/>
        <v/>
      </c>
    </row>
    <row r="515" spans="1:10" ht="22.5" x14ac:dyDescent="0.25">
      <c r="A515" s="11" t="s">
        <v>2149</v>
      </c>
      <c r="B515">
        <f>IFERROR(COUNTIFS($A$1:A515,"Câu "&amp;"*")-MID(A515,5,FIND(".",A515,1)-5),0)</f>
        <v>0</v>
      </c>
      <c r="C515" t="b">
        <v>1</v>
      </c>
      <c r="E515" t="str">
        <f t="shared" ref="E515:E578" si="48">IF(LEFT(A515,3)="Câu",LEFT(A515,FIND(".",A515,1)),LEFT(A515,1))</f>
        <v>X</v>
      </c>
      <c r="F515" t="str">
        <f t="shared" ref="F515:F578" si="49">IF(LEFT(A516,3)="Câu",LEFT(A516,FIND(".",A516,1)),LEFT(A516,1))</f>
        <v>2</v>
      </c>
      <c r="G515" t="str">
        <f t="shared" ref="G515:G578" si="50">IF(LEFT(A517,3)="Câu",LEFT(A517,FIND(".",A517,1)),LEFT(A517,1))</f>
        <v>3</v>
      </c>
      <c r="H515" t="str">
        <f t="shared" ref="H515:H578" si="51">IF(LEFT(A518,3)="Câu","",LEFT(A518,1))</f>
        <v/>
      </c>
      <c r="I515" t="str">
        <f t="shared" ref="I515:I578" si="52">IF(LEFT(A519,3)="Câu","",LEFT(A519,1))</f>
        <v>1</v>
      </c>
      <c r="J515" t="str">
        <f t="shared" ref="J515:J578" ca="1" si="53">IFERROR(VLOOKUP(TRUE,INDIRECT("C"&amp;MATCH(E515,$E$1:$E$2471,0)&amp;":E"&amp;MATCH("Câu "&amp;VALUE(MID(E515,5,LEN(E515)-5))+1&amp;".",$E$1:$E$2471,0)),3,0),"")</f>
        <v/>
      </c>
    </row>
    <row r="516" spans="1:10" ht="18.75" x14ac:dyDescent="0.25">
      <c r="A516" s="11" t="s">
        <v>2150</v>
      </c>
      <c r="B516">
        <f>IFERROR(COUNTIFS($A$1:A516,"Câu "&amp;"*")-MID(A516,5,FIND(".",A516,1)-5),0)</f>
        <v>0</v>
      </c>
      <c r="C516" t="b">
        <v>0</v>
      </c>
      <c r="E516" t="str">
        <f t="shared" si="48"/>
        <v>2</v>
      </c>
      <c r="F516" t="str">
        <f t="shared" si="49"/>
        <v>3</v>
      </c>
      <c r="G516" t="str">
        <f t="shared" si="50"/>
        <v>Câu 126.</v>
      </c>
      <c r="H516" t="str">
        <f t="shared" si="51"/>
        <v>1</v>
      </c>
      <c r="I516" t="str">
        <f t="shared" si="52"/>
        <v>2</v>
      </c>
      <c r="J516" t="str">
        <f t="shared" ca="1" si="53"/>
        <v/>
      </c>
    </row>
    <row r="517" spans="1:10" ht="18.75" x14ac:dyDescent="0.25">
      <c r="A517" s="11" t="s">
        <v>2151</v>
      </c>
      <c r="B517">
        <f>IFERROR(COUNTIFS($A$1:A517,"Câu "&amp;"*")-MID(A517,5,FIND(".",A517,1)-5),0)</f>
        <v>0</v>
      </c>
      <c r="C517" t="b">
        <v>0</v>
      </c>
      <c r="E517" t="str">
        <f t="shared" si="48"/>
        <v>3</v>
      </c>
      <c r="F517" t="str">
        <f t="shared" si="49"/>
        <v>Câu 126.</v>
      </c>
      <c r="G517" t="str">
        <f t="shared" si="50"/>
        <v>1</v>
      </c>
      <c r="H517" t="str">
        <f t="shared" si="51"/>
        <v>2</v>
      </c>
      <c r="I517" t="str">
        <f t="shared" si="52"/>
        <v>3</v>
      </c>
      <c r="J517" t="str">
        <f t="shared" ca="1" si="53"/>
        <v/>
      </c>
    </row>
    <row r="518" spans="1:10" ht="18.75" x14ac:dyDescent="0.25">
      <c r="A518" s="10" t="s">
        <v>463</v>
      </c>
      <c r="B518">
        <f>IFERROR(COUNTIFS($A$1:A518,"Câu "&amp;"*")-MID(A518,5,FIND(".",A518,1)-5),0)</f>
        <v>0</v>
      </c>
      <c r="C518" t="b">
        <v>0</v>
      </c>
      <c r="E518" t="str">
        <f t="shared" si="48"/>
        <v>Câu 126.</v>
      </c>
      <c r="F518" t="str">
        <f t="shared" si="49"/>
        <v>1</v>
      </c>
      <c r="G518" t="str">
        <f t="shared" si="50"/>
        <v>2</v>
      </c>
      <c r="H518" t="str">
        <f t="shared" si="51"/>
        <v>3</v>
      </c>
      <c r="I518" t="str">
        <f t="shared" si="52"/>
        <v/>
      </c>
      <c r="J518" t="str">
        <f t="shared" ca="1" si="53"/>
        <v>3</v>
      </c>
    </row>
    <row r="519" spans="1:10" ht="22.5" x14ac:dyDescent="0.25">
      <c r="A519" s="11" t="s">
        <v>2152</v>
      </c>
      <c r="B519">
        <f>IFERROR(COUNTIFS($A$1:A519,"Câu "&amp;"*")-MID(A519,5,FIND(".",A519,1)-5),0)</f>
        <v>0</v>
      </c>
      <c r="C519" t="b">
        <v>0</v>
      </c>
      <c r="E519" t="str">
        <f t="shared" si="48"/>
        <v>1</v>
      </c>
      <c r="F519" t="str">
        <f t="shared" si="49"/>
        <v>2</v>
      </c>
      <c r="G519" t="str">
        <f t="shared" si="50"/>
        <v>3</v>
      </c>
      <c r="H519" t="str">
        <f t="shared" si="51"/>
        <v/>
      </c>
      <c r="I519" t="str">
        <f t="shared" si="52"/>
        <v>1</v>
      </c>
      <c r="J519" t="str">
        <f t="shared" ca="1" si="53"/>
        <v/>
      </c>
    </row>
    <row r="520" spans="1:10" ht="22.5" x14ac:dyDescent="0.25">
      <c r="A520" s="11" t="s">
        <v>2153</v>
      </c>
      <c r="B520">
        <f>IFERROR(COUNTIFS($A$1:A520,"Câu "&amp;"*")-MID(A520,5,FIND(".",A520,1)-5),0)</f>
        <v>0</v>
      </c>
      <c r="C520" t="b">
        <v>0</v>
      </c>
      <c r="E520" t="str">
        <f t="shared" si="48"/>
        <v>2</v>
      </c>
      <c r="F520" t="str">
        <f t="shared" si="49"/>
        <v>3</v>
      </c>
      <c r="G520" t="str">
        <f t="shared" si="50"/>
        <v>Câu 127.</v>
      </c>
      <c r="H520" t="str">
        <f t="shared" si="51"/>
        <v>1</v>
      </c>
      <c r="I520" t="str">
        <f t="shared" si="52"/>
        <v>2</v>
      </c>
      <c r="J520" t="str">
        <f t="shared" ca="1" si="53"/>
        <v/>
      </c>
    </row>
    <row r="521" spans="1:10" ht="18.75" x14ac:dyDescent="0.25">
      <c r="A521" s="11" t="s">
        <v>1825</v>
      </c>
      <c r="B521">
        <f>IFERROR(COUNTIFS($A$1:A521,"Câu "&amp;"*")-MID(A521,5,FIND(".",A521,1)-5),0)</f>
        <v>0</v>
      </c>
      <c r="C521" t="b">
        <v>1</v>
      </c>
      <c r="E521" t="str">
        <f t="shared" si="48"/>
        <v>3</v>
      </c>
      <c r="F521" t="str">
        <f t="shared" si="49"/>
        <v>Câu 127.</v>
      </c>
      <c r="G521" t="str">
        <f t="shared" si="50"/>
        <v>1</v>
      </c>
      <c r="H521" t="str">
        <f t="shared" si="51"/>
        <v>2</v>
      </c>
      <c r="I521" t="str">
        <f t="shared" si="52"/>
        <v>3</v>
      </c>
      <c r="J521" t="str">
        <f t="shared" ca="1" si="53"/>
        <v/>
      </c>
    </row>
    <row r="522" spans="1:10" ht="18.75" x14ac:dyDescent="0.25">
      <c r="A522" s="10" t="s">
        <v>465</v>
      </c>
      <c r="B522">
        <f>IFERROR(COUNTIFS($A$1:A522,"Câu "&amp;"*")-MID(A522,5,FIND(".",A522,1)-5),0)</f>
        <v>0</v>
      </c>
      <c r="C522" t="b">
        <v>0</v>
      </c>
      <c r="E522" t="str">
        <f t="shared" si="48"/>
        <v>Câu 127.</v>
      </c>
      <c r="F522" t="str">
        <f t="shared" si="49"/>
        <v>1</v>
      </c>
      <c r="G522" t="str">
        <f t="shared" si="50"/>
        <v>2</v>
      </c>
      <c r="H522" t="str">
        <f t="shared" si="51"/>
        <v>3</v>
      </c>
      <c r="I522" t="str">
        <f t="shared" si="52"/>
        <v/>
      </c>
      <c r="J522" t="str">
        <f t="shared" ca="1" si="53"/>
        <v>3</v>
      </c>
    </row>
    <row r="523" spans="1:10" ht="18.75" x14ac:dyDescent="0.25">
      <c r="A523" s="11" t="s">
        <v>2154</v>
      </c>
      <c r="B523">
        <f>IFERROR(COUNTIFS($A$1:A523,"Câu "&amp;"*")-MID(A523,5,FIND(".",A523,1)-5),0)</f>
        <v>0</v>
      </c>
      <c r="C523" t="b">
        <v>0</v>
      </c>
      <c r="E523" t="str">
        <f t="shared" si="48"/>
        <v>1</v>
      </c>
      <c r="F523" t="str">
        <f t="shared" si="49"/>
        <v>2</v>
      </c>
      <c r="G523" t="str">
        <f t="shared" si="50"/>
        <v>3</v>
      </c>
      <c r="H523" t="str">
        <f t="shared" si="51"/>
        <v/>
      </c>
      <c r="I523" t="str">
        <f t="shared" si="52"/>
        <v>1</v>
      </c>
      <c r="J523" t="str">
        <f t="shared" ca="1" si="53"/>
        <v/>
      </c>
    </row>
    <row r="524" spans="1:10" ht="18.75" x14ac:dyDescent="0.25">
      <c r="A524" s="11" t="s">
        <v>2155</v>
      </c>
      <c r="B524">
        <f>IFERROR(COUNTIFS($A$1:A524,"Câu "&amp;"*")-MID(A524,5,FIND(".",A524,1)-5),0)</f>
        <v>0</v>
      </c>
      <c r="C524" t="b">
        <v>0</v>
      </c>
      <c r="E524" t="str">
        <f t="shared" si="48"/>
        <v>2</v>
      </c>
      <c r="F524" t="str">
        <f t="shared" si="49"/>
        <v>3</v>
      </c>
      <c r="G524" t="str">
        <f t="shared" si="50"/>
        <v>Câu 128.</v>
      </c>
      <c r="H524" t="str">
        <f t="shared" si="51"/>
        <v>1</v>
      </c>
      <c r="I524" t="str">
        <f t="shared" si="52"/>
        <v>2</v>
      </c>
      <c r="J524" t="str">
        <f t="shared" ca="1" si="53"/>
        <v/>
      </c>
    </row>
    <row r="525" spans="1:10" ht="18.75" x14ac:dyDescent="0.25">
      <c r="A525" s="11" t="s">
        <v>1825</v>
      </c>
      <c r="B525">
        <f>IFERROR(COUNTIFS($A$1:A525,"Câu "&amp;"*")-MID(A525,5,FIND(".",A525,1)-5),0)</f>
        <v>0</v>
      </c>
      <c r="C525" t="b">
        <v>1</v>
      </c>
      <c r="E525" t="str">
        <f t="shared" si="48"/>
        <v>3</v>
      </c>
      <c r="F525" t="str">
        <f t="shared" si="49"/>
        <v>Câu 128.</v>
      </c>
      <c r="G525" t="str">
        <f t="shared" si="50"/>
        <v>1</v>
      </c>
      <c r="H525" t="str">
        <f t="shared" si="51"/>
        <v>2</v>
      </c>
      <c r="I525" t="str">
        <f t="shared" si="52"/>
        <v>3</v>
      </c>
      <c r="J525" t="str">
        <f t="shared" ca="1" si="53"/>
        <v/>
      </c>
    </row>
    <row r="526" spans="1:10" ht="18.75" x14ac:dyDescent="0.25">
      <c r="A526" s="10" t="s">
        <v>468</v>
      </c>
      <c r="B526">
        <f>IFERROR(COUNTIFS($A$1:A526,"Câu "&amp;"*")-MID(A526,5,FIND(".",A526,1)-5),0)</f>
        <v>0</v>
      </c>
      <c r="C526" t="b">
        <v>0</v>
      </c>
      <c r="E526" t="str">
        <f t="shared" si="48"/>
        <v>Câu 128.</v>
      </c>
      <c r="F526" t="str">
        <f t="shared" si="49"/>
        <v>1</v>
      </c>
      <c r="G526" t="str">
        <f t="shared" si="50"/>
        <v>2</v>
      </c>
      <c r="H526" t="str">
        <f t="shared" si="51"/>
        <v>3</v>
      </c>
      <c r="I526" t="str">
        <f t="shared" si="52"/>
        <v/>
      </c>
      <c r="J526" t="str">
        <f t="shared" ca="1" si="53"/>
        <v>2</v>
      </c>
    </row>
    <row r="527" spans="1:10" ht="409.5" x14ac:dyDescent="0.25">
      <c r="A527" s="3" t="s">
        <v>2156</v>
      </c>
      <c r="B527">
        <f>IFERROR(COUNTIFS($A$1:A527,"Câu "&amp;"*")-MID(A527,5,FIND(".",A527,1)-5),0)</f>
        <v>0</v>
      </c>
      <c r="C527" t="b">
        <v>0</v>
      </c>
      <c r="E527" t="str">
        <f t="shared" si="48"/>
        <v>1</v>
      </c>
      <c r="F527" t="str">
        <f t="shared" si="49"/>
        <v>2</v>
      </c>
      <c r="G527" t="str">
        <f t="shared" si="50"/>
        <v>3</v>
      </c>
      <c r="H527" t="str">
        <f t="shared" si="51"/>
        <v/>
      </c>
      <c r="I527" t="str">
        <f t="shared" si="52"/>
        <v>1</v>
      </c>
      <c r="J527" t="str">
        <f t="shared" ca="1" si="53"/>
        <v/>
      </c>
    </row>
    <row r="528" spans="1:10" ht="409.5" x14ac:dyDescent="0.25">
      <c r="A528" s="3" t="s">
        <v>2157</v>
      </c>
      <c r="B528">
        <f>IFERROR(COUNTIFS($A$1:A528,"Câu "&amp;"*")-MID(A528,5,FIND(".",A528,1)-5),0)</f>
        <v>0</v>
      </c>
      <c r="C528" t="b">
        <v>1</v>
      </c>
      <c r="E528" t="str">
        <f t="shared" si="48"/>
        <v>2</v>
      </c>
      <c r="F528" t="str">
        <f t="shared" si="49"/>
        <v>3</v>
      </c>
      <c r="G528" t="str">
        <f t="shared" si="50"/>
        <v>Câu 129.</v>
      </c>
      <c r="H528" t="str">
        <f t="shared" si="51"/>
        <v>1</v>
      </c>
      <c r="I528" t="str">
        <f t="shared" si="52"/>
        <v>2</v>
      </c>
      <c r="J528" t="str">
        <f t="shared" ca="1" si="53"/>
        <v/>
      </c>
    </row>
    <row r="529" spans="1:10" ht="37.5" x14ac:dyDescent="0.25">
      <c r="A529" s="3" t="s">
        <v>1814</v>
      </c>
      <c r="B529">
        <f>IFERROR(COUNTIFS($A$1:A529,"Câu "&amp;"*")-MID(A529,5,FIND(".",A529,1)-5),0)</f>
        <v>0</v>
      </c>
      <c r="C529" t="b">
        <v>0</v>
      </c>
      <c r="E529" t="str">
        <f t="shared" si="48"/>
        <v>3</v>
      </c>
      <c r="F529" t="str">
        <f t="shared" si="49"/>
        <v>Câu 129.</v>
      </c>
      <c r="G529" t="str">
        <f t="shared" si="50"/>
        <v>1</v>
      </c>
      <c r="H529" t="str">
        <f t="shared" si="51"/>
        <v>2</v>
      </c>
      <c r="I529" t="str">
        <f t="shared" si="52"/>
        <v>3</v>
      </c>
      <c r="J529" t="str">
        <f t="shared" ca="1" si="53"/>
        <v/>
      </c>
    </row>
    <row r="530" spans="1:10" ht="243.75" x14ac:dyDescent="0.25">
      <c r="A530" s="4" t="s">
        <v>471</v>
      </c>
      <c r="B530">
        <f>IFERROR(COUNTIFS($A$1:A530,"Câu "&amp;"*")-MID(A530,5,FIND(".",A530,1)-5),0)</f>
        <v>0</v>
      </c>
      <c r="C530" t="b">
        <v>0</v>
      </c>
      <c r="E530" t="str">
        <f t="shared" si="48"/>
        <v>Câu 129.</v>
      </c>
      <c r="F530" t="str">
        <f t="shared" si="49"/>
        <v>1</v>
      </c>
      <c r="G530" t="str">
        <f t="shared" si="50"/>
        <v>2</v>
      </c>
      <c r="H530" t="str">
        <f t="shared" si="51"/>
        <v>3</v>
      </c>
      <c r="I530" t="str">
        <f t="shared" si="52"/>
        <v/>
      </c>
      <c r="J530" t="str">
        <f t="shared" ca="1" si="53"/>
        <v>3</v>
      </c>
    </row>
    <row r="531" spans="1:10" ht="409.5" x14ac:dyDescent="0.25">
      <c r="A531" s="3" t="s">
        <v>2158</v>
      </c>
      <c r="B531">
        <f>IFERROR(COUNTIFS($A$1:A531,"Câu "&amp;"*")-MID(A531,5,FIND(".",A531,1)-5),0)</f>
        <v>0</v>
      </c>
      <c r="C531" t="b">
        <v>0</v>
      </c>
      <c r="E531" t="str">
        <f t="shared" si="48"/>
        <v>1</v>
      </c>
      <c r="F531" t="str">
        <f t="shared" si="49"/>
        <v>2</v>
      </c>
      <c r="G531" t="str">
        <f t="shared" si="50"/>
        <v>3</v>
      </c>
      <c r="H531" t="str">
        <f t="shared" si="51"/>
        <v/>
      </c>
      <c r="I531" t="str">
        <f t="shared" si="52"/>
        <v>1</v>
      </c>
      <c r="J531" t="str">
        <f t="shared" ca="1" si="53"/>
        <v/>
      </c>
    </row>
    <row r="532" spans="1:10" ht="409.5" x14ac:dyDescent="0.25">
      <c r="A532" s="3" t="s">
        <v>2159</v>
      </c>
      <c r="B532">
        <f>IFERROR(COUNTIFS($A$1:A532,"Câu "&amp;"*")-MID(A532,5,FIND(".",A532,1)-5),0)</f>
        <v>0</v>
      </c>
      <c r="C532" t="b">
        <v>0</v>
      </c>
      <c r="E532" t="str">
        <f t="shared" si="48"/>
        <v>2</v>
      </c>
      <c r="F532" t="str">
        <f t="shared" si="49"/>
        <v>3</v>
      </c>
      <c r="G532" t="str">
        <f t="shared" si="50"/>
        <v>Câu 130.</v>
      </c>
      <c r="H532" t="str">
        <f t="shared" si="51"/>
        <v>1</v>
      </c>
      <c r="I532" t="str">
        <f t="shared" si="52"/>
        <v>2</v>
      </c>
      <c r="J532" t="str">
        <f t="shared" ca="1" si="53"/>
        <v/>
      </c>
    </row>
    <row r="533" spans="1:10" ht="37.5" x14ac:dyDescent="0.25">
      <c r="A533" s="3" t="s">
        <v>1825</v>
      </c>
      <c r="B533">
        <f>IFERROR(COUNTIFS($A$1:A533,"Câu "&amp;"*")-MID(A533,5,FIND(".",A533,1)-5),0)</f>
        <v>0</v>
      </c>
      <c r="C533" t="b">
        <v>1</v>
      </c>
      <c r="E533" t="str">
        <f t="shared" si="48"/>
        <v>3</v>
      </c>
      <c r="F533" t="str">
        <f t="shared" si="49"/>
        <v>Câu 130.</v>
      </c>
      <c r="G533" t="str">
        <f t="shared" si="50"/>
        <v>1</v>
      </c>
      <c r="H533" t="str">
        <f t="shared" si="51"/>
        <v>2</v>
      </c>
      <c r="I533" t="str">
        <f t="shared" si="52"/>
        <v>3</v>
      </c>
      <c r="J533" t="str">
        <f t="shared" ca="1" si="53"/>
        <v/>
      </c>
    </row>
    <row r="534" spans="1:10" ht="262.5" x14ac:dyDescent="0.25">
      <c r="A534" s="4" t="s">
        <v>474</v>
      </c>
      <c r="B534">
        <f>IFERROR(COUNTIFS($A$1:A534,"Câu "&amp;"*")-MID(A534,5,FIND(".",A534,1)-5),0)</f>
        <v>0</v>
      </c>
      <c r="C534" t="b">
        <v>0</v>
      </c>
      <c r="E534" t="str">
        <f t="shared" si="48"/>
        <v>Câu 130.</v>
      </c>
      <c r="F534" t="str">
        <f t="shared" si="49"/>
        <v>1</v>
      </c>
      <c r="G534" t="str">
        <f t="shared" si="50"/>
        <v>2</v>
      </c>
      <c r="H534" t="str">
        <f t="shared" si="51"/>
        <v>3</v>
      </c>
      <c r="I534" t="str">
        <f t="shared" si="52"/>
        <v/>
      </c>
      <c r="J534" t="str">
        <f t="shared" ca="1" si="53"/>
        <v>2</v>
      </c>
    </row>
    <row r="535" spans="1:10" ht="409.5" x14ac:dyDescent="0.25">
      <c r="A535" s="3" t="s">
        <v>2160</v>
      </c>
      <c r="B535">
        <f>IFERROR(COUNTIFS($A$1:A535,"Câu "&amp;"*")-MID(A535,5,FIND(".",A535,1)-5),0)</f>
        <v>0</v>
      </c>
      <c r="C535" t="b">
        <v>0</v>
      </c>
      <c r="E535" t="str">
        <f t="shared" si="48"/>
        <v>1</v>
      </c>
      <c r="F535" t="str">
        <f t="shared" si="49"/>
        <v>2</v>
      </c>
      <c r="G535" t="str">
        <f t="shared" si="50"/>
        <v>3</v>
      </c>
      <c r="H535" t="str">
        <f t="shared" si="51"/>
        <v/>
      </c>
      <c r="I535" t="str">
        <f t="shared" si="52"/>
        <v>1</v>
      </c>
      <c r="J535" t="str">
        <f t="shared" ca="1" si="53"/>
        <v/>
      </c>
    </row>
    <row r="536" spans="1:10" ht="409.5" x14ac:dyDescent="0.25">
      <c r="A536" s="3" t="s">
        <v>2161</v>
      </c>
      <c r="B536">
        <f>IFERROR(COUNTIFS($A$1:A536,"Câu "&amp;"*")-MID(A536,5,FIND(".",A536,1)-5),0)</f>
        <v>0</v>
      </c>
      <c r="C536" t="b">
        <v>1</v>
      </c>
      <c r="E536" t="str">
        <f t="shared" si="48"/>
        <v>2</v>
      </c>
      <c r="F536" t="str">
        <f t="shared" si="49"/>
        <v>3</v>
      </c>
      <c r="G536" t="str">
        <f t="shared" si="50"/>
        <v>Câu 131.</v>
      </c>
      <c r="H536" t="str">
        <f t="shared" si="51"/>
        <v>1</v>
      </c>
      <c r="I536" t="str">
        <f t="shared" si="52"/>
        <v>2</v>
      </c>
      <c r="J536" t="str">
        <f t="shared" ca="1" si="53"/>
        <v/>
      </c>
    </row>
    <row r="537" spans="1:10" ht="37.5" x14ac:dyDescent="0.25">
      <c r="A537" s="3" t="s">
        <v>1814</v>
      </c>
      <c r="B537">
        <f>IFERROR(COUNTIFS($A$1:A537,"Câu "&amp;"*")-MID(A537,5,FIND(".",A537,1)-5),0)</f>
        <v>0</v>
      </c>
      <c r="C537" t="b">
        <v>0</v>
      </c>
      <c r="E537" t="str">
        <f t="shared" si="48"/>
        <v>3</v>
      </c>
      <c r="F537" t="str">
        <f t="shared" si="49"/>
        <v>Câu 131.</v>
      </c>
      <c r="G537" t="str">
        <f t="shared" si="50"/>
        <v>1</v>
      </c>
      <c r="H537" t="str">
        <f t="shared" si="51"/>
        <v>2</v>
      </c>
      <c r="I537" t="str">
        <f t="shared" si="52"/>
        <v>3</v>
      </c>
      <c r="J537" t="str">
        <f t="shared" ca="1" si="53"/>
        <v/>
      </c>
    </row>
    <row r="538" spans="1:10" ht="262.5" x14ac:dyDescent="0.25">
      <c r="A538" s="4" t="s">
        <v>477</v>
      </c>
      <c r="B538">
        <f>IFERROR(COUNTIFS($A$1:A538,"Câu "&amp;"*")-MID(A538,5,FIND(".",A538,1)-5),0)</f>
        <v>0</v>
      </c>
      <c r="C538" t="b">
        <v>0</v>
      </c>
      <c r="E538" t="str">
        <f t="shared" si="48"/>
        <v>Câu 131.</v>
      </c>
      <c r="F538" t="str">
        <f t="shared" si="49"/>
        <v>1</v>
      </c>
      <c r="G538" t="str">
        <f t="shared" si="50"/>
        <v>2</v>
      </c>
      <c r="H538" t="str">
        <f t="shared" si="51"/>
        <v>3</v>
      </c>
      <c r="I538" t="str">
        <f t="shared" si="52"/>
        <v/>
      </c>
      <c r="J538" t="str">
        <f t="shared" ca="1" si="53"/>
        <v>3</v>
      </c>
    </row>
    <row r="539" spans="1:10" ht="409.5" x14ac:dyDescent="0.25">
      <c r="A539" s="3" t="s">
        <v>2162</v>
      </c>
      <c r="B539">
        <f>IFERROR(COUNTIFS($A$1:A539,"Câu "&amp;"*")-MID(A539,5,FIND(".",A539,1)-5),0)</f>
        <v>0</v>
      </c>
      <c r="C539" t="b">
        <v>0</v>
      </c>
      <c r="E539" t="str">
        <f t="shared" si="48"/>
        <v>1</v>
      </c>
      <c r="F539" t="str">
        <f t="shared" si="49"/>
        <v>2</v>
      </c>
      <c r="G539" t="str">
        <f t="shared" si="50"/>
        <v>3</v>
      </c>
      <c r="H539" t="str">
        <f t="shared" si="51"/>
        <v/>
      </c>
      <c r="I539" t="str">
        <f t="shared" si="52"/>
        <v>1</v>
      </c>
      <c r="J539" t="str">
        <f t="shared" ca="1" si="53"/>
        <v/>
      </c>
    </row>
    <row r="540" spans="1:10" ht="409.5" x14ac:dyDescent="0.25">
      <c r="A540" s="3" t="s">
        <v>2163</v>
      </c>
      <c r="B540">
        <f>IFERROR(COUNTIFS($A$1:A540,"Câu "&amp;"*")-MID(A540,5,FIND(".",A540,1)-5),0)</f>
        <v>0</v>
      </c>
      <c r="C540" t="b">
        <v>0</v>
      </c>
      <c r="E540" t="str">
        <f t="shared" si="48"/>
        <v>2</v>
      </c>
      <c r="F540" t="str">
        <f t="shared" si="49"/>
        <v>3</v>
      </c>
      <c r="G540" t="str">
        <f t="shared" si="50"/>
        <v>Câu 132.</v>
      </c>
      <c r="H540" t="str">
        <f t="shared" si="51"/>
        <v>1</v>
      </c>
      <c r="I540" t="str">
        <f t="shared" si="52"/>
        <v>2</v>
      </c>
      <c r="J540" t="str">
        <f t="shared" ca="1" si="53"/>
        <v/>
      </c>
    </row>
    <row r="541" spans="1:10" ht="37.5" x14ac:dyDescent="0.25">
      <c r="A541" s="3" t="s">
        <v>1825</v>
      </c>
      <c r="B541">
        <f>IFERROR(COUNTIFS($A$1:A541,"Câu "&amp;"*")-MID(A541,5,FIND(".",A541,1)-5),0)</f>
        <v>0</v>
      </c>
      <c r="C541" t="b">
        <v>1</v>
      </c>
      <c r="E541" t="str">
        <f t="shared" si="48"/>
        <v>3</v>
      </c>
      <c r="F541" t="str">
        <f t="shared" si="49"/>
        <v>Câu 132.</v>
      </c>
      <c r="G541" t="str">
        <f t="shared" si="50"/>
        <v>1</v>
      </c>
      <c r="H541" t="str">
        <f t="shared" si="51"/>
        <v>2</v>
      </c>
      <c r="I541" t="str">
        <f t="shared" si="52"/>
        <v>3</v>
      </c>
      <c r="J541" t="str">
        <f t="shared" ca="1" si="53"/>
        <v/>
      </c>
    </row>
    <row r="542" spans="1:10" ht="243.75" x14ac:dyDescent="0.25">
      <c r="A542" s="4" t="s">
        <v>480</v>
      </c>
      <c r="B542">
        <f>IFERROR(COUNTIFS($A$1:A542,"Câu "&amp;"*")-MID(A542,5,FIND(".",A542,1)-5),0)</f>
        <v>0</v>
      </c>
      <c r="C542" t="b">
        <v>0</v>
      </c>
      <c r="E542" t="str">
        <f t="shared" si="48"/>
        <v>Câu 132.</v>
      </c>
      <c r="F542" t="str">
        <f t="shared" si="49"/>
        <v>1</v>
      </c>
      <c r="G542" t="str">
        <f t="shared" si="50"/>
        <v>2</v>
      </c>
      <c r="H542" t="str">
        <f t="shared" si="51"/>
        <v>3</v>
      </c>
      <c r="I542" t="str">
        <f t="shared" si="52"/>
        <v>4</v>
      </c>
      <c r="J542" t="str">
        <f t="shared" ca="1" si="53"/>
        <v>4</v>
      </c>
    </row>
    <row r="543" spans="1:10" ht="409.5" x14ac:dyDescent="0.25">
      <c r="A543" s="3" t="s">
        <v>2164</v>
      </c>
      <c r="B543">
        <f>IFERROR(COUNTIFS($A$1:A543,"Câu "&amp;"*")-MID(A543,5,FIND(".",A543,1)-5),0)</f>
        <v>0</v>
      </c>
      <c r="C543" t="b">
        <v>0</v>
      </c>
      <c r="E543" t="str">
        <f t="shared" si="48"/>
        <v>1</v>
      </c>
      <c r="F543" t="str">
        <f t="shared" si="49"/>
        <v>2</v>
      </c>
      <c r="G543" t="str">
        <f t="shared" si="50"/>
        <v>3</v>
      </c>
      <c r="H543" t="str">
        <f t="shared" si="51"/>
        <v>4</v>
      </c>
      <c r="I543" t="str">
        <f t="shared" si="52"/>
        <v/>
      </c>
      <c r="J543" t="str">
        <f t="shared" ca="1" si="53"/>
        <v/>
      </c>
    </row>
    <row r="544" spans="1:10" ht="18.75" x14ac:dyDescent="0.25">
      <c r="A544" s="11" t="s">
        <v>2165</v>
      </c>
      <c r="B544">
        <f>IFERROR(COUNTIFS($A$1:A544,"Câu "&amp;"*")-MID(A544,5,FIND(".",A544,1)-5),0)</f>
        <v>0</v>
      </c>
      <c r="C544" t="b">
        <v>0</v>
      </c>
      <c r="E544" t="str">
        <f t="shared" si="48"/>
        <v>2</v>
      </c>
      <c r="F544" t="str">
        <f t="shared" si="49"/>
        <v>3</v>
      </c>
      <c r="G544" t="str">
        <f t="shared" si="50"/>
        <v>4</v>
      </c>
      <c r="H544" t="str">
        <f t="shared" si="51"/>
        <v/>
      </c>
      <c r="I544" t="str">
        <f t="shared" si="52"/>
        <v>1</v>
      </c>
      <c r="J544" t="str">
        <f t="shared" ca="1" si="53"/>
        <v/>
      </c>
    </row>
    <row r="545" spans="1:10" ht="18.75" x14ac:dyDescent="0.25">
      <c r="A545" s="11" t="s">
        <v>2166</v>
      </c>
      <c r="B545">
        <f>IFERROR(COUNTIFS($A$1:A545,"Câu "&amp;"*")-MID(A545,5,FIND(".",A545,1)-5),0)</f>
        <v>0</v>
      </c>
      <c r="C545" t="b">
        <v>0</v>
      </c>
      <c r="E545" t="str">
        <f t="shared" si="48"/>
        <v>3</v>
      </c>
      <c r="F545" t="str">
        <f t="shared" si="49"/>
        <v>4</v>
      </c>
      <c r="G545" t="str">
        <f t="shared" si="50"/>
        <v>Câu 133.</v>
      </c>
      <c r="H545" t="str">
        <f t="shared" si="51"/>
        <v>1</v>
      </c>
      <c r="I545" t="str">
        <f t="shared" si="52"/>
        <v>2</v>
      </c>
      <c r="J545" t="str">
        <f t="shared" ca="1" si="53"/>
        <v/>
      </c>
    </row>
    <row r="546" spans="1:10" ht="18.75" x14ac:dyDescent="0.25">
      <c r="A546" s="11" t="s">
        <v>1978</v>
      </c>
      <c r="B546">
        <f>IFERROR(COUNTIFS($A$1:A546,"Câu "&amp;"*")-MID(A546,5,FIND(".",A546,1)-5),0)</f>
        <v>0</v>
      </c>
      <c r="C546" t="b">
        <v>1</v>
      </c>
      <c r="E546" t="str">
        <f t="shared" si="48"/>
        <v>4</v>
      </c>
      <c r="F546" t="str">
        <f t="shared" si="49"/>
        <v>Câu 133.</v>
      </c>
      <c r="G546" t="str">
        <f t="shared" si="50"/>
        <v>1</v>
      </c>
      <c r="H546" t="str">
        <f t="shared" si="51"/>
        <v>2</v>
      </c>
      <c r="I546" t="str">
        <f t="shared" si="52"/>
        <v>3</v>
      </c>
      <c r="J546" t="str">
        <f t="shared" ca="1" si="53"/>
        <v/>
      </c>
    </row>
    <row r="547" spans="1:10" ht="18.75" x14ac:dyDescent="0.25">
      <c r="A547" s="10" t="s">
        <v>484</v>
      </c>
      <c r="B547">
        <f>IFERROR(COUNTIFS($A$1:A547,"Câu "&amp;"*")-MID(A547,5,FIND(".",A547,1)-5),0)</f>
        <v>0</v>
      </c>
      <c r="C547" t="b">
        <v>0</v>
      </c>
      <c r="E547" t="str">
        <f t="shared" si="48"/>
        <v>Câu 133.</v>
      </c>
      <c r="F547" t="str">
        <f t="shared" si="49"/>
        <v>1</v>
      </c>
      <c r="G547" t="str">
        <f t="shared" si="50"/>
        <v>2</v>
      </c>
      <c r="H547" t="str">
        <f t="shared" si="51"/>
        <v>3</v>
      </c>
      <c r="I547" t="str">
        <f t="shared" si="52"/>
        <v/>
      </c>
      <c r="J547" t="str">
        <f t="shared" ca="1" si="53"/>
        <v>2</v>
      </c>
    </row>
    <row r="548" spans="1:10" ht="300" x14ac:dyDescent="0.25">
      <c r="A548" s="3" t="s">
        <v>2167</v>
      </c>
      <c r="B548">
        <f>IFERROR(COUNTIFS($A$1:A548,"Câu "&amp;"*")-MID(A548,5,FIND(".",A548,1)-5),0)</f>
        <v>0</v>
      </c>
      <c r="C548" t="b">
        <v>0</v>
      </c>
      <c r="E548" t="str">
        <f t="shared" si="48"/>
        <v>1</v>
      </c>
      <c r="F548" t="str">
        <f t="shared" si="49"/>
        <v>2</v>
      </c>
      <c r="G548" t="str">
        <f t="shared" si="50"/>
        <v>3</v>
      </c>
      <c r="H548" t="str">
        <f t="shared" si="51"/>
        <v/>
      </c>
      <c r="I548" t="str">
        <f t="shared" si="52"/>
        <v>1</v>
      </c>
      <c r="J548" t="str">
        <f t="shared" ca="1" si="53"/>
        <v/>
      </c>
    </row>
    <row r="549" spans="1:10" ht="281.25" x14ac:dyDescent="0.25">
      <c r="A549" s="3" t="s">
        <v>2168</v>
      </c>
      <c r="B549">
        <f>IFERROR(COUNTIFS($A$1:A549,"Câu "&amp;"*")-MID(A549,5,FIND(".",A549,1)-5),0)</f>
        <v>0</v>
      </c>
      <c r="C549" t="b">
        <v>1</v>
      </c>
      <c r="E549" t="str">
        <f t="shared" si="48"/>
        <v>2</v>
      </c>
      <c r="F549" t="str">
        <f t="shared" si="49"/>
        <v>3</v>
      </c>
      <c r="G549" t="str">
        <f t="shared" si="50"/>
        <v>Câu 134.</v>
      </c>
      <c r="H549" t="str">
        <f t="shared" si="51"/>
        <v>1</v>
      </c>
      <c r="I549" t="str">
        <f t="shared" si="52"/>
        <v>2</v>
      </c>
      <c r="J549" t="str">
        <f t="shared" ca="1" si="53"/>
        <v/>
      </c>
    </row>
    <row r="550" spans="1:10" ht="409.5" x14ac:dyDescent="0.25">
      <c r="A550" s="3" t="s">
        <v>2169</v>
      </c>
      <c r="B550">
        <f>IFERROR(COUNTIFS($A$1:A550,"Câu "&amp;"*")-MID(A550,5,FIND(".",A550,1)-5),0)</f>
        <v>0</v>
      </c>
      <c r="C550" t="b">
        <v>0</v>
      </c>
      <c r="E550" t="str">
        <f t="shared" si="48"/>
        <v>3</v>
      </c>
      <c r="F550" t="str">
        <f t="shared" si="49"/>
        <v>Câu 134.</v>
      </c>
      <c r="G550" t="str">
        <f t="shared" si="50"/>
        <v>1</v>
      </c>
      <c r="H550" t="str">
        <f t="shared" si="51"/>
        <v>2</v>
      </c>
      <c r="I550" t="str">
        <f t="shared" si="52"/>
        <v>3</v>
      </c>
      <c r="J550" t="str">
        <f t="shared" ca="1" si="53"/>
        <v/>
      </c>
    </row>
    <row r="551" spans="1:10" ht="262.5" x14ac:dyDescent="0.25">
      <c r="A551" s="4" t="s">
        <v>487</v>
      </c>
      <c r="B551">
        <f>IFERROR(COUNTIFS($A$1:A551,"Câu "&amp;"*")-MID(A551,5,FIND(".",A551,1)-5),0)</f>
        <v>0</v>
      </c>
      <c r="C551" t="b">
        <v>0</v>
      </c>
      <c r="E551" t="str">
        <f t="shared" si="48"/>
        <v>Câu 134.</v>
      </c>
      <c r="F551" t="str">
        <f t="shared" si="49"/>
        <v>1</v>
      </c>
      <c r="G551" t="str">
        <f t="shared" si="50"/>
        <v>2</v>
      </c>
      <c r="H551" t="str">
        <f t="shared" si="51"/>
        <v>3</v>
      </c>
      <c r="I551" t="str">
        <f t="shared" si="52"/>
        <v/>
      </c>
      <c r="J551" t="str">
        <f t="shared" ca="1" si="53"/>
        <v>1</v>
      </c>
    </row>
    <row r="552" spans="1:10" ht="18.75" x14ac:dyDescent="0.25">
      <c r="A552" s="11" t="s">
        <v>2170</v>
      </c>
      <c r="B552">
        <f>IFERROR(COUNTIFS($A$1:A552,"Câu "&amp;"*")-MID(A552,5,FIND(".",A552,1)-5),0)</f>
        <v>0</v>
      </c>
      <c r="C552" t="b">
        <v>1</v>
      </c>
      <c r="E552" t="str">
        <f t="shared" si="48"/>
        <v>1</v>
      </c>
      <c r="F552" t="str">
        <f t="shared" si="49"/>
        <v>2</v>
      </c>
      <c r="G552" t="str">
        <f t="shared" si="50"/>
        <v>3</v>
      </c>
      <c r="H552" t="str">
        <f t="shared" si="51"/>
        <v/>
      </c>
      <c r="I552" t="str">
        <f t="shared" si="52"/>
        <v>1</v>
      </c>
      <c r="J552" t="str">
        <f t="shared" ca="1" si="53"/>
        <v/>
      </c>
    </row>
    <row r="553" spans="1:10" ht="18.75" x14ac:dyDescent="0.25">
      <c r="A553" s="11" t="s">
        <v>2171</v>
      </c>
      <c r="B553">
        <f>IFERROR(COUNTIFS($A$1:A553,"Câu "&amp;"*")-MID(A553,5,FIND(".",A553,1)-5),0)</f>
        <v>0</v>
      </c>
      <c r="C553" t="b">
        <v>0</v>
      </c>
      <c r="E553" t="str">
        <f t="shared" si="48"/>
        <v>2</v>
      </c>
      <c r="F553" t="str">
        <f t="shared" si="49"/>
        <v>3</v>
      </c>
      <c r="G553" t="str">
        <f t="shared" si="50"/>
        <v>Câu 135.</v>
      </c>
      <c r="H553" t="str">
        <f t="shared" si="51"/>
        <v>1</v>
      </c>
      <c r="I553" t="str">
        <f t="shared" si="52"/>
        <v>2</v>
      </c>
      <c r="J553" t="str">
        <f t="shared" ca="1" si="53"/>
        <v/>
      </c>
    </row>
    <row r="554" spans="1:10" ht="18.75" x14ac:dyDescent="0.25">
      <c r="A554" s="11" t="s">
        <v>1814</v>
      </c>
      <c r="B554">
        <f>IFERROR(COUNTIFS($A$1:A554,"Câu "&amp;"*")-MID(A554,5,FIND(".",A554,1)-5),0)</f>
        <v>0</v>
      </c>
      <c r="C554" t="b">
        <v>0</v>
      </c>
      <c r="E554" t="str">
        <f t="shared" si="48"/>
        <v>3</v>
      </c>
      <c r="F554" t="str">
        <f t="shared" si="49"/>
        <v>Câu 135.</v>
      </c>
      <c r="G554" t="str">
        <f t="shared" si="50"/>
        <v>1</v>
      </c>
      <c r="H554" t="str">
        <f t="shared" si="51"/>
        <v>2</v>
      </c>
      <c r="I554" t="str">
        <f t="shared" si="52"/>
        <v>3</v>
      </c>
      <c r="J554" t="str">
        <f t="shared" ca="1" si="53"/>
        <v/>
      </c>
    </row>
    <row r="555" spans="1:10" ht="18.75" x14ac:dyDescent="0.25">
      <c r="A555" s="10" t="s">
        <v>490</v>
      </c>
      <c r="B555">
        <f>IFERROR(COUNTIFS($A$1:A555,"Câu "&amp;"*")-MID(A555,5,FIND(".",A555,1)-5),0)</f>
        <v>0</v>
      </c>
      <c r="C555" t="b">
        <v>0</v>
      </c>
      <c r="E555" t="str">
        <f t="shared" si="48"/>
        <v>Câu 135.</v>
      </c>
      <c r="F555" t="str">
        <f t="shared" si="49"/>
        <v>1</v>
      </c>
      <c r="G555" t="str">
        <f t="shared" si="50"/>
        <v>2</v>
      </c>
      <c r="H555" t="str">
        <f t="shared" si="51"/>
        <v>3</v>
      </c>
      <c r="I555" t="str">
        <f t="shared" si="52"/>
        <v/>
      </c>
      <c r="J555" t="str">
        <f t="shared" ca="1" si="53"/>
        <v>1</v>
      </c>
    </row>
    <row r="556" spans="1:10" ht="18.75" x14ac:dyDescent="0.25">
      <c r="A556" s="11" t="s">
        <v>2172</v>
      </c>
      <c r="B556">
        <f>IFERROR(COUNTIFS($A$1:A556,"Câu "&amp;"*")-MID(A556,5,FIND(".",A556,1)-5),0)</f>
        <v>0</v>
      </c>
      <c r="C556" t="b">
        <v>1</v>
      </c>
      <c r="E556" t="str">
        <f t="shared" si="48"/>
        <v>1</v>
      </c>
      <c r="F556" t="str">
        <f t="shared" si="49"/>
        <v>2</v>
      </c>
      <c r="G556" t="str">
        <f t="shared" si="50"/>
        <v>3</v>
      </c>
      <c r="H556" t="str">
        <f t="shared" si="51"/>
        <v/>
      </c>
      <c r="I556" t="str">
        <f t="shared" si="52"/>
        <v>1</v>
      </c>
      <c r="J556" t="str">
        <f t="shared" ca="1" si="53"/>
        <v/>
      </c>
    </row>
    <row r="557" spans="1:10" ht="18.75" x14ac:dyDescent="0.25">
      <c r="A557" s="11" t="s">
        <v>2173</v>
      </c>
      <c r="B557">
        <f>IFERROR(COUNTIFS($A$1:A557,"Câu "&amp;"*")-MID(A557,5,FIND(".",A557,1)-5),0)</f>
        <v>0</v>
      </c>
      <c r="C557" t="b">
        <v>0</v>
      </c>
      <c r="E557" t="str">
        <f t="shared" si="48"/>
        <v>2</v>
      </c>
      <c r="F557" t="str">
        <f t="shared" si="49"/>
        <v>3</v>
      </c>
      <c r="G557" t="str">
        <f t="shared" si="50"/>
        <v>Câu 136.</v>
      </c>
      <c r="H557" t="str">
        <f t="shared" si="51"/>
        <v>1</v>
      </c>
      <c r="I557" t="str">
        <f t="shared" si="52"/>
        <v>2</v>
      </c>
      <c r="J557" t="str">
        <f t="shared" ca="1" si="53"/>
        <v/>
      </c>
    </row>
    <row r="558" spans="1:10" ht="18.75" x14ac:dyDescent="0.25">
      <c r="A558" s="11" t="s">
        <v>1814</v>
      </c>
      <c r="B558">
        <f>IFERROR(COUNTIFS($A$1:A558,"Câu "&amp;"*")-MID(A558,5,FIND(".",A558,1)-5),0)</f>
        <v>0</v>
      </c>
      <c r="C558" t="b">
        <v>0</v>
      </c>
      <c r="E558" t="str">
        <f t="shared" si="48"/>
        <v>3</v>
      </c>
      <c r="F558" t="str">
        <f t="shared" si="49"/>
        <v>Câu 136.</v>
      </c>
      <c r="G558" t="str">
        <f t="shared" si="50"/>
        <v>1</v>
      </c>
      <c r="H558" t="str">
        <f t="shared" si="51"/>
        <v>2</v>
      </c>
      <c r="I558" t="str">
        <f t="shared" si="52"/>
        <v>3</v>
      </c>
      <c r="J558" t="str">
        <f t="shared" ca="1" si="53"/>
        <v/>
      </c>
    </row>
    <row r="559" spans="1:10" ht="18.75" x14ac:dyDescent="0.25">
      <c r="A559" s="10" t="s">
        <v>492</v>
      </c>
      <c r="B559">
        <f>IFERROR(COUNTIFS($A$1:A559,"Câu "&amp;"*")-MID(A559,5,FIND(".",A559,1)-5),0)</f>
        <v>0</v>
      </c>
      <c r="C559" t="b">
        <v>0</v>
      </c>
      <c r="E559" t="str">
        <f t="shared" si="48"/>
        <v>Câu 136.</v>
      </c>
      <c r="F559" t="str">
        <f t="shared" si="49"/>
        <v>1</v>
      </c>
      <c r="G559" t="str">
        <f t="shared" si="50"/>
        <v>2</v>
      </c>
      <c r="H559" t="str">
        <f t="shared" si="51"/>
        <v>3</v>
      </c>
      <c r="I559" t="str">
        <f t="shared" si="52"/>
        <v/>
      </c>
      <c r="J559" t="str">
        <f t="shared" ca="1" si="53"/>
        <v>1</v>
      </c>
    </row>
    <row r="560" spans="1:10" ht="18.75" x14ac:dyDescent="0.25">
      <c r="A560" s="11" t="s">
        <v>2174</v>
      </c>
      <c r="B560">
        <f>IFERROR(COUNTIFS($A$1:A560,"Câu "&amp;"*")-MID(A560,5,FIND(".",A560,1)-5),0)</f>
        <v>0</v>
      </c>
      <c r="C560" t="b">
        <v>1</v>
      </c>
      <c r="E560" t="str">
        <f t="shared" si="48"/>
        <v>1</v>
      </c>
      <c r="F560" t="str">
        <f t="shared" si="49"/>
        <v>2</v>
      </c>
      <c r="G560" t="str">
        <f t="shared" si="50"/>
        <v>3</v>
      </c>
      <c r="H560" t="str">
        <f t="shared" si="51"/>
        <v/>
      </c>
      <c r="I560" t="str">
        <f t="shared" si="52"/>
        <v>1</v>
      </c>
      <c r="J560" t="str">
        <f t="shared" ca="1" si="53"/>
        <v/>
      </c>
    </row>
    <row r="561" spans="1:10" ht="18.75" x14ac:dyDescent="0.25">
      <c r="A561" s="11" t="s">
        <v>2175</v>
      </c>
      <c r="B561">
        <f>IFERROR(COUNTIFS($A$1:A561,"Câu "&amp;"*")-MID(A561,5,FIND(".",A561,1)-5),0)</f>
        <v>0</v>
      </c>
      <c r="C561" t="b">
        <v>0</v>
      </c>
      <c r="E561" t="str">
        <f t="shared" si="48"/>
        <v>2</v>
      </c>
      <c r="F561" t="str">
        <f t="shared" si="49"/>
        <v>3</v>
      </c>
      <c r="G561" t="str">
        <f t="shared" si="50"/>
        <v>Câu 137.</v>
      </c>
      <c r="H561" t="str">
        <f t="shared" si="51"/>
        <v>1</v>
      </c>
      <c r="I561" t="str">
        <f t="shared" si="52"/>
        <v>2</v>
      </c>
      <c r="J561" t="str">
        <f t="shared" ca="1" si="53"/>
        <v/>
      </c>
    </row>
    <row r="562" spans="1:10" ht="18.75" x14ac:dyDescent="0.25">
      <c r="A562" s="11" t="s">
        <v>1814</v>
      </c>
      <c r="B562">
        <f>IFERROR(COUNTIFS($A$1:A562,"Câu "&amp;"*")-MID(A562,5,FIND(".",A562,1)-5),0)</f>
        <v>0</v>
      </c>
      <c r="C562" t="b">
        <v>0</v>
      </c>
      <c r="E562" t="str">
        <f t="shared" si="48"/>
        <v>3</v>
      </c>
      <c r="F562" t="str">
        <f t="shared" si="49"/>
        <v>Câu 137.</v>
      </c>
      <c r="G562" t="str">
        <f t="shared" si="50"/>
        <v>1</v>
      </c>
      <c r="H562" t="str">
        <f t="shared" si="51"/>
        <v>2</v>
      </c>
      <c r="I562" t="str">
        <f t="shared" si="52"/>
        <v>3</v>
      </c>
      <c r="J562" t="str">
        <f t="shared" ca="1" si="53"/>
        <v/>
      </c>
    </row>
    <row r="563" spans="1:10" ht="18.75" x14ac:dyDescent="0.25">
      <c r="A563" s="10" t="s">
        <v>495</v>
      </c>
      <c r="B563">
        <f>IFERROR(COUNTIFS($A$1:A563,"Câu "&amp;"*")-MID(A563,5,FIND(".",A563,1)-5),0)</f>
        <v>0</v>
      </c>
      <c r="C563" t="b">
        <v>0</v>
      </c>
      <c r="E563" t="str">
        <f t="shared" si="48"/>
        <v>Câu 137.</v>
      </c>
      <c r="F563" t="str">
        <f t="shared" si="49"/>
        <v>1</v>
      </c>
      <c r="G563" t="str">
        <f t="shared" si="50"/>
        <v>2</v>
      </c>
      <c r="H563" t="str">
        <f t="shared" si="51"/>
        <v>3</v>
      </c>
      <c r="I563" t="str">
        <f t="shared" si="52"/>
        <v/>
      </c>
      <c r="J563" t="str">
        <f t="shared" ca="1" si="53"/>
        <v>1</v>
      </c>
    </row>
    <row r="564" spans="1:10" ht="409.5" x14ac:dyDescent="0.25">
      <c r="A564" s="3" t="s">
        <v>2176</v>
      </c>
      <c r="B564">
        <f>IFERROR(COUNTIFS($A$1:A564,"Câu "&amp;"*")-MID(A564,5,FIND(".",A564,1)-5),0)</f>
        <v>0</v>
      </c>
      <c r="C564" t="b">
        <v>1</v>
      </c>
      <c r="E564" t="str">
        <f t="shared" si="48"/>
        <v>1</v>
      </c>
      <c r="F564" t="str">
        <f t="shared" si="49"/>
        <v>2</v>
      </c>
      <c r="G564" t="str">
        <f t="shared" si="50"/>
        <v>3</v>
      </c>
      <c r="H564" t="str">
        <f t="shared" si="51"/>
        <v/>
      </c>
      <c r="I564" t="str">
        <f t="shared" si="52"/>
        <v>1</v>
      </c>
      <c r="J564" t="str">
        <f t="shared" ca="1" si="53"/>
        <v/>
      </c>
    </row>
    <row r="565" spans="1:10" ht="112.5" x14ac:dyDescent="0.25">
      <c r="A565" s="3" t="s">
        <v>2177</v>
      </c>
      <c r="B565">
        <f>IFERROR(COUNTIFS($A$1:A565,"Câu "&amp;"*")-MID(A565,5,FIND(".",A565,1)-5),0)</f>
        <v>0</v>
      </c>
      <c r="C565" t="b">
        <v>0</v>
      </c>
      <c r="E565" t="str">
        <f t="shared" si="48"/>
        <v>2</v>
      </c>
      <c r="F565" t="str">
        <f t="shared" si="49"/>
        <v>3</v>
      </c>
      <c r="G565" t="str">
        <f t="shared" si="50"/>
        <v>Câu 138.</v>
      </c>
      <c r="H565" t="str">
        <f t="shared" si="51"/>
        <v>1</v>
      </c>
      <c r="I565" t="str">
        <f t="shared" si="52"/>
        <v>2</v>
      </c>
      <c r="J565" t="str">
        <f t="shared" ca="1" si="53"/>
        <v/>
      </c>
    </row>
    <row r="566" spans="1:10" ht="37.5" x14ac:dyDescent="0.25">
      <c r="A566" s="3" t="s">
        <v>1814</v>
      </c>
      <c r="B566">
        <f>IFERROR(COUNTIFS($A$1:A566,"Câu "&amp;"*")-MID(A566,5,FIND(".",A566,1)-5),0)</f>
        <v>0</v>
      </c>
      <c r="C566" t="b">
        <v>0</v>
      </c>
      <c r="E566" t="str">
        <f t="shared" si="48"/>
        <v>3</v>
      </c>
      <c r="F566" t="str">
        <f t="shared" si="49"/>
        <v>Câu 138.</v>
      </c>
      <c r="G566" t="str">
        <f t="shared" si="50"/>
        <v>1</v>
      </c>
      <c r="H566" t="str">
        <f t="shared" si="51"/>
        <v>2</v>
      </c>
      <c r="I566" t="str">
        <f t="shared" si="52"/>
        <v>3</v>
      </c>
      <c r="J566" t="str">
        <f t="shared" ca="1" si="53"/>
        <v/>
      </c>
    </row>
    <row r="567" spans="1:10" ht="262.5" x14ac:dyDescent="0.25">
      <c r="A567" s="4" t="s">
        <v>498</v>
      </c>
      <c r="B567">
        <f>IFERROR(COUNTIFS($A$1:A567,"Câu "&amp;"*")-MID(A567,5,FIND(".",A567,1)-5),0)</f>
        <v>0</v>
      </c>
      <c r="C567" t="b">
        <v>0</v>
      </c>
      <c r="E567" t="str">
        <f t="shared" si="48"/>
        <v>Câu 138.</v>
      </c>
      <c r="F567" t="str">
        <f t="shared" si="49"/>
        <v>1</v>
      </c>
      <c r="G567" t="str">
        <f t="shared" si="50"/>
        <v>2</v>
      </c>
      <c r="H567" t="str">
        <f t="shared" si="51"/>
        <v>3</v>
      </c>
      <c r="I567" t="str">
        <f t="shared" si="52"/>
        <v>4</v>
      </c>
      <c r="J567" t="str">
        <f t="shared" ca="1" si="53"/>
        <v>4</v>
      </c>
    </row>
    <row r="568" spans="1:10" ht="409.5" x14ac:dyDescent="0.25">
      <c r="A568" s="3" t="s">
        <v>2178</v>
      </c>
      <c r="B568">
        <f>IFERROR(COUNTIFS($A$1:A568,"Câu "&amp;"*")-MID(A568,5,FIND(".",A568,1)-5),0)</f>
        <v>0</v>
      </c>
      <c r="C568" t="b">
        <v>0</v>
      </c>
      <c r="E568" t="str">
        <f t="shared" si="48"/>
        <v>1</v>
      </c>
      <c r="F568" t="str">
        <f t="shared" si="49"/>
        <v>2</v>
      </c>
      <c r="G568" t="str">
        <f t="shared" si="50"/>
        <v>3</v>
      </c>
      <c r="H568" t="str">
        <f t="shared" si="51"/>
        <v>4</v>
      </c>
      <c r="I568" t="str">
        <f t="shared" si="52"/>
        <v/>
      </c>
      <c r="J568" t="str">
        <f t="shared" ca="1" si="53"/>
        <v/>
      </c>
    </row>
    <row r="569" spans="1:10" ht="409.5" x14ac:dyDescent="0.25">
      <c r="A569" s="3" t="s">
        <v>2179</v>
      </c>
      <c r="B569">
        <f>IFERROR(COUNTIFS($A$1:A569,"Câu "&amp;"*")-MID(A569,5,FIND(".",A569,1)-5),0)</f>
        <v>0</v>
      </c>
      <c r="C569" t="b">
        <v>0</v>
      </c>
      <c r="E569" t="str">
        <f t="shared" si="48"/>
        <v>2</v>
      </c>
      <c r="F569" t="str">
        <f t="shared" si="49"/>
        <v>3</v>
      </c>
      <c r="G569" t="str">
        <f t="shared" si="50"/>
        <v>4</v>
      </c>
      <c r="H569" t="str">
        <f t="shared" si="51"/>
        <v/>
      </c>
      <c r="I569" t="str">
        <f t="shared" si="52"/>
        <v>1</v>
      </c>
      <c r="J569" t="str">
        <f t="shared" ca="1" si="53"/>
        <v/>
      </c>
    </row>
    <row r="570" spans="1:10" ht="409.5" x14ac:dyDescent="0.25">
      <c r="A570" s="3" t="s">
        <v>2180</v>
      </c>
      <c r="B570">
        <f>IFERROR(COUNTIFS($A$1:A570,"Câu "&amp;"*")-MID(A570,5,FIND(".",A570,1)-5),0)</f>
        <v>0</v>
      </c>
      <c r="C570" t="b">
        <v>0</v>
      </c>
      <c r="E570" t="str">
        <f t="shared" si="48"/>
        <v>3</v>
      </c>
      <c r="F570" t="str">
        <f t="shared" si="49"/>
        <v>4</v>
      </c>
      <c r="G570" t="str">
        <f t="shared" si="50"/>
        <v>Câu 139.</v>
      </c>
      <c r="H570" t="str">
        <f t="shared" si="51"/>
        <v>1</v>
      </c>
      <c r="I570" t="str">
        <f t="shared" si="52"/>
        <v>2</v>
      </c>
      <c r="J570" t="str">
        <f t="shared" ca="1" si="53"/>
        <v/>
      </c>
    </row>
    <row r="571" spans="1:10" ht="37.5" x14ac:dyDescent="0.25">
      <c r="A571" s="3" t="s">
        <v>1865</v>
      </c>
      <c r="B571">
        <f>IFERROR(COUNTIFS($A$1:A571,"Câu "&amp;"*")-MID(A571,5,FIND(".",A571,1)-5),0)</f>
        <v>0</v>
      </c>
      <c r="C571" t="b">
        <v>1</v>
      </c>
      <c r="E571" t="str">
        <f t="shared" si="48"/>
        <v>4</v>
      </c>
      <c r="F571" t="str">
        <f t="shared" si="49"/>
        <v>Câu 139.</v>
      </c>
      <c r="G571" t="str">
        <f t="shared" si="50"/>
        <v>1</v>
      </c>
      <c r="H571" t="str">
        <f t="shared" si="51"/>
        <v>2</v>
      </c>
      <c r="I571" t="str">
        <f t="shared" si="52"/>
        <v>3</v>
      </c>
      <c r="J571" t="str">
        <f t="shared" ca="1" si="53"/>
        <v/>
      </c>
    </row>
    <row r="572" spans="1:10" ht="225" x14ac:dyDescent="0.25">
      <c r="A572" s="4" t="s">
        <v>502</v>
      </c>
      <c r="B572">
        <f>IFERROR(COUNTIFS($A$1:A572,"Câu "&amp;"*")-MID(A572,5,FIND(".",A572,1)-5),0)</f>
        <v>0</v>
      </c>
      <c r="C572" t="b">
        <v>0</v>
      </c>
      <c r="E572" t="str">
        <f t="shared" si="48"/>
        <v>Câu 139.</v>
      </c>
      <c r="F572" t="str">
        <f t="shared" si="49"/>
        <v>1</v>
      </c>
      <c r="G572" t="str">
        <f t="shared" si="50"/>
        <v>2</v>
      </c>
      <c r="H572" t="str">
        <f t="shared" si="51"/>
        <v>3</v>
      </c>
      <c r="I572" t="str">
        <f t="shared" si="52"/>
        <v>4</v>
      </c>
      <c r="J572" t="str">
        <f t="shared" ca="1" si="53"/>
        <v>4</v>
      </c>
    </row>
    <row r="573" spans="1:10" ht="375" x14ac:dyDescent="0.25">
      <c r="A573" s="3" t="s">
        <v>2181</v>
      </c>
      <c r="B573">
        <f>IFERROR(COUNTIFS($A$1:A573,"Câu "&amp;"*")-MID(A573,5,FIND(".",A573,1)-5),0)</f>
        <v>0</v>
      </c>
      <c r="C573" t="b">
        <v>0</v>
      </c>
      <c r="E573" t="str">
        <f t="shared" si="48"/>
        <v>1</v>
      </c>
      <c r="F573" t="str">
        <f t="shared" si="49"/>
        <v>2</v>
      </c>
      <c r="G573" t="str">
        <f t="shared" si="50"/>
        <v>3</v>
      </c>
      <c r="H573" t="str">
        <f t="shared" si="51"/>
        <v>4</v>
      </c>
      <c r="I573" t="str">
        <f t="shared" si="52"/>
        <v/>
      </c>
      <c r="J573" t="str">
        <f t="shared" ca="1" si="53"/>
        <v/>
      </c>
    </row>
    <row r="574" spans="1:10" ht="112.5" x14ac:dyDescent="0.25">
      <c r="A574" s="3" t="s">
        <v>2182</v>
      </c>
      <c r="B574">
        <f>IFERROR(COUNTIFS($A$1:A574,"Câu "&amp;"*")-MID(A574,5,FIND(".",A574,1)-5),0)</f>
        <v>0</v>
      </c>
      <c r="C574" t="b">
        <v>0</v>
      </c>
      <c r="E574" t="str">
        <f t="shared" si="48"/>
        <v>2</v>
      </c>
      <c r="F574" t="str">
        <f t="shared" si="49"/>
        <v>3</v>
      </c>
      <c r="G574" t="str">
        <f t="shared" si="50"/>
        <v>4</v>
      </c>
      <c r="H574" t="str">
        <f t="shared" si="51"/>
        <v/>
      </c>
      <c r="I574" t="str">
        <f t="shared" si="52"/>
        <v>1</v>
      </c>
      <c r="J574" t="str">
        <f t="shared" ca="1" si="53"/>
        <v/>
      </c>
    </row>
    <row r="575" spans="1:10" ht="409.5" x14ac:dyDescent="0.25">
      <c r="A575" s="3" t="s">
        <v>2183</v>
      </c>
      <c r="B575">
        <f>IFERROR(COUNTIFS($A$1:A575,"Câu "&amp;"*")-MID(A575,5,FIND(".",A575,1)-5),0)</f>
        <v>0</v>
      </c>
      <c r="C575" t="b">
        <v>0</v>
      </c>
      <c r="E575" t="str">
        <f t="shared" si="48"/>
        <v>3</v>
      </c>
      <c r="F575" t="str">
        <f t="shared" si="49"/>
        <v>4</v>
      </c>
      <c r="G575" t="str">
        <f t="shared" si="50"/>
        <v>Câu 140.</v>
      </c>
      <c r="H575" t="str">
        <f t="shared" si="51"/>
        <v>1</v>
      </c>
      <c r="I575" t="str">
        <f t="shared" si="52"/>
        <v>2</v>
      </c>
      <c r="J575" t="str">
        <f t="shared" ca="1" si="53"/>
        <v/>
      </c>
    </row>
    <row r="576" spans="1:10" ht="37.5" x14ac:dyDescent="0.25">
      <c r="A576" s="3" t="s">
        <v>1865</v>
      </c>
      <c r="B576">
        <f>IFERROR(COUNTIFS($A$1:A576,"Câu "&amp;"*")-MID(A576,5,FIND(".",A576,1)-5),0)</f>
        <v>0</v>
      </c>
      <c r="C576" t="b">
        <v>1</v>
      </c>
      <c r="E576" t="str">
        <f t="shared" si="48"/>
        <v>4</v>
      </c>
      <c r="F576" t="str">
        <f t="shared" si="49"/>
        <v>Câu 140.</v>
      </c>
      <c r="G576" t="str">
        <f t="shared" si="50"/>
        <v>1</v>
      </c>
      <c r="H576" t="str">
        <f t="shared" si="51"/>
        <v>2</v>
      </c>
      <c r="I576" t="str">
        <f t="shared" si="52"/>
        <v/>
      </c>
      <c r="J576" t="str">
        <f t="shared" ca="1" si="53"/>
        <v/>
      </c>
    </row>
    <row r="577" spans="1:10" ht="356.25" x14ac:dyDescent="0.25">
      <c r="A577" s="4" t="s">
        <v>506</v>
      </c>
      <c r="B577">
        <f>IFERROR(COUNTIFS($A$1:A577,"Câu "&amp;"*")-MID(A577,5,FIND(".",A577,1)-5),0)</f>
        <v>0</v>
      </c>
      <c r="C577" t="b">
        <v>0</v>
      </c>
      <c r="E577" t="str">
        <f t="shared" si="48"/>
        <v>Câu 140.</v>
      </c>
      <c r="F577" t="str">
        <f t="shared" si="49"/>
        <v>1</v>
      </c>
      <c r="G577" t="str">
        <f t="shared" si="50"/>
        <v>2</v>
      </c>
      <c r="H577" t="str">
        <f t="shared" si="51"/>
        <v/>
      </c>
      <c r="I577" t="str">
        <f t="shared" si="52"/>
        <v>1</v>
      </c>
      <c r="J577" t="str">
        <f t="shared" ca="1" si="53"/>
        <v>2</v>
      </c>
    </row>
    <row r="578" spans="1:10" ht="93.75" x14ac:dyDescent="0.25">
      <c r="A578" s="3" t="s">
        <v>2184</v>
      </c>
      <c r="B578">
        <f>IFERROR(COUNTIFS($A$1:A578,"Câu "&amp;"*")-MID(A578,5,FIND(".",A578,1)-5),0)</f>
        <v>0</v>
      </c>
      <c r="C578" t="b">
        <v>0</v>
      </c>
      <c r="E578" t="str">
        <f t="shared" si="48"/>
        <v>1</v>
      </c>
      <c r="F578" t="str">
        <f t="shared" si="49"/>
        <v>2</v>
      </c>
      <c r="G578" t="str">
        <f t="shared" si="50"/>
        <v>Câu 141.</v>
      </c>
      <c r="H578" t="str">
        <f t="shared" si="51"/>
        <v>1</v>
      </c>
      <c r="I578" t="str">
        <f t="shared" si="52"/>
        <v>2</v>
      </c>
      <c r="J578" t="str">
        <f t="shared" ca="1" si="53"/>
        <v/>
      </c>
    </row>
    <row r="579" spans="1:10" ht="262.5" x14ac:dyDescent="0.25">
      <c r="A579" s="3" t="s">
        <v>2185</v>
      </c>
      <c r="B579">
        <f>IFERROR(COUNTIFS($A$1:A579,"Câu "&amp;"*")-MID(A579,5,FIND(".",A579,1)-5),0)</f>
        <v>0</v>
      </c>
      <c r="C579" t="b">
        <v>1</v>
      </c>
      <c r="E579" t="str">
        <f t="shared" ref="E579:E642" si="54">IF(LEFT(A579,3)="Câu",LEFT(A579,FIND(".",A579,1)),LEFT(A579,1))</f>
        <v>2</v>
      </c>
      <c r="F579" t="str">
        <f t="shared" ref="F579:F642" si="55">IF(LEFT(A580,3)="Câu",LEFT(A580,FIND(".",A580,1)),LEFT(A580,1))</f>
        <v>Câu 141.</v>
      </c>
      <c r="G579" t="str">
        <f t="shared" ref="G579:G642" si="56">IF(LEFT(A581,3)="Câu",LEFT(A581,FIND(".",A581,1)),LEFT(A581,1))</f>
        <v>1</v>
      </c>
      <c r="H579" t="str">
        <f t="shared" ref="H579:H642" si="57">IF(LEFT(A582,3)="Câu","",LEFT(A582,1))</f>
        <v>2</v>
      </c>
      <c r="I579" t="str">
        <f t="shared" ref="I579:I642" si="58">IF(LEFT(A583,3)="Câu","",LEFT(A583,1))</f>
        <v>3</v>
      </c>
      <c r="J579" t="str">
        <f t="shared" ref="J579:J642" ca="1" si="59">IFERROR(VLOOKUP(TRUE,INDIRECT("C"&amp;MATCH(E579,$E$1:$E$2471,0)&amp;":E"&amp;MATCH("Câu "&amp;VALUE(MID(E579,5,LEN(E579)-5))+1&amp;".",$E$1:$E$2471,0)),3,0),"")</f>
        <v/>
      </c>
    </row>
    <row r="580" spans="1:10" ht="281.25" x14ac:dyDescent="0.25">
      <c r="A580" s="4" t="s">
        <v>509</v>
      </c>
      <c r="B580">
        <f>IFERROR(COUNTIFS($A$1:A580,"Câu "&amp;"*")-MID(A580,5,FIND(".",A580,1)-5),0)</f>
        <v>0</v>
      </c>
      <c r="C580" t="b">
        <v>0</v>
      </c>
      <c r="E580" t="str">
        <f t="shared" si="54"/>
        <v>Câu 141.</v>
      </c>
      <c r="F580" t="str">
        <f t="shared" si="55"/>
        <v>1</v>
      </c>
      <c r="G580" t="str">
        <f t="shared" si="56"/>
        <v>2</v>
      </c>
      <c r="H580" t="str">
        <f t="shared" si="57"/>
        <v>3</v>
      </c>
      <c r="I580" t="str">
        <f t="shared" si="58"/>
        <v/>
      </c>
      <c r="J580" t="str">
        <f t="shared" ca="1" si="59"/>
        <v>2</v>
      </c>
    </row>
    <row r="581" spans="1:10" ht="300" x14ac:dyDescent="0.25">
      <c r="A581" s="3" t="s">
        <v>2186</v>
      </c>
      <c r="B581">
        <f>IFERROR(COUNTIFS($A$1:A581,"Câu "&amp;"*")-MID(A581,5,FIND(".",A581,1)-5),0)</f>
        <v>0</v>
      </c>
      <c r="C581" t="b">
        <v>0</v>
      </c>
      <c r="E581" t="str">
        <f t="shared" si="54"/>
        <v>1</v>
      </c>
      <c r="F581" t="str">
        <f t="shared" si="55"/>
        <v>2</v>
      </c>
      <c r="G581" t="str">
        <f t="shared" si="56"/>
        <v>3</v>
      </c>
      <c r="H581" t="str">
        <f t="shared" si="57"/>
        <v/>
      </c>
      <c r="I581" t="str">
        <f t="shared" si="58"/>
        <v>1</v>
      </c>
      <c r="J581" t="str">
        <f t="shared" ca="1" si="59"/>
        <v/>
      </c>
    </row>
    <row r="582" spans="1:10" ht="409.5" x14ac:dyDescent="0.25">
      <c r="A582" s="3" t="s">
        <v>2187</v>
      </c>
      <c r="B582">
        <f>IFERROR(COUNTIFS($A$1:A582,"Câu "&amp;"*")-MID(A582,5,FIND(".",A582,1)-5),0)</f>
        <v>0</v>
      </c>
      <c r="C582" t="b">
        <v>1</v>
      </c>
      <c r="E582" t="str">
        <f t="shared" si="54"/>
        <v>2</v>
      </c>
      <c r="F582" t="str">
        <f t="shared" si="55"/>
        <v>3</v>
      </c>
      <c r="G582" t="str">
        <f t="shared" si="56"/>
        <v>Câu 142.</v>
      </c>
      <c r="H582" t="str">
        <f t="shared" si="57"/>
        <v>1</v>
      </c>
      <c r="I582" t="str">
        <f t="shared" si="58"/>
        <v>2</v>
      </c>
      <c r="J582" t="str">
        <f t="shared" ca="1" si="59"/>
        <v/>
      </c>
    </row>
    <row r="583" spans="1:10" ht="37.5" x14ac:dyDescent="0.25">
      <c r="A583" s="3" t="s">
        <v>1814</v>
      </c>
      <c r="B583">
        <f>IFERROR(COUNTIFS($A$1:A583,"Câu "&amp;"*")-MID(A583,5,FIND(".",A583,1)-5),0)</f>
        <v>0</v>
      </c>
      <c r="C583" t="b">
        <v>0</v>
      </c>
      <c r="E583" t="str">
        <f t="shared" si="54"/>
        <v>3</v>
      </c>
      <c r="F583" t="str">
        <f t="shared" si="55"/>
        <v>Câu 142.</v>
      </c>
      <c r="G583" t="str">
        <f t="shared" si="56"/>
        <v>1</v>
      </c>
      <c r="H583" t="str">
        <f t="shared" si="57"/>
        <v>2</v>
      </c>
      <c r="I583" t="str">
        <f t="shared" si="58"/>
        <v/>
      </c>
      <c r="J583" t="str">
        <f t="shared" ca="1" si="59"/>
        <v/>
      </c>
    </row>
    <row r="584" spans="1:10" ht="409.5" x14ac:dyDescent="0.25">
      <c r="A584" s="4" t="s">
        <v>512</v>
      </c>
      <c r="B584">
        <f>IFERROR(COUNTIFS($A$1:A584,"Câu "&amp;"*")-MID(A584,5,FIND(".",A584,1)-5),0)</f>
        <v>0</v>
      </c>
      <c r="C584" t="b">
        <v>0</v>
      </c>
      <c r="E584" t="str">
        <f t="shared" si="54"/>
        <v>Câu 142.</v>
      </c>
      <c r="F584" t="str">
        <f t="shared" si="55"/>
        <v>1</v>
      </c>
      <c r="G584" t="str">
        <f t="shared" si="56"/>
        <v>2</v>
      </c>
      <c r="H584" t="str">
        <f t="shared" si="57"/>
        <v/>
      </c>
      <c r="I584" t="str">
        <f t="shared" si="58"/>
        <v>1</v>
      </c>
      <c r="J584" t="str">
        <f t="shared" ca="1" si="59"/>
        <v>1</v>
      </c>
    </row>
    <row r="585" spans="1:10" ht="112.5" x14ac:dyDescent="0.25">
      <c r="A585" s="3" t="s">
        <v>2188</v>
      </c>
      <c r="B585">
        <f>IFERROR(COUNTIFS($A$1:A585,"Câu "&amp;"*")-MID(A585,5,FIND(".",A585,1)-5),0)</f>
        <v>0</v>
      </c>
      <c r="C585" t="b">
        <v>1</v>
      </c>
      <c r="E585" t="str">
        <f t="shared" si="54"/>
        <v>1</v>
      </c>
      <c r="F585" t="str">
        <f t="shared" si="55"/>
        <v>2</v>
      </c>
      <c r="G585" t="str">
        <f t="shared" si="56"/>
        <v>Câu 143.</v>
      </c>
      <c r="H585" t="str">
        <f t="shared" si="57"/>
        <v>1</v>
      </c>
      <c r="I585" t="str">
        <f t="shared" si="58"/>
        <v>2</v>
      </c>
      <c r="J585" t="str">
        <f t="shared" ca="1" si="59"/>
        <v/>
      </c>
    </row>
    <row r="586" spans="1:10" ht="225" x14ac:dyDescent="0.25">
      <c r="A586" s="3" t="s">
        <v>2189</v>
      </c>
      <c r="B586">
        <f>IFERROR(COUNTIFS($A$1:A586,"Câu "&amp;"*")-MID(A586,5,FIND(".",A586,1)-5),0)</f>
        <v>0</v>
      </c>
      <c r="C586" t="b">
        <v>0</v>
      </c>
      <c r="E586" t="str">
        <f t="shared" si="54"/>
        <v>2</v>
      </c>
      <c r="F586" t="str">
        <f t="shared" si="55"/>
        <v>Câu 143.</v>
      </c>
      <c r="G586" t="str">
        <f t="shared" si="56"/>
        <v>1</v>
      </c>
      <c r="H586" t="str">
        <f t="shared" si="57"/>
        <v>2</v>
      </c>
      <c r="I586" t="str">
        <f t="shared" si="58"/>
        <v>3</v>
      </c>
      <c r="J586" t="str">
        <f t="shared" ca="1" si="59"/>
        <v/>
      </c>
    </row>
    <row r="587" spans="1:10" ht="337.5" x14ac:dyDescent="0.25">
      <c r="A587" s="4" t="s">
        <v>515</v>
      </c>
      <c r="B587">
        <f>IFERROR(COUNTIFS($A$1:A587,"Câu "&amp;"*")-MID(A587,5,FIND(".",A587,1)-5),0)</f>
        <v>0</v>
      </c>
      <c r="C587" t="b">
        <v>0</v>
      </c>
      <c r="E587" t="str">
        <f t="shared" si="54"/>
        <v>Câu 143.</v>
      </c>
      <c r="F587" t="str">
        <f t="shared" si="55"/>
        <v>1</v>
      </c>
      <c r="G587" t="str">
        <f t="shared" si="56"/>
        <v>2</v>
      </c>
      <c r="H587" t="str">
        <f t="shared" si="57"/>
        <v>3</v>
      </c>
      <c r="I587" t="str">
        <f t="shared" si="58"/>
        <v/>
      </c>
      <c r="J587" t="str">
        <f t="shared" ca="1" si="59"/>
        <v>3</v>
      </c>
    </row>
    <row r="588" spans="1:10" ht="18.75" x14ac:dyDescent="0.25">
      <c r="A588" s="11" t="s">
        <v>2190</v>
      </c>
      <c r="B588">
        <f>IFERROR(COUNTIFS($A$1:A588,"Câu "&amp;"*")-MID(A588,5,FIND(".",A588,1)-5),0)</f>
        <v>0</v>
      </c>
      <c r="C588" t="b">
        <v>0</v>
      </c>
      <c r="E588" t="str">
        <f t="shared" si="54"/>
        <v>1</v>
      </c>
      <c r="F588" t="str">
        <f t="shared" si="55"/>
        <v>2</v>
      </c>
      <c r="G588" t="str">
        <f t="shared" si="56"/>
        <v>3</v>
      </c>
      <c r="H588" t="str">
        <f t="shared" si="57"/>
        <v/>
      </c>
      <c r="I588" t="str">
        <f t="shared" si="58"/>
        <v>1</v>
      </c>
      <c r="J588" t="str">
        <f t="shared" ca="1" si="59"/>
        <v/>
      </c>
    </row>
    <row r="589" spans="1:10" ht="18.75" x14ac:dyDescent="0.25">
      <c r="A589" s="11" t="s">
        <v>2191</v>
      </c>
      <c r="B589">
        <f>IFERROR(COUNTIFS($A$1:A589,"Câu "&amp;"*")-MID(A589,5,FIND(".",A589,1)-5),0)</f>
        <v>0</v>
      </c>
      <c r="C589" t="b">
        <v>0</v>
      </c>
      <c r="E589" t="str">
        <f t="shared" si="54"/>
        <v>2</v>
      </c>
      <c r="F589" t="str">
        <f t="shared" si="55"/>
        <v>3</v>
      </c>
      <c r="G589" t="str">
        <f t="shared" si="56"/>
        <v>Câu 144.</v>
      </c>
      <c r="H589" t="str">
        <f t="shared" si="57"/>
        <v>1</v>
      </c>
      <c r="I589" t="str">
        <f t="shared" si="58"/>
        <v>2</v>
      </c>
      <c r="J589" t="str">
        <f t="shared" ca="1" si="59"/>
        <v/>
      </c>
    </row>
    <row r="590" spans="1:10" ht="18.75" x14ac:dyDescent="0.25">
      <c r="A590" s="11" t="s">
        <v>1825</v>
      </c>
      <c r="B590">
        <f>IFERROR(COUNTIFS($A$1:A590,"Câu "&amp;"*")-MID(A590,5,FIND(".",A590,1)-5),0)</f>
        <v>0</v>
      </c>
      <c r="C590" t="b">
        <v>1</v>
      </c>
      <c r="E590" t="str">
        <f t="shared" si="54"/>
        <v>3</v>
      </c>
      <c r="F590" t="str">
        <f t="shared" si="55"/>
        <v>Câu 144.</v>
      </c>
      <c r="G590" t="str">
        <f t="shared" si="56"/>
        <v>1</v>
      </c>
      <c r="H590" t="str">
        <f t="shared" si="57"/>
        <v>2</v>
      </c>
      <c r="I590" t="str">
        <f t="shared" si="58"/>
        <v>3</v>
      </c>
      <c r="J590" t="str">
        <f t="shared" ca="1" si="59"/>
        <v/>
      </c>
    </row>
    <row r="591" spans="1:10" ht="409.5" x14ac:dyDescent="0.25">
      <c r="A591" s="4" t="s">
        <v>518</v>
      </c>
      <c r="B591">
        <f>IFERROR(COUNTIFS($A$1:A591,"Câu "&amp;"*")-MID(A591,5,FIND(".",A591,1)-5),0)</f>
        <v>0</v>
      </c>
      <c r="C591" t="b">
        <v>0</v>
      </c>
      <c r="E591" t="str">
        <f t="shared" si="54"/>
        <v>Câu 144.</v>
      </c>
      <c r="F591" t="str">
        <f t="shared" si="55"/>
        <v>1</v>
      </c>
      <c r="G591" t="str">
        <f t="shared" si="56"/>
        <v>2</v>
      </c>
      <c r="H591" t="str">
        <f t="shared" si="57"/>
        <v>3</v>
      </c>
      <c r="I591" t="str">
        <f t="shared" si="58"/>
        <v/>
      </c>
      <c r="J591" t="str">
        <f t="shared" ca="1" si="59"/>
        <v>2</v>
      </c>
    </row>
    <row r="592" spans="1:10" ht="18.75" x14ac:dyDescent="0.25">
      <c r="A592" s="11" t="s">
        <v>2192</v>
      </c>
      <c r="B592">
        <f>IFERROR(COUNTIFS($A$1:A592,"Câu "&amp;"*")-MID(A592,5,FIND(".",A592,1)-5),0)</f>
        <v>0</v>
      </c>
      <c r="C592" t="b">
        <v>0</v>
      </c>
      <c r="E592" t="str">
        <f t="shared" si="54"/>
        <v>1</v>
      </c>
      <c r="F592" t="str">
        <f t="shared" si="55"/>
        <v>2</v>
      </c>
      <c r="G592" t="str">
        <f t="shared" si="56"/>
        <v>3</v>
      </c>
      <c r="H592" t="str">
        <f t="shared" si="57"/>
        <v/>
      </c>
      <c r="I592" t="str">
        <f t="shared" si="58"/>
        <v>1</v>
      </c>
      <c r="J592" t="str">
        <f t="shared" ca="1" si="59"/>
        <v/>
      </c>
    </row>
    <row r="593" spans="1:10" ht="18.75" x14ac:dyDescent="0.25">
      <c r="A593" s="11" t="s">
        <v>2193</v>
      </c>
      <c r="B593">
        <f>IFERROR(COUNTIFS($A$1:A593,"Câu "&amp;"*")-MID(A593,5,FIND(".",A593,1)-5),0)</f>
        <v>0</v>
      </c>
      <c r="C593" t="b">
        <v>1</v>
      </c>
      <c r="E593" t="str">
        <f t="shared" si="54"/>
        <v>2</v>
      </c>
      <c r="F593" t="str">
        <f t="shared" si="55"/>
        <v>3</v>
      </c>
      <c r="G593" t="str">
        <f t="shared" si="56"/>
        <v>Câu 145.</v>
      </c>
      <c r="H593" t="str">
        <f t="shared" si="57"/>
        <v>1</v>
      </c>
      <c r="I593" t="str">
        <f t="shared" si="58"/>
        <v>2</v>
      </c>
      <c r="J593" t="str">
        <f t="shared" ca="1" si="59"/>
        <v/>
      </c>
    </row>
    <row r="594" spans="1:10" ht="18.75" x14ac:dyDescent="0.25">
      <c r="A594" s="11" t="s">
        <v>2194</v>
      </c>
      <c r="B594">
        <f>IFERROR(COUNTIFS($A$1:A594,"Câu "&amp;"*")-MID(A594,5,FIND(".",A594,1)-5),0)</f>
        <v>0</v>
      </c>
      <c r="C594" t="b">
        <v>0</v>
      </c>
      <c r="E594" t="str">
        <f t="shared" si="54"/>
        <v>3</v>
      </c>
      <c r="F594" t="str">
        <f t="shared" si="55"/>
        <v>Câu 145.</v>
      </c>
      <c r="G594" t="str">
        <f t="shared" si="56"/>
        <v>1</v>
      </c>
      <c r="H594" t="str">
        <f t="shared" si="57"/>
        <v>2</v>
      </c>
      <c r="I594" t="str">
        <f t="shared" si="58"/>
        <v>3</v>
      </c>
      <c r="J594" t="str">
        <f t="shared" ca="1" si="59"/>
        <v/>
      </c>
    </row>
    <row r="595" spans="1:10" ht="409.5" x14ac:dyDescent="0.25">
      <c r="A595" s="4" t="s">
        <v>522</v>
      </c>
      <c r="B595">
        <f>IFERROR(COUNTIFS($A$1:A595,"Câu "&amp;"*")-MID(A595,5,FIND(".",A595,1)-5),0)</f>
        <v>0</v>
      </c>
      <c r="C595" t="b">
        <v>0</v>
      </c>
      <c r="E595" t="str">
        <f t="shared" si="54"/>
        <v>Câu 145.</v>
      </c>
      <c r="F595" t="str">
        <f t="shared" si="55"/>
        <v>1</v>
      </c>
      <c r="G595" t="str">
        <f t="shared" si="56"/>
        <v>2</v>
      </c>
      <c r="H595" t="str">
        <f t="shared" si="57"/>
        <v>3</v>
      </c>
      <c r="I595" t="str">
        <f t="shared" si="58"/>
        <v/>
      </c>
      <c r="J595" t="str">
        <f t="shared" ca="1" si="59"/>
        <v>1</v>
      </c>
    </row>
    <row r="596" spans="1:10" ht="18.75" x14ac:dyDescent="0.25">
      <c r="A596" s="11" t="s">
        <v>2195</v>
      </c>
      <c r="B596">
        <f>IFERROR(COUNTIFS($A$1:A596,"Câu "&amp;"*")-MID(A596,5,FIND(".",A596,1)-5),0)</f>
        <v>0</v>
      </c>
      <c r="C596" t="b">
        <v>1</v>
      </c>
      <c r="E596" t="str">
        <f t="shared" si="54"/>
        <v>1</v>
      </c>
      <c r="F596" t="str">
        <f t="shared" si="55"/>
        <v>2</v>
      </c>
      <c r="G596" t="str">
        <f t="shared" si="56"/>
        <v>3</v>
      </c>
      <c r="H596" t="str">
        <f t="shared" si="57"/>
        <v/>
      </c>
      <c r="I596" t="str">
        <f t="shared" si="58"/>
        <v>b</v>
      </c>
      <c r="J596" t="str">
        <f t="shared" ca="1" si="59"/>
        <v/>
      </c>
    </row>
    <row r="597" spans="1:10" ht="18.75" x14ac:dyDescent="0.25">
      <c r="A597" s="11" t="s">
        <v>2196</v>
      </c>
      <c r="B597">
        <f>IFERROR(COUNTIFS($A$1:A597,"Câu "&amp;"*")-MID(A597,5,FIND(".",A597,1)-5),0)</f>
        <v>0</v>
      </c>
      <c r="C597" t="b">
        <v>0</v>
      </c>
      <c r="E597" t="str">
        <f t="shared" si="54"/>
        <v>2</v>
      </c>
      <c r="F597" t="str">
        <f t="shared" si="55"/>
        <v>3</v>
      </c>
      <c r="G597" t="str">
        <f t="shared" si="56"/>
        <v>Câu 146.</v>
      </c>
      <c r="H597" t="str">
        <f t="shared" si="57"/>
        <v>b</v>
      </c>
      <c r="I597" t="str">
        <f t="shared" si="58"/>
        <v>1</v>
      </c>
      <c r="J597" t="str">
        <f t="shared" ca="1" si="59"/>
        <v/>
      </c>
    </row>
    <row r="598" spans="1:10" ht="18.75" x14ac:dyDescent="0.25">
      <c r="A598" s="11" t="s">
        <v>2197</v>
      </c>
      <c r="B598">
        <f>IFERROR(COUNTIFS($A$1:A598,"Câu "&amp;"*")-MID(A598,5,FIND(".",A598,1)-5),0)</f>
        <v>0</v>
      </c>
      <c r="C598" t="b">
        <v>0</v>
      </c>
      <c r="E598" t="str">
        <f t="shared" si="54"/>
        <v>3</v>
      </c>
      <c r="F598" t="str">
        <f t="shared" si="55"/>
        <v>Câu 146.</v>
      </c>
      <c r="G598" t="str">
        <f t="shared" si="56"/>
        <v>b</v>
      </c>
      <c r="H598" t="str">
        <f t="shared" si="57"/>
        <v>1</v>
      </c>
      <c r="I598" t="str">
        <f t="shared" si="58"/>
        <v>2</v>
      </c>
      <c r="J598" t="str">
        <f t="shared" ca="1" si="59"/>
        <v/>
      </c>
    </row>
    <row r="599" spans="1:10" ht="18.75" x14ac:dyDescent="0.25">
      <c r="A599" s="10" t="s">
        <v>525</v>
      </c>
      <c r="B599">
        <f>IFERROR(COUNTIFS($A$1:A599,"Câu "&amp;"*")-MID(A599,5,FIND(".",A599,1)-5),0)</f>
        <v>0</v>
      </c>
      <c r="C599" t="b">
        <v>0</v>
      </c>
      <c r="E599" t="str">
        <f t="shared" si="54"/>
        <v>Câu 146.</v>
      </c>
      <c r="F599" t="str">
        <f t="shared" si="55"/>
        <v>b</v>
      </c>
      <c r="G599" t="str">
        <f t="shared" si="56"/>
        <v>1</v>
      </c>
      <c r="H599" t="str">
        <f t="shared" si="57"/>
        <v>2</v>
      </c>
      <c r="I599" t="str">
        <f t="shared" si="58"/>
        <v>3</v>
      </c>
      <c r="J599" t="str">
        <f t="shared" ca="1" si="59"/>
        <v>2</v>
      </c>
    </row>
    <row r="600" spans="1:10" ht="18.75" x14ac:dyDescent="0.25">
      <c r="A600" s="10" t="s">
        <v>526</v>
      </c>
      <c r="B600">
        <f>IFERROR(COUNTIFS($A$1:A600,"Câu "&amp;"*")-MID(A600,5,FIND(".",A600,1)-5),0)</f>
        <v>0</v>
      </c>
      <c r="C600" t="b">
        <v>0</v>
      </c>
      <c r="E600" t="str">
        <f t="shared" si="54"/>
        <v>b</v>
      </c>
      <c r="F600" t="str">
        <f t="shared" si="55"/>
        <v>1</v>
      </c>
      <c r="G600" t="str">
        <f t="shared" si="56"/>
        <v>2</v>
      </c>
      <c r="H600" t="str">
        <f t="shared" si="57"/>
        <v>3</v>
      </c>
      <c r="I600" t="str">
        <f t="shared" si="58"/>
        <v/>
      </c>
      <c r="J600" t="str">
        <f t="shared" ca="1" si="59"/>
        <v/>
      </c>
    </row>
    <row r="601" spans="1:10" ht="18.75" x14ac:dyDescent="0.25">
      <c r="A601" s="11" t="s">
        <v>2198</v>
      </c>
      <c r="B601">
        <f>IFERROR(COUNTIFS($A$1:A601,"Câu "&amp;"*")-MID(A601,5,FIND(".",A601,1)-5),0)</f>
        <v>0</v>
      </c>
      <c r="C601" t="b">
        <v>0</v>
      </c>
      <c r="E601" t="str">
        <f t="shared" si="54"/>
        <v>1</v>
      </c>
      <c r="F601" t="str">
        <f t="shared" si="55"/>
        <v>2</v>
      </c>
      <c r="G601" t="str">
        <f t="shared" si="56"/>
        <v>3</v>
      </c>
      <c r="H601" t="str">
        <f t="shared" si="57"/>
        <v/>
      </c>
      <c r="I601" t="str">
        <f t="shared" si="58"/>
        <v>1</v>
      </c>
      <c r="J601" t="str">
        <f t="shared" ca="1" si="59"/>
        <v/>
      </c>
    </row>
    <row r="602" spans="1:10" ht="18.75" x14ac:dyDescent="0.25">
      <c r="A602" s="11" t="s">
        <v>2199</v>
      </c>
      <c r="B602">
        <f>IFERROR(COUNTIFS($A$1:A602,"Câu "&amp;"*")-MID(A602,5,FIND(".",A602,1)-5),0)</f>
        <v>0</v>
      </c>
      <c r="C602" t="b">
        <v>1</v>
      </c>
      <c r="E602" t="str">
        <f t="shared" si="54"/>
        <v>2</v>
      </c>
      <c r="F602" t="str">
        <f t="shared" si="55"/>
        <v>3</v>
      </c>
      <c r="G602" t="str">
        <f t="shared" si="56"/>
        <v>Câu 147.</v>
      </c>
      <c r="H602" t="str">
        <f t="shared" si="57"/>
        <v>1</v>
      </c>
      <c r="I602" t="str">
        <f t="shared" si="58"/>
        <v>2</v>
      </c>
      <c r="J602" t="str">
        <f t="shared" ca="1" si="59"/>
        <v/>
      </c>
    </row>
    <row r="603" spans="1:10" ht="18.75" x14ac:dyDescent="0.25">
      <c r="A603" s="11" t="s">
        <v>2197</v>
      </c>
      <c r="B603">
        <f>IFERROR(COUNTIFS($A$1:A603,"Câu "&amp;"*")-MID(A603,5,FIND(".",A603,1)-5),0)</f>
        <v>0</v>
      </c>
      <c r="C603" t="b">
        <v>0</v>
      </c>
      <c r="E603" t="str">
        <f t="shared" si="54"/>
        <v>3</v>
      </c>
      <c r="F603" t="str">
        <f t="shared" si="55"/>
        <v>Câu 147.</v>
      </c>
      <c r="G603" t="str">
        <f t="shared" si="56"/>
        <v>1</v>
      </c>
      <c r="H603" t="str">
        <f t="shared" si="57"/>
        <v>2</v>
      </c>
      <c r="I603" t="str">
        <f t="shared" si="58"/>
        <v>3</v>
      </c>
      <c r="J603" t="str">
        <f t="shared" ca="1" si="59"/>
        <v/>
      </c>
    </row>
    <row r="604" spans="1:10" ht="409.5" x14ac:dyDescent="0.25">
      <c r="A604" s="4" t="s">
        <v>528</v>
      </c>
      <c r="B604">
        <f>IFERROR(COUNTIFS($A$1:A604,"Câu "&amp;"*")-MID(A604,5,FIND(".",A604,1)-5),0)</f>
        <v>0</v>
      </c>
      <c r="C604" t="b">
        <v>0</v>
      </c>
      <c r="E604" t="str">
        <f t="shared" si="54"/>
        <v>Câu 147.</v>
      </c>
      <c r="F604" t="str">
        <f t="shared" si="55"/>
        <v>1</v>
      </c>
      <c r="G604" t="str">
        <f t="shared" si="56"/>
        <v>2</v>
      </c>
      <c r="H604" t="str">
        <f t="shared" si="57"/>
        <v>3</v>
      </c>
      <c r="I604" t="str">
        <f t="shared" si="58"/>
        <v/>
      </c>
      <c r="J604" t="str">
        <f t="shared" ca="1" si="59"/>
        <v>1</v>
      </c>
    </row>
    <row r="605" spans="1:10" ht="18.75" x14ac:dyDescent="0.25">
      <c r="A605" s="11" t="s">
        <v>2200</v>
      </c>
      <c r="B605">
        <f>IFERROR(COUNTIFS($A$1:A605,"Câu "&amp;"*")-MID(A605,5,FIND(".",A605,1)-5),0)</f>
        <v>0</v>
      </c>
      <c r="C605" t="b">
        <v>1</v>
      </c>
      <c r="E605" t="str">
        <f t="shared" si="54"/>
        <v>1</v>
      </c>
      <c r="F605" t="str">
        <f t="shared" si="55"/>
        <v>2</v>
      </c>
      <c r="G605" t="str">
        <f t="shared" si="56"/>
        <v>3</v>
      </c>
      <c r="H605" t="str">
        <f t="shared" si="57"/>
        <v/>
      </c>
      <c r="I605" t="str">
        <f t="shared" si="58"/>
        <v>1</v>
      </c>
      <c r="J605" t="str">
        <f t="shared" ca="1" si="59"/>
        <v/>
      </c>
    </row>
    <row r="606" spans="1:10" ht="18.75" x14ac:dyDescent="0.25">
      <c r="A606" s="11" t="s">
        <v>2201</v>
      </c>
      <c r="B606">
        <f>IFERROR(COUNTIFS($A$1:A606,"Câu "&amp;"*")-MID(A606,5,FIND(".",A606,1)-5),0)</f>
        <v>0</v>
      </c>
      <c r="C606" t="b">
        <v>0</v>
      </c>
      <c r="E606" t="str">
        <f t="shared" si="54"/>
        <v>2</v>
      </c>
      <c r="F606" t="str">
        <f t="shared" si="55"/>
        <v>3</v>
      </c>
      <c r="G606" t="str">
        <f t="shared" si="56"/>
        <v>Câu 148.</v>
      </c>
      <c r="H606" t="str">
        <f t="shared" si="57"/>
        <v>1</v>
      </c>
      <c r="I606" t="str">
        <f t="shared" si="58"/>
        <v>2</v>
      </c>
      <c r="J606" t="str">
        <f t="shared" ca="1" si="59"/>
        <v/>
      </c>
    </row>
    <row r="607" spans="1:10" ht="18.75" x14ac:dyDescent="0.25">
      <c r="A607" s="11" t="s">
        <v>1814</v>
      </c>
      <c r="B607">
        <f>IFERROR(COUNTIFS($A$1:A607,"Câu "&amp;"*")-MID(A607,5,FIND(".",A607,1)-5),0)</f>
        <v>0</v>
      </c>
      <c r="C607" t="b">
        <v>0</v>
      </c>
      <c r="E607" t="str">
        <f t="shared" si="54"/>
        <v>3</v>
      </c>
      <c r="F607" t="str">
        <f t="shared" si="55"/>
        <v>Câu 148.</v>
      </c>
      <c r="G607" t="str">
        <f t="shared" si="56"/>
        <v>1</v>
      </c>
      <c r="H607" t="str">
        <f t="shared" si="57"/>
        <v>2</v>
      </c>
      <c r="I607" t="str">
        <f t="shared" si="58"/>
        <v>3</v>
      </c>
      <c r="J607" t="str">
        <f t="shared" ca="1" si="59"/>
        <v/>
      </c>
    </row>
    <row r="608" spans="1:10" ht="409.5" x14ac:dyDescent="0.25">
      <c r="A608" s="4" t="s">
        <v>531</v>
      </c>
      <c r="B608">
        <f>IFERROR(COUNTIFS($A$1:A608,"Câu "&amp;"*")-MID(A608,5,FIND(".",A608,1)-5),0)</f>
        <v>0</v>
      </c>
      <c r="C608" t="b">
        <v>0</v>
      </c>
      <c r="E608" t="str">
        <f t="shared" si="54"/>
        <v>Câu 148.</v>
      </c>
      <c r="F608" t="str">
        <f t="shared" si="55"/>
        <v>1</v>
      </c>
      <c r="G608" t="str">
        <f t="shared" si="56"/>
        <v>2</v>
      </c>
      <c r="H608" t="str">
        <f t="shared" si="57"/>
        <v>3</v>
      </c>
      <c r="I608" t="str">
        <f t="shared" si="58"/>
        <v/>
      </c>
      <c r="J608" t="str">
        <f t="shared" ca="1" si="59"/>
        <v>1</v>
      </c>
    </row>
    <row r="609" spans="1:10" ht="18.75" x14ac:dyDescent="0.25">
      <c r="A609" s="11" t="s">
        <v>2202</v>
      </c>
      <c r="B609">
        <f>IFERROR(COUNTIFS($A$1:A609,"Câu "&amp;"*")-MID(A609,5,FIND(".",A609,1)-5),0)</f>
        <v>0</v>
      </c>
      <c r="C609" t="b">
        <v>1</v>
      </c>
      <c r="E609" t="str">
        <f t="shared" si="54"/>
        <v>1</v>
      </c>
      <c r="F609" t="str">
        <f t="shared" si="55"/>
        <v>2</v>
      </c>
      <c r="G609" t="str">
        <f t="shared" si="56"/>
        <v>3</v>
      </c>
      <c r="H609" t="str">
        <f t="shared" si="57"/>
        <v/>
      </c>
      <c r="I609" t="str">
        <f t="shared" si="58"/>
        <v>1</v>
      </c>
      <c r="J609" t="str">
        <f t="shared" ca="1" si="59"/>
        <v/>
      </c>
    </row>
    <row r="610" spans="1:10" ht="18.75" x14ac:dyDescent="0.25">
      <c r="A610" s="11" t="s">
        <v>2201</v>
      </c>
      <c r="B610">
        <f>IFERROR(COUNTIFS($A$1:A610,"Câu "&amp;"*")-MID(A610,5,FIND(".",A610,1)-5),0)</f>
        <v>0</v>
      </c>
      <c r="C610" t="b">
        <v>0</v>
      </c>
      <c r="E610" t="str">
        <f t="shared" si="54"/>
        <v>2</v>
      </c>
      <c r="F610" t="str">
        <f t="shared" si="55"/>
        <v>3</v>
      </c>
      <c r="G610" t="str">
        <f t="shared" si="56"/>
        <v>Câu 149.</v>
      </c>
      <c r="H610" t="str">
        <f t="shared" si="57"/>
        <v>1</v>
      </c>
      <c r="I610" t="str">
        <f t="shared" si="58"/>
        <v>2</v>
      </c>
      <c r="J610" t="str">
        <f t="shared" ca="1" si="59"/>
        <v/>
      </c>
    </row>
    <row r="611" spans="1:10" ht="18.75" x14ac:dyDescent="0.25">
      <c r="A611" s="11" t="s">
        <v>1814</v>
      </c>
      <c r="B611">
        <f>IFERROR(COUNTIFS($A$1:A611,"Câu "&amp;"*")-MID(A611,5,FIND(".",A611,1)-5),0)</f>
        <v>0</v>
      </c>
      <c r="C611" t="b">
        <v>0</v>
      </c>
      <c r="E611" t="str">
        <f t="shared" si="54"/>
        <v>3</v>
      </c>
      <c r="F611" t="str">
        <f t="shared" si="55"/>
        <v>Câu 149.</v>
      </c>
      <c r="G611" t="str">
        <f t="shared" si="56"/>
        <v>1</v>
      </c>
      <c r="H611" t="str">
        <f t="shared" si="57"/>
        <v>2</v>
      </c>
      <c r="I611" t="str">
        <f t="shared" si="58"/>
        <v>3</v>
      </c>
      <c r="J611" t="str">
        <f t="shared" ca="1" si="59"/>
        <v/>
      </c>
    </row>
    <row r="612" spans="1:10" ht="409.5" x14ac:dyDescent="0.25">
      <c r="A612" s="4" t="s">
        <v>532</v>
      </c>
      <c r="B612">
        <f>IFERROR(COUNTIFS($A$1:A612,"Câu "&amp;"*")-MID(A612,5,FIND(".",A612,1)-5),0)</f>
        <v>0</v>
      </c>
      <c r="C612" t="b">
        <v>0</v>
      </c>
      <c r="E612" t="str">
        <f t="shared" si="54"/>
        <v>Câu 149.</v>
      </c>
      <c r="F612" t="str">
        <f t="shared" si="55"/>
        <v>1</v>
      </c>
      <c r="G612" t="str">
        <f t="shared" si="56"/>
        <v>2</v>
      </c>
      <c r="H612" t="str">
        <f t="shared" si="57"/>
        <v>3</v>
      </c>
      <c r="I612" t="str">
        <f t="shared" si="58"/>
        <v/>
      </c>
      <c r="J612" t="str">
        <f t="shared" ca="1" si="59"/>
        <v>1</v>
      </c>
    </row>
    <row r="613" spans="1:10" ht="18.75" x14ac:dyDescent="0.25">
      <c r="A613" s="11" t="s">
        <v>2203</v>
      </c>
      <c r="B613">
        <f>IFERROR(COUNTIFS($A$1:A613,"Câu "&amp;"*")-MID(A613,5,FIND(".",A613,1)-5),0)</f>
        <v>0</v>
      </c>
      <c r="C613" t="b">
        <v>1</v>
      </c>
      <c r="E613" t="str">
        <f t="shared" si="54"/>
        <v>1</v>
      </c>
      <c r="F613" t="str">
        <f t="shared" si="55"/>
        <v>2</v>
      </c>
      <c r="G613" t="str">
        <f t="shared" si="56"/>
        <v>3</v>
      </c>
      <c r="H613" t="str">
        <f t="shared" si="57"/>
        <v/>
      </c>
      <c r="I613" t="str">
        <f t="shared" si="58"/>
        <v>1</v>
      </c>
      <c r="J613" t="str">
        <f t="shared" ca="1" si="59"/>
        <v/>
      </c>
    </row>
    <row r="614" spans="1:10" ht="18.75" x14ac:dyDescent="0.25">
      <c r="A614" s="11" t="s">
        <v>2204</v>
      </c>
      <c r="B614">
        <f>IFERROR(COUNTIFS($A$1:A614,"Câu "&amp;"*")-MID(A614,5,FIND(".",A614,1)-5),0)</f>
        <v>0</v>
      </c>
      <c r="C614" t="b">
        <v>0</v>
      </c>
      <c r="E614" t="str">
        <f t="shared" si="54"/>
        <v>2</v>
      </c>
      <c r="F614" t="str">
        <f t="shared" si="55"/>
        <v>3</v>
      </c>
      <c r="G614" t="str">
        <f t="shared" si="56"/>
        <v>Câu 150.</v>
      </c>
      <c r="H614" t="str">
        <f t="shared" si="57"/>
        <v>1</v>
      </c>
      <c r="I614" t="str">
        <f t="shared" si="58"/>
        <v>2</v>
      </c>
      <c r="J614" t="str">
        <f t="shared" ca="1" si="59"/>
        <v/>
      </c>
    </row>
    <row r="615" spans="1:10" ht="18.75" x14ac:dyDescent="0.25">
      <c r="A615" s="11" t="s">
        <v>2205</v>
      </c>
      <c r="B615">
        <f>IFERROR(COUNTIFS($A$1:A615,"Câu "&amp;"*")-MID(A615,5,FIND(".",A615,1)-5),0)</f>
        <v>0</v>
      </c>
      <c r="C615" t="b">
        <v>0</v>
      </c>
      <c r="E615" t="str">
        <f t="shared" si="54"/>
        <v>3</v>
      </c>
      <c r="F615" t="str">
        <f t="shared" si="55"/>
        <v>Câu 150.</v>
      </c>
      <c r="G615" t="str">
        <f t="shared" si="56"/>
        <v>1</v>
      </c>
      <c r="H615" t="str">
        <f t="shared" si="57"/>
        <v>2</v>
      </c>
      <c r="I615" t="str">
        <f t="shared" si="58"/>
        <v>3</v>
      </c>
      <c r="J615" t="str">
        <f t="shared" ca="1" si="59"/>
        <v/>
      </c>
    </row>
    <row r="616" spans="1:10" ht="409.5" x14ac:dyDescent="0.25">
      <c r="A616" s="4" t="s">
        <v>536</v>
      </c>
      <c r="B616">
        <f>IFERROR(COUNTIFS($A$1:A616,"Câu "&amp;"*")-MID(A616,5,FIND(".",A616,1)-5),0)</f>
        <v>0</v>
      </c>
      <c r="C616" t="b">
        <v>0</v>
      </c>
      <c r="E616" t="str">
        <f t="shared" si="54"/>
        <v>Câu 150.</v>
      </c>
      <c r="F616" t="str">
        <f t="shared" si="55"/>
        <v>1</v>
      </c>
      <c r="G616" t="str">
        <f t="shared" si="56"/>
        <v>2</v>
      </c>
      <c r="H616" t="str">
        <f t="shared" si="57"/>
        <v>3</v>
      </c>
      <c r="I616" t="str">
        <f t="shared" si="58"/>
        <v>4</v>
      </c>
      <c r="J616" t="str">
        <f t="shared" ca="1" si="59"/>
        <v>2</v>
      </c>
    </row>
    <row r="617" spans="1:10" ht="18.75" x14ac:dyDescent="0.25">
      <c r="A617" s="11" t="s">
        <v>2206</v>
      </c>
      <c r="B617">
        <f>IFERROR(COUNTIFS($A$1:A617,"Câu "&amp;"*")-MID(A617,5,FIND(".",A617,1)-5),0)</f>
        <v>0</v>
      </c>
      <c r="C617" t="b">
        <v>0</v>
      </c>
      <c r="E617" t="str">
        <f t="shared" si="54"/>
        <v>1</v>
      </c>
      <c r="F617" t="str">
        <f t="shared" si="55"/>
        <v>2</v>
      </c>
      <c r="G617" t="str">
        <f t="shared" si="56"/>
        <v>3</v>
      </c>
      <c r="H617" t="str">
        <f t="shared" si="57"/>
        <v>4</v>
      </c>
      <c r="I617" t="str">
        <f t="shared" si="58"/>
        <v/>
      </c>
      <c r="J617" t="str">
        <f t="shared" ca="1" si="59"/>
        <v/>
      </c>
    </row>
    <row r="618" spans="1:10" ht="18.75" x14ac:dyDescent="0.25">
      <c r="A618" s="11" t="s">
        <v>2207</v>
      </c>
      <c r="B618">
        <f>IFERROR(COUNTIFS($A$1:A618,"Câu "&amp;"*")-MID(A618,5,FIND(".",A618,1)-5),0)</f>
        <v>0</v>
      </c>
      <c r="C618" t="b">
        <v>1</v>
      </c>
      <c r="E618" t="str">
        <f t="shared" si="54"/>
        <v>2</v>
      </c>
      <c r="F618" t="str">
        <f t="shared" si="55"/>
        <v>3</v>
      </c>
      <c r="G618" t="str">
        <f t="shared" si="56"/>
        <v>4</v>
      </c>
      <c r="H618" t="str">
        <f t="shared" si="57"/>
        <v/>
      </c>
      <c r="I618" t="str">
        <f t="shared" si="58"/>
        <v>1</v>
      </c>
      <c r="J618" t="str">
        <f t="shared" ca="1" si="59"/>
        <v/>
      </c>
    </row>
    <row r="619" spans="1:10" ht="18.75" x14ac:dyDescent="0.25">
      <c r="A619" s="11" t="s">
        <v>2205</v>
      </c>
      <c r="B619">
        <f>IFERROR(COUNTIFS($A$1:A619,"Câu "&amp;"*")-MID(A619,5,FIND(".",A619,1)-5),0)</f>
        <v>0</v>
      </c>
      <c r="C619" t="b">
        <v>0</v>
      </c>
      <c r="E619" t="str">
        <f t="shared" si="54"/>
        <v>3</v>
      </c>
      <c r="F619" t="str">
        <f t="shared" si="55"/>
        <v>4</v>
      </c>
      <c r="G619" t="str">
        <f t="shared" si="56"/>
        <v>Câu 151.</v>
      </c>
      <c r="H619" t="str">
        <f t="shared" si="57"/>
        <v>1</v>
      </c>
      <c r="I619" t="str">
        <f t="shared" si="58"/>
        <v>2</v>
      </c>
      <c r="J619" t="str">
        <f t="shared" ca="1" si="59"/>
        <v/>
      </c>
    </row>
    <row r="620" spans="1:10" ht="356.25" x14ac:dyDescent="0.25">
      <c r="A620" s="3" t="s">
        <v>2208</v>
      </c>
      <c r="B620">
        <f>IFERROR(COUNTIFS($A$1:A620,"Câu "&amp;"*")-MID(A620,5,FIND(".",A620,1)-5),0)</f>
        <v>0</v>
      </c>
      <c r="C620" t="b">
        <v>0</v>
      </c>
      <c r="E620" t="str">
        <f t="shared" si="54"/>
        <v>4</v>
      </c>
      <c r="F620" t="str">
        <f t="shared" si="55"/>
        <v>Câu 151.</v>
      </c>
      <c r="G620" t="str">
        <f t="shared" si="56"/>
        <v>1</v>
      </c>
      <c r="H620" t="str">
        <f t="shared" si="57"/>
        <v>2</v>
      </c>
      <c r="I620" t="str">
        <f t="shared" si="58"/>
        <v>3</v>
      </c>
      <c r="J620" t="str">
        <f t="shared" ca="1" si="59"/>
        <v/>
      </c>
    </row>
    <row r="621" spans="1:10" ht="409.5" x14ac:dyDescent="0.25">
      <c r="A621" s="4" t="s">
        <v>540</v>
      </c>
      <c r="B621">
        <f>IFERROR(COUNTIFS($A$1:A621,"Câu "&amp;"*")-MID(A621,5,FIND(".",A621,1)-5),0)</f>
        <v>0</v>
      </c>
      <c r="C621" t="b">
        <v>0</v>
      </c>
      <c r="E621" t="str">
        <f t="shared" si="54"/>
        <v>Câu 151.</v>
      </c>
      <c r="F621" t="str">
        <f t="shared" si="55"/>
        <v>1</v>
      </c>
      <c r="G621" t="str">
        <f t="shared" si="56"/>
        <v>2</v>
      </c>
      <c r="H621" t="str">
        <f t="shared" si="57"/>
        <v>3</v>
      </c>
      <c r="I621" t="str">
        <f t="shared" si="58"/>
        <v>4</v>
      </c>
      <c r="J621" t="str">
        <f t="shared" ca="1" si="59"/>
        <v>3</v>
      </c>
    </row>
    <row r="622" spans="1:10" ht="18.75" x14ac:dyDescent="0.25">
      <c r="A622" s="11" t="s">
        <v>2206</v>
      </c>
      <c r="B622">
        <f>IFERROR(COUNTIFS($A$1:A622,"Câu "&amp;"*")-MID(A622,5,FIND(".",A622,1)-5),0)</f>
        <v>0</v>
      </c>
      <c r="C622" t="b">
        <v>0</v>
      </c>
      <c r="E622" t="str">
        <f t="shared" si="54"/>
        <v>1</v>
      </c>
      <c r="F622" t="str">
        <f t="shared" si="55"/>
        <v>2</v>
      </c>
      <c r="G622" t="str">
        <f t="shared" si="56"/>
        <v>3</v>
      </c>
      <c r="H622" t="str">
        <f t="shared" si="57"/>
        <v>4</v>
      </c>
      <c r="I622" t="str">
        <f t="shared" si="58"/>
        <v/>
      </c>
      <c r="J622" t="str">
        <f t="shared" ca="1" si="59"/>
        <v/>
      </c>
    </row>
    <row r="623" spans="1:10" ht="18.75" x14ac:dyDescent="0.25">
      <c r="A623" s="11" t="s">
        <v>2204</v>
      </c>
      <c r="B623">
        <f>IFERROR(COUNTIFS($A$1:A623,"Câu "&amp;"*")-MID(A623,5,FIND(".",A623,1)-5),0)</f>
        <v>0</v>
      </c>
      <c r="C623" t="b">
        <v>0</v>
      </c>
      <c r="E623" t="str">
        <f t="shared" si="54"/>
        <v>2</v>
      </c>
      <c r="F623" t="str">
        <f t="shared" si="55"/>
        <v>3</v>
      </c>
      <c r="G623" t="str">
        <f t="shared" si="56"/>
        <v>4</v>
      </c>
      <c r="H623" t="str">
        <f t="shared" si="57"/>
        <v/>
      </c>
      <c r="I623" t="str">
        <f t="shared" si="58"/>
        <v>1</v>
      </c>
      <c r="J623" t="str">
        <f t="shared" ca="1" si="59"/>
        <v/>
      </c>
    </row>
    <row r="624" spans="1:10" ht="18.75" x14ac:dyDescent="0.25">
      <c r="A624" s="11" t="s">
        <v>2209</v>
      </c>
      <c r="B624">
        <f>IFERROR(COUNTIFS($A$1:A624,"Câu "&amp;"*")-MID(A624,5,FIND(".",A624,1)-5),0)</f>
        <v>0</v>
      </c>
      <c r="C624" t="b">
        <v>1</v>
      </c>
      <c r="E624" t="str">
        <f t="shared" si="54"/>
        <v>3</v>
      </c>
      <c r="F624" t="str">
        <f t="shared" si="55"/>
        <v>4</v>
      </c>
      <c r="G624" t="str">
        <f t="shared" si="56"/>
        <v>Câu 152.</v>
      </c>
      <c r="H624" t="str">
        <f t="shared" si="57"/>
        <v>1</v>
      </c>
      <c r="I624" t="str">
        <f t="shared" si="58"/>
        <v>2</v>
      </c>
      <c r="J624" t="str">
        <f t="shared" ca="1" si="59"/>
        <v/>
      </c>
    </row>
    <row r="625" spans="1:10" ht="18.75" x14ac:dyDescent="0.25">
      <c r="A625" s="11" t="s">
        <v>2210</v>
      </c>
      <c r="B625">
        <f>IFERROR(COUNTIFS($A$1:A625,"Câu "&amp;"*")-MID(A625,5,FIND(".",A625,1)-5),0)</f>
        <v>0</v>
      </c>
      <c r="C625" t="b">
        <v>0</v>
      </c>
      <c r="E625" t="str">
        <f t="shared" si="54"/>
        <v>4</v>
      </c>
      <c r="F625" t="str">
        <f t="shared" si="55"/>
        <v>Câu 152.</v>
      </c>
      <c r="G625" t="str">
        <f t="shared" si="56"/>
        <v>1</v>
      </c>
      <c r="H625" t="str">
        <f t="shared" si="57"/>
        <v>2</v>
      </c>
      <c r="I625" t="str">
        <f t="shared" si="58"/>
        <v>3</v>
      </c>
      <c r="J625" t="str">
        <f t="shared" ca="1" si="59"/>
        <v/>
      </c>
    </row>
    <row r="626" spans="1:10" ht="409.5" x14ac:dyDescent="0.25">
      <c r="A626" s="4" t="s">
        <v>543</v>
      </c>
      <c r="B626">
        <f>IFERROR(COUNTIFS($A$1:A626,"Câu "&amp;"*")-MID(A626,5,FIND(".",A626,1)-5),0)</f>
        <v>0</v>
      </c>
      <c r="C626" t="b">
        <v>0</v>
      </c>
      <c r="E626" t="str">
        <f t="shared" si="54"/>
        <v>Câu 152.</v>
      </c>
      <c r="F626" t="str">
        <f t="shared" si="55"/>
        <v>1</v>
      </c>
      <c r="G626" t="str">
        <f t="shared" si="56"/>
        <v>2</v>
      </c>
      <c r="H626" t="str">
        <f t="shared" si="57"/>
        <v>3</v>
      </c>
      <c r="I626" t="str">
        <f t="shared" si="58"/>
        <v>4</v>
      </c>
      <c r="J626" t="str">
        <f t="shared" ca="1" si="59"/>
        <v>4</v>
      </c>
    </row>
    <row r="627" spans="1:10" ht="18.75" x14ac:dyDescent="0.25">
      <c r="A627" s="11" t="s">
        <v>2206</v>
      </c>
      <c r="B627">
        <f>IFERROR(COUNTIFS($A$1:A627,"Câu "&amp;"*")-MID(A627,5,FIND(".",A627,1)-5),0)</f>
        <v>0</v>
      </c>
      <c r="C627" t="b">
        <v>0</v>
      </c>
      <c r="E627" t="str">
        <f t="shared" si="54"/>
        <v>1</v>
      </c>
      <c r="F627" t="str">
        <f t="shared" si="55"/>
        <v>2</v>
      </c>
      <c r="G627" t="str">
        <f t="shared" si="56"/>
        <v>3</v>
      </c>
      <c r="H627" t="str">
        <f t="shared" si="57"/>
        <v>4</v>
      </c>
      <c r="I627" t="str">
        <f t="shared" si="58"/>
        <v/>
      </c>
      <c r="J627" t="str">
        <f t="shared" ca="1" si="59"/>
        <v/>
      </c>
    </row>
    <row r="628" spans="1:10" ht="18.75" x14ac:dyDescent="0.25">
      <c r="A628" s="11" t="s">
        <v>2204</v>
      </c>
      <c r="B628">
        <f>IFERROR(COUNTIFS($A$1:A628,"Câu "&amp;"*")-MID(A628,5,FIND(".",A628,1)-5),0)</f>
        <v>0</v>
      </c>
      <c r="C628" t="b">
        <v>0</v>
      </c>
      <c r="E628" t="str">
        <f t="shared" si="54"/>
        <v>2</v>
      </c>
      <c r="F628" t="str">
        <f t="shared" si="55"/>
        <v>3</v>
      </c>
      <c r="G628" t="str">
        <f t="shared" si="56"/>
        <v>4</v>
      </c>
      <c r="H628" t="str">
        <f t="shared" si="57"/>
        <v/>
      </c>
      <c r="I628" t="str">
        <f t="shared" si="58"/>
        <v>1</v>
      </c>
      <c r="J628" t="str">
        <f t="shared" ca="1" si="59"/>
        <v/>
      </c>
    </row>
    <row r="629" spans="1:10" ht="18.75" x14ac:dyDescent="0.25">
      <c r="A629" s="11" t="s">
        <v>2205</v>
      </c>
      <c r="B629">
        <f>IFERROR(COUNTIFS($A$1:A629,"Câu "&amp;"*")-MID(A629,5,FIND(".",A629,1)-5),0)</f>
        <v>0</v>
      </c>
      <c r="C629" t="b">
        <v>0</v>
      </c>
      <c r="E629" t="str">
        <f t="shared" si="54"/>
        <v>3</v>
      </c>
      <c r="F629" t="str">
        <f t="shared" si="55"/>
        <v>4</v>
      </c>
      <c r="G629" t="str">
        <f t="shared" si="56"/>
        <v>Câu 153.</v>
      </c>
      <c r="H629" t="str">
        <f t="shared" si="57"/>
        <v>1</v>
      </c>
      <c r="I629" t="str">
        <f t="shared" si="58"/>
        <v>2</v>
      </c>
      <c r="J629" t="str">
        <f t="shared" ca="1" si="59"/>
        <v/>
      </c>
    </row>
    <row r="630" spans="1:10" ht="18.75" x14ac:dyDescent="0.25">
      <c r="A630" s="11" t="s">
        <v>2211</v>
      </c>
      <c r="B630">
        <f>IFERROR(COUNTIFS($A$1:A630,"Câu "&amp;"*")-MID(A630,5,FIND(".",A630,1)-5),0)</f>
        <v>0</v>
      </c>
      <c r="C630" t="b">
        <v>1</v>
      </c>
      <c r="E630" t="str">
        <f t="shared" si="54"/>
        <v>4</v>
      </c>
      <c r="F630" t="str">
        <f t="shared" si="55"/>
        <v>Câu 153.</v>
      </c>
      <c r="G630" t="str">
        <f t="shared" si="56"/>
        <v>1</v>
      </c>
      <c r="H630" t="str">
        <f t="shared" si="57"/>
        <v>2</v>
      </c>
      <c r="I630" t="str">
        <f t="shared" si="58"/>
        <v>3</v>
      </c>
      <c r="J630" t="str">
        <f t="shared" ca="1" si="59"/>
        <v/>
      </c>
    </row>
    <row r="631" spans="1:10" ht="409.5" x14ac:dyDescent="0.25">
      <c r="A631" s="4" t="s">
        <v>545</v>
      </c>
      <c r="B631">
        <f>IFERROR(COUNTIFS($A$1:A631,"Câu "&amp;"*")-MID(A631,5,FIND(".",A631,1)-5),0)</f>
        <v>0</v>
      </c>
      <c r="C631" t="b">
        <v>0</v>
      </c>
      <c r="E631" t="str">
        <f t="shared" si="54"/>
        <v>Câu 153.</v>
      </c>
      <c r="F631" t="str">
        <f t="shared" si="55"/>
        <v>1</v>
      </c>
      <c r="G631" t="str">
        <f t="shared" si="56"/>
        <v>2</v>
      </c>
      <c r="H631" t="str">
        <f t="shared" si="57"/>
        <v>3</v>
      </c>
      <c r="I631" t="str">
        <f t="shared" si="58"/>
        <v/>
      </c>
      <c r="J631" t="str">
        <f t="shared" ca="1" si="59"/>
        <v>1</v>
      </c>
    </row>
    <row r="632" spans="1:10" ht="18.75" x14ac:dyDescent="0.25">
      <c r="A632" s="11" t="s">
        <v>2203</v>
      </c>
      <c r="B632">
        <f>IFERROR(COUNTIFS($A$1:A632,"Câu "&amp;"*")-MID(A632,5,FIND(".",A632,1)-5),0)</f>
        <v>0</v>
      </c>
      <c r="C632" t="b">
        <v>1</v>
      </c>
      <c r="E632" t="str">
        <f t="shared" si="54"/>
        <v>1</v>
      </c>
      <c r="F632" t="str">
        <f t="shared" si="55"/>
        <v>2</v>
      </c>
      <c r="G632" t="str">
        <f t="shared" si="56"/>
        <v>3</v>
      </c>
      <c r="H632" t="str">
        <f t="shared" si="57"/>
        <v/>
      </c>
      <c r="I632" t="str">
        <f t="shared" si="58"/>
        <v>1</v>
      </c>
      <c r="J632" t="str">
        <f t="shared" ca="1" si="59"/>
        <v/>
      </c>
    </row>
    <row r="633" spans="1:10" ht="18.75" x14ac:dyDescent="0.25">
      <c r="A633" s="11" t="s">
        <v>2204</v>
      </c>
      <c r="B633">
        <f>IFERROR(COUNTIFS($A$1:A633,"Câu "&amp;"*")-MID(A633,5,FIND(".",A633,1)-5),0)</f>
        <v>0</v>
      </c>
      <c r="C633" t="b">
        <v>0</v>
      </c>
      <c r="E633" t="str">
        <f t="shared" si="54"/>
        <v>2</v>
      </c>
      <c r="F633" t="str">
        <f t="shared" si="55"/>
        <v>3</v>
      </c>
      <c r="G633" t="str">
        <f t="shared" si="56"/>
        <v>Câu 154.</v>
      </c>
      <c r="H633" t="str">
        <f t="shared" si="57"/>
        <v>1</v>
      </c>
      <c r="I633" t="str">
        <f t="shared" si="58"/>
        <v>2</v>
      </c>
      <c r="J633" t="str">
        <f t="shared" ca="1" si="59"/>
        <v/>
      </c>
    </row>
    <row r="634" spans="1:10" ht="18.75" x14ac:dyDescent="0.25">
      <c r="A634" s="11" t="s">
        <v>2205</v>
      </c>
      <c r="B634">
        <f>IFERROR(COUNTIFS($A$1:A634,"Câu "&amp;"*")-MID(A634,5,FIND(".",A634,1)-5),0)</f>
        <v>0</v>
      </c>
      <c r="C634" t="b">
        <v>0</v>
      </c>
      <c r="E634" t="str">
        <f t="shared" si="54"/>
        <v>3</v>
      </c>
      <c r="F634" t="str">
        <f t="shared" si="55"/>
        <v>Câu 154.</v>
      </c>
      <c r="G634" t="str">
        <f t="shared" si="56"/>
        <v>1</v>
      </c>
      <c r="H634" t="str">
        <f t="shared" si="57"/>
        <v>2</v>
      </c>
      <c r="I634" t="str">
        <f t="shared" si="58"/>
        <v>3</v>
      </c>
      <c r="J634" t="str">
        <f t="shared" ca="1" si="59"/>
        <v/>
      </c>
    </row>
    <row r="635" spans="1:10" ht="409.5" x14ac:dyDescent="0.25">
      <c r="A635" s="4" t="s">
        <v>546</v>
      </c>
      <c r="B635">
        <f>IFERROR(COUNTIFS($A$1:A635,"Câu "&amp;"*")-MID(A635,5,FIND(".",A635,1)-5),0)</f>
        <v>0</v>
      </c>
      <c r="C635" t="b">
        <v>0</v>
      </c>
      <c r="E635" t="str">
        <f t="shared" si="54"/>
        <v>Câu 154.</v>
      </c>
      <c r="F635" t="str">
        <f t="shared" si="55"/>
        <v>1</v>
      </c>
      <c r="G635" t="str">
        <f t="shared" si="56"/>
        <v>2</v>
      </c>
      <c r="H635" t="str">
        <f t="shared" si="57"/>
        <v>3</v>
      </c>
      <c r="I635" t="str">
        <f t="shared" si="58"/>
        <v>4</v>
      </c>
      <c r="J635" t="str">
        <f t="shared" ca="1" si="59"/>
        <v>2</v>
      </c>
    </row>
    <row r="636" spans="1:10" ht="281.25" x14ac:dyDescent="0.25">
      <c r="A636" s="3" t="s">
        <v>2206</v>
      </c>
      <c r="B636">
        <f>IFERROR(COUNTIFS($A$1:A636,"Câu "&amp;"*")-MID(A636,5,FIND(".",A636,1)-5),0)</f>
        <v>0</v>
      </c>
      <c r="C636" t="b">
        <v>0</v>
      </c>
      <c r="E636" t="str">
        <f t="shared" si="54"/>
        <v>1</v>
      </c>
      <c r="F636" t="str">
        <f t="shared" si="55"/>
        <v>2</v>
      </c>
      <c r="G636" t="str">
        <f t="shared" si="56"/>
        <v>3</v>
      </c>
      <c r="H636" t="str">
        <f t="shared" si="57"/>
        <v>4</v>
      </c>
      <c r="I636" t="str">
        <f t="shared" si="58"/>
        <v/>
      </c>
      <c r="J636" t="str">
        <f t="shared" ca="1" si="59"/>
        <v/>
      </c>
    </row>
    <row r="637" spans="1:10" ht="18.75" x14ac:dyDescent="0.25">
      <c r="A637" s="11" t="s">
        <v>2207</v>
      </c>
      <c r="B637">
        <f>IFERROR(COUNTIFS($A$1:A637,"Câu "&amp;"*")-MID(A637,5,FIND(".",A637,1)-5),0)</f>
        <v>0</v>
      </c>
      <c r="C637" t="b">
        <v>1</v>
      </c>
      <c r="E637" t="str">
        <f t="shared" si="54"/>
        <v>2</v>
      </c>
      <c r="F637" t="str">
        <f t="shared" si="55"/>
        <v>3</v>
      </c>
      <c r="G637" t="str">
        <f t="shared" si="56"/>
        <v>4</v>
      </c>
      <c r="H637" t="str">
        <f t="shared" si="57"/>
        <v/>
      </c>
      <c r="I637" t="str">
        <f t="shared" si="58"/>
        <v>1</v>
      </c>
      <c r="J637" t="str">
        <f t="shared" ca="1" si="59"/>
        <v/>
      </c>
    </row>
    <row r="638" spans="1:10" ht="18.75" x14ac:dyDescent="0.25">
      <c r="A638" s="11" t="s">
        <v>2205</v>
      </c>
      <c r="B638">
        <f>IFERROR(COUNTIFS($A$1:A638,"Câu "&amp;"*")-MID(A638,5,FIND(".",A638,1)-5),0)</f>
        <v>0</v>
      </c>
      <c r="C638" t="b">
        <v>0</v>
      </c>
      <c r="E638" t="str">
        <f t="shared" si="54"/>
        <v>3</v>
      </c>
      <c r="F638" t="str">
        <f t="shared" si="55"/>
        <v>4</v>
      </c>
      <c r="G638" t="str">
        <f t="shared" si="56"/>
        <v>Câu 155.</v>
      </c>
      <c r="H638" t="str">
        <f t="shared" si="57"/>
        <v>1</v>
      </c>
      <c r="I638" t="str">
        <f t="shared" si="58"/>
        <v>2</v>
      </c>
      <c r="J638" t="str">
        <f t="shared" ca="1" si="59"/>
        <v/>
      </c>
    </row>
    <row r="639" spans="1:10" ht="18.75" x14ac:dyDescent="0.25">
      <c r="A639" s="11" t="s">
        <v>2210</v>
      </c>
      <c r="B639">
        <f>IFERROR(COUNTIFS($A$1:A639,"Câu "&amp;"*")-MID(A639,5,FIND(".",A639,1)-5),0)</f>
        <v>0</v>
      </c>
      <c r="C639" t="b">
        <v>0</v>
      </c>
      <c r="E639" t="str">
        <f t="shared" si="54"/>
        <v>4</v>
      </c>
      <c r="F639" t="str">
        <f t="shared" si="55"/>
        <v>Câu 155.</v>
      </c>
      <c r="G639" t="str">
        <f t="shared" si="56"/>
        <v>1</v>
      </c>
      <c r="H639" t="str">
        <f t="shared" si="57"/>
        <v>2</v>
      </c>
      <c r="I639" t="str">
        <f t="shared" si="58"/>
        <v>3</v>
      </c>
      <c r="J639" t="str">
        <f t="shared" ca="1" si="59"/>
        <v/>
      </c>
    </row>
    <row r="640" spans="1:10" ht="409.5" x14ac:dyDescent="0.25">
      <c r="A640" s="4" t="s">
        <v>547</v>
      </c>
      <c r="B640">
        <f>IFERROR(COUNTIFS($A$1:A640,"Câu "&amp;"*")-MID(A640,5,FIND(".",A640,1)-5),0)</f>
        <v>0</v>
      </c>
      <c r="C640" t="b">
        <v>0</v>
      </c>
      <c r="E640" t="str">
        <f t="shared" si="54"/>
        <v>Câu 155.</v>
      </c>
      <c r="F640" t="str">
        <f t="shared" si="55"/>
        <v>1</v>
      </c>
      <c r="G640" t="str">
        <f t="shared" si="56"/>
        <v>2</v>
      </c>
      <c r="H640" t="str">
        <f t="shared" si="57"/>
        <v>3</v>
      </c>
      <c r="I640" t="str">
        <f t="shared" si="58"/>
        <v>4</v>
      </c>
      <c r="J640" t="str">
        <f t="shared" ca="1" si="59"/>
        <v>3</v>
      </c>
    </row>
    <row r="641" spans="1:10" ht="18.75" x14ac:dyDescent="0.25">
      <c r="A641" s="11" t="s">
        <v>2206</v>
      </c>
      <c r="B641">
        <f>IFERROR(COUNTIFS($A$1:A641,"Câu "&amp;"*")-MID(A641,5,FIND(".",A641,1)-5),0)</f>
        <v>0</v>
      </c>
      <c r="C641" t="b">
        <v>0</v>
      </c>
      <c r="E641" t="str">
        <f t="shared" si="54"/>
        <v>1</v>
      </c>
      <c r="F641" t="str">
        <f t="shared" si="55"/>
        <v>2</v>
      </c>
      <c r="G641" t="str">
        <f t="shared" si="56"/>
        <v>3</v>
      </c>
      <c r="H641" t="str">
        <f t="shared" si="57"/>
        <v>4</v>
      </c>
      <c r="I641" t="str">
        <f t="shared" si="58"/>
        <v/>
      </c>
      <c r="J641" t="str">
        <f t="shared" ca="1" si="59"/>
        <v/>
      </c>
    </row>
    <row r="642" spans="1:10" ht="18.75" x14ac:dyDescent="0.25">
      <c r="A642" s="11" t="s">
        <v>2204</v>
      </c>
      <c r="B642">
        <f>IFERROR(COUNTIFS($A$1:A642,"Câu "&amp;"*")-MID(A642,5,FIND(".",A642,1)-5),0)</f>
        <v>0</v>
      </c>
      <c r="C642" t="b">
        <v>0</v>
      </c>
      <c r="E642" t="str">
        <f t="shared" si="54"/>
        <v>2</v>
      </c>
      <c r="F642" t="str">
        <f t="shared" si="55"/>
        <v>3</v>
      </c>
      <c r="G642" t="str">
        <f t="shared" si="56"/>
        <v>4</v>
      </c>
      <c r="H642" t="str">
        <f t="shared" si="57"/>
        <v/>
      </c>
      <c r="I642" t="str">
        <f t="shared" si="58"/>
        <v>1</v>
      </c>
      <c r="J642" t="str">
        <f t="shared" ca="1" si="59"/>
        <v/>
      </c>
    </row>
    <row r="643" spans="1:10" ht="18.75" x14ac:dyDescent="0.25">
      <c r="A643" s="11" t="s">
        <v>2209</v>
      </c>
      <c r="B643">
        <f>IFERROR(COUNTIFS($A$1:A643,"Câu "&amp;"*")-MID(A643,5,FIND(".",A643,1)-5),0)</f>
        <v>0</v>
      </c>
      <c r="C643" t="b">
        <v>1</v>
      </c>
      <c r="E643" t="str">
        <f t="shared" ref="E643:E706" si="60">IF(LEFT(A643,3)="Câu",LEFT(A643,FIND(".",A643,1)),LEFT(A643,1))</f>
        <v>3</v>
      </c>
      <c r="F643" t="str">
        <f t="shared" ref="F643:F706" si="61">IF(LEFT(A644,3)="Câu",LEFT(A644,FIND(".",A644,1)),LEFT(A644,1))</f>
        <v>4</v>
      </c>
      <c r="G643" t="str">
        <f t="shared" ref="G643:G706" si="62">IF(LEFT(A645,3)="Câu",LEFT(A645,FIND(".",A645,1)),LEFT(A645,1))</f>
        <v>Câu 156.</v>
      </c>
      <c r="H643" t="str">
        <f t="shared" ref="H643:H706" si="63">IF(LEFT(A646,3)="Câu","",LEFT(A646,1))</f>
        <v>1</v>
      </c>
      <c r="I643" t="str">
        <f t="shared" ref="I643:I706" si="64">IF(LEFT(A647,3)="Câu","",LEFT(A647,1))</f>
        <v>2</v>
      </c>
      <c r="J643" t="str">
        <f t="shared" ref="J643:J706" ca="1" si="65">IFERROR(VLOOKUP(TRUE,INDIRECT("C"&amp;MATCH(E643,$E$1:$E$2471,0)&amp;":E"&amp;MATCH("Câu "&amp;VALUE(MID(E643,5,LEN(E643)-5))+1&amp;".",$E$1:$E$2471,0)),3,0),"")</f>
        <v/>
      </c>
    </row>
    <row r="644" spans="1:10" ht="18.75" x14ac:dyDescent="0.25">
      <c r="A644" s="11" t="s">
        <v>2210</v>
      </c>
      <c r="B644">
        <f>IFERROR(COUNTIFS($A$1:A644,"Câu "&amp;"*")-MID(A644,5,FIND(".",A644,1)-5),0)</f>
        <v>0</v>
      </c>
      <c r="C644" t="b">
        <v>0</v>
      </c>
      <c r="E644" t="str">
        <f t="shared" si="60"/>
        <v>4</v>
      </c>
      <c r="F644" t="str">
        <f t="shared" si="61"/>
        <v>Câu 156.</v>
      </c>
      <c r="G644" t="str">
        <f t="shared" si="62"/>
        <v>1</v>
      </c>
      <c r="H644" t="str">
        <f t="shared" si="63"/>
        <v>2</v>
      </c>
      <c r="I644" t="str">
        <f t="shared" si="64"/>
        <v>3</v>
      </c>
      <c r="J644" t="str">
        <f t="shared" ca="1" si="65"/>
        <v/>
      </c>
    </row>
    <row r="645" spans="1:10" ht="409.5" x14ac:dyDescent="0.25">
      <c r="A645" s="4" t="s">
        <v>548</v>
      </c>
      <c r="B645">
        <f>IFERROR(COUNTIFS($A$1:A645,"Câu "&amp;"*")-MID(A645,5,FIND(".",A645,1)-5),0)</f>
        <v>0</v>
      </c>
      <c r="C645" t="b">
        <v>0</v>
      </c>
      <c r="E645" t="str">
        <f t="shared" si="60"/>
        <v>Câu 156.</v>
      </c>
      <c r="F645" t="str">
        <f t="shared" si="61"/>
        <v>1</v>
      </c>
      <c r="G645" t="str">
        <f t="shared" si="62"/>
        <v>2</v>
      </c>
      <c r="H645" t="str">
        <f t="shared" si="63"/>
        <v>3</v>
      </c>
      <c r="I645" t="str">
        <f t="shared" si="64"/>
        <v>4</v>
      </c>
      <c r="J645" t="str">
        <f t="shared" ca="1" si="65"/>
        <v>4</v>
      </c>
    </row>
    <row r="646" spans="1:10" ht="18.75" x14ac:dyDescent="0.25">
      <c r="A646" s="11" t="s">
        <v>2206</v>
      </c>
      <c r="B646">
        <f>IFERROR(COUNTIFS($A$1:A646,"Câu "&amp;"*")-MID(A646,5,FIND(".",A646,1)-5),0)</f>
        <v>0</v>
      </c>
      <c r="C646" t="b">
        <v>0</v>
      </c>
      <c r="E646" t="str">
        <f t="shared" si="60"/>
        <v>1</v>
      </c>
      <c r="F646" t="str">
        <f t="shared" si="61"/>
        <v>2</v>
      </c>
      <c r="G646" t="str">
        <f t="shared" si="62"/>
        <v>3</v>
      </c>
      <c r="H646" t="str">
        <f t="shared" si="63"/>
        <v>4</v>
      </c>
      <c r="I646" t="str">
        <f t="shared" si="64"/>
        <v/>
      </c>
      <c r="J646" t="str">
        <f t="shared" ca="1" si="65"/>
        <v/>
      </c>
    </row>
    <row r="647" spans="1:10" ht="18.75" x14ac:dyDescent="0.25">
      <c r="A647" s="11" t="s">
        <v>2204</v>
      </c>
      <c r="B647">
        <f>IFERROR(COUNTIFS($A$1:A647,"Câu "&amp;"*")-MID(A647,5,FIND(".",A647,1)-5),0)</f>
        <v>0</v>
      </c>
      <c r="C647" t="b">
        <v>0</v>
      </c>
      <c r="E647" t="str">
        <f t="shared" si="60"/>
        <v>2</v>
      </c>
      <c r="F647" t="str">
        <f t="shared" si="61"/>
        <v>3</v>
      </c>
      <c r="G647" t="str">
        <f t="shared" si="62"/>
        <v>4</v>
      </c>
      <c r="H647" t="str">
        <f t="shared" si="63"/>
        <v/>
      </c>
      <c r="I647" t="str">
        <f t="shared" si="64"/>
        <v>1</v>
      </c>
      <c r="J647" t="str">
        <f t="shared" ca="1" si="65"/>
        <v/>
      </c>
    </row>
    <row r="648" spans="1:10" ht="18.75" x14ac:dyDescent="0.25">
      <c r="A648" s="11" t="s">
        <v>2205</v>
      </c>
      <c r="B648">
        <f>IFERROR(COUNTIFS($A$1:A648,"Câu "&amp;"*")-MID(A648,5,FIND(".",A648,1)-5),0)</f>
        <v>0</v>
      </c>
      <c r="C648" t="b">
        <v>0</v>
      </c>
      <c r="E648" t="str">
        <f t="shared" si="60"/>
        <v>3</v>
      </c>
      <c r="F648" t="str">
        <f t="shared" si="61"/>
        <v>4</v>
      </c>
      <c r="G648" t="str">
        <f t="shared" si="62"/>
        <v>Câu 157.</v>
      </c>
      <c r="H648" t="str">
        <f t="shared" si="63"/>
        <v>1</v>
      </c>
      <c r="I648" t="str">
        <f t="shared" si="64"/>
        <v>2</v>
      </c>
      <c r="J648" t="str">
        <f t="shared" ca="1" si="65"/>
        <v/>
      </c>
    </row>
    <row r="649" spans="1:10" ht="18.75" x14ac:dyDescent="0.25">
      <c r="A649" s="11" t="s">
        <v>2211</v>
      </c>
      <c r="B649">
        <f>IFERROR(COUNTIFS($A$1:A649,"Câu "&amp;"*")-MID(A649,5,FIND(".",A649,1)-5),0)</f>
        <v>0</v>
      </c>
      <c r="C649" t="b">
        <v>1</v>
      </c>
      <c r="E649" t="str">
        <f t="shared" si="60"/>
        <v>4</v>
      </c>
      <c r="F649" t="str">
        <f t="shared" si="61"/>
        <v>Câu 157.</v>
      </c>
      <c r="G649" t="str">
        <f t="shared" si="62"/>
        <v>1</v>
      </c>
      <c r="H649" t="str">
        <f t="shared" si="63"/>
        <v>2</v>
      </c>
      <c r="I649" t="str">
        <f t="shared" si="64"/>
        <v>3</v>
      </c>
      <c r="J649" t="str">
        <f t="shared" ca="1" si="65"/>
        <v/>
      </c>
    </row>
    <row r="650" spans="1:10" ht="409.5" x14ac:dyDescent="0.25">
      <c r="A650" s="4" t="s">
        <v>549</v>
      </c>
      <c r="B650">
        <f>IFERROR(COUNTIFS($A$1:A650,"Câu "&amp;"*")-MID(A650,5,FIND(".",A650,1)-5),0)</f>
        <v>0</v>
      </c>
      <c r="C650" t="b">
        <v>0</v>
      </c>
      <c r="E650" t="str">
        <f t="shared" si="60"/>
        <v>Câu 157.</v>
      </c>
      <c r="F650" t="str">
        <f t="shared" si="61"/>
        <v>1</v>
      </c>
      <c r="G650" t="str">
        <f t="shared" si="62"/>
        <v>2</v>
      </c>
      <c r="H650" t="str">
        <f t="shared" si="63"/>
        <v>3</v>
      </c>
      <c r="I650" t="str">
        <f t="shared" si="64"/>
        <v/>
      </c>
      <c r="J650" t="str">
        <f t="shared" ca="1" si="65"/>
        <v>3</v>
      </c>
    </row>
    <row r="651" spans="1:10" ht="18.75" x14ac:dyDescent="0.25">
      <c r="A651" s="11" t="s">
        <v>2212</v>
      </c>
      <c r="B651">
        <f>IFERROR(COUNTIFS($A$1:A651,"Câu "&amp;"*")-MID(A651,5,FIND(".",A651,1)-5),0)</f>
        <v>0</v>
      </c>
      <c r="C651" t="b">
        <v>0</v>
      </c>
      <c r="E651" t="str">
        <f t="shared" si="60"/>
        <v>1</v>
      </c>
      <c r="F651" t="str">
        <f t="shared" si="61"/>
        <v>2</v>
      </c>
      <c r="G651" t="str">
        <f t="shared" si="62"/>
        <v>3</v>
      </c>
      <c r="H651" t="str">
        <f t="shared" si="63"/>
        <v/>
      </c>
      <c r="I651" t="str">
        <f t="shared" si="64"/>
        <v>1</v>
      </c>
      <c r="J651" t="str">
        <f t="shared" ca="1" si="65"/>
        <v/>
      </c>
    </row>
    <row r="652" spans="1:10" ht="18.75" x14ac:dyDescent="0.25">
      <c r="A652" s="11" t="s">
        <v>2213</v>
      </c>
      <c r="B652">
        <f>IFERROR(COUNTIFS($A$1:A652,"Câu "&amp;"*")-MID(A652,5,FIND(".",A652,1)-5),0)</f>
        <v>0</v>
      </c>
      <c r="C652" t="b">
        <v>0</v>
      </c>
      <c r="E652" t="str">
        <f t="shared" si="60"/>
        <v>2</v>
      </c>
      <c r="F652" t="str">
        <f t="shared" si="61"/>
        <v>3</v>
      </c>
      <c r="G652" t="str">
        <f t="shared" si="62"/>
        <v>Câu 158.</v>
      </c>
      <c r="H652" t="str">
        <f t="shared" si="63"/>
        <v>1</v>
      </c>
      <c r="I652" t="str">
        <f t="shared" si="64"/>
        <v>2</v>
      </c>
      <c r="J652" t="str">
        <f t="shared" ca="1" si="65"/>
        <v/>
      </c>
    </row>
    <row r="653" spans="1:10" ht="18.75" x14ac:dyDescent="0.25">
      <c r="A653" s="11" t="s">
        <v>2214</v>
      </c>
      <c r="B653">
        <f>IFERROR(COUNTIFS($A$1:A653,"Câu "&amp;"*")-MID(A653,5,FIND(".",A653,1)-5),0)</f>
        <v>0</v>
      </c>
      <c r="C653" t="b">
        <v>1</v>
      </c>
      <c r="E653" t="str">
        <f t="shared" si="60"/>
        <v>3</v>
      </c>
      <c r="F653" t="str">
        <f t="shared" si="61"/>
        <v>Câu 158.</v>
      </c>
      <c r="G653" t="str">
        <f t="shared" si="62"/>
        <v>1</v>
      </c>
      <c r="H653" t="str">
        <f t="shared" si="63"/>
        <v>2</v>
      </c>
      <c r="I653" t="str">
        <f t="shared" si="64"/>
        <v>3</v>
      </c>
      <c r="J653" t="str">
        <f t="shared" ca="1" si="65"/>
        <v/>
      </c>
    </row>
    <row r="654" spans="1:10" ht="409.5" x14ac:dyDescent="0.25">
      <c r="A654" s="4" t="s">
        <v>553</v>
      </c>
      <c r="B654">
        <f>IFERROR(COUNTIFS($A$1:A654,"Câu "&amp;"*")-MID(A654,5,FIND(".",A654,1)-5),0)</f>
        <v>0</v>
      </c>
      <c r="C654" t="b">
        <v>0</v>
      </c>
      <c r="E654" t="str">
        <f t="shared" si="60"/>
        <v>Câu 158.</v>
      </c>
      <c r="F654" t="str">
        <f t="shared" si="61"/>
        <v>1</v>
      </c>
      <c r="G654" t="str">
        <f t="shared" si="62"/>
        <v>2</v>
      </c>
      <c r="H654" t="str">
        <f t="shared" si="63"/>
        <v>3</v>
      </c>
      <c r="I654" t="str">
        <f t="shared" si="64"/>
        <v/>
      </c>
      <c r="J654" t="str">
        <f t="shared" ca="1" si="65"/>
        <v>3</v>
      </c>
    </row>
    <row r="655" spans="1:10" ht="18.75" x14ac:dyDescent="0.25">
      <c r="A655" s="11" t="s">
        <v>2215</v>
      </c>
      <c r="B655">
        <f>IFERROR(COUNTIFS($A$1:A655,"Câu "&amp;"*")-MID(A655,5,FIND(".",A655,1)-5),0)</f>
        <v>0</v>
      </c>
      <c r="C655" t="b">
        <v>0</v>
      </c>
      <c r="E655" t="str">
        <f t="shared" si="60"/>
        <v>1</v>
      </c>
      <c r="F655" t="str">
        <f t="shared" si="61"/>
        <v>2</v>
      </c>
      <c r="G655" t="str">
        <f t="shared" si="62"/>
        <v>3</v>
      </c>
      <c r="H655" t="str">
        <f t="shared" si="63"/>
        <v/>
      </c>
      <c r="I655" t="str">
        <f t="shared" si="64"/>
        <v>1</v>
      </c>
      <c r="J655" t="str">
        <f t="shared" ca="1" si="65"/>
        <v/>
      </c>
    </row>
    <row r="656" spans="1:10" ht="18.75" x14ac:dyDescent="0.25">
      <c r="A656" s="11" t="s">
        <v>2216</v>
      </c>
      <c r="B656">
        <f>IFERROR(COUNTIFS($A$1:A656,"Câu "&amp;"*")-MID(A656,5,FIND(".",A656,1)-5),0)</f>
        <v>0</v>
      </c>
      <c r="C656" t="b">
        <v>0</v>
      </c>
      <c r="E656" t="str">
        <f t="shared" si="60"/>
        <v>2</v>
      </c>
      <c r="F656" t="str">
        <f t="shared" si="61"/>
        <v>3</v>
      </c>
      <c r="G656" t="str">
        <f t="shared" si="62"/>
        <v>Câu 159.</v>
      </c>
      <c r="H656" t="str">
        <f t="shared" si="63"/>
        <v>1</v>
      </c>
      <c r="I656" t="str">
        <f t="shared" si="64"/>
        <v>2</v>
      </c>
      <c r="J656" t="str">
        <f t="shared" ca="1" si="65"/>
        <v/>
      </c>
    </row>
    <row r="657" spans="1:10" ht="18.75" x14ac:dyDescent="0.25">
      <c r="A657" s="11" t="s">
        <v>2217</v>
      </c>
      <c r="B657">
        <f>IFERROR(COUNTIFS($A$1:A657,"Câu "&amp;"*")-MID(A657,5,FIND(".",A657,1)-5),0)</f>
        <v>0</v>
      </c>
      <c r="C657" t="b">
        <v>1</v>
      </c>
      <c r="E657" t="str">
        <f t="shared" si="60"/>
        <v>3</v>
      </c>
      <c r="F657" t="str">
        <f t="shared" si="61"/>
        <v>Câu 159.</v>
      </c>
      <c r="G657" t="str">
        <f t="shared" si="62"/>
        <v>1</v>
      </c>
      <c r="H657" t="str">
        <f t="shared" si="63"/>
        <v>2</v>
      </c>
      <c r="I657" t="str">
        <f t="shared" si="64"/>
        <v>3</v>
      </c>
      <c r="J657" t="str">
        <f t="shared" ca="1" si="65"/>
        <v/>
      </c>
    </row>
    <row r="658" spans="1:10" ht="409.5" x14ac:dyDescent="0.25">
      <c r="A658" s="4" t="s">
        <v>557</v>
      </c>
      <c r="B658">
        <f>IFERROR(COUNTIFS($A$1:A658,"Câu "&amp;"*")-MID(A658,5,FIND(".",A658,1)-5),0)</f>
        <v>0</v>
      </c>
      <c r="C658" t="b">
        <v>0</v>
      </c>
      <c r="E658" t="str">
        <f t="shared" si="60"/>
        <v>Câu 159.</v>
      </c>
      <c r="F658" t="str">
        <f t="shared" si="61"/>
        <v>1</v>
      </c>
      <c r="G658" t="str">
        <f t="shared" si="62"/>
        <v>2</v>
      </c>
      <c r="H658" t="str">
        <f t="shared" si="63"/>
        <v>3</v>
      </c>
      <c r="I658" t="str">
        <f t="shared" si="64"/>
        <v/>
      </c>
      <c r="J658" t="str">
        <f t="shared" ca="1" si="65"/>
        <v>3</v>
      </c>
    </row>
    <row r="659" spans="1:10" ht="18.75" x14ac:dyDescent="0.25">
      <c r="A659" s="11" t="s">
        <v>2218</v>
      </c>
      <c r="B659">
        <f>IFERROR(COUNTIFS($A$1:A659,"Câu "&amp;"*")-MID(A659,5,FIND(".",A659,1)-5),0)</f>
        <v>0</v>
      </c>
      <c r="C659" t="b">
        <v>0</v>
      </c>
      <c r="E659" t="str">
        <f t="shared" si="60"/>
        <v>1</v>
      </c>
      <c r="F659" t="str">
        <f t="shared" si="61"/>
        <v>2</v>
      </c>
      <c r="G659" t="str">
        <f t="shared" si="62"/>
        <v>3</v>
      </c>
      <c r="H659" t="str">
        <f t="shared" si="63"/>
        <v/>
      </c>
      <c r="I659" t="str">
        <f t="shared" si="64"/>
        <v>1</v>
      </c>
      <c r="J659" t="str">
        <f t="shared" ca="1" si="65"/>
        <v/>
      </c>
    </row>
    <row r="660" spans="1:10" ht="18.75" x14ac:dyDescent="0.25">
      <c r="A660" s="11" t="s">
        <v>2219</v>
      </c>
      <c r="B660">
        <f>IFERROR(COUNTIFS($A$1:A660,"Câu "&amp;"*")-MID(A660,5,FIND(".",A660,1)-5),0)</f>
        <v>0</v>
      </c>
      <c r="C660" t="b">
        <v>0</v>
      </c>
      <c r="E660" t="str">
        <f t="shared" si="60"/>
        <v>2</v>
      </c>
      <c r="F660" t="str">
        <f t="shared" si="61"/>
        <v>3</v>
      </c>
      <c r="G660" t="str">
        <f t="shared" si="62"/>
        <v>Câu 160.</v>
      </c>
      <c r="H660" t="str">
        <f t="shared" si="63"/>
        <v>1</v>
      </c>
      <c r="I660" t="str">
        <f t="shared" si="64"/>
        <v>2</v>
      </c>
      <c r="J660" t="str">
        <f t="shared" ca="1" si="65"/>
        <v/>
      </c>
    </row>
    <row r="661" spans="1:10" ht="18.75" x14ac:dyDescent="0.25">
      <c r="A661" s="11" t="s">
        <v>2220</v>
      </c>
      <c r="B661">
        <f>IFERROR(COUNTIFS($A$1:A661,"Câu "&amp;"*")-MID(A661,5,FIND(".",A661,1)-5),0)</f>
        <v>0</v>
      </c>
      <c r="C661" t="b">
        <v>1</v>
      </c>
      <c r="E661" t="str">
        <f t="shared" si="60"/>
        <v>3</v>
      </c>
      <c r="F661" t="str">
        <f t="shared" si="61"/>
        <v>Câu 160.</v>
      </c>
      <c r="G661" t="str">
        <f t="shared" si="62"/>
        <v>1</v>
      </c>
      <c r="H661" t="str">
        <f t="shared" si="63"/>
        <v>2</v>
      </c>
      <c r="I661" t="str">
        <f t="shared" si="64"/>
        <v>3</v>
      </c>
      <c r="J661" t="str">
        <f t="shared" ca="1" si="65"/>
        <v/>
      </c>
    </row>
    <row r="662" spans="1:10" ht="409.5" x14ac:dyDescent="0.25">
      <c r="A662" s="4" t="s">
        <v>560</v>
      </c>
      <c r="B662">
        <f>IFERROR(COUNTIFS($A$1:A662,"Câu "&amp;"*")-MID(A662,5,FIND(".",A662,1)-5),0)</f>
        <v>0</v>
      </c>
      <c r="C662" t="b">
        <v>0</v>
      </c>
      <c r="E662" t="str">
        <f t="shared" si="60"/>
        <v>Câu 160.</v>
      </c>
      <c r="F662" t="str">
        <f t="shared" si="61"/>
        <v>1</v>
      </c>
      <c r="G662" t="str">
        <f t="shared" si="62"/>
        <v>2</v>
      </c>
      <c r="H662" t="str">
        <f t="shared" si="63"/>
        <v>3</v>
      </c>
      <c r="I662" t="str">
        <f t="shared" si="64"/>
        <v/>
      </c>
      <c r="J662" t="str">
        <f t="shared" ca="1" si="65"/>
        <v>1</v>
      </c>
    </row>
    <row r="663" spans="1:10" ht="18.75" x14ac:dyDescent="0.25">
      <c r="A663" s="11" t="s">
        <v>2221</v>
      </c>
      <c r="B663">
        <f>IFERROR(COUNTIFS($A$1:A663,"Câu "&amp;"*")-MID(A663,5,FIND(".",A663,1)-5),0)</f>
        <v>0</v>
      </c>
      <c r="C663" t="b">
        <v>1</v>
      </c>
      <c r="E663" t="str">
        <f t="shared" si="60"/>
        <v>1</v>
      </c>
      <c r="F663" t="str">
        <f t="shared" si="61"/>
        <v>2</v>
      </c>
      <c r="G663" t="str">
        <f t="shared" si="62"/>
        <v>3</v>
      </c>
      <c r="H663" t="str">
        <f t="shared" si="63"/>
        <v/>
      </c>
      <c r="I663" t="str">
        <f t="shared" si="64"/>
        <v>1</v>
      </c>
      <c r="J663" t="str">
        <f t="shared" ca="1" si="65"/>
        <v/>
      </c>
    </row>
    <row r="664" spans="1:10" ht="18.75" x14ac:dyDescent="0.25">
      <c r="A664" s="11" t="s">
        <v>2219</v>
      </c>
      <c r="B664">
        <f>IFERROR(COUNTIFS($A$1:A664,"Câu "&amp;"*")-MID(A664,5,FIND(".",A664,1)-5),0)</f>
        <v>0</v>
      </c>
      <c r="C664" t="b">
        <v>0</v>
      </c>
      <c r="E664" t="str">
        <f t="shared" si="60"/>
        <v>2</v>
      </c>
      <c r="F664" t="str">
        <f t="shared" si="61"/>
        <v>3</v>
      </c>
      <c r="G664" t="str">
        <f t="shared" si="62"/>
        <v>Câu 161.</v>
      </c>
      <c r="H664" t="str">
        <f t="shared" si="63"/>
        <v>1</v>
      </c>
      <c r="I664" t="str">
        <f t="shared" si="64"/>
        <v>2</v>
      </c>
      <c r="J664" t="str">
        <f t="shared" ca="1" si="65"/>
        <v/>
      </c>
    </row>
    <row r="665" spans="1:10" ht="18.75" x14ac:dyDescent="0.25">
      <c r="A665" s="11" t="s">
        <v>2222</v>
      </c>
      <c r="B665">
        <f>IFERROR(COUNTIFS($A$1:A665,"Câu "&amp;"*")-MID(A665,5,FIND(".",A665,1)-5),0)</f>
        <v>0</v>
      </c>
      <c r="C665" t="b">
        <v>0</v>
      </c>
      <c r="E665" t="str">
        <f t="shared" si="60"/>
        <v>3</v>
      </c>
      <c r="F665" t="str">
        <f t="shared" si="61"/>
        <v>Câu 161.</v>
      </c>
      <c r="G665" t="str">
        <f t="shared" si="62"/>
        <v>1</v>
      </c>
      <c r="H665" t="str">
        <f t="shared" si="63"/>
        <v>2</v>
      </c>
      <c r="I665" t="str">
        <f t="shared" si="64"/>
        <v>3</v>
      </c>
      <c r="J665" t="str">
        <f t="shared" ca="1" si="65"/>
        <v/>
      </c>
    </row>
    <row r="666" spans="1:10" ht="409.5" x14ac:dyDescent="0.25">
      <c r="A666" s="4" t="s">
        <v>563</v>
      </c>
      <c r="B666">
        <f>IFERROR(COUNTIFS($A$1:A666,"Câu "&amp;"*")-MID(A666,5,FIND(".",A666,1)-5),0)</f>
        <v>0</v>
      </c>
      <c r="C666" t="b">
        <v>0</v>
      </c>
      <c r="E666" t="str">
        <f t="shared" si="60"/>
        <v>Câu 161.</v>
      </c>
      <c r="F666" t="str">
        <f t="shared" si="61"/>
        <v>1</v>
      </c>
      <c r="G666" t="str">
        <f t="shared" si="62"/>
        <v>2</v>
      </c>
      <c r="H666" t="str">
        <f t="shared" si="63"/>
        <v>3</v>
      </c>
      <c r="I666" t="str">
        <f t="shared" si="64"/>
        <v/>
      </c>
      <c r="J666" t="str">
        <f t="shared" ca="1" si="65"/>
        <v>1</v>
      </c>
    </row>
    <row r="667" spans="1:10" ht="18.75" x14ac:dyDescent="0.25">
      <c r="A667" s="11" t="s">
        <v>2223</v>
      </c>
      <c r="B667">
        <f>IFERROR(COUNTIFS($A$1:A667,"Câu "&amp;"*")-MID(A667,5,FIND(".",A667,1)-5),0)</f>
        <v>0</v>
      </c>
      <c r="C667" t="b">
        <v>1</v>
      </c>
      <c r="E667" t="str">
        <f t="shared" si="60"/>
        <v>1</v>
      </c>
      <c r="F667" t="str">
        <f t="shared" si="61"/>
        <v>2</v>
      </c>
      <c r="G667" t="str">
        <f t="shared" si="62"/>
        <v>3</v>
      </c>
      <c r="H667" t="str">
        <f t="shared" si="63"/>
        <v/>
      </c>
      <c r="I667" t="str">
        <f t="shared" si="64"/>
        <v>1</v>
      </c>
      <c r="J667" t="str">
        <f t="shared" ca="1" si="65"/>
        <v/>
      </c>
    </row>
    <row r="668" spans="1:10" ht="18.75" x14ac:dyDescent="0.25">
      <c r="A668" s="11" t="s">
        <v>2216</v>
      </c>
      <c r="B668">
        <f>IFERROR(COUNTIFS($A$1:A668,"Câu "&amp;"*")-MID(A668,5,FIND(".",A668,1)-5),0)</f>
        <v>0</v>
      </c>
      <c r="C668" t="b">
        <v>0</v>
      </c>
      <c r="E668" t="str">
        <f t="shared" si="60"/>
        <v>2</v>
      </c>
      <c r="F668" t="str">
        <f t="shared" si="61"/>
        <v>3</v>
      </c>
      <c r="G668" t="str">
        <f t="shared" si="62"/>
        <v>Câu 162.</v>
      </c>
      <c r="H668" t="str">
        <f t="shared" si="63"/>
        <v>1</v>
      </c>
      <c r="I668" t="str">
        <f t="shared" si="64"/>
        <v>2</v>
      </c>
      <c r="J668" t="str">
        <f t="shared" ca="1" si="65"/>
        <v/>
      </c>
    </row>
    <row r="669" spans="1:10" ht="18.75" x14ac:dyDescent="0.25">
      <c r="A669" s="11" t="s">
        <v>2224</v>
      </c>
      <c r="B669">
        <f>IFERROR(COUNTIFS($A$1:A669,"Câu "&amp;"*")-MID(A669,5,FIND(".",A669,1)-5),0)</f>
        <v>0</v>
      </c>
      <c r="C669" t="b">
        <v>0</v>
      </c>
      <c r="E669" t="str">
        <f t="shared" si="60"/>
        <v>3</v>
      </c>
      <c r="F669" t="str">
        <f t="shared" si="61"/>
        <v>Câu 162.</v>
      </c>
      <c r="G669" t="str">
        <f t="shared" si="62"/>
        <v>1</v>
      </c>
      <c r="H669" t="str">
        <f t="shared" si="63"/>
        <v>2</v>
      </c>
      <c r="I669" t="str">
        <f t="shared" si="64"/>
        <v>3</v>
      </c>
      <c r="J669" t="str">
        <f t="shared" ca="1" si="65"/>
        <v/>
      </c>
    </row>
    <row r="670" spans="1:10" ht="18.75" x14ac:dyDescent="0.25">
      <c r="A670" s="10" t="s">
        <v>565</v>
      </c>
      <c r="B670">
        <f>IFERROR(COUNTIFS($A$1:A670,"Câu "&amp;"*")-MID(A670,5,FIND(".",A670,1)-5),0)</f>
        <v>0</v>
      </c>
      <c r="C670" t="b">
        <v>0</v>
      </c>
      <c r="E670" t="str">
        <f t="shared" si="60"/>
        <v>Câu 162.</v>
      </c>
      <c r="F670" t="str">
        <f t="shared" si="61"/>
        <v>1</v>
      </c>
      <c r="G670" t="str">
        <f t="shared" si="62"/>
        <v>2</v>
      </c>
      <c r="H670" t="str">
        <f t="shared" si="63"/>
        <v>3</v>
      </c>
      <c r="I670" t="str">
        <f t="shared" si="64"/>
        <v/>
      </c>
      <c r="J670" t="str">
        <f t="shared" ca="1" si="65"/>
        <v>3</v>
      </c>
    </row>
    <row r="671" spans="1:10" ht="18.75" x14ac:dyDescent="0.25">
      <c r="A671" s="11" t="s">
        <v>2225</v>
      </c>
      <c r="B671">
        <f>IFERROR(COUNTIFS($A$1:A671,"Câu "&amp;"*")-MID(A671,5,FIND(".",A671,1)-5),0)</f>
        <v>0</v>
      </c>
      <c r="C671" t="b">
        <v>0</v>
      </c>
      <c r="E671" t="str">
        <f t="shared" si="60"/>
        <v>1</v>
      </c>
      <c r="F671" t="str">
        <f t="shared" si="61"/>
        <v>2</v>
      </c>
      <c r="G671" t="str">
        <f t="shared" si="62"/>
        <v>3</v>
      </c>
      <c r="H671" t="str">
        <f t="shared" si="63"/>
        <v/>
      </c>
      <c r="I671" t="str">
        <f t="shared" si="64"/>
        <v>1</v>
      </c>
      <c r="J671" t="str">
        <f t="shared" ca="1" si="65"/>
        <v/>
      </c>
    </row>
    <row r="672" spans="1:10" ht="18.75" x14ac:dyDescent="0.25">
      <c r="A672" s="11" t="s">
        <v>2226</v>
      </c>
      <c r="B672">
        <f>IFERROR(COUNTIFS($A$1:A672,"Câu "&amp;"*")-MID(A672,5,FIND(".",A672,1)-5),0)</f>
        <v>0</v>
      </c>
      <c r="C672" t="b">
        <v>0</v>
      </c>
      <c r="E672" t="str">
        <f t="shared" si="60"/>
        <v>2</v>
      </c>
      <c r="F672" t="str">
        <f t="shared" si="61"/>
        <v>3</v>
      </c>
      <c r="G672" t="str">
        <f t="shared" si="62"/>
        <v>Câu 163.</v>
      </c>
      <c r="H672" t="str">
        <f t="shared" si="63"/>
        <v>1</v>
      </c>
      <c r="I672" t="str">
        <f t="shared" si="64"/>
        <v>2</v>
      </c>
      <c r="J672" t="str">
        <f t="shared" ca="1" si="65"/>
        <v/>
      </c>
    </row>
    <row r="673" spans="1:10" ht="18.75" x14ac:dyDescent="0.25">
      <c r="A673" s="11" t="s">
        <v>1825</v>
      </c>
      <c r="B673">
        <f>IFERROR(COUNTIFS($A$1:A673,"Câu "&amp;"*")-MID(A673,5,FIND(".",A673,1)-5),0)</f>
        <v>0</v>
      </c>
      <c r="C673" t="b">
        <v>1</v>
      </c>
      <c r="E673" t="str">
        <f t="shared" si="60"/>
        <v>3</v>
      </c>
      <c r="F673" t="str">
        <f t="shared" si="61"/>
        <v>Câu 163.</v>
      </c>
      <c r="G673" t="str">
        <f t="shared" si="62"/>
        <v>1</v>
      </c>
      <c r="H673" t="str">
        <f t="shared" si="63"/>
        <v>2</v>
      </c>
      <c r="I673" t="str">
        <f t="shared" si="64"/>
        <v>3</v>
      </c>
      <c r="J673" t="str">
        <f t="shared" ca="1" si="65"/>
        <v/>
      </c>
    </row>
    <row r="674" spans="1:10" ht="409.5" x14ac:dyDescent="0.25">
      <c r="A674" s="4" t="s">
        <v>568</v>
      </c>
      <c r="B674">
        <f>IFERROR(COUNTIFS($A$1:A674,"Câu "&amp;"*")-MID(A674,5,FIND(".",A674,1)-5),0)</f>
        <v>0</v>
      </c>
      <c r="C674" t="b">
        <v>0</v>
      </c>
      <c r="E674" t="str">
        <f t="shared" si="60"/>
        <v>Câu 163.</v>
      </c>
      <c r="F674" t="str">
        <f t="shared" si="61"/>
        <v>1</v>
      </c>
      <c r="G674" t="str">
        <f t="shared" si="62"/>
        <v>2</v>
      </c>
      <c r="H674" t="str">
        <f t="shared" si="63"/>
        <v>3</v>
      </c>
      <c r="I674" t="str">
        <f t="shared" si="64"/>
        <v>4</v>
      </c>
      <c r="J674" t="str">
        <f t="shared" ca="1" si="65"/>
        <v>1</v>
      </c>
    </row>
    <row r="675" spans="1:10" ht="18.75" x14ac:dyDescent="0.25">
      <c r="A675" s="11" t="s">
        <v>2227</v>
      </c>
      <c r="B675">
        <f>IFERROR(COUNTIFS($A$1:A675,"Câu "&amp;"*")-MID(A675,5,FIND(".",A675,1)-5),0)</f>
        <v>0</v>
      </c>
      <c r="C675" t="b">
        <v>1</v>
      </c>
      <c r="E675" t="str">
        <f t="shared" si="60"/>
        <v>1</v>
      </c>
      <c r="F675" t="str">
        <f t="shared" si="61"/>
        <v>2</v>
      </c>
      <c r="G675" t="str">
        <f t="shared" si="62"/>
        <v>3</v>
      </c>
      <c r="H675" t="str">
        <f t="shared" si="63"/>
        <v>4</v>
      </c>
      <c r="I675" t="str">
        <f t="shared" si="64"/>
        <v/>
      </c>
      <c r="J675" t="str">
        <f t="shared" ca="1" si="65"/>
        <v/>
      </c>
    </row>
    <row r="676" spans="1:10" ht="18.75" x14ac:dyDescent="0.25">
      <c r="A676" s="11" t="s">
        <v>2228</v>
      </c>
      <c r="B676">
        <f>IFERROR(COUNTIFS($A$1:A676,"Câu "&amp;"*")-MID(A676,5,FIND(".",A676,1)-5),0)</f>
        <v>0</v>
      </c>
      <c r="C676" t="b">
        <v>0</v>
      </c>
      <c r="E676" t="str">
        <f t="shared" si="60"/>
        <v>2</v>
      </c>
      <c r="F676" t="str">
        <f t="shared" si="61"/>
        <v>3</v>
      </c>
      <c r="G676" t="str">
        <f t="shared" si="62"/>
        <v>4</v>
      </c>
      <c r="H676" t="str">
        <f t="shared" si="63"/>
        <v/>
      </c>
      <c r="I676" t="str">
        <f t="shared" si="64"/>
        <v>1</v>
      </c>
      <c r="J676" t="str">
        <f t="shared" ca="1" si="65"/>
        <v/>
      </c>
    </row>
    <row r="677" spans="1:10" ht="18.75" x14ac:dyDescent="0.25">
      <c r="A677" s="11" t="s">
        <v>2229</v>
      </c>
      <c r="B677">
        <f>IFERROR(COUNTIFS($A$1:A677,"Câu "&amp;"*")-MID(A677,5,FIND(".",A677,1)-5),0)</f>
        <v>0</v>
      </c>
      <c r="C677" t="b">
        <v>0</v>
      </c>
      <c r="E677" t="str">
        <f t="shared" si="60"/>
        <v>3</v>
      </c>
      <c r="F677" t="str">
        <f t="shared" si="61"/>
        <v>4</v>
      </c>
      <c r="G677" t="str">
        <f t="shared" si="62"/>
        <v>Câu 164.</v>
      </c>
      <c r="H677" t="str">
        <f t="shared" si="63"/>
        <v>1</v>
      </c>
      <c r="I677" t="str">
        <f t="shared" si="64"/>
        <v>2</v>
      </c>
      <c r="J677" t="str">
        <f t="shared" ca="1" si="65"/>
        <v/>
      </c>
    </row>
    <row r="678" spans="1:10" ht="18.75" x14ac:dyDescent="0.25">
      <c r="A678" s="11" t="s">
        <v>2230</v>
      </c>
      <c r="B678">
        <f>IFERROR(COUNTIFS($A$1:A678,"Câu "&amp;"*")-MID(A678,5,FIND(".",A678,1)-5),0)</f>
        <v>0</v>
      </c>
      <c r="C678" t="b">
        <v>0</v>
      </c>
      <c r="E678" t="str">
        <f t="shared" si="60"/>
        <v>4</v>
      </c>
      <c r="F678" t="str">
        <f t="shared" si="61"/>
        <v>Câu 164.</v>
      </c>
      <c r="G678" t="str">
        <f t="shared" si="62"/>
        <v>1</v>
      </c>
      <c r="H678" t="str">
        <f t="shared" si="63"/>
        <v>2</v>
      </c>
      <c r="I678" t="str">
        <f t="shared" si="64"/>
        <v>3</v>
      </c>
      <c r="J678" t="str">
        <f t="shared" ca="1" si="65"/>
        <v/>
      </c>
    </row>
    <row r="679" spans="1:10" ht="18.75" x14ac:dyDescent="0.25">
      <c r="A679" s="10" t="s">
        <v>573</v>
      </c>
      <c r="B679">
        <f>IFERROR(COUNTIFS($A$1:A679,"Câu "&amp;"*")-MID(A679,5,FIND(".",A679,1)-5),0)</f>
        <v>0</v>
      </c>
      <c r="C679" t="b">
        <v>0</v>
      </c>
      <c r="E679" t="str">
        <f t="shared" si="60"/>
        <v>Câu 164.</v>
      </c>
      <c r="F679" t="str">
        <f t="shared" si="61"/>
        <v>1</v>
      </c>
      <c r="G679" t="str">
        <f t="shared" si="62"/>
        <v>2</v>
      </c>
      <c r="H679" t="str">
        <f t="shared" si="63"/>
        <v>3</v>
      </c>
      <c r="I679" t="str">
        <f t="shared" si="64"/>
        <v/>
      </c>
      <c r="J679" t="str">
        <f t="shared" ca="1" si="65"/>
        <v>1</v>
      </c>
    </row>
    <row r="680" spans="1:10" ht="18.75" x14ac:dyDescent="0.25">
      <c r="A680" s="11" t="s">
        <v>2231</v>
      </c>
      <c r="B680">
        <f>IFERROR(COUNTIFS($A$1:A680,"Câu "&amp;"*")-MID(A680,5,FIND(".",A680,1)-5),0)</f>
        <v>0</v>
      </c>
      <c r="C680" t="b">
        <v>1</v>
      </c>
      <c r="E680" t="str">
        <f t="shared" si="60"/>
        <v>1</v>
      </c>
      <c r="F680" t="str">
        <f t="shared" si="61"/>
        <v>2</v>
      </c>
      <c r="G680" t="str">
        <f t="shared" si="62"/>
        <v>3</v>
      </c>
      <c r="H680" t="str">
        <f t="shared" si="63"/>
        <v/>
      </c>
      <c r="I680" t="str">
        <f t="shared" si="64"/>
        <v>1</v>
      </c>
      <c r="J680" t="str">
        <f t="shared" ca="1" si="65"/>
        <v/>
      </c>
    </row>
    <row r="681" spans="1:10" ht="18.75" x14ac:dyDescent="0.25">
      <c r="A681" s="11" t="s">
        <v>2232</v>
      </c>
      <c r="B681">
        <f>IFERROR(COUNTIFS($A$1:A681,"Câu "&amp;"*")-MID(A681,5,FIND(".",A681,1)-5),0)</f>
        <v>0</v>
      </c>
      <c r="C681" t="b">
        <v>0</v>
      </c>
      <c r="E681" t="str">
        <f t="shared" si="60"/>
        <v>2</v>
      </c>
      <c r="F681" t="str">
        <f t="shared" si="61"/>
        <v>3</v>
      </c>
      <c r="G681" t="str">
        <f t="shared" si="62"/>
        <v>Câu 165.</v>
      </c>
      <c r="H681" t="str">
        <f t="shared" si="63"/>
        <v>1</v>
      </c>
      <c r="I681" t="str">
        <f t="shared" si="64"/>
        <v>2</v>
      </c>
      <c r="J681" t="str">
        <f t="shared" ca="1" si="65"/>
        <v/>
      </c>
    </row>
    <row r="682" spans="1:10" ht="18.75" x14ac:dyDescent="0.25">
      <c r="A682" s="11" t="s">
        <v>1814</v>
      </c>
      <c r="B682">
        <f>IFERROR(COUNTIFS($A$1:A682,"Câu "&amp;"*")-MID(A682,5,FIND(".",A682,1)-5),0)</f>
        <v>0</v>
      </c>
      <c r="C682" t="b">
        <v>0</v>
      </c>
      <c r="E682" t="str">
        <f t="shared" si="60"/>
        <v>3</v>
      </c>
      <c r="F682" t="str">
        <f t="shared" si="61"/>
        <v>Câu 165.</v>
      </c>
      <c r="G682" t="str">
        <f t="shared" si="62"/>
        <v>1</v>
      </c>
      <c r="H682" t="str">
        <f t="shared" si="63"/>
        <v>2</v>
      </c>
      <c r="I682" t="str">
        <f t="shared" si="64"/>
        <v>3</v>
      </c>
      <c r="J682" t="str">
        <f t="shared" ca="1" si="65"/>
        <v/>
      </c>
    </row>
    <row r="683" spans="1:10" ht="409.5" x14ac:dyDescent="0.25">
      <c r="A683" s="4" t="s">
        <v>576</v>
      </c>
      <c r="B683">
        <f>IFERROR(COUNTIFS($A$1:A683,"Câu "&amp;"*")-MID(A683,5,FIND(".",A683,1)-5),0)</f>
        <v>0</v>
      </c>
      <c r="C683" t="b">
        <v>0</v>
      </c>
      <c r="E683" t="str">
        <f t="shared" si="60"/>
        <v>Câu 165.</v>
      </c>
      <c r="F683" t="str">
        <f t="shared" si="61"/>
        <v>1</v>
      </c>
      <c r="G683" t="str">
        <f t="shared" si="62"/>
        <v>2</v>
      </c>
      <c r="H683" t="str">
        <f t="shared" si="63"/>
        <v>3</v>
      </c>
      <c r="I683" t="str">
        <f t="shared" si="64"/>
        <v>4</v>
      </c>
      <c r="J683" t="str">
        <f t="shared" ca="1" si="65"/>
        <v>4</v>
      </c>
    </row>
    <row r="684" spans="1:10" ht="356.25" x14ac:dyDescent="0.25">
      <c r="A684" s="3" t="s">
        <v>2233</v>
      </c>
      <c r="B684">
        <f>IFERROR(COUNTIFS($A$1:A684,"Câu "&amp;"*")-MID(A684,5,FIND(".",A684,1)-5),0)</f>
        <v>0</v>
      </c>
      <c r="C684" t="b">
        <v>0</v>
      </c>
      <c r="E684" t="str">
        <f t="shared" si="60"/>
        <v>1</v>
      </c>
      <c r="F684" t="str">
        <f t="shared" si="61"/>
        <v>2</v>
      </c>
      <c r="G684" t="str">
        <f t="shared" si="62"/>
        <v>3</v>
      </c>
      <c r="H684" t="str">
        <f t="shared" si="63"/>
        <v>4</v>
      </c>
      <c r="I684" t="str">
        <f t="shared" si="64"/>
        <v/>
      </c>
      <c r="J684" t="str">
        <f t="shared" ca="1" si="65"/>
        <v/>
      </c>
    </row>
    <row r="685" spans="1:10" ht="409.5" x14ac:dyDescent="0.25">
      <c r="A685" s="3" t="s">
        <v>2234</v>
      </c>
      <c r="B685">
        <f>IFERROR(COUNTIFS($A$1:A685,"Câu "&amp;"*")-MID(A685,5,FIND(".",A685,1)-5),0)</f>
        <v>0</v>
      </c>
      <c r="C685" t="b">
        <v>0</v>
      </c>
      <c r="E685" t="str">
        <f t="shared" si="60"/>
        <v>2</v>
      </c>
      <c r="F685" t="str">
        <f t="shared" si="61"/>
        <v>3</v>
      </c>
      <c r="G685" t="str">
        <f t="shared" si="62"/>
        <v>4</v>
      </c>
      <c r="H685" t="str">
        <f t="shared" si="63"/>
        <v/>
      </c>
      <c r="I685" t="str">
        <f t="shared" si="64"/>
        <v>1</v>
      </c>
      <c r="J685" t="str">
        <f t="shared" ca="1" si="65"/>
        <v/>
      </c>
    </row>
    <row r="686" spans="1:10" ht="409.5" x14ac:dyDescent="0.25">
      <c r="A686" s="3" t="s">
        <v>2235</v>
      </c>
      <c r="B686">
        <f>IFERROR(COUNTIFS($A$1:A686,"Câu "&amp;"*")-MID(A686,5,FIND(".",A686,1)-5),0)</f>
        <v>0</v>
      </c>
      <c r="C686" t="b">
        <v>0</v>
      </c>
      <c r="E686" t="str">
        <f t="shared" si="60"/>
        <v>3</v>
      </c>
      <c r="F686" t="str">
        <f t="shared" si="61"/>
        <v>4</v>
      </c>
      <c r="G686" t="str">
        <f t="shared" si="62"/>
        <v>Câu 166.</v>
      </c>
      <c r="H686" t="str">
        <f t="shared" si="63"/>
        <v>1</v>
      </c>
      <c r="I686" t="str">
        <f t="shared" si="64"/>
        <v>2</v>
      </c>
      <c r="J686" t="str">
        <f t="shared" ca="1" si="65"/>
        <v/>
      </c>
    </row>
    <row r="687" spans="1:10" ht="37.5" x14ac:dyDescent="0.25">
      <c r="A687" s="3" t="s">
        <v>1865</v>
      </c>
      <c r="B687">
        <f>IFERROR(COUNTIFS($A$1:A687,"Câu "&amp;"*")-MID(A687,5,FIND(".",A687,1)-5),0)</f>
        <v>0</v>
      </c>
      <c r="C687" t="b">
        <v>1</v>
      </c>
      <c r="E687" t="str">
        <f t="shared" si="60"/>
        <v>4</v>
      </c>
      <c r="F687" t="str">
        <f t="shared" si="61"/>
        <v>Câu 166.</v>
      </c>
      <c r="G687" t="str">
        <f t="shared" si="62"/>
        <v>1</v>
      </c>
      <c r="H687" t="str">
        <f t="shared" si="63"/>
        <v>2</v>
      </c>
      <c r="I687" t="str">
        <f t="shared" si="64"/>
        <v>3</v>
      </c>
      <c r="J687" t="str">
        <f t="shared" ca="1" si="65"/>
        <v/>
      </c>
    </row>
    <row r="688" spans="1:10" ht="409.5" x14ac:dyDescent="0.25">
      <c r="A688" s="4" t="s">
        <v>580</v>
      </c>
      <c r="B688">
        <f>IFERROR(COUNTIFS($A$1:A688,"Câu "&amp;"*")-MID(A688,5,FIND(".",A688,1)-5),0)</f>
        <v>0</v>
      </c>
      <c r="C688" t="b">
        <v>0</v>
      </c>
      <c r="E688" t="str">
        <f t="shared" si="60"/>
        <v>Câu 166.</v>
      </c>
      <c r="F688" t="str">
        <f t="shared" si="61"/>
        <v>1</v>
      </c>
      <c r="G688" t="str">
        <f t="shared" si="62"/>
        <v>2</v>
      </c>
      <c r="H688" t="str">
        <f t="shared" si="63"/>
        <v>3</v>
      </c>
      <c r="I688" t="str">
        <f t="shared" si="64"/>
        <v/>
      </c>
      <c r="J688" t="str">
        <f t="shared" ca="1" si="65"/>
        <v>3</v>
      </c>
    </row>
    <row r="689" spans="1:10" ht="318.75" x14ac:dyDescent="0.25">
      <c r="A689" s="3" t="s">
        <v>2236</v>
      </c>
      <c r="B689">
        <f>IFERROR(COUNTIFS($A$1:A689,"Câu "&amp;"*")-MID(A689,5,FIND(".",A689,1)-5),0)</f>
        <v>0</v>
      </c>
      <c r="C689" t="b">
        <v>0</v>
      </c>
      <c r="E689" t="str">
        <f t="shared" si="60"/>
        <v>1</v>
      </c>
      <c r="F689" t="str">
        <f t="shared" si="61"/>
        <v>2</v>
      </c>
      <c r="G689" t="str">
        <f t="shared" si="62"/>
        <v>3</v>
      </c>
      <c r="H689" t="str">
        <f t="shared" si="63"/>
        <v/>
      </c>
      <c r="I689" t="str">
        <f t="shared" si="64"/>
        <v>1</v>
      </c>
      <c r="J689" t="str">
        <f t="shared" ca="1" si="65"/>
        <v/>
      </c>
    </row>
    <row r="690" spans="1:10" ht="409.5" x14ac:dyDescent="0.25">
      <c r="A690" s="3" t="s">
        <v>2237</v>
      </c>
      <c r="B690">
        <f>IFERROR(COUNTIFS($A$1:A690,"Câu "&amp;"*")-MID(A690,5,FIND(".",A690,1)-5),0)</f>
        <v>0</v>
      </c>
      <c r="C690" t="b">
        <v>0</v>
      </c>
      <c r="E690" t="str">
        <f t="shared" si="60"/>
        <v>2</v>
      </c>
      <c r="F690" t="str">
        <f t="shared" si="61"/>
        <v>3</v>
      </c>
      <c r="G690" t="str">
        <f t="shared" si="62"/>
        <v>Câu 167.</v>
      </c>
      <c r="H690" t="str">
        <f t="shared" si="63"/>
        <v>1</v>
      </c>
      <c r="I690" t="str">
        <f t="shared" si="64"/>
        <v>2</v>
      </c>
      <c r="J690" t="str">
        <f t="shared" ca="1" si="65"/>
        <v/>
      </c>
    </row>
    <row r="691" spans="1:10" ht="281.25" x14ac:dyDescent="0.25">
      <c r="A691" s="3" t="s">
        <v>2238</v>
      </c>
      <c r="B691">
        <f>IFERROR(COUNTIFS($A$1:A691,"Câu "&amp;"*")-MID(A691,5,FIND(".",A691,1)-5),0)</f>
        <v>0</v>
      </c>
      <c r="C691" t="b">
        <v>1</v>
      </c>
      <c r="E691" t="str">
        <f t="shared" si="60"/>
        <v>3</v>
      </c>
      <c r="F691" t="str">
        <f t="shared" si="61"/>
        <v>Câu 167.</v>
      </c>
      <c r="G691" t="str">
        <f t="shared" si="62"/>
        <v>1</v>
      </c>
      <c r="H691" t="str">
        <f t="shared" si="63"/>
        <v>2</v>
      </c>
      <c r="I691" t="str">
        <f t="shared" si="64"/>
        <v/>
      </c>
      <c r="J691" t="str">
        <f t="shared" ca="1" si="65"/>
        <v/>
      </c>
    </row>
    <row r="692" spans="1:10" ht="318.75" x14ac:dyDescent="0.25">
      <c r="A692" s="4" t="s">
        <v>584</v>
      </c>
      <c r="B692">
        <f>IFERROR(COUNTIFS($A$1:A692,"Câu "&amp;"*")-MID(A692,5,FIND(".",A692,1)-5),0)</f>
        <v>0</v>
      </c>
      <c r="C692" t="b">
        <v>0</v>
      </c>
      <c r="E692" t="str">
        <f t="shared" si="60"/>
        <v>Câu 167.</v>
      </c>
      <c r="F692" t="str">
        <f t="shared" si="61"/>
        <v>1</v>
      </c>
      <c r="G692" t="str">
        <f t="shared" si="62"/>
        <v>2</v>
      </c>
      <c r="H692" t="str">
        <f t="shared" si="63"/>
        <v/>
      </c>
      <c r="I692" t="str">
        <f t="shared" si="64"/>
        <v>1</v>
      </c>
      <c r="J692" t="str">
        <f t="shared" ca="1" si="65"/>
        <v>2</v>
      </c>
    </row>
    <row r="693" spans="1:10" ht="112.5" x14ac:dyDescent="0.25">
      <c r="A693" s="3" t="s">
        <v>2239</v>
      </c>
      <c r="B693">
        <f>IFERROR(COUNTIFS($A$1:A693,"Câu "&amp;"*")-MID(A693,5,FIND(".",A693,1)-5),0)</f>
        <v>0</v>
      </c>
      <c r="C693" t="b">
        <v>0</v>
      </c>
      <c r="E693" t="str">
        <f t="shared" si="60"/>
        <v>1</v>
      </c>
      <c r="F693" t="str">
        <f t="shared" si="61"/>
        <v>2</v>
      </c>
      <c r="G693" t="str">
        <f t="shared" si="62"/>
        <v>Câu 168.</v>
      </c>
      <c r="H693" t="str">
        <f t="shared" si="63"/>
        <v>1</v>
      </c>
      <c r="I693" t="str">
        <f t="shared" si="64"/>
        <v>2</v>
      </c>
      <c r="J693" t="str">
        <f t="shared" ca="1" si="65"/>
        <v/>
      </c>
    </row>
    <row r="694" spans="1:10" ht="187.5" x14ac:dyDescent="0.25">
      <c r="A694" s="3" t="s">
        <v>2240</v>
      </c>
      <c r="B694">
        <f>IFERROR(COUNTIFS($A$1:A694,"Câu "&amp;"*")-MID(A694,5,FIND(".",A694,1)-5),0)</f>
        <v>0</v>
      </c>
      <c r="C694" t="b">
        <v>1</v>
      </c>
      <c r="E694" t="str">
        <f t="shared" si="60"/>
        <v>2</v>
      </c>
      <c r="F694" t="str">
        <f t="shared" si="61"/>
        <v>Câu 168.</v>
      </c>
      <c r="G694" t="str">
        <f t="shared" si="62"/>
        <v>1</v>
      </c>
      <c r="H694" t="str">
        <f t="shared" si="63"/>
        <v>2</v>
      </c>
      <c r="I694" t="str">
        <f t="shared" si="64"/>
        <v/>
      </c>
      <c r="J694" t="str">
        <f t="shared" ca="1" si="65"/>
        <v/>
      </c>
    </row>
    <row r="695" spans="1:10" ht="300" x14ac:dyDescent="0.25">
      <c r="A695" s="4" t="s">
        <v>587</v>
      </c>
      <c r="B695">
        <f>IFERROR(COUNTIFS($A$1:A695,"Câu "&amp;"*")-MID(A695,5,FIND(".",A695,1)-5),0)</f>
        <v>0</v>
      </c>
      <c r="C695" t="b">
        <v>0</v>
      </c>
      <c r="E695" t="str">
        <f t="shared" si="60"/>
        <v>Câu 168.</v>
      </c>
      <c r="F695" t="str">
        <f t="shared" si="61"/>
        <v>1</v>
      </c>
      <c r="G695" t="str">
        <f t="shared" si="62"/>
        <v>2</v>
      </c>
      <c r="H695" t="str">
        <f t="shared" si="63"/>
        <v/>
      </c>
      <c r="I695" t="str">
        <f t="shared" si="64"/>
        <v>1</v>
      </c>
      <c r="J695" t="str">
        <f t="shared" ca="1" si="65"/>
        <v>1</v>
      </c>
    </row>
    <row r="696" spans="1:10" ht="409.5" x14ac:dyDescent="0.25">
      <c r="A696" s="3" t="s">
        <v>2241</v>
      </c>
      <c r="B696">
        <f>IFERROR(COUNTIFS($A$1:A696,"Câu "&amp;"*")-MID(A696,5,FIND(".",A696,1)-5),0)</f>
        <v>0</v>
      </c>
      <c r="C696" t="b">
        <v>1</v>
      </c>
      <c r="E696" t="str">
        <f t="shared" si="60"/>
        <v>1</v>
      </c>
      <c r="F696" t="str">
        <f t="shared" si="61"/>
        <v>2</v>
      </c>
      <c r="G696" t="str">
        <f t="shared" si="62"/>
        <v>Câu 169.</v>
      </c>
      <c r="H696" t="str">
        <f t="shared" si="63"/>
        <v>1</v>
      </c>
      <c r="I696" t="str">
        <f t="shared" si="64"/>
        <v>2</v>
      </c>
      <c r="J696" t="str">
        <f t="shared" ca="1" si="65"/>
        <v/>
      </c>
    </row>
    <row r="697" spans="1:10" ht="409.5" x14ac:dyDescent="0.25">
      <c r="A697" s="3" t="s">
        <v>2242</v>
      </c>
      <c r="B697">
        <f>IFERROR(COUNTIFS($A$1:A697,"Câu "&amp;"*")-MID(A697,5,FIND(".",A697,1)-5),0)</f>
        <v>0</v>
      </c>
      <c r="C697" t="b">
        <v>0</v>
      </c>
      <c r="E697" t="str">
        <f t="shared" si="60"/>
        <v>2</v>
      </c>
      <c r="F697" t="str">
        <f t="shared" si="61"/>
        <v>Câu 169.</v>
      </c>
      <c r="G697" t="str">
        <f t="shared" si="62"/>
        <v>1</v>
      </c>
      <c r="H697" t="str">
        <f t="shared" si="63"/>
        <v>2</v>
      </c>
      <c r="I697" t="str">
        <f t="shared" si="64"/>
        <v>3</v>
      </c>
      <c r="J697" t="str">
        <f t="shared" ca="1" si="65"/>
        <v/>
      </c>
    </row>
    <row r="698" spans="1:10" ht="262.5" x14ac:dyDescent="0.25">
      <c r="A698" s="4" t="s">
        <v>590</v>
      </c>
      <c r="B698">
        <f>IFERROR(COUNTIFS($A$1:A698,"Câu "&amp;"*")-MID(A698,5,FIND(".",A698,1)-5),0)</f>
        <v>0</v>
      </c>
      <c r="C698" t="b">
        <v>0</v>
      </c>
      <c r="E698" t="str">
        <f t="shared" si="60"/>
        <v>Câu 169.</v>
      </c>
      <c r="F698" t="str">
        <f t="shared" si="61"/>
        <v>1</v>
      </c>
      <c r="G698" t="str">
        <f t="shared" si="62"/>
        <v>2</v>
      </c>
      <c r="H698" t="str">
        <f t="shared" si="63"/>
        <v>3</v>
      </c>
      <c r="I698" t="str">
        <f t="shared" si="64"/>
        <v>4</v>
      </c>
      <c r="J698" t="str">
        <f t="shared" ca="1" si="65"/>
        <v>4</v>
      </c>
    </row>
    <row r="699" spans="1:10" ht="18.75" x14ac:dyDescent="0.25">
      <c r="A699" s="11" t="s">
        <v>2243</v>
      </c>
      <c r="B699">
        <f>IFERROR(COUNTIFS($A$1:A699,"Câu "&amp;"*")-MID(A699,5,FIND(".",A699,1)-5),0)</f>
        <v>0</v>
      </c>
      <c r="C699" t="b">
        <v>0</v>
      </c>
      <c r="E699" t="str">
        <f t="shared" si="60"/>
        <v>1</v>
      </c>
      <c r="F699" t="str">
        <f t="shared" si="61"/>
        <v>2</v>
      </c>
      <c r="G699" t="str">
        <f t="shared" si="62"/>
        <v>3</v>
      </c>
      <c r="H699" t="str">
        <f t="shared" si="63"/>
        <v>4</v>
      </c>
      <c r="I699" t="str">
        <f t="shared" si="64"/>
        <v/>
      </c>
      <c r="J699" t="str">
        <f t="shared" ca="1" si="65"/>
        <v/>
      </c>
    </row>
    <row r="700" spans="1:10" ht="18.75" x14ac:dyDescent="0.25">
      <c r="A700" s="11" t="s">
        <v>2244</v>
      </c>
      <c r="B700">
        <f>IFERROR(COUNTIFS($A$1:A700,"Câu "&amp;"*")-MID(A700,5,FIND(".",A700,1)-5),0)</f>
        <v>0</v>
      </c>
      <c r="C700" t="b">
        <v>0</v>
      </c>
      <c r="E700" t="str">
        <f t="shared" si="60"/>
        <v>2</v>
      </c>
      <c r="F700" t="str">
        <f t="shared" si="61"/>
        <v>3</v>
      </c>
      <c r="G700" t="str">
        <f t="shared" si="62"/>
        <v>4</v>
      </c>
      <c r="H700" t="str">
        <f t="shared" si="63"/>
        <v/>
      </c>
      <c r="I700" t="str">
        <f t="shared" si="64"/>
        <v>1</v>
      </c>
      <c r="J700" t="str">
        <f t="shared" ca="1" si="65"/>
        <v/>
      </c>
    </row>
    <row r="701" spans="1:10" ht="18.75" x14ac:dyDescent="0.25">
      <c r="A701" s="11" t="s">
        <v>2245</v>
      </c>
      <c r="B701">
        <f>IFERROR(COUNTIFS($A$1:A701,"Câu "&amp;"*")-MID(A701,5,FIND(".",A701,1)-5),0)</f>
        <v>0</v>
      </c>
      <c r="C701" t="b">
        <v>0</v>
      </c>
      <c r="E701" t="str">
        <f t="shared" si="60"/>
        <v>3</v>
      </c>
      <c r="F701" t="str">
        <f t="shared" si="61"/>
        <v>4</v>
      </c>
      <c r="G701" t="str">
        <f t="shared" si="62"/>
        <v>Câu 170.</v>
      </c>
      <c r="H701" t="str">
        <f t="shared" si="63"/>
        <v>1</v>
      </c>
      <c r="I701" t="str">
        <f t="shared" si="64"/>
        <v>2</v>
      </c>
      <c r="J701" t="str">
        <f t="shared" ca="1" si="65"/>
        <v/>
      </c>
    </row>
    <row r="702" spans="1:10" ht="18.75" x14ac:dyDescent="0.25">
      <c r="A702" s="11" t="s">
        <v>1865</v>
      </c>
      <c r="B702">
        <f>IFERROR(COUNTIFS($A$1:A702,"Câu "&amp;"*")-MID(A702,5,FIND(".",A702,1)-5),0)</f>
        <v>0</v>
      </c>
      <c r="C702" t="b">
        <v>1</v>
      </c>
      <c r="E702" t="str">
        <f t="shared" si="60"/>
        <v>4</v>
      </c>
      <c r="F702" t="str">
        <f t="shared" si="61"/>
        <v>Câu 170.</v>
      </c>
      <c r="G702" t="str">
        <f t="shared" si="62"/>
        <v>1</v>
      </c>
      <c r="H702" t="str">
        <f t="shared" si="63"/>
        <v>2</v>
      </c>
      <c r="I702" t="str">
        <f t="shared" si="64"/>
        <v>3</v>
      </c>
      <c r="J702" t="str">
        <f t="shared" ca="1" si="65"/>
        <v/>
      </c>
    </row>
    <row r="703" spans="1:10" ht="18.75" x14ac:dyDescent="0.25">
      <c r="A703" s="10" t="s">
        <v>594</v>
      </c>
      <c r="B703">
        <f>IFERROR(COUNTIFS($A$1:A703,"Câu "&amp;"*")-MID(A703,5,FIND(".",A703,1)-5),0)</f>
        <v>0</v>
      </c>
      <c r="C703" t="b">
        <v>0</v>
      </c>
      <c r="E703" t="str">
        <f t="shared" si="60"/>
        <v>Câu 170.</v>
      </c>
      <c r="F703" t="str">
        <f t="shared" si="61"/>
        <v>1</v>
      </c>
      <c r="G703" t="str">
        <f t="shared" si="62"/>
        <v>2</v>
      </c>
      <c r="H703" t="str">
        <f t="shared" si="63"/>
        <v>3</v>
      </c>
      <c r="I703" t="str">
        <f t="shared" si="64"/>
        <v>4</v>
      </c>
      <c r="J703" t="str">
        <f t="shared" ca="1" si="65"/>
        <v>3</v>
      </c>
    </row>
    <row r="704" spans="1:10" ht="18.75" x14ac:dyDescent="0.25">
      <c r="A704" s="11" t="s">
        <v>2246</v>
      </c>
      <c r="B704">
        <f>IFERROR(COUNTIFS($A$1:A704,"Câu "&amp;"*")-MID(A704,5,FIND(".",A704,1)-5),0)</f>
        <v>0</v>
      </c>
      <c r="C704" t="b">
        <v>0</v>
      </c>
      <c r="E704" t="str">
        <f t="shared" si="60"/>
        <v>1</v>
      </c>
      <c r="F704" t="str">
        <f t="shared" si="61"/>
        <v>2</v>
      </c>
      <c r="G704" t="str">
        <f t="shared" si="62"/>
        <v>3</v>
      </c>
      <c r="H704" t="str">
        <f t="shared" si="63"/>
        <v>4</v>
      </c>
      <c r="I704" t="str">
        <f t="shared" si="64"/>
        <v/>
      </c>
      <c r="J704" t="str">
        <f t="shared" ca="1" si="65"/>
        <v/>
      </c>
    </row>
    <row r="705" spans="1:10" ht="18.75" x14ac:dyDescent="0.25">
      <c r="A705" s="11" t="s">
        <v>2247</v>
      </c>
      <c r="B705">
        <f>IFERROR(COUNTIFS($A$1:A705,"Câu "&amp;"*")-MID(A705,5,FIND(".",A705,1)-5),0)</f>
        <v>0</v>
      </c>
      <c r="C705" t="b">
        <v>0</v>
      </c>
      <c r="E705" t="str">
        <f t="shared" si="60"/>
        <v>2</v>
      </c>
      <c r="F705" t="str">
        <f t="shared" si="61"/>
        <v>3</v>
      </c>
      <c r="G705" t="str">
        <f t="shared" si="62"/>
        <v>4</v>
      </c>
      <c r="H705" t="str">
        <f t="shared" si="63"/>
        <v/>
      </c>
      <c r="I705" t="str">
        <f t="shared" si="64"/>
        <v>1</v>
      </c>
      <c r="J705" t="str">
        <f t="shared" ca="1" si="65"/>
        <v/>
      </c>
    </row>
    <row r="706" spans="1:10" ht="409.5" x14ac:dyDescent="0.25">
      <c r="A706" s="3" t="s">
        <v>2248</v>
      </c>
      <c r="B706">
        <f>IFERROR(COUNTIFS($A$1:A706,"Câu "&amp;"*")-MID(A706,5,FIND(".",A706,1)-5),0)</f>
        <v>0</v>
      </c>
      <c r="C706" t="b">
        <v>1</v>
      </c>
      <c r="E706" t="str">
        <f t="shared" si="60"/>
        <v>3</v>
      </c>
      <c r="F706" t="str">
        <f t="shared" si="61"/>
        <v>4</v>
      </c>
      <c r="G706" t="str">
        <f t="shared" si="62"/>
        <v>Câu 171.</v>
      </c>
      <c r="H706" t="str">
        <f t="shared" si="63"/>
        <v>1</v>
      </c>
      <c r="I706" t="str">
        <f t="shared" si="64"/>
        <v>2</v>
      </c>
      <c r="J706" t="str">
        <f t="shared" ca="1" si="65"/>
        <v/>
      </c>
    </row>
    <row r="707" spans="1:10" ht="37.5" x14ac:dyDescent="0.25">
      <c r="A707" s="3" t="s">
        <v>1811</v>
      </c>
      <c r="B707">
        <f>IFERROR(COUNTIFS($A$1:A707,"Câu "&amp;"*")-MID(A707,5,FIND(".",A707,1)-5),0)</f>
        <v>0</v>
      </c>
      <c r="C707" t="b">
        <v>0</v>
      </c>
      <c r="E707" t="str">
        <f t="shared" ref="E707:E770" si="66">IF(LEFT(A707,3)="Câu",LEFT(A707,FIND(".",A707,1)),LEFT(A707,1))</f>
        <v>4</v>
      </c>
      <c r="F707" t="str">
        <f t="shared" ref="F707:F770" si="67">IF(LEFT(A708,3)="Câu",LEFT(A708,FIND(".",A708,1)),LEFT(A708,1))</f>
        <v>Câu 171.</v>
      </c>
      <c r="G707" t="str">
        <f t="shared" ref="G707:G770" si="68">IF(LEFT(A709,3)="Câu",LEFT(A709,FIND(".",A709,1)),LEFT(A709,1))</f>
        <v>1</v>
      </c>
      <c r="H707" t="str">
        <f t="shared" ref="H707:H770" si="69">IF(LEFT(A710,3)="Câu","",LEFT(A710,1))</f>
        <v>2</v>
      </c>
      <c r="I707" t="str">
        <f t="shared" ref="I707:I770" si="70">IF(LEFT(A711,3)="Câu","",LEFT(A711,1))</f>
        <v>3</v>
      </c>
      <c r="J707" t="str">
        <f t="shared" ref="J707:J770" ca="1" si="71">IFERROR(VLOOKUP(TRUE,INDIRECT("C"&amp;MATCH(E707,$E$1:$E$2471,0)&amp;":E"&amp;MATCH("Câu "&amp;VALUE(MID(E707,5,LEN(E707)-5))+1&amp;".",$E$1:$E$2471,0)),3,0),"")</f>
        <v/>
      </c>
    </row>
    <row r="708" spans="1:10" ht="375" x14ac:dyDescent="0.25">
      <c r="A708" s="4" t="s">
        <v>598</v>
      </c>
      <c r="B708">
        <f>IFERROR(COUNTIFS($A$1:A708,"Câu "&amp;"*")-MID(A708,5,FIND(".",A708,1)-5),0)</f>
        <v>0</v>
      </c>
      <c r="C708" t="b">
        <v>0</v>
      </c>
      <c r="E708" t="str">
        <f t="shared" si="66"/>
        <v>Câu 171.</v>
      </c>
      <c r="F708" t="str">
        <f t="shared" si="67"/>
        <v>1</v>
      </c>
      <c r="G708" t="str">
        <f t="shared" si="68"/>
        <v>2</v>
      </c>
      <c r="H708" t="str">
        <f t="shared" si="69"/>
        <v>3</v>
      </c>
      <c r="I708" t="str">
        <f t="shared" si="70"/>
        <v>4</v>
      </c>
      <c r="J708" t="str">
        <f t="shared" ca="1" si="71"/>
        <v>1</v>
      </c>
    </row>
    <row r="709" spans="1:10" ht="75" x14ac:dyDescent="0.25">
      <c r="A709" s="3" t="s">
        <v>2249</v>
      </c>
      <c r="B709">
        <f>IFERROR(COUNTIFS($A$1:A709,"Câu "&amp;"*")-MID(A709,5,FIND(".",A709,1)-5),0)</f>
        <v>0</v>
      </c>
      <c r="C709" t="b">
        <v>1</v>
      </c>
      <c r="E709" t="str">
        <f t="shared" si="66"/>
        <v>1</v>
      </c>
      <c r="F709" t="str">
        <f t="shared" si="67"/>
        <v>2</v>
      </c>
      <c r="G709" t="str">
        <f t="shared" si="68"/>
        <v>3</v>
      </c>
      <c r="H709" t="str">
        <f t="shared" si="69"/>
        <v>4</v>
      </c>
      <c r="I709" t="str">
        <f t="shared" si="70"/>
        <v/>
      </c>
      <c r="J709" t="str">
        <f t="shared" ca="1" si="71"/>
        <v/>
      </c>
    </row>
    <row r="710" spans="1:10" ht="75" x14ac:dyDescent="0.25">
      <c r="A710" s="3" t="s">
        <v>2250</v>
      </c>
      <c r="B710">
        <f>IFERROR(COUNTIFS($A$1:A710,"Câu "&amp;"*")-MID(A710,5,FIND(".",A710,1)-5),0)</f>
        <v>0</v>
      </c>
      <c r="C710" t="b">
        <v>0</v>
      </c>
      <c r="E710" t="str">
        <f t="shared" si="66"/>
        <v>2</v>
      </c>
      <c r="F710" t="str">
        <f t="shared" si="67"/>
        <v>3</v>
      </c>
      <c r="G710" t="str">
        <f t="shared" si="68"/>
        <v>4</v>
      </c>
      <c r="H710" t="str">
        <f t="shared" si="69"/>
        <v/>
      </c>
      <c r="I710" t="str">
        <f t="shared" si="70"/>
        <v>1</v>
      </c>
      <c r="J710" t="str">
        <f t="shared" ca="1" si="71"/>
        <v/>
      </c>
    </row>
    <row r="711" spans="1:10" ht="18.75" x14ac:dyDescent="0.25">
      <c r="A711" s="11" t="s">
        <v>2251</v>
      </c>
      <c r="B711">
        <f>IFERROR(COUNTIFS($A$1:A711,"Câu "&amp;"*")-MID(A711,5,FIND(".",A711,1)-5),0)</f>
        <v>0</v>
      </c>
      <c r="C711" t="b">
        <v>0</v>
      </c>
      <c r="E711" t="str">
        <f t="shared" si="66"/>
        <v>3</v>
      </c>
      <c r="F711" t="str">
        <f t="shared" si="67"/>
        <v>4</v>
      </c>
      <c r="G711" t="str">
        <f t="shared" si="68"/>
        <v>Câu 172.</v>
      </c>
      <c r="H711" t="str">
        <f t="shared" si="69"/>
        <v>1</v>
      </c>
      <c r="I711" t="str">
        <f t="shared" si="70"/>
        <v>2</v>
      </c>
      <c r="J711" t="str">
        <f t="shared" ca="1" si="71"/>
        <v/>
      </c>
    </row>
    <row r="712" spans="1:10" ht="18.75" x14ac:dyDescent="0.25">
      <c r="A712" s="11" t="s">
        <v>2252</v>
      </c>
      <c r="B712">
        <f>IFERROR(COUNTIFS($A$1:A712,"Câu "&amp;"*")-MID(A712,5,FIND(".",A712,1)-5),0)</f>
        <v>0</v>
      </c>
      <c r="C712" t="b">
        <v>0</v>
      </c>
      <c r="E712" t="str">
        <f t="shared" si="66"/>
        <v>4</v>
      </c>
      <c r="F712" t="str">
        <f t="shared" si="67"/>
        <v>Câu 172.</v>
      </c>
      <c r="G712" t="str">
        <f t="shared" si="68"/>
        <v>1</v>
      </c>
      <c r="H712" t="str">
        <f t="shared" si="69"/>
        <v>2</v>
      </c>
      <c r="I712" t="str">
        <f t="shared" si="70"/>
        <v>3</v>
      </c>
      <c r="J712" t="str">
        <f t="shared" ca="1" si="71"/>
        <v/>
      </c>
    </row>
    <row r="713" spans="1:10" ht="18.75" x14ac:dyDescent="0.25">
      <c r="A713" s="10" t="s">
        <v>603</v>
      </c>
      <c r="B713">
        <f>IFERROR(COUNTIFS($A$1:A713,"Câu "&amp;"*")-MID(A713,5,FIND(".",A713,1)-5),0)</f>
        <v>0</v>
      </c>
      <c r="C713" t="b">
        <v>0</v>
      </c>
      <c r="E713" t="str">
        <f t="shared" si="66"/>
        <v>Câu 172.</v>
      </c>
      <c r="F713" t="str">
        <f t="shared" si="67"/>
        <v>1</v>
      </c>
      <c r="G713" t="str">
        <f t="shared" si="68"/>
        <v>2</v>
      </c>
      <c r="H713" t="str">
        <f t="shared" si="69"/>
        <v>3</v>
      </c>
      <c r="I713" t="str">
        <f t="shared" si="70"/>
        <v>4</v>
      </c>
      <c r="J713" t="str">
        <f t="shared" ca="1" si="71"/>
        <v>3</v>
      </c>
    </row>
    <row r="714" spans="1:10" ht="18.75" x14ac:dyDescent="0.25">
      <c r="A714" s="11" t="s">
        <v>2253</v>
      </c>
      <c r="B714">
        <f>IFERROR(COUNTIFS($A$1:A714,"Câu "&amp;"*")-MID(A714,5,FIND(".",A714,1)-5),0)</f>
        <v>0</v>
      </c>
      <c r="C714" t="b">
        <v>0</v>
      </c>
      <c r="E714" t="str">
        <f t="shared" si="66"/>
        <v>1</v>
      </c>
      <c r="F714" t="str">
        <f t="shared" si="67"/>
        <v>2</v>
      </c>
      <c r="G714" t="str">
        <f t="shared" si="68"/>
        <v>3</v>
      </c>
      <c r="H714" t="str">
        <f t="shared" si="69"/>
        <v>4</v>
      </c>
      <c r="I714" t="str">
        <f t="shared" si="70"/>
        <v/>
      </c>
      <c r="J714" t="str">
        <f t="shared" ca="1" si="71"/>
        <v/>
      </c>
    </row>
    <row r="715" spans="1:10" ht="18.75" x14ac:dyDescent="0.25">
      <c r="A715" s="11" t="s">
        <v>2254</v>
      </c>
      <c r="B715">
        <f>IFERROR(COUNTIFS($A$1:A715,"Câu "&amp;"*")-MID(A715,5,FIND(".",A715,1)-5),0)</f>
        <v>0</v>
      </c>
      <c r="C715" t="b">
        <v>0</v>
      </c>
      <c r="E715" t="str">
        <f t="shared" si="66"/>
        <v>2</v>
      </c>
      <c r="F715" t="str">
        <f t="shared" si="67"/>
        <v>3</v>
      </c>
      <c r="G715" t="str">
        <f t="shared" si="68"/>
        <v>4</v>
      </c>
      <c r="H715" t="str">
        <f t="shared" si="69"/>
        <v/>
      </c>
      <c r="I715" t="str">
        <f t="shared" si="70"/>
        <v>1</v>
      </c>
      <c r="J715" t="str">
        <f t="shared" ca="1" si="71"/>
        <v/>
      </c>
    </row>
    <row r="716" spans="1:10" ht="18.75" x14ac:dyDescent="0.25">
      <c r="A716" s="11" t="s">
        <v>2255</v>
      </c>
      <c r="B716">
        <f>IFERROR(COUNTIFS($A$1:A716,"Câu "&amp;"*")-MID(A716,5,FIND(".",A716,1)-5),0)</f>
        <v>0</v>
      </c>
      <c r="C716" t="b">
        <v>1</v>
      </c>
      <c r="E716" t="str">
        <f t="shared" si="66"/>
        <v>3</v>
      </c>
      <c r="F716" t="str">
        <f t="shared" si="67"/>
        <v>4</v>
      </c>
      <c r="G716" t="str">
        <f t="shared" si="68"/>
        <v>Câu 173.</v>
      </c>
      <c r="H716" t="str">
        <f t="shared" si="69"/>
        <v>1</v>
      </c>
      <c r="I716" t="str">
        <f t="shared" si="70"/>
        <v>2</v>
      </c>
      <c r="J716" t="str">
        <f t="shared" ca="1" si="71"/>
        <v/>
      </c>
    </row>
    <row r="717" spans="1:10" ht="18.75" x14ac:dyDescent="0.25">
      <c r="A717" s="11" t="s">
        <v>2256</v>
      </c>
      <c r="B717">
        <f>IFERROR(COUNTIFS($A$1:A717,"Câu "&amp;"*")-MID(A717,5,FIND(".",A717,1)-5),0)</f>
        <v>0</v>
      </c>
      <c r="C717" t="b">
        <v>0</v>
      </c>
      <c r="E717" t="str">
        <f t="shared" si="66"/>
        <v>4</v>
      </c>
      <c r="F717" t="str">
        <f t="shared" si="67"/>
        <v>Câu 173.</v>
      </c>
      <c r="G717" t="str">
        <f t="shared" si="68"/>
        <v>1</v>
      </c>
      <c r="H717" t="str">
        <f t="shared" si="69"/>
        <v>2</v>
      </c>
      <c r="I717" t="str">
        <f t="shared" si="70"/>
        <v>3</v>
      </c>
      <c r="J717" t="str">
        <f t="shared" ca="1" si="71"/>
        <v/>
      </c>
    </row>
    <row r="718" spans="1:10" ht="18.75" x14ac:dyDescent="0.25">
      <c r="A718" s="10" t="s">
        <v>608</v>
      </c>
      <c r="B718">
        <f>IFERROR(COUNTIFS($A$1:A718,"Câu "&amp;"*")-MID(A718,5,FIND(".",A718,1)-5),0)</f>
        <v>0</v>
      </c>
      <c r="C718" t="b">
        <v>0</v>
      </c>
      <c r="E718" t="str">
        <f t="shared" si="66"/>
        <v>Câu 173.</v>
      </c>
      <c r="F718" t="str">
        <f t="shared" si="67"/>
        <v>1</v>
      </c>
      <c r="G718" t="str">
        <f t="shared" si="68"/>
        <v>2</v>
      </c>
      <c r="H718" t="str">
        <f t="shared" si="69"/>
        <v>3</v>
      </c>
      <c r="I718" t="str">
        <f t="shared" si="70"/>
        <v>4</v>
      </c>
      <c r="J718" t="str">
        <f t="shared" ca="1" si="71"/>
        <v>4</v>
      </c>
    </row>
    <row r="719" spans="1:10" ht="18.75" x14ac:dyDescent="0.25">
      <c r="A719" s="11" t="s">
        <v>2257</v>
      </c>
      <c r="B719">
        <f>IFERROR(COUNTIFS($A$1:A719,"Câu "&amp;"*")-MID(A719,5,FIND(".",A719,1)-5),0)</f>
        <v>0</v>
      </c>
      <c r="C719" t="b">
        <v>0</v>
      </c>
      <c r="E719" t="str">
        <f t="shared" si="66"/>
        <v>1</v>
      </c>
      <c r="F719" t="str">
        <f t="shared" si="67"/>
        <v>2</v>
      </c>
      <c r="G719" t="str">
        <f t="shared" si="68"/>
        <v>3</v>
      </c>
      <c r="H719" t="str">
        <f t="shared" si="69"/>
        <v>4</v>
      </c>
      <c r="I719" t="str">
        <f t="shared" si="70"/>
        <v/>
      </c>
      <c r="J719" t="str">
        <f t="shared" ca="1" si="71"/>
        <v/>
      </c>
    </row>
    <row r="720" spans="1:10" ht="18.75" x14ac:dyDescent="0.25">
      <c r="A720" s="11" t="s">
        <v>2258</v>
      </c>
      <c r="B720">
        <f>IFERROR(COUNTIFS($A$1:A720,"Câu "&amp;"*")-MID(A720,5,FIND(".",A720,1)-5),0)</f>
        <v>0</v>
      </c>
      <c r="C720" t="b">
        <v>0</v>
      </c>
      <c r="E720" t="str">
        <f t="shared" si="66"/>
        <v>2</v>
      </c>
      <c r="F720" t="str">
        <f t="shared" si="67"/>
        <v>3</v>
      </c>
      <c r="G720" t="str">
        <f t="shared" si="68"/>
        <v>4</v>
      </c>
      <c r="H720" t="str">
        <f t="shared" si="69"/>
        <v/>
      </c>
      <c r="I720" t="str">
        <f t="shared" si="70"/>
        <v>1</v>
      </c>
      <c r="J720" t="str">
        <f t="shared" ca="1" si="71"/>
        <v/>
      </c>
    </row>
    <row r="721" spans="1:10" ht="18.75" x14ac:dyDescent="0.25">
      <c r="A721" s="11" t="s">
        <v>2259</v>
      </c>
      <c r="B721">
        <f>IFERROR(COUNTIFS($A$1:A721,"Câu "&amp;"*")-MID(A721,5,FIND(".",A721,1)-5),0)</f>
        <v>0</v>
      </c>
      <c r="C721" t="b">
        <v>0</v>
      </c>
      <c r="E721" t="str">
        <f t="shared" si="66"/>
        <v>3</v>
      </c>
      <c r="F721" t="str">
        <f t="shared" si="67"/>
        <v>4</v>
      </c>
      <c r="G721" t="str">
        <f t="shared" si="68"/>
        <v>Câu 174.</v>
      </c>
      <c r="H721" t="str">
        <f t="shared" si="69"/>
        <v>1</v>
      </c>
      <c r="I721" t="str">
        <f t="shared" si="70"/>
        <v>2</v>
      </c>
      <c r="J721" t="str">
        <f t="shared" ca="1" si="71"/>
        <v/>
      </c>
    </row>
    <row r="722" spans="1:10" ht="18.75" x14ac:dyDescent="0.25">
      <c r="A722" s="11" t="s">
        <v>1978</v>
      </c>
      <c r="B722">
        <f>IFERROR(COUNTIFS($A$1:A722,"Câu "&amp;"*")-MID(A722,5,FIND(".",A722,1)-5),0)</f>
        <v>0</v>
      </c>
      <c r="C722" t="b">
        <v>1</v>
      </c>
      <c r="E722" t="str">
        <f t="shared" si="66"/>
        <v>4</v>
      </c>
      <c r="F722" t="str">
        <f t="shared" si="67"/>
        <v>Câu 174.</v>
      </c>
      <c r="G722" t="str">
        <f t="shared" si="68"/>
        <v>1</v>
      </c>
      <c r="H722" t="str">
        <f t="shared" si="69"/>
        <v>2</v>
      </c>
      <c r="I722" t="str">
        <f t="shared" si="70"/>
        <v>3</v>
      </c>
      <c r="J722" t="str">
        <f t="shared" ca="1" si="71"/>
        <v/>
      </c>
    </row>
    <row r="723" spans="1:10" ht="18.75" x14ac:dyDescent="0.25">
      <c r="A723" s="10" t="s">
        <v>612</v>
      </c>
      <c r="B723">
        <f>IFERROR(COUNTIFS($A$1:A723,"Câu "&amp;"*")-MID(A723,5,FIND(".",A723,1)-5),0)</f>
        <v>0</v>
      </c>
      <c r="C723" t="b">
        <v>0</v>
      </c>
      <c r="E723" t="str">
        <f t="shared" si="66"/>
        <v>Câu 174.</v>
      </c>
      <c r="F723" t="str">
        <f t="shared" si="67"/>
        <v>1</v>
      </c>
      <c r="G723" t="str">
        <f t="shared" si="68"/>
        <v>2</v>
      </c>
      <c r="H723" t="str">
        <f t="shared" si="69"/>
        <v>3</v>
      </c>
      <c r="I723" t="str">
        <f t="shared" si="70"/>
        <v>4</v>
      </c>
      <c r="J723" t="str">
        <f t="shared" ca="1" si="71"/>
        <v>4</v>
      </c>
    </row>
    <row r="724" spans="1:10" ht="409.5" x14ac:dyDescent="0.25">
      <c r="A724" s="3" t="s">
        <v>2260</v>
      </c>
      <c r="B724">
        <f>IFERROR(COUNTIFS($A$1:A724,"Câu "&amp;"*")-MID(A724,5,FIND(".",A724,1)-5),0)</f>
        <v>0</v>
      </c>
      <c r="C724" t="b">
        <v>0</v>
      </c>
      <c r="E724" t="str">
        <f t="shared" si="66"/>
        <v>1</v>
      </c>
      <c r="F724" t="str">
        <f t="shared" si="67"/>
        <v>2</v>
      </c>
      <c r="G724" t="str">
        <f t="shared" si="68"/>
        <v>3</v>
      </c>
      <c r="H724" t="str">
        <f t="shared" si="69"/>
        <v>4</v>
      </c>
      <c r="I724" t="str">
        <f t="shared" si="70"/>
        <v/>
      </c>
      <c r="J724" t="str">
        <f t="shared" ca="1" si="71"/>
        <v/>
      </c>
    </row>
    <row r="725" spans="1:10" ht="281.25" x14ac:dyDescent="0.25">
      <c r="A725" s="3" t="s">
        <v>2261</v>
      </c>
      <c r="B725">
        <f>IFERROR(COUNTIFS($A$1:A725,"Câu "&amp;"*")-MID(A725,5,FIND(".",A725,1)-5),0)</f>
        <v>0</v>
      </c>
      <c r="C725" t="b">
        <v>0</v>
      </c>
      <c r="E725" t="str">
        <f t="shared" si="66"/>
        <v>2</v>
      </c>
      <c r="F725" t="str">
        <f t="shared" si="67"/>
        <v>3</v>
      </c>
      <c r="G725" t="str">
        <f t="shared" si="68"/>
        <v>4</v>
      </c>
      <c r="H725" t="str">
        <f t="shared" si="69"/>
        <v/>
      </c>
      <c r="I725" t="str">
        <f t="shared" si="70"/>
        <v>1</v>
      </c>
      <c r="J725" t="str">
        <f t="shared" ca="1" si="71"/>
        <v/>
      </c>
    </row>
    <row r="726" spans="1:10" ht="409.5" x14ac:dyDescent="0.25">
      <c r="A726" s="3" t="s">
        <v>2262</v>
      </c>
      <c r="B726">
        <f>IFERROR(COUNTIFS($A$1:A726,"Câu "&amp;"*")-MID(A726,5,FIND(".",A726,1)-5),0)</f>
        <v>0</v>
      </c>
      <c r="C726" t="b">
        <v>0</v>
      </c>
      <c r="E726" t="str">
        <f t="shared" si="66"/>
        <v>3</v>
      </c>
      <c r="F726" t="str">
        <f t="shared" si="67"/>
        <v>4</v>
      </c>
      <c r="G726" t="str">
        <f t="shared" si="68"/>
        <v>Câu 175.</v>
      </c>
      <c r="H726" t="str">
        <f t="shared" si="69"/>
        <v>1</v>
      </c>
      <c r="I726" t="str">
        <f t="shared" si="70"/>
        <v>2</v>
      </c>
      <c r="J726" t="str">
        <f t="shared" ca="1" si="71"/>
        <v/>
      </c>
    </row>
    <row r="727" spans="1:10" ht="37.5" x14ac:dyDescent="0.25">
      <c r="A727" s="3" t="s">
        <v>1865</v>
      </c>
      <c r="B727">
        <f>IFERROR(COUNTIFS($A$1:A727,"Câu "&amp;"*")-MID(A727,5,FIND(".",A727,1)-5),0)</f>
        <v>0</v>
      </c>
      <c r="C727" t="b">
        <v>1</v>
      </c>
      <c r="E727" t="str">
        <f t="shared" si="66"/>
        <v>4</v>
      </c>
      <c r="F727" t="str">
        <f t="shared" si="67"/>
        <v>Câu 175.</v>
      </c>
      <c r="G727" t="str">
        <f t="shared" si="68"/>
        <v>1</v>
      </c>
      <c r="H727" t="str">
        <f t="shared" si="69"/>
        <v>2</v>
      </c>
      <c r="I727" t="str">
        <f t="shared" si="70"/>
        <v>3</v>
      </c>
      <c r="J727" t="str">
        <f t="shared" ca="1" si="71"/>
        <v/>
      </c>
    </row>
    <row r="728" spans="1:10" ht="356.25" x14ac:dyDescent="0.25">
      <c r="A728" s="4" t="s">
        <v>616</v>
      </c>
      <c r="B728">
        <f>IFERROR(COUNTIFS($A$1:A728,"Câu "&amp;"*")-MID(A728,5,FIND(".",A728,1)-5),0)</f>
        <v>0</v>
      </c>
      <c r="C728" t="b">
        <v>0</v>
      </c>
      <c r="E728" t="str">
        <f t="shared" si="66"/>
        <v>Câu 175.</v>
      </c>
      <c r="F728" t="str">
        <f t="shared" si="67"/>
        <v>1</v>
      </c>
      <c r="G728" t="str">
        <f t="shared" si="68"/>
        <v>2</v>
      </c>
      <c r="H728" t="str">
        <f t="shared" si="69"/>
        <v>3</v>
      </c>
      <c r="I728" t="str">
        <f t="shared" si="70"/>
        <v>4</v>
      </c>
      <c r="J728" t="str">
        <f t="shared" ca="1" si="71"/>
        <v>4</v>
      </c>
    </row>
    <row r="729" spans="1:10" ht="168.75" x14ac:dyDescent="0.25">
      <c r="A729" s="3" t="s">
        <v>2263</v>
      </c>
      <c r="B729">
        <f>IFERROR(COUNTIFS($A$1:A729,"Câu "&amp;"*")-MID(A729,5,FIND(".",A729,1)-5),0)</f>
        <v>0</v>
      </c>
      <c r="C729" t="b">
        <v>0</v>
      </c>
      <c r="E729" t="str">
        <f t="shared" si="66"/>
        <v>1</v>
      </c>
      <c r="F729" t="str">
        <f t="shared" si="67"/>
        <v>2</v>
      </c>
      <c r="G729" t="str">
        <f t="shared" si="68"/>
        <v>3</v>
      </c>
      <c r="H729" t="str">
        <f t="shared" si="69"/>
        <v>4</v>
      </c>
      <c r="I729" t="str">
        <f t="shared" si="70"/>
        <v/>
      </c>
      <c r="J729" t="str">
        <f t="shared" ca="1" si="71"/>
        <v/>
      </c>
    </row>
    <row r="730" spans="1:10" ht="206.25" x14ac:dyDescent="0.25">
      <c r="A730" s="3" t="s">
        <v>2264</v>
      </c>
      <c r="B730">
        <f>IFERROR(COUNTIFS($A$1:A730,"Câu "&amp;"*")-MID(A730,5,FIND(".",A730,1)-5),0)</f>
        <v>0</v>
      </c>
      <c r="C730" t="b">
        <v>0</v>
      </c>
      <c r="E730" t="str">
        <f t="shared" si="66"/>
        <v>2</v>
      </c>
      <c r="F730" t="str">
        <f t="shared" si="67"/>
        <v>3</v>
      </c>
      <c r="G730" t="str">
        <f t="shared" si="68"/>
        <v>4</v>
      </c>
      <c r="H730" t="str">
        <f t="shared" si="69"/>
        <v/>
      </c>
      <c r="I730" t="str">
        <f t="shared" si="70"/>
        <v>1</v>
      </c>
      <c r="J730" t="str">
        <f t="shared" ca="1" si="71"/>
        <v/>
      </c>
    </row>
    <row r="731" spans="1:10" ht="409.5" x14ac:dyDescent="0.25">
      <c r="A731" s="3" t="s">
        <v>2265</v>
      </c>
      <c r="B731">
        <f>IFERROR(COUNTIFS($A$1:A731,"Câu "&amp;"*")-MID(A731,5,FIND(".",A731,1)-5),0)</f>
        <v>0</v>
      </c>
      <c r="C731" t="b">
        <v>0</v>
      </c>
      <c r="E731" t="str">
        <f t="shared" si="66"/>
        <v>3</v>
      </c>
      <c r="F731" t="str">
        <f t="shared" si="67"/>
        <v>4</v>
      </c>
      <c r="G731" t="str">
        <f t="shared" si="68"/>
        <v>Câu 176.</v>
      </c>
      <c r="H731" t="str">
        <f t="shared" si="69"/>
        <v>1</v>
      </c>
      <c r="I731" t="str">
        <f t="shared" si="70"/>
        <v>2</v>
      </c>
      <c r="J731" t="str">
        <f t="shared" ca="1" si="71"/>
        <v/>
      </c>
    </row>
    <row r="732" spans="1:10" ht="37.5" x14ac:dyDescent="0.25">
      <c r="A732" s="3" t="s">
        <v>1865</v>
      </c>
      <c r="B732">
        <f>IFERROR(COUNTIFS($A$1:A732,"Câu "&amp;"*")-MID(A732,5,FIND(".",A732,1)-5),0)</f>
        <v>0</v>
      </c>
      <c r="C732" t="b">
        <v>1</v>
      </c>
      <c r="E732" t="str">
        <f t="shared" si="66"/>
        <v>4</v>
      </c>
      <c r="F732" t="str">
        <f t="shared" si="67"/>
        <v>Câu 176.</v>
      </c>
      <c r="G732" t="str">
        <f t="shared" si="68"/>
        <v>1</v>
      </c>
      <c r="H732" t="str">
        <f t="shared" si="69"/>
        <v>2</v>
      </c>
      <c r="I732" t="str">
        <f t="shared" si="70"/>
        <v/>
      </c>
      <c r="J732" t="str">
        <f t="shared" ca="1" si="71"/>
        <v/>
      </c>
    </row>
    <row r="733" spans="1:10" ht="409.5" x14ac:dyDescent="0.25">
      <c r="A733" s="4" t="s">
        <v>620</v>
      </c>
      <c r="B733">
        <f>IFERROR(COUNTIFS($A$1:A733,"Câu "&amp;"*")-MID(A733,5,FIND(".",A733,1)-5),0)</f>
        <v>0</v>
      </c>
      <c r="C733" t="b">
        <v>0</v>
      </c>
      <c r="E733" t="str">
        <f t="shared" si="66"/>
        <v>Câu 176.</v>
      </c>
      <c r="F733" t="str">
        <f t="shared" si="67"/>
        <v>1</v>
      </c>
      <c r="G733" t="str">
        <f t="shared" si="68"/>
        <v>2</v>
      </c>
      <c r="H733" t="str">
        <f t="shared" si="69"/>
        <v/>
      </c>
      <c r="I733" t="str">
        <f t="shared" si="70"/>
        <v>1</v>
      </c>
      <c r="J733" t="str">
        <f t="shared" ca="1" si="71"/>
        <v>1</v>
      </c>
    </row>
    <row r="734" spans="1:10" ht="409.5" x14ac:dyDescent="0.25">
      <c r="A734" s="3" t="s">
        <v>2266</v>
      </c>
      <c r="B734">
        <f>IFERROR(COUNTIFS($A$1:A734,"Câu "&amp;"*")-MID(A734,5,FIND(".",A734,1)-5),0)</f>
        <v>0</v>
      </c>
      <c r="C734" t="b">
        <v>1</v>
      </c>
      <c r="E734" t="str">
        <f t="shared" si="66"/>
        <v>1</v>
      </c>
      <c r="F734" t="str">
        <f t="shared" si="67"/>
        <v>2</v>
      </c>
      <c r="G734" t="str">
        <f t="shared" si="68"/>
        <v>Câu 177.</v>
      </c>
      <c r="H734" t="str">
        <f t="shared" si="69"/>
        <v>1</v>
      </c>
      <c r="I734" t="str">
        <f t="shared" si="70"/>
        <v>2</v>
      </c>
      <c r="J734" t="str">
        <f t="shared" ca="1" si="71"/>
        <v/>
      </c>
    </row>
    <row r="735" spans="1:10" ht="243.75" x14ac:dyDescent="0.25">
      <c r="A735" s="3" t="s">
        <v>2267</v>
      </c>
      <c r="B735">
        <f>IFERROR(COUNTIFS($A$1:A735,"Câu "&amp;"*")-MID(A735,5,FIND(".",A735,1)-5),0)</f>
        <v>0</v>
      </c>
      <c r="C735" t="b">
        <v>0</v>
      </c>
      <c r="E735" t="str">
        <f t="shared" si="66"/>
        <v>2</v>
      </c>
      <c r="F735" t="str">
        <f t="shared" si="67"/>
        <v>Câu 177.</v>
      </c>
      <c r="G735" t="str">
        <f t="shared" si="68"/>
        <v>1</v>
      </c>
      <c r="H735" t="str">
        <f t="shared" si="69"/>
        <v>2</v>
      </c>
      <c r="I735" t="str">
        <f t="shared" si="70"/>
        <v>3</v>
      </c>
      <c r="J735" t="str">
        <f t="shared" ca="1" si="71"/>
        <v/>
      </c>
    </row>
    <row r="736" spans="1:10" ht="409.5" x14ac:dyDescent="0.25">
      <c r="A736" s="4" t="s">
        <v>623</v>
      </c>
      <c r="B736">
        <f>IFERROR(COUNTIFS($A$1:A736,"Câu "&amp;"*")-MID(A736,5,FIND(".",A736,1)-5),0)</f>
        <v>0</v>
      </c>
      <c r="C736" t="b">
        <v>0</v>
      </c>
      <c r="E736" t="str">
        <f t="shared" si="66"/>
        <v>Câu 177.</v>
      </c>
      <c r="F736" t="str">
        <f t="shared" si="67"/>
        <v>1</v>
      </c>
      <c r="G736" t="str">
        <f t="shared" si="68"/>
        <v>2</v>
      </c>
      <c r="H736" t="str">
        <f t="shared" si="69"/>
        <v>3</v>
      </c>
      <c r="I736" t="str">
        <f t="shared" si="70"/>
        <v>4</v>
      </c>
      <c r="J736" t="str">
        <f t="shared" ca="1" si="71"/>
        <v>4</v>
      </c>
    </row>
    <row r="737" spans="1:10" ht="409.5" x14ac:dyDescent="0.25">
      <c r="A737" s="3" t="s">
        <v>2268</v>
      </c>
      <c r="B737">
        <f>IFERROR(COUNTIFS($A$1:A737,"Câu "&amp;"*")-MID(A737,5,FIND(".",A737,1)-5),0)</f>
        <v>0</v>
      </c>
      <c r="C737" t="b">
        <v>0</v>
      </c>
      <c r="E737" t="str">
        <f t="shared" si="66"/>
        <v>1</v>
      </c>
      <c r="F737" t="str">
        <f t="shared" si="67"/>
        <v>2</v>
      </c>
      <c r="G737" t="str">
        <f t="shared" si="68"/>
        <v>3</v>
      </c>
      <c r="H737" t="str">
        <f t="shared" si="69"/>
        <v>4</v>
      </c>
      <c r="I737" t="str">
        <f t="shared" si="70"/>
        <v/>
      </c>
      <c r="J737" t="str">
        <f t="shared" ca="1" si="71"/>
        <v/>
      </c>
    </row>
    <row r="738" spans="1:10" ht="18.75" x14ac:dyDescent="0.25">
      <c r="A738" s="11" t="s">
        <v>2269</v>
      </c>
      <c r="B738">
        <f>IFERROR(COUNTIFS($A$1:A738,"Câu "&amp;"*")-MID(A738,5,FIND(".",A738,1)-5),0)</f>
        <v>0</v>
      </c>
      <c r="C738" t="b">
        <v>0</v>
      </c>
      <c r="E738" t="str">
        <f t="shared" si="66"/>
        <v>2</v>
      </c>
      <c r="F738" t="str">
        <f t="shared" si="67"/>
        <v>3</v>
      </c>
      <c r="G738" t="str">
        <f t="shared" si="68"/>
        <v>4</v>
      </c>
      <c r="H738" t="str">
        <f t="shared" si="69"/>
        <v/>
      </c>
      <c r="I738" t="str">
        <f t="shared" si="70"/>
        <v>1</v>
      </c>
      <c r="J738" t="str">
        <f t="shared" ca="1" si="71"/>
        <v/>
      </c>
    </row>
    <row r="739" spans="1:10" ht="18.75" x14ac:dyDescent="0.25">
      <c r="A739" s="11" t="s">
        <v>2270</v>
      </c>
      <c r="B739">
        <f>IFERROR(COUNTIFS($A$1:A739,"Câu "&amp;"*")-MID(A739,5,FIND(".",A739,1)-5),0)</f>
        <v>0</v>
      </c>
      <c r="C739" t="b">
        <v>0</v>
      </c>
      <c r="E739" t="str">
        <f t="shared" si="66"/>
        <v>3</v>
      </c>
      <c r="F739" t="str">
        <f t="shared" si="67"/>
        <v>4</v>
      </c>
      <c r="G739" t="str">
        <f t="shared" si="68"/>
        <v>Câu 178.</v>
      </c>
      <c r="H739" t="str">
        <f t="shared" si="69"/>
        <v>1</v>
      </c>
      <c r="I739" t="str">
        <f t="shared" si="70"/>
        <v>2</v>
      </c>
      <c r="J739" t="str">
        <f t="shared" ca="1" si="71"/>
        <v/>
      </c>
    </row>
    <row r="740" spans="1:10" ht="18.75" x14ac:dyDescent="0.25">
      <c r="A740" s="11" t="s">
        <v>1865</v>
      </c>
      <c r="B740">
        <f>IFERROR(COUNTIFS($A$1:A740,"Câu "&amp;"*")-MID(A740,5,FIND(".",A740,1)-5),0)</f>
        <v>0</v>
      </c>
      <c r="C740" t="b">
        <v>1</v>
      </c>
      <c r="E740" t="str">
        <f t="shared" si="66"/>
        <v>4</v>
      </c>
      <c r="F740" t="str">
        <f t="shared" si="67"/>
        <v>Câu 178.</v>
      </c>
      <c r="G740" t="str">
        <f t="shared" si="68"/>
        <v>1</v>
      </c>
      <c r="H740" t="str">
        <f t="shared" si="69"/>
        <v>2</v>
      </c>
      <c r="I740" t="str">
        <f t="shared" si="70"/>
        <v>3</v>
      </c>
      <c r="J740" t="str">
        <f t="shared" ca="1" si="71"/>
        <v/>
      </c>
    </row>
    <row r="741" spans="1:10" ht="409.5" x14ac:dyDescent="0.25">
      <c r="A741" s="4" t="s">
        <v>627</v>
      </c>
      <c r="B741">
        <f>IFERROR(COUNTIFS($A$1:A741,"Câu "&amp;"*")-MID(A741,5,FIND(".",A741,1)-5),0)</f>
        <v>0</v>
      </c>
      <c r="C741" t="b">
        <v>0</v>
      </c>
      <c r="E741" t="str">
        <f t="shared" si="66"/>
        <v>Câu 178.</v>
      </c>
      <c r="F741" t="str">
        <f t="shared" si="67"/>
        <v>1</v>
      </c>
      <c r="G741" t="str">
        <f t="shared" si="68"/>
        <v>2</v>
      </c>
      <c r="H741" t="str">
        <f t="shared" si="69"/>
        <v>3</v>
      </c>
      <c r="I741" t="str">
        <f t="shared" si="70"/>
        <v/>
      </c>
      <c r="J741" t="str">
        <f t="shared" ca="1" si="71"/>
        <v>3</v>
      </c>
    </row>
    <row r="742" spans="1:10" ht="18.75" x14ac:dyDescent="0.25">
      <c r="A742" s="11" t="s">
        <v>2271</v>
      </c>
      <c r="B742">
        <f>IFERROR(COUNTIFS($A$1:A742,"Câu "&amp;"*")-MID(A742,5,FIND(".",A742,1)-5),0)</f>
        <v>0</v>
      </c>
      <c r="C742" t="b">
        <v>0</v>
      </c>
      <c r="E742" t="str">
        <f t="shared" si="66"/>
        <v>1</v>
      </c>
      <c r="F742" t="str">
        <f t="shared" si="67"/>
        <v>2</v>
      </c>
      <c r="G742" t="str">
        <f t="shared" si="68"/>
        <v>3</v>
      </c>
      <c r="H742" t="str">
        <f t="shared" si="69"/>
        <v/>
      </c>
      <c r="I742" t="str">
        <f t="shared" si="70"/>
        <v>1</v>
      </c>
      <c r="J742" t="str">
        <f t="shared" ca="1" si="71"/>
        <v/>
      </c>
    </row>
    <row r="743" spans="1:10" ht="18.75" x14ac:dyDescent="0.25">
      <c r="A743" s="11" t="s">
        <v>2272</v>
      </c>
      <c r="B743">
        <f>IFERROR(COUNTIFS($A$1:A743,"Câu "&amp;"*")-MID(A743,5,FIND(".",A743,1)-5),0)</f>
        <v>0</v>
      </c>
      <c r="C743" t="b">
        <v>0</v>
      </c>
      <c r="E743" t="str">
        <f t="shared" si="66"/>
        <v>2</v>
      </c>
      <c r="F743" t="str">
        <f t="shared" si="67"/>
        <v>3</v>
      </c>
      <c r="G743" t="str">
        <f t="shared" si="68"/>
        <v>Câu 179.</v>
      </c>
      <c r="H743" t="str">
        <f t="shared" si="69"/>
        <v>1</v>
      </c>
      <c r="I743" t="str">
        <f t="shared" si="70"/>
        <v>2</v>
      </c>
      <c r="J743" t="str">
        <f t="shared" ca="1" si="71"/>
        <v/>
      </c>
    </row>
    <row r="744" spans="1:10" ht="18.75" x14ac:dyDescent="0.25">
      <c r="A744" s="11" t="s">
        <v>2273</v>
      </c>
      <c r="B744">
        <f>IFERROR(COUNTIFS($A$1:A744,"Câu "&amp;"*")-MID(A744,5,FIND(".",A744,1)-5),0)</f>
        <v>0</v>
      </c>
      <c r="C744" t="b">
        <v>1</v>
      </c>
      <c r="E744" t="str">
        <f t="shared" si="66"/>
        <v>3</v>
      </c>
      <c r="F744" t="str">
        <f t="shared" si="67"/>
        <v>Câu 179.</v>
      </c>
      <c r="G744" t="str">
        <f t="shared" si="68"/>
        <v>1</v>
      </c>
      <c r="H744" t="str">
        <f t="shared" si="69"/>
        <v>2</v>
      </c>
      <c r="I744" t="str">
        <f t="shared" si="70"/>
        <v/>
      </c>
      <c r="J744" t="str">
        <f t="shared" ca="1" si="71"/>
        <v/>
      </c>
    </row>
    <row r="745" spans="1:10" ht="18.75" x14ac:dyDescent="0.25">
      <c r="A745" s="10" t="s">
        <v>630</v>
      </c>
      <c r="B745">
        <f>IFERROR(COUNTIFS($A$1:A745,"Câu "&amp;"*")-MID(A745,5,FIND(".",A745,1)-5),0)</f>
        <v>0</v>
      </c>
      <c r="C745" t="b">
        <v>0</v>
      </c>
      <c r="E745" t="str">
        <f t="shared" si="66"/>
        <v>Câu 179.</v>
      </c>
      <c r="F745" t="str">
        <f t="shared" si="67"/>
        <v>1</v>
      </c>
      <c r="G745" t="str">
        <f t="shared" si="68"/>
        <v>2</v>
      </c>
      <c r="H745" t="str">
        <f t="shared" si="69"/>
        <v/>
      </c>
      <c r="I745" t="str">
        <f t="shared" si="70"/>
        <v>1</v>
      </c>
      <c r="J745" t="str">
        <f t="shared" ca="1" si="71"/>
        <v>1</v>
      </c>
    </row>
    <row r="746" spans="1:10" ht="409.5" x14ac:dyDescent="0.25">
      <c r="A746" s="3" t="s">
        <v>2274</v>
      </c>
      <c r="B746">
        <f>IFERROR(COUNTIFS($A$1:A746,"Câu "&amp;"*")-MID(A746,5,FIND(".",A746,1)-5),0)</f>
        <v>0</v>
      </c>
      <c r="C746" t="b">
        <v>1</v>
      </c>
      <c r="E746" t="str">
        <f t="shared" si="66"/>
        <v>1</v>
      </c>
      <c r="F746" t="str">
        <f t="shared" si="67"/>
        <v>2</v>
      </c>
      <c r="G746" t="str">
        <f t="shared" si="68"/>
        <v>Câu 180.</v>
      </c>
      <c r="H746" t="str">
        <f t="shared" si="69"/>
        <v>1</v>
      </c>
      <c r="I746" t="str">
        <f t="shared" si="70"/>
        <v>2</v>
      </c>
      <c r="J746" t="str">
        <f t="shared" ca="1" si="71"/>
        <v/>
      </c>
    </row>
    <row r="747" spans="1:10" ht="409.5" x14ac:dyDescent="0.25">
      <c r="A747" s="3" t="s">
        <v>2275</v>
      </c>
      <c r="B747">
        <f>IFERROR(COUNTIFS($A$1:A747,"Câu "&amp;"*")-MID(A747,5,FIND(".",A747,1)-5),0)</f>
        <v>0</v>
      </c>
      <c r="C747" t="b">
        <v>0</v>
      </c>
      <c r="E747" t="str">
        <f t="shared" si="66"/>
        <v>2</v>
      </c>
      <c r="F747" t="str">
        <f t="shared" si="67"/>
        <v>Câu 180.</v>
      </c>
      <c r="G747" t="str">
        <f t="shared" si="68"/>
        <v>1</v>
      </c>
      <c r="H747" t="str">
        <f t="shared" si="69"/>
        <v>2</v>
      </c>
      <c r="I747" t="str">
        <f t="shared" si="70"/>
        <v>3</v>
      </c>
      <c r="J747" t="str">
        <f t="shared" ca="1" si="71"/>
        <v/>
      </c>
    </row>
    <row r="748" spans="1:10" ht="318.75" x14ac:dyDescent="0.25">
      <c r="A748" s="4" t="s">
        <v>633</v>
      </c>
      <c r="B748">
        <f>IFERROR(COUNTIFS($A$1:A748,"Câu "&amp;"*")-MID(A748,5,FIND(".",A748,1)-5),0)</f>
        <v>0</v>
      </c>
      <c r="C748" t="b">
        <v>0</v>
      </c>
      <c r="E748" t="str">
        <f t="shared" si="66"/>
        <v>Câu 180.</v>
      </c>
      <c r="F748" t="str">
        <f t="shared" si="67"/>
        <v>1</v>
      </c>
      <c r="G748" t="str">
        <f t="shared" si="68"/>
        <v>2</v>
      </c>
      <c r="H748" t="str">
        <f t="shared" si="69"/>
        <v>3</v>
      </c>
      <c r="I748" t="str">
        <f t="shared" si="70"/>
        <v>C</v>
      </c>
      <c r="J748" t="str">
        <f t="shared" ca="1" si="71"/>
        <v>3</v>
      </c>
    </row>
    <row r="749" spans="1:10" ht="409.5" x14ac:dyDescent="0.25">
      <c r="A749" s="3" t="s">
        <v>2276</v>
      </c>
      <c r="B749">
        <f>IFERROR(COUNTIFS($A$1:A749,"Câu "&amp;"*")-MID(A749,5,FIND(".",A749,1)-5),0)</f>
        <v>0</v>
      </c>
      <c r="C749" t="b">
        <v>0</v>
      </c>
      <c r="E749" t="str">
        <f t="shared" si="66"/>
        <v>1</v>
      </c>
      <c r="F749" t="str">
        <f t="shared" si="67"/>
        <v>2</v>
      </c>
      <c r="G749" t="str">
        <f t="shared" si="68"/>
        <v>3</v>
      </c>
      <c r="H749" t="str">
        <f t="shared" si="69"/>
        <v>C</v>
      </c>
      <c r="I749" t="str">
        <f t="shared" si="70"/>
        <v/>
      </c>
      <c r="J749" t="str">
        <f t="shared" ca="1" si="71"/>
        <v/>
      </c>
    </row>
    <row r="750" spans="1:10" ht="409.5" x14ac:dyDescent="0.25">
      <c r="A750" s="3" t="s">
        <v>2277</v>
      </c>
      <c r="B750">
        <f>IFERROR(COUNTIFS($A$1:A750,"Câu "&amp;"*")-MID(A750,5,FIND(".",A750,1)-5),0)</f>
        <v>0</v>
      </c>
      <c r="C750" t="b">
        <v>0</v>
      </c>
      <c r="E750" t="str">
        <f t="shared" si="66"/>
        <v>2</v>
      </c>
      <c r="F750" t="str">
        <f t="shared" si="67"/>
        <v>3</v>
      </c>
      <c r="G750" t="str">
        <f t="shared" si="68"/>
        <v>C</v>
      </c>
      <c r="H750" t="str">
        <f t="shared" si="69"/>
        <v/>
      </c>
      <c r="I750" t="str">
        <f t="shared" si="70"/>
        <v>1</v>
      </c>
      <c r="J750" t="str">
        <f t="shared" ca="1" si="71"/>
        <v/>
      </c>
    </row>
    <row r="751" spans="1:10" ht="37.5" x14ac:dyDescent="0.25">
      <c r="A751" s="3" t="s">
        <v>2273</v>
      </c>
      <c r="B751">
        <f>IFERROR(COUNTIFS($A$1:A751,"Câu "&amp;"*")-MID(A751,5,FIND(".",A751,1)-5),0)</f>
        <v>0</v>
      </c>
      <c r="C751" t="b">
        <v>1</v>
      </c>
      <c r="E751" t="str">
        <f t="shared" si="66"/>
        <v>3</v>
      </c>
      <c r="F751" t="str">
        <f t="shared" si="67"/>
        <v>C</v>
      </c>
      <c r="G751" t="str">
        <f t="shared" si="68"/>
        <v>Câu 181.</v>
      </c>
      <c r="H751" t="str">
        <f t="shared" si="69"/>
        <v>1</v>
      </c>
      <c r="I751" t="str">
        <f t="shared" si="70"/>
        <v>2</v>
      </c>
      <c r="J751" t="str">
        <f t="shared" ca="1" si="71"/>
        <v/>
      </c>
    </row>
    <row r="752" spans="1:10" ht="18.75" x14ac:dyDescent="0.25">
      <c r="A752" s="10" t="s">
        <v>636</v>
      </c>
      <c r="B752">
        <f>IFERROR(COUNTIFS($A$1:A752,"Câu "&amp;"*")-MID(A752,5,FIND(".",A752,1)-5),0)</f>
        <v>0</v>
      </c>
      <c r="C752" t="b">
        <v>0</v>
      </c>
      <c r="E752" t="str">
        <f t="shared" si="66"/>
        <v>C</v>
      </c>
      <c r="F752" t="str">
        <f t="shared" si="67"/>
        <v>Câu 181.</v>
      </c>
      <c r="G752" t="str">
        <f t="shared" si="68"/>
        <v>1</v>
      </c>
      <c r="H752" t="str">
        <f t="shared" si="69"/>
        <v>2</v>
      </c>
      <c r="I752" t="str">
        <f t="shared" si="70"/>
        <v>3</v>
      </c>
      <c r="J752" t="str">
        <f t="shared" ca="1" si="71"/>
        <v/>
      </c>
    </row>
    <row r="753" spans="1:10" ht="409.5" x14ac:dyDescent="0.25">
      <c r="A753" s="4" t="s">
        <v>637</v>
      </c>
      <c r="B753">
        <f>IFERROR(COUNTIFS($A$1:A753,"Câu "&amp;"*")-MID(A753,5,FIND(".",A753,1)-5),0)</f>
        <v>0</v>
      </c>
      <c r="C753" t="b">
        <v>0</v>
      </c>
      <c r="E753" t="str">
        <f t="shared" si="66"/>
        <v>Câu 181.</v>
      </c>
      <c r="F753" t="str">
        <f t="shared" si="67"/>
        <v>1</v>
      </c>
      <c r="G753" t="str">
        <f t="shared" si="68"/>
        <v>2</v>
      </c>
      <c r="H753" t="str">
        <f t="shared" si="69"/>
        <v>3</v>
      </c>
      <c r="I753" t="str">
        <f t="shared" si="70"/>
        <v/>
      </c>
      <c r="J753" t="str">
        <f t="shared" ca="1" si="71"/>
        <v>1</v>
      </c>
    </row>
    <row r="754" spans="1:10" ht="409.5" x14ac:dyDescent="0.25">
      <c r="A754" s="3" t="s">
        <v>2278</v>
      </c>
      <c r="B754">
        <f>IFERROR(COUNTIFS($A$1:A754,"Câu "&amp;"*")-MID(A754,5,FIND(".",A754,1)-5),0)</f>
        <v>0</v>
      </c>
      <c r="C754" t="b">
        <v>1</v>
      </c>
      <c r="E754" t="str">
        <f t="shared" si="66"/>
        <v>1</v>
      </c>
      <c r="F754" t="str">
        <f t="shared" si="67"/>
        <v>2</v>
      </c>
      <c r="G754" t="str">
        <f t="shared" si="68"/>
        <v>3</v>
      </c>
      <c r="H754" t="str">
        <f t="shared" si="69"/>
        <v/>
      </c>
      <c r="I754" t="str">
        <f t="shared" si="70"/>
        <v>1</v>
      </c>
      <c r="J754" t="str">
        <f t="shared" ca="1" si="71"/>
        <v/>
      </c>
    </row>
    <row r="755" spans="1:10" ht="112.5" x14ac:dyDescent="0.25">
      <c r="A755" s="3" t="s">
        <v>2279</v>
      </c>
      <c r="B755">
        <f>IFERROR(COUNTIFS($A$1:A755,"Câu "&amp;"*")-MID(A755,5,FIND(".",A755,1)-5),0)</f>
        <v>0</v>
      </c>
      <c r="C755" t="b">
        <v>0</v>
      </c>
      <c r="E755" t="str">
        <f t="shared" si="66"/>
        <v>2</v>
      </c>
      <c r="F755" t="str">
        <f t="shared" si="67"/>
        <v>3</v>
      </c>
      <c r="G755" t="str">
        <f t="shared" si="68"/>
        <v>Câu 182.</v>
      </c>
      <c r="H755" t="str">
        <f t="shared" si="69"/>
        <v>1</v>
      </c>
      <c r="I755" t="str">
        <f t="shared" si="70"/>
        <v>2</v>
      </c>
      <c r="J755" t="str">
        <f t="shared" ca="1" si="71"/>
        <v/>
      </c>
    </row>
    <row r="756" spans="1:10" ht="37.5" x14ac:dyDescent="0.25">
      <c r="A756" s="3" t="s">
        <v>1814</v>
      </c>
      <c r="B756">
        <f>IFERROR(COUNTIFS($A$1:A756,"Câu "&amp;"*")-MID(A756,5,FIND(".",A756,1)-5),0)</f>
        <v>0</v>
      </c>
      <c r="C756" t="b">
        <v>0</v>
      </c>
      <c r="E756" t="str">
        <f t="shared" si="66"/>
        <v>3</v>
      </c>
      <c r="F756" t="str">
        <f t="shared" si="67"/>
        <v>Câu 182.</v>
      </c>
      <c r="G756" t="str">
        <f t="shared" si="68"/>
        <v>1</v>
      </c>
      <c r="H756" t="str">
        <f t="shared" si="69"/>
        <v>2</v>
      </c>
      <c r="I756" t="str">
        <f t="shared" si="70"/>
        <v>3</v>
      </c>
      <c r="J756" t="str">
        <f t="shared" ca="1" si="71"/>
        <v/>
      </c>
    </row>
    <row r="757" spans="1:10" ht="225" x14ac:dyDescent="0.25">
      <c r="A757" s="4" t="s">
        <v>640</v>
      </c>
      <c r="B757">
        <f>IFERROR(COUNTIFS($A$1:A757,"Câu "&amp;"*")-MID(A757,5,FIND(".",A757,1)-5),0)</f>
        <v>0</v>
      </c>
      <c r="C757" t="b">
        <v>0</v>
      </c>
      <c r="E757" t="str">
        <f t="shared" si="66"/>
        <v>Câu 182.</v>
      </c>
      <c r="F757" t="str">
        <f t="shared" si="67"/>
        <v>1</v>
      </c>
      <c r="G757" t="str">
        <f t="shared" si="68"/>
        <v>2</v>
      </c>
      <c r="H757" t="str">
        <f t="shared" si="69"/>
        <v>3</v>
      </c>
      <c r="I757" t="str">
        <f t="shared" si="70"/>
        <v>4</v>
      </c>
      <c r="J757" t="str">
        <f t="shared" ca="1" si="71"/>
        <v>1</v>
      </c>
    </row>
    <row r="758" spans="1:10" ht="18.75" x14ac:dyDescent="0.25">
      <c r="A758" s="11" t="s">
        <v>2280</v>
      </c>
      <c r="B758">
        <f>IFERROR(COUNTIFS($A$1:A758,"Câu "&amp;"*")-MID(A758,5,FIND(".",A758,1)-5),0)</f>
        <v>0</v>
      </c>
      <c r="C758" t="b">
        <v>1</v>
      </c>
      <c r="E758" t="str">
        <f t="shared" si="66"/>
        <v>1</v>
      </c>
      <c r="F758" t="str">
        <f t="shared" si="67"/>
        <v>2</v>
      </c>
      <c r="G758" t="str">
        <f t="shared" si="68"/>
        <v>3</v>
      </c>
      <c r="H758" t="str">
        <f t="shared" si="69"/>
        <v>4</v>
      </c>
      <c r="I758" t="str">
        <f t="shared" si="70"/>
        <v/>
      </c>
      <c r="J758" t="str">
        <f t="shared" ca="1" si="71"/>
        <v/>
      </c>
    </row>
    <row r="759" spans="1:10" ht="18.75" x14ac:dyDescent="0.25">
      <c r="A759" s="11" t="s">
        <v>2281</v>
      </c>
      <c r="B759">
        <f>IFERROR(COUNTIFS($A$1:A759,"Câu "&amp;"*")-MID(A759,5,FIND(".",A759,1)-5),0)</f>
        <v>0</v>
      </c>
      <c r="C759" t="b">
        <v>0</v>
      </c>
      <c r="E759" t="str">
        <f t="shared" si="66"/>
        <v>2</v>
      </c>
      <c r="F759" t="str">
        <f t="shared" si="67"/>
        <v>3</v>
      </c>
      <c r="G759" t="str">
        <f t="shared" si="68"/>
        <v>4</v>
      </c>
      <c r="H759" t="str">
        <f t="shared" si="69"/>
        <v/>
      </c>
      <c r="I759" t="str">
        <f t="shared" si="70"/>
        <v>1</v>
      </c>
      <c r="J759" t="str">
        <f t="shared" ca="1" si="71"/>
        <v/>
      </c>
    </row>
    <row r="760" spans="1:10" ht="18.75" x14ac:dyDescent="0.25">
      <c r="A760" s="11" t="s">
        <v>2282</v>
      </c>
      <c r="B760">
        <f>IFERROR(COUNTIFS($A$1:A760,"Câu "&amp;"*")-MID(A760,5,FIND(".",A760,1)-5),0)</f>
        <v>0</v>
      </c>
      <c r="C760" t="b">
        <v>0</v>
      </c>
      <c r="E760" t="str">
        <f t="shared" si="66"/>
        <v>3</v>
      </c>
      <c r="F760" t="str">
        <f t="shared" si="67"/>
        <v>4</v>
      </c>
      <c r="G760" t="str">
        <f t="shared" si="68"/>
        <v>Câu 183.</v>
      </c>
      <c r="H760" t="str">
        <f t="shared" si="69"/>
        <v>1</v>
      </c>
      <c r="I760" t="str">
        <f t="shared" si="70"/>
        <v>2</v>
      </c>
      <c r="J760" t="str">
        <f t="shared" ca="1" si="71"/>
        <v/>
      </c>
    </row>
    <row r="761" spans="1:10" ht="18.75" x14ac:dyDescent="0.25">
      <c r="A761" s="11" t="s">
        <v>2283</v>
      </c>
      <c r="B761">
        <f>IFERROR(COUNTIFS($A$1:A761,"Câu "&amp;"*")-MID(A761,5,FIND(".",A761,1)-5),0)</f>
        <v>0</v>
      </c>
      <c r="C761" t="b">
        <v>0</v>
      </c>
      <c r="E761" t="str">
        <f t="shared" si="66"/>
        <v>4</v>
      </c>
      <c r="F761" t="str">
        <f t="shared" si="67"/>
        <v>Câu 183.</v>
      </c>
      <c r="G761" t="str">
        <f t="shared" si="68"/>
        <v>1</v>
      </c>
      <c r="H761" t="str">
        <f t="shared" si="69"/>
        <v>2</v>
      </c>
      <c r="I761" t="str">
        <f t="shared" si="70"/>
        <v>3</v>
      </c>
      <c r="J761" t="str">
        <f t="shared" ca="1" si="71"/>
        <v/>
      </c>
    </row>
    <row r="762" spans="1:10" ht="18.75" x14ac:dyDescent="0.25">
      <c r="A762" s="10" t="s">
        <v>645</v>
      </c>
      <c r="B762">
        <f>IFERROR(COUNTIFS($A$1:A762,"Câu "&amp;"*")-MID(A762,5,FIND(".",A762,1)-5),0)</f>
        <v>0</v>
      </c>
      <c r="C762" t="b">
        <v>0</v>
      </c>
      <c r="E762" t="str">
        <f t="shared" si="66"/>
        <v>Câu 183.</v>
      </c>
      <c r="F762" t="str">
        <f t="shared" si="67"/>
        <v>1</v>
      </c>
      <c r="G762" t="str">
        <f t="shared" si="68"/>
        <v>2</v>
      </c>
      <c r="H762" t="str">
        <f t="shared" si="69"/>
        <v>3</v>
      </c>
      <c r="I762" t="str">
        <f t="shared" si="70"/>
        <v/>
      </c>
      <c r="J762" t="str">
        <f t="shared" ca="1" si="71"/>
        <v>3</v>
      </c>
    </row>
    <row r="763" spans="1:10" ht="409.5" x14ac:dyDescent="0.25">
      <c r="A763" s="3" t="s">
        <v>2284</v>
      </c>
      <c r="B763">
        <f>IFERROR(COUNTIFS($A$1:A763,"Câu "&amp;"*")-MID(A763,5,FIND(".",A763,1)-5),0)</f>
        <v>0</v>
      </c>
      <c r="C763" t="b">
        <v>0</v>
      </c>
      <c r="E763" t="str">
        <f t="shared" si="66"/>
        <v>1</v>
      </c>
      <c r="F763" t="str">
        <f t="shared" si="67"/>
        <v>2</v>
      </c>
      <c r="G763" t="str">
        <f t="shared" si="68"/>
        <v>3</v>
      </c>
      <c r="H763" t="str">
        <f t="shared" si="69"/>
        <v/>
      </c>
      <c r="I763" t="str">
        <f t="shared" si="70"/>
        <v>1</v>
      </c>
      <c r="J763" t="str">
        <f t="shared" ca="1" si="71"/>
        <v/>
      </c>
    </row>
    <row r="764" spans="1:10" ht="409.5" x14ac:dyDescent="0.25">
      <c r="A764" s="3" t="s">
        <v>2285</v>
      </c>
      <c r="B764">
        <f>IFERROR(COUNTIFS($A$1:A764,"Câu "&amp;"*")-MID(A764,5,FIND(".",A764,1)-5),0)</f>
        <v>0</v>
      </c>
      <c r="C764" t="b">
        <v>0</v>
      </c>
      <c r="E764" t="str">
        <f t="shared" si="66"/>
        <v>2</v>
      </c>
      <c r="F764" t="str">
        <f t="shared" si="67"/>
        <v>3</v>
      </c>
      <c r="G764" t="str">
        <f t="shared" si="68"/>
        <v>Câu 184.</v>
      </c>
      <c r="H764" t="str">
        <f t="shared" si="69"/>
        <v>1</v>
      </c>
      <c r="I764" t="str">
        <f t="shared" si="70"/>
        <v>2</v>
      </c>
      <c r="J764" t="str">
        <f t="shared" ca="1" si="71"/>
        <v/>
      </c>
    </row>
    <row r="765" spans="1:10" ht="37.5" x14ac:dyDescent="0.25">
      <c r="A765" s="3" t="s">
        <v>1825</v>
      </c>
      <c r="B765">
        <f>IFERROR(COUNTIFS($A$1:A765,"Câu "&amp;"*")-MID(A765,5,FIND(".",A765,1)-5),0)</f>
        <v>0</v>
      </c>
      <c r="C765" t="b">
        <v>1</v>
      </c>
      <c r="E765" t="str">
        <f t="shared" si="66"/>
        <v>3</v>
      </c>
      <c r="F765" t="str">
        <f t="shared" si="67"/>
        <v>Câu 184.</v>
      </c>
      <c r="G765" t="str">
        <f t="shared" si="68"/>
        <v>1</v>
      </c>
      <c r="H765" t="str">
        <f t="shared" si="69"/>
        <v>2</v>
      </c>
      <c r="I765" t="str">
        <f t="shared" si="70"/>
        <v>3</v>
      </c>
      <c r="J765" t="str">
        <f t="shared" ca="1" si="71"/>
        <v/>
      </c>
    </row>
    <row r="766" spans="1:10" ht="318.75" x14ac:dyDescent="0.25">
      <c r="A766" s="4" t="s">
        <v>648</v>
      </c>
      <c r="B766">
        <f>IFERROR(COUNTIFS($A$1:A766,"Câu "&amp;"*")-MID(A766,5,FIND(".",A766,1)-5),0)</f>
        <v>0</v>
      </c>
      <c r="C766" t="b">
        <v>0</v>
      </c>
      <c r="E766" t="str">
        <f t="shared" si="66"/>
        <v>Câu 184.</v>
      </c>
      <c r="F766" t="str">
        <f t="shared" si="67"/>
        <v>1</v>
      </c>
      <c r="G766" t="str">
        <f t="shared" si="68"/>
        <v>2</v>
      </c>
      <c r="H766" t="str">
        <f t="shared" si="69"/>
        <v>3</v>
      </c>
      <c r="I766" t="str">
        <f t="shared" si="70"/>
        <v/>
      </c>
      <c r="J766" t="str">
        <f t="shared" ca="1" si="71"/>
        <v>3</v>
      </c>
    </row>
    <row r="767" spans="1:10" ht="409.5" x14ac:dyDescent="0.25">
      <c r="A767" s="3" t="s">
        <v>2286</v>
      </c>
      <c r="B767">
        <f>IFERROR(COUNTIFS($A$1:A767,"Câu "&amp;"*")-MID(A767,5,FIND(".",A767,1)-5),0)</f>
        <v>0</v>
      </c>
      <c r="C767" t="b">
        <v>0</v>
      </c>
      <c r="E767" t="str">
        <f t="shared" si="66"/>
        <v>1</v>
      </c>
      <c r="F767" t="str">
        <f t="shared" si="67"/>
        <v>2</v>
      </c>
      <c r="G767" t="str">
        <f t="shared" si="68"/>
        <v>3</v>
      </c>
      <c r="H767" t="str">
        <f t="shared" si="69"/>
        <v/>
      </c>
      <c r="I767" t="str">
        <f t="shared" si="70"/>
        <v>1</v>
      </c>
      <c r="J767" t="str">
        <f t="shared" ca="1" si="71"/>
        <v/>
      </c>
    </row>
    <row r="768" spans="1:10" ht="409.5" x14ac:dyDescent="0.25">
      <c r="A768" s="3" t="s">
        <v>2287</v>
      </c>
      <c r="B768">
        <f>IFERROR(COUNTIFS($A$1:A768,"Câu "&amp;"*")-MID(A768,5,FIND(".",A768,1)-5),0)</f>
        <v>0</v>
      </c>
      <c r="C768" t="b">
        <v>0</v>
      </c>
      <c r="E768" t="str">
        <f t="shared" si="66"/>
        <v>2</v>
      </c>
      <c r="F768" t="str">
        <f t="shared" si="67"/>
        <v>3</v>
      </c>
      <c r="G768" t="str">
        <f t="shared" si="68"/>
        <v>Câu 185.</v>
      </c>
      <c r="H768" t="str">
        <f t="shared" si="69"/>
        <v>1</v>
      </c>
      <c r="I768" t="str">
        <f t="shared" si="70"/>
        <v>2</v>
      </c>
      <c r="J768" t="str">
        <f t="shared" ca="1" si="71"/>
        <v/>
      </c>
    </row>
    <row r="769" spans="1:10" ht="37.5" x14ac:dyDescent="0.25">
      <c r="A769" s="3" t="s">
        <v>1825</v>
      </c>
      <c r="B769">
        <f>IFERROR(COUNTIFS($A$1:A769,"Câu "&amp;"*")-MID(A769,5,FIND(".",A769,1)-5),0)</f>
        <v>0</v>
      </c>
      <c r="C769" t="b">
        <v>1</v>
      </c>
      <c r="E769" t="str">
        <f t="shared" si="66"/>
        <v>3</v>
      </c>
      <c r="F769" t="str">
        <f t="shared" si="67"/>
        <v>Câu 185.</v>
      </c>
      <c r="G769" t="str">
        <f t="shared" si="68"/>
        <v>1</v>
      </c>
      <c r="H769" t="str">
        <f t="shared" si="69"/>
        <v>2</v>
      </c>
      <c r="I769" t="str">
        <f t="shared" si="70"/>
        <v>3</v>
      </c>
      <c r="J769" t="str">
        <f t="shared" ca="1" si="71"/>
        <v/>
      </c>
    </row>
    <row r="770" spans="1:10" ht="225" x14ac:dyDescent="0.25">
      <c r="A770" s="4" t="s">
        <v>651</v>
      </c>
      <c r="B770">
        <f>IFERROR(COUNTIFS($A$1:A770,"Câu "&amp;"*")-MID(A770,5,FIND(".",A770,1)-5),0)</f>
        <v>0</v>
      </c>
      <c r="C770" t="b">
        <v>0</v>
      </c>
      <c r="E770" t="str">
        <f t="shared" si="66"/>
        <v>Câu 185.</v>
      </c>
      <c r="F770" t="str">
        <f t="shared" si="67"/>
        <v>1</v>
      </c>
      <c r="G770" t="str">
        <f t="shared" si="68"/>
        <v>2</v>
      </c>
      <c r="H770" t="str">
        <f t="shared" si="69"/>
        <v>3</v>
      </c>
      <c r="I770" t="str">
        <f t="shared" si="70"/>
        <v/>
      </c>
      <c r="J770" t="str">
        <f t="shared" ca="1" si="71"/>
        <v>3</v>
      </c>
    </row>
    <row r="771" spans="1:10" ht="18.75" x14ac:dyDescent="0.25">
      <c r="A771" s="11" t="s">
        <v>2288</v>
      </c>
      <c r="B771">
        <f>IFERROR(COUNTIFS($A$1:A771,"Câu "&amp;"*")-MID(A771,5,FIND(".",A771,1)-5),0)</f>
        <v>0</v>
      </c>
      <c r="C771" t="b">
        <v>0</v>
      </c>
      <c r="E771" t="str">
        <f t="shared" ref="E771:E834" si="72">IF(LEFT(A771,3)="Câu",LEFT(A771,FIND(".",A771,1)),LEFT(A771,1))</f>
        <v>1</v>
      </c>
      <c r="F771" t="str">
        <f t="shared" ref="F771:F834" si="73">IF(LEFT(A772,3)="Câu",LEFT(A772,FIND(".",A772,1)),LEFT(A772,1))</f>
        <v>2</v>
      </c>
      <c r="G771" t="str">
        <f t="shared" ref="G771:G834" si="74">IF(LEFT(A773,3)="Câu",LEFT(A773,FIND(".",A773,1)),LEFT(A773,1))</f>
        <v>3</v>
      </c>
      <c r="H771" t="str">
        <f t="shared" ref="H771:H834" si="75">IF(LEFT(A774,3)="Câu","",LEFT(A774,1))</f>
        <v/>
      </c>
      <c r="I771" t="str">
        <f t="shared" ref="I771:I834" si="76">IF(LEFT(A775,3)="Câu","",LEFT(A775,1))</f>
        <v>1</v>
      </c>
      <c r="J771" t="str">
        <f t="shared" ref="J771:J834" ca="1" si="77">IFERROR(VLOOKUP(TRUE,INDIRECT("C"&amp;MATCH(E771,$E$1:$E$2471,0)&amp;":E"&amp;MATCH("Câu "&amp;VALUE(MID(E771,5,LEN(E771)-5))+1&amp;".",$E$1:$E$2471,0)),3,0),"")</f>
        <v/>
      </c>
    </row>
    <row r="772" spans="1:10" ht="18.75" x14ac:dyDescent="0.25">
      <c r="A772" s="11" t="s">
        <v>2289</v>
      </c>
      <c r="B772">
        <f>IFERROR(COUNTIFS($A$1:A772,"Câu "&amp;"*")-MID(A772,5,FIND(".",A772,1)-5),0)</f>
        <v>0</v>
      </c>
      <c r="C772" t="b">
        <v>0</v>
      </c>
      <c r="E772" t="str">
        <f t="shared" si="72"/>
        <v>2</v>
      </c>
      <c r="F772" t="str">
        <f t="shared" si="73"/>
        <v>3</v>
      </c>
      <c r="G772" t="str">
        <f t="shared" si="74"/>
        <v>Câu 186.</v>
      </c>
      <c r="H772" t="str">
        <f t="shared" si="75"/>
        <v>1</v>
      </c>
      <c r="I772" t="str">
        <f t="shared" si="76"/>
        <v>2</v>
      </c>
      <c r="J772" t="str">
        <f t="shared" ca="1" si="77"/>
        <v/>
      </c>
    </row>
    <row r="773" spans="1:10" ht="18.75" x14ac:dyDescent="0.25">
      <c r="A773" s="11" t="s">
        <v>1825</v>
      </c>
      <c r="B773">
        <f>IFERROR(COUNTIFS($A$1:A773,"Câu "&amp;"*")-MID(A773,5,FIND(".",A773,1)-5),0)</f>
        <v>0</v>
      </c>
      <c r="C773" t="b">
        <v>1</v>
      </c>
      <c r="E773" t="str">
        <f t="shared" si="72"/>
        <v>3</v>
      </c>
      <c r="F773" t="str">
        <f t="shared" si="73"/>
        <v>Câu 186.</v>
      </c>
      <c r="G773" t="str">
        <f t="shared" si="74"/>
        <v>1</v>
      </c>
      <c r="H773" t="str">
        <f t="shared" si="75"/>
        <v>2</v>
      </c>
      <c r="I773" t="str">
        <f t="shared" si="76"/>
        <v>3</v>
      </c>
      <c r="J773" t="str">
        <f t="shared" ca="1" si="77"/>
        <v/>
      </c>
    </row>
    <row r="774" spans="1:10" ht="409.5" x14ac:dyDescent="0.25">
      <c r="A774" s="4" t="s">
        <v>654</v>
      </c>
      <c r="B774">
        <f>IFERROR(COUNTIFS($A$1:A774,"Câu "&amp;"*")-MID(A774,5,FIND(".",A774,1)-5),0)</f>
        <v>0</v>
      </c>
      <c r="C774" t="b">
        <v>0</v>
      </c>
      <c r="E774" t="str">
        <f t="shared" si="72"/>
        <v>Câu 186.</v>
      </c>
      <c r="F774" t="str">
        <f t="shared" si="73"/>
        <v>1</v>
      </c>
      <c r="G774" t="str">
        <f t="shared" si="74"/>
        <v>2</v>
      </c>
      <c r="H774" t="str">
        <f t="shared" si="75"/>
        <v>3</v>
      </c>
      <c r="I774" t="str">
        <f t="shared" si="76"/>
        <v/>
      </c>
      <c r="J774" t="str">
        <f t="shared" ca="1" si="77"/>
        <v>2</v>
      </c>
    </row>
    <row r="775" spans="1:10" ht="18.75" x14ac:dyDescent="0.25">
      <c r="A775" s="11" t="s">
        <v>2290</v>
      </c>
      <c r="B775">
        <f>IFERROR(COUNTIFS($A$1:A775,"Câu "&amp;"*")-MID(A775,5,FIND(".",A775,1)-5),0)</f>
        <v>0</v>
      </c>
      <c r="C775" t="b">
        <v>0</v>
      </c>
      <c r="E775" t="str">
        <f t="shared" si="72"/>
        <v>1</v>
      </c>
      <c r="F775" t="str">
        <f t="shared" si="73"/>
        <v>2</v>
      </c>
      <c r="G775" t="str">
        <f t="shared" si="74"/>
        <v>3</v>
      </c>
      <c r="H775" t="str">
        <f t="shared" si="75"/>
        <v/>
      </c>
      <c r="I775" t="str">
        <f t="shared" si="76"/>
        <v>1</v>
      </c>
      <c r="J775" t="str">
        <f t="shared" ca="1" si="77"/>
        <v/>
      </c>
    </row>
    <row r="776" spans="1:10" ht="18.75" x14ac:dyDescent="0.25">
      <c r="A776" s="11" t="s">
        <v>2291</v>
      </c>
      <c r="B776">
        <f>IFERROR(COUNTIFS($A$1:A776,"Câu "&amp;"*")-MID(A776,5,FIND(".",A776,1)-5),0)</f>
        <v>0</v>
      </c>
      <c r="C776" t="b">
        <v>1</v>
      </c>
      <c r="E776" t="str">
        <f t="shared" si="72"/>
        <v>2</v>
      </c>
      <c r="F776" t="str">
        <f t="shared" si="73"/>
        <v>3</v>
      </c>
      <c r="G776" t="str">
        <f t="shared" si="74"/>
        <v>Câu 187.</v>
      </c>
      <c r="H776" t="str">
        <f t="shared" si="75"/>
        <v>1</v>
      </c>
      <c r="I776" t="str">
        <f t="shared" si="76"/>
        <v>2</v>
      </c>
      <c r="J776" t="str">
        <f t="shared" ca="1" si="77"/>
        <v/>
      </c>
    </row>
    <row r="777" spans="1:10" ht="18.75" x14ac:dyDescent="0.25">
      <c r="A777" s="11" t="s">
        <v>3064</v>
      </c>
      <c r="B777">
        <f>IFERROR(COUNTIFS($A$1:A777,"Câu "&amp;"*")-MID(A777,5,FIND(".",A777,1)-5),0)</f>
        <v>0</v>
      </c>
      <c r="C777" t="b">
        <v>0</v>
      </c>
      <c r="E777" t="str">
        <f t="shared" si="72"/>
        <v>3</v>
      </c>
      <c r="F777" t="str">
        <f t="shared" si="73"/>
        <v>Câu 187.</v>
      </c>
      <c r="G777" t="str">
        <f t="shared" si="74"/>
        <v>1</v>
      </c>
      <c r="H777" t="str">
        <f t="shared" si="75"/>
        <v>2</v>
      </c>
      <c r="I777" t="str">
        <f t="shared" si="76"/>
        <v/>
      </c>
      <c r="J777" t="str">
        <f t="shared" ca="1" si="77"/>
        <v/>
      </c>
    </row>
    <row r="778" spans="1:10" ht="18.75" x14ac:dyDescent="0.25">
      <c r="A778" s="10" t="s">
        <v>1753</v>
      </c>
      <c r="B778">
        <f>IFERROR(COUNTIFS($A$1:A778,"Câu "&amp;"*")-MID(A778,5,FIND(".",A778,1)-5),0)</f>
        <v>0</v>
      </c>
      <c r="C778" t="b">
        <v>0</v>
      </c>
      <c r="E778" t="str">
        <f t="shared" si="72"/>
        <v>Câu 187.</v>
      </c>
      <c r="F778" t="str">
        <f t="shared" si="73"/>
        <v>1</v>
      </c>
      <c r="G778" t="str">
        <f t="shared" si="74"/>
        <v>2</v>
      </c>
      <c r="H778" t="str">
        <f t="shared" si="75"/>
        <v/>
      </c>
      <c r="I778" t="str">
        <f t="shared" si="76"/>
        <v>1</v>
      </c>
      <c r="J778" t="str">
        <f t="shared" ca="1" si="77"/>
        <v>1</v>
      </c>
    </row>
    <row r="779" spans="1:10" ht="18.75" x14ac:dyDescent="0.25">
      <c r="A779" s="11" t="s">
        <v>2292</v>
      </c>
      <c r="B779">
        <f>IFERROR(COUNTIFS($A$1:A779,"Câu "&amp;"*")-MID(A779,5,FIND(".",A779,1)-5),0)</f>
        <v>0</v>
      </c>
      <c r="C779" t="b">
        <v>1</v>
      </c>
      <c r="E779" t="str">
        <f t="shared" si="72"/>
        <v>1</v>
      </c>
      <c r="F779" t="str">
        <f t="shared" si="73"/>
        <v>2</v>
      </c>
      <c r="G779" t="str">
        <f t="shared" si="74"/>
        <v>Câu 188.</v>
      </c>
      <c r="H779" t="str">
        <f t="shared" si="75"/>
        <v>1</v>
      </c>
      <c r="I779" t="str">
        <f t="shared" si="76"/>
        <v>2</v>
      </c>
      <c r="J779" t="str">
        <f t="shared" ca="1" si="77"/>
        <v/>
      </c>
    </row>
    <row r="780" spans="1:10" ht="18.75" x14ac:dyDescent="0.25">
      <c r="A780" s="11" t="s">
        <v>2293</v>
      </c>
      <c r="B780">
        <f>IFERROR(COUNTIFS($A$1:A780,"Câu "&amp;"*")-MID(A780,5,FIND(".",A780,1)-5),0)</f>
        <v>0</v>
      </c>
      <c r="C780" t="b">
        <v>0</v>
      </c>
      <c r="E780" t="str">
        <f t="shared" si="72"/>
        <v>2</v>
      </c>
      <c r="F780" t="str">
        <f t="shared" si="73"/>
        <v>Câu 188.</v>
      </c>
      <c r="G780" t="str">
        <f t="shared" si="74"/>
        <v>1</v>
      </c>
      <c r="H780" t="str">
        <f t="shared" si="75"/>
        <v>2</v>
      </c>
      <c r="I780" t="str">
        <f t="shared" si="76"/>
        <v/>
      </c>
      <c r="J780" t="str">
        <f t="shared" ca="1" si="77"/>
        <v/>
      </c>
    </row>
    <row r="781" spans="1:10" ht="409.5" x14ac:dyDescent="0.25">
      <c r="A781" s="4" t="s">
        <v>659</v>
      </c>
      <c r="B781">
        <f>IFERROR(COUNTIFS($A$1:A781,"Câu "&amp;"*")-MID(A781,5,FIND(".",A781,1)-5),0)</f>
        <v>0</v>
      </c>
      <c r="C781" t="b">
        <v>0</v>
      </c>
      <c r="E781" t="str">
        <f t="shared" si="72"/>
        <v>Câu 188.</v>
      </c>
      <c r="F781" t="str">
        <f t="shared" si="73"/>
        <v>1</v>
      </c>
      <c r="G781" t="str">
        <f t="shared" si="74"/>
        <v>2</v>
      </c>
      <c r="H781" t="str">
        <f t="shared" si="75"/>
        <v/>
      </c>
      <c r="I781" t="str">
        <f t="shared" si="76"/>
        <v>1</v>
      </c>
      <c r="J781" t="str">
        <f t="shared" ca="1" si="77"/>
        <v>2</v>
      </c>
    </row>
    <row r="782" spans="1:10" ht="75" x14ac:dyDescent="0.25">
      <c r="A782" s="3" t="s">
        <v>2294</v>
      </c>
      <c r="B782">
        <f>IFERROR(COUNTIFS($A$1:A782,"Câu "&amp;"*")-MID(A782,5,FIND(".",A782,1)-5),0)</f>
        <v>0</v>
      </c>
      <c r="C782" t="b">
        <v>0</v>
      </c>
      <c r="E782" t="str">
        <f t="shared" si="72"/>
        <v>1</v>
      </c>
      <c r="F782" t="str">
        <f t="shared" si="73"/>
        <v>2</v>
      </c>
      <c r="G782" t="str">
        <f t="shared" si="74"/>
        <v>Câu 189.</v>
      </c>
      <c r="H782" t="str">
        <f t="shared" si="75"/>
        <v>1</v>
      </c>
      <c r="I782" t="str">
        <f t="shared" si="76"/>
        <v>2</v>
      </c>
      <c r="J782" t="str">
        <f t="shared" ca="1" si="77"/>
        <v/>
      </c>
    </row>
    <row r="783" spans="1:10" ht="150" x14ac:dyDescent="0.25">
      <c r="A783" s="3" t="s">
        <v>2295</v>
      </c>
      <c r="B783">
        <f>IFERROR(COUNTIFS($A$1:A783,"Câu "&amp;"*")-MID(A783,5,FIND(".",A783,1)-5),0)</f>
        <v>0</v>
      </c>
      <c r="C783" t="b">
        <v>1</v>
      </c>
      <c r="E783" t="str">
        <f t="shared" si="72"/>
        <v>2</v>
      </c>
      <c r="F783" t="str">
        <f t="shared" si="73"/>
        <v>Câu 189.</v>
      </c>
      <c r="G783" t="str">
        <f t="shared" si="74"/>
        <v>1</v>
      </c>
      <c r="H783" t="str">
        <f t="shared" si="75"/>
        <v>2</v>
      </c>
      <c r="I783" t="str">
        <f t="shared" si="76"/>
        <v/>
      </c>
      <c r="J783" t="str">
        <f t="shared" ca="1" si="77"/>
        <v/>
      </c>
    </row>
    <row r="784" spans="1:10" ht="356.25" x14ac:dyDescent="0.25">
      <c r="A784" s="4" t="s">
        <v>662</v>
      </c>
      <c r="B784">
        <f>IFERROR(COUNTIFS($A$1:A784,"Câu "&amp;"*")-MID(A784,5,FIND(".",A784,1)-5),0)</f>
        <v>0</v>
      </c>
      <c r="C784" t="b">
        <v>0</v>
      </c>
      <c r="E784" t="str">
        <f t="shared" si="72"/>
        <v>Câu 189.</v>
      </c>
      <c r="F784" t="str">
        <f t="shared" si="73"/>
        <v>1</v>
      </c>
      <c r="G784" t="str">
        <f t="shared" si="74"/>
        <v>2</v>
      </c>
      <c r="H784" t="str">
        <f t="shared" si="75"/>
        <v/>
      </c>
      <c r="I784" t="str">
        <f t="shared" si="76"/>
        <v>1</v>
      </c>
      <c r="J784" t="str">
        <f t="shared" ca="1" si="77"/>
        <v>1</v>
      </c>
    </row>
    <row r="785" spans="1:10" ht="409.5" x14ac:dyDescent="0.25">
      <c r="A785" s="3" t="s">
        <v>2296</v>
      </c>
      <c r="B785">
        <f>IFERROR(COUNTIFS($A$1:A785,"Câu "&amp;"*")-MID(A785,5,FIND(".",A785,1)-5),0)</f>
        <v>0</v>
      </c>
      <c r="C785" t="b">
        <v>1</v>
      </c>
      <c r="E785" t="str">
        <f t="shared" si="72"/>
        <v>1</v>
      </c>
      <c r="F785" t="str">
        <f t="shared" si="73"/>
        <v>2</v>
      </c>
      <c r="G785" t="str">
        <f t="shared" si="74"/>
        <v>Câu 190.</v>
      </c>
      <c r="H785" t="str">
        <f t="shared" si="75"/>
        <v>1</v>
      </c>
      <c r="I785" t="str">
        <f t="shared" si="76"/>
        <v>2</v>
      </c>
      <c r="J785" t="str">
        <f t="shared" ca="1" si="77"/>
        <v/>
      </c>
    </row>
    <row r="786" spans="1:10" ht="131.25" x14ac:dyDescent="0.25">
      <c r="A786" s="3" t="s">
        <v>2297</v>
      </c>
      <c r="B786">
        <f>IFERROR(COUNTIFS($A$1:A786,"Câu "&amp;"*")-MID(A786,5,FIND(".",A786,1)-5),0)</f>
        <v>0</v>
      </c>
      <c r="C786" t="b">
        <v>0</v>
      </c>
      <c r="E786" t="str">
        <f t="shared" si="72"/>
        <v>2</v>
      </c>
      <c r="F786" t="str">
        <f t="shared" si="73"/>
        <v>Câu 190.</v>
      </c>
      <c r="G786" t="str">
        <f t="shared" si="74"/>
        <v>1</v>
      </c>
      <c r="H786" t="str">
        <f t="shared" si="75"/>
        <v>2</v>
      </c>
      <c r="I786" t="str">
        <f t="shared" si="76"/>
        <v/>
      </c>
      <c r="J786" t="str">
        <f t="shared" ca="1" si="77"/>
        <v/>
      </c>
    </row>
    <row r="787" spans="1:10" ht="337.5" x14ac:dyDescent="0.25">
      <c r="A787" s="4" t="s">
        <v>665</v>
      </c>
      <c r="B787">
        <f>IFERROR(COUNTIFS($A$1:A787,"Câu "&amp;"*")-MID(A787,5,FIND(".",A787,1)-5),0)</f>
        <v>0</v>
      </c>
      <c r="C787" t="b">
        <v>0</v>
      </c>
      <c r="E787" t="str">
        <f t="shared" si="72"/>
        <v>Câu 190.</v>
      </c>
      <c r="F787" t="str">
        <f t="shared" si="73"/>
        <v>1</v>
      </c>
      <c r="G787" t="str">
        <f t="shared" si="74"/>
        <v>2</v>
      </c>
      <c r="H787" t="str">
        <f t="shared" si="75"/>
        <v/>
      </c>
      <c r="I787" t="str">
        <f t="shared" si="76"/>
        <v>1</v>
      </c>
      <c r="J787" t="str">
        <f t="shared" ca="1" si="77"/>
        <v>2</v>
      </c>
    </row>
    <row r="788" spans="1:10" ht="393.75" x14ac:dyDescent="0.25">
      <c r="A788" s="3" t="s">
        <v>2298</v>
      </c>
      <c r="B788">
        <f>IFERROR(COUNTIFS($A$1:A788,"Câu "&amp;"*")-MID(A788,5,FIND(".",A788,1)-5),0)</f>
        <v>0</v>
      </c>
      <c r="C788" t="b">
        <v>0</v>
      </c>
      <c r="E788" t="str">
        <f t="shared" si="72"/>
        <v>1</v>
      </c>
      <c r="F788" t="str">
        <f t="shared" si="73"/>
        <v>2</v>
      </c>
      <c r="G788" t="str">
        <f t="shared" si="74"/>
        <v>Câu 191.</v>
      </c>
      <c r="H788" t="str">
        <f t="shared" si="75"/>
        <v>1</v>
      </c>
      <c r="I788" t="str">
        <f t="shared" si="76"/>
        <v>2</v>
      </c>
      <c r="J788" t="str">
        <f t="shared" ca="1" si="77"/>
        <v/>
      </c>
    </row>
    <row r="789" spans="1:10" ht="409.5" x14ac:dyDescent="0.25">
      <c r="A789" s="3" t="s">
        <v>2299</v>
      </c>
      <c r="B789">
        <f>IFERROR(COUNTIFS($A$1:A789,"Câu "&amp;"*")-MID(A789,5,FIND(".",A789,1)-5),0)</f>
        <v>0</v>
      </c>
      <c r="C789" t="b">
        <v>1</v>
      </c>
      <c r="E789" t="str">
        <f t="shared" si="72"/>
        <v>2</v>
      </c>
      <c r="F789" t="str">
        <f t="shared" si="73"/>
        <v>Câu 191.</v>
      </c>
      <c r="G789" t="str">
        <f t="shared" si="74"/>
        <v>1</v>
      </c>
      <c r="H789" t="str">
        <f t="shared" si="75"/>
        <v>2</v>
      </c>
      <c r="I789" t="str">
        <f t="shared" si="76"/>
        <v>3</v>
      </c>
      <c r="J789" t="str">
        <f t="shared" ca="1" si="77"/>
        <v/>
      </c>
    </row>
    <row r="790" spans="1:10" ht="375" x14ac:dyDescent="0.25">
      <c r="A790" s="4" t="s">
        <v>668</v>
      </c>
      <c r="B790">
        <f>IFERROR(COUNTIFS($A$1:A790,"Câu "&amp;"*")-MID(A790,5,FIND(".",A790,1)-5),0)</f>
        <v>0</v>
      </c>
      <c r="C790" t="b">
        <v>0</v>
      </c>
      <c r="E790" t="str">
        <f t="shared" si="72"/>
        <v>Câu 191.</v>
      </c>
      <c r="F790" t="str">
        <f t="shared" si="73"/>
        <v>1</v>
      </c>
      <c r="G790" t="str">
        <f t="shared" si="74"/>
        <v>2</v>
      </c>
      <c r="H790" t="str">
        <f t="shared" si="75"/>
        <v>3</v>
      </c>
      <c r="I790" t="str">
        <f t="shared" si="76"/>
        <v/>
      </c>
      <c r="J790" t="str">
        <f t="shared" ca="1" si="77"/>
        <v>1</v>
      </c>
    </row>
    <row r="791" spans="1:10" ht="409.5" x14ac:dyDescent="0.25">
      <c r="A791" s="3" t="s">
        <v>2300</v>
      </c>
      <c r="B791">
        <f>IFERROR(COUNTIFS($A$1:A791,"Câu "&amp;"*")-MID(A791,5,FIND(".",A791,1)-5),0)</f>
        <v>0</v>
      </c>
      <c r="C791" t="b">
        <v>1</v>
      </c>
      <c r="E791" t="str">
        <f t="shared" si="72"/>
        <v>1</v>
      </c>
      <c r="F791" t="str">
        <f t="shared" si="73"/>
        <v>2</v>
      </c>
      <c r="G791" t="str">
        <f t="shared" si="74"/>
        <v>3</v>
      </c>
      <c r="H791" t="str">
        <f t="shared" si="75"/>
        <v/>
      </c>
      <c r="I791" t="str">
        <f t="shared" si="76"/>
        <v>1</v>
      </c>
      <c r="J791" t="str">
        <f t="shared" ca="1" si="77"/>
        <v/>
      </c>
    </row>
    <row r="792" spans="1:10" ht="225" x14ac:dyDescent="0.25">
      <c r="A792" s="3" t="s">
        <v>2301</v>
      </c>
      <c r="B792">
        <f>IFERROR(COUNTIFS($A$1:A792,"Câu "&amp;"*")-MID(A792,5,FIND(".",A792,1)-5),0)</f>
        <v>0</v>
      </c>
      <c r="C792" t="b">
        <v>0</v>
      </c>
      <c r="E792" t="str">
        <f t="shared" si="72"/>
        <v>2</v>
      </c>
      <c r="F792" t="str">
        <f t="shared" si="73"/>
        <v>3</v>
      </c>
      <c r="G792" t="str">
        <f t="shared" si="74"/>
        <v>Câu 192.</v>
      </c>
      <c r="H792" t="str">
        <f t="shared" si="75"/>
        <v>1</v>
      </c>
      <c r="I792" t="str">
        <f t="shared" si="76"/>
        <v>2</v>
      </c>
      <c r="J792" t="str">
        <f t="shared" ca="1" si="77"/>
        <v/>
      </c>
    </row>
    <row r="793" spans="1:10" ht="18.75" x14ac:dyDescent="0.25">
      <c r="A793" s="11" t="s">
        <v>3065</v>
      </c>
      <c r="B793">
        <f>IFERROR(COUNTIFS($A$1:A793,"Câu "&amp;"*")-MID(A793,5,FIND(".",A793,1)-5),0)</f>
        <v>0</v>
      </c>
      <c r="C793" t="b">
        <v>0</v>
      </c>
      <c r="E793" t="str">
        <f t="shared" si="72"/>
        <v>3</v>
      </c>
      <c r="F793" t="str">
        <f t="shared" si="73"/>
        <v>Câu 192.</v>
      </c>
      <c r="G793" t="str">
        <f t="shared" si="74"/>
        <v>1</v>
      </c>
      <c r="H793" t="str">
        <f t="shared" si="75"/>
        <v>2</v>
      </c>
      <c r="I793" t="str">
        <f t="shared" si="76"/>
        <v>3</v>
      </c>
      <c r="J793" t="str">
        <f t="shared" ca="1" si="77"/>
        <v/>
      </c>
    </row>
    <row r="794" spans="1:10" ht="18.75" x14ac:dyDescent="0.25">
      <c r="A794" s="10" t="s">
        <v>1755</v>
      </c>
      <c r="B794">
        <f>IFERROR(COUNTIFS($A$1:A794,"Câu "&amp;"*")-MID(A794,5,FIND(".",A794,1)-5),0)</f>
        <v>0</v>
      </c>
      <c r="C794" t="b">
        <v>0</v>
      </c>
      <c r="E794" t="str">
        <f t="shared" si="72"/>
        <v>Câu 192.</v>
      </c>
      <c r="F794" t="str">
        <f t="shared" si="73"/>
        <v>1</v>
      </c>
      <c r="G794" t="str">
        <f t="shared" si="74"/>
        <v>2</v>
      </c>
      <c r="H794" t="str">
        <f t="shared" si="75"/>
        <v>3</v>
      </c>
      <c r="I794" t="str">
        <f t="shared" si="76"/>
        <v/>
      </c>
      <c r="J794" t="str">
        <f t="shared" ca="1" si="77"/>
        <v>1</v>
      </c>
    </row>
    <row r="795" spans="1:10" ht="18.75" x14ac:dyDescent="0.25">
      <c r="A795" s="11" t="s">
        <v>2302</v>
      </c>
      <c r="B795">
        <f>IFERROR(COUNTIFS($A$1:A795,"Câu "&amp;"*")-MID(A795,5,FIND(".",A795,1)-5),0)</f>
        <v>0</v>
      </c>
      <c r="C795" t="b">
        <v>1</v>
      </c>
      <c r="E795" t="str">
        <f t="shared" si="72"/>
        <v>1</v>
      </c>
      <c r="F795" t="str">
        <f t="shared" si="73"/>
        <v>2</v>
      </c>
      <c r="G795" t="str">
        <f t="shared" si="74"/>
        <v>3</v>
      </c>
      <c r="H795" t="str">
        <f t="shared" si="75"/>
        <v/>
      </c>
      <c r="I795" t="str">
        <f t="shared" si="76"/>
        <v>1</v>
      </c>
      <c r="J795" t="str">
        <f t="shared" ca="1" si="77"/>
        <v/>
      </c>
    </row>
    <row r="796" spans="1:10" ht="18.75" x14ac:dyDescent="0.25">
      <c r="A796" s="11" t="s">
        <v>2303</v>
      </c>
      <c r="B796">
        <f>IFERROR(COUNTIFS($A$1:A796,"Câu "&amp;"*")-MID(A796,5,FIND(".",A796,1)-5),0)</f>
        <v>0</v>
      </c>
      <c r="C796" t="b">
        <v>0</v>
      </c>
      <c r="E796" t="str">
        <f t="shared" si="72"/>
        <v>2</v>
      </c>
      <c r="F796" t="str">
        <f t="shared" si="73"/>
        <v>3</v>
      </c>
      <c r="G796" t="str">
        <f t="shared" si="74"/>
        <v>Câu 193.</v>
      </c>
      <c r="H796" t="str">
        <f t="shared" si="75"/>
        <v>1</v>
      </c>
      <c r="I796" t="str">
        <f t="shared" si="76"/>
        <v>2</v>
      </c>
      <c r="J796" t="str">
        <f t="shared" ca="1" si="77"/>
        <v/>
      </c>
    </row>
    <row r="797" spans="1:10" ht="18.75" x14ac:dyDescent="0.25">
      <c r="A797" s="11" t="s">
        <v>2304</v>
      </c>
      <c r="B797">
        <f>IFERROR(COUNTIFS($A$1:A797,"Câu "&amp;"*")-MID(A797,5,FIND(".",A797,1)-5),0)</f>
        <v>0</v>
      </c>
      <c r="C797" t="b">
        <v>0</v>
      </c>
      <c r="E797" t="str">
        <f t="shared" si="72"/>
        <v>3</v>
      </c>
      <c r="F797" t="str">
        <f t="shared" si="73"/>
        <v>Câu 193.</v>
      </c>
      <c r="G797" t="str">
        <f t="shared" si="74"/>
        <v>1</v>
      </c>
      <c r="H797" t="str">
        <f t="shared" si="75"/>
        <v>2</v>
      </c>
      <c r="I797" t="str">
        <f t="shared" si="76"/>
        <v>3</v>
      </c>
      <c r="J797" t="str">
        <f t="shared" ca="1" si="77"/>
        <v/>
      </c>
    </row>
    <row r="798" spans="1:10" ht="18.75" x14ac:dyDescent="0.25">
      <c r="A798" s="10" t="s">
        <v>674</v>
      </c>
      <c r="B798">
        <f>IFERROR(COUNTIFS($A$1:A798,"Câu "&amp;"*")-MID(A798,5,FIND(".",A798,1)-5),0)</f>
        <v>0</v>
      </c>
      <c r="C798" t="b">
        <v>0</v>
      </c>
      <c r="E798" t="str">
        <f t="shared" si="72"/>
        <v>Câu 193.</v>
      </c>
      <c r="F798" t="str">
        <f t="shared" si="73"/>
        <v>1</v>
      </c>
      <c r="G798" t="str">
        <f t="shared" si="74"/>
        <v>2</v>
      </c>
      <c r="H798" t="str">
        <f t="shared" si="75"/>
        <v>3</v>
      </c>
      <c r="I798" t="str">
        <f t="shared" si="76"/>
        <v>4</v>
      </c>
      <c r="J798" t="str">
        <f t="shared" ca="1" si="77"/>
        <v>1</v>
      </c>
    </row>
    <row r="799" spans="1:10" ht="18.75" x14ac:dyDescent="0.25">
      <c r="A799" s="11" t="s">
        <v>2305</v>
      </c>
      <c r="B799">
        <f>IFERROR(COUNTIFS($A$1:A799,"Câu "&amp;"*")-MID(A799,5,FIND(".",A799,1)-5),0)</f>
        <v>0</v>
      </c>
      <c r="C799" t="b">
        <v>1</v>
      </c>
      <c r="E799" t="str">
        <f t="shared" si="72"/>
        <v>1</v>
      </c>
      <c r="F799" t="str">
        <f t="shared" si="73"/>
        <v>2</v>
      </c>
      <c r="G799" t="str">
        <f t="shared" si="74"/>
        <v>3</v>
      </c>
      <c r="H799" t="str">
        <f t="shared" si="75"/>
        <v>4</v>
      </c>
      <c r="I799" t="str">
        <f t="shared" si="76"/>
        <v/>
      </c>
      <c r="J799" t="str">
        <f t="shared" ca="1" si="77"/>
        <v/>
      </c>
    </row>
    <row r="800" spans="1:10" ht="18.75" x14ac:dyDescent="0.25">
      <c r="A800" s="11" t="s">
        <v>2306</v>
      </c>
      <c r="B800">
        <f>IFERROR(COUNTIFS($A$1:A800,"Câu "&amp;"*")-MID(A800,5,FIND(".",A800,1)-5),0)</f>
        <v>0</v>
      </c>
      <c r="C800" t="b">
        <v>0</v>
      </c>
      <c r="E800" t="str">
        <f t="shared" si="72"/>
        <v>2</v>
      </c>
      <c r="F800" t="str">
        <f t="shared" si="73"/>
        <v>3</v>
      </c>
      <c r="G800" t="str">
        <f t="shared" si="74"/>
        <v>4</v>
      </c>
      <c r="H800" t="str">
        <f t="shared" si="75"/>
        <v/>
      </c>
      <c r="I800" t="str">
        <f t="shared" si="76"/>
        <v>1</v>
      </c>
      <c r="J800" t="str">
        <f t="shared" ca="1" si="77"/>
        <v/>
      </c>
    </row>
    <row r="801" spans="1:10" ht="18.75" x14ac:dyDescent="0.25">
      <c r="A801" s="11" t="s">
        <v>2307</v>
      </c>
      <c r="B801">
        <f>IFERROR(COUNTIFS($A$1:A801,"Câu "&amp;"*")-MID(A801,5,FIND(".",A801,1)-5),0)</f>
        <v>0</v>
      </c>
      <c r="C801" t="b">
        <v>0</v>
      </c>
      <c r="E801" t="str">
        <f t="shared" si="72"/>
        <v>3</v>
      </c>
      <c r="F801" t="str">
        <f t="shared" si="73"/>
        <v>4</v>
      </c>
      <c r="G801" t="str">
        <f t="shared" si="74"/>
        <v>Câu 194.</v>
      </c>
      <c r="H801" t="str">
        <f t="shared" si="75"/>
        <v>1</v>
      </c>
      <c r="I801" t="str">
        <f t="shared" si="76"/>
        <v>2</v>
      </c>
      <c r="J801" t="str">
        <f t="shared" ca="1" si="77"/>
        <v/>
      </c>
    </row>
    <row r="802" spans="1:10" ht="18.75" x14ac:dyDescent="0.25">
      <c r="A802" s="11" t="s">
        <v>2308</v>
      </c>
      <c r="B802">
        <f>IFERROR(COUNTIFS($A$1:A802,"Câu "&amp;"*")-MID(A802,5,FIND(".",A802,1)-5),0)</f>
        <v>0</v>
      </c>
      <c r="C802" t="b">
        <v>0</v>
      </c>
      <c r="E802" t="str">
        <f t="shared" si="72"/>
        <v>4</v>
      </c>
      <c r="F802" t="str">
        <f t="shared" si="73"/>
        <v>Câu 194.</v>
      </c>
      <c r="G802" t="str">
        <f t="shared" si="74"/>
        <v>1</v>
      </c>
      <c r="H802" t="str">
        <f t="shared" si="75"/>
        <v>2</v>
      </c>
      <c r="I802" t="str">
        <f t="shared" si="76"/>
        <v>3</v>
      </c>
      <c r="J802" t="str">
        <f t="shared" ca="1" si="77"/>
        <v/>
      </c>
    </row>
    <row r="803" spans="1:10" ht="409.5" x14ac:dyDescent="0.25">
      <c r="A803" s="4" t="s">
        <v>679</v>
      </c>
      <c r="B803">
        <f>IFERROR(COUNTIFS($A$1:A803,"Câu "&amp;"*")-MID(A803,5,FIND(".",A803,1)-5),0)</f>
        <v>0</v>
      </c>
      <c r="C803" t="b">
        <v>0</v>
      </c>
      <c r="E803" t="str">
        <f t="shared" si="72"/>
        <v>Câu 194.</v>
      </c>
      <c r="F803" t="str">
        <f t="shared" si="73"/>
        <v>1</v>
      </c>
      <c r="G803" t="str">
        <f t="shared" si="74"/>
        <v>2</v>
      </c>
      <c r="H803" t="str">
        <f t="shared" si="75"/>
        <v>3</v>
      </c>
      <c r="I803" t="str">
        <f t="shared" si="76"/>
        <v>4</v>
      </c>
      <c r="J803" t="str">
        <f t="shared" ca="1" si="77"/>
        <v>4</v>
      </c>
    </row>
    <row r="804" spans="1:10" ht="409.5" x14ac:dyDescent="0.25">
      <c r="A804" s="3" t="s">
        <v>2309</v>
      </c>
      <c r="B804">
        <f>IFERROR(COUNTIFS($A$1:A804,"Câu "&amp;"*")-MID(A804,5,FIND(".",A804,1)-5),0)</f>
        <v>0</v>
      </c>
      <c r="C804" t="b">
        <v>0</v>
      </c>
      <c r="E804" t="str">
        <f t="shared" si="72"/>
        <v>1</v>
      </c>
      <c r="F804" t="str">
        <f t="shared" si="73"/>
        <v>2</v>
      </c>
      <c r="G804" t="str">
        <f t="shared" si="74"/>
        <v>3</v>
      </c>
      <c r="H804" t="str">
        <f t="shared" si="75"/>
        <v>4</v>
      </c>
      <c r="I804" t="str">
        <f t="shared" si="76"/>
        <v/>
      </c>
      <c r="J804" t="str">
        <f t="shared" ca="1" si="77"/>
        <v/>
      </c>
    </row>
    <row r="805" spans="1:10" ht="409.5" x14ac:dyDescent="0.25">
      <c r="A805" s="3" t="s">
        <v>2310</v>
      </c>
      <c r="B805">
        <f>IFERROR(COUNTIFS($A$1:A805,"Câu "&amp;"*")-MID(A805,5,FIND(".",A805,1)-5),0)</f>
        <v>0</v>
      </c>
      <c r="C805" t="b">
        <v>0</v>
      </c>
      <c r="E805" t="str">
        <f t="shared" si="72"/>
        <v>2</v>
      </c>
      <c r="F805" t="str">
        <f t="shared" si="73"/>
        <v>3</v>
      </c>
      <c r="G805" t="str">
        <f t="shared" si="74"/>
        <v>4</v>
      </c>
      <c r="H805" t="str">
        <f t="shared" si="75"/>
        <v/>
      </c>
      <c r="I805" t="str">
        <f t="shared" si="76"/>
        <v>1</v>
      </c>
      <c r="J805" t="str">
        <f t="shared" ca="1" si="77"/>
        <v/>
      </c>
    </row>
    <row r="806" spans="1:10" ht="409.5" x14ac:dyDescent="0.25">
      <c r="A806" s="3" t="s">
        <v>2311</v>
      </c>
      <c r="B806">
        <f>IFERROR(COUNTIFS($A$1:A806,"Câu "&amp;"*")-MID(A806,5,FIND(".",A806,1)-5),0)</f>
        <v>0</v>
      </c>
      <c r="C806" t="b">
        <v>0</v>
      </c>
      <c r="E806" t="str">
        <f t="shared" si="72"/>
        <v>3</v>
      </c>
      <c r="F806" t="str">
        <f t="shared" si="73"/>
        <v>4</v>
      </c>
      <c r="G806" t="str">
        <f t="shared" si="74"/>
        <v>Câu 195.</v>
      </c>
      <c r="H806" t="str">
        <f t="shared" si="75"/>
        <v>1</v>
      </c>
      <c r="I806" t="str">
        <f t="shared" si="76"/>
        <v>2</v>
      </c>
      <c r="J806" t="str">
        <f t="shared" ca="1" si="77"/>
        <v/>
      </c>
    </row>
    <row r="807" spans="1:10" ht="37.5" x14ac:dyDescent="0.25">
      <c r="A807" s="3" t="s">
        <v>1865</v>
      </c>
      <c r="B807">
        <f>IFERROR(COUNTIFS($A$1:A807,"Câu "&amp;"*")-MID(A807,5,FIND(".",A807,1)-5),0)</f>
        <v>0</v>
      </c>
      <c r="C807" t="b">
        <v>1</v>
      </c>
      <c r="E807" t="str">
        <f t="shared" si="72"/>
        <v>4</v>
      </c>
      <c r="F807" t="str">
        <f t="shared" si="73"/>
        <v>Câu 195.</v>
      </c>
      <c r="G807" t="str">
        <f t="shared" si="74"/>
        <v>1</v>
      </c>
      <c r="H807" t="str">
        <f t="shared" si="75"/>
        <v>2</v>
      </c>
      <c r="I807" t="str">
        <f t="shared" si="76"/>
        <v/>
      </c>
      <c r="J807" t="str">
        <f t="shared" ca="1" si="77"/>
        <v/>
      </c>
    </row>
    <row r="808" spans="1:10" ht="281.25" x14ac:dyDescent="0.25">
      <c r="A808" s="4" t="s">
        <v>683</v>
      </c>
      <c r="B808">
        <f>IFERROR(COUNTIFS($A$1:A808,"Câu "&amp;"*")-MID(A808,5,FIND(".",A808,1)-5),0)</f>
        <v>0</v>
      </c>
      <c r="C808" t="b">
        <v>0</v>
      </c>
      <c r="E808" t="str">
        <f t="shared" si="72"/>
        <v>Câu 195.</v>
      </c>
      <c r="F808" t="str">
        <f t="shared" si="73"/>
        <v>1</v>
      </c>
      <c r="G808" t="str">
        <f t="shared" si="74"/>
        <v>2</v>
      </c>
      <c r="H808" t="str">
        <f t="shared" si="75"/>
        <v/>
      </c>
      <c r="I808" t="str">
        <f t="shared" si="76"/>
        <v>1</v>
      </c>
      <c r="J808" t="str">
        <f t="shared" ca="1" si="77"/>
        <v>1</v>
      </c>
    </row>
    <row r="809" spans="1:10" ht="409.5" x14ac:dyDescent="0.25">
      <c r="A809" s="3" t="s">
        <v>2312</v>
      </c>
      <c r="B809">
        <f>IFERROR(COUNTIFS($A$1:A809,"Câu "&amp;"*")-MID(A809,5,FIND(".",A809,1)-5),0)</f>
        <v>0</v>
      </c>
      <c r="C809" t="b">
        <v>1</v>
      </c>
      <c r="E809" t="str">
        <f t="shared" si="72"/>
        <v>1</v>
      </c>
      <c r="F809" t="str">
        <f t="shared" si="73"/>
        <v>2</v>
      </c>
      <c r="G809" t="str">
        <f t="shared" si="74"/>
        <v>Câu 196.</v>
      </c>
      <c r="H809" t="str">
        <f t="shared" si="75"/>
        <v>1</v>
      </c>
      <c r="I809" t="str">
        <f t="shared" si="76"/>
        <v>2</v>
      </c>
      <c r="J809" t="str">
        <f t="shared" ca="1" si="77"/>
        <v/>
      </c>
    </row>
    <row r="810" spans="1:10" ht="262.5" x14ac:dyDescent="0.25">
      <c r="A810" s="3" t="s">
        <v>2313</v>
      </c>
      <c r="B810">
        <f>IFERROR(COUNTIFS($A$1:A810,"Câu "&amp;"*")-MID(A810,5,FIND(".",A810,1)-5),0)</f>
        <v>0</v>
      </c>
      <c r="C810" t="b">
        <v>0</v>
      </c>
      <c r="E810" t="str">
        <f t="shared" si="72"/>
        <v>2</v>
      </c>
      <c r="F810" t="str">
        <f t="shared" si="73"/>
        <v>Câu 196.</v>
      </c>
      <c r="G810" t="str">
        <f t="shared" si="74"/>
        <v>1</v>
      </c>
      <c r="H810" t="str">
        <f t="shared" si="75"/>
        <v>2</v>
      </c>
      <c r="I810" t="str">
        <f t="shared" si="76"/>
        <v/>
      </c>
      <c r="J810" t="str">
        <f t="shared" ca="1" si="77"/>
        <v/>
      </c>
    </row>
    <row r="811" spans="1:10" ht="409.5" x14ac:dyDescent="0.25">
      <c r="A811" s="4" t="s">
        <v>686</v>
      </c>
      <c r="B811">
        <f>IFERROR(COUNTIFS($A$1:A811,"Câu "&amp;"*")-MID(A811,5,FIND(".",A811,1)-5),0)</f>
        <v>0</v>
      </c>
      <c r="C811" t="b">
        <v>0</v>
      </c>
      <c r="E811" t="str">
        <f t="shared" si="72"/>
        <v>Câu 196.</v>
      </c>
      <c r="F811" t="str">
        <f t="shared" si="73"/>
        <v>1</v>
      </c>
      <c r="G811" t="str">
        <f t="shared" si="74"/>
        <v>2</v>
      </c>
      <c r="H811" t="str">
        <f t="shared" si="75"/>
        <v/>
      </c>
      <c r="I811" t="str">
        <f t="shared" si="76"/>
        <v>1</v>
      </c>
      <c r="J811" t="str">
        <f t="shared" ca="1" si="77"/>
        <v>1</v>
      </c>
    </row>
    <row r="812" spans="1:10" ht="281.25" x14ac:dyDescent="0.25">
      <c r="A812" s="3" t="s">
        <v>2314</v>
      </c>
      <c r="B812">
        <f>IFERROR(COUNTIFS($A$1:A812,"Câu "&amp;"*")-MID(A812,5,FIND(".",A812,1)-5),0)</f>
        <v>0</v>
      </c>
      <c r="C812" t="b">
        <v>1</v>
      </c>
      <c r="E812" t="str">
        <f t="shared" si="72"/>
        <v>1</v>
      </c>
      <c r="F812" t="str">
        <f t="shared" si="73"/>
        <v>2</v>
      </c>
      <c r="G812" t="str">
        <f t="shared" si="74"/>
        <v>Câu 197.</v>
      </c>
      <c r="H812" t="str">
        <f t="shared" si="75"/>
        <v>1</v>
      </c>
      <c r="I812" t="str">
        <f t="shared" si="76"/>
        <v>2</v>
      </c>
      <c r="J812" t="str">
        <f t="shared" ca="1" si="77"/>
        <v/>
      </c>
    </row>
    <row r="813" spans="1:10" ht="112.5" x14ac:dyDescent="0.25">
      <c r="A813" s="3" t="s">
        <v>2315</v>
      </c>
      <c r="B813">
        <f>IFERROR(COUNTIFS($A$1:A813,"Câu "&amp;"*")-MID(A813,5,FIND(".",A813,1)-5),0)</f>
        <v>0</v>
      </c>
      <c r="C813" t="b">
        <v>0</v>
      </c>
      <c r="E813" t="str">
        <f t="shared" si="72"/>
        <v>2</v>
      </c>
      <c r="F813" t="str">
        <f t="shared" si="73"/>
        <v>Câu 197.</v>
      </c>
      <c r="G813" t="str">
        <f t="shared" si="74"/>
        <v>1</v>
      </c>
      <c r="H813" t="str">
        <f t="shared" si="75"/>
        <v>2</v>
      </c>
      <c r="I813" t="str">
        <f t="shared" si="76"/>
        <v>3</v>
      </c>
      <c r="J813" t="str">
        <f t="shared" ca="1" si="77"/>
        <v/>
      </c>
    </row>
    <row r="814" spans="1:10" ht="409.5" x14ac:dyDescent="0.25">
      <c r="A814" s="4" t="s">
        <v>689</v>
      </c>
      <c r="B814">
        <f>IFERROR(COUNTIFS($A$1:A814,"Câu "&amp;"*")-MID(A814,5,FIND(".",A814,1)-5),0)</f>
        <v>0</v>
      </c>
      <c r="C814" t="b">
        <v>0</v>
      </c>
      <c r="E814" t="str">
        <f t="shared" si="72"/>
        <v>Câu 197.</v>
      </c>
      <c r="F814" t="str">
        <f t="shared" si="73"/>
        <v>1</v>
      </c>
      <c r="G814" t="str">
        <f t="shared" si="74"/>
        <v>2</v>
      </c>
      <c r="H814" t="str">
        <f t="shared" si="75"/>
        <v>3</v>
      </c>
      <c r="I814" t="str">
        <f t="shared" si="76"/>
        <v/>
      </c>
      <c r="J814" t="str">
        <f t="shared" ca="1" si="77"/>
        <v>3</v>
      </c>
    </row>
    <row r="815" spans="1:10" ht="18.75" x14ac:dyDescent="0.25">
      <c r="A815" s="11" t="s">
        <v>1872</v>
      </c>
      <c r="B815">
        <f>IFERROR(COUNTIFS($A$1:A815,"Câu "&amp;"*")-MID(A815,5,FIND(".",A815,1)-5),0)</f>
        <v>0</v>
      </c>
      <c r="C815" t="b">
        <v>0</v>
      </c>
      <c r="E815" t="str">
        <f t="shared" si="72"/>
        <v>1</v>
      </c>
      <c r="F815" t="str">
        <f t="shared" si="73"/>
        <v>2</v>
      </c>
      <c r="G815" t="str">
        <f t="shared" si="74"/>
        <v>3</v>
      </c>
      <c r="H815" t="str">
        <f t="shared" si="75"/>
        <v/>
      </c>
      <c r="I815" t="str">
        <f t="shared" si="76"/>
        <v>1</v>
      </c>
      <c r="J815" t="str">
        <f t="shared" ca="1" si="77"/>
        <v/>
      </c>
    </row>
    <row r="816" spans="1:10" ht="18.75" x14ac:dyDescent="0.25">
      <c r="A816" s="11" t="s">
        <v>2316</v>
      </c>
      <c r="B816">
        <f>IFERROR(COUNTIFS($A$1:A816,"Câu "&amp;"*")-MID(A816,5,FIND(".",A816,1)-5),0)</f>
        <v>0</v>
      </c>
      <c r="C816" t="b">
        <v>0</v>
      </c>
      <c r="E816" t="str">
        <f t="shared" si="72"/>
        <v>2</v>
      </c>
      <c r="F816" t="str">
        <f t="shared" si="73"/>
        <v>3</v>
      </c>
      <c r="G816" t="str">
        <f t="shared" si="74"/>
        <v>Câu 198.</v>
      </c>
      <c r="H816" t="str">
        <f t="shared" si="75"/>
        <v>1</v>
      </c>
      <c r="I816" t="str">
        <f t="shared" si="76"/>
        <v>2</v>
      </c>
      <c r="J816" t="str">
        <f t="shared" ca="1" si="77"/>
        <v/>
      </c>
    </row>
    <row r="817" spans="1:10" ht="18.75" x14ac:dyDescent="0.25">
      <c r="A817" s="11" t="s">
        <v>2317</v>
      </c>
      <c r="B817">
        <f>IFERROR(COUNTIFS($A$1:A817,"Câu "&amp;"*")-MID(A817,5,FIND(".",A817,1)-5),0)</f>
        <v>0</v>
      </c>
      <c r="C817" t="b">
        <v>1</v>
      </c>
      <c r="E817" t="str">
        <f t="shared" si="72"/>
        <v>3</v>
      </c>
      <c r="F817" t="str">
        <f t="shared" si="73"/>
        <v>Câu 198.</v>
      </c>
      <c r="G817" t="str">
        <f t="shared" si="74"/>
        <v>1</v>
      </c>
      <c r="H817" t="str">
        <f t="shared" si="75"/>
        <v>2</v>
      </c>
      <c r="I817" t="str">
        <f t="shared" si="76"/>
        <v>3</v>
      </c>
      <c r="J817" t="str">
        <f t="shared" ca="1" si="77"/>
        <v/>
      </c>
    </row>
    <row r="818" spans="1:10" ht="18.75" x14ac:dyDescent="0.25">
      <c r="A818" s="10" t="s">
        <v>691</v>
      </c>
      <c r="B818">
        <f>IFERROR(COUNTIFS($A$1:A818,"Câu "&amp;"*")-MID(A818,5,FIND(".",A818,1)-5),0)</f>
        <v>0</v>
      </c>
      <c r="C818" t="b">
        <v>0</v>
      </c>
      <c r="E818" t="str">
        <f t="shared" si="72"/>
        <v>Câu 198.</v>
      </c>
      <c r="F818" t="str">
        <f t="shared" si="73"/>
        <v>1</v>
      </c>
      <c r="G818" t="str">
        <f t="shared" si="74"/>
        <v>2</v>
      </c>
      <c r="H818" t="str">
        <f t="shared" si="75"/>
        <v>3</v>
      </c>
      <c r="I818" t="str">
        <f t="shared" si="76"/>
        <v>4</v>
      </c>
      <c r="J818" t="str">
        <f t="shared" ca="1" si="77"/>
        <v>1</v>
      </c>
    </row>
    <row r="819" spans="1:10" ht="18.75" x14ac:dyDescent="0.25">
      <c r="A819" s="11" t="s">
        <v>2318</v>
      </c>
      <c r="B819">
        <f>IFERROR(COUNTIFS($A$1:A819,"Câu "&amp;"*")-MID(A819,5,FIND(".",A819,1)-5),0)</f>
        <v>0</v>
      </c>
      <c r="C819" t="b">
        <v>1</v>
      </c>
      <c r="E819" t="str">
        <f t="shared" si="72"/>
        <v>1</v>
      </c>
      <c r="F819" t="str">
        <f t="shared" si="73"/>
        <v>2</v>
      </c>
      <c r="G819" t="str">
        <f t="shared" si="74"/>
        <v>3</v>
      </c>
      <c r="H819" t="str">
        <f t="shared" si="75"/>
        <v>4</v>
      </c>
      <c r="I819" t="str">
        <f t="shared" si="76"/>
        <v/>
      </c>
      <c r="J819" t="str">
        <f t="shared" ca="1" si="77"/>
        <v/>
      </c>
    </row>
    <row r="820" spans="1:10" ht="18.75" x14ac:dyDescent="0.25">
      <c r="A820" s="11" t="s">
        <v>2319</v>
      </c>
      <c r="B820">
        <f>IFERROR(COUNTIFS($A$1:A820,"Câu "&amp;"*")-MID(A820,5,FIND(".",A820,1)-5),0)</f>
        <v>0</v>
      </c>
      <c r="C820" t="b">
        <v>0</v>
      </c>
      <c r="E820" t="str">
        <f t="shared" si="72"/>
        <v>2</v>
      </c>
      <c r="F820" t="str">
        <f t="shared" si="73"/>
        <v>3</v>
      </c>
      <c r="G820" t="str">
        <f t="shared" si="74"/>
        <v>4</v>
      </c>
      <c r="H820" t="str">
        <f t="shared" si="75"/>
        <v/>
      </c>
      <c r="I820" t="str">
        <f t="shared" si="76"/>
        <v>1</v>
      </c>
      <c r="J820" t="str">
        <f t="shared" ca="1" si="77"/>
        <v/>
      </c>
    </row>
    <row r="821" spans="1:10" ht="18.75" x14ac:dyDescent="0.25">
      <c r="A821" s="11" t="s">
        <v>2320</v>
      </c>
      <c r="B821">
        <f>IFERROR(COUNTIFS($A$1:A821,"Câu "&amp;"*")-MID(A821,5,FIND(".",A821,1)-5),0)</f>
        <v>0</v>
      </c>
      <c r="C821" t="b">
        <v>0</v>
      </c>
      <c r="E821" t="str">
        <f t="shared" si="72"/>
        <v>3</v>
      </c>
      <c r="F821" t="str">
        <f t="shared" si="73"/>
        <v>4</v>
      </c>
      <c r="G821" t="str">
        <f t="shared" si="74"/>
        <v>Câu 199.</v>
      </c>
      <c r="H821" t="str">
        <f t="shared" si="75"/>
        <v>1</v>
      </c>
      <c r="I821" t="str">
        <f t="shared" si="76"/>
        <v>2</v>
      </c>
      <c r="J821" t="str">
        <f t="shared" ca="1" si="77"/>
        <v/>
      </c>
    </row>
    <row r="822" spans="1:10" ht="18.75" x14ac:dyDescent="0.25">
      <c r="A822" s="11" t="s">
        <v>2321</v>
      </c>
      <c r="B822">
        <f>IFERROR(COUNTIFS($A$1:A822,"Câu "&amp;"*")-MID(A822,5,FIND(".",A822,1)-5),0)</f>
        <v>0</v>
      </c>
      <c r="C822" t="b">
        <v>0</v>
      </c>
      <c r="E822" t="str">
        <f t="shared" si="72"/>
        <v>4</v>
      </c>
      <c r="F822" t="str">
        <f t="shared" si="73"/>
        <v>Câu 199.</v>
      </c>
      <c r="G822" t="str">
        <f t="shared" si="74"/>
        <v>1</v>
      </c>
      <c r="H822" t="str">
        <f t="shared" si="75"/>
        <v>2</v>
      </c>
      <c r="I822" t="str">
        <f t="shared" si="76"/>
        <v>3</v>
      </c>
      <c r="J822" t="str">
        <f t="shared" ca="1" si="77"/>
        <v/>
      </c>
    </row>
    <row r="823" spans="1:10" ht="18.75" x14ac:dyDescent="0.25">
      <c r="A823" s="10" t="s">
        <v>696</v>
      </c>
      <c r="B823">
        <f>IFERROR(COUNTIFS($A$1:A823,"Câu "&amp;"*")-MID(A823,5,FIND(".",A823,1)-5),0)</f>
        <v>0</v>
      </c>
      <c r="C823" t="b">
        <v>0</v>
      </c>
      <c r="E823" t="str">
        <f t="shared" si="72"/>
        <v>Câu 199.</v>
      </c>
      <c r="F823" t="str">
        <f t="shared" si="73"/>
        <v>1</v>
      </c>
      <c r="G823" t="str">
        <f t="shared" si="74"/>
        <v>2</v>
      </c>
      <c r="H823" t="str">
        <f t="shared" si="75"/>
        <v>3</v>
      </c>
      <c r="I823" t="str">
        <f t="shared" si="76"/>
        <v>4</v>
      </c>
      <c r="J823" t="str">
        <f t="shared" ca="1" si="77"/>
        <v>2</v>
      </c>
    </row>
    <row r="824" spans="1:10" ht="18.75" x14ac:dyDescent="0.25">
      <c r="A824" s="11" t="s">
        <v>2322</v>
      </c>
      <c r="B824">
        <f>IFERROR(COUNTIFS($A$1:A824,"Câu "&amp;"*")-MID(A824,5,FIND(".",A824,1)-5),0)</f>
        <v>0</v>
      </c>
      <c r="C824" t="b">
        <v>0</v>
      </c>
      <c r="E824" t="str">
        <f t="shared" si="72"/>
        <v>1</v>
      </c>
      <c r="F824" t="str">
        <f t="shared" si="73"/>
        <v>2</v>
      </c>
      <c r="G824" t="str">
        <f t="shared" si="74"/>
        <v>3</v>
      </c>
      <c r="H824" t="str">
        <f t="shared" si="75"/>
        <v>4</v>
      </c>
      <c r="I824" t="str">
        <f t="shared" si="76"/>
        <v/>
      </c>
      <c r="J824" t="str">
        <f t="shared" ca="1" si="77"/>
        <v/>
      </c>
    </row>
    <row r="825" spans="1:10" ht="18.75" x14ac:dyDescent="0.25">
      <c r="A825" s="11" t="s">
        <v>2323</v>
      </c>
      <c r="B825">
        <f>IFERROR(COUNTIFS($A$1:A825,"Câu "&amp;"*")-MID(A825,5,FIND(".",A825,1)-5),0)</f>
        <v>0</v>
      </c>
      <c r="C825" t="b">
        <v>1</v>
      </c>
      <c r="E825" t="str">
        <f t="shared" si="72"/>
        <v>2</v>
      </c>
      <c r="F825" t="str">
        <f t="shared" si="73"/>
        <v>3</v>
      </c>
      <c r="G825" t="str">
        <f t="shared" si="74"/>
        <v>4</v>
      </c>
      <c r="H825" t="str">
        <f t="shared" si="75"/>
        <v/>
      </c>
      <c r="I825" t="str">
        <f t="shared" si="76"/>
        <v>1</v>
      </c>
      <c r="J825" t="str">
        <f t="shared" ca="1" si="77"/>
        <v/>
      </c>
    </row>
    <row r="826" spans="1:10" ht="18.75" x14ac:dyDescent="0.25">
      <c r="A826" s="11" t="s">
        <v>2324</v>
      </c>
      <c r="B826">
        <f>IFERROR(COUNTIFS($A$1:A826,"Câu "&amp;"*")-MID(A826,5,FIND(".",A826,1)-5),0)</f>
        <v>0</v>
      </c>
      <c r="C826" t="b">
        <v>0</v>
      </c>
      <c r="E826" t="str">
        <f t="shared" si="72"/>
        <v>3</v>
      </c>
      <c r="F826" t="str">
        <f t="shared" si="73"/>
        <v>4</v>
      </c>
      <c r="G826" t="str">
        <f t="shared" si="74"/>
        <v>Câu 200.</v>
      </c>
      <c r="H826" t="str">
        <f t="shared" si="75"/>
        <v>1</v>
      </c>
      <c r="I826" t="str">
        <f t="shared" si="76"/>
        <v>2</v>
      </c>
      <c r="J826" t="str">
        <f t="shared" ca="1" si="77"/>
        <v/>
      </c>
    </row>
    <row r="827" spans="1:10" ht="18.75" x14ac:dyDescent="0.25">
      <c r="A827" s="11" t="s">
        <v>2325</v>
      </c>
      <c r="B827">
        <f>IFERROR(COUNTIFS($A$1:A827,"Câu "&amp;"*")-MID(A827,5,FIND(".",A827,1)-5),0)</f>
        <v>0</v>
      </c>
      <c r="C827" t="b">
        <v>0</v>
      </c>
      <c r="E827" t="str">
        <f t="shared" si="72"/>
        <v>4</v>
      </c>
      <c r="F827" t="str">
        <f t="shared" si="73"/>
        <v>Câu 200.</v>
      </c>
      <c r="G827" t="str">
        <f t="shared" si="74"/>
        <v>1</v>
      </c>
      <c r="H827" t="str">
        <f t="shared" si="75"/>
        <v>2</v>
      </c>
      <c r="I827" t="str">
        <f t="shared" si="76"/>
        <v>3</v>
      </c>
      <c r="J827" t="str">
        <f t="shared" ca="1" si="77"/>
        <v/>
      </c>
    </row>
    <row r="828" spans="1:10" ht="409.5" x14ac:dyDescent="0.25">
      <c r="A828" s="4" t="s">
        <v>701</v>
      </c>
      <c r="B828">
        <f>IFERROR(COUNTIFS($A$1:A828,"Câu "&amp;"*")-MID(A828,5,FIND(".",A828,1)-5),0)</f>
        <v>0</v>
      </c>
      <c r="C828" t="b">
        <v>0</v>
      </c>
      <c r="E828" t="str">
        <f t="shared" si="72"/>
        <v>Câu 200.</v>
      </c>
      <c r="F828" t="str">
        <f t="shared" si="73"/>
        <v>1</v>
      </c>
      <c r="G828" t="str">
        <f t="shared" si="74"/>
        <v>2</v>
      </c>
      <c r="H828" t="str">
        <f t="shared" si="75"/>
        <v>3</v>
      </c>
      <c r="I828" t="str">
        <f t="shared" si="76"/>
        <v/>
      </c>
      <c r="J828" t="str">
        <f t="shared" ca="1" si="77"/>
        <v>3</v>
      </c>
    </row>
    <row r="829" spans="1:10" ht="187.5" x14ac:dyDescent="0.25">
      <c r="A829" s="3" t="s">
        <v>2326</v>
      </c>
      <c r="B829">
        <f>IFERROR(COUNTIFS($A$1:A829,"Câu "&amp;"*")-MID(A829,5,FIND(".",A829,1)-5),0)</f>
        <v>0</v>
      </c>
      <c r="C829" t="b">
        <v>0</v>
      </c>
      <c r="E829" t="str">
        <f t="shared" si="72"/>
        <v>1</v>
      </c>
      <c r="F829" t="str">
        <f t="shared" si="73"/>
        <v>2</v>
      </c>
      <c r="G829" t="str">
        <f t="shared" si="74"/>
        <v>3</v>
      </c>
      <c r="H829" t="str">
        <f t="shared" si="75"/>
        <v/>
      </c>
      <c r="I829" t="str">
        <f t="shared" si="76"/>
        <v>1</v>
      </c>
      <c r="J829" t="str">
        <f t="shared" ca="1" si="77"/>
        <v/>
      </c>
    </row>
    <row r="830" spans="1:10" ht="168.75" x14ac:dyDescent="0.25">
      <c r="A830" s="3" t="s">
        <v>2327</v>
      </c>
      <c r="B830">
        <f>IFERROR(COUNTIFS($A$1:A830,"Câu "&amp;"*")-MID(A830,5,FIND(".",A830,1)-5),0)</f>
        <v>0</v>
      </c>
      <c r="C830" t="b">
        <v>0</v>
      </c>
      <c r="E830" t="str">
        <f t="shared" si="72"/>
        <v>2</v>
      </c>
      <c r="F830" t="str">
        <f t="shared" si="73"/>
        <v>3</v>
      </c>
      <c r="G830" t="str">
        <f t="shared" si="74"/>
        <v>Câu 201.</v>
      </c>
      <c r="H830" t="str">
        <f t="shared" si="75"/>
        <v>1</v>
      </c>
      <c r="I830" t="str">
        <f t="shared" si="76"/>
        <v>2</v>
      </c>
      <c r="J830" t="str">
        <f t="shared" ca="1" si="77"/>
        <v/>
      </c>
    </row>
    <row r="831" spans="1:10" ht="409.5" x14ac:dyDescent="0.25">
      <c r="A831" s="3" t="s">
        <v>2328</v>
      </c>
      <c r="B831">
        <f>IFERROR(COUNTIFS($A$1:A831,"Câu "&amp;"*")-MID(A831,5,FIND(".",A831,1)-5),0)</f>
        <v>0</v>
      </c>
      <c r="C831" t="b">
        <v>1</v>
      </c>
      <c r="E831" t="str">
        <f t="shared" si="72"/>
        <v>3</v>
      </c>
      <c r="F831" t="str">
        <f t="shared" si="73"/>
        <v>Câu 201.</v>
      </c>
      <c r="G831" t="str">
        <f t="shared" si="74"/>
        <v>1</v>
      </c>
      <c r="H831" t="str">
        <f t="shared" si="75"/>
        <v>2</v>
      </c>
      <c r="I831" t="str">
        <f t="shared" si="76"/>
        <v/>
      </c>
      <c r="J831" t="str">
        <f t="shared" ca="1" si="77"/>
        <v/>
      </c>
    </row>
    <row r="832" spans="1:10" ht="409.5" x14ac:dyDescent="0.25">
      <c r="A832" s="4" t="s">
        <v>705</v>
      </c>
      <c r="B832">
        <f>IFERROR(COUNTIFS($A$1:A832,"Câu "&amp;"*")-MID(A832,5,FIND(".",A832,1)-5),0)</f>
        <v>0</v>
      </c>
      <c r="C832" t="b">
        <v>0</v>
      </c>
      <c r="E832" t="str">
        <f t="shared" si="72"/>
        <v>Câu 201.</v>
      </c>
      <c r="F832" t="str">
        <f t="shared" si="73"/>
        <v>1</v>
      </c>
      <c r="G832" t="str">
        <f t="shared" si="74"/>
        <v>2</v>
      </c>
      <c r="H832" t="str">
        <f t="shared" si="75"/>
        <v/>
      </c>
      <c r="I832" t="str">
        <f t="shared" si="76"/>
        <v>1</v>
      </c>
      <c r="J832" t="str">
        <f t="shared" ca="1" si="77"/>
        <v>1</v>
      </c>
    </row>
    <row r="833" spans="1:10" ht="409.5" x14ac:dyDescent="0.25">
      <c r="A833" s="3" t="s">
        <v>2329</v>
      </c>
      <c r="B833">
        <f>IFERROR(COUNTIFS($A$1:A833,"Câu "&amp;"*")-MID(A833,5,FIND(".",A833,1)-5),0)</f>
        <v>0</v>
      </c>
      <c r="C833" t="b">
        <v>1</v>
      </c>
      <c r="E833" t="str">
        <f t="shared" si="72"/>
        <v>1</v>
      </c>
      <c r="F833" t="str">
        <f t="shared" si="73"/>
        <v>2</v>
      </c>
      <c r="G833" t="str">
        <f t="shared" si="74"/>
        <v>Câu 202.</v>
      </c>
      <c r="H833" t="str">
        <f t="shared" si="75"/>
        <v>1</v>
      </c>
      <c r="I833" t="str">
        <f t="shared" si="76"/>
        <v>2</v>
      </c>
      <c r="J833" t="str">
        <f t="shared" ca="1" si="77"/>
        <v/>
      </c>
    </row>
    <row r="834" spans="1:10" ht="356.25" x14ac:dyDescent="0.25">
      <c r="A834" s="3" t="s">
        <v>2330</v>
      </c>
      <c r="B834">
        <f>IFERROR(COUNTIFS($A$1:A834,"Câu "&amp;"*")-MID(A834,5,FIND(".",A834,1)-5),0)</f>
        <v>0</v>
      </c>
      <c r="C834" t="b">
        <v>0</v>
      </c>
      <c r="E834" t="str">
        <f t="shared" si="72"/>
        <v>2</v>
      </c>
      <c r="F834" t="str">
        <f t="shared" si="73"/>
        <v>Câu 202.</v>
      </c>
      <c r="G834" t="str">
        <f t="shared" si="74"/>
        <v>1</v>
      </c>
      <c r="H834" t="str">
        <f t="shared" si="75"/>
        <v>2</v>
      </c>
      <c r="I834" t="str">
        <f t="shared" si="76"/>
        <v>3</v>
      </c>
      <c r="J834" t="str">
        <f t="shared" ca="1" si="77"/>
        <v/>
      </c>
    </row>
    <row r="835" spans="1:10" ht="409.5" x14ac:dyDescent="0.25">
      <c r="A835" s="4" t="s">
        <v>708</v>
      </c>
      <c r="B835">
        <f>IFERROR(COUNTIFS($A$1:A835,"Câu "&amp;"*")-MID(A835,5,FIND(".",A835,1)-5),0)</f>
        <v>0</v>
      </c>
      <c r="C835" t="b">
        <v>0</v>
      </c>
      <c r="E835" t="str">
        <f t="shared" ref="E835:E898" si="78">IF(LEFT(A835,3)="Câu",LEFT(A835,FIND(".",A835,1)),LEFT(A835,1))</f>
        <v>Câu 202.</v>
      </c>
      <c r="F835" t="str">
        <f t="shared" ref="F835:F898" si="79">IF(LEFT(A836,3)="Câu",LEFT(A836,FIND(".",A836,1)),LEFT(A836,1))</f>
        <v>1</v>
      </c>
      <c r="G835" t="str">
        <f t="shared" ref="G835:G898" si="80">IF(LEFT(A837,3)="Câu",LEFT(A837,FIND(".",A837,1)),LEFT(A837,1))</f>
        <v>2</v>
      </c>
      <c r="H835" t="str">
        <f t="shared" ref="H835:H898" si="81">IF(LEFT(A838,3)="Câu","",LEFT(A838,1))</f>
        <v>3</v>
      </c>
      <c r="I835" t="str">
        <f t="shared" ref="I835:I898" si="82">IF(LEFT(A839,3)="Câu","",LEFT(A839,1))</f>
        <v>4</v>
      </c>
      <c r="J835" t="str">
        <f t="shared" ref="J835:J898" ca="1" si="83">IFERROR(VLOOKUP(TRUE,INDIRECT("C"&amp;MATCH(E835,$E$1:$E$2471,0)&amp;":E"&amp;MATCH("Câu "&amp;VALUE(MID(E835,5,LEN(E835)-5))+1&amp;".",$E$1:$E$2471,0)),3,0),"")</f>
        <v>4</v>
      </c>
    </row>
    <row r="836" spans="1:10" ht="409.5" x14ac:dyDescent="0.25">
      <c r="A836" s="3" t="s">
        <v>2331</v>
      </c>
      <c r="B836">
        <f>IFERROR(COUNTIFS($A$1:A836,"Câu "&amp;"*")-MID(A836,5,FIND(".",A836,1)-5),0)</f>
        <v>0</v>
      </c>
      <c r="C836" t="b">
        <v>0</v>
      </c>
      <c r="E836" t="str">
        <f t="shared" si="78"/>
        <v>1</v>
      </c>
      <c r="F836" t="str">
        <f t="shared" si="79"/>
        <v>2</v>
      </c>
      <c r="G836" t="str">
        <f t="shared" si="80"/>
        <v>3</v>
      </c>
      <c r="H836" t="str">
        <f t="shared" si="81"/>
        <v>4</v>
      </c>
      <c r="I836" t="str">
        <f t="shared" si="82"/>
        <v/>
      </c>
      <c r="J836" t="str">
        <f t="shared" ca="1" si="83"/>
        <v/>
      </c>
    </row>
    <row r="837" spans="1:10" ht="409.5" x14ac:dyDescent="0.25">
      <c r="A837" s="3" t="s">
        <v>2332</v>
      </c>
      <c r="B837">
        <f>IFERROR(COUNTIFS($A$1:A837,"Câu "&amp;"*")-MID(A837,5,FIND(".",A837,1)-5),0)</f>
        <v>0</v>
      </c>
      <c r="C837" t="b">
        <v>0</v>
      </c>
      <c r="E837" t="str">
        <f t="shared" si="78"/>
        <v>2</v>
      </c>
      <c r="F837" t="str">
        <f t="shared" si="79"/>
        <v>3</v>
      </c>
      <c r="G837" t="str">
        <f t="shared" si="80"/>
        <v>4</v>
      </c>
      <c r="H837" t="str">
        <f t="shared" si="81"/>
        <v/>
      </c>
      <c r="I837" t="str">
        <f t="shared" si="82"/>
        <v>1</v>
      </c>
      <c r="J837" t="str">
        <f t="shared" ca="1" si="83"/>
        <v/>
      </c>
    </row>
    <row r="838" spans="1:10" ht="409.5" x14ac:dyDescent="0.25">
      <c r="A838" s="3" t="s">
        <v>2333</v>
      </c>
      <c r="B838">
        <f>IFERROR(COUNTIFS($A$1:A838,"Câu "&amp;"*")-MID(A838,5,FIND(".",A838,1)-5),0)</f>
        <v>0</v>
      </c>
      <c r="C838" t="b">
        <v>0</v>
      </c>
      <c r="E838" t="str">
        <f t="shared" si="78"/>
        <v>3</v>
      </c>
      <c r="F838" t="str">
        <f t="shared" si="79"/>
        <v>4</v>
      </c>
      <c r="G838" t="str">
        <f t="shared" si="80"/>
        <v>Câu 203.</v>
      </c>
      <c r="H838" t="str">
        <f t="shared" si="81"/>
        <v>1</v>
      </c>
      <c r="I838" t="str">
        <f t="shared" si="82"/>
        <v>2</v>
      </c>
      <c r="J838" t="str">
        <f t="shared" ca="1" si="83"/>
        <v/>
      </c>
    </row>
    <row r="839" spans="1:10" ht="37.5" x14ac:dyDescent="0.25">
      <c r="A839" s="3" t="s">
        <v>1865</v>
      </c>
      <c r="B839">
        <f>IFERROR(COUNTIFS($A$1:A839,"Câu "&amp;"*")-MID(A839,5,FIND(".",A839,1)-5),0)</f>
        <v>0</v>
      </c>
      <c r="C839" t="b">
        <v>1</v>
      </c>
      <c r="E839" t="str">
        <f t="shared" si="78"/>
        <v>4</v>
      </c>
      <c r="F839" t="str">
        <f t="shared" si="79"/>
        <v>Câu 203.</v>
      </c>
      <c r="G839" t="str">
        <f t="shared" si="80"/>
        <v>1</v>
      </c>
      <c r="H839" t="str">
        <f t="shared" si="81"/>
        <v>2</v>
      </c>
      <c r="I839" t="str">
        <f t="shared" si="82"/>
        <v>3</v>
      </c>
      <c r="J839" t="str">
        <f t="shared" ca="1" si="83"/>
        <v/>
      </c>
    </row>
    <row r="840" spans="1:10" ht="409.5" x14ac:dyDescent="0.25">
      <c r="A840" s="4" t="s">
        <v>712</v>
      </c>
      <c r="B840">
        <f>IFERROR(COUNTIFS($A$1:A840,"Câu "&amp;"*")-MID(A840,5,FIND(".",A840,1)-5),0)</f>
        <v>0</v>
      </c>
      <c r="C840" t="b">
        <v>0</v>
      </c>
      <c r="E840" t="str">
        <f t="shared" si="78"/>
        <v>Câu 203.</v>
      </c>
      <c r="F840" t="str">
        <f t="shared" si="79"/>
        <v>1</v>
      </c>
      <c r="G840" t="str">
        <f t="shared" si="80"/>
        <v>2</v>
      </c>
      <c r="H840" t="str">
        <f t="shared" si="81"/>
        <v>3</v>
      </c>
      <c r="I840" t="str">
        <f t="shared" si="82"/>
        <v/>
      </c>
      <c r="J840" t="str">
        <f t="shared" ca="1" si="83"/>
        <v>3</v>
      </c>
    </row>
    <row r="841" spans="1:10" ht="375" x14ac:dyDescent="0.25">
      <c r="A841" s="3" t="s">
        <v>2334</v>
      </c>
      <c r="B841">
        <f>IFERROR(COUNTIFS($A$1:A841,"Câu "&amp;"*")-MID(A841,5,FIND(".",A841,1)-5),0)</f>
        <v>0</v>
      </c>
      <c r="C841" t="b">
        <v>0</v>
      </c>
      <c r="E841" t="str">
        <f t="shared" si="78"/>
        <v>1</v>
      </c>
      <c r="F841" t="str">
        <f t="shared" si="79"/>
        <v>2</v>
      </c>
      <c r="G841" t="str">
        <f t="shared" si="80"/>
        <v>3</v>
      </c>
      <c r="H841" t="str">
        <f t="shared" si="81"/>
        <v/>
      </c>
      <c r="I841" t="str">
        <f t="shared" si="82"/>
        <v>1</v>
      </c>
      <c r="J841" t="str">
        <f t="shared" ca="1" si="83"/>
        <v/>
      </c>
    </row>
    <row r="842" spans="1:10" ht="409.5" x14ac:dyDescent="0.25">
      <c r="A842" s="3" t="s">
        <v>2335</v>
      </c>
      <c r="B842">
        <f>IFERROR(COUNTIFS($A$1:A842,"Câu "&amp;"*")-MID(A842,5,FIND(".",A842,1)-5),0)</f>
        <v>0</v>
      </c>
      <c r="C842" t="b">
        <v>0</v>
      </c>
      <c r="E842" t="str">
        <f t="shared" si="78"/>
        <v>2</v>
      </c>
      <c r="F842" t="str">
        <f t="shared" si="79"/>
        <v>3</v>
      </c>
      <c r="G842" t="str">
        <f t="shared" si="80"/>
        <v>Câu 204.</v>
      </c>
      <c r="H842" t="str">
        <f t="shared" si="81"/>
        <v>1</v>
      </c>
      <c r="I842" t="str">
        <f t="shared" si="82"/>
        <v>2</v>
      </c>
      <c r="J842" t="str">
        <f t="shared" ca="1" si="83"/>
        <v/>
      </c>
    </row>
    <row r="843" spans="1:10" ht="37.5" x14ac:dyDescent="0.25">
      <c r="A843" s="3" t="s">
        <v>1825</v>
      </c>
      <c r="B843">
        <f>IFERROR(COUNTIFS($A$1:A843,"Câu "&amp;"*")-MID(A843,5,FIND(".",A843,1)-5),0)</f>
        <v>0</v>
      </c>
      <c r="C843" t="b">
        <v>1</v>
      </c>
      <c r="E843" t="str">
        <f t="shared" si="78"/>
        <v>3</v>
      </c>
      <c r="F843" t="str">
        <f t="shared" si="79"/>
        <v>Câu 204.</v>
      </c>
      <c r="G843" t="str">
        <f t="shared" si="80"/>
        <v>1</v>
      </c>
      <c r="H843" t="str">
        <f t="shared" si="81"/>
        <v>2</v>
      </c>
      <c r="I843" t="str">
        <f t="shared" si="82"/>
        <v>3</v>
      </c>
      <c r="J843" t="str">
        <f t="shared" ca="1" si="83"/>
        <v/>
      </c>
    </row>
    <row r="844" spans="1:10" ht="409.5" x14ac:dyDescent="0.25">
      <c r="A844" s="5" t="s">
        <v>715</v>
      </c>
      <c r="B844">
        <f>IFERROR(COUNTIFS($A$1:A844,"Câu "&amp;"*")-MID(A844,5,FIND(".",A844,1)-5),0)</f>
        <v>0</v>
      </c>
      <c r="C844" t="b">
        <v>0</v>
      </c>
      <c r="E844" t="str">
        <f t="shared" si="78"/>
        <v>Câu 204.</v>
      </c>
      <c r="F844" t="str">
        <f t="shared" si="79"/>
        <v>1</v>
      </c>
      <c r="G844" t="str">
        <f t="shared" si="80"/>
        <v>2</v>
      </c>
      <c r="H844" t="str">
        <f t="shared" si="81"/>
        <v>3</v>
      </c>
      <c r="I844" t="str">
        <f t="shared" si="82"/>
        <v>4</v>
      </c>
      <c r="J844" t="str">
        <f t="shared" ca="1" si="83"/>
        <v>1</v>
      </c>
    </row>
    <row r="845" spans="1:10" ht="356.25" x14ac:dyDescent="0.25">
      <c r="A845" s="6" t="s">
        <v>2336</v>
      </c>
      <c r="B845">
        <f>IFERROR(COUNTIFS($A$1:A845,"Câu "&amp;"*")-MID(A845,5,FIND(".",A845,1)-5),0)</f>
        <v>0</v>
      </c>
      <c r="C845" t="b">
        <v>1</v>
      </c>
      <c r="E845" t="str">
        <f t="shared" si="78"/>
        <v>1</v>
      </c>
      <c r="F845" t="str">
        <f t="shared" si="79"/>
        <v>2</v>
      </c>
      <c r="G845" t="str">
        <f t="shared" si="80"/>
        <v>3</v>
      </c>
      <c r="H845" t="str">
        <f t="shared" si="81"/>
        <v>4</v>
      </c>
      <c r="I845" t="str">
        <f t="shared" si="82"/>
        <v/>
      </c>
      <c r="J845" t="str">
        <f t="shared" ca="1" si="83"/>
        <v/>
      </c>
    </row>
    <row r="846" spans="1:10" ht="409.5" x14ac:dyDescent="0.25">
      <c r="A846" s="6" t="s">
        <v>2337</v>
      </c>
      <c r="B846">
        <f>IFERROR(COUNTIFS($A$1:A846,"Câu "&amp;"*")-MID(A846,5,FIND(".",A846,1)-5),0)</f>
        <v>0</v>
      </c>
      <c r="C846" t="b">
        <v>0</v>
      </c>
      <c r="E846" t="str">
        <f t="shared" si="78"/>
        <v>2</v>
      </c>
      <c r="F846" t="str">
        <f t="shared" si="79"/>
        <v>3</v>
      </c>
      <c r="G846" t="str">
        <f t="shared" si="80"/>
        <v>4</v>
      </c>
      <c r="H846" t="str">
        <f t="shared" si="81"/>
        <v/>
      </c>
      <c r="I846" t="str">
        <f t="shared" si="82"/>
        <v>1</v>
      </c>
      <c r="J846" t="str">
        <f t="shared" ca="1" si="83"/>
        <v/>
      </c>
    </row>
    <row r="847" spans="1:10" ht="337.5" x14ac:dyDescent="0.25">
      <c r="A847" s="6" t="s">
        <v>2338</v>
      </c>
      <c r="B847">
        <f>IFERROR(COUNTIFS($A$1:A847,"Câu "&amp;"*")-MID(A847,5,FIND(".",A847,1)-5),0)</f>
        <v>0</v>
      </c>
      <c r="C847" t="b">
        <v>0</v>
      </c>
      <c r="E847" t="str">
        <f t="shared" si="78"/>
        <v>3</v>
      </c>
      <c r="F847" t="str">
        <f t="shared" si="79"/>
        <v>4</v>
      </c>
      <c r="G847" t="str">
        <f t="shared" si="80"/>
        <v>Câu 205.</v>
      </c>
      <c r="H847" t="str">
        <f t="shared" si="81"/>
        <v>1</v>
      </c>
      <c r="I847" t="str">
        <f t="shared" si="82"/>
        <v>2</v>
      </c>
      <c r="J847" t="str">
        <f t="shared" ca="1" si="83"/>
        <v/>
      </c>
    </row>
    <row r="848" spans="1:10" ht="37.5" x14ac:dyDescent="0.25">
      <c r="A848" s="6" t="s">
        <v>2339</v>
      </c>
      <c r="B848">
        <f>IFERROR(COUNTIFS($A$1:A848,"Câu "&amp;"*")-MID(A848,5,FIND(".",A848,1)-5),0)</f>
        <v>0</v>
      </c>
      <c r="C848" t="b">
        <v>0</v>
      </c>
      <c r="E848" t="str">
        <f t="shared" si="78"/>
        <v>4</v>
      </c>
      <c r="F848" t="str">
        <f t="shared" si="79"/>
        <v>Câu 205.</v>
      </c>
      <c r="G848" t="str">
        <f t="shared" si="80"/>
        <v>1</v>
      </c>
      <c r="H848" t="str">
        <f t="shared" si="81"/>
        <v>2</v>
      </c>
      <c r="I848" t="str">
        <f t="shared" si="82"/>
        <v>3</v>
      </c>
      <c r="J848" t="str">
        <f t="shared" ca="1" si="83"/>
        <v/>
      </c>
    </row>
    <row r="849" spans="1:10" ht="243.75" x14ac:dyDescent="0.25">
      <c r="A849" s="4" t="s">
        <v>719</v>
      </c>
      <c r="B849">
        <f>IFERROR(COUNTIFS($A$1:A849,"Câu "&amp;"*")-MID(A849,5,FIND(".",A849,1)-5),0)</f>
        <v>0</v>
      </c>
      <c r="C849" t="b">
        <v>0</v>
      </c>
      <c r="E849" t="str">
        <f t="shared" si="78"/>
        <v>Câu 205.</v>
      </c>
      <c r="F849" t="str">
        <f t="shared" si="79"/>
        <v>1</v>
      </c>
      <c r="G849" t="str">
        <f t="shared" si="80"/>
        <v>2</v>
      </c>
      <c r="H849" t="str">
        <f t="shared" si="81"/>
        <v>3</v>
      </c>
      <c r="I849" t="str">
        <f t="shared" si="82"/>
        <v>4</v>
      </c>
      <c r="J849" t="str">
        <f t="shared" ca="1" si="83"/>
        <v>4</v>
      </c>
    </row>
    <row r="850" spans="1:10" ht="409.5" x14ac:dyDescent="0.25">
      <c r="A850" s="3" t="s">
        <v>2340</v>
      </c>
      <c r="B850">
        <f>IFERROR(COUNTIFS($A$1:A850,"Câu "&amp;"*")-MID(A850,5,FIND(".",A850,1)-5),0)</f>
        <v>0</v>
      </c>
      <c r="C850" t="b">
        <v>0</v>
      </c>
      <c r="E850" t="str">
        <f t="shared" si="78"/>
        <v>1</v>
      </c>
      <c r="F850" t="str">
        <f t="shared" si="79"/>
        <v>2</v>
      </c>
      <c r="G850" t="str">
        <f t="shared" si="80"/>
        <v>3</v>
      </c>
      <c r="H850" t="str">
        <f t="shared" si="81"/>
        <v>4</v>
      </c>
      <c r="I850" t="str">
        <f t="shared" si="82"/>
        <v>C</v>
      </c>
      <c r="J850" t="str">
        <f t="shared" ca="1" si="83"/>
        <v/>
      </c>
    </row>
    <row r="851" spans="1:10" ht="409.5" x14ac:dyDescent="0.25">
      <c r="A851" s="3" t="s">
        <v>2341</v>
      </c>
      <c r="B851">
        <f>IFERROR(COUNTIFS($A$1:A851,"Câu "&amp;"*")-MID(A851,5,FIND(".",A851,1)-5),0)</f>
        <v>0</v>
      </c>
      <c r="C851" t="b">
        <v>0</v>
      </c>
      <c r="E851" t="str">
        <f t="shared" si="78"/>
        <v>2</v>
      </c>
      <c r="F851" t="str">
        <f t="shared" si="79"/>
        <v>3</v>
      </c>
      <c r="G851" t="str">
        <f t="shared" si="80"/>
        <v>4</v>
      </c>
      <c r="H851" t="str">
        <f t="shared" si="81"/>
        <v>C</v>
      </c>
      <c r="I851" t="str">
        <f t="shared" si="82"/>
        <v/>
      </c>
      <c r="J851" t="str">
        <f t="shared" ca="1" si="83"/>
        <v/>
      </c>
    </row>
    <row r="852" spans="1:10" ht="375" x14ac:dyDescent="0.25">
      <c r="A852" s="3" t="s">
        <v>2342</v>
      </c>
      <c r="B852">
        <f>IFERROR(COUNTIFS($A$1:A852,"Câu "&amp;"*")-MID(A852,5,FIND(".",A852,1)-5),0)</f>
        <v>0</v>
      </c>
      <c r="C852" t="b">
        <v>0</v>
      </c>
      <c r="E852" t="str">
        <f t="shared" si="78"/>
        <v>3</v>
      </c>
      <c r="F852" t="str">
        <f t="shared" si="79"/>
        <v>4</v>
      </c>
      <c r="G852" t="str">
        <f t="shared" si="80"/>
        <v>C</v>
      </c>
      <c r="H852" t="str">
        <f t="shared" si="81"/>
        <v/>
      </c>
      <c r="I852" t="str">
        <f t="shared" si="82"/>
        <v>1</v>
      </c>
      <c r="J852" t="str">
        <f t="shared" ca="1" si="83"/>
        <v/>
      </c>
    </row>
    <row r="853" spans="1:10" ht="37.5" x14ac:dyDescent="0.25">
      <c r="A853" s="3" t="s">
        <v>1865</v>
      </c>
      <c r="B853">
        <f>IFERROR(COUNTIFS($A$1:A853,"Câu "&amp;"*")-MID(A853,5,FIND(".",A853,1)-5),0)</f>
        <v>0</v>
      </c>
      <c r="C853" t="b">
        <v>1</v>
      </c>
      <c r="E853" t="str">
        <f t="shared" si="78"/>
        <v>4</v>
      </c>
      <c r="F853" t="str">
        <f t="shared" si="79"/>
        <v>C</v>
      </c>
      <c r="G853" t="str">
        <f t="shared" si="80"/>
        <v>Câu 206.</v>
      </c>
      <c r="H853" t="str">
        <f t="shared" si="81"/>
        <v>1</v>
      </c>
      <c r="I853" t="str">
        <f t="shared" si="82"/>
        <v>2</v>
      </c>
      <c r="J853" t="str">
        <f t="shared" ca="1" si="83"/>
        <v/>
      </c>
    </row>
    <row r="854" spans="1:10" ht="18.75" x14ac:dyDescent="0.25">
      <c r="A854" s="7" t="s">
        <v>723</v>
      </c>
      <c r="B854">
        <f>IFERROR(COUNTIFS($A$1:A854,"Câu "&amp;"*")-MID(A854,5,FIND(".",A854,1)-5),0)</f>
        <v>0</v>
      </c>
      <c r="C854" t="b">
        <v>0</v>
      </c>
      <c r="E854" t="str">
        <f t="shared" si="78"/>
        <v>C</v>
      </c>
      <c r="F854" t="str">
        <f t="shared" si="79"/>
        <v>Câu 206.</v>
      </c>
      <c r="G854" t="str">
        <f t="shared" si="80"/>
        <v>1</v>
      </c>
      <c r="H854" t="str">
        <f t="shared" si="81"/>
        <v>2</v>
      </c>
      <c r="I854" t="str">
        <f t="shared" si="82"/>
        <v>3</v>
      </c>
      <c r="J854" t="str">
        <f t="shared" ca="1" si="83"/>
        <v/>
      </c>
    </row>
    <row r="855" spans="1:10" ht="409.5" x14ac:dyDescent="0.25">
      <c r="A855" s="4" t="s">
        <v>724</v>
      </c>
      <c r="B855">
        <f>IFERROR(COUNTIFS($A$1:A855,"Câu "&amp;"*")-MID(A855,5,FIND(".",A855,1)-5),0)</f>
        <v>0</v>
      </c>
      <c r="C855" t="b">
        <v>0</v>
      </c>
      <c r="E855" t="str">
        <f t="shared" si="78"/>
        <v>Câu 206.</v>
      </c>
      <c r="F855" t="str">
        <f t="shared" si="79"/>
        <v>1</v>
      </c>
      <c r="G855" t="str">
        <f t="shared" si="80"/>
        <v>2</v>
      </c>
      <c r="H855" t="str">
        <f t="shared" si="81"/>
        <v>3</v>
      </c>
      <c r="I855" t="str">
        <f t="shared" si="82"/>
        <v/>
      </c>
      <c r="J855" t="str">
        <f t="shared" ca="1" si="83"/>
        <v>1</v>
      </c>
    </row>
    <row r="856" spans="1:10" ht="18.75" x14ac:dyDescent="0.25">
      <c r="A856" s="11" t="s">
        <v>2343</v>
      </c>
      <c r="B856">
        <f>IFERROR(COUNTIFS($A$1:A856,"Câu "&amp;"*")-MID(A856,5,FIND(".",A856,1)-5),0)</f>
        <v>0</v>
      </c>
      <c r="C856" t="b">
        <v>1</v>
      </c>
      <c r="E856" t="str">
        <f t="shared" si="78"/>
        <v>1</v>
      </c>
      <c r="F856" t="str">
        <f t="shared" si="79"/>
        <v>2</v>
      </c>
      <c r="G856" t="str">
        <f t="shared" si="80"/>
        <v>3</v>
      </c>
      <c r="H856" t="str">
        <f t="shared" si="81"/>
        <v/>
      </c>
      <c r="I856" t="str">
        <f t="shared" si="82"/>
        <v>1</v>
      </c>
      <c r="J856" t="str">
        <f t="shared" ca="1" si="83"/>
        <v/>
      </c>
    </row>
    <row r="857" spans="1:10" ht="18.75" x14ac:dyDescent="0.25">
      <c r="A857" s="11" t="s">
        <v>2344</v>
      </c>
      <c r="B857">
        <f>IFERROR(COUNTIFS($A$1:A857,"Câu "&amp;"*")-MID(A857,5,FIND(".",A857,1)-5),0)</f>
        <v>0</v>
      </c>
      <c r="C857" t="b">
        <v>0</v>
      </c>
      <c r="E857" t="str">
        <f t="shared" si="78"/>
        <v>2</v>
      </c>
      <c r="F857" t="str">
        <f t="shared" si="79"/>
        <v>3</v>
      </c>
      <c r="G857" t="str">
        <f t="shared" si="80"/>
        <v>Câu 207.</v>
      </c>
      <c r="H857" t="str">
        <f t="shared" si="81"/>
        <v>1</v>
      </c>
      <c r="I857" t="str">
        <f t="shared" si="82"/>
        <v>2</v>
      </c>
      <c r="J857" t="str">
        <f t="shared" ca="1" si="83"/>
        <v/>
      </c>
    </row>
    <row r="858" spans="1:10" ht="18.75" x14ac:dyDescent="0.25">
      <c r="A858" s="11" t="s">
        <v>2345</v>
      </c>
      <c r="B858">
        <f>IFERROR(COUNTIFS($A$1:A858,"Câu "&amp;"*")-MID(A858,5,FIND(".",A858,1)-5),0)</f>
        <v>0</v>
      </c>
      <c r="C858" t="b">
        <v>0</v>
      </c>
      <c r="E858" t="str">
        <f t="shared" si="78"/>
        <v>3</v>
      </c>
      <c r="F858" t="str">
        <f t="shared" si="79"/>
        <v>Câu 207.</v>
      </c>
      <c r="G858" t="str">
        <f t="shared" si="80"/>
        <v>1</v>
      </c>
      <c r="H858" t="str">
        <f t="shared" si="81"/>
        <v>2</v>
      </c>
      <c r="I858" t="str">
        <f t="shared" si="82"/>
        <v/>
      </c>
      <c r="J858" t="str">
        <f t="shared" ca="1" si="83"/>
        <v/>
      </c>
    </row>
    <row r="859" spans="1:10" ht="337.5" x14ac:dyDescent="0.25">
      <c r="A859" s="4" t="s">
        <v>728</v>
      </c>
      <c r="B859">
        <f>IFERROR(COUNTIFS($A$1:A859,"Câu "&amp;"*")-MID(A859,5,FIND(".",A859,1)-5),0)</f>
        <v>0</v>
      </c>
      <c r="C859" t="b">
        <v>0</v>
      </c>
      <c r="E859" t="str">
        <f t="shared" si="78"/>
        <v>Câu 207.</v>
      </c>
      <c r="F859" t="str">
        <f t="shared" si="79"/>
        <v>1</v>
      </c>
      <c r="G859" t="str">
        <f t="shared" si="80"/>
        <v>2</v>
      </c>
      <c r="H859" t="str">
        <f t="shared" si="81"/>
        <v/>
      </c>
      <c r="I859" t="str">
        <f t="shared" si="82"/>
        <v>1</v>
      </c>
      <c r="J859" t="str">
        <f t="shared" ca="1" si="83"/>
        <v>1</v>
      </c>
    </row>
    <row r="860" spans="1:10" ht="318.75" x14ac:dyDescent="0.25">
      <c r="A860" s="3" t="s">
        <v>2346</v>
      </c>
      <c r="B860">
        <f>IFERROR(COUNTIFS($A$1:A860,"Câu "&amp;"*")-MID(A860,5,FIND(".",A860,1)-5),0)</f>
        <v>0</v>
      </c>
      <c r="C860" t="b">
        <v>1</v>
      </c>
      <c r="E860" t="str">
        <f t="shared" si="78"/>
        <v>1</v>
      </c>
      <c r="F860" t="str">
        <f t="shared" si="79"/>
        <v>2</v>
      </c>
      <c r="G860" t="str">
        <f t="shared" si="80"/>
        <v>Câu 208.</v>
      </c>
      <c r="H860" t="str">
        <f t="shared" si="81"/>
        <v>1</v>
      </c>
      <c r="I860" t="str">
        <f t="shared" si="82"/>
        <v>2</v>
      </c>
      <c r="J860" t="str">
        <f t="shared" ca="1" si="83"/>
        <v/>
      </c>
    </row>
    <row r="861" spans="1:10" ht="281.25" x14ac:dyDescent="0.25">
      <c r="A861" s="3" t="s">
        <v>2347</v>
      </c>
      <c r="B861">
        <f>IFERROR(COUNTIFS($A$1:A861,"Câu "&amp;"*")-MID(A861,5,FIND(".",A861,1)-5),0)</f>
        <v>0</v>
      </c>
      <c r="C861" t="b">
        <v>0</v>
      </c>
      <c r="E861" t="str">
        <f t="shared" si="78"/>
        <v>2</v>
      </c>
      <c r="F861" t="str">
        <f t="shared" si="79"/>
        <v>Câu 208.</v>
      </c>
      <c r="G861" t="str">
        <f t="shared" si="80"/>
        <v>1</v>
      </c>
      <c r="H861" t="str">
        <f t="shared" si="81"/>
        <v>2</v>
      </c>
      <c r="I861" t="str">
        <f t="shared" si="82"/>
        <v>3</v>
      </c>
      <c r="J861" t="str">
        <f t="shared" ca="1" si="83"/>
        <v/>
      </c>
    </row>
    <row r="862" spans="1:10" ht="337.5" x14ac:dyDescent="0.25">
      <c r="A862" s="4" t="s">
        <v>731</v>
      </c>
      <c r="B862">
        <f>IFERROR(COUNTIFS($A$1:A862,"Câu "&amp;"*")-MID(A862,5,FIND(".",A862,1)-5),0)</f>
        <v>0</v>
      </c>
      <c r="C862" t="b">
        <v>0</v>
      </c>
      <c r="E862" t="str">
        <f t="shared" si="78"/>
        <v>Câu 208.</v>
      </c>
      <c r="F862" t="str">
        <f t="shared" si="79"/>
        <v>1</v>
      </c>
      <c r="G862" t="str">
        <f t="shared" si="80"/>
        <v>2</v>
      </c>
      <c r="H862" t="str">
        <f t="shared" si="81"/>
        <v>3</v>
      </c>
      <c r="I862" t="str">
        <f t="shared" si="82"/>
        <v/>
      </c>
      <c r="J862" t="str">
        <f t="shared" ca="1" si="83"/>
        <v>2</v>
      </c>
    </row>
    <row r="863" spans="1:10" ht="409.5" x14ac:dyDescent="0.25">
      <c r="A863" s="3" t="s">
        <v>2348</v>
      </c>
      <c r="B863">
        <f>IFERROR(COUNTIFS($A$1:A863,"Câu "&amp;"*")-MID(A863,5,FIND(".",A863,1)-5),0)</f>
        <v>0</v>
      </c>
      <c r="C863" t="b">
        <v>0</v>
      </c>
      <c r="E863" t="str">
        <f t="shared" si="78"/>
        <v>1</v>
      </c>
      <c r="F863" t="str">
        <f t="shared" si="79"/>
        <v>2</v>
      </c>
      <c r="G863" t="str">
        <f t="shared" si="80"/>
        <v>3</v>
      </c>
      <c r="H863" t="str">
        <f t="shared" si="81"/>
        <v/>
      </c>
      <c r="I863" t="str">
        <f t="shared" si="82"/>
        <v>1</v>
      </c>
      <c r="J863" t="str">
        <f t="shared" ca="1" si="83"/>
        <v/>
      </c>
    </row>
    <row r="864" spans="1:10" ht="409.5" x14ac:dyDescent="0.25">
      <c r="A864" s="3" t="s">
        <v>2349</v>
      </c>
      <c r="B864">
        <f>IFERROR(COUNTIFS($A$1:A864,"Câu "&amp;"*")-MID(A864,5,FIND(".",A864,1)-5),0)</f>
        <v>0</v>
      </c>
      <c r="C864" t="b">
        <v>1</v>
      </c>
      <c r="E864" t="str">
        <f t="shared" si="78"/>
        <v>2</v>
      </c>
      <c r="F864" t="str">
        <f t="shared" si="79"/>
        <v>3</v>
      </c>
      <c r="G864" t="str">
        <f t="shared" si="80"/>
        <v>Câu 209.</v>
      </c>
      <c r="H864" t="str">
        <f t="shared" si="81"/>
        <v>1</v>
      </c>
      <c r="I864" t="str">
        <f t="shared" si="82"/>
        <v>2</v>
      </c>
      <c r="J864" t="str">
        <f t="shared" ca="1" si="83"/>
        <v/>
      </c>
    </row>
    <row r="865" spans="1:10" ht="409.5" x14ac:dyDescent="0.25">
      <c r="A865" s="3" t="s">
        <v>2350</v>
      </c>
      <c r="B865">
        <f>IFERROR(COUNTIFS($A$1:A865,"Câu "&amp;"*")-MID(A865,5,FIND(".",A865,1)-5),0)</f>
        <v>0</v>
      </c>
      <c r="C865" t="b">
        <v>0</v>
      </c>
      <c r="E865" t="str">
        <f t="shared" si="78"/>
        <v>3</v>
      </c>
      <c r="F865" t="str">
        <f t="shared" si="79"/>
        <v>Câu 209.</v>
      </c>
      <c r="G865" t="str">
        <f t="shared" si="80"/>
        <v>1</v>
      </c>
      <c r="H865" t="str">
        <f t="shared" si="81"/>
        <v>2</v>
      </c>
      <c r="I865" t="str">
        <f t="shared" si="82"/>
        <v/>
      </c>
      <c r="J865" t="str">
        <f t="shared" ca="1" si="83"/>
        <v/>
      </c>
    </row>
    <row r="866" spans="1:10" ht="409.5" x14ac:dyDescent="0.25">
      <c r="A866" s="4" t="s">
        <v>735</v>
      </c>
      <c r="B866">
        <f>IFERROR(COUNTIFS($A$1:A866,"Câu "&amp;"*")-MID(A866,5,FIND(".",A866,1)-5),0)</f>
        <v>0</v>
      </c>
      <c r="C866" t="b">
        <v>0</v>
      </c>
      <c r="E866" t="str">
        <f t="shared" si="78"/>
        <v>Câu 209.</v>
      </c>
      <c r="F866" t="str">
        <f t="shared" si="79"/>
        <v>1</v>
      </c>
      <c r="G866" t="str">
        <f t="shared" si="80"/>
        <v>2</v>
      </c>
      <c r="H866" t="str">
        <f t="shared" si="81"/>
        <v/>
      </c>
      <c r="I866" t="str">
        <f t="shared" si="82"/>
        <v>1</v>
      </c>
      <c r="J866" t="str">
        <f t="shared" ca="1" si="83"/>
        <v>2</v>
      </c>
    </row>
    <row r="867" spans="1:10" ht="409.5" x14ac:dyDescent="0.25">
      <c r="A867" s="3" t="s">
        <v>2351</v>
      </c>
      <c r="B867">
        <f>IFERROR(COUNTIFS($A$1:A867,"Câu "&amp;"*")-MID(A867,5,FIND(".",A867,1)-5),0)</f>
        <v>0</v>
      </c>
      <c r="C867" t="b">
        <v>0</v>
      </c>
      <c r="E867" t="str">
        <f t="shared" si="78"/>
        <v>1</v>
      </c>
      <c r="F867" t="str">
        <f t="shared" si="79"/>
        <v>2</v>
      </c>
      <c r="G867" t="str">
        <f t="shared" si="80"/>
        <v>Câu 210.</v>
      </c>
      <c r="H867" t="str">
        <f t="shared" si="81"/>
        <v>1</v>
      </c>
      <c r="I867" t="str">
        <f t="shared" si="82"/>
        <v>v</v>
      </c>
      <c r="J867" t="str">
        <f t="shared" ca="1" si="83"/>
        <v/>
      </c>
    </row>
    <row r="868" spans="1:10" ht="409.5" x14ac:dyDescent="0.25">
      <c r="A868" s="3" t="s">
        <v>2352</v>
      </c>
      <c r="B868">
        <f>IFERROR(COUNTIFS($A$1:A868,"Câu "&amp;"*")-MID(A868,5,FIND(".",A868,1)-5),0)</f>
        <v>0</v>
      </c>
      <c r="C868" t="b">
        <v>1</v>
      </c>
      <c r="E868" t="str">
        <f t="shared" si="78"/>
        <v>2</v>
      </c>
      <c r="F868" t="str">
        <f t="shared" si="79"/>
        <v>Câu 210.</v>
      </c>
      <c r="G868" t="str">
        <f t="shared" si="80"/>
        <v>1</v>
      </c>
      <c r="H868" t="str">
        <f t="shared" si="81"/>
        <v>v</v>
      </c>
      <c r="I868" t="str">
        <f t="shared" si="82"/>
        <v>2</v>
      </c>
      <c r="J868" t="str">
        <f t="shared" ca="1" si="83"/>
        <v/>
      </c>
    </row>
    <row r="869" spans="1:10" ht="318.75" x14ac:dyDescent="0.25">
      <c r="A869" s="4" t="s">
        <v>738</v>
      </c>
      <c r="B869">
        <f>IFERROR(COUNTIFS($A$1:A869,"Câu "&amp;"*")-MID(A869,5,FIND(".",A869,1)-5),0)</f>
        <v>0</v>
      </c>
      <c r="C869" t="b">
        <v>0</v>
      </c>
      <c r="E869" t="str">
        <f t="shared" si="78"/>
        <v>Câu 210.</v>
      </c>
      <c r="F869" t="str">
        <f t="shared" si="79"/>
        <v>1</v>
      </c>
      <c r="G869" t="str">
        <f t="shared" si="80"/>
        <v>v</v>
      </c>
      <c r="H869" t="str">
        <f t="shared" si="81"/>
        <v>2</v>
      </c>
      <c r="I869" t="str">
        <f t="shared" si="82"/>
        <v/>
      </c>
      <c r="J869" t="str">
        <f t="shared" ca="1" si="83"/>
        <v>1</v>
      </c>
    </row>
    <row r="870" spans="1:10" ht="409.5" x14ac:dyDescent="0.25">
      <c r="A870" s="3" t="s">
        <v>2353</v>
      </c>
      <c r="B870">
        <f>IFERROR(COUNTIFS($A$1:A870,"Câu "&amp;"*")-MID(A870,5,FIND(".",A870,1)-5),0)</f>
        <v>0</v>
      </c>
      <c r="C870" t="b">
        <v>1</v>
      </c>
      <c r="E870" t="str">
        <f t="shared" si="78"/>
        <v>1</v>
      </c>
      <c r="F870" t="str">
        <f t="shared" si="79"/>
        <v>v</v>
      </c>
      <c r="G870" t="str">
        <f t="shared" si="80"/>
        <v>2</v>
      </c>
      <c r="H870" t="str">
        <f t="shared" si="81"/>
        <v/>
      </c>
      <c r="I870" t="str">
        <f t="shared" si="82"/>
        <v>1</v>
      </c>
      <c r="J870" t="str">
        <f t="shared" ca="1" si="83"/>
        <v/>
      </c>
    </row>
    <row r="871" spans="1:10" ht="409.5" x14ac:dyDescent="0.25">
      <c r="A871" s="8" t="s">
        <v>2354</v>
      </c>
      <c r="B871">
        <f>IFERROR(COUNTIFS($A$1:A871,"Câu "&amp;"*")-MID(A871,5,FIND(".",A871,1)-5),0)</f>
        <v>0</v>
      </c>
      <c r="C871" t="b">
        <v>1</v>
      </c>
      <c r="E871" t="str">
        <f t="shared" si="78"/>
        <v>v</v>
      </c>
      <c r="F871" t="str">
        <f t="shared" si="79"/>
        <v>2</v>
      </c>
      <c r="G871" t="str">
        <f t="shared" si="80"/>
        <v>Câu 211.</v>
      </c>
      <c r="H871" t="str">
        <f t="shared" si="81"/>
        <v>1</v>
      </c>
      <c r="I871" t="str">
        <f t="shared" si="82"/>
        <v>2</v>
      </c>
      <c r="J871" t="str">
        <f t="shared" ca="1" si="83"/>
        <v/>
      </c>
    </row>
    <row r="872" spans="1:10" ht="409.5" x14ac:dyDescent="0.25">
      <c r="A872" s="3" t="s">
        <v>2355</v>
      </c>
      <c r="B872">
        <f>IFERROR(COUNTIFS($A$1:A872,"Câu "&amp;"*")-MID(A872,5,FIND(".",A872,1)-5),0)</f>
        <v>0</v>
      </c>
      <c r="C872" t="b">
        <v>0</v>
      </c>
      <c r="E872" t="str">
        <f t="shared" si="78"/>
        <v>2</v>
      </c>
      <c r="F872" t="str">
        <f t="shared" si="79"/>
        <v>Câu 211.</v>
      </c>
      <c r="G872" t="str">
        <f t="shared" si="80"/>
        <v>1</v>
      </c>
      <c r="H872" t="str">
        <f t="shared" si="81"/>
        <v>2</v>
      </c>
      <c r="I872" t="str">
        <f t="shared" si="82"/>
        <v>3</v>
      </c>
      <c r="J872" t="str">
        <f t="shared" ca="1" si="83"/>
        <v/>
      </c>
    </row>
    <row r="873" spans="1:10" ht="337.5" x14ac:dyDescent="0.25">
      <c r="A873" s="4" t="s">
        <v>740</v>
      </c>
      <c r="B873">
        <f>IFERROR(COUNTIFS($A$1:A873,"Câu "&amp;"*")-MID(A873,5,FIND(".",A873,1)-5),0)</f>
        <v>0</v>
      </c>
      <c r="C873" t="b">
        <v>0</v>
      </c>
      <c r="E873" t="str">
        <f t="shared" si="78"/>
        <v>Câu 211.</v>
      </c>
      <c r="F873" t="str">
        <f t="shared" si="79"/>
        <v>1</v>
      </c>
      <c r="G873" t="str">
        <f t="shared" si="80"/>
        <v>2</v>
      </c>
      <c r="H873" t="str">
        <f t="shared" si="81"/>
        <v>3</v>
      </c>
      <c r="I873" t="str">
        <f t="shared" si="82"/>
        <v/>
      </c>
      <c r="J873" t="str">
        <f t="shared" ca="1" si="83"/>
        <v>1</v>
      </c>
    </row>
    <row r="874" spans="1:10" ht="409.5" x14ac:dyDescent="0.25">
      <c r="A874" s="3" t="s">
        <v>2356</v>
      </c>
      <c r="B874">
        <f>IFERROR(COUNTIFS($A$1:A874,"Câu "&amp;"*")-MID(A874,5,FIND(".",A874,1)-5),0)</f>
        <v>0</v>
      </c>
      <c r="C874" t="b">
        <v>1</v>
      </c>
      <c r="E874" t="str">
        <f t="shared" si="78"/>
        <v>1</v>
      </c>
      <c r="F874" t="str">
        <f t="shared" si="79"/>
        <v>2</v>
      </c>
      <c r="G874" t="str">
        <f t="shared" si="80"/>
        <v>3</v>
      </c>
      <c r="H874" t="str">
        <f t="shared" si="81"/>
        <v/>
      </c>
      <c r="I874" t="str">
        <f t="shared" si="82"/>
        <v>1</v>
      </c>
      <c r="J874" t="str">
        <f t="shared" ca="1" si="83"/>
        <v/>
      </c>
    </row>
    <row r="875" spans="1:10" ht="206.25" x14ac:dyDescent="0.25">
      <c r="A875" s="3" t="s">
        <v>2357</v>
      </c>
      <c r="B875">
        <f>IFERROR(COUNTIFS($A$1:A875,"Câu "&amp;"*")-MID(A875,5,FIND(".",A875,1)-5),0)</f>
        <v>0</v>
      </c>
      <c r="C875" t="b">
        <v>0</v>
      </c>
      <c r="E875" t="str">
        <f t="shared" si="78"/>
        <v>2</v>
      </c>
      <c r="F875" t="str">
        <f t="shared" si="79"/>
        <v>3</v>
      </c>
      <c r="G875" t="str">
        <f t="shared" si="80"/>
        <v>Câu 212.</v>
      </c>
      <c r="H875" t="str">
        <f t="shared" si="81"/>
        <v>1</v>
      </c>
      <c r="I875" t="str">
        <f t="shared" si="82"/>
        <v>2</v>
      </c>
      <c r="J875" t="str">
        <f t="shared" ca="1" si="83"/>
        <v/>
      </c>
    </row>
    <row r="876" spans="1:10" ht="262.5" x14ac:dyDescent="0.25">
      <c r="A876" s="3" t="s">
        <v>2358</v>
      </c>
      <c r="B876">
        <f>IFERROR(COUNTIFS($A$1:A876,"Câu "&amp;"*")-MID(A876,5,FIND(".",A876,1)-5),0)</f>
        <v>0</v>
      </c>
      <c r="C876" t="b">
        <v>0</v>
      </c>
      <c r="E876" t="str">
        <f t="shared" si="78"/>
        <v>3</v>
      </c>
      <c r="F876" t="str">
        <f t="shared" si="79"/>
        <v>Câu 212.</v>
      </c>
      <c r="G876" t="str">
        <f t="shared" si="80"/>
        <v>1</v>
      </c>
      <c r="H876" t="str">
        <f t="shared" si="81"/>
        <v>2</v>
      </c>
      <c r="I876" t="str">
        <f t="shared" si="82"/>
        <v/>
      </c>
      <c r="J876" t="str">
        <f t="shared" ca="1" si="83"/>
        <v/>
      </c>
    </row>
    <row r="877" spans="1:10" ht="337.5" x14ac:dyDescent="0.25">
      <c r="A877" s="4" t="s">
        <v>744</v>
      </c>
      <c r="B877">
        <f>IFERROR(COUNTIFS($A$1:A877,"Câu "&amp;"*")-MID(A877,5,FIND(".",A877,1)-5),0)</f>
        <v>0</v>
      </c>
      <c r="C877" t="b">
        <v>0</v>
      </c>
      <c r="E877" t="str">
        <f t="shared" si="78"/>
        <v>Câu 212.</v>
      </c>
      <c r="F877" t="str">
        <f t="shared" si="79"/>
        <v>1</v>
      </c>
      <c r="G877" t="str">
        <f t="shared" si="80"/>
        <v>2</v>
      </c>
      <c r="H877" t="str">
        <f t="shared" si="81"/>
        <v/>
      </c>
      <c r="I877" t="str">
        <f t="shared" si="82"/>
        <v>1</v>
      </c>
      <c r="J877" t="str">
        <f t="shared" ca="1" si="83"/>
        <v>2</v>
      </c>
    </row>
    <row r="878" spans="1:10" ht="409.5" x14ac:dyDescent="0.25">
      <c r="A878" s="3" t="s">
        <v>2359</v>
      </c>
      <c r="B878">
        <f>IFERROR(COUNTIFS($A$1:A878,"Câu "&amp;"*")-MID(A878,5,FIND(".",A878,1)-5),0)</f>
        <v>0</v>
      </c>
      <c r="C878" t="b">
        <v>0</v>
      </c>
      <c r="E878" t="str">
        <f t="shared" si="78"/>
        <v>1</v>
      </c>
      <c r="F878" t="str">
        <f t="shared" si="79"/>
        <v>2</v>
      </c>
      <c r="G878" t="str">
        <f t="shared" si="80"/>
        <v>Câu 213.</v>
      </c>
      <c r="H878" t="str">
        <f t="shared" si="81"/>
        <v>1</v>
      </c>
      <c r="I878" t="str">
        <f t="shared" si="82"/>
        <v>2</v>
      </c>
      <c r="J878" t="str">
        <f t="shared" ca="1" si="83"/>
        <v/>
      </c>
    </row>
    <row r="879" spans="1:10" ht="409.5" x14ac:dyDescent="0.25">
      <c r="A879" s="3" t="s">
        <v>2360</v>
      </c>
      <c r="B879">
        <f>IFERROR(COUNTIFS($A$1:A879,"Câu "&amp;"*")-MID(A879,5,FIND(".",A879,1)-5),0)</f>
        <v>0</v>
      </c>
      <c r="C879" t="b">
        <v>1</v>
      </c>
      <c r="E879" t="str">
        <f t="shared" si="78"/>
        <v>2</v>
      </c>
      <c r="F879" t="str">
        <f t="shared" si="79"/>
        <v>Câu 213.</v>
      </c>
      <c r="G879" t="str">
        <f t="shared" si="80"/>
        <v>1</v>
      </c>
      <c r="H879" t="str">
        <f t="shared" si="81"/>
        <v>2</v>
      </c>
      <c r="I879" t="str">
        <f t="shared" si="82"/>
        <v>3</v>
      </c>
      <c r="J879" t="str">
        <f t="shared" ca="1" si="83"/>
        <v/>
      </c>
    </row>
    <row r="880" spans="1:10" ht="356.25" x14ac:dyDescent="0.25">
      <c r="A880" s="4" t="s">
        <v>747</v>
      </c>
      <c r="B880">
        <f>IFERROR(COUNTIFS($A$1:A880,"Câu "&amp;"*")-MID(A880,5,FIND(".",A880,1)-5),0)</f>
        <v>0</v>
      </c>
      <c r="C880" t="b">
        <v>0</v>
      </c>
      <c r="E880" t="str">
        <f t="shared" si="78"/>
        <v>Câu 213.</v>
      </c>
      <c r="F880" t="str">
        <f t="shared" si="79"/>
        <v>1</v>
      </c>
      <c r="G880" t="str">
        <f t="shared" si="80"/>
        <v>2</v>
      </c>
      <c r="H880" t="str">
        <f t="shared" si="81"/>
        <v>3</v>
      </c>
      <c r="I880" t="str">
        <f t="shared" si="82"/>
        <v/>
      </c>
      <c r="J880" t="str">
        <f t="shared" ca="1" si="83"/>
        <v>2</v>
      </c>
    </row>
    <row r="881" spans="1:10" ht="18.75" x14ac:dyDescent="0.25">
      <c r="A881" s="11" t="s">
        <v>2361</v>
      </c>
      <c r="B881">
        <f>IFERROR(COUNTIFS($A$1:A881,"Câu "&amp;"*")-MID(A881,5,FIND(".",A881,1)-5),0)</f>
        <v>0</v>
      </c>
      <c r="C881" t="b">
        <v>0</v>
      </c>
      <c r="E881" t="str">
        <f t="shared" si="78"/>
        <v>1</v>
      </c>
      <c r="F881" t="str">
        <f t="shared" si="79"/>
        <v>2</v>
      </c>
      <c r="G881" t="str">
        <f t="shared" si="80"/>
        <v>3</v>
      </c>
      <c r="H881" t="str">
        <f t="shared" si="81"/>
        <v/>
      </c>
      <c r="I881" t="str">
        <f t="shared" si="82"/>
        <v>1</v>
      </c>
      <c r="J881" t="str">
        <f t="shared" ca="1" si="83"/>
        <v/>
      </c>
    </row>
    <row r="882" spans="1:10" ht="18.75" x14ac:dyDescent="0.25">
      <c r="A882" s="11" t="s">
        <v>2362</v>
      </c>
      <c r="B882">
        <f>IFERROR(COUNTIFS($A$1:A882,"Câu "&amp;"*")-MID(A882,5,FIND(".",A882,1)-5),0)</f>
        <v>0</v>
      </c>
      <c r="C882" t="b">
        <v>1</v>
      </c>
      <c r="E882" t="str">
        <f t="shared" si="78"/>
        <v>2</v>
      </c>
      <c r="F882" t="str">
        <f t="shared" si="79"/>
        <v>3</v>
      </c>
      <c r="G882" t="str">
        <f t="shared" si="80"/>
        <v>Câu 214.</v>
      </c>
      <c r="H882" t="str">
        <f t="shared" si="81"/>
        <v>1</v>
      </c>
      <c r="I882" t="str">
        <f t="shared" si="82"/>
        <v>2</v>
      </c>
      <c r="J882" t="str">
        <f t="shared" ca="1" si="83"/>
        <v/>
      </c>
    </row>
    <row r="883" spans="1:10" ht="18.75" x14ac:dyDescent="0.25">
      <c r="A883" s="11" t="s">
        <v>2363</v>
      </c>
      <c r="B883">
        <f>IFERROR(COUNTIFS($A$1:A883,"Câu "&amp;"*")-MID(A883,5,FIND(".",A883,1)-5),0)</f>
        <v>0</v>
      </c>
      <c r="C883" t="b">
        <v>0</v>
      </c>
      <c r="E883" t="str">
        <f t="shared" si="78"/>
        <v>3</v>
      </c>
      <c r="F883" t="str">
        <f t="shared" si="79"/>
        <v>Câu 214.</v>
      </c>
      <c r="G883" t="str">
        <f t="shared" si="80"/>
        <v>1</v>
      </c>
      <c r="H883" t="str">
        <f t="shared" si="81"/>
        <v>2</v>
      </c>
      <c r="I883" t="str">
        <f t="shared" si="82"/>
        <v>3</v>
      </c>
      <c r="J883" t="str">
        <f t="shared" ca="1" si="83"/>
        <v/>
      </c>
    </row>
    <row r="884" spans="1:10" ht="18.75" x14ac:dyDescent="0.25">
      <c r="A884" s="10" t="s">
        <v>751</v>
      </c>
      <c r="B884">
        <f>IFERROR(COUNTIFS($A$1:A884,"Câu "&amp;"*")-MID(A884,5,FIND(".",A884,1)-5),0)</f>
        <v>0</v>
      </c>
      <c r="C884" t="b">
        <v>0</v>
      </c>
      <c r="E884" t="str">
        <f t="shared" si="78"/>
        <v>Câu 214.</v>
      </c>
      <c r="F884" t="str">
        <f t="shared" si="79"/>
        <v>1</v>
      </c>
      <c r="G884" t="str">
        <f t="shared" si="80"/>
        <v>2</v>
      </c>
      <c r="H884" t="str">
        <f t="shared" si="81"/>
        <v>3</v>
      </c>
      <c r="I884" t="str">
        <f t="shared" si="82"/>
        <v/>
      </c>
      <c r="J884" t="str">
        <f t="shared" ca="1" si="83"/>
        <v>1</v>
      </c>
    </row>
    <row r="885" spans="1:10" ht="409.5" x14ac:dyDescent="0.25">
      <c r="A885" s="3" t="s">
        <v>2364</v>
      </c>
      <c r="B885">
        <f>IFERROR(COUNTIFS($A$1:A885,"Câu "&amp;"*")-MID(A885,5,FIND(".",A885,1)-5),0)</f>
        <v>0</v>
      </c>
      <c r="C885" t="b">
        <v>1</v>
      </c>
      <c r="E885" t="str">
        <f t="shared" si="78"/>
        <v>1</v>
      </c>
      <c r="F885" t="str">
        <f t="shared" si="79"/>
        <v>2</v>
      </c>
      <c r="G885" t="str">
        <f t="shared" si="80"/>
        <v>3</v>
      </c>
      <c r="H885" t="str">
        <f t="shared" si="81"/>
        <v/>
      </c>
      <c r="I885" t="str">
        <f t="shared" si="82"/>
        <v>1</v>
      </c>
      <c r="J885" t="str">
        <f t="shared" ca="1" si="83"/>
        <v/>
      </c>
    </row>
    <row r="886" spans="1:10" ht="409.5" x14ac:dyDescent="0.25">
      <c r="A886" s="3" t="s">
        <v>2365</v>
      </c>
      <c r="B886">
        <f>IFERROR(COUNTIFS($A$1:A886,"Câu "&amp;"*")-MID(A886,5,FIND(".",A886,1)-5),0)</f>
        <v>0</v>
      </c>
      <c r="C886" t="b">
        <v>0</v>
      </c>
      <c r="E886" t="str">
        <f t="shared" si="78"/>
        <v>2</v>
      </c>
      <c r="F886" t="str">
        <f t="shared" si="79"/>
        <v>3</v>
      </c>
      <c r="G886" t="str">
        <f t="shared" si="80"/>
        <v>Câu 215.</v>
      </c>
      <c r="H886" t="str">
        <f t="shared" si="81"/>
        <v>1</v>
      </c>
      <c r="I886" t="str">
        <f t="shared" si="82"/>
        <v>2</v>
      </c>
      <c r="J886" t="str">
        <f t="shared" ca="1" si="83"/>
        <v/>
      </c>
    </row>
    <row r="887" spans="1:10" ht="409.5" x14ac:dyDescent="0.25">
      <c r="A887" s="3" t="s">
        <v>2366</v>
      </c>
      <c r="B887">
        <f>IFERROR(COUNTIFS($A$1:A887,"Câu "&amp;"*")-MID(A887,5,FIND(".",A887,1)-5),0)</f>
        <v>0</v>
      </c>
      <c r="C887" t="b">
        <v>0</v>
      </c>
      <c r="E887" t="str">
        <f t="shared" si="78"/>
        <v>3</v>
      </c>
      <c r="F887" t="str">
        <f t="shared" si="79"/>
        <v>Câu 215.</v>
      </c>
      <c r="G887" t="str">
        <f t="shared" si="80"/>
        <v>1</v>
      </c>
      <c r="H887" t="str">
        <f t="shared" si="81"/>
        <v>2</v>
      </c>
      <c r="I887" t="str">
        <f t="shared" si="82"/>
        <v/>
      </c>
      <c r="J887" t="str">
        <f t="shared" ca="1" si="83"/>
        <v/>
      </c>
    </row>
    <row r="888" spans="1:10" ht="262.5" x14ac:dyDescent="0.25">
      <c r="A888" s="4" t="s">
        <v>755</v>
      </c>
      <c r="B888">
        <f>IFERROR(COUNTIFS($A$1:A888,"Câu "&amp;"*")-MID(A888,5,FIND(".",A888,1)-5),0)</f>
        <v>0</v>
      </c>
      <c r="C888" t="b">
        <v>0</v>
      </c>
      <c r="E888" t="str">
        <f t="shared" si="78"/>
        <v>Câu 215.</v>
      </c>
      <c r="F888" t="str">
        <f t="shared" si="79"/>
        <v>1</v>
      </c>
      <c r="G888" t="str">
        <f t="shared" si="80"/>
        <v>2</v>
      </c>
      <c r="H888" t="str">
        <f t="shared" si="81"/>
        <v/>
      </c>
      <c r="I888" t="str">
        <f t="shared" si="82"/>
        <v>1</v>
      </c>
      <c r="J888" t="str">
        <f t="shared" ca="1" si="83"/>
        <v>1</v>
      </c>
    </row>
    <row r="889" spans="1:10" ht="409.5" x14ac:dyDescent="0.25">
      <c r="A889" s="3" t="s">
        <v>2367</v>
      </c>
      <c r="B889">
        <f>IFERROR(COUNTIFS($A$1:A889,"Câu "&amp;"*")-MID(A889,5,FIND(".",A889,1)-5),0)</f>
        <v>0</v>
      </c>
      <c r="C889" t="b">
        <v>1</v>
      </c>
      <c r="E889" t="str">
        <f t="shared" si="78"/>
        <v>1</v>
      </c>
      <c r="F889" t="str">
        <f t="shared" si="79"/>
        <v>2</v>
      </c>
      <c r="G889" t="str">
        <f t="shared" si="80"/>
        <v>Câu 216.</v>
      </c>
      <c r="H889" t="str">
        <f t="shared" si="81"/>
        <v>1</v>
      </c>
      <c r="I889" t="str">
        <f t="shared" si="82"/>
        <v>2</v>
      </c>
      <c r="J889" t="str">
        <f t="shared" ca="1" si="83"/>
        <v/>
      </c>
    </row>
    <row r="890" spans="1:10" ht="375" x14ac:dyDescent="0.25">
      <c r="A890" s="3" t="s">
        <v>2368</v>
      </c>
      <c r="B890">
        <f>IFERROR(COUNTIFS($A$1:A890,"Câu "&amp;"*")-MID(A890,5,FIND(".",A890,1)-5),0)</f>
        <v>0</v>
      </c>
      <c r="C890" t="b">
        <v>0</v>
      </c>
      <c r="E890" t="str">
        <f t="shared" si="78"/>
        <v>2</v>
      </c>
      <c r="F890" t="str">
        <f t="shared" si="79"/>
        <v>Câu 216.</v>
      </c>
      <c r="G890" t="str">
        <f t="shared" si="80"/>
        <v>1</v>
      </c>
      <c r="H890" t="str">
        <f t="shared" si="81"/>
        <v>2</v>
      </c>
      <c r="I890" t="str">
        <f t="shared" si="82"/>
        <v>3</v>
      </c>
      <c r="J890" t="str">
        <f t="shared" ca="1" si="83"/>
        <v/>
      </c>
    </row>
    <row r="891" spans="1:10" ht="300" x14ac:dyDescent="0.25">
      <c r="A891" s="4" t="s">
        <v>758</v>
      </c>
      <c r="B891">
        <f>IFERROR(COUNTIFS($A$1:A891,"Câu "&amp;"*")-MID(A891,5,FIND(".",A891,1)-5),0)</f>
        <v>0</v>
      </c>
      <c r="C891" t="b">
        <v>0</v>
      </c>
      <c r="E891" t="str">
        <f t="shared" si="78"/>
        <v>Câu 216.</v>
      </c>
      <c r="F891" t="str">
        <f t="shared" si="79"/>
        <v>1</v>
      </c>
      <c r="G891" t="str">
        <f t="shared" si="80"/>
        <v>2</v>
      </c>
      <c r="H891" t="str">
        <f t="shared" si="81"/>
        <v>3</v>
      </c>
      <c r="I891" t="str">
        <f t="shared" si="82"/>
        <v/>
      </c>
      <c r="J891" t="str">
        <f t="shared" ca="1" si="83"/>
        <v>2</v>
      </c>
    </row>
    <row r="892" spans="1:10" ht="409.5" x14ac:dyDescent="0.25">
      <c r="A892" s="3" t="s">
        <v>2369</v>
      </c>
      <c r="B892">
        <f>IFERROR(COUNTIFS($A$1:A892,"Câu "&amp;"*")-MID(A892,5,FIND(".",A892,1)-5),0)</f>
        <v>0</v>
      </c>
      <c r="C892" t="b">
        <v>0</v>
      </c>
      <c r="E892" t="str">
        <f t="shared" si="78"/>
        <v>1</v>
      </c>
      <c r="F892" t="str">
        <f t="shared" si="79"/>
        <v>2</v>
      </c>
      <c r="G892" t="str">
        <f t="shared" si="80"/>
        <v>3</v>
      </c>
      <c r="H892" t="str">
        <f t="shared" si="81"/>
        <v/>
      </c>
      <c r="I892" t="str">
        <f t="shared" si="82"/>
        <v>1</v>
      </c>
      <c r="J892" t="str">
        <f t="shared" ca="1" si="83"/>
        <v/>
      </c>
    </row>
    <row r="893" spans="1:10" ht="375" x14ac:dyDescent="0.25">
      <c r="A893" s="3" t="s">
        <v>2370</v>
      </c>
      <c r="B893">
        <f>IFERROR(COUNTIFS($A$1:A893,"Câu "&amp;"*")-MID(A893,5,FIND(".",A893,1)-5),0)</f>
        <v>0</v>
      </c>
      <c r="C893" t="b">
        <v>1</v>
      </c>
      <c r="E893" t="str">
        <f t="shared" si="78"/>
        <v>2</v>
      </c>
      <c r="F893" t="str">
        <f t="shared" si="79"/>
        <v>3</v>
      </c>
      <c r="G893" t="str">
        <f t="shared" si="80"/>
        <v>Câu 217.</v>
      </c>
      <c r="H893" t="str">
        <f t="shared" si="81"/>
        <v>1</v>
      </c>
      <c r="I893" t="str">
        <f t="shared" si="82"/>
        <v>2</v>
      </c>
      <c r="J893" t="str">
        <f t="shared" ca="1" si="83"/>
        <v/>
      </c>
    </row>
    <row r="894" spans="1:10" ht="409.5" x14ac:dyDescent="0.25">
      <c r="A894" s="3" t="s">
        <v>2371</v>
      </c>
      <c r="B894">
        <f>IFERROR(COUNTIFS($A$1:A894,"Câu "&amp;"*")-MID(A894,5,FIND(".",A894,1)-5),0)</f>
        <v>0</v>
      </c>
      <c r="C894" t="b">
        <v>0</v>
      </c>
      <c r="E894" t="str">
        <f t="shared" si="78"/>
        <v>3</v>
      </c>
      <c r="F894" t="str">
        <f t="shared" si="79"/>
        <v>Câu 217.</v>
      </c>
      <c r="G894" t="str">
        <f t="shared" si="80"/>
        <v>1</v>
      </c>
      <c r="H894" t="str">
        <f t="shared" si="81"/>
        <v>2</v>
      </c>
      <c r="I894" t="str">
        <f t="shared" si="82"/>
        <v/>
      </c>
      <c r="J894" t="str">
        <f t="shared" ca="1" si="83"/>
        <v/>
      </c>
    </row>
    <row r="895" spans="1:10" ht="300" x14ac:dyDescent="0.25">
      <c r="A895" s="4" t="s">
        <v>762</v>
      </c>
      <c r="B895">
        <f>IFERROR(COUNTIFS($A$1:A895,"Câu "&amp;"*")-MID(A895,5,FIND(".",A895,1)-5),0)</f>
        <v>0</v>
      </c>
      <c r="C895" t="b">
        <v>0</v>
      </c>
      <c r="E895" t="str">
        <f t="shared" si="78"/>
        <v>Câu 217.</v>
      </c>
      <c r="F895" t="str">
        <f t="shared" si="79"/>
        <v>1</v>
      </c>
      <c r="G895" t="str">
        <f t="shared" si="80"/>
        <v>2</v>
      </c>
      <c r="H895" t="str">
        <f t="shared" si="81"/>
        <v/>
      </c>
      <c r="I895" t="str">
        <f t="shared" si="82"/>
        <v>1</v>
      </c>
      <c r="J895" t="str">
        <f t="shared" ca="1" si="83"/>
        <v>1</v>
      </c>
    </row>
    <row r="896" spans="1:10" ht="409.5" x14ac:dyDescent="0.25">
      <c r="A896" s="3" t="s">
        <v>2372</v>
      </c>
      <c r="B896">
        <f>IFERROR(COUNTIFS($A$1:A896,"Câu "&amp;"*")-MID(A896,5,FIND(".",A896,1)-5),0)</f>
        <v>0</v>
      </c>
      <c r="C896" t="b">
        <v>1</v>
      </c>
      <c r="E896" t="str">
        <f t="shared" si="78"/>
        <v>1</v>
      </c>
      <c r="F896" t="str">
        <f t="shared" si="79"/>
        <v>2</v>
      </c>
      <c r="G896" t="str">
        <f t="shared" si="80"/>
        <v>Câu 218.</v>
      </c>
      <c r="H896" t="str">
        <f t="shared" si="81"/>
        <v>1</v>
      </c>
      <c r="I896" t="str">
        <f t="shared" si="82"/>
        <v>2</v>
      </c>
      <c r="J896" t="str">
        <f t="shared" ca="1" si="83"/>
        <v/>
      </c>
    </row>
    <row r="897" spans="1:10" ht="409.5" x14ac:dyDescent="0.25">
      <c r="A897" s="3" t="s">
        <v>2373</v>
      </c>
      <c r="B897">
        <f>IFERROR(COUNTIFS($A$1:A897,"Câu "&amp;"*")-MID(A897,5,FIND(".",A897,1)-5),0)</f>
        <v>0</v>
      </c>
      <c r="C897" t="b">
        <v>0</v>
      </c>
      <c r="E897" t="str">
        <f t="shared" si="78"/>
        <v>2</v>
      </c>
      <c r="F897" t="str">
        <f t="shared" si="79"/>
        <v>Câu 218.</v>
      </c>
      <c r="G897" t="str">
        <f t="shared" si="80"/>
        <v>1</v>
      </c>
      <c r="H897" t="str">
        <f t="shared" si="81"/>
        <v>2</v>
      </c>
      <c r="I897" t="str">
        <f t="shared" si="82"/>
        <v>3</v>
      </c>
      <c r="J897" t="str">
        <f t="shared" ca="1" si="83"/>
        <v/>
      </c>
    </row>
    <row r="898" spans="1:10" ht="409.5" x14ac:dyDescent="0.25">
      <c r="A898" s="4" t="s">
        <v>765</v>
      </c>
      <c r="B898">
        <f>IFERROR(COUNTIFS($A$1:A898,"Câu "&amp;"*")-MID(A898,5,FIND(".",A898,1)-5),0)</f>
        <v>0</v>
      </c>
      <c r="C898" t="b">
        <v>0</v>
      </c>
      <c r="E898" t="str">
        <f t="shared" si="78"/>
        <v>Câu 218.</v>
      </c>
      <c r="F898" t="str">
        <f t="shared" si="79"/>
        <v>1</v>
      </c>
      <c r="G898" t="str">
        <f t="shared" si="80"/>
        <v>2</v>
      </c>
      <c r="H898" t="str">
        <f t="shared" si="81"/>
        <v>3</v>
      </c>
      <c r="I898" t="str">
        <f t="shared" si="82"/>
        <v/>
      </c>
      <c r="J898" t="str">
        <f t="shared" ca="1" si="83"/>
        <v>3</v>
      </c>
    </row>
    <row r="899" spans="1:10" ht="393.75" x14ac:dyDescent="0.25">
      <c r="A899" s="3" t="s">
        <v>2374</v>
      </c>
      <c r="B899">
        <f>IFERROR(COUNTIFS($A$1:A899,"Câu "&amp;"*")-MID(A899,5,FIND(".",A899,1)-5),0)</f>
        <v>0</v>
      </c>
      <c r="C899" t="b">
        <v>0</v>
      </c>
      <c r="E899" t="str">
        <f t="shared" ref="E899:E962" si="84">IF(LEFT(A899,3)="Câu",LEFT(A899,FIND(".",A899,1)),LEFT(A899,1))</f>
        <v>1</v>
      </c>
      <c r="F899" t="str">
        <f t="shared" ref="F899:F962" si="85">IF(LEFT(A900,3)="Câu",LEFT(A900,FIND(".",A900,1)),LEFT(A900,1))</f>
        <v>2</v>
      </c>
      <c r="G899" t="str">
        <f t="shared" ref="G899:G962" si="86">IF(LEFT(A901,3)="Câu",LEFT(A901,FIND(".",A901,1)),LEFT(A901,1))</f>
        <v>3</v>
      </c>
      <c r="H899" t="str">
        <f t="shared" ref="H899:H962" si="87">IF(LEFT(A902,3)="Câu","",LEFT(A902,1))</f>
        <v/>
      </c>
      <c r="I899" t="str">
        <f t="shared" ref="I899:I962" si="88">IF(LEFT(A903,3)="Câu","",LEFT(A903,1))</f>
        <v>1</v>
      </c>
      <c r="J899" t="str">
        <f t="shared" ref="J899:J962" ca="1" si="89">IFERROR(VLOOKUP(TRUE,INDIRECT("C"&amp;MATCH(E899,$E$1:$E$2471,0)&amp;":E"&amp;MATCH("Câu "&amp;VALUE(MID(E899,5,LEN(E899)-5))+1&amp;".",$E$1:$E$2471,0)),3,0),"")</f>
        <v/>
      </c>
    </row>
    <row r="900" spans="1:10" ht="225" x14ac:dyDescent="0.25">
      <c r="A900" s="3" t="s">
        <v>2375</v>
      </c>
      <c r="B900">
        <f>IFERROR(COUNTIFS($A$1:A900,"Câu "&amp;"*")-MID(A900,5,FIND(".",A900,1)-5),0)</f>
        <v>0</v>
      </c>
      <c r="C900" t="b">
        <v>0</v>
      </c>
      <c r="E900" t="str">
        <f t="shared" si="84"/>
        <v>2</v>
      </c>
      <c r="F900" t="str">
        <f t="shared" si="85"/>
        <v>3</v>
      </c>
      <c r="G900" t="str">
        <f t="shared" si="86"/>
        <v>Câu 219.</v>
      </c>
      <c r="H900" t="str">
        <f t="shared" si="87"/>
        <v>1</v>
      </c>
      <c r="I900" t="str">
        <f t="shared" si="88"/>
        <v>2</v>
      </c>
      <c r="J900" t="str">
        <f t="shared" ca="1" si="89"/>
        <v/>
      </c>
    </row>
    <row r="901" spans="1:10" ht="409.5" x14ac:dyDescent="0.25">
      <c r="A901" s="3" t="s">
        <v>2376</v>
      </c>
      <c r="B901">
        <f>IFERROR(COUNTIFS($A$1:A901,"Câu "&amp;"*")-MID(A901,5,FIND(".",A901,1)-5),0)</f>
        <v>0</v>
      </c>
      <c r="C901" t="b">
        <v>1</v>
      </c>
      <c r="E901" t="str">
        <f t="shared" si="84"/>
        <v>3</v>
      </c>
      <c r="F901" t="str">
        <f t="shared" si="85"/>
        <v>Câu 219.</v>
      </c>
      <c r="G901" t="str">
        <f t="shared" si="86"/>
        <v>1</v>
      </c>
      <c r="H901" t="str">
        <f t="shared" si="87"/>
        <v>2</v>
      </c>
      <c r="I901" t="str">
        <f t="shared" si="88"/>
        <v>3</v>
      </c>
      <c r="J901" t="str">
        <f t="shared" ca="1" si="89"/>
        <v/>
      </c>
    </row>
    <row r="902" spans="1:10" ht="356.25" x14ac:dyDescent="0.25">
      <c r="A902" s="4" t="s">
        <v>769</v>
      </c>
      <c r="B902">
        <f>IFERROR(COUNTIFS($A$1:A902,"Câu "&amp;"*")-MID(A902,5,FIND(".",A902,1)-5),0)</f>
        <v>0</v>
      </c>
      <c r="C902" t="b">
        <v>0</v>
      </c>
      <c r="E902" t="str">
        <f t="shared" si="84"/>
        <v>Câu 219.</v>
      </c>
      <c r="F902" t="str">
        <f t="shared" si="85"/>
        <v>1</v>
      </c>
      <c r="G902" t="str">
        <f t="shared" si="86"/>
        <v>2</v>
      </c>
      <c r="H902" t="str">
        <f t="shared" si="87"/>
        <v>3</v>
      </c>
      <c r="I902" t="str">
        <f t="shared" si="88"/>
        <v/>
      </c>
      <c r="J902" t="str">
        <f t="shared" ca="1" si="89"/>
        <v>3</v>
      </c>
    </row>
    <row r="903" spans="1:10" ht="409.5" x14ac:dyDescent="0.25">
      <c r="A903" s="3" t="s">
        <v>2377</v>
      </c>
      <c r="B903">
        <f>IFERROR(COUNTIFS($A$1:A903,"Câu "&amp;"*")-MID(A903,5,FIND(".",A903,1)-5),0)</f>
        <v>0</v>
      </c>
      <c r="C903" t="b">
        <v>0</v>
      </c>
      <c r="E903" t="str">
        <f t="shared" si="84"/>
        <v>1</v>
      </c>
      <c r="F903" t="str">
        <f t="shared" si="85"/>
        <v>2</v>
      </c>
      <c r="G903" t="str">
        <f t="shared" si="86"/>
        <v>3</v>
      </c>
      <c r="H903" t="str">
        <f t="shared" si="87"/>
        <v/>
      </c>
      <c r="I903" t="str">
        <f t="shared" si="88"/>
        <v>1</v>
      </c>
      <c r="J903" t="str">
        <f t="shared" ca="1" si="89"/>
        <v/>
      </c>
    </row>
    <row r="904" spans="1:10" ht="409.5" x14ac:dyDescent="0.25">
      <c r="A904" s="3" t="s">
        <v>2378</v>
      </c>
      <c r="B904">
        <f>IFERROR(COUNTIFS($A$1:A904,"Câu "&amp;"*")-MID(A904,5,FIND(".",A904,1)-5),0)</f>
        <v>0</v>
      </c>
      <c r="C904" t="b">
        <v>0</v>
      </c>
      <c r="E904" t="str">
        <f t="shared" si="84"/>
        <v>2</v>
      </c>
      <c r="F904" t="str">
        <f t="shared" si="85"/>
        <v>3</v>
      </c>
      <c r="G904" t="str">
        <f t="shared" si="86"/>
        <v>Câu 220.</v>
      </c>
      <c r="H904" t="str">
        <f t="shared" si="87"/>
        <v>1</v>
      </c>
      <c r="I904" t="str">
        <f t="shared" si="88"/>
        <v>2</v>
      </c>
      <c r="J904" t="str">
        <f t="shared" ca="1" si="89"/>
        <v/>
      </c>
    </row>
    <row r="905" spans="1:10" ht="37.5" x14ac:dyDescent="0.25">
      <c r="A905" s="3" t="s">
        <v>1825</v>
      </c>
      <c r="B905">
        <f>IFERROR(COUNTIFS($A$1:A905,"Câu "&amp;"*")-MID(A905,5,FIND(".",A905,1)-5),0)</f>
        <v>0</v>
      </c>
      <c r="C905" t="b">
        <v>1</v>
      </c>
      <c r="E905" t="str">
        <f t="shared" si="84"/>
        <v>3</v>
      </c>
      <c r="F905" t="str">
        <f t="shared" si="85"/>
        <v>Câu 220.</v>
      </c>
      <c r="G905" t="str">
        <f t="shared" si="86"/>
        <v>1</v>
      </c>
      <c r="H905" t="str">
        <f t="shared" si="87"/>
        <v>2</v>
      </c>
      <c r="I905" t="str">
        <f t="shared" si="88"/>
        <v>3</v>
      </c>
      <c r="J905" t="str">
        <f t="shared" ca="1" si="89"/>
        <v/>
      </c>
    </row>
    <row r="906" spans="1:10" ht="262.5" x14ac:dyDescent="0.25">
      <c r="A906" s="4" t="s">
        <v>772</v>
      </c>
      <c r="B906">
        <f>IFERROR(COUNTIFS($A$1:A906,"Câu "&amp;"*")-MID(A906,5,FIND(".",A906,1)-5),0)</f>
        <v>0</v>
      </c>
      <c r="C906" t="b">
        <v>0</v>
      </c>
      <c r="E906" t="str">
        <f t="shared" si="84"/>
        <v>Câu 220.</v>
      </c>
      <c r="F906" t="str">
        <f t="shared" si="85"/>
        <v>1</v>
      </c>
      <c r="G906" t="str">
        <f t="shared" si="86"/>
        <v>2</v>
      </c>
      <c r="H906" t="str">
        <f t="shared" si="87"/>
        <v>3</v>
      </c>
      <c r="I906" t="str">
        <f t="shared" si="88"/>
        <v>4</v>
      </c>
      <c r="J906" t="str">
        <f t="shared" ca="1" si="89"/>
        <v>4</v>
      </c>
    </row>
    <row r="907" spans="1:10" ht="409.5" x14ac:dyDescent="0.25">
      <c r="A907" s="3" t="s">
        <v>2379</v>
      </c>
      <c r="B907">
        <f>IFERROR(COUNTIFS($A$1:A907,"Câu "&amp;"*")-MID(A907,5,FIND(".",A907,1)-5),0)</f>
        <v>0</v>
      </c>
      <c r="C907" t="b">
        <v>0</v>
      </c>
      <c r="E907" t="str">
        <f t="shared" si="84"/>
        <v>1</v>
      </c>
      <c r="F907" t="str">
        <f t="shared" si="85"/>
        <v>2</v>
      </c>
      <c r="G907" t="str">
        <f t="shared" si="86"/>
        <v>3</v>
      </c>
      <c r="H907" t="str">
        <f t="shared" si="87"/>
        <v>4</v>
      </c>
      <c r="I907" t="str">
        <f t="shared" si="88"/>
        <v/>
      </c>
      <c r="J907" t="str">
        <f t="shared" ca="1" si="89"/>
        <v/>
      </c>
    </row>
    <row r="908" spans="1:10" ht="225" x14ac:dyDescent="0.25">
      <c r="A908" s="3" t="s">
        <v>2380</v>
      </c>
      <c r="B908">
        <f>IFERROR(COUNTIFS($A$1:A908,"Câu "&amp;"*")-MID(A908,5,FIND(".",A908,1)-5),0)</f>
        <v>0</v>
      </c>
      <c r="C908" t="b">
        <v>0</v>
      </c>
      <c r="E908" t="str">
        <f t="shared" si="84"/>
        <v>2</v>
      </c>
      <c r="F908" t="str">
        <f t="shared" si="85"/>
        <v>3</v>
      </c>
      <c r="G908" t="str">
        <f t="shared" si="86"/>
        <v>4</v>
      </c>
      <c r="H908" t="str">
        <f t="shared" si="87"/>
        <v/>
      </c>
      <c r="I908" t="str">
        <f t="shared" si="88"/>
        <v>1</v>
      </c>
      <c r="J908" t="str">
        <f t="shared" ca="1" si="89"/>
        <v/>
      </c>
    </row>
    <row r="909" spans="1:10" ht="409.5" x14ac:dyDescent="0.25">
      <c r="A909" s="3" t="s">
        <v>2381</v>
      </c>
      <c r="B909">
        <f>IFERROR(COUNTIFS($A$1:A909,"Câu "&amp;"*")-MID(A909,5,FIND(".",A909,1)-5),0)</f>
        <v>0</v>
      </c>
      <c r="C909" t="b">
        <v>0</v>
      </c>
      <c r="E909" t="str">
        <f t="shared" si="84"/>
        <v>3</v>
      </c>
      <c r="F909" t="str">
        <f t="shared" si="85"/>
        <v>4</v>
      </c>
      <c r="G909" t="str">
        <f t="shared" si="86"/>
        <v>Câu 221.</v>
      </c>
      <c r="H909" t="str">
        <f t="shared" si="87"/>
        <v>1</v>
      </c>
      <c r="I909" t="str">
        <f t="shared" si="88"/>
        <v>2</v>
      </c>
      <c r="J909" t="str">
        <f t="shared" ca="1" si="89"/>
        <v/>
      </c>
    </row>
    <row r="910" spans="1:10" ht="37.5" x14ac:dyDescent="0.25">
      <c r="A910" s="3" t="s">
        <v>2382</v>
      </c>
      <c r="B910">
        <f>IFERROR(COUNTIFS($A$1:A910,"Câu "&amp;"*")-MID(A910,5,FIND(".",A910,1)-5),0)</f>
        <v>0</v>
      </c>
      <c r="C910" t="b">
        <v>1</v>
      </c>
      <c r="E910" t="str">
        <f t="shared" si="84"/>
        <v>4</v>
      </c>
      <c r="F910" t="str">
        <f t="shared" si="85"/>
        <v>Câu 221.</v>
      </c>
      <c r="G910" t="str">
        <f t="shared" si="86"/>
        <v>1</v>
      </c>
      <c r="H910" t="str">
        <f t="shared" si="87"/>
        <v>2</v>
      </c>
      <c r="I910" t="str">
        <f t="shared" si="88"/>
        <v/>
      </c>
      <c r="J910" t="str">
        <f t="shared" ca="1" si="89"/>
        <v/>
      </c>
    </row>
    <row r="911" spans="1:10" ht="243.75" x14ac:dyDescent="0.25">
      <c r="A911" s="4" t="s">
        <v>777</v>
      </c>
      <c r="B911">
        <f>IFERROR(COUNTIFS($A$1:A911,"Câu "&amp;"*")-MID(A911,5,FIND(".",A911,1)-5),0)</f>
        <v>0</v>
      </c>
      <c r="C911" t="b">
        <v>0</v>
      </c>
      <c r="E911" t="str">
        <f t="shared" si="84"/>
        <v>Câu 221.</v>
      </c>
      <c r="F911" t="str">
        <f t="shared" si="85"/>
        <v>1</v>
      </c>
      <c r="G911" t="str">
        <f t="shared" si="86"/>
        <v>2</v>
      </c>
      <c r="H911" t="str">
        <f t="shared" si="87"/>
        <v/>
      </c>
      <c r="I911" t="str">
        <f t="shared" si="88"/>
        <v>1</v>
      </c>
      <c r="J911" t="str">
        <f t="shared" ca="1" si="89"/>
        <v>1</v>
      </c>
    </row>
    <row r="912" spans="1:10" ht="18.75" x14ac:dyDescent="0.25">
      <c r="A912" s="11" t="s">
        <v>2383</v>
      </c>
      <c r="B912">
        <f>IFERROR(COUNTIFS($A$1:A912,"Câu "&amp;"*")-MID(A912,5,FIND(".",A912,1)-5),0)</f>
        <v>0</v>
      </c>
      <c r="C912" t="b">
        <v>1</v>
      </c>
      <c r="E912" t="str">
        <f t="shared" si="84"/>
        <v>1</v>
      </c>
      <c r="F912" t="str">
        <f t="shared" si="85"/>
        <v>2</v>
      </c>
      <c r="G912" t="str">
        <f t="shared" si="86"/>
        <v>Câu 222.</v>
      </c>
      <c r="H912" t="str">
        <f t="shared" si="87"/>
        <v>1</v>
      </c>
      <c r="I912" t="str">
        <f t="shared" si="88"/>
        <v>2</v>
      </c>
      <c r="J912" t="str">
        <f t="shared" ca="1" si="89"/>
        <v/>
      </c>
    </row>
    <row r="913" spans="1:10" ht="18.75" x14ac:dyDescent="0.25">
      <c r="A913" s="11" t="s">
        <v>3066</v>
      </c>
      <c r="B913">
        <f>IFERROR(COUNTIFS($A$1:A913,"Câu "&amp;"*")-MID(A913,5,FIND(".",A913,1)-5),0)</f>
        <v>0</v>
      </c>
      <c r="C913" t="b">
        <v>0</v>
      </c>
      <c r="E913" t="str">
        <f t="shared" si="84"/>
        <v>2</v>
      </c>
      <c r="F913" t="str">
        <f t="shared" si="85"/>
        <v>Câu 222.</v>
      </c>
      <c r="G913" t="str">
        <f t="shared" si="86"/>
        <v>1</v>
      </c>
      <c r="H913" t="str">
        <f t="shared" si="87"/>
        <v>2</v>
      </c>
      <c r="I913" t="str">
        <f t="shared" si="88"/>
        <v/>
      </c>
      <c r="J913" t="str">
        <f t="shared" ca="1" si="89"/>
        <v/>
      </c>
    </row>
    <row r="914" spans="1:10" ht="18.75" x14ac:dyDescent="0.25">
      <c r="A914" s="10" t="s">
        <v>1758</v>
      </c>
      <c r="B914">
        <f>IFERROR(COUNTIFS($A$1:A914,"Câu "&amp;"*")-MID(A914,5,FIND(".",A914,1)-5),0)</f>
        <v>0</v>
      </c>
      <c r="C914" t="b">
        <v>0</v>
      </c>
      <c r="E914" t="str">
        <f t="shared" si="84"/>
        <v>Câu 222.</v>
      </c>
      <c r="F914" t="str">
        <f t="shared" si="85"/>
        <v>1</v>
      </c>
      <c r="G914" t="str">
        <f t="shared" si="86"/>
        <v>2</v>
      </c>
      <c r="H914" t="str">
        <f t="shared" si="87"/>
        <v/>
      </c>
      <c r="I914" t="str">
        <f t="shared" si="88"/>
        <v>1</v>
      </c>
      <c r="J914" t="str">
        <f t="shared" ca="1" si="89"/>
        <v>2</v>
      </c>
    </row>
    <row r="915" spans="1:10" ht="18.75" x14ac:dyDescent="0.25">
      <c r="A915" s="11" t="s">
        <v>2384</v>
      </c>
      <c r="B915">
        <f>IFERROR(COUNTIFS($A$1:A915,"Câu "&amp;"*")-MID(A915,5,FIND(".",A915,1)-5),0)</f>
        <v>0</v>
      </c>
      <c r="C915" t="b">
        <v>0</v>
      </c>
      <c r="E915" t="str">
        <f t="shared" si="84"/>
        <v>1</v>
      </c>
      <c r="F915" t="str">
        <f t="shared" si="85"/>
        <v>2</v>
      </c>
      <c r="G915" t="str">
        <f t="shared" si="86"/>
        <v>Câu 223.</v>
      </c>
      <c r="H915" t="str">
        <f t="shared" si="87"/>
        <v>1</v>
      </c>
      <c r="I915" t="str">
        <f t="shared" si="88"/>
        <v>2</v>
      </c>
      <c r="J915" t="str">
        <f t="shared" ca="1" si="89"/>
        <v/>
      </c>
    </row>
    <row r="916" spans="1:10" ht="18.75" x14ac:dyDescent="0.25">
      <c r="A916" s="11" t="s">
        <v>2385</v>
      </c>
      <c r="B916">
        <f>IFERROR(COUNTIFS($A$1:A916,"Câu "&amp;"*")-MID(A916,5,FIND(".",A916,1)-5),0)</f>
        <v>0</v>
      </c>
      <c r="C916" t="b">
        <v>1</v>
      </c>
      <c r="E916" t="str">
        <f t="shared" si="84"/>
        <v>2</v>
      </c>
      <c r="F916" t="str">
        <f t="shared" si="85"/>
        <v>Câu 223.</v>
      </c>
      <c r="G916" t="str">
        <f t="shared" si="86"/>
        <v>1</v>
      </c>
      <c r="H916" t="str">
        <f t="shared" si="87"/>
        <v>2</v>
      </c>
      <c r="I916" t="str">
        <f t="shared" si="88"/>
        <v>3</v>
      </c>
      <c r="J916" t="str">
        <f t="shared" ca="1" si="89"/>
        <v/>
      </c>
    </row>
    <row r="917" spans="1:10" ht="18.75" x14ac:dyDescent="0.25">
      <c r="A917" s="10" t="s">
        <v>781</v>
      </c>
      <c r="B917">
        <f>IFERROR(COUNTIFS($A$1:A917,"Câu "&amp;"*")-MID(A917,5,FIND(".",A917,1)-5),0)</f>
        <v>0</v>
      </c>
      <c r="C917" t="b">
        <v>0</v>
      </c>
      <c r="E917" t="str">
        <f t="shared" si="84"/>
        <v>Câu 223.</v>
      </c>
      <c r="F917" t="str">
        <f t="shared" si="85"/>
        <v>1</v>
      </c>
      <c r="G917" t="str">
        <f t="shared" si="86"/>
        <v>2</v>
      </c>
      <c r="H917" t="str">
        <f t="shared" si="87"/>
        <v>3</v>
      </c>
      <c r="I917" t="str">
        <f t="shared" si="88"/>
        <v/>
      </c>
      <c r="J917" t="str">
        <f t="shared" ca="1" si="89"/>
        <v>2</v>
      </c>
    </row>
    <row r="918" spans="1:10" ht="18.75" x14ac:dyDescent="0.25">
      <c r="A918" s="11" t="s">
        <v>2386</v>
      </c>
      <c r="B918">
        <f>IFERROR(COUNTIFS($A$1:A918,"Câu "&amp;"*")-MID(A918,5,FIND(".",A918,1)-5),0)</f>
        <v>0</v>
      </c>
      <c r="C918" t="b">
        <v>0</v>
      </c>
      <c r="E918" t="str">
        <f t="shared" si="84"/>
        <v>1</v>
      </c>
      <c r="F918" t="str">
        <f t="shared" si="85"/>
        <v>2</v>
      </c>
      <c r="G918" t="str">
        <f t="shared" si="86"/>
        <v>3</v>
      </c>
      <c r="H918" t="str">
        <f t="shared" si="87"/>
        <v/>
      </c>
      <c r="I918" t="str">
        <f t="shared" si="88"/>
        <v>1</v>
      </c>
      <c r="J918" t="str">
        <f t="shared" ca="1" si="89"/>
        <v/>
      </c>
    </row>
    <row r="919" spans="1:10" ht="18.75" x14ac:dyDescent="0.25">
      <c r="A919" s="11" t="s">
        <v>2387</v>
      </c>
      <c r="B919">
        <f>IFERROR(COUNTIFS($A$1:A919,"Câu "&amp;"*")-MID(A919,5,FIND(".",A919,1)-5),0)</f>
        <v>0</v>
      </c>
      <c r="C919" t="b">
        <v>1</v>
      </c>
      <c r="E919" t="str">
        <f t="shared" si="84"/>
        <v>2</v>
      </c>
      <c r="F919" t="str">
        <f t="shared" si="85"/>
        <v>3</v>
      </c>
      <c r="G919" t="str">
        <f t="shared" si="86"/>
        <v>Câu 224.</v>
      </c>
      <c r="H919" t="str">
        <f t="shared" si="87"/>
        <v>1</v>
      </c>
      <c r="I919" t="str">
        <f t="shared" si="88"/>
        <v>2</v>
      </c>
      <c r="J919" t="str">
        <f t="shared" ca="1" si="89"/>
        <v/>
      </c>
    </row>
    <row r="920" spans="1:10" ht="18.75" x14ac:dyDescent="0.25">
      <c r="A920" s="11" t="s">
        <v>2388</v>
      </c>
      <c r="B920">
        <f>IFERROR(COUNTIFS($A$1:A920,"Câu "&amp;"*")-MID(A920,5,FIND(".",A920,1)-5),0)</f>
        <v>0</v>
      </c>
      <c r="C920" t="b">
        <v>0</v>
      </c>
      <c r="E920" t="str">
        <f t="shared" si="84"/>
        <v>3</v>
      </c>
      <c r="F920" t="str">
        <f t="shared" si="85"/>
        <v>Câu 224.</v>
      </c>
      <c r="G920" t="str">
        <f t="shared" si="86"/>
        <v>1</v>
      </c>
      <c r="H920" t="str">
        <f t="shared" si="87"/>
        <v>2</v>
      </c>
      <c r="I920" t="str">
        <f t="shared" si="88"/>
        <v>3</v>
      </c>
      <c r="J920" t="str">
        <f t="shared" ca="1" si="89"/>
        <v/>
      </c>
    </row>
    <row r="921" spans="1:10" ht="18.75" x14ac:dyDescent="0.25">
      <c r="A921" s="10" t="s">
        <v>785</v>
      </c>
      <c r="B921">
        <f>IFERROR(COUNTIFS($A$1:A921,"Câu "&amp;"*")-MID(A921,5,FIND(".",A921,1)-5),0)</f>
        <v>0</v>
      </c>
      <c r="C921" t="b">
        <v>0</v>
      </c>
      <c r="E921" t="str">
        <f t="shared" si="84"/>
        <v>Câu 224.</v>
      </c>
      <c r="F921" t="str">
        <f t="shared" si="85"/>
        <v>1</v>
      </c>
      <c r="G921" t="str">
        <f t="shared" si="86"/>
        <v>2</v>
      </c>
      <c r="H921" t="str">
        <f t="shared" si="87"/>
        <v>3</v>
      </c>
      <c r="I921" t="str">
        <f t="shared" si="88"/>
        <v/>
      </c>
      <c r="J921" t="str">
        <f t="shared" ca="1" si="89"/>
        <v>3</v>
      </c>
    </row>
    <row r="922" spans="1:10" ht="18.75" x14ac:dyDescent="0.25">
      <c r="A922" s="11" t="s">
        <v>2389</v>
      </c>
      <c r="B922">
        <f>IFERROR(COUNTIFS($A$1:A922,"Câu "&amp;"*")-MID(A922,5,FIND(".",A922,1)-5),0)</f>
        <v>0</v>
      </c>
      <c r="C922" t="b">
        <v>0</v>
      </c>
      <c r="E922" t="str">
        <f t="shared" si="84"/>
        <v>1</v>
      </c>
      <c r="F922" t="str">
        <f t="shared" si="85"/>
        <v>2</v>
      </c>
      <c r="G922" t="str">
        <f t="shared" si="86"/>
        <v>3</v>
      </c>
      <c r="H922" t="str">
        <f t="shared" si="87"/>
        <v/>
      </c>
      <c r="I922" t="str">
        <f t="shared" si="88"/>
        <v>1</v>
      </c>
      <c r="J922" t="str">
        <f t="shared" ca="1" si="89"/>
        <v/>
      </c>
    </row>
    <row r="923" spans="1:10" ht="18.75" x14ac:dyDescent="0.25">
      <c r="A923" s="11" t="s">
        <v>2390</v>
      </c>
      <c r="B923">
        <f>IFERROR(COUNTIFS($A$1:A923,"Câu "&amp;"*")-MID(A923,5,FIND(".",A923,1)-5),0)</f>
        <v>0</v>
      </c>
      <c r="C923" t="b">
        <v>0</v>
      </c>
      <c r="E923" t="str">
        <f t="shared" si="84"/>
        <v>2</v>
      </c>
      <c r="F923" t="str">
        <f t="shared" si="85"/>
        <v>3</v>
      </c>
      <c r="G923" t="str">
        <f t="shared" si="86"/>
        <v>Câu 225.</v>
      </c>
      <c r="H923" t="str">
        <f t="shared" si="87"/>
        <v>1</v>
      </c>
      <c r="I923" t="str">
        <f t="shared" si="88"/>
        <v>2</v>
      </c>
      <c r="J923" t="str">
        <f t="shared" ca="1" si="89"/>
        <v/>
      </c>
    </row>
    <row r="924" spans="1:10" ht="375" x14ac:dyDescent="0.25">
      <c r="A924" s="9" t="s">
        <v>3067</v>
      </c>
      <c r="B924">
        <f>IFERROR(COUNTIFS($A$1:A924,"Câu "&amp;"*")-MID(A924,5,FIND(".",A924,1)-5),0)</f>
        <v>0</v>
      </c>
      <c r="C924" t="b">
        <v>1</v>
      </c>
      <c r="E924" t="str">
        <f t="shared" si="84"/>
        <v>3</v>
      </c>
      <c r="F924" t="str">
        <f t="shared" si="85"/>
        <v>Câu 225.</v>
      </c>
      <c r="G924" t="str">
        <f t="shared" si="86"/>
        <v>1</v>
      </c>
      <c r="H924" t="str">
        <f t="shared" si="87"/>
        <v>2</v>
      </c>
      <c r="I924" t="str">
        <f t="shared" si="88"/>
        <v>3</v>
      </c>
      <c r="J924" t="str">
        <f t="shared" ca="1" si="89"/>
        <v/>
      </c>
    </row>
    <row r="925" spans="1:10" ht="18.75" x14ac:dyDescent="0.25">
      <c r="A925" s="10" t="s">
        <v>1760</v>
      </c>
      <c r="B925">
        <f>IFERROR(COUNTIFS($A$1:A925,"Câu "&amp;"*")-MID(A925,5,FIND(".",A925,1)-5),0)</f>
        <v>0</v>
      </c>
      <c r="C925" t="b">
        <v>0</v>
      </c>
      <c r="E925" t="str">
        <f t="shared" si="84"/>
        <v>Câu 225.</v>
      </c>
      <c r="F925" t="str">
        <f t="shared" si="85"/>
        <v>1</v>
      </c>
      <c r="G925" t="str">
        <f t="shared" si="86"/>
        <v>2</v>
      </c>
      <c r="H925" t="str">
        <f t="shared" si="87"/>
        <v>3</v>
      </c>
      <c r="I925" t="str">
        <f t="shared" si="88"/>
        <v/>
      </c>
      <c r="J925" t="str">
        <f t="shared" ca="1" si="89"/>
        <v>1</v>
      </c>
    </row>
    <row r="926" spans="1:10" ht="18.75" x14ac:dyDescent="0.25">
      <c r="A926" s="11" t="s">
        <v>2391</v>
      </c>
      <c r="B926">
        <f>IFERROR(COUNTIFS($A$1:A926,"Câu "&amp;"*")-MID(A926,5,FIND(".",A926,1)-5),0)</f>
        <v>0</v>
      </c>
      <c r="C926" t="b">
        <v>1</v>
      </c>
      <c r="E926" t="str">
        <f t="shared" si="84"/>
        <v>1</v>
      </c>
      <c r="F926" t="str">
        <f t="shared" si="85"/>
        <v>2</v>
      </c>
      <c r="G926" t="str">
        <f t="shared" si="86"/>
        <v>3</v>
      </c>
      <c r="H926" t="str">
        <f t="shared" si="87"/>
        <v/>
      </c>
      <c r="I926" t="str">
        <f t="shared" si="88"/>
        <v>1</v>
      </c>
      <c r="J926" t="str">
        <f t="shared" ca="1" si="89"/>
        <v/>
      </c>
    </row>
    <row r="927" spans="1:10" ht="409.5" x14ac:dyDescent="0.25">
      <c r="A927" s="3" t="s">
        <v>2392</v>
      </c>
      <c r="B927">
        <f>IFERROR(COUNTIFS($A$1:A927,"Câu "&amp;"*")-MID(A927,5,FIND(".",A927,1)-5),0)</f>
        <v>0</v>
      </c>
      <c r="C927" t="b">
        <v>0</v>
      </c>
      <c r="E927" t="str">
        <f t="shared" si="84"/>
        <v>2</v>
      </c>
      <c r="F927" t="str">
        <f t="shared" si="85"/>
        <v>3</v>
      </c>
      <c r="G927" t="str">
        <f t="shared" si="86"/>
        <v>Câu 226.</v>
      </c>
      <c r="H927" t="str">
        <f t="shared" si="87"/>
        <v>1</v>
      </c>
      <c r="I927" t="str">
        <f t="shared" si="88"/>
        <v>2</v>
      </c>
      <c r="J927" t="str">
        <f t="shared" ca="1" si="89"/>
        <v/>
      </c>
    </row>
    <row r="928" spans="1:10" ht="300" x14ac:dyDescent="0.25">
      <c r="A928" s="3" t="s">
        <v>2393</v>
      </c>
      <c r="B928">
        <f>IFERROR(COUNTIFS($A$1:A928,"Câu "&amp;"*")-MID(A928,5,FIND(".",A928,1)-5),0)</f>
        <v>0</v>
      </c>
      <c r="C928" t="b">
        <v>0</v>
      </c>
      <c r="E928" t="str">
        <f t="shared" si="84"/>
        <v>3</v>
      </c>
      <c r="F928" t="str">
        <f t="shared" si="85"/>
        <v>Câu 226.</v>
      </c>
      <c r="G928" t="str">
        <f t="shared" si="86"/>
        <v>1</v>
      </c>
      <c r="H928" t="str">
        <f t="shared" si="87"/>
        <v>2</v>
      </c>
      <c r="I928" t="str">
        <f t="shared" si="88"/>
        <v/>
      </c>
      <c r="J928" t="str">
        <f t="shared" ca="1" si="89"/>
        <v/>
      </c>
    </row>
    <row r="929" spans="1:10" ht="243.75" x14ac:dyDescent="0.25">
      <c r="A929" s="4" t="s">
        <v>791</v>
      </c>
      <c r="B929">
        <f>IFERROR(COUNTIFS($A$1:A929,"Câu "&amp;"*")-MID(A929,5,FIND(".",A929,1)-5),0)</f>
        <v>0</v>
      </c>
      <c r="C929" t="b">
        <v>0</v>
      </c>
      <c r="E929" t="str">
        <f t="shared" si="84"/>
        <v>Câu 226.</v>
      </c>
      <c r="F929" t="str">
        <f t="shared" si="85"/>
        <v>1</v>
      </c>
      <c r="G929" t="str">
        <f t="shared" si="86"/>
        <v>2</v>
      </c>
      <c r="H929" t="str">
        <f t="shared" si="87"/>
        <v/>
      </c>
      <c r="I929" t="str">
        <f t="shared" si="88"/>
        <v>1</v>
      </c>
      <c r="J929" t="str">
        <f t="shared" ca="1" si="89"/>
        <v>2</v>
      </c>
    </row>
    <row r="930" spans="1:10" ht="18.75" x14ac:dyDescent="0.25">
      <c r="A930" s="11" t="s">
        <v>2394</v>
      </c>
      <c r="B930">
        <f>IFERROR(COUNTIFS($A$1:A930,"Câu "&amp;"*")-MID(A930,5,FIND(".",A930,1)-5),0)</f>
        <v>0</v>
      </c>
      <c r="C930" t="b">
        <v>0</v>
      </c>
      <c r="E930" t="str">
        <f t="shared" si="84"/>
        <v>1</v>
      </c>
      <c r="F930" t="str">
        <f t="shared" si="85"/>
        <v>2</v>
      </c>
      <c r="G930" t="str">
        <f t="shared" si="86"/>
        <v>Câu 227.</v>
      </c>
      <c r="H930" t="str">
        <f t="shared" si="87"/>
        <v>1</v>
      </c>
      <c r="I930" t="str">
        <f t="shared" si="88"/>
        <v>2</v>
      </c>
      <c r="J930" t="str">
        <f t="shared" ca="1" si="89"/>
        <v/>
      </c>
    </row>
    <row r="931" spans="1:10" ht="18.75" x14ac:dyDescent="0.25">
      <c r="A931" s="11" t="s">
        <v>3068</v>
      </c>
      <c r="B931">
        <f>IFERROR(COUNTIFS($A$1:A931,"Câu "&amp;"*")-MID(A931,5,FIND(".",A931,1)-5),0)</f>
        <v>0</v>
      </c>
      <c r="C931" t="b">
        <v>1</v>
      </c>
      <c r="E931" t="str">
        <f t="shared" si="84"/>
        <v>2</v>
      </c>
      <c r="F931" t="str">
        <f t="shared" si="85"/>
        <v>Câu 227.</v>
      </c>
      <c r="G931" t="str">
        <f t="shared" si="86"/>
        <v>1</v>
      </c>
      <c r="H931" t="str">
        <f t="shared" si="87"/>
        <v>2</v>
      </c>
      <c r="I931" t="str">
        <f t="shared" si="88"/>
        <v>3</v>
      </c>
      <c r="J931" t="str">
        <f t="shared" ca="1" si="89"/>
        <v/>
      </c>
    </row>
    <row r="932" spans="1:10" ht="18.75" x14ac:dyDescent="0.25">
      <c r="A932" s="10" t="s">
        <v>1762</v>
      </c>
      <c r="B932">
        <f>IFERROR(COUNTIFS($A$1:A932,"Câu "&amp;"*")-MID(A932,5,FIND(".",A932,1)-5),0)</f>
        <v>0</v>
      </c>
      <c r="C932" t="b">
        <v>0</v>
      </c>
      <c r="E932" t="str">
        <f t="shared" si="84"/>
        <v>Câu 227.</v>
      </c>
      <c r="F932" t="str">
        <f t="shared" si="85"/>
        <v>1</v>
      </c>
      <c r="G932" t="str">
        <f t="shared" si="86"/>
        <v>2</v>
      </c>
      <c r="H932" t="str">
        <f t="shared" si="87"/>
        <v>3</v>
      </c>
      <c r="I932" t="str">
        <f t="shared" si="88"/>
        <v/>
      </c>
      <c r="J932" t="str">
        <f t="shared" ca="1" si="89"/>
        <v>1</v>
      </c>
    </row>
    <row r="933" spans="1:10" ht="75" x14ac:dyDescent="0.25">
      <c r="A933" s="3" t="s">
        <v>2395</v>
      </c>
      <c r="B933">
        <f>IFERROR(COUNTIFS($A$1:A933,"Câu "&amp;"*")-MID(A933,5,FIND(".",A933,1)-5),0)</f>
        <v>0</v>
      </c>
      <c r="C933" t="b">
        <v>1</v>
      </c>
      <c r="E933" t="str">
        <f t="shared" si="84"/>
        <v>1</v>
      </c>
      <c r="F933" t="str">
        <f t="shared" si="85"/>
        <v>2</v>
      </c>
      <c r="G933" t="str">
        <f t="shared" si="86"/>
        <v>3</v>
      </c>
      <c r="H933" t="str">
        <f t="shared" si="87"/>
        <v/>
      </c>
      <c r="I933" t="str">
        <f t="shared" si="88"/>
        <v>1</v>
      </c>
      <c r="J933" t="str">
        <f t="shared" ca="1" si="89"/>
        <v/>
      </c>
    </row>
    <row r="934" spans="1:10" ht="18.75" x14ac:dyDescent="0.25">
      <c r="A934" s="11" t="s">
        <v>2396</v>
      </c>
      <c r="B934">
        <f>IFERROR(COUNTIFS($A$1:A934,"Câu "&amp;"*")-MID(A934,5,FIND(".",A934,1)-5),0)</f>
        <v>0</v>
      </c>
      <c r="C934" t="b">
        <v>0</v>
      </c>
      <c r="E934" t="str">
        <f t="shared" si="84"/>
        <v>2</v>
      </c>
      <c r="F934" t="str">
        <f t="shared" si="85"/>
        <v>3</v>
      </c>
      <c r="G934" t="str">
        <f t="shared" si="86"/>
        <v>Câu 228.</v>
      </c>
      <c r="H934" t="str">
        <f t="shared" si="87"/>
        <v>1</v>
      </c>
      <c r="I934" t="str">
        <f t="shared" si="88"/>
        <v>2</v>
      </c>
      <c r="J934" t="str">
        <f t="shared" ca="1" si="89"/>
        <v/>
      </c>
    </row>
    <row r="935" spans="1:10" ht="18.75" x14ac:dyDescent="0.25">
      <c r="A935" s="11" t="s">
        <v>2397</v>
      </c>
      <c r="B935">
        <f>IFERROR(COUNTIFS($A$1:A935,"Câu "&amp;"*")-MID(A935,5,FIND(".",A935,1)-5),0)</f>
        <v>0</v>
      </c>
      <c r="C935" t="b">
        <v>0</v>
      </c>
      <c r="E935" t="str">
        <f t="shared" si="84"/>
        <v>3</v>
      </c>
      <c r="F935" t="str">
        <f t="shared" si="85"/>
        <v>Câu 228.</v>
      </c>
      <c r="G935" t="str">
        <f t="shared" si="86"/>
        <v>1</v>
      </c>
      <c r="H935" t="str">
        <f t="shared" si="87"/>
        <v>2</v>
      </c>
      <c r="I935" t="str">
        <f t="shared" si="88"/>
        <v>3</v>
      </c>
      <c r="J935" t="str">
        <f t="shared" ca="1" si="89"/>
        <v/>
      </c>
    </row>
    <row r="936" spans="1:10" ht="18.75" x14ac:dyDescent="0.25">
      <c r="A936" s="10" t="s">
        <v>796</v>
      </c>
      <c r="B936">
        <f>IFERROR(COUNTIFS($A$1:A936,"Câu "&amp;"*")-MID(A936,5,FIND(".",A936,1)-5),0)</f>
        <v>0</v>
      </c>
      <c r="C936" t="b">
        <v>0</v>
      </c>
      <c r="E936" t="str">
        <f t="shared" si="84"/>
        <v>Câu 228.</v>
      </c>
      <c r="F936" t="str">
        <f t="shared" si="85"/>
        <v>1</v>
      </c>
      <c r="G936" t="str">
        <f t="shared" si="86"/>
        <v>2</v>
      </c>
      <c r="H936" t="str">
        <f t="shared" si="87"/>
        <v>3</v>
      </c>
      <c r="I936" t="str">
        <f t="shared" si="88"/>
        <v>4</v>
      </c>
      <c r="J936" t="str">
        <f t="shared" ca="1" si="89"/>
        <v>4</v>
      </c>
    </row>
    <row r="937" spans="1:10" ht="18.75" x14ac:dyDescent="0.25">
      <c r="A937" s="11" t="s">
        <v>2398</v>
      </c>
      <c r="B937">
        <f>IFERROR(COUNTIFS($A$1:A937,"Câu "&amp;"*")-MID(A937,5,FIND(".",A937,1)-5),0)</f>
        <v>0</v>
      </c>
      <c r="C937" t="b">
        <v>0</v>
      </c>
      <c r="E937" t="str">
        <f t="shared" si="84"/>
        <v>1</v>
      </c>
      <c r="F937" t="str">
        <f t="shared" si="85"/>
        <v>2</v>
      </c>
      <c r="G937" t="str">
        <f t="shared" si="86"/>
        <v>3</v>
      </c>
      <c r="H937" t="str">
        <f t="shared" si="87"/>
        <v>4</v>
      </c>
      <c r="I937" t="str">
        <f t="shared" si="88"/>
        <v/>
      </c>
      <c r="J937" t="str">
        <f t="shared" ca="1" si="89"/>
        <v/>
      </c>
    </row>
    <row r="938" spans="1:10" ht="18.75" x14ac:dyDescent="0.25">
      <c r="A938" s="11" t="s">
        <v>2399</v>
      </c>
      <c r="B938">
        <f>IFERROR(COUNTIFS($A$1:A938,"Câu "&amp;"*")-MID(A938,5,FIND(".",A938,1)-5),0)</f>
        <v>0</v>
      </c>
      <c r="C938" t="b">
        <v>0</v>
      </c>
      <c r="E938" t="str">
        <f t="shared" si="84"/>
        <v>2</v>
      </c>
      <c r="F938" t="str">
        <f t="shared" si="85"/>
        <v>3</v>
      </c>
      <c r="G938" t="str">
        <f t="shared" si="86"/>
        <v>4</v>
      </c>
      <c r="H938" t="str">
        <f t="shared" si="87"/>
        <v/>
      </c>
      <c r="I938" t="str">
        <f t="shared" si="88"/>
        <v>1</v>
      </c>
      <c r="J938" t="str">
        <f t="shared" ca="1" si="89"/>
        <v/>
      </c>
    </row>
    <row r="939" spans="1:10" ht="18.75" x14ac:dyDescent="0.25">
      <c r="A939" s="11" t="s">
        <v>2400</v>
      </c>
      <c r="B939">
        <f>IFERROR(COUNTIFS($A$1:A939,"Câu "&amp;"*")-MID(A939,5,FIND(".",A939,1)-5),0)</f>
        <v>0</v>
      </c>
      <c r="C939" t="b">
        <v>0</v>
      </c>
      <c r="E939" t="str">
        <f t="shared" si="84"/>
        <v>3</v>
      </c>
      <c r="F939" t="str">
        <f t="shared" si="85"/>
        <v>4</v>
      </c>
      <c r="G939" t="str">
        <f t="shared" si="86"/>
        <v>Câu 229.</v>
      </c>
      <c r="H939" t="str">
        <f t="shared" si="87"/>
        <v>1</v>
      </c>
      <c r="I939" t="str">
        <f t="shared" si="88"/>
        <v>2</v>
      </c>
      <c r="J939" t="str">
        <f t="shared" ca="1" si="89"/>
        <v/>
      </c>
    </row>
    <row r="940" spans="1:10" ht="18.75" x14ac:dyDescent="0.25">
      <c r="A940" s="11" t="s">
        <v>2401</v>
      </c>
      <c r="B940">
        <f>IFERROR(COUNTIFS($A$1:A940,"Câu "&amp;"*")-MID(A940,5,FIND(".",A940,1)-5),0)</f>
        <v>0</v>
      </c>
      <c r="C940" t="b">
        <v>1</v>
      </c>
      <c r="E940" t="str">
        <f t="shared" si="84"/>
        <v>4</v>
      </c>
      <c r="F940" t="str">
        <f t="shared" si="85"/>
        <v>Câu 229.</v>
      </c>
      <c r="G940" t="str">
        <f t="shared" si="86"/>
        <v>1</v>
      </c>
      <c r="H940" t="str">
        <f t="shared" si="87"/>
        <v>2</v>
      </c>
      <c r="I940" t="str">
        <f t="shared" si="88"/>
        <v>3</v>
      </c>
      <c r="J940" t="str">
        <f t="shared" ca="1" si="89"/>
        <v/>
      </c>
    </row>
    <row r="941" spans="1:10" ht="18.75" x14ac:dyDescent="0.25">
      <c r="A941" s="10" t="s">
        <v>801</v>
      </c>
      <c r="B941">
        <f>IFERROR(COUNTIFS($A$1:A941,"Câu "&amp;"*")-MID(A941,5,FIND(".",A941,1)-5),0)</f>
        <v>0</v>
      </c>
      <c r="C941" t="b">
        <v>0</v>
      </c>
      <c r="E941" t="str">
        <f t="shared" si="84"/>
        <v>Câu 229.</v>
      </c>
      <c r="F941" t="str">
        <f t="shared" si="85"/>
        <v>1</v>
      </c>
      <c r="G941" t="str">
        <f t="shared" si="86"/>
        <v>2</v>
      </c>
      <c r="H941" t="str">
        <f t="shared" si="87"/>
        <v>3</v>
      </c>
      <c r="I941" t="str">
        <f t="shared" si="88"/>
        <v>4</v>
      </c>
      <c r="J941" t="str">
        <f t="shared" ca="1" si="89"/>
        <v>1</v>
      </c>
    </row>
    <row r="942" spans="1:10" ht="18.75" x14ac:dyDescent="0.25">
      <c r="A942" s="11" t="s">
        <v>2402</v>
      </c>
      <c r="B942">
        <f>IFERROR(COUNTIFS($A$1:A942,"Câu "&amp;"*")-MID(A942,5,FIND(".",A942,1)-5),0)</f>
        <v>0</v>
      </c>
      <c r="C942" t="b">
        <v>1</v>
      </c>
      <c r="E942" t="str">
        <f t="shared" si="84"/>
        <v>1</v>
      </c>
      <c r="F942" t="str">
        <f t="shared" si="85"/>
        <v>2</v>
      </c>
      <c r="G942" t="str">
        <f t="shared" si="86"/>
        <v>3</v>
      </c>
      <c r="H942" t="str">
        <f t="shared" si="87"/>
        <v>4</v>
      </c>
      <c r="I942" t="str">
        <f t="shared" si="88"/>
        <v/>
      </c>
      <c r="J942" t="str">
        <f t="shared" ca="1" si="89"/>
        <v/>
      </c>
    </row>
    <row r="943" spans="1:10" ht="18.75" x14ac:dyDescent="0.25">
      <c r="A943" s="11" t="s">
        <v>2403</v>
      </c>
      <c r="B943">
        <f>IFERROR(COUNTIFS($A$1:A943,"Câu "&amp;"*")-MID(A943,5,FIND(".",A943,1)-5),0)</f>
        <v>0</v>
      </c>
      <c r="C943" t="b">
        <v>0</v>
      </c>
      <c r="E943" t="str">
        <f t="shared" si="84"/>
        <v>2</v>
      </c>
      <c r="F943" t="str">
        <f t="shared" si="85"/>
        <v>3</v>
      </c>
      <c r="G943" t="str">
        <f t="shared" si="86"/>
        <v>4</v>
      </c>
      <c r="H943" t="str">
        <f t="shared" si="87"/>
        <v/>
      </c>
      <c r="I943" t="str">
        <f t="shared" si="88"/>
        <v>1</v>
      </c>
      <c r="J943" t="str">
        <f t="shared" ca="1" si="89"/>
        <v/>
      </c>
    </row>
    <row r="944" spans="1:10" ht="18.75" x14ac:dyDescent="0.25">
      <c r="A944" s="11" t="s">
        <v>2404</v>
      </c>
      <c r="B944">
        <f>IFERROR(COUNTIFS($A$1:A944,"Câu "&amp;"*")-MID(A944,5,FIND(".",A944,1)-5),0)</f>
        <v>0</v>
      </c>
      <c r="C944" t="b">
        <v>0</v>
      </c>
      <c r="E944" t="str">
        <f t="shared" si="84"/>
        <v>3</v>
      </c>
      <c r="F944" t="str">
        <f t="shared" si="85"/>
        <v>4</v>
      </c>
      <c r="G944" t="str">
        <f t="shared" si="86"/>
        <v>Câu 230.</v>
      </c>
      <c r="H944" t="str">
        <f t="shared" si="87"/>
        <v>1</v>
      </c>
      <c r="I944" t="str">
        <f t="shared" si="88"/>
        <v>2</v>
      </c>
      <c r="J944" t="str">
        <f t="shared" ca="1" si="89"/>
        <v/>
      </c>
    </row>
    <row r="945" spans="1:10" ht="18.75" x14ac:dyDescent="0.25">
      <c r="A945" s="11" t="s">
        <v>2405</v>
      </c>
      <c r="B945">
        <f>IFERROR(COUNTIFS($A$1:A945,"Câu "&amp;"*")-MID(A945,5,FIND(".",A945,1)-5),0)</f>
        <v>0</v>
      </c>
      <c r="C945" t="b">
        <v>0</v>
      </c>
      <c r="E945" t="str">
        <f t="shared" si="84"/>
        <v>4</v>
      </c>
      <c r="F945" t="str">
        <f t="shared" si="85"/>
        <v>Câu 230.</v>
      </c>
      <c r="G945" t="str">
        <f t="shared" si="86"/>
        <v>1</v>
      </c>
      <c r="H945" t="str">
        <f t="shared" si="87"/>
        <v>2</v>
      </c>
      <c r="I945" t="str">
        <f t="shared" si="88"/>
        <v>3</v>
      </c>
      <c r="J945" t="str">
        <f t="shared" ca="1" si="89"/>
        <v/>
      </c>
    </row>
    <row r="946" spans="1:10" ht="18.75" x14ac:dyDescent="0.25">
      <c r="A946" s="10" t="s">
        <v>806</v>
      </c>
      <c r="B946">
        <f>IFERROR(COUNTIFS($A$1:A946,"Câu "&amp;"*")-MID(A946,5,FIND(".",A946,1)-5),0)</f>
        <v>0</v>
      </c>
      <c r="C946" t="b">
        <v>0</v>
      </c>
      <c r="E946" t="str">
        <f t="shared" si="84"/>
        <v>Câu 230.</v>
      </c>
      <c r="F946" t="str">
        <f t="shared" si="85"/>
        <v>1</v>
      </c>
      <c r="G946" t="str">
        <f t="shared" si="86"/>
        <v>2</v>
      </c>
      <c r="H946" t="str">
        <f t="shared" si="87"/>
        <v>3</v>
      </c>
      <c r="I946" t="str">
        <f t="shared" si="88"/>
        <v>4</v>
      </c>
      <c r="J946" t="str">
        <f t="shared" ca="1" si="89"/>
        <v>3</v>
      </c>
    </row>
    <row r="947" spans="1:10" ht="18.75" x14ac:dyDescent="0.25">
      <c r="A947" s="11" t="s">
        <v>2406</v>
      </c>
      <c r="B947">
        <f>IFERROR(COUNTIFS($A$1:A947,"Câu "&amp;"*")-MID(A947,5,FIND(".",A947,1)-5),0)</f>
        <v>0</v>
      </c>
      <c r="C947" t="b">
        <v>0</v>
      </c>
      <c r="E947" t="str">
        <f t="shared" si="84"/>
        <v>1</v>
      </c>
      <c r="F947" t="str">
        <f t="shared" si="85"/>
        <v>2</v>
      </c>
      <c r="G947" t="str">
        <f t="shared" si="86"/>
        <v>3</v>
      </c>
      <c r="H947" t="str">
        <f t="shared" si="87"/>
        <v>4</v>
      </c>
      <c r="I947" t="str">
        <f t="shared" si="88"/>
        <v/>
      </c>
      <c r="J947" t="str">
        <f t="shared" ca="1" si="89"/>
        <v/>
      </c>
    </row>
    <row r="948" spans="1:10" ht="18.75" x14ac:dyDescent="0.25">
      <c r="A948" s="11" t="s">
        <v>2407</v>
      </c>
      <c r="B948">
        <f>IFERROR(COUNTIFS($A$1:A948,"Câu "&amp;"*")-MID(A948,5,FIND(".",A948,1)-5),0)</f>
        <v>0</v>
      </c>
      <c r="C948" t="b">
        <v>0</v>
      </c>
      <c r="E948" t="str">
        <f t="shared" si="84"/>
        <v>2</v>
      </c>
      <c r="F948" t="str">
        <f t="shared" si="85"/>
        <v>3</v>
      </c>
      <c r="G948" t="str">
        <f t="shared" si="86"/>
        <v>4</v>
      </c>
      <c r="H948" t="str">
        <f t="shared" si="87"/>
        <v/>
      </c>
      <c r="I948" t="str">
        <f t="shared" si="88"/>
        <v>1</v>
      </c>
      <c r="J948" t="str">
        <f t="shared" ca="1" si="89"/>
        <v/>
      </c>
    </row>
    <row r="949" spans="1:10" ht="18.75" x14ac:dyDescent="0.25">
      <c r="A949" s="11" t="s">
        <v>2408</v>
      </c>
      <c r="B949">
        <f>IFERROR(COUNTIFS($A$1:A949,"Câu "&amp;"*")-MID(A949,5,FIND(".",A949,1)-5),0)</f>
        <v>0</v>
      </c>
      <c r="C949" t="b">
        <v>1</v>
      </c>
      <c r="E949" t="str">
        <f t="shared" si="84"/>
        <v>3</v>
      </c>
      <c r="F949" t="str">
        <f t="shared" si="85"/>
        <v>4</v>
      </c>
      <c r="G949" t="str">
        <f t="shared" si="86"/>
        <v>Câu 231.</v>
      </c>
      <c r="H949" t="str">
        <f t="shared" si="87"/>
        <v>1</v>
      </c>
      <c r="I949" t="str">
        <f t="shared" si="88"/>
        <v>2</v>
      </c>
      <c r="J949" t="str">
        <f t="shared" ca="1" si="89"/>
        <v/>
      </c>
    </row>
    <row r="950" spans="1:10" ht="18.75" x14ac:dyDescent="0.25">
      <c r="A950" s="11" t="s">
        <v>2409</v>
      </c>
      <c r="B950">
        <f>IFERROR(COUNTIFS($A$1:A950,"Câu "&amp;"*")-MID(A950,5,FIND(".",A950,1)-5),0)</f>
        <v>0</v>
      </c>
      <c r="C950" t="b">
        <v>0</v>
      </c>
      <c r="E950" t="str">
        <f t="shared" si="84"/>
        <v>4</v>
      </c>
      <c r="F950" t="str">
        <f t="shared" si="85"/>
        <v>Câu 231.</v>
      </c>
      <c r="G950" t="str">
        <f t="shared" si="86"/>
        <v>1</v>
      </c>
      <c r="H950" t="str">
        <f t="shared" si="87"/>
        <v>2</v>
      </c>
      <c r="I950" t="str">
        <f t="shared" si="88"/>
        <v>3</v>
      </c>
      <c r="J950" t="str">
        <f t="shared" ca="1" si="89"/>
        <v/>
      </c>
    </row>
    <row r="951" spans="1:10" ht="18.75" x14ac:dyDescent="0.25">
      <c r="A951" s="10" t="s">
        <v>811</v>
      </c>
      <c r="B951">
        <f>IFERROR(COUNTIFS($A$1:A951,"Câu "&amp;"*")-MID(A951,5,FIND(".",A951,1)-5),0)</f>
        <v>0</v>
      </c>
      <c r="C951" t="b">
        <v>0</v>
      </c>
      <c r="E951" t="str">
        <f t="shared" si="84"/>
        <v>Câu 231.</v>
      </c>
      <c r="F951" t="str">
        <f t="shared" si="85"/>
        <v>1</v>
      </c>
      <c r="G951" t="str">
        <f t="shared" si="86"/>
        <v>2</v>
      </c>
      <c r="H951" t="str">
        <f t="shared" si="87"/>
        <v>3</v>
      </c>
      <c r="I951" t="str">
        <f t="shared" si="88"/>
        <v>4</v>
      </c>
      <c r="J951" t="str">
        <f t="shared" ca="1" si="89"/>
        <v>4</v>
      </c>
    </row>
    <row r="952" spans="1:10" ht="18.75" x14ac:dyDescent="0.25">
      <c r="A952" s="11" t="s">
        <v>2410</v>
      </c>
      <c r="B952">
        <f>IFERROR(COUNTIFS($A$1:A952,"Câu "&amp;"*")-MID(A952,5,FIND(".",A952,1)-5),0)</f>
        <v>0</v>
      </c>
      <c r="C952" t="b">
        <v>0</v>
      </c>
      <c r="E952" t="str">
        <f t="shared" si="84"/>
        <v>1</v>
      </c>
      <c r="F952" t="str">
        <f t="shared" si="85"/>
        <v>2</v>
      </c>
      <c r="G952" t="str">
        <f t="shared" si="86"/>
        <v>3</v>
      </c>
      <c r="H952" t="str">
        <f t="shared" si="87"/>
        <v>4</v>
      </c>
      <c r="I952" t="str">
        <f t="shared" si="88"/>
        <v/>
      </c>
      <c r="J952" t="str">
        <f t="shared" ca="1" si="89"/>
        <v/>
      </c>
    </row>
    <row r="953" spans="1:10" ht="18.75" x14ac:dyDescent="0.25">
      <c r="A953" s="11" t="s">
        <v>2411</v>
      </c>
      <c r="B953">
        <f>IFERROR(COUNTIFS($A$1:A953,"Câu "&amp;"*")-MID(A953,5,FIND(".",A953,1)-5),0)</f>
        <v>0</v>
      </c>
      <c r="C953" t="b">
        <v>0</v>
      </c>
      <c r="E953" t="str">
        <f t="shared" si="84"/>
        <v>2</v>
      </c>
      <c r="F953" t="str">
        <f t="shared" si="85"/>
        <v>3</v>
      </c>
      <c r="G953" t="str">
        <f t="shared" si="86"/>
        <v>4</v>
      </c>
      <c r="H953" t="str">
        <f t="shared" si="87"/>
        <v/>
      </c>
      <c r="I953" t="str">
        <f t="shared" si="88"/>
        <v>1</v>
      </c>
      <c r="J953" t="str">
        <f t="shared" ca="1" si="89"/>
        <v/>
      </c>
    </row>
    <row r="954" spans="1:10" ht="18.75" x14ac:dyDescent="0.25">
      <c r="A954" s="11" t="s">
        <v>2412</v>
      </c>
      <c r="B954">
        <f>IFERROR(COUNTIFS($A$1:A954,"Câu "&amp;"*")-MID(A954,5,FIND(".",A954,1)-5),0)</f>
        <v>0</v>
      </c>
      <c r="C954" t="b">
        <v>0</v>
      </c>
      <c r="E954" t="str">
        <f t="shared" si="84"/>
        <v>3</v>
      </c>
      <c r="F954" t="str">
        <f t="shared" si="85"/>
        <v>4</v>
      </c>
      <c r="G954" t="str">
        <f t="shared" si="86"/>
        <v>Câu 232.</v>
      </c>
      <c r="H954" t="str">
        <f t="shared" si="87"/>
        <v>1</v>
      </c>
      <c r="I954" t="str">
        <f t="shared" si="88"/>
        <v>2</v>
      </c>
      <c r="J954" t="str">
        <f t="shared" ca="1" si="89"/>
        <v/>
      </c>
    </row>
    <row r="955" spans="1:10" ht="18.75" x14ac:dyDescent="0.25">
      <c r="A955" s="11" t="s">
        <v>2413</v>
      </c>
      <c r="B955">
        <f>IFERROR(COUNTIFS($A$1:A955,"Câu "&amp;"*")-MID(A955,5,FIND(".",A955,1)-5),0)</f>
        <v>0</v>
      </c>
      <c r="C955" t="b">
        <v>1</v>
      </c>
      <c r="E955" t="str">
        <f t="shared" si="84"/>
        <v>4</v>
      </c>
      <c r="F955" t="str">
        <f t="shared" si="85"/>
        <v>Câu 232.</v>
      </c>
      <c r="G955" t="str">
        <f t="shared" si="86"/>
        <v>1</v>
      </c>
      <c r="H955" t="str">
        <f t="shared" si="87"/>
        <v>2</v>
      </c>
      <c r="I955" t="str">
        <f t="shared" si="88"/>
        <v>3</v>
      </c>
      <c r="J955" t="str">
        <f t="shared" ca="1" si="89"/>
        <v/>
      </c>
    </row>
    <row r="956" spans="1:10" ht="18.75" x14ac:dyDescent="0.25">
      <c r="A956" s="10" t="s">
        <v>815</v>
      </c>
      <c r="B956">
        <f>IFERROR(COUNTIFS($A$1:A956,"Câu "&amp;"*")-MID(A956,5,FIND(".",A956,1)-5),0)</f>
        <v>0</v>
      </c>
      <c r="C956" t="b">
        <v>0</v>
      </c>
      <c r="E956" t="str">
        <f t="shared" si="84"/>
        <v>Câu 232.</v>
      </c>
      <c r="F956" t="str">
        <f t="shared" si="85"/>
        <v>1</v>
      </c>
      <c r="G956" t="str">
        <f t="shared" si="86"/>
        <v>2</v>
      </c>
      <c r="H956" t="str">
        <f t="shared" si="87"/>
        <v>3</v>
      </c>
      <c r="I956" t="str">
        <f t="shared" si="88"/>
        <v/>
      </c>
      <c r="J956" t="str">
        <f t="shared" ca="1" si="89"/>
        <v>2</v>
      </c>
    </row>
    <row r="957" spans="1:10" ht="18.75" x14ac:dyDescent="0.25">
      <c r="A957" s="11" t="s">
        <v>2414</v>
      </c>
      <c r="B957">
        <f>IFERROR(COUNTIFS($A$1:A957,"Câu "&amp;"*")-MID(A957,5,FIND(".",A957,1)-5),0)</f>
        <v>0</v>
      </c>
      <c r="C957" t="b">
        <v>0</v>
      </c>
      <c r="E957" t="str">
        <f t="shared" si="84"/>
        <v>1</v>
      </c>
      <c r="F957" t="str">
        <f t="shared" si="85"/>
        <v>2</v>
      </c>
      <c r="G957" t="str">
        <f t="shared" si="86"/>
        <v>3</v>
      </c>
      <c r="H957" t="str">
        <f t="shared" si="87"/>
        <v/>
      </c>
      <c r="I957" t="str">
        <f t="shared" si="88"/>
        <v>1</v>
      </c>
      <c r="J957" t="str">
        <f t="shared" ca="1" si="89"/>
        <v/>
      </c>
    </row>
    <row r="958" spans="1:10" ht="18.75" x14ac:dyDescent="0.25">
      <c r="A958" s="11" t="s">
        <v>2415</v>
      </c>
      <c r="B958">
        <f>IFERROR(COUNTIFS($A$1:A958,"Câu "&amp;"*")-MID(A958,5,FIND(".",A958,1)-5),0)</f>
        <v>0</v>
      </c>
      <c r="C958" t="b">
        <v>1</v>
      </c>
      <c r="E958" t="str">
        <f t="shared" si="84"/>
        <v>2</v>
      </c>
      <c r="F958" t="str">
        <f t="shared" si="85"/>
        <v>3</v>
      </c>
      <c r="G958" t="str">
        <f t="shared" si="86"/>
        <v>Câu 233.</v>
      </c>
      <c r="H958" t="str">
        <f t="shared" si="87"/>
        <v>1</v>
      </c>
      <c r="I958" t="str">
        <f t="shared" si="88"/>
        <v>2</v>
      </c>
      <c r="J958" t="str">
        <f t="shared" ca="1" si="89"/>
        <v/>
      </c>
    </row>
    <row r="959" spans="1:10" ht="18.75" x14ac:dyDescent="0.25">
      <c r="A959" s="11" t="s">
        <v>2416</v>
      </c>
      <c r="B959">
        <f>IFERROR(COUNTIFS($A$1:A959,"Câu "&amp;"*")-MID(A959,5,FIND(".",A959,1)-5),0)</f>
        <v>0</v>
      </c>
      <c r="C959" t="b">
        <v>0</v>
      </c>
      <c r="E959" t="str">
        <f t="shared" si="84"/>
        <v>3</v>
      </c>
      <c r="F959" t="str">
        <f t="shared" si="85"/>
        <v>Câu 233.</v>
      </c>
      <c r="G959" t="str">
        <f t="shared" si="86"/>
        <v>1</v>
      </c>
      <c r="H959" t="str">
        <f t="shared" si="87"/>
        <v>2</v>
      </c>
      <c r="I959" t="str">
        <f t="shared" si="88"/>
        <v>3</v>
      </c>
      <c r="J959" t="str">
        <f t="shared" ca="1" si="89"/>
        <v/>
      </c>
    </row>
    <row r="960" spans="1:10" ht="18.75" x14ac:dyDescent="0.25">
      <c r="A960" s="10" t="s">
        <v>819</v>
      </c>
      <c r="B960">
        <f>IFERROR(COUNTIFS($A$1:A960,"Câu "&amp;"*")-MID(A960,5,FIND(".",A960,1)-5),0)</f>
        <v>0</v>
      </c>
      <c r="C960" t="b">
        <v>0</v>
      </c>
      <c r="E960" t="str">
        <f t="shared" si="84"/>
        <v>Câu 233.</v>
      </c>
      <c r="F960" t="str">
        <f t="shared" si="85"/>
        <v>1</v>
      </c>
      <c r="G960" t="str">
        <f t="shared" si="86"/>
        <v>2</v>
      </c>
      <c r="H960" t="str">
        <f t="shared" si="87"/>
        <v>3</v>
      </c>
      <c r="I960" t="str">
        <f t="shared" si="88"/>
        <v/>
      </c>
      <c r="J960" t="str">
        <f t="shared" ca="1" si="89"/>
        <v>3</v>
      </c>
    </row>
    <row r="961" spans="1:10" ht="18.75" x14ac:dyDescent="0.25">
      <c r="A961" s="11" t="s">
        <v>2417</v>
      </c>
      <c r="B961">
        <f>IFERROR(COUNTIFS($A$1:A961,"Câu "&amp;"*")-MID(A961,5,FIND(".",A961,1)-5),0)</f>
        <v>0</v>
      </c>
      <c r="C961" t="b">
        <v>0</v>
      </c>
      <c r="E961" t="str">
        <f t="shared" si="84"/>
        <v>1</v>
      </c>
      <c r="F961" t="str">
        <f t="shared" si="85"/>
        <v>2</v>
      </c>
      <c r="G961" t="str">
        <f t="shared" si="86"/>
        <v>3</v>
      </c>
      <c r="H961" t="str">
        <f t="shared" si="87"/>
        <v/>
      </c>
      <c r="I961" t="str">
        <f t="shared" si="88"/>
        <v>1</v>
      </c>
      <c r="J961" t="str">
        <f t="shared" ca="1" si="89"/>
        <v/>
      </c>
    </row>
    <row r="962" spans="1:10" ht="18.75" x14ac:dyDescent="0.25">
      <c r="A962" s="11" t="s">
        <v>2418</v>
      </c>
      <c r="B962">
        <f>IFERROR(COUNTIFS($A$1:A962,"Câu "&amp;"*")-MID(A962,5,FIND(".",A962,1)-5),0)</f>
        <v>0</v>
      </c>
      <c r="C962" t="b">
        <v>0</v>
      </c>
      <c r="E962" t="str">
        <f t="shared" si="84"/>
        <v>2</v>
      </c>
      <c r="F962" t="str">
        <f t="shared" si="85"/>
        <v>3</v>
      </c>
      <c r="G962" t="str">
        <f t="shared" si="86"/>
        <v>Câu 234.</v>
      </c>
      <c r="H962" t="str">
        <f t="shared" si="87"/>
        <v>1</v>
      </c>
      <c r="I962" t="str">
        <f t="shared" si="88"/>
        <v>2</v>
      </c>
      <c r="J962" t="str">
        <f t="shared" ca="1" si="89"/>
        <v/>
      </c>
    </row>
    <row r="963" spans="1:10" ht="18.75" x14ac:dyDescent="0.25">
      <c r="A963" s="11" t="s">
        <v>1825</v>
      </c>
      <c r="B963">
        <f>IFERROR(COUNTIFS($A$1:A963,"Câu "&amp;"*")-MID(A963,5,FIND(".",A963,1)-5),0)</f>
        <v>0</v>
      </c>
      <c r="C963" t="b">
        <v>1</v>
      </c>
      <c r="E963" t="str">
        <f t="shared" ref="E963:E1026" si="90">IF(LEFT(A963,3)="Câu",LEFT(A963,FIND(".",A963,1)),LEFT(A963,1))</f>
        <v>3</v>
      </c>
      <c r="F963" t="str">
        <f t="shared" ref="F963:F1026" si="91">IF(LEFT(A964,3)="Câu",LEFT(A964,FIND(".",A964,1)),LEFT(A964,1))</f>
        <v>Câu 234.</v>
      </c>
      <c r="G963" t="str">
        <f t="shared" ref="G963:G1026" si="92">IF(LEFT(A965,3)="Câu",LEFT(A965,FIND(".",A965,1)),LEFT(A965,1))</f>
        <v>1</v>
      </c>
      <c r="H963" t="str">
        <f t="shared" ref="H963:H1026" si="93">IF(LEFT(A966,3)="Câu","",LEFT(A966,1))</f>
        <v>2</v>
      </c>
      <c r="I963" t="str">
        <f t="shared" ref="I963:I1026" si="94">IF(LEFT(A967,3)="Câu","",LEFT(A967,1))</f>
        <v>3</v>
      </c>
      <c r="J963" t="str">
        <f t="shared" ref="J963:J1026" ca="1" si="95">IFERROR(VLOOKUP(TRUE,INDIRECT("C"&amp;MATCH(E963,$E$1:$E$2471,0)&amp;":E"&amp;MATCH("Câu "&amp;VALUE(MID(E963,5,LEN(E963)-5))+1&amp;".",$E$1:$E$2471,0)),3,0),"")</f>
        <v/>
      </c>
    </row>
    <row r="964" spans="1:10" ht="18.75" x14ac:dyDescent="0.25">
      <c r="A964" s="10" t="s">
        <v>822</v>
      </c>
      <c r="B964">
        <f>IFERROR(COUNTIFS($A$1:A964,"Câu "&amp;"*")-MID(A964,5,FIND(".",A964,1)-5),0)</f>
        <v>0</v>
      </c>
      <c r="C964" t="b">
        <v>0</v>
      </c>
      <c r="E964" t="str">
        <f t="shared" si="90"/>
        <v>Câu 234.</v>
      </c>
      <c r="F964" t="str">
        <f t="shared" si="91"/>
        <v>1</v>
      </c>
      <c r="G964" t="str">
        <f t="shared" si="92"/>
        <v>2</v>
      </c>
      <c r="H964" t="str">
        <f t="shared" si="93"/>
        <v>3</v>
      </c>
      <c r="I964" t="str">
        <f t="shared" si="94"/>
        <v/>
      </c>
      <c r="J964" t="str">
        <f t="shared" ca="1" si="95"/>
        <v>1</v>
      </c>
    </row>
    <row r="965" spans="1:10" ht="18.75" x14ac:dyDescent="0.25">
      <c r="A965" s="11" t="s">
        <v>2419</v>
      </c>
      <c r="B965">
        <f>IFERROR(COUNTIFS($A$1:A965,"Câu "&amp;"*")-MID(A965,5,FIND(".",A965,1)-5),0)</f>
        <v>0</v>
      </c>
      <c r="C965" t="b">
        <v>1</v>
      </c>
      <c r="E965" t="str">
        <f t="shared" si="90"/>
        <v>1</v>
      </c>
      <c r="F965" t="str">
        <f t="shared" si="91"/>
        <v>2</v>
      </c>
      <c r="G965" t="str">
        <f t="shared" si="92"/>
        <v>3</v>
      </c>
      <c r="H965" t="str">
        <f t="shared" si="93"/>
        <v/>
      </c>
      <c r="I965" t="str">
        <f t="shared" si="94"/>
        <v>1</v>
      </c>
      <c r="J965" t="str">
        <f t="shared" ca="1" si="95"/>
        <v/>
      </c>
    </row>
    <row r="966" spans="1:10" ht="18.75" x14ac:dyDescent="0.25">
      <c r="A966" s="11" t="s">
        <v>2420</v>
      </c>
      <c r="B966">
        <f>IFERROR(COUNTIFS($A$1:A966,"Câu "&amp;"*")-MID(A966,5,FIND(".",A966,1)-5),0)</f>
        <v>0</v>
      </c>
      <c r="C966" t="b">
        <v>0</v>
      </c>
      <c r="E966" t="str">
        <f t="shared" si="90"/>
        <v>2</v>
      </c>
      <c r="F966" t="str">
        <f t="shared" si="91"/>
        <v>3</v>
      </c>
      <c r="G966" t="str">
        <f t="shared" si="92"/>
        <v>Câu 235.</v>
      </c>
      <c r="H966" t="str">
        <f t="shared" si="93"/>
        <v>1</v>
      </c>
      <c r="I966" t="str">
        <f t="shared" si="94"/>
        <v>2</v>
      </c>
      <c r="J966" t="str">
        <f t="shared" ca="1" si="95"/>
        <v/>
      </c>
    </row>
    <row r="967" spans="1:10" ht="18.75" x14ac:dyDescent="0.25">
      <c r="A967" s="11" t="s">
        <v>2421</v>
      </c>
      <c r="B967">
        <f>IFERROR(COUNTIFS($A$1:A967,"Câu "&amp;"*")-MID(A967,5,FIND(".",A967,1)-5),0)</f>
        <v>0</v>
      </c>
      <c r="C967" t="b">
        <v>0</v>
      </c>
      <c r="E967" t="str">
        <f t="shared" si="90"/>
        <v>3</v>
      </c>
      <c r="F967" t="str">
        <f t="shared" si="91"/>
        <v>Câu 235.</v>
      </c>
      <c r="G967" t="str">
        <f t="shared" si="92"/>
        <v>1</v>
      </c>
      <c r="H967" t="str">
        <f t="shared" si="93"/>
        <v>2</v>
      </c>
      <c r="I967" t="str">
        <f t="shared" si="94"/>
        <v>3</v>
      </c>
      <c r="J967" t="str">
        <f t="shared" ca="1" si="95"/>
        <v/>
      </c>
    </row>
    <row r="968" spans="1:10" ht="18.75" x14ac:dyDescent="0.25">
      <c r="A968" s="10" t="s">
        <v>826</v>
      </c>
      <c r="B968">
        <f>IFERROR(COUNTIFS($A$1:A968,"Câu "&amp;"*")-MID(A968,5,FIND(".",A968,1)-5),0)</f>
        <v>0</v>
      </c>
      <c r="C968" t="b">
        <v>0</v>
      </c>
      <c r="E968" t="str">
        <f t="shared" si="90"/>
        <v>Câu 235.</v>
      </c>
      <c r="F968" t="str">
        <f t="shared" si="91"/>
        <v>1</v>
      </c>
      <c r="G968" t="str">
        <f t="shared" si="92"/>
        <v>2</v>
      </c>
      <c r="H968" t="str">
        <f t="shared" si="93"/>
        <v>3</v>
      </c>
      <c r="I968" t="str">
        <f t="shared" si="94"/>
        <v/>
      </c>
      <c r="J968" t="str">
        <f t="shared" ca="1" si="95"/>
        <v>3</v>
      </c>
    </row>
    <row r="969" spans="1:10" ht="18.75" x14ac:dyDescent="0.25">
      <c r="A969" s="11" t="s">
        <v>2422</v>
      </c>
      <c r="B969">
        <f>IFERROR(COUNTIFS($A$1:A969,"Câu "&amp;"*")-MID(A969,5,FIND(".",A969,1)-5),0)</f>
        <v>0</v>
      </c>
      <c r="C969" t="b">
        <v>0</v>
      </c>
      <c r="E969" t="str">
        <f t="shared" si="90"/>
        <v>1</v>
      </c>
      <c r="F969" t="str">
        <f t="shared" si="91"/>
        <v>2</v>
      </c>
      <c r="G969" t="str">
        <f t="shared" si="92"/>
        <v>3</v>
      </c>
      <c r="H969" t="str">
        <f t="shared" si="93"/>
        <v/>
      </c>
      <c r="I969" t="str">
        <f t="shared" si="94"/>
        <v>1</v>
      </c>
      <c r="J969" t="str">
        <f t="shared" ca="1" si="95"/>
        <v/>
      </c>
    </row>
    <row r="970" spans="1:10" ht="206.25" x14ac:dyDescent="0.25">
      <c r="A970" s="3" t="s">
        <v>2423</v>
      </c>
      <c r="B970">
        <f>IFERROR(COUNTIFS($A$1:A970,"Câu "&amp;"*")-MID(A970,5,FIND(".",A970,1)-5),0)</f>
        <v>0</v>
      </c>
      <c r="C970" t="b">
        <v>0</v>
      </c>
      <c r="E970" t="str">
        <f t="shared" si="90"/>
        <v>2</v>
      </c>
      <c r="F970" t="str">
        <f t="shared" si="91"/>
        <v>3</v>
      </c>
      <c r="G970" t="str">
        <f t="shared" si="92"/>
        <v>Câu 236.</v>
      </c>
      <c r="H970" t="str">
        <f t="shared" si="93"/>
        <v>1</v>
      </c>
      <c r="I970" t="str">
        <f t="shared" si="94"/>
        <v>2</v>
      </c>
      <c r="J970" t="str">
        <f t="shared" ca="1" si="95"/>
        <v/>
      </c>
    </row>
    <row r="971" spans="1:10" ht="37.5" x14ac:dyDescent="0.25">
      <c r="A971" s="3" t="s">
        <v>1825</v>
      </c>
      <c r="B971">
        <f>IFERROR(COUNTIFS($A$1:A971,"Câu "&amp;"*")-MID(A971,5,FIND(".",A971,1)-5),0)</f>
        <v>0</v>
      </c>
      <c r="C971" t="b">
        <v>1</v>
      </c>
      <c r="E971" t="str">
        <f t="shared" si="90"/>
        <v>3</v>
      </c>
      <c r="F971" t="str">
        <f t="shared" si="91"/>
        <v>Câu 236.</v>
      </c>
      <c r="G971" t="str">
        <f t="shared" si="92"/>
        <v>1</v>
      </c>
      <c r="H971" t="str">
        <f t="shared" si="93"/>
        <v>2</v>
      </c>
      <c r="I971" t="str">
        <f t="shared" si="94"/>
        <v>3</v>
      </c>
      <c r="J971" t="str">
        <f t="shared" ca="1" si="95"/>
        <v/>
      </c>
    </row>
    <row r="972" spans="1:10" ht="409.5" x14ac:dyDescent="0.25">
      <c r="A972" s="4" t="s">
        <v>829</v>
      </c>
      <c r="B972">
        <f>IFERROR(COUNTIFS($A$1:A972,"Câu "&amp;"*")-MID(A972,5,FIND(".",A972,1)-5),0)</f>
        <v>0</v>
      </c>
      <c r="C972" t="b">
        <v>0</v>
      </c>
      <c r="E972" t="str">
        <f t="shared" si="90"/>
        <v>Câu 236.</v>
      </c>
      <c r="F972" t="str">
        <f t="shared" si="91"/>
        <v>1</v>
      </c>
      <c r="G972" t="str">
        <f t="shared" si="92"/>
        <v>2</v>
      </c>
      <c r="H972" t="str">
        <f t="shared" si="93"/>
        <v>3</v>
      </c>
      <c r="I972" t="str">
        <f t="shared" si="94"/>
        <v/>
      </c>
      <c r="J972" t="str">
        <f t="shared" ca="1" si="95"/>
        <v>2</v>
      </c>
    </row>
    <row r="973" spans="1:10" ht="56.25" x14ac:dyDescent="0.25">
      <c r="A973" s="3" t="s">
        <v>2424</v>
      </c>
      <c r="B973">
        <f>IFERROR(COUNTIFS($A$1:A973,"Câu "&amp;"*")-MID(A973,5,FIND(".",A973,1)-5),0)</f>
        <v>0</v>
      </c>
      <c r="C973" t="b">
        <v>0</v>
      </c>
      <c r="E973" t="str">
        <f t="shared" si="90"/>
        <v>1</v>
      </c>
      <c r="F973" t="str">
        <f t="shared" si="91"/>
        <v>2</v>
      </c>
      <c r="G973" t="str">
        <f t="shared" si="92"/>
        <v>3</v>
      </c>
      <c r="H973" t="str">
        <f t="shared" si="93"/>
        <v/>
      </c>
      <c r="I973" t="str">
        <f t="shared" si="94"/>
        <v>1</v>
      </c>
      <c r="J973" t="str">
        <f t="shared" ca="1" si="95"/>
        <v/>
      </c>
    </row>
    <row r="974" spans="1:10" ht="18.75" x14ac:dyDescent="0.25">
      <c r="A974" s="3" t="s">
        <v>2425</v>
      </c>
      <c r="B974">
        <f>IFERROR(COUNTIFS($A$1:A974,"Câu "&amp;"*")-MID(A974,5,FIND(".",A974,1)-5),0)</f>
        <v>0</v>
      </c>
      <c r="C974" t="b">
        <v>1</v>
      </c>
      <c r="E974" t="str">
        <f t="shared" si="90"/>
        <v>2</v>
      </c>
      <c r="F974" t="str">
        <f t="shared" si="91"/>
        <v>3</v>
      </c>
      <c r="G974" t="str">
        <f t="shared" si="92"/>
        <v>Câu 237.</v>
      </c>
      <c r="H974" t="str">
        <f t="shared" si="93"/>
        <v>1</v>
      </c>
      <c r="I974" t="str">
        <f t="shared" si="94"/>
        <v>2</v>
      </c>
      <c r="J974" t="str">
        <f t="shared" ca="1" si="95"/>
        <v/>
      </c>
    </row>
    <row r="975" spans="1:10" ht="18.75" x14ac:dyDescent="0.25">
      <c r="A975" s="11" t="s">
        <v>2426</v>
      </c>
      <c r="B975">
        <f>IFERROR(COUNTIFS($A$1:A975,"Câu "&amp;"*")-MID(A975,5,FIND(".",A975,1)-5),0)</f>
        <v>0</v>
      </c>
      <c r="C975" t="b">
        <v>0</v>
      </c>
      <c r="E975" t="str">
        <f t="shared" si="90"/>
        <v>3</v>
      </c>
      <c r="F975" t="str">
        <f t="shared" si="91"/>
        <v>Câu 237.</v>
      </c>
      <c r="G975" t="str">
        <f t="shared" si="92"/>
        <v>1</v>
      </c>
      <c r="H975" t="str">
        <f t="shared" si="93"/>
        <v>2</v>
      </c>
      <c r="I975" t="str">
        <f t="shared" si="94"/>
        <v>3</v>
      </c>
      <c r="J975" t="str">
        <f t="shared" ca="1" si="95"/>
        <v/>
      </c>
    </row>
    <row r="976" spans="1:10" ht="18.75" x14ac:dyDescent="0.25">
      <c r="A976" s="10" t="s">
        <v>833</v>
      </c>
      <c r="B976">
        <f>IFERROR(COUNTIFS($A$1:A976,"Câu "&amp;"*")-MID(A976,5,FIND(".",A976,1)-5),0)</f>
        <v>0</v>
      </c>
      <c r="C976" t="b">
        <v>0</v>
      </c>
      <c r="E976" t="str">
        <f t="shared" si="90"/>
        <v>Câu 237.</v>
      </c>
      <c r="F976" t="str">
        <f t="shared" si="91"/>
        <v>1</v>
      </c>
      <c r="G976" t="str">
        <f t="shared" si="92"/>
        <v>2</v>
      </c>
      <c r="H976" t="str">
        <f t="shared" si="93"/>
        <v>3</v>
      </c>
      <c r="I976" t="str">
        <f t="shared" si="94"/>
        <v/>
      </c>
      <c r="J976" t="str">
        <f t="shared" ca="1" si="95"/>
        <v>1</v>
      </c>
    </row>
    <row r="977" spans="1:10" ht="18.75" x14ac:dyDescent="0.25">
      <c r="A977" s="11" t="s">
        <v>2427</v>
      </c>
      <c r="B977">
        <f>IFERROR(COUNTIFS($A$1:A977,"Câu "&amp;"*")-MID(A977,5,FIND(".",A977,1)-5),0)</f>
        <v>0</v>
      </c>
      <c r="C977" t="b">
        <v>1</v>
      </c>
      <c r="E977" t="str">
        <f t="shared" si="90"/>
        <v>1</v>
      </c>
      <c r="F977" t="str">
        <f t="shared" si="91"/>
        <v>2</v>
      </c>
      <c r="G977" t="str">
        <f t="shared" si="92"/>
        <v>3</v>
      </c>
      <c r="H977" t="str">
        <f t="shared" si="93"/>
        <v/>
      </c>
      <c r="I977" t="str">
        <f t="shared" si="94"/>
        <v>1</v>
      </c>
      <c r="J977" t="str">
        <f t="shared" ca="1" si="95"/>
        <v/>
      </c>
    </row>
    <row r="978" spans="1:10" ht="18.75" x14ac:dyDescent="0.25">
      <c r="A978" s="11" t="s">
        <v>2428</v>
      </c>
      <c r="B978">
        <f>IFERROR(COUNTIFS($A$1:A978,"Câu "&amp;"*")-MID(A978,5,FIND(".",A978,1)-5),0)</f>
        <v>0</v>
      </c>
      <c r="C978" t="b">
        <v>0</v>
      </c>
      <c r="E978" t="str">
        <f t="shared" si="90"/>
        <v>2</v>
      </c>
      <c r="F978" t="str">
        <f t="shared" si="91"/>
        <v>3</v>
      </c>
      <c r="G978" t="str">
        <f t="shared" si="92"/>
        <v>Câu 238.</v>
      </c>
      <c r="H978" t="str">
        <f t="shared" si="93"/>
        <v>1</v>
      </c>
      <c r="I978" t="str">
        <f t="shared" si="94"/>
        <v>2</v>
      </c>
      <c r="J978" t="str">
        <f t="shared" ca="1" si="95"/>
        <v/>
      </c>
    </row>
    <row r="979" spans="1:10" ht="18.75" x14ac:dyDescent="0.25">
      <c r="A979" s="11" t="s">
        <v>2429</v>
      </c>
      <c r="B979">
        <f>IFERROR(COUNTIFS($A$1:A979,"Câu "&amp;"*")-MID(A979,5,FIND(".",A979,1)-5),0)</f>
        <v>0</v>
      </c>
      <c r="C979" t="b">
        <v>0</v>
      </c>
      <c r="E979" t="str">
        <f t="shared" si="90"/>
        <v>3</v>
      </c>
      <c r="F979" t="str">
        <f t="shared" si="91"/>
        <v>Câu 238.</v>
      </c>
      <c r="G979" t="str">
        <f t="shared" si="92"/>
        <v>1</v>
      </c>
      <c r="H979" t="str">
        <f t="shared" si="93"/>
        <v>2</v>
      </c>
      <c r="I979" t="str">
        <f t="shared" si="94"/>
        <v>3</v>
      </c>
      <c r="J979" t="str">
        <f t="shared" ca="1" si="95"/>
        <v/>
      </c>
    </row>
    <row r="980" spans="1:10" ht="18.75" x14ac:dyDescent="0.25">
      <c r="A980" s="10" t="s">
        <v>837</v>
      </c>
      <c r="B980">
        <f>IFERROR(COUNTIFS($A$1:A980,"Câu "&amp;"*")-MID(A980,5,FIND(".",A980,1)-5),0)</f>
        <v>0</v>
      </c>
      <c r="C980" t="b">
        <v>0</v>
      </c>
      <c r="E980" t="str">
        <f t="shared" si="90"/>
        <v>Câu 238.</v>
      </c>
      <c r="F980" t="str">
        <f t="shared" si="91"/>
        <v>1</v>
      </c>
      <c r="G980" t="str">
        <f t="shared" si="92"/>
        <v>2</v>
      </c>
      <c r="H980" t="str">
        <f t="shared" si="93"/>
        <v>3</v>
      </c>
      <c r="I980" t="str">
        <f t="shared" si="94"/>
        <v/>
      </c>
      <c r="J980" t="str">
        <f t="shared" ca="1" si="95"/>
        <v>1</v>
      </c>
    </row>
    <row r="981" spans="1:10" ht="18.75" x14ac:dyDescent="0.25">
      <c r="A981" s="11" t="s">
        <v>2430</v>
      </c>
      <c r="B981">
        <f>IFERROR(COUNTIFS($A$1:A981,"Câu "&amp;"*")-MID(A981,5,FIND(".",A981,1)-5),0)</f>
        <v>0</v>
      </c>
      <c r="C981" t="b">
        <v>1</v>
      </c>
      <c r="E981" t="str">
        <f t="shared" si="90"/>
        <v>1</v>
      </c>
      <c r="F981" t="str">
        <f t="shared" si="91"/>
        <v>2</v>
      </c>
      <c r="G981" t="str">
        <f t="shared" si="92"/>
        <v>3</v>
      </c>
      <c r="H981" t="str">
        <f t="shared" si="93"/>
        <v/>
      </c>
      <c r="I981" t="str">
        <f t="shared" si="94"/>
        <v>1</v>
      </c>
      <c r="J981" t="str">
        <f t="shared" ca="1" si="95"/>
        <v/>
      </c>
    </row>
    <row r="982" spans="1:10" ht="18.75" x14ac:dyDescent="0.25">
      <c r="A982" s="11" t="s">
        <v>2431</v>
      </c>
      <c r="B982">
        <f>IFERROR(COUNTIFS($A$1:A982,"Câu "&amp;"*")-MID(A982,5,FIND(".",A982,1)-5),0)</f>
        <v>0</v>
      </c>
      <c r="C982" t="b">
        <v>0</v>
      </c>
      <c r="E982" t="str">
        <f t="shared" si="90"/>
        <v>2</v>
      </c>
      <c r="F982" t="str">
        <f t="shared" si="91"/>
        <v>3</v>
      </c>
      <c r="G982" t="str">
        <f t="shared" si="92"/>
        <v>Câu 239.</v>
      </c>
      <c r="H982" t="str">
        <f t="shared" si="93"/>
        <v>1</v>
      </c>
      <c r="I982" t="str">
        <f t="shared" si="94"/>
        <v>2</v>
      </c>
      <c r="J982" t="str">
        <f t="shared" ca="1" si="95"/>
        <v/>
      </c>
    </row>
    <row r="983" spans="1:10" ht="18.75" x14ac:dyDescent="0.25">
      <c r="A983" s="11" t="s">
        <v>2432</v>
      </c>
      <c r="B983">
        <f>IFERROR(COUNTIFS($A$1:A983,"Câu "&amp;"*")-MID(A983,5,FIND(".",A983,1)-5),0)</f>
        <v>0</v>
      </c>
      <c r="C983" t="b">
        <v>0</v>
      </c>
      <c r="E983" t="str">
        <f t="shared" si="90"/>
        <v>3</v>
      </c>
      <c r="F983" t="str">
        <f t="shared" si="91"/>
        <v>Câu 239.</v>
      </c>
      <c r="G983" t="str">
        <f t="shared" si="92"/>
        <v>1</v>
      </c>
      <c r="H983" t="str">
        <f t="shared" si="93"/>
        <v>2</v>
      </c>
      <c r="I983" t="str">
        <f t="shared" si="94"/>
        <v>3</v>
      </c>
      <c r="J983" t="str">
        <f t="shared" ca="1" si="95"/>
        <v/>
      </c>
    </row>
    <row r="984" spans="1:10" ht="18.75" x14ac:dyDescent="0.25">
      <c r="A984" s="10" t="s">
        <v>841</v>
      </c>
      <c r="B984">
        <f>IFERROR(COUNTIFS($A$1:A984,"Câu "&amp;"*")-MID(A984,5,FIND(".",A984,1)-5),0)</f>
        <v>0</v>
      </c>
      <c r="C984" t="b">
        <v>0</v>
      </c>
      <c r="E984" t="str">
        <f t="shared" si="90"/>
        <v>Câu 239.</v>
      </c>
      <c r="F984" t="str">
        <f t="shared" si="91"/>
        <v>1</v>
      </c>
      <c r="G984" t="str">
        <f t="shared" si="92"/>
        <v>2</v>
      </c>
      <c r="H984" t="str">
        <f t="shared" si="93"/>
        <v>3</v>
      </c>
      <c r="I984" t="str">
        <f t="shared" si="94"/>
        <v/>
      </c>
      <c r="J984" t="str">
        <f t="shared" ca="1" si="95"/>
        <v>1</v>
      </c>
    </row>
    <row r="985" spans="1:10" ht="18.75" x14ac:dyDescent="0.25">
      <c r="A985" s="11" t="s">
        <v>2433</v>
      </c>
      <c r="B985">
        <f>IFERROR(COUNTIFS($A$1:A985,"Câu "&amp;"*")-MID(A985,5,FIND(".",A985,1)-5),0)</f>
        <v>0</v>
      </c>
      <c r="C985" t="b">
        <v>1</v>
      </c>
      <c r="E985" t="str">
        <f t="shared" si="90"/>
        <v>1</v>
      </c>
      <c r="F985" t="str">
        <f t="shared" si="91"/>
        <v>2</v>
      </c>
      <c r="G985" t="str">
        <f t="shared" si="92"/>
        <v>3</v>
      </c>
      <c r="H985" t="str">
        <f t="shared" si="93"/>
        <v/>
      </c>
      <c r="I985" t="str">
        <f t="shared" si="94"/>
        <v>1</v>
      </c>
      <c r="J985" t="str">
        <f t="shared" ca="1" si="95"/>
        <v/>
      </c>
    </row>
    <row r="986" spans="1:10" ht="18.75" x14ac:dyDescent="0.25">
      <c r="A986" s="11" t="s">
        <v>2434</v>
      </c>
      <c r="B986">
        <f>IFERROR(COUNTIFS($A$1:A986,"Câu "&amp;"*")-MID(A986,5,FIND(".",A986,1)-5),0)</f>
        <v>0</v>
      </c>
      <c r="C986" t="b">
        <v>0</v>
      </c>
      <c r="E986" t="str">
        <f t="shared" si="90"/>
        <v>2</v>
      </c>
      <c r="F986" t="str">
        <f t="shared" si="91"/>
        <v>3</v>
      </c>
      <c r="G986" t="str">
        <f t="shared" si="92"/>
        <v>Câu 240.</v>
      </c>
      <c r="H986" t="str">
        <f t="shared" si="93"/>
        <v>1</v>
      </c>
      <c r="I986" t="str">
        <f t="shared" si="94"/>
        <v>2</v>
      </c>
      <c r="J986" t="str">
        <f t="shared" ca="1" si="95"/>
        <v/>
      </c>
    </row>
    <row r="987" spans="1:10" ht="18.75" x14ac:dyDescent="0.25">
      <c r="A987" s="11" t="s">
        <v>3069</v>
      </c>
      <c r="B987">
        <f>IFERROR(COUNTIFS($A$1:A987,"Câu "&amp;"*")-MID(A987,5,FIND(".",A987,1)-5),0)</f>
        <v>0</v>
      </c>
      <c r="C987" t="b">
        <v>0</v>
      </c>
      <c r="E987" t="str">
        <f t="shared" si="90"/>
        <v>3</v>
      </c>
      <c r="F987" t="str">
        <f t="shared" si="91"/>
        <v>Câu 240.</v>
      </c>
      <c r="G987" t="str">
        <f t="shared" si="92"/>
        <v>1</v>
      </c>
      <c r="H987" t="str">
        <f t="shared" si="93"/>
        <v>2</v>
      </c>
      <c r="I987" t="str">
        <f t="shared" si="94"/>
        <v>3</v>
      </c>
      <c r="J987" t="str">
        <f t="shared" ca="1" si="95"/>
        <v/>
      </c>
    </row>
    <row r="988" spans="1:10" ht="18.75" x14ac:dyDescent="0.25">
      <c r="A988" s="10" t="s">
        <v>1764</v>
      </c>
      <c r="B988">
        <f>IFERROR(COUNTIFS($A$1:A988,"Câu "&amp;"*")-MID(A988,5,FIND(".",A988,1)-5),0)</f>
        <v>0</v>
      </c>
      <c r="C988" t="b">
        <v>0</v>
      </c>
      <c r="E988" t="str">
        <f t="shared" si="90"/>
        <v>Câu 240.</v>
      </c>
      <c r="F988" t="str">
        <f t="shared" si="91"/>
        <v>1</v>
      </c>
      <c r="G988" t="str">
        <f t="shared" si="92"/>
        <v>2</v>
      </c>
      <c r="H988" t="str">
        <f t="shared" si="93"/>
        <v>3</v>
      </c>
      <c r="I988" t="str">
        <f t="shared" si="94"/>
        <v/>
      </c>
      <c r="J988" t="str">
        <f t="shared" ca="1" si="95"/>
        <v>2</v>
      </c>
    </row>
    <row r="989" spans="1:10" ht="18.75" x14ac:dyDescent="0.25">
      <c r="A989" s="11" t="s">
        <v>2435</v>
      </c>
      <c r="B989">
        <f>IFERROR(COUNTIFS($A$1:A989,"Câu "&amp;"*")-MID(A989,5,FIND(".",A989,1)-5),0)</f>
        <v>0</v>
      </c>
      <c r="C989" t="b">
        <v>0</v>
      </c>
      <c r="E989" t="str">
        <f t="shared" si="90"/>
        <v>1</v>
      </c>
      <c r="F989" t="str">
        <f t="shared" si="91"/>
        <v>2</v>
      </c>
      <c r="G989" t="str">
        <f t="shared" si="92"/>
        <v>3</v>
      </c>
      <c r="H989" t="str">
        <f t="shared" si="93"/>
        <v/>
      </c>
      <c r="I989" t="str">
        <f t="shared" si="94"/>
        <v>1</v>
      </c>
      <c r="J989" t="str">
        <f t="shared" ca="1" si="95"/>
        <v/>
      </c>
    </row>
    <row r="990" spans="1:10" ht="18.75" x14ac:dyDescent="0.25">
      <c r="A990" s="11" t="s">
        <v>2436</v>
      </c>
      <c r="B990">
        <f>IFERROR(COUNTIFS($A$1:A990,"Câu "&amp;"*")-MID(A990,5,FIND(".",A990,1)-5),0)</f>
        <v>0</v>
      </c>
      <c r="C990" t="b">
        <v>1</v>
      </c>
      <c r="E990" t="str">
        <f t="shared" si="90"/>
        <v>2</v>
      </c>
      <c r="F990" t="str">
        <f t="shared" si="91"/>
        <v>3</v>
      </c>
      <c r="G990" t="str">
        <f t="shared" si="92"/>
        <v>Câu 241.</v>
      </c>
      <c r="H990" t="str">
        <f t="shared" si="93"/>
        <v>1</v>
      </c>
      <c r="I990" t="str">
        <f t="shared" si="94"/>
        <v>2</v>
      </c>
      <c r="J990" t="str">
        <f t="shared" ca="1" si="95"/>
        <v/>
      </c>
    </row>
    <row r="991" spans="1:10" ht="18.75" x14ac:dyDescent="0.25">
      <c r="A991" s="11" t="s">
        <v>2437</v>
      </c>
      <c r="B991">
        <f>IFERROR(COUNTIFS($A$1:A991,"Câu "&amp;"*")-MID(A991,5,FIND(".",A991,1)-5),0)</f>
        <v>0</v>
      </c>
      <c r="C991" t="b">
        <v>0</v>
      </c>
      <c r="E991" t="str">
        <f t="shared" si="90"/>
        <v>3</v>
      </c>
      <c r="F991" t="str">
        <f t="shared" si="91"/>
        <v>Câu 241.</v>
      </c>
      <c r="G991" t="str">
        <f t="shared" si="92"/>
        <v>1</v>
      </c>
      <c r="H991" t="str">
        <f t="shared" si="93"/>
        <v>2</v>
      </c>
      <c r="I991" t="str">
        <f t="shared" si="94"/>
        <v>3</v>
      </c>
      <c r="J991" t="str">
        <f t="shared" ca="1" si="95"/>
        <v/>
      </c>
    </row>
    <row r="992" spans="1:10" ht="409.5" x14ac:dyDescent="0.25">
      <c r="A992" s="4" t="s">
        <v>847</v>
      </c>
      <c r="B992">
        <f>IFERROR(COUNTIFS($A$1:A992,"Câu "&amp;"*")-MID(A992,5,FIND(".",A992,1)-5),0)</f>
        <v>0</v>
      </c>
      <c r="C992" t="b">
        <v>0</v>
      </c>
      <c r="E992" t="str">
        <f t="shared" si="90"/>
        <v>Câu 241.</v>
      </c>
      <c r="F992" t="str">
        <f t="shared" si="91"/>
        <v>1</v>
      </c>
      <c r="G992" t="str">
        <f t="shared" si="92"/>
        <v>2</v>
      </c>
      <c r="H992" t="str">
        <f t="shared" si="93"/>
        <v>3</v>
      </c>
      <c r="I992" t="str">
        <f t="shared" si="94"/>
        <v/>
      </c>
      <c r="J992" t="str">
        <f t="shared" ca="1" si="95"/>
        <v>1</v>
      </c>
    </row>
    <row r="993" spans="1:10" ht="168.75" x14ac:dyDescent="0.25">
      <c r="A993" s="3" t="s">
        <v>2438</v>
      </c>
      <c r="B993">
        <f>IFERROR(COUNTIFS($A$1:A993,"Câu "&amp;"*")-MID(A993,5,FIND(".",A993,1)-5),0)</f>
        <v>0</v>
      </c>
      <c r="C993" t="b">
        <v>1</v>
      </c>
      <c r="E993" t="str">
        <f t="shared" si="90"/>
        <v>1</v>
      </c>
      <c r="F993" t="str">
        <f t="shared" si="91"/>
        <v>2</v>
      </c>
      <c r="G993" t="str">
        <f t="shared" si="92"/>
        <v>3</v>
      </c>
      <c r="H993" t="str">
        <f t="shared" si="93"/>
        <v/>
      </c>
      <c r="I993" t="str">
        <f t="shared" si="94"/>
        <v>1</v>
      </c>
      <c r="J993" t="str">
        <f t="shared" ca="1" si="95"/>
        <v/>
      </c>
    </row>
    <row r="994" spans="1:10" ht="18.75" x14ac:dyDescent="0.25">
      <c r="A994" s="11" t="s">
        <v>2439</v>
      </c>
      <c r="B994">
        <f>IFERROR(COUNTIFS($A$1:A994,"Câu "&amp;"*")-MID(A994,5,FIND(".",A994,1)-5),0)</f>
        <v>0</v>
      </c>
      <c r="C994" t="b">
        <v>0</v>
      </c>
      <c r="E994" t="str">
        <f t="shared" si="90"/>
        <v>2</v>
      </c>
      <c r="F994" t="str">
        <f t="shared" si="91"/>
        <v>3</v>
      </c>
      <c r="G994" t="str">
        <f t="shared" si="92"/>
        <v>Câu 242.</v>
      </c>
      <c r="H994" t="str">
        <f t="shared" si="93"/>
        <v>1</v>
      </c>
      <c r="I994" t="str">
        <f t="shared" si="94"/>
        <v>2</v>
      </c>
      <c r="J994" t="str">
        <f t="shared" ca="1" si="95"/>
        <v/>
      </c>
    </row>
    <row r="995" spans="1:10" ht="18.75" x14ac:dyDescent="0.25">
      <c r="A995" s="11" t="s">
        <v>2440</v>
      </c>
      <c r="B995">
        <f>IFERROR(COUNTIFS($A$1:A995,"Câu "&amp;"*")-MID(A995,5,FIND(".",A995,1)-5),0)</f>
        <v>0</v>
      </c>
      <c r="C995" t="b">
        <v>0</v>
      </c>
      <c r="E995" t="str">
        <f t="shared" si="90"/>
        <v>3</v>
      </c>
      <c r="F995" t="str">
        <f t="shared" si="91"/>
        <v>Câu 242.</v>
      </c>
      <c r="G995" t="str">
        <f t="shared" si="92"/>
        <v>1</v>
      </c>
      <c r="H995" t="str">
        <f t="shared" si="93"/>
        <v>2</v>
      </c>
      <c r="I995" t="str">
        <f t="shared" si="94"/>
        <v>3</v>
      </c>
      <c r="J995" t="str">
        <f t="shared" ca="1" si="95"/>
        <v/>
      </c>
    </row>
    <row r="996" spans="1:10" ht="18.75" x14ac:dyDescent="0.25">
      <c r="A996" s="10" t="s">
        <v>851</v>
      </c>
      <c r="B996">
        <f>IFERROR(COUNTIFS($A$1:A996,"Câu "&amp;"*")-MID(A996,5,FIND(".",A996,1)-5),0)</f>
        <v>0</v>
      </c>
      <c r="C996" t="b">
        <v>0</v>
      </c>
      <c r="E996" t="str">
        <f t="shared" si="90"/>
        <v>Câu 242.</v>
      </c>
      <c r="F996" t="str">
        <f t="shared" si="91"/>
        <v>1</v>
      </c>
      <c r="G996" t="str">
        <f t="shared" si="92"/>
        <v>2</v>
      </c>
      <c r="H996" t="str">
        <f t="shared" si="93"/>
        <v>3</v>
      </c>
      <c r="I996" t="str">
        <f t="shared" si="94"/>
        <v/>
      </c>
      <c r="J996" t="str">
        <f t="shared" ca="1" si="95"/>
        <v>3</v>
      </c>
    </row>
    <row r="997" spans="1:10" ht="18.75" x14ac:dyDescent="0.25">
      <c r="A997" s="11" t="s">
        <v>2441</v>
      </c>
      <c r="B997">
        <f>IFERROR(COUNTIFS($A$1:A997,"Câu "&amp;"*")-MID(A997,5,FIND(".",A997,1)-5),0)</f>
        <v>0</v>
      </c>
      <c r="C997" t="b">
        <v>0</v>
      </c>
      <c r="E997" t="str">
        <f t="shared" si="90"/>
        <v>1</v>
      </c>
      <c r="F997" t="str">
        <f t="shared" si="91"/>
        <v>2</v>
      </c>
      <c r="G997" t="str">
        <f t="shared" si="92"/>
        <v>3</v>
      </c>
      <c r="H997" t="str">
        <f t="shared" si="93"/>
        <v/>
      </c>
      <c r="I997" t="str">
        <f t="shared" si="94"/>
        <v>1</v>
      </c>
      <c r="J997" t="str">
        <f t="shared" ca="1" si="95"/>
        <v/>
      </c>
    </row>
    <row r="998" spans="1:10" ht="18.75" x14ac:dyDescent="0.25">
      <c r="A998" s="11" t="s">
        <v>2442</v>
      </c>
      <c r="B998">
        <f>IFERROR(COUNTIFS($A$1:A998,"Câu "&amp;"*")-MID(A998,5,FIND(".",A998,1)-5),0)</f>
        <v>0</v>
      </c>
      <c r="C998" t="b">
        <v>0</v>
      </c>
      <c r="E998" t="str">
        <f t="shared" si="90"/>
        <v>2</v>
      </c>
      <c r="F998" t="str">
        <f t="shared" si="91"/>
        <v>3</v>
      </c>
      <c r="G998" t="str">
        <f t="shared" si="92"/>
        <v>Câu 243.</v>
      </c>
      <c r="H998" t="str">
        <f t="shared" si="93"/>
        <v>1</v>
      </c>
      <c r="I998" t="str">
        <f t="shared" si="94"/>
        <v>2</v>
      </c>
      <c r="J998" t="str">
        <f t="shared" ca="1" si="95"/>
        <v/>
      </c>
    </row>
    <row r="999" spans="1:10" ht="18.75" x14ac:dyDescent="0.25">
      <c r="A999" s="11" t="s">
        <v>2443</v>
      </c>
      <c r="B999">
        <f>IFERROR(COUNTIFS($A$1:A999,"Câu "&amp;"*")-MID(A999,5,FIND(".",A999,1)-5),0)</f>
        <v>0</v>
      </c>
      <c r="C999" t="b">
        <v>1</v>
      </c>
      <c r="E999" t="str">
        <f t="shared" si="90"/>
        <v>3</v>
      </c>
      <c r="F999" t="str">
        <f t="shared" si="91"/>
        <v>Câu 243.</v>
      </c>
      <c r="G999" t="str">
        <f t="shared" si="92"/>
        <v>1</v>
      </c>
      <c r="H999" t="str">
        <f t="shared" si="93"/>
        <v>2</v>
      </c>
      <c r="I999" t="str">
        <f t="shared" si="94"/>
        <v>3</v>
      </c>
      <c r="J999" t="str">
        <f t="shared" ca="1" si="95"/>
        <v/>
      </c>
    </row>
    <row r="1000" spans="1:10" ht="18.75" x14ac:dyDescent="0.25">
      <c r="A1000" s="10" t="s">
        <v>855</v>
      </c>
      <c r="B1000">
        <f>IFERROR(COUNTIFS($A$1:A1000,"Câu "&amp;"*")-MID(A1000,5,FIND(".",A1000,1)-5),0)</f>
        <v>0</v>
      </c>
      <c r="C1000" t="b">
        <v>0</v>
      </c>
      <c r="E1000" t="str">
        <f t="shared" si="90"/>
        <v>Câu 243.</v>
      </c>
      <c r="F1000" t="str">
        <f t="shared" si="91"/>
        <v>1</v>
      </c>
      <c r="G1000" t="str">
        <f t="shared" si="92"/>
        <v>2</v>
      </c>
      <c r="H1000" t="str">
        <f t="shared" si="93"/>
        <v>3</v>
      </c>
      <c r="I1000" t="str">
        <f t="shared" si="94"/>
        <v/>
      </c>
      <c r="J1000" t="str">
        <f t="shared" ca="1" si="95"/>
        <v>1</v>
      </c>
    </row>
    <row r="1001" spans="1:10" ht="18.75" x14ac:dyDescent="0.25">
      <c r="A1001" s="11" t="s">
        <v>2444</v>
      </c>
      <c r="B1001">
        <f>IFERROR(COUNTIFS($A$1:A1001,"Câu "&amp;"*")-MID(A1001,5,FIND(".",A1001,1)-5),0)</f>
        <v>0</v>
      </c>
      <c r="C1001" t="b">
        <v>1</v>
      </c>
      <c r="E1001" t="str">
        <f t="shared" si="90"/>
        <v>1</v>
      </c>
      <c r="F1001" t="str">
        <f t="shared" si="91"/>
        <v>2</v>
      </c>
      <c r="G1001" t="str">
        <f t="shared" si="92"/>
        <v>3</v>
      </c>
      <c r="H1001" t="str">
        <f t="shared" si="93"/>
        <v/>
      </c>
      <c r="I1001" t="str">
        <f t="shared" si="94"/>
        <v>1</v>
      </c>
      <c r="J1001" t="str">
        <f t="shared" ca="1" si="95"/>
        <v/>
      </c>
    </row>
    <row r="1002" spans="1:10" ht="18.75" x14ac:dyDescent="0.25">
      <c r="A1002" s="11" t="s">
        <v>2445</v>
      </c>
      <c r="B1002">
        <f>IFERROR(COUNTIFS($A$1:A1002,"Câu "&amp;"*")-MID(A1002,5,FIND(".",A1002,1)-5),0)</f>
        <v>0</v>
      </c>
      <c r="C1002" t="b">
        <v>0</v>
      </c>
      <c r="E1002" t="str">
        <f t="shared" si="90"/>
        <v>2</v>
      </c>
      <c r="F1002" t="str">
        <f t="shared" si="91"/>
        <v>3</v>
      </c>
      <c r="G1002" t="str">
        <f t="shared" si="92"/>
        <v>Câu 244.</v>
      </c>
      <c r="H1002" t="str">
        <f t="shared" si="93"/>
        <v>1</v>
      </c>
      <c r="I1002" t="str">
        <f t="shared" si="94"/>
        <v>2</v>
      </c>
      <c r="J1002" t="str">
        <f t="shared" ca="1" si="95"/>
        <v/>
      </c>
    </row>
    <row r="1003" spans="1:10" ht="18.75" x14ac:dyDescent="0.25">
      <c r="A1003" s="11" t="s">
        <v>2446</v>
      </c>
      <c r="B1003">
        <f>IFERROR(COUNTIFS($A$1:A1003,"Câu "&amp;"*")-MID(A1003,5,FIND(".",A1003,1)-5),0)</f>
        <v>0</v>
      </c>
      <c r="C1003" t="b">
        <v>0</v>
      </c>
      <c r="E1003" t="str">
        <f t="shared" si="90"/>
        <v>3</v>
      </c>
      <c r="F1003" t="str">
        <f t="shared" si="91"/>
        <v>Câu 244.</v>
      </c>
      <c r="G1003" t="str">
        <f t="shared" si="92"/>
        <v>1</v>
      </c>
      <c r="H1003" t="str">
        <f t="shared" si="93"/>
        <v>2</v>
      </c>
      <c r="I1003" t="str">
        <f t="shared" si="94"/>
        <v>3</v>
      </c>
      <c r="J1003" t="str">
        <f t="shared" ca="1" si="95"/>
        <v/>
      </c>
    </row>
    <row r="1004" spans="1:10" ht="18.75" x14ac:dyDescent="0.25">
      <c r="A1004" s="10" t="s">
        <v>859</v>
      </c>
      <c r="B1004">
        <f>IFERROR(COUNTIFS($A$1:A1004,"Câu "&amp;"*")-MID(A1004,5,FIND(".",A1004,1)-5),0)</f>
        <v>0</v>
      </c>
      <c r="C1004" t="b">
        <v>0</v>
      </c>
      <c r="E1004" t="str">
        <f t="shared" si="90"/>
        <v>Câu 244.</v>
      </c>
      <c r="F1004" t="str">
        <f t="shared" si="91"/>
        <v>1</v>
      </c>
      <c r="G1004" t="str">
        <f t="shared" si="92"/>
        <v>2</v>
      </c>
      <c r="H1004" t="str">
        <f t="shared" si="93"/>
        <v>3</v>
      </c>
      <c r="I1004" t="str">
        <f t="shared" si="94"/>
        <v/>
      </c>
      <c r="J1004" t="str">
        <f t="shared" ca="1" si="95"/>
        <v>1</v>
      </c>
    </row>
    <row r="1005" spans="1:10" ht="409.5" x14ac:dyDescent="0.25">
      <c r="A1005" s="3" t="s">
        <v>2447</v>
      </c>
      <c r="B1005">
        <f>IFERROR(COUNTIFS($A$1:A1005,"Câu "&amp;"*")-MID(A1005,5,FIND(".",A1005,1)-5),0)</f>
        <v>0</v>
      </c>
      <c r="C1005" t="b">
        <v>1</v>
      </c>
      <c r="E1005" t="str">
        <f t="shared" si="90"/>
        <v>1</v>
      </c>
      <c r="F1005" t="str">
        <f t="shared" si="91"/>
        <v>2</v>
      </c>
      <c r="G1005" t="str">
        <f t="shared" si="92"/>
        <v>3</v>
      </c>
      <c r="H1005" t="str">
        <f t="shared" si="93"/>
        <v/>
      </c>
      <c r="I1005" t="str">
        <f t="shared" si="94"/>
        <v>1</v>
      </c>
      <c r="J1005" t="str">
        <f t="shared" ca="1" si="95"/>
        <v/>
      </c>
    </row>
    <row r="1006" spans="1:10" ht="318.75" x14ac:dyDescent="0.25">
      <c r="A1006" s="3" t="s">
        <v>2448</v>
      </c>
      <c r="B1006">
        <f>IFERROR(COUNTIFS($A$1:A1006,"Câu "&amp;"*")-MID(A1006,5,FIND(".",A1006,1)-5),0)</f>
        <v>0</v>
      </c>
      <c r="C1006" t="b">
        <v>0</v>
      </c>
      <c r="E1006" t="str">
        <f t="shared" si="90"/>
        <v>2</v>
      </c>
      <c r="F1006" t="str">
        <f t="shared" si="91"/>
        <v>3</v>
      </c>
      <c r="G1006" t="str">
        <f t="shared" si="92"/>
        <v>Câu 245.</v>
      </c>
      <c r="H1006" t="str">
        <f t="shared" si="93"/>
        <v>1</v>
      </c>
      <c r="I1006" t="str">
        <f t="shared" si="94"/>
        <v>2</v>
      </c>
      <c r="J1006" t="str">
        <f t="shared" ca="1" si="95"/>
        <v/>
      </c>
    </row>
    <row r="1007" spans="1:10" ht="150" x14ac:dyDescent="0.25">
      <c r="A1007" s="3" t="s">
        <v>2449</v>
      </c>
      <c r="B1007">
        <f>IFERROR(COUNTIFS($A$1:A1007,"Câu "&amp;"*")-MID(A1007,5,FIND(".",A1007,1)-5),0)</f>
        <v>0</v>
      </c>
      <c r="C1007" t="b">
        <v>0</v>
      </c>
      <c r="E1007" t="str">
        <f t="shared" si="90"/>
        <v>3</v>
      </c>
      <c r="F1007" t="str">
        <f t="shared" si="91"/>
        <v>Câu 245.</v>
      </c>
      <c r="G1007" t="str">
        <f t="shared" si="92"/>
        <v>1</v>
      </c>
      <c r="H1007" t="str">
        <f t="shared" si="93"/>
        <v>2</v>
      </c>
      <c r="I1007" t="str">
        <f t="shared" si="94"/>
        <v>3</v>
      </c>
      <c r="J1007" t="str">
        <f t="shared" ca="1" si="95"/>
        <v/>
      </c>
    </row>
    <row r="1008" spans="1:10" ht="300" x14ac:dyDescent="0.25">
      <c r="A1008" s="4" t="s">
        <v>863</v>
      </c>
      <c r="B1008">
        <f>IFERROR(COUNTIFS($A$1:A1008,"Câu "&amp;"*")-MID(A1008,5,FIND(".",A1008,1)-5),0)</f>
        <v>0</v>
      </c>
      <c r="C1008" t="b">
        <v>0</v>
      </c>
      <c r="E1008" t="str">
        <f t="shared" si="90"/>
        <v>Câu 245.</v>
      </c>
      <c r="F1008" t="str">
        <f t="shared" si="91"/>
        <v>1</v>
      </c>
      <c r="G1008" t="str">
        <f t="shared" si="92"/>
        <v>2</v>
      </c>
      <c r="H1008" t="str">
        <f t="shared" si="93"/>
        <v>3</v>
      </c>
      <c r="I1008" t="str">
        <f t="shared" si="94"/>
        <v/>
      </c>
      <c r="J1008" t="str">
        <f t="shared" ca="1" si="95"/>
        <v>1</v>
      </c>
    </row>
    <row r="1009" spans="1:10" ht="409.5" x14ac:dyDescent="0.25">
      <c r="A1009" s="3" t="s">
        <v>2450</v>
      </c>
      <c r="B1009">
        <f>IFERROR(COUNTIFS($A$1:A1009,"Câu "&amp;"*")-MID(A1009,5,FIND(".",A1009,1)-5),0)</f>
        <v>0</v>
      </c>
      <c r="C1009" t="b">
        <v>1</v>
      </c>
      <c r="E1009" t="str">
        <f t="shared" si="90"/>
        <v>1</v>
      </c>
      <c r="F1009" t="str">
        <f t="shared" si="91"/>
        <v>2</v>
      </c>
      <c r="G1009" t="str">
        <f t="shared" si="92"/>
        <v>3</v>
      </c>
      <c r="H1009" t="str">
        <f t="shared" si="93"/>
        <v/>
      </c>
      <c r="I1009" t="str">
        <f t="shared" si="94"/>
        <v>1</v>
      </c>
      <c r="J1009" t="str">
        <f t="shared" ca="1" si="95"/>
        <v/>
      </c>
    </row>
    <row r="1010" spans="1:10" ht="206.25" x14ac:dyDescent="0.25">
      <c r="A1010" s="3" t="s">
        <v>2451</v>
      </c>
      <c r="B1010">
        <f>IFERROR(COUNTIFS($A$1:A1010,"Câu "&amp;"*")-MID(A1010,5,FIND(".",A1010,1)-5),0)</f>
        <v>0</v>
      </c>
      <c r="C1010" t="b">
        <v>0</v>
      </c>
      <c r="E1010" t="str">
        <f t="shared" si="90"/>
        <v>2</v>
      </c>
      <c r="F1010" t="str">
        <f t="shared" si="91"/>
        <v>3</v>
      </c>
      <c r="G1010" t="str">
        <f t="shared" si="92"/>
        <v>Câu 246.</v>
      </c>
      <c r="H1010" t="str">
        <f t="shared" si="93"/>
        <v>1</v>
      </c>
      <c r="I1010" t="str">
        <f t="shared" si="94"/>
        <v>2</v>
      </c>
      <c r="J1010" t="str">
        <f t="shared" ca="1" si="95"/>
        <v/>
      </c>
    </row>
    <row r="1011" spans="1:10" ht="187.5" x14ac:dyDescent="0.25">
      <c r="A1011" s="3" t="s">
        <v>2452</v>
      </c>
      <c r="B1011">
        <f>IFERROR(COUNTIFS($A$1:A1011,"Câu "&amp;"*")-MID(A1011,5,FIND(".",A1011,1)-5),0)</f>
        <v>0</v>
      </c>
      <c r="C1011" t="b">
        <v>0</v>
      </c>
      <c r="E1011" t="str">
        <f t="shared" si="90"/>
        <v>3</v>
      </c>
      <c r="F1011" t="str">
        <f t="shared" si="91"/>
        <v>Câu 246.</v>
      </c>
      <c r="G1011" t="str">
        <f t="shared" si="92"/>
        <v>1</v>
      </c>
      <c r="H1011" t="str">
        <f t="shared" si="93"/>
        <v>2</v>
      </c>
      <c r="I1011" t="str">
        <f t="shared" si="94"/>
        <v>3</v>
      </c>
      <c r="J1011" t="str">
        <f t="shared" ca="1" si="95"/>
        <v/>
      </c>
    </row>
    <row r="1012" spans="1:10" ht="243.75" x14ac:dyDescent="0.25">
      <c r="A1012" s="4" t="s">
        <v>867</v>
      </c>
      <c r="B1012">
        <f>IFERROR(COUNTIFS($A$1:A1012,"Câu "&amp;"*")-MID(A1012,5,FIND(".",A1012,1)-5),0)</f>
        <v>0</v>
      </c>
      <c r="C1012" t="b">
        <v>0</v>
      </c>
      <c r="E1012" t="str">
        <f t="shared" si="90"/>
        <v>Câu 246.</v>
      </c>
      <c r="F1012" t="str">
        <f t="shared" si="91"/>
        <v>1</v>
      </c>
      <c r="G1012" t="str">
        <f t="shared" si="92"/>
        <v>2</v>
      </c>
      <c r="H1012" t="str">
        <f t="shared" si="93"/>
        <v>3</v>
      </c>
      <c r="I1012" t="str">
        <f t="shared" si="94"/>
        <v/>
      </c>
      <c r="J1012" t="str">
        <f t="shared" ca="1" si="95"/>
        <v>1</v>
      </c>
    </row>
    <row r="1013" spans="1:10" ht="18.75" x14ac:dyDescent="0.25">
      <c r="A1013" s="11" t="s">
        <v>2453</v>
      </c>
      <c r="B1013">
        <f>IFERROR(COUNTIFS($A$1:A1013,"Câu "&amp;"*")-MID(A1013,5,FIND(".",A1013,1)-5),0)</f>
        <v>0</v>
      </c>
      <c r="C1013" t="b">
        <v>1</v>
      </c>
      <c r="E1013" t="str">
        <f t="shared" si="90"/>
        <v>1</v>
      </c>
      <c r="F1013" t="str">
        <f t="shared" si="91"/>
        <v>2</v>
      </c>
      <c r="G1013" t="str">
        <f t="shared" si="92"/>
        <v>3</v>
      </c>
      <c r="H1013" t="str">
        <f t="shared" si="93"/>
        <v/>
      </c>
      <c r="I1013" t="str">
        <f t="shared" si="94"/>
        <v>1</v>
      </c>
      <c r="J1013" t="str">
        <f t="shared" ca="1" si="95"/>
        <v/>
      </c>
    </row>
    <row r="1014" spans="1:10" ht="18.75" x14ac:dyDescent="0.25">
      <c r="A1014" s="11" t="s">
        <v>2454</v>
      </c>
      <c r="B1014">
        <f>IFERROR(COUNTIFS($A$1:A1014,"Câu "&amp;"*")-MID(A1014,5,FIND(".",A1014,1)-5),0)</f>
        <v>0</v>
      </c>
      <c r="C1014" t="b">
        <v>0</v>
      </c>
      <c r="E1014" t="str">
        <f t="shared" si="90"/>
        <v>2</v>
      </c>
      <c r="F1014" t="str">
        <f t="shared" si="91"/>
        <v>3</v>
      </c>
      <c r="G1014" t="str">
        <f t="shared" si="92"/>
        <v>Câu 247.</v>
      </c>
      <c r="H1014" t="str">
        <f t="shared" si="93"/>
        <v>1</v>
      </c>
      <c r="I1014" t="str">
        <f t="shared" si="94"/>
        <v>2</v>
      </c>
      <c r="J1014" t="str">
        <f t="shared" ca="1" si="95"/>
        <v/>
      </c>
    </row>
    <row r="1015" spans="1:10" ht="18.75" x14ac:dyDescent="0.25">
      <c r="A1015" s="11" t="s">
        <v>2455</v>
      </c>
      <c r="B1015">
        <f>IFERROR(COUNTIFS($A$1:A1015,"Câu "&amp;"*")-MID(A1015,5,FIND(".",A1015,1)-5),0)</f>
        <v>0</v>
      </c>
      <c r="C1015" t="b">
        <v>0</v>
      </c>
      <c r="E1015" t="str">
        <f t="shared" si="90"/>
        <v>3</v>
      </c>
      <c r="F1015" t="str">
        <f t="shared" si="91"/>
        <v>Câu 247.</v>
      </c>
      <c r="G1015" t="str">
        <f t="shared" si="92"/>
        <v>1</v>
      </c>
      <c r="H1015" t="str">
        <f t="shared" si="93"/>
        <v>2</v>
      </c>
      <c r="I1015" t="str">
        <f t="shared" si="94"/>
        <v>3</v>
      </c>
      <c r="J1015" t="str">
        <f t="shared" ca="1" si="95"/>
        <v/>
      </c>
    </row>
    <row r="1016" spans="1:10" ht="18.75" x14ac:dyDescent="0.25">
      <c r="A1016" s="10" t="s">
        <v>871</v>
      </c>
      <c r="B1016">
        <f>IFERROR(COUNTIFS($A$1:A1016,"Câu "&amp;"*")-MID(A1016,5,FIND(".",A1016,1)-5),0)</f>
        <v>0</v>
      </c>
      <c r="C1016" t="b">
        <v>0</v>
      </c>
      <c r="E1016" t="str">
        <f t="shared" si="90"/>
        <v>Câu 247.</v>
      </c>
      <c r="F1016" t="str">
        <f t="shared" si="91"/>
        <v>1</v>
      </c>
      <c r="G1016" t="str">
        <f t="shared" si="92"/>
        <v>2</v>
      </c>
      <c r="H1016" t="str">
        <f t="shared" si="93"/>
        <v>3</v>
      </c>
      <c r="I1016" t="str">
        <f t="shared" si="94"/>
        <v/>
      </c>
      <c r="J1016" t="str">
        <f t="shared" ca="1" si="95"/>
        <v>3</v>
      </c>
    </row>
    <row r="1017" spans="1:10" ht="18.75" x14ac:dyDescent="0.25">
      <c r="A1017" s="11" t="s">
        <v>2456</v>
      </c>
      <c r="B1017">
        <f>IFERROR(COUNTIFS($A$1:A1017,"Câu "&amp;"*")-MID(A1017,5,FIND(".",A1017,1)-5),0)</f>
        <v>0</v>
      </c>
      <c r="C1017" t="b">
        <v>0</v>
      </c>
      <c r="E1017" t="str">
        <f t="shared" si="90"/>
        <v>1</v>
      </c>
      <c r="F1017" t="str">
        <f t="shared" si="91"/>
        <v>2</v>
      </c>
      <c r="G1017" t="str">
        <f t="shared" si="92"/>
        <v>3</v>
      </c>
      <c r="H1017" t="str">
        <f t="shared" si="93"/>
        <v/>
      </c>
      <c r="I1017" t="str">
        <f t="shared" si="94"/>
        <v>1</v>
      </c>
      <c r="J1017" t="str">
        <f t="shared" ca="1" si="95"/>
        <v/>
      </c>
    </row>
    <row r="1018" spans="1:10" ht="262.5" x14ac:dyDescent="0.25">
      <c r="A1018" s="3" t="s">
        <v>2457</v>
      </c>
      <c r="B1018">
        <f>IFERROR(COUNTIFS($A$1:A1018,"Câu "&amp;"*")-MID(A1018,5,FIND(".",A1018,1)-5),0)</f>
        <v>0</v>
      </c>
      <c r="C1018" t="b">
        <v>0</v>
      </c>
      <c r="E1018" t="str">
        <f t="shared" si="90"/>
        <v>2</v>
      </c>
      <c r="F1018" t="str">
        <f t="shared" si="91"/>
        <v>3</v>
      </c>
      <c r="G1018" t="str">
        <f t="shared" si="92"/>
        <v>Câu 248.</v>
      </c>
      <c r="H1018" t="str">
        <f t="shared" si="93"/>
        <v>1</v>
      </c>
      <c r="I1018" t="str">
        <f t="shared" si="94"/>
        <v>2</v>
      </c>
      <c r="J1018" t="str">
        <f t="shared" ca="1" si="95"/>
        <v/>
      </c>
    </row>
    <row r="1019" spans="1:10" ht="37.5" x14ac:dyDescent="0.25">
      <c r="A1019" s="3" t="s">
        <v>1825</v>
      </c>
      <c r="B1019">
        <f>IFERROR(COUNTIFS($A$1:A1019,"Câu "&amp;"*")-MID(A1019,5,FIND(".",A1019,1)-5),0)</f>
        <v>0</v>
      </c>
      <c r="C1019" t="b">
        <v>1</v>
      </c>
      <c r="E1019" t="str">
        <f t="shared" si="90"/>
        <v>3</v>
      </c>
      <c r="F1019" t="str">
        <f t="shared" si="91"/>
        <v>Câu 248.</v>
      </c>
      <c r="G1019" t="str">
        <f t="shared" si="92"/>
        <v>1</v>
      </c>
      <c r="H1019" t="str">
        <f t="shared" si="93"/>
        <v>2</v>
      </c>
      <c r="I1019" t="str">
        <f t="shared" si="94"/>
        <v>3</v>
      </c>
      <c r="J1019" t="str">
        <f t="shared" ca="1" si="95"/>
        <v/>
      </c>
    </row>
    <row r="1020" spans="1:10" ht="409.5" x14ac:dyDescent="0.25">
      <c r="A1020" s="4" t="s">
        <v>874</v>
      </c>
      <c r="B1020">
        <f>IFERROR(COUNTIFS($A$1:A1020,"Câu "&amp;"*")-MID(A1020,5,FIND(".",A1020,1)-5),0)</f>
        <v>0</v>
      </c>
      <c r="C1020" t="b">
        <v>0</v>
      </c>
      <c r="E1020" t="str">
        <f t="shared" si="90"/>
        <v>Câu 248.</v>
      </c>
      <c r="F1020" t="str">
        <f t="shared" si="91"/>
        <v>1</v>
      </c>
      <c r="G1020" t="str">
        <f t="shared" si="92"/>
        <v>2</v>
      </c>
      <c r="H1020" t="str">
        <f t="shared" si="93"/>
        <v>3</v>
      </c>
      <c r="I1020" t="str">
        <f t="shared" si="94"/>
        <v/>
      </c>
      <c r="J1020" t="str">
        <f t="shared" ca="1" si="95"/>
        <v>1</v>
      </c>
    </row>
    <row r="1021" spans="1:10" ht="409.5" x14ac:dyDescent="0.25">
      <c r="A1021" s="3" t="s">
        <v>2458</v>
      </c>
      <c r="B1021">
        <f>IFERROR(COUNTIFS($A$1:A1021,"Câu "&amp;"*")-MID(A1021,5,FIND(".",A1021,1)-5),0)</f>
        <v>0</v>
      </c>
      <c r="C1021" t="b">
        <v>1</v>
      </c>
      <c r="E1021" t="str">
        <f t="shared" si="90"/>
        <v>1</v>
      </c>
      <c r="F1021" t="str">
        <f t="shared" si="91"/>
        <v>2</v>
      </c>
      <c r="G1021" t="str">
        <f t="shared" si="92"/>
        <v>3</v>
      </c>
      <c r="H1021" t="str">
        <f t="shared" si="93"/>
        <v/>
      </c>
      <c r="I1021" t="str">
        <f t="shared" si="94"/>
        <v>1</v>
      </c>
      <c r="J1021" t="str">
        <f t="shared" ca="1" si="95"/>
        <v/>
      </c>
    </row>
    <row r="1022" spans="1:10" ht="375" x14ac:dyDescent="0.25">
      <c r="A1022" s="3" t="s">
        <v>2459</v>
      </c>
      <c r="B1022">
        <f>IFERROR(COUNTIFS($A$1:A1022,"Câu "&amp;"*")-MID(A1022,5,FIND(".",A1022,1)-5),0)</f>
        <v>0</v>
      </c>
      <c r="C1022" t="b">
        <v>0</v>
      </c>
      <c r="E1022" t="str">
        <f t="shared" si="90"/>
        <v>2</v>
      </c>
      <c r="F1022" t="str">
        <f t="shared" si="91"/>
        <v>3</v>
      </c>
      <c r="G1022" t="str">
        <f t="shared" si="92"/>
        <v>Câu 249.</v>
      </c>
      <c r="H1022" t="str">
        <f t="shared" si="93"/>
        <v>1</v>
      </c>
      <c r="I1022" t="str">
        <f t="shared" si="94"/>
        <v>2</v>
      </c>
      <c r="J1022" t="str">
        <f t="shared" ca="1" si="95"/>
        <v/>
      </c>
    </row>
    <row r="1023" spans="1:10" ht="409.5" x14ac:dyDescent="0.25">
      <c r="A1023" s="3" t="s">
        <v>2460</v>
      </c>
      <c r="B1023">
        <f>IFERROR(COUNTIFS($A$1:A1023,"Câu "&amp;"*")-MID(A1023,5,FIND(".",A1023,1)-5),0)</f>
        <v>0</v>
      </c>
      <c r="C1023" t="b">
        <v>0</v>
      </c>
      <c r="E1023" t="str">
        <f t="shared" si="90"/>
        <v>3</v>
      </c>
      <c r="F1023" t="str">
        <f t="shared" si="91"/>
        <v>Câu 249.</v>
      </c>
      <c r="G1023" t="str">
        <f t="shared" si="92"/>
        <v>1</v>
      </c>
      <c r="H1023" t="str">
        <f t="shared" si="93"/>
        <v>2</v>
      </c>
      <c r="I1023" t="str">
        <f t="shared" si="94"/>
        <v/>
      </c>
      <c r="J1023" t="str">
        <f t="shared" ca="1" si="95"/>
        <v/>
      </c>
    </row>
    <row r="1024" spans="1:10" ht="409.5" x14ac:dyDescent="0.25">
      <c r="A1024" s="4" t="s">
        <v>878</v>
      </c>
      <c r="B1024">
        <f>IFERROR(COUNTIFS($A$1:A1024,"Câu "&amp;"*")-MID(A1024,5,FIND(".",A1024,1)-5),0)</f>
        <v>0</v>
      </c>
      <c r="C1024" t="b">
        <v>0</v>
      </c>
      <c r="E1024" t="str">
        <f t="shared" si="90"/>
        <v>Câu 249.</v>
      </c>
      <c r="F1024" t="str">
        <f t="shared" si="91"/>
        <v>1</v>
      </c>
      <c r="G1024" t="str">
        <f t="shared" si="92"/>
        <v>2</v>
      </c>
      <c r="H1024" t="str">
        <f t="shared" si="93"/>
        <v/>
      </c>
      <c r="I1024" t="str">
        <f t="shared" si="94"/>
        <v>1</v>
      </c>
      <c r="J1024" t="str">
        <f t="shared" ca="1" si="95"/>
        <v>1</v>
      </c>
    </row>
    <row r="1025" spans="1:10" ht="409.5" x14ac:dyDescent="0.25">
      <c r="A1025" s="3" t="s">
        <v>2461</v>
      </c>
      <c r="B1025">
        <f>IFERROR(COUNTIFS($A$1:A1025,"Câu "&amp;"*")-MID(A1025,5,FIND(".",A1025,1)-5),0)</f>
        <v>0</v>
      </c>
      <c r="C1025" t="b">
        <v>1</v>
      </c>
      <c r="E1025" t="str">
        <f t="shared" si="90"/>
        <v>1</v>
      </c>
      <c r="F1025" t="str">
        <f t="shared" si="91"/>
        <v>2</v>
      </c>
      <c r="G1025" t="str">
        <f t="shared" si="92"/>
        <v>Câu 250.</v>
      </c>
      <c r="H1025" t="str">
        <f t="shared" si="93"/>
        <v>1</v>
      </c>
      <c r="I1025" t="str">
        <f t="shared" si="94"/>
        <v>2</v>
      </c>
      <c r="J1025" t="str">
        <f t="shared" ca="1" si="95"/>
        <v/>
      </c>
    </row>
    <row r="1026" spans="1:10" ht="409.5" x14ac:dyDescent="0.25">
      <c r="A1026" s="3" t="s">
        <v>2462</v>
      </c>
      <c r="B1026">
        <f>IFERROR(COUNTIFS($A$1:A1026,"Câu "&amp;"*")-MID(A1026,5,FIND(".",A1026,1)-5),0)</f>
        <v>0</v>
      </c>
      <c r="C1026" t="b">
        <v>0</v>
      </c>
      <c r="E1026" t="str">
        <f t="shared" si="90"/>
        <v>2</v>
      </c>
      <c r="F1026" t="str">
        <f t="shared" si="91"/>
        <v>Câu 250.</v>
      </c>
      <c r="G1026" t="str">
        <f t="shared" si="92"/>
        <v>1</v>
      </c>
      <c r="H1026" t="str">
        <f t="shared" si="93"/>
        <v>2</v>
      </c>
      <c r="I1026" t="str">
        <f t="shared" si="94"/>
        <v>3</v>
      </c>
      <c r="J1026" t="str">
        <f t="shared" ca="1" si="95"/>
        <v/>
      </c>
    </row>
    <row r="1027" spans="1:10" ht="337.5" x14ac:dyDescent="0.25">
      <c r="A1027" s="4" t="s">
        <v>881</v>
      </c>
      <c r="B1027">
        <f>IFERROR(COUNTIFS($A$1:A1027,"Câu "&amp;"*")-MID(A1027,5,FIND(".",A1027,1)-5),0)</f>
        <v>0</v>
      </c>
      <c r="C1027" t="b">
        <v>0</v>
      </c>
      <c r="E1027" t="str">
        <f t="shared" ref="E1027:E1090" si="96">IF(LEFT(A1027,3)="Câu",LEFT(A1027,FIND(".",A1027,1)),LEFT(A1027,1))</f>
        <v>Câu 250.</v>
      </c>
      <c r="F1027" t="str">
        <f t="shared" ref="F1027:F1090" si="97">IF(LEFT(A1028,3)="Câu",LEFT(A1028,FIND(".",A1028,1)),LEFT(A1028,1))</f>
        <v>1</v>
      </c>
      <c r="G1027" t="str">
        <f t="shared" ref="G1027:G1090" si="98">IF(LEFT(A1029,3)="Câu",LEFT(A1029,FIND(".",A1029,1)),LEFT(A1029,1))</f>
        <v>2</v>
      </c>
      <c r="H1027" t="str">
        <f t="shared" ref="H1027:H1090" si="99">IF(LEFT(A1030,3)="Câu","",LEFT(A1030,1))</f>
        <v>3</v>
      </c>
      <c r="I1027" t="str">
        <f t="shared" ref="I1027:I1090" si="100">IF(LEFT(A1031,3)="Câu","",LEFT(A1031,1))</f>
        <v/>
      </c>
      <c r="J1027" t="str">
        <f t="shared" ref="J1027:J1090" ca="1" si="101">IFERROR(VLOOKUP(TRUE,INDIRECT("C"&amp;MATCH(E1027,$E$1:$E$2471,0)&amp;":E"&amp;MATCH("Câu "&amp;VALUE(MID(E1027,5,LEN(E1027)-5))+1&amp;".",$E$1:$E$2471,0)),3,0),"")</f>
        <v>1</v>
      </c>
    </row>
    <row r="1028" spans="1:10" ht="18.75" x14ac:dyDescent="0.25">
      <c r="A1028" s="11" t="s">
        <v>2463</v>
      </c>
      <c r="B1028">
        <f>IFERROR(COUNTIFS($A$1:A1028,"Câu "&amp;"*")-MID(A1028,5,FIND(".",A1028,1)-5),0)</f>
        <v>0</v>
      </c>
      <c r="C1028" t="b">
        <v>1</v>
      </c>
      <c r="E1028" t="str">
        <f t="shared" si="96"/>
        <v>1</v>
      </c>
      <c r="F1028" t="str">
        <f t="shared" si="97"/>
        <v>2</v>
      </c>
      <c r="G1028" t="str">
        <f t="shared" si="98"/>
        <v>3</v>
      </c>
      <c r="H1028" t="str">
        <f t="shared" si="99"/>
        <v/>
      </c>
      <c r="I1028" t="str">
        <f t="shared" si="100"/>
        <v>1</v>
      </c>
      <c r="J1028" t="str">
        <f t="shared" ca="1" si="101"/>
        <v/>
      </c>
    </row>
    <row r="1029" spans="1:10" ht="18.75" x14ac:dyDescent="0.25">
      <c r="A1029" s="11" t="s">
        <v>2464</v>
      </c>
      <c r="B1029">
        <f>IFERROR(COUNTIFS($A$1:A1029,"Câu "&amp;"*")-MID(A1029,5,FIND(".",A1029,1)-5),0)</f>
        <v>0</v>
      </c>
      <c r="C1029" t="b">
        <v>0</v>
      </c>
      <c r="E1029" t="str">
        <f t="shared" si="96"/>
        <v>2</v>
      </c>
      <c r="F1029" t="str">
        <f t="shared" si="97"/>
        <v>3</v>
      </c>
      <c r="G1029" t="str">
        <f t="shared" si="98"/>
        <v>Câu 251.</v>
      </c>
      <c r="H1029" t="str">
        <f t="shared" si="99"/>
        <v>1</v>
      </c>
      <c r="I1029" t="str">
        <f t="shared" si="100"/>
        <v>2</v>
      </c>
      <c r="J1029" t="str">
        <f t="shared" ca="1" si="101"/>
        <v/>
      </c>
    </row>
    <row r="1030" spans="1:10" ht="18.75" x14ac:dyDescent="0.25">
      <c r="A1030" s="11" t="s">
        <v>1814</v>
      </c>
      <c r="B1030">
        <f>IFERROR(COUNTIFS($A$1:A1030,"Câu "&amp;"*")-MID(A1030,5,FIND(".",A1030,1)-5),0)</f>
        <v>0</v>
      </c>
      <c r="C1030" t="b">
        <v>0</v>
      </c>
      <c r="E1030" t="str">
        <f t="shared" si="96"/>
        <v>3</v>
      </c>
      <c r="F1030" t="str">
        <f t="shared" si="97"/>
        <v>Câu 251.</v>
      </c>
      <c r="G1030" t="str">
        <f t="shared" si="98"/>
        <v>1</v>
      </c>
      <c r="H1030" t="str">
        <f t="shared" si="99"/>
        <v>2</v>
      </c>
      <c r="I1030" t="str">
        <f t="shared" si="100"/>
        <v>3</v>
      </c>
      <c r="J1030" t="str">
        <f t="shared" ca="1" si="101"/>
        <v/>
      </c>
    </row>
    <row r="1031" spans="1:10" ht="18.75" x14ac:dyDescent="0.25">
      <c r="A1031" s="10" t="s">
        <v>884</v>
      </c>
      <c r="B1031">
        <f>IFERROR(COUNTIFS($A$1:A1031,"Câu "&amp;"*")-MID(A1031,5,FIND(".",A1031,1)-5),0)</f>
        <v>0</v>
      </c>
      <c r="C1031" t="b">
        <v>0</v>
      </c>
      <c r="E1031" t="str">
        <f t="shared" si="96"/>
        <v>Câu 251.</v>
      </c>
      <c r="F1031" t="str">
        <f t="shared" si="97"/>
        <v>1</v>
      </c>
      <c r="G1031" t="str">
        <f t="shared" si="98"/>
        <v>2</v>
      </c>
      <c r="H1031" t="str">
        <f t="shared" si="99"/>
        <v>3</v>
      </c>
      <c r="I1031" t="str">
        <f t="shared" si="100"/>
        <v>4</v>
      </c>
      <c r="J1031" t="str">
        <f t="shared" ca="1" si="101"/>
        <v>4</v>
      </c>
    </row>
    <row r="1032" spans="1:10" ht="318.75" x14ac:dyDescent="0.25">
      <c r="A1032" s="3" t="s">
        <v>2465</v>
      </c>
      <c r="B1032">
        <f>IFERROR(COUNTIFS($A$1:A1032,"Câu "&amp;"*")-MID(A1032,5,FIND(".",A1032,1)-5),0)</f>
        <v>0</v>
      </c>
      <c r="C1032" t="b">
        <v>0</v>
      </c>
      <c r="E1032" t="str">
        <f t="shared" si="96"/>
        <v>1</v>
      </c>
      <c r="F1032" t="str">
        <f t="shared" si="97"/>
        <v>2</v>
      </c>
      <c r="G1032" t="str">
        <f t="shared" si="98"/>
        <v>3</v>
      </c>
      <c r="H1032" t="str">
        <f t="shared" si="99"/>
        <v>4</v>
      </c>
      <c r="I1032" t="str">
        <f t="shared" si="100"/>
        <v/>
      </c>
      <c r="J1032" t="str">
        <f t="shared" ca="1" si="101"/>
        <v/>
      </c>
    </row>
    <row r="1033" spans="1:10" ht="409.5" x14ac:dyDescent="0.25">
      <c r="A1033" s="3" t="s">
        <v>2466</v>
      </c>
      <c r="B1033">
        <f>IFERROR(COUNTIFS($A$1:A1033,"Câu "&amp;"*")-MID(A1033,5,FIND(".",A1033,1)-5),0)</f>
        <v>0</v>
      </c>
      <c r="C1033" t="b">
        <v>0</v>
      </c>
      <c r="E1033" t="str">
        <f t="shared" si="96"/>
        <v>2</v>
      </c>
      <c r="F1033" t="str">
        <f t="shared" si="97"/>
        <v>3</v>
      </c>
      <c r="G1033" t="str">
        <f t="shared" si="98"/>
        <v>4</v>
      </c>
      <c r="H1033" t="str">
        <f t="shared" si="99"/>
        <v/>
      </c>
      <c r="I1033" t="str">
        <f t="shared" si="100"/>
        <v>1</v>
      </c>
      <c r="J1033" t="str">
        <f t="shared" ca="1" si="101"/>
        <v/>
      </c>
    </row>
    <row r="1034" spans="1:10" ht="393.75" x14ac:dyDescent="0.25">
      <c r="A1034" s="3" t="s">
        <v>2467</v>
      </c>
      <c r="B1034">
        <f>IFERROR(COUNTIFS($A$1:A1034,"Câu "&amp;"*")-MID(A1034,5,FIND(".",A1034,1)-5),0)</f>
        <v>0</v>
      </c>
      <c r="C1034" t="b">
        <v>0</v>
      </c>
      <c r="E1034" t="str">
        <f t="shared" si="96"/>
        <v>3</v>
      </c>
      <c r="F1034" t="str">
        <f t="shared" si="97"/>
        <v>4</v>
      </c>
      <c r="G1034" t="str">
        <f t="shared" si="98"/>
        <v>Câu 252.</v>
      </c>
      <c r="H1034" t="str">
        <f t="shared" si="99"/>
        <v>1</v>
      </c>
      <c r="I1034" t="str">
        <f t="shared" si="100"/>
        <v>2</v>
      </c>
      <c r="J1034" t="str">
        <f t="shared" ca="1" si="101"/>
        <v/>
      </c>
    </row>
    <row r="1035" spans="1:10" ht="37.5" x14ac:dyDescent="0.25">
      <c r="A1035" s="3" t="s">
        <v>1865</v>
      </c>
      <c r="B1035">
        <f>IFERROR(COUNTIFS($A$1:A1035,"Câu "&amp;"*")-MID(A1035,5,FIND(".",A1035,1)-5),0)</f>
        <v>0</v>
      </c>
      <c r="C1035" t="b">
        <v>1</v>
      </c>
      <c r="E1035" t="str">
        <f t="shared" si="96"/>
        <v>4</v>
      </c>
      <c r="F1035" t="str">
        <f t="shared" si="97"/>
        <v>Câu 252.</v>
      </c>
      <c r="G1035" t="str">
        <f t="shared" si="98"/>
        <v>1</v>
      </c>
      <c r="H1035" t="str">
        <f t="shared" si="99"/>
        <v>2</v>
      </c>
      <c r="I1035" t="str">
        <f t="shared" si="100"/>
        <v/>
      </c>
      <c r="J1035" t="str">
        <f t="shared" ca="1" si="101"/>
        <v/>
      </c>
    </row>
    <row r="1036" spans="1:10" ht="409.5" x14ac:dyDescent="0.25">
      <c r="A1036" s="4" t="s">
        <v>888</v>
      </c>
      <c r="B1036">
        <f>IFERROR(COUNTIFS($A$1:A1036,"Câu "&amp;"*")-MID(A1036,5,FIND(".",A1036,1)-5),0)</f>
        <v>0</v>
      </c>
      <c r="C1036" t="b">
        <v>0</v>
      </c>
      <c r="E1036" t="str">
        <f t="shared" si="96"/>
        <v>Câu 252.</v>
      </c>
      <c r="F1036" t="str">
        <f t="shared" si="97"/>
        <v>1</v>
      </c>
      <c r="G1036" t="str">
        <f t="shared" si="98"/>
        <v>2</v>
      </c>
      <c r="H1036" t="str">
        <f t="shared" si="99"/>
        <v/>
      </c>
      <c r="I1036" t="str">
        <f t="shared" si="100"/>
        <v>1</v>
      </c>
      <c r="J1036" t="str">
        <f t="shared" ca="1" si="101"/>
        <v>1</v>
      </c>
    </row>
    <row r="1037" spans="1:10" ht="206.25" x14ac:dyDescent="0.25">
      <c r="A1037" s="3" t="s">
        <v>2468</v>
      </c>
      <c r="B1037">
        <f>IFERROR(COUNTIFS($A$1:A1037,"Câu "&amp;"*")-MID(A1037,5,FIND(".",A1037,1)-5),0)</f>
        <v>0</v>
      </c>
      <c r="C1037" t="b">
        <v>1</v>
      </c>
      <c r="E1037" t="str">
        <f t="shared" si="96"/>
        <v>1</v>
      </c>
      <c r="F1037" t="str">
        <f t="shared" si="97"/>
        <v>2</v>
      </c>
      <c r="G1037" t="str">
        <f t="shared" si="98"/>
        <v>Câu 253.</v>
      </c>
      <c r="H1037" t="str">
        <f t="shared" si="99"/>
        <v>1</v>
      </c>
      <c r="I1037" t="str">
        <f t="shared" si="100"/>
        <v>2</v>
      </c>
      <c r="J1037" t="str">
        <f t="shared" ca="1" si="101"/>
        <v/>
      </c>
    </row>
    <row r="1038" spans="1:10" ht="206.25" x14ac:dyDescent="0.25">
      <c r="A1038" s="3" t="s">
        <v>2469</v>
      </c>
      <c r="B1038">
        <f>IFERROR(COUNTIFS($A$1:A1038,"Câu "&amp;"*")-MID(A1038,5,FIND(".",A1038,1)-5),0)</f>
        <v>0</v>
      </c>
      <c r="C1038" t="b">
        <v>0</v>
      </c>
      <c r="E1038" t="str">
        <f t="shared" si="96"/>
        <v>2</v>
      </c>
      <c r="F1038" t="str">
        <f t="shared" si="97"/>
        <v>Câu 253.</v>
      </c>
      <c r="G1038" t="str">
        <f t="shared" si="98"/>
        <v>1</v>
      </c>
      <c r="H1038" t="str">
        <f t="shared" si="99"/>
        <v>2</v>
      </c>
      <c r="I1038" t="str">
        <f t="shared" si="100"/>
        <v>3</v>
      </c>
      <c r="J1038" t="str">
        <f t="shared" ca="1" si="101"/>
        <v/>
      </c>
    </row>
    <row r="1039" spans="1:10" ht="281.25" x14ac:dyDescent="0.25">
      <c r="A1039" s="4" t="s">
        <v>891</v>
      </c>
      <c r="B1039">
        <f>IFERROR(COUNTIFS($A$1:A1039,"Câu "&amp;"*")-MID(A1039,5,FIND(".",A1039,1)-5),0)</f>
        <v>0</v>
      </c>
      <c r="C1039" t="b">
        <v>0</v>
      </c>
      <c r="E1039" t="str">
        <f t="shared" si="96"/>
        <v>Câu 253.</v>
      </c>
      <c r="F1039" t="str">
        <f t="shared" si="97"/>
        <v>1</v>
      </c>
      <c r="G1039" t="str">
        <f t="shared" si="98"/>
        <v>2</v>
      </c>
      <c r="H1039" t="str">
        <f t="shared" si="99"/>
        <v>3</v>
      </c>
      <c r="I1039" t="str">
        <f t="shared" si="100"/>
        <v/>
      </c>
      <c r="J1039" t="str">
        <f t="shared" ca="1" si="101"/>
        <v>1</v>
      </c>
    </row>
    <row r="1040" spans="1:10" ht="262.5" x14ac:dyDescent="0.25">
      <c r="A1040" s="3" t="s">
        <v>2470</v>
      </c>
      <c r="B1040">
        <f>IFERROR(COUNTIFS($A$1:A1040,"Câu "&amp;"*")-MID(A1040,5,FIND(".",A1040,1)-5),0)</f>
        <v>0</v>
      </c>
      <c r="C1040" t="b">
        <v>1</v>
      </c>
      <c r="E1040" t="str">
        <f t="shared" si="96"/>
        <v>1</v>
      </c>
      <c r="F1040" t="str">
        <f t="shared" si="97"/>
        <v>2</v>
      </c>
      <c r="G1040" t="str">
        <f t="shared" si="98"/>
        <v>3</v>
      </c>
      <c r="H1040" t="str">
        <f t="shared" si="99"/>
        <v/>
      </c>
      <c r="I1040" t="str">
        <f t="shared" si="100"/>
        <v>1</v>
      </c>
      <c r="J1040" t="str">
        <f t="shared" ca="1" si="101"/>
        <v/>
      </c>
    </row>
    <row r="1041" spans="1:10" ht="225" x14ac:dyDescent="0.25">
      <c r="A1041" s="3" t="s">
        <v>2471</v>
      </c>
      <c r="B1041">
        <f>IFERROR(COUNTIFS($A$1:A1041,"Câu "&amp;"*")-MID(A1041,5,FIND(".",A1041,1)-5),0)</f>
        <v>0</v>
      </c>
      <c r="C1041" t="b">
        <v>0</v>
      </c>
      <c r="E1041" t="str">
        <f t="shared" si="96"/>
        <v>2</v>
      </c>
      <c r="F1041" t="str">
        <f t="shared" si="97"/>
        <v>3</v>
      </c>
      <c r="G1041" t="str">
        <f t="shared" si="98"/>
        <v>Câu 254.</v>
      </c>
      <c r="H1041" t="str">
        <f t="shared" si="99"/>
        <v>1</v>
      </c>
      <c r="I1041" t="str">
        <f t="shared" si="100"/>
        <v>2</v>
      </c>
      <c r="J1041" t="str">
        <f t="shared" ca="1" si="101"/>
        <v/>
      </c>
    </row>
    <row r="1042" spans="1:10" ht="409.5" x14ac:dyDescent="0.25">
      <c r="A1042" s="3" t="s">
        <v>3070</v>
      </c>
      <c r="B1042">
        <f>IFERROR(COUNTIFS($A$1:A1042,"Câu "&amp;"*")-MID(A1042,5,FIND(".",A1042,1)-5),0)</f>
        <v>0</v>
      </c>
      <c r="C1042" t="b">
        <v>0</v>
      </c>
      <c r="E1042" t="str">
        <f t="shared" si="96"/>
        <v>3</v>
      </c>
      <c r="F1042" t="str">
        <f t="shared" si="97"/>
        <v>Câu 254.</v>
      </c>
      <c r="G1042" t="str">
        <f t="shared" si="98"/>
        <v>1</v>
      </c>
      <c r="H1042" t="str">
        <f t="shared" si="99"/>
        <v>2</v>
      </c>
      <c r="I1042" t="str">
        <f t="shared" si="100"/>
        <v>3</v>
      </c>
      <c r="J1042" t="str">
        <f t="shared" ca="1" si="101"/>
        <v/>
      </c>
    </row>
    <row r="1043" spans="1:10" ht="409.5" x14ac:dyDescent="0.25">
      <c r="A1043" s="4" t="s">
        <v>1766</v>
      </c>
      <c r="B1043">
        <f>IFERROR(COUNTIFS($A$1:A1043,"Câu "&amp;"*")-MID(A1043,5,FIND(".",A1043,1)-5),0)</f>
        <v>0</v>
      </c>
      <c r="C1043" t="b">
        <v>0</v>
      </c>
      <c r="E1043" t="str">
        <f t="shared" si="96"/>
        <v>Câu 254.</v>
      </c>
      <c r="F1043" t="str">
        <f t="shared" si="97"/>
        <v>1</v>
      </c>
      <c r="G1043" t="str">
        <f t="shared" si="98"/>
        <v>2</v>
      </c>
      <c r="H1043" t="str">
        <f t="shared" si="99"/>
        <v>3</v>
      </c>
      <c r="I1043" t="str">
        <f t="shared" si="100"/>
        <v/>
      </c>
      <c r="J1043" t="str">
        <f t="shared" ca="1" si="101"/>
        <v>2</v>
      </c>
    </row>
    <row r="1044" spans="1:10" ht="206.25" x14ac:dyDescent="0.25">
      <c r="A1044" s="3" t="s">
        <v>2472</v>
      </c>
      <c r="B1044">
        <f>IFERROR(COUNTIFS($A$1:A1044,"Câu "&amp;"*")-MID(A1044,5,FIND(".",A1044,1)-5),0)</f>
        <v>0</v>
      </c>
      <c r="C1044" t="b">
        <v>0</v>
      </c>
      <c r="E1044" t="str">
        <f t="shared" si="96"/>
        <v>1</v>
      </c>
      <c r="F1044" t="str">
        <f t="shared" si="97"/>
        <v>2</v>
      </c>
      <c r="G1044" t="str">
        <f t="shared" si="98"/>
        <v>3</v>
      </c>
      <c r="H1044" t="str">
        <f t="shared" si="99"/>
        <v/>
      </c>
      <c r="I1044" t="str">
        <f t="shared" si="100"/>
        <v>1</v>
      </c>
      <c r="J1044" t="str">
        <f t="shared" ca="1" si="101"/>
        <v/>
      </c>
    </row>
    <row r="1045" spans="1:10" ht="206.25" x14ac:dyDescent="0.25">
      <c r="A1045" s="3" t="s">
        <v>2473</v>
      </c>
      <c r="B1045">
        <f>IFERROR(COUNTIFS($A$1:A1045,"Câu "&amp;"*")-MID(A1045,5,FIND(".",A1045,1)-5),0)</f>
        <v>0</v>
      </c>
      <c r="C1045" t="b">
        <v>1</v>
      </c>
      <c r="E1045" t="str">
        <f t="shared" si="96"/>
        <v>2</v>
      </c>
      <c r="F1045" t="str">
        <f t="shared" si="97"/>
        <v>3</v>
      </c>
      <c r="G1045" t="str">
        <f t="shared" si="98"/>
        <v>Câu 255.</v>
      </c>
      <c r="H1045" t="str">
        <f t="shared" si="99"/>
        <v>1</v>
      </c>
      <c r="I1045" t="str">
        <f t="shared" si="100"/>
        <v>2</v>
      </c>
      <c r="J1045" t="str">
        <f t="shared" ca="1" si="101"/>
        <v/>
      </c>
    </row>
    <row r="1046" spans="1:10" ht="187.5" x14ac:dyDescent="0.25">
      <c r="A1046" s="3" t="s">
        <v>2474</v>
      </c>
      <c r="B1046">
        <f>IFERROR(COUNTIFS($A$1:A1046,"Câu "&amp;"*")-MID(A1046,5,FIND(".",A1046,1)-5),0)</f>
        <v>0</v>
      </c>
      <c r="C1046" t="b">
        <v>0</v>
      </c>
      <c r="E1046" t="str">
        <f t="shared" si="96"/>
        <v>3</v>
      </c>
      <c r="F1046" t="str">
        <f t="shared" si="97"/>
        <v>Câu 255.</v>
      </c>
      <c r="G1046" t="str">
        <f t="shared" si="98"/>
        <v>1</v>
      </c>
      <c r="H1046" t="str">
        <f t="shared" si="99"/>
        <v>2</v>
      </c>
      <c r="I1046" t="str">
        <f t="shared" si="100"/>
        <v>3</v>
      </c>
      <c r="J1046" t="str">
        <f t="shared" ca="1" si="101"/>
        <v/>
      </c>
    </row>
    <row r="1047" spans="1:10" ht="356.25" x14ac:dyDescent="0.25">
      <c r="A1047" s="4" t="s">
        <v>897</v>
      </c>
      <c r="B1047">
        <f>IFERROR(COUNTIFS($A$1:A1047,"Câu "&amp;"*")-MID(A1047,5,FIND(".",A1047,1)-5),0)</f>
        <v>0</v>
      </c>
      <c r="C1047" t="b">
        <v>0</v>
      </c>
      <c r="E1047" t="str">
        <f t="shared" si="96"/>
        <v>Câu 255.</v>
      </c>
      <c r="F1047" t="str">
        <f t="shared" si="97"/>
        <v>1</v>
      </c>
      <c r="G1047" t="str">
        <f t="shared" si="98"/>
        <v>2</v>
      </c>
      <c r="H1047" t="str">
        <f t="shared" si="99"/>
        <v>3</v>
      </c>
      <c r="I1047" t="str">
        <f t="shared" si="100"/>
        <v/>
      </c>
      <c r="J1047" t="str">
        <f t="shared" ca="1" si="101"/>
        <v>3</v>
      </c>
    </row>
    <row r="1048" spans="1:10" ht="18.75" x14ac:dyDescent="0.25">
      <c r="A1048" s="11" t="s">
        <v>2475</v>
      </c>
      <c r="B1048">
        <f>IFERROR(COUNTIFS($A$1:A1048,"Câu "&amp;"*")-MID(A1048,5,FIND(".",A1048,1)-5),0)</f>
        <v>0</v>
      </c>
      <c r="C1048" t="b">
        <v>0</v>
      </c>
      <c r="E1048" t="str">
        <f t="shared" si="96"/>
        <v>1</v>
      </c>
      <c r="F1048" t="str">
        <f t="shared" si="97"/>
        <v>2</v>
      </c>
      <c r="G1048" t="str">
        <f t="shared" si="98"/>
        <v>3</v>
      </c>
      <c r="H1048" t="str">
        <f t="shared" si="99"/>
        <v/>
      </c>
      <c r="I1048" t="str">
        <f t="shared" si="100"/>
        <v>1</v>
      </c>
      <c r="J1048" t="str">
        <f t="shared" ca="1" si="101"/>
        <v/>
      </c>
    </row>
    <row r="1049" spans="1:10" ht="18.75" x14ac:dyDescent="0.25">
      <c r="A1049" s="11" t="s">
        <v>2476</v>
      </c>
      <c r="B1049">
        <f>IFERROR(COUNTIFS($A$1:A1049,"Câu "&amp;"*")-MID(A1049,5,FIND(".",A1049,1)-5),0)</f>
        <v>0</v>
      </c>
      <c r="C1049" t="b">
        <v>0</v>
      </c>
      <c r="E1049" t="str">
        <f t="shared" si="96"/>
        <v>2</v>
      </c>
      <c r="F1049" t="str">
        <f t="shared" si="97"/>
        <v>3</v>
      </c>
      <c r="G1049" t="str">
        <f t="shared" si="98"/>
        <v>Câu 256.</v>
      </c>
      <c r="H1049" t="str">
        <f t="shared" si="99"/>
        <v>1</v>
      </c>
      <c r="I1049" t="str">
        <f t="shared" si="100"/>
        <v>2</v>
      </c>
      <c r="J1049" t="str">
        <f t="shared" ca="1" si="101"/>
        <v/>
      </c>
    </row>
    <row r="1050" spans="1:10" ht="18.75" x14ac:dyDescent="0.25">
      <c r="A1050" s="11" t="s">
        <v>2477</v>
      </c>
      <c r="B1050">
        <f>IFERROR(COUNTIFS($A$1:A1050,"Câu "&amp;"*")-MID(A1050,5,FIND(".",A1050,1)-5),0)</f>
        <v>0</v>
      </c>
      <c r="C1050" t="b">
        <v>1</v>
      </c>
      <c r="E1050" t="str">
        <f t="shared" si="96"/>
        <v>3</v>
      </c>
      <c r="F1050" t="str">
        <f t="shared" si="97"/>
        <v>Câu 256.</v>
      </c>
      <c r="G1050" t="str">
        <f t="shared" si="98"/>
        <v>1</v>
      </c>
      <c r="H1050" t="str">
        <f t="shared" si="99"/>
        <v>2</v>
      </c>
      <c r="I1050" t="str">
        <f t="shared" si="100"/>
        <v/>
      </c>
      <c r="J1050" t="str">
        <f t="shared" ca="1" si="101"/>
        <v/>
      </c>
    </row>
    <row r="1051" spans="1:10" ht="18.75" x14ac:dyDescent="0.25">
      <c r="A1051" s="10" t="s">
        <v>901</v>
      </c>
      <c r="B1051">
        <f>IFERROR(COUNTIFS($A$1:A1051,"Câu "&amp;"*")-MID(A1051,5,FIND(".",A1051,1)-5),0)</f>
        <v>0</v>
      </c>
      <c r="C1051" t="b">
        <v>0</v>
      </c>
      <c r="E1051" t="str">
        <f t="shared" si="96"/>
        <v>Câu 256.</v>
      </c>
      <c r="F1051" t="str">
        <f t="shared" si="97"/>
        <v>1</v>
      </c>
      <c r="G1051" t="str">
        <f t="shared" si="98"/>
        <v>2</v>
      </c>
      <c r="H1051" t="str">
        <f t="shared" si="99"/>
        <v/>
      </c>
      <c r="I1051" t="str">
        <f t="shared" si="100"/>
        <v>1</v>
      </c>
      <c r="J1051" t="str">
        <f t="shared" ca="1" si="101"/>
        <v>1</v>
      </c>
    </row>
    <row r="1052" spans="1:10" ht="409.5" x14ac:dyDescent="0.25">
      <c r="A1052" s="3" t="s">
        <v>2478</v>
      </c>
      <c r="B1052">
        <f>IFERROR(COUNTIFS($A$1:A1052,"Câu "&amp;"*")-MID(A1052,5,FIND(".",A1052,1)-5),0)</f>
        <v>0</v>
      </c>
      <c r="C1052" t="b">
        <v>1</v>
      </c>
      <c r="E1052" t="str">
        <f t="shared" si="96"/>
        <v>1</v>
      </c>
      <c r="F1052" t="str">
        <f t="shared" si="97"/>
        <v>2</v>
      </c>
      <c r="G1052" t="str">
        <f t="shared" si="98"/>
        <v>Câu 257.</v>
      </c>
      <c r="H1052" t="str">
        <f t="shared" si="99"/>
        <v>1</v>
      </c>
      <c r="I1052" t="str">
        <f t="shared" si="100"/>
        <v>2</v>
      </c>
      <c r="J1052" t="str">
        <f t="shared" ca="1" si="101"/>
        <v/>
      </c>
    </row>
    <row r="1053" spans="1:10" ht="356.25" x14ac:dyDescent="0.25">
      <c r="A1053" s="3" t="s">
        <v>2479</v>
      </c>
      <c r="B1053">
        <f>IFERROR(COUNTIFS($A$1:A1053,"Câu "&amp;"*")-MID(A1053,5,FIND(".",A1053,1)-5),0)</f>
        <v>0</v>
      </c>
      <c r="C1053" t="b">
        <v>0</v>
      </c>
      <c r="E1053" t="str">
        <f t="shared" si="96"/>
        <v>2</v>
      </c>
      <c r="F1053" t="str">
        <f t="shared" si="97"/>
        <v>Câu 257.</v>
      </c>
      <c r="G1053" t="str">
        <f t="shared" si="98"/>
        <v>1</v>
      </c>
      <c r="H1053" t="str">
        <f t="shared" si="99"/>
        <v>2</v>
      </c>
      <c r="I1053" t="str">
        <f t="shared" si="100"/>
        <v>3</v>
      </c>
      <c r="J1053" t="str">
        <f t="shared" ca="1" si="101"/>
        <v/>
      </c>
    </row>
    <row r="1054" spans="1:10" ht="318.75" x14ac:dyDescent="0.25">
      <c r="A1054" s="4" t="s">
        <v>904</v>
      </c>
      <c r="B1054">
        <f>IFERROR(COUNTIFS($A$1:A1054,"Câu "&amp;"*")-MID(A1054,5,FIND(".",A1054,1)-5),0)</f>
        <v>0</v>
      </c>
      <c r="C1054" t="b">
        <v>0</v>
      </c>
      <c r="E1054" t="str">
        <f t="shared" si="96"/>
        <v>Câu 257.</v>
      </c>
      <c r="F1054" t="str">
        <f t="shared" si="97"/>
        <v>1</v>
      </c>
      <c r="G1054" t="str">
        <f t="shared" si="98"/>
        <v>2</v>
      </c>
      <c r="H1054" t="str">
        <f t="shared" si="99"/>
        <v>3</v>
      </c>
      <c r="I1054" t="str">
        <f t="shared" si="100"/>
        <v>4</v>
      </c>
      <c r="J1054" t="str">
        <f t="shared" ca="1" si="101"/>
        <v>4</v>
      </c>
    </row>
    <row r="1055" spans="1:10" ht="187.5" x14ac:dyDescent="0.25">
      <c r="A1055" s="3" t="s">
        <v>2480</v>
      </c>
      <c r="B1055">
        <f>IFERROR(COUNTIFS($A$1:A1055,"Câu "&amp;"*")-MID(A1055,5,FIND(".",A1055,1)-5),0)</f>
        <v>0</v>
      </c>
      <c r="C1055" t="b">
        <v>0</v>
      </c>
      <c r="E1055" t="str">
        <f t="shared" si="96"/>
        <v>1</v>
      </c>
      <c r="F1055" t="str">
        <f t="shared" si="97"/>
        <v>2</v>
      </c>
      <c r="G1055" t="str">
        <f t="shared" si="98"/>
        <v>3</v>
      </c>
      <c r="H1055" t="str">
        <f t="shared" si="99"/>
        <v>4</v>
      </c>
      <c r="I1055" t="str">
        <f t="shared" si="100"/>
        <v/>
      </c>
      <c r="J1055" t="str">
        <f t="shared" ca="1" si="101"/>
        <v/>
      </c>
    </row>
    <row r="1056" spans="1:10" ht="150" x14ac:dyDescent="0.25">
      <c r="A1056" s="3" t="s">
        <v>2481</v>
      </c>
      <c r="B1056">
        <f>IFERROR(COUNTIFS($A$1:A1056,"Câu "&amp;"*")-MID(A1056,5,FIND(".",A1056,1)-5),0)</f>
        <v>0</v>
      </c>
      <c r="C1056" t="b">
        <v>0</v>
      </c>
      <c r="E1056" t="str">
        <f t="shared" si="96"/>
        <v>2</v>
      </c>
      <c r="F1056" t="str">
        <f t="shared" si="97"/>
        <v>3</v>
      </c>
      <c r="G1056" t="str">
        <f t="shared" si="98"/>
        <v>4</v>
      </c>
      <c r="H1056" t="str">
        <f t="shared" si="99"/>
        <v/>
      </c>
      <c r="I1056" t="str">
        <f t="shared" si="100"/>
        <v>1</v>
      </c>
      <c r="J1056" t="str">
        <f t="shared" ca="1" si="101"/>
        <v/>
      </c>
    </row>
    <row r="1057" spans="1:10" ht="18.75" x14ac:dyDescent="0.25">
      <c r="A1057" s="11" t="s">
        <v>2482</v>
      </c>
      <c r="B1057">
        <f>IFERROR(COUNTIFS($A$1:A1057,"Câu "&amp;"*")-MID(A1057,5,FIND(".",A1057,1)-5),0)</f>
        <v>0</v>
      </c>
      <c r="C1057" t="b">
        <v>0</v>
      </c>
      <c r="E1057" t="str">
        <f t="shared" si="96"/>
        <v>3</v>
      </c>
      <c r="F1057" t="str">
        <f t="shared" si="97"/>
        <v>4</v>
      </c>
      <c r="G1057" t="str">
        <f t="shared" si="98"/>
        <v>Câu 258.</v>
      </c>
      <c r="H1057" t="str">
        <f t="shared" si="99"/>
        <v>1</v>
      </c>
      <c r="I1057" t="str">
        <f t="shared" si="100"/>
        <v>2</v>
      </c>
      <c r="J1057" t="str">
        <f t="shared" ca="1" si="101"/>
        <v/>
      </c>
    </row>
    <row r="1058" spans="1:10" ht="18.75" x14ac:dyDescent="0.25">
      <c r="A1058" s="11" t="s">
        <v>1865</v>
      </c>
      <c r="B1058">
        <f>IFERROR(COUNTIFS($A$1:A1058,"Câu "&amp;"*")-MID(A1058,5,FIND(".",A1058,1)-5),0)</f>
        <v>0</v>
      </c>
      <c r="C1058" t="b">
        <v>1</v>
      </c>
      <c r="E1058" t="str">
        <f t="shared" si="96"/>
        <v>4</v>
      </c>
      <c r="F1058" t="str">
        <f t="shared" si="97"/>
        <v>Câu 258.</v>
      </c>
      <c r="G1058" t="str">
        <f t="shared" si="98"/>
        <v>1</v>
      </c>
      <c r="H1058" t="str">
        <f t="shared" si="99"/>
        <v>2</v>
      </c>
      <c r="I1058" t="str">
        <f t="shared" si="100"/>
        <v>3</v>
      </c>
      <c r="J1058" t="str">
        <f t="shared" ca="1" si="101"/>
        <v/>
      </c>
    </row>
    <row r="1059" spans="1:10" ht="18.75" x14ac:dyDescent="0.25">
      <c r="A1059" s="10" t="s">
        <v>908</v>
      </c>
      <c r="B1059">
        <f>IFERROR(COUNTIFS($A$1:A1059,"Câu "&amp;"*")-MID(A1059,5,FIND(".",A1059,1)-5),0)</f>
        <v>0</v>
      </c>
      <c r="C1059" t="b">
        <v>0</v>
      </c>
      <c r="E1059" t="str">
        <f t="shared" si="96"/>
        <v>Câu 258.</v>
      </c>
      <c r="F1059" t="str">
        <f t="shared" si="97"/>
        <v>1</v>
      </c>
      <c r="G1059" t="str">
        <f t="shared" si="98"/>
        <v>2</v>
      </c>
      <c r="H1059" t="str">
        <f t="shared" si="99"/>
        <v>3</v>
      </c>
      <c r="I1059" t="str">
        <f t="shared" si="100"/>
        <v>4</v>
      </c>
      <c r="J1059" t="str">
        <f t="shared" ca="1" si="101"/>
        <v>4</v>
      </c>
    </row>
    <row r="1060" spans="1:10" ht="18.75" x14ac:dyDescent="0.25">
      <c r="A1060" s="11" t="s">
        <v>2483</v>
      </c>
      <c r="B1060">
        <f>IFERROR(COUNTIFS($A$1:A1060,"Câu "&amp;"*")-MID(A1060,5,FIND(".",A1060,1)-5),0)</f>
        <v>0</v>
      </c>
      <c r="C1060" t="b">
        <v>0</v>
      </c>
      <c r="E1060" t="str">
        <f t="shared" si="96"/>
        <v>1</v>
      </c>
      <c r="F1060" t="str">
        <f t="shared" si="97"/>
        <v>2</v>
      </c>
      <c r="G1060" t="str">
        <f t="shared" si="98"/>
        <v>3</v>
      </c>
      <c r="H1060" t="str">
        <f t="shared" si="99"/>
        <v>4</v>
      </c>
      <c r="I1060" t="str">
        <f t="shared" si="100"/>
        <v/>
      </c>
      <c r="J1060" t="str">
        <f t="shared" ca="1" si="101"/>
        <v/>
      </c>
    </row>
    <row r="1061" spans="1:10" ht="18.75" x14ac:dyDescent="0.25">
      <c r="A1061" s="11" t="s">
        <v>2484</v>
      </c>
      <c r="B1061">
        <f>IFERROR(COUNTIFS($A$1:A1061,"Câu "&amp;"*")-MID(A1061,5,FIND(".",A1061,1)-5),0)</f>
        <v>0</v>
      </c>
      <c r="C1061" t="b">
        <v>0</v>
      </c>
      <c r="E1061" t="str">
        <f t="shared" si="96"/>
        <v>2</v>
      </c>
      <c r="F1061" t="str">
        <f t="shared" si="97"/>
        <v>3</v>
      </c>
      <c r="G1061" t="str">
        <f t="shared" si="98"/>
        <v>4</v>
      </c>
      <c r="H1061" t="str">
        <f t="shared" si="99"/>
        <v/>
      </c>
      <c r="I1061" t="str">
        <f t="shared" si="100"/>
        <v>1</v>
      </c>
      <c r="J1061" t="str">
        <f t="shared" ca="1" si="101"/>
        <v/>
      </c>
    </row>
    <row r="1062" spans="1:10" ht="18.75" x14ac:dyDescent="0.25">
      <c r="A1062" s="11" t="s">
        <v>2485</v>
      </c>
      <c r="B1062">
        <f>IFERROR(COUNTIFS($A$1:A1062,"Câu "&amp;"*")-MID(A1062,5,FIND(".",A1062,1)-5),0)</f>
        <v>0</v>
      </c>
      <c r="C1062" t="b">
        <v>0</v>
      </c>
      <c r="E1062" t="str">
        <f t="shared" si="96"/>
        <v>3</v>
      </c>
      <c r="F1062" t="str">
        <f t="shared" si="97"/>
        <v>4</v>
      </c>
      <c r="G1062" t="str">
        <f t="shared" si="98"/>
        <v>Câu 259.</v>
      </c>
      <c r="H1062" t="str">
        <f t="shared" si="99"/>
        <v>1</v>
      </c>
      <c r="I1062" t="str">
        <f t="shared" si="100"/>
        <v>2</v>
      </c>
      <c r="J1062" t="str">
        <f t="shared" ca="1" si="101"/>
        <v/>
      </c>
    </row>
    <row r="1063" spans="1:10" ht="18.75" x14ac:dyDescent="0.25">
      <c r="A1063" s="11" t="s">
        <v>1978</v>
      </c>
      <c r="B1063">
        <f>IFERROR(COUNTIFS($A$1:A1063,"Câu "&amp;"*")-MID(A1063,5,FIND(".",A1063,1)-5),0)</f>
        <v>0</v>
      </c>
      <c r="C1063" t="b">
        <v>1</v>
      </c>
      <c r="E1063" t="str">
        <f t="shared" si="96"/>
        <v>4</v>
      </c>
      <c r="F1063" t="str">
        <f t="shared" si="97"/>
        <v>Câu 259.</v>
      </c>
      <c r="G1063" t="str">
        <f t="shared" si="98"/>
        <v>1</v>
      </c>
      <c r="H1063" t="str">
        <f t="shared" si="99"/>
        <v>2</v>
      </c>
      <c r="I1063" t="str">
        <f t="shared" si="100"/>
        <v>3</v>
      </c>
      <c r="J1063" t="str">
        <f t="shared" ca="1" si="101"/>
        <v/>
      </c>
    </row>
    <row r="1064" spans="1:10" ht="18.75" x14ac:dyDescent="0.25">
      <c r="A1064" s="10" t="s">
        <v>912</v>
      </c>
      <c r="B1064">
        <f>IFERROR(COUNTIFS($A$1:A1064,"Câu "&amp;"*")-MID(A1064,5,FIND(".",A1064,1)-5),0)</f>
        <v>0</v>
      </c>
      <c r="C1064" t="b">
        <v>0</v>
      </c>
      <c r="E1064" t="str">
        <f t="shared" si="96"/>
        <v>Câu 259.</v>
      </c>
      <c r="F1064" t="str">
        <f t="shared" si="97"/>
        <v>1</v>
      </c>
      <c r="G1064" t="str">
        <f t="shared" si="98"/>
        <v>2</v>
      </c>
      <c r="H1064" t="str">
        <f t="shared" si="99"/>
        <v>3</v>
      </c>
      <c r="I1064" t="str">
        <f t="shared" si="100"/>
        <v>4</v>
      </c>
      <c r="J1064" t="str">
        <f t="shared" ca="1" si="101"/>
        <v>3</v>
      </c>
    </row>
    <row r="1065" spans="1:10" ht="18.75" x14ac:dyDescent="0.25">
      <c r="A1065" s="11" t="s">
        <v>2486</v>
      </c>
      <c r="B1065">
        <f>IFERROR(COUNTIFS($A$1:A1065,"Câu "&amp;"*")-MID(A1065,5,FIND(".",A1065,1)-5),0)</f>
        <v>0</v>
      </c>
      <c r="C1065" t="b">
        <v>0</v>
      </c>
      <c r="E1065" t="str">
        <f t="shared" si="96"/>
        <v>1</v>
      </c>
      <c r="F1065" t="str">
        <f t="shared" si="97"/>
        <v>2</v>
      </c>
      <c r="G1065" t="str">
        <f t="shared" si="98"/>
        <v>3</v>
      </c>
      <c r="H1065" t="str">
        <f t="shared" si="99"/>
        <v>4</v>
      </c>
      <c r="I1065" t="str">
        <f t="shared" si="100"/>
        <v/>
      </c>
      <c r="J1065" t="str">
        <f t="shared" ca="1" si="101"/>
        <v/>
      </c>
    </row>
    <row r="1066" spans="1:10" ht="18.75" x14ac:dyDescent="0.25">
      <c r="A1066" s="11" t="s">
        <v>2487</v>
      </c>
      <c r="B1066">
        <f>IFERROR(COUNTIFS($A$1:A1066,"Câu "&amp;"*")-MID(A1066,5,FIND(".",A1066,1)-5),0)</f>
        <v>0</v>
      </c>
      <c r="C1066" t="b">
        <v>0</v>
      </c>
      <c r="E1066" t="str">
        <f t="shared" si="96"/>
        <v>2</v>
      </c>
      <c r="F1066" t="str">
        <f t="shared" si="97"/>
        <v>3</v>
      </c>
      <c r="G1066" t="str">
        <f t="shared" si="98"/>
        <v>4</v>
      </c>
      <c r="H1066" t="str">
        <f t="shared" si="99"/>
        <v/>
      </c>
      <c r="I1066" t="str">
        <f t="shared" si="100"/>
        <v>1</v>
      </c>
      <c r="J1066" t="str">
        <f t="shared" ca="1" si="101"/>
        <v/>
      </c>
    </row>
    <row r="1067" spans="1:10" ht="18.75" x14ac:dyDescent="0.25">
      <c r="A1067" s="11" t="s">
        <v>2488</v>
      </c>
      <c r="B1067">
        <f>IFERROR(COUNTIFS($A$1:A1067,"Câu "&amp;"*")-MID(A1067,5,FIND(".",A1067,1)-5),0)</f>
        <v>0</v>
      </c>
      <c r="C1067" t="b">
        <v>1</v>
      </c>
      <c r="E1067" t="str">
        <f t="shared" si="96"/>
        <v>3</v>
      </c>
      <c r="F1067" t="str">
        <f t="shared" si="97"/>
        <v>4</v>
      </c>
      <c r="G1067" t="str">
        <f t="shared" si="98"/>
        <v>Câu 260.</v>
      </c>
      <c r="H1067" t="str">
        <f t="shared" si="99"/>
        <v>1</v>
      </c>
      <c r="I1067" t="str">
        <f t="shared" si="100"/>
        <v>2</v>
      </c>
      <c r="J1067" t="str">
        <f t="shared" ca="1" si="101"/>
        <v/>
      </c>
    </row>
    <row r="1068" spans="1:10" ht="206.25" x14ac:dyDescent="0.25">
      <c r="A1068" s="3" t="s">
        <v>3071</v>
      </c>
      <c r="B1068">
        <f>IFERROR(COUNTIFS($A$1:A1068,"Câu "&amp;"*")-MID(A1068,5,FIND(".",A1068,1)-5),0)</f>
        <v>0</v>
      </c>
      <c r="C1068" t="b">
        <v>0</v>
      </c>
      <c r="E1068" t="str">
        <f t="shared" si="96"/>
        <v>4</v>
      </c>
      <c r="F1068" t="str">
        <f t="shared" si="97"/>
        <v>Câu 260.</v>
      </c>
      <c r="G1068" t="str">
        <f t="shared" si="98"/>
        <v>1</v>
      </c>
      <c r="H1068" t="str">
        <f t="shared" si="99"/>
        <v>2</v>
      </c>
      <c r="I1068" t="str">
        <f t="shared" si="100"/>
        <v>3</v>
      </c>
      <c r="J1068" t="str">
        <f t="shared" ca="1" si="101"/>
        <v/>
      </c>
    </row>
    <row r="1069" spans="1:10" ht="337.5" x14ac:dyDescent="0.25">
      <c r="A1069" s="4" t="s">
        <v>1768</v>
      </c>
      <c r="B1069">
        <f>IFERROR(COUNTIFS($A$1:A1069,"Câu "&amp;"*")-MID(A1069,5,FIND(".",A1069,1)-5),0)</f>
        <v>0</v>
      </c>
      <c r="C1069" t="b">
        <v>0</v>
      </c>
      <c r="E1069" t="str">
        <f t="shared" si="96"/>
        <v>Câu 260.</v>
      </c>
      <c r="F1069" t="str">
        <f t="shared" si="97"/>
        <v>1</v>
      </c>
      <c r="G1069" t="str">
        <f t="shared" si="98"/>
        <v>2</v>
      </c>
      <c r="H1069" t="str">
        <f t="shared" si="99"/>
        <v>3</v>
      </c>
      <c r="I1069" t="str">
        <f t="shared" si="100"/>
        <v>4</v>
      </c>
      <c r="J1069" t="str">
        <f t="shared" ca="1" si="101"/>
        <v>3</v>
      </c>
    </row>
    <row r="1070" spans="1:10" ht="93.75" x14ac:dyDescent="0.25">
      <c r="A1070" s="3" t="s">
        <v>2489</v>
      </c>
      <c r="B1070">
        <f>IFERROR(COUNTIFS($A$1:A1070,"Câu "&amp;"*")-MID(A1070,5,FIND(".",A1070,1)-5),0)</f>
        <v>0</v>
      </c>
      <c r="C1070" t="b">
        <v>0</v>
      </c>
      <c r="E1070" t="str">
        <f t="shared" si="96"/>
        <v>1</v>
      </c>
      <c r="F1070" t="str">
        <f t="shared" si="97"/>
        <v>2</v>
      </c>
      <c r="G1070" t="str">
        <f t="shared" si="98"/>
        <v>3</v>
      </c>
      <c r="H1070" t="str">
        <f t="shared" si="99"/>
        <v>4</v>
      </c>
      <c r="I1070" t="str">
        <f t="shared" si="100"/>
        <v/>
      </c>
      <c r="J1070" t="str">
        <f t="shared" ca="1" si="101"/>
        <v/>
      </c>
    </row>
    <row r="1071" spans="1:10" ht="18.75" x14ac:dyDescent="0.25">
      <c r="A1071" s="11" t="s">
        <v>2490</v>
      </c>
      <c r="B1071">
        <f>IFERROR(COUNTIFS($A$1:A1071,"Câu "&amp;"*")-MID(A1071,5,FIND(".",A1071,1)-5),0)</f>
        <v>0</v>
      </c>
      <c r="C1071" t="b">
        <v>0</v>
      </c>
      <c r="E1071" t="str">
        <f t="shared" si="96"/>
        <v>2</v>
      </c>
      <c r="F1071" t="str">
        <f t="shared" si="97"/>
        <v>3</v>
      </c>
      <c r="G1071" t="str">
        <f t="shared" si="98"/>
        <v>4</v>
      </c>
      <c r="H1071" t="str">
        <f t="shared" si="99"/>
        <v/>
      </c>
      <c r="I1071" t="str">
        <f t="shared" si="100"/>
        <v>1</v>
      </c>
      <c r="J1071" t="str">
        <f t="shared" ca="1" si="101"/>
        <v/>
      </c>
    </row>
    <row r="1072" spans="1:10" ht="18.75" x14ac:dyDescent="0.25">
      <c r="A1072" s="11" t="s">
        <v>2491</v>
      </c>
      <c r="B1072">
        <f>IFERROR(COUNTIFS($A$1:A1072,"Câu "&amp;"*")-MID(A1072,5,FIND(".",A1072,1)-5),0)</f>
        <v>0</v>
      </c>
      <c r="C1072" t="b">
        <v>1</v>
      </c>
      <c r="E1072" t="str">
        <f t="shared" si="96"/>
        <v>3</v>
      </c>
      <c r="F1072" t="str">
        <f t="shared" si="97"/>
        <v>4</v>
      </c>
      <c r="G1072" t="str">
        <f t="shared" si="98"/>
        <v>Câu 261.</v>
      </c>
      <c r="H1072" t="str">
        <f t="shared" si="99"/>
        <v>1</v>
      </c>
      <c r="I1072" t="str">
        <f t="shared" si="100"/>
        <v>2</v>
      </c>
      <c r="J1072" t="str">
        <f t="shared" ca="1" si="101"/>
        <v/>
      </c>
    </row>
    <row r="1073" spans="1:10" ht="18.75" x14ac:dyDescent="0.25">
      <c r="A1073" s="11" t="s">
        <v>2492</v>
      </c>
      <c r="B1073">
        <f>IFERROR(COUNTIFS($A$1:A1073,"Câu "&amp;"*")-MID(A1073,5,FIND(".",A1073,1)-5),0)</f>
        <v>0</v>
      </c>
      <c r="C1073" t="b">
        <v>0</v>
      </c>
      <c r="E1073" t="str">
        <f t="shared" si="96"/>
        <v>4</v>
      </c>
      <c r="F1073" t="str">
        <f t="shared" si="97"/>
        <v>Câu 261.</v>
      </c>
      <c r="G1073" t="str">
        <f t="shared" si="98"/>
        <v>1</v>
      </c>
      <c r="H1073" t="str">
        <f t="shared" si="99"/>
        <v>2</v>
      </c>
      <c r="I1073" t="str">
        <f t="shared" si="100"/>
        <v>3</v>
      </c>
      <c r="J1073" t="str">
        <f t="shared" ca="1" si="101"/>
        <v/>
      </c>
    </row>
    <row r="1074" spans="1:10" ht="18.75" x14ac:dyDescent="0.25">
      <c r="A1074" s="10" t="s">
        <v>920</v>
      </c>
      <c r="B1074">
        <f>IFERROR(COUNTIFS($A$1:A1074,"Câu "&amp;"*")-MID(A1074,5,FIND(".",A1074,1)-5),0)</f>
        <v>0</v>
      </c>
      <c r="C1074" t="b">
        <v>0</v>
      </c>
      <c r="E1074" t="str">
        <f t="shared" si="96"/>
        <v>Câu 261.</v>
      </c>
      <c r="F1074" t="str">
        <f t="shared" si="97"/>
        <v>1</v>
      </c>
      <c r="G1074" t="str">
        <f t="shared" si="98"/>
        <v>2</v>
      </c>
      <c r="H1074" t="str">
        <f t="shared" si="99"/>
        <v>3</v>
      </c>
      <c r="I1074" t="str">
        <f t="shared" si="100"/>
        <v>4</v>
      </c>
      <c r="J1074" t="str">
        <f t="shared" ca="1" si="101"/>
        <v>4</v>
      </c>
    </row>
    <row r="1075" spans="1:10" ht="18.75" x14ac:dyDescent="0.25">
      <c r="A1075" s="11" t="s">
        <v>2493</v>
      </c>
      <c r="B1075">
        <f>IFERROR(COUNTIFS($A$1:A1075,"Câu "&amp;"*")-MID(A1075,5,FIND(".",A1075,1)-5),0)</f>
        <v>0</v>
      </c>
      <c r="C1075" t="b">
        <v>0</v>
      </c>
      <c r="E1075" t="str">
        <f t="shared" si="96"/>
        <v>1</v>
      </c>
      <c r="F1075" t="str">
        <f t="shared" si="97"/>
        <v>2</v>
      </c>
      <c r="G1075" t="str">
        <f t="shared" si="98"/>
        <v>3</v>
      </c>
      <c r="H1075" t="str">
        <f t="shared" si="99"/>
        <v>4</v>
      </c>
      <c r="I1075" t="str">
        <f t="shared" si="100"/>
        <v/>
      </c>
      <c r="J1075" t="str">
        <f t="shared" ca="1" si="101"/>
        <v/>
      </c>
    </row>
    <row r="1076" spans="1:10" ht="18.75" x14ac:dyDescent="0.25">
      <c r="A1076" s="11" t="s">
        <v>2494</v>
      </c>
      <c r="B1076">
        <f>IFERROR(COUNTIFS($A$1:A1076,"Câu "&amp;"*")-MID(A1076,5,FIND(".",A1076,1)-5),0)</f>
        <v>0</v>
      </c>
      <c r="C1076" t="b">
        <v>0</v>
      </c>
      <c r="E1076" t="str">
        <f t="shared" si="96"/>
        <v>2</v>
      </c>
      <c r="F1076" t="str">
        <f t="shared" si="97"/>
        <v>3</v>
      </c>
      <c r="G1076" t="str">
        <f t="shared" si="98"/>
        <v>4</v>
      </c>
      <c r="H1076" t="str">
        <f t="shared" si="99"/>
        <v/>
      </c>
      <c r="I1076" t="str">
        <f t="shared" si="100"/>
        <v>1</v>
      </c>
      <c r="J1076" t="str">
        <f t="shared" ca="1" si="101"/>
        <v/>
      </c>
    </row>
    <row r="1077" spans="1:10" ht="18.75" x14ac:dyDescent="0.25">
      <c r="A1077" s="11" t="s">
        <v>2495</v>
      </c>
      <c r="B1077">
        <f>IFERROR(COUNTIFS($A$1:A1077,"Câu "&amp;"*")-MID(A1077,5,FIND(".",A1077,1)-5),0)</f>
        <v>0</v>
      </c>
      <c r="C1077" t="b">
        <v>0</v>
      </c>
      <c r="E1077" t="str">
        <f t="shared" si="96"/>
        <v>3</v>
      </c>
      <c r="F1077" t="str">
        <f t="shared" si="97"/>
        <v>4</v>
      </c>
      <c r="G1077" t="str">
        <f t="shared" si="98"/>
        <v>Câu 262.</v>
      </c>
      <c r="H1077" t="str">
        <f t="shared" si="99"/>
        <v>1</v>
      </c>
      <c r="I1077" t="str">
        <f t="shared" si="100"/>
        <v>2</v>
      </c>
      <c r="J1077" t="str">
        <f t="shared" ca="1" si="101"/>
        <v/>
      </c>
    </row>
    <row r="1078" spans="1:10" ht="18.75" x14ac:dyDescent="0.25">
      <c r="A1078" s="11" t="s">
        <v>1865</v>
      </c>
      <c r="B1078">
        <f>IFERROR(COUNTIFS($A$1:A1078,"Câu "&amp;"*")-MID(A1078,5,FIND(".",A1078,1)-5),0)</f>
        <v>0</v>
      </c>
      <c r="C1078" t="b">
        <v>1</v>
      </c>
      <c r="E1078" t="str">
        <f t="shared" si="96"/>
        <v>4</v>
      </c>
      <c r="F1078" t="str">
        <f t="shared" si="97"/>
        <v>Câu 262.</v>
      </c>
      <c r="G1078" t="str">
        <f t="shared" si="98"/>
        <v>1</v>
      </c>
      <c r="H1078" t="str">
        <f t="shared" si="99"/>
        <v>2</v>
      </c>
      <c r="I1078" t="str">
        <f t="shared" si="100"/>
        <v>3</v>
      </c>
      <c r="J1078" t="str">
        <f t="shared" ca="1" si="101"/>
        <v/>
      </c>
    </row>
    <row r="1079" spans="1:10" ht="18.75" x14ac:dyDescent="0.25">
      <c r="A1079" s="10" t="s">
        <v>924</v>
      </c>
      <c r="B1079">
        <f>IFERROR(COUNTIFS($A$1:A1079,"Câu "&amp;"*")-MID(A1079,5,FIND(".",A1079,1)-5),0)</f>
        <v>0</v>
      </c>
      <c r="C1079" t="b">
        <v>0</v>
      </c>
      <c r="E1079" t="str">
        <f t="shared" si="96"/>
        <v>Câu 262.</v>
      </c>
      <c r="F1079" t="str">
        <f t="shared" si="97"/>
        <v>1</v>
      </c>
      <c r="G1079" t="str">
        <f t="shared" si="98"/>
        <v>2</v>
      </c>
      <c r="H1079" t="str">
        <f t="shared" si="99"/>
        <v>3</v>
      </c>
      <c r="I1079" t="str">
        <f t="shared" si="100"/>
        <v>4</v>
      </c>
      <c r="J1079" t="str">
        <f t="shared" ca="1" si="101"/>
        <v>4</v>
      </c>
    </row>
    <row r="1080" spans="1:10" ht="18.75" x14ac:dyDescent="0.25">
      <c r="A1080" s="11" t="s">
        <v>2496</v>
      </c>
      <c r="B1080">
        <f>IFERROR(COUNTIFS($A$1:A1080,"Câu "&amp;"*")-MID(A1080,5,FIND(".",A1080,1)-5),0)</f>
        <v>0</v>
      </c>
      <c r="C1080" t="b">
        <v>0</v>
      </c>
      <c r="E1080" t="str">
        <f t="shared" si="96"/>
        <v>1</v>
      </c>
      <c r="F1080" t="str">
        <f t="shared" si="97"/>
        <v>2</v>
      </c>
      <c r="G1080" t="str">
        <f t="shared" si="98"/>
        <v>3</v>
      </c>
      <c r="H1080" t="str">
        <f t="shared" si="99"/>
        <v>4</v>
      </c>
      <c r="I1080" t="str">
        <f t="shared" si="100"/>
        <v/>
      </c>
      <c r="J1080" t="str">
        <f t="shared" ca="1" si="101"/>
        <v/>
      </c>
    </row>
    <row r="1081" spans="1:10" ht="18.75" x14ac:dyDescent="0.25">
      <c r="A1081" s="11" t="s">
        <v>2497</v>
      </c>
      <c r="B1081">
        <f>IFERROR(COUNTIFS($A$1:A1081,"Câu "&amp;"*")-MID(A1081,5,FIND(".",A1081,1)-5),0)</f>
        <v>0</v>
      </c>
      <c r="C1081" t="b">
        <v>0</v>
      </c>
      <c r="E1081" t="str">
        <f t="shared" si="96"/>
        <v>2</v>
      </c>
      <c r="F1081" t="str">
        <f t="shared" si="97"/>
        <v>3</v>
      </c>
      <c r="G1081" t="str">
        <f t="shared" si="98"/>
        <v>4</v>
      </c>
      <c r="H1081" t="str">
        <f t="shared" si="99"/>
        <v/>
      </c>
      <c r="I1081" t="str">
        <f t="shared" si="100"/>
        <v>1</v>
      </c>
      <c r="J1081" t="str">
        <f t="shared" ca="1" si="101"/>
        <v/>
      </c>
    </row>
    <row r="1082" spans="1:10" ht="18.75" x14ac:dyDescent="0.25">
      <c r="A1082" s="11" t="s">
        <v>2498</v>
      </c>
      <c r="B1082">
        <f>IFERROR(COUNTIFS($A$1:A1082,"Câu "&amp;"*")-MID(A1082,5,FIND(".",A1082,1)-5),0)</f>
        <v>0</v>
      </c>
      <c r="C1082" t="b">
        <v>0</v>
      </c>
      <c r="E1082" t="str">
        <f t="shared" si="96"/>
        <v>3</v>
      </c>
      <c r="F1082" t="str">
        <f t="shared" si="97"/>
        <v>4</v>
      </c>
      <c r="G1082" t="str">
        <f t="shared" si="98"/>
        <v>Câu 263.</v>
      </c>
      <c r="H1082" t="str">
        <f t="shared" si="99"/>
        <v>1</v>
      </c>
      <c r="I1082" t="str">
        <f t="shared" si="100"/>
        <v>2</v>
      </c>
      <c r="J1082" t="str">
        <f t="shared" ca="1" si="101"/>
        <v/>
      </c>
    </row>
    <row r="1083" spans="1:10" ht="18.75" x14ac:dyDescent="0.25">
      <c r="A1083" s="11" t="s">
        <v>1865</v>
      </c>
      <c r="B1083">
        <f>IFERROR(COUNTIFS($A$1:A1083,"Câu "&amp;"*")-MID(A1083,5,FIND(".",A1083,1)-5),0)</f>
        <v>0</v>
      </c>
      <c r="C1083" t="b">
        <v>1</v>
      </c>
      <c r="E1083" t="str">
        <f t="shared" si="96"/>
        <v>4</v>
      </c>
      <c r="F1083" t="str">
        <f t="shared" si="97"/>
        <v>Câu 263.</v>
      </c>
      <c r="G1083" t="str">
        <f t="shared" si="98"/>
        <v>1</v>
      </c>
      <c r="H1083" t="str">
        <f t="shared" si="99"/>
        <v>2</v>
      </c>
      <c r="I1083" t="str">
        <f t="shared" si="100"/>
        <v>3</v>
      </c>
      <c r="J1083" t="str">
        <f t="shared" ca="1" si="101"/>
        <v/>
      </c>
    </row>
    <row r="1084" spans="1:10" ht="18.75" x14ac:dyDescent="0.25">
      <c r="A1084" s="10" t="s">
        <v>928</v>
      </c>
      <c r="B1084">
        <f>IFERROR(COUNTIFS($A$1:A1084,"Câu "&amp;"*")-MID(A1084,5,FIND(".",A1084,1)-5),0)</f>
        <v>0</v>
      </c>
      <c r="C1084" t="b">
        <v>0</v>
      </c>
      <c r="E1084" t="str">
        <f t="shared" si="96"/>
        <v>Câu 263.</v>
      </c>
      <c r="F1084" t="str">
        <f t="shared" si="97"/>
        <v>1</v>
      </c>
      <c r="G1084" t="str">
        <f t="shared" si="98"/>
        <v>2</v>
      </c>
      <c r="H1084" t="str">
        <f t="shared" si="99"/>
        <v>3</v>
      </c>
      <c r="I1084" t="str">
        <f t="shared" si="100"/>
        <v>4</v>
      </c>
      <c r="J1084" t="str">
        <f t="shared" ca="1" si="101"/>
        <v>4</v>
      </c>
    </row>
    <row r="1085" spans="1:10" ht="18.75" x14ac:dyDescent="0.25">
      <c r="A1085" s="11" t="s">
        <v>2499</v>
      </c>
      <c r="B1085">
        <f>IFERROR(COUNTIFS($A$1:A1085,"Câu "&amp;"*")-MID(A1085,5,FIND(".",A1085,1)-5),0)</f>
        <v>0</v>
      </c>
      <c r="C1085" t="b">
        <v>0</v>
      </c>
      <c r="E1085" t="str">
        <f t="shared" si="96"/>
        <v>1</v>
      </c>
      <c r="F1085" t="str">
        <f t="shared" si="97"/>
        <v>2</v>
      </c>
      <c r="G1085" t="str">
        <f t="shared" si="98"/>
        <v>3</v>
      </c>
      <c r="H1085" t="str">
        <f t="shared" si="99"/>
        <v>4</v>
      </c>
      <c r="I1085" t="str">
        <f t="shared" si="100"/>
        <v>C</v>
      </c>
      <c r="J1085" t="str">
        <f t="shared" ca="1" si="101"/>
        <v/>
      </c>
    </row>
    <row r="1086" spans="1:10" ht="18.75" x14ac:dyDescent="0.25">
      <c r="A1086" s="11" t="s">
        <v>2500</v>
      </c>
      <c r="B1086">
        <f>IFERROR(COUNTIFS($A$1:A1086,"Câu "&amp;"*")-MID(A1086,5,FIND(".",A1086,1)-5),0)</f>
        <v>0</v>
      </c>
      <c r="C1086" t="b">
        <v>0</v>
      </c>
      <c r="E1086" t="str">
        <f t="shared" si="96"/>
        <v>2</v>
      </c>
      <c r="F1086" t="str">
        <f t="shared" si="97"/>
        <v>3</v>
      </c>
      <c r="G1086" t="str">
        <f t="shared" si="98"/>
        <v>4</v>
      </c>
      <c r="H1086" t="str">
        <f t="shared" si="99"/>
        <v>C</v>
      </c>
      <c r="I1086" t="str">
        <f t="shared" si="100"/>
        <v/>
      </c>
      <c r="J1086" t="str">
        <f t="shared" ca="1" si="101"/>
        <v/>
      </c>
    </row>
    <row r="1087" spans="1:10" ht="18.75" x14ac:dyDescent="0.25">
      <c r="A1087" s="11" t="s">
        <v>2501</v>
      </c>
      <c r="B1087">
        <f>IFERROR(COUNTIFS($A$1:A1087,"Câu "&amp;"*")-MID(A1087,5,FIND(".",A1087,1)-5),0)</f>
        <v>0</v>
      </c>
      <c r="C1087" t="b">
        <v>0</v>
      </c>
      <c r="E1087" t="str">
        <f t="shared" si="96"/>
        <v>3</v>
      </c>
      <c r="F1087" t="str">
        <f t="shared" si="97"/>
        <v>4</v>
      </c>
      <c r="G1087" t="str">
        <f t="shared" si="98"/>
        <v>C</v>
      </c>
      <c r="H1087" t="str">
        <f t="shared" si="99"/>
        <v/>
      </c>
      <c r="I1087" t="str">
        <f t="shared" si="100"/>
        <v>1</v>
      </c>
      <c r="J1087" t="str">
        <f t="shared" ca="1" si="101"/>
        <v/>
      </c>
    </row>
    <row r="1088" spans="1:10" ht="18.75" x14ac:dyDescent="0.25">
      <c r="A1088" s="11" t="s">
        <v>1865</v>
      </c>
      <c r="B1088">
        <f>IFERROR(COUNTIFS($A$1:A1088,"Câu "&amp;"*")-MID(A1088,5,FIND(".",A1088,1)-5),0)</f>
        <v>0</v>
      </c>
      <c r="C1088" t="b">
        <v>1</v>
      </c>
      <c r="E1088" t="str">
        <f t="shared" si="96"/>
        <v>4</v>
      </c>
      <c r="F1088" t="str">
        <f t="shared" si="97"/>
        <v>C</v>
      </c>
      <c r="G1088" t="str">
        <f t="shared" si="98"/>
        <v>Câu 264.</v>
      </c>
      <c r="H1088" t="str">
        <f t="shared" si="99"/>
        <v>1</v>
      </c>
      <c r="I1088" t="str">
        <f t="shared" si="100"/>
        <v>2</v>
      </c>
      <c r="J1088" t="str">
        <f t="shared" ca="1" si="101"/>
        <v/>
      </c>
    </row>
    <row r="1089" spans="1:10" ht="18.75" x14ac:dyDescent="0.25">
      <c r="A1089" s="7" t="s">
        <v>932</v>
      </c>
      <c r="B1089">
        <f>IFERROR(COUNTIFS($A$1:A1089,"Câu "&amp;"*")-MID(A1089,5,FIND(".",A1089,1)-5),0)</f>
        <v>0</v>
      </c>
      <c r="C1089" t="b">
        <v>0</v>
      </c>
      <c r="E1089" t="str">
        <f t="shared" si="96"/>
        <v>C</v>
      </c>
      <c r="F1089" t="str">
        <f t="shared" si="97"/>
        <v>Câu 264.</v>
      </c>
      <c r="G1089" t="str">
        <f t="shared" si="98"/>
        <v>1</v>
      </c>
      <c r="H1089" t="str">
        <f t="shared" si="99"/>
        <v>2</v>
      </c>
      <c r="I1089" t="str">
        <f t="shared" si="100"/>
        <v>3</v>
      </c>
      <c r="J1089" t="str">
        <f t="shared" ca="1" si="101"/>
        <v/>
      </c>
    </row>
    <row r="1090" spans="1:10" ht="243.75" x14ac:dyDescent="0.25">
      <c r="A1090" s="4" t="s">
        <v>933</v>
      </c>
      <c r="B1090">
        <f>IFERROR(COUNTIFS($A$1:A1090,"Câu "&amp;"*")-MID(A1090,5,FIND(".",A1090,1)-5),0)</f>
        <v>0</v>
      </c>
      <c r="C1090" t="b">
        <v>0</v>
      </c>
      <c r="E1090" t="str">
        <f t="shared" si="96"/>
        <v>Câu 264.</v>
      </c>
      <c r="F1090" t="str">
        <f t="shared" si="97"/>
        <v>1</v>
      </c>
      <c r="G1090" t="str">
        <f t="shared" si="98"/>
        <v>2</v>
      </c>
      <c r="H1090" t="str">
        <f t="shared" si="99"/>
        <v>3</v>
      </c>
      <c r="I1090" t="str">
        <f t="shared" si="100"/>
        <v/>
      </c>
      <c r="J1090" t="str">
        <f t="shared" ca="1" si="101"/>
        <v>3</v>
      </c>
    </row>
    <row r="1091" spans="1:10" ht="318.75" x14ac:dyDescent="0.25">
      <c r="A1091" s="3" t="s">
        <v>2502</v>
      </c>
      <c r="B1091">
        <f>IFERROR(COUNTIFS($A$1:A1091,"Câu "&amp;"*")-MID(A1091,5,FIND(".",A1091,1)-5),0)</f>
        <v>0</v>
      </c>
      <c r="C1091" t="b">
        <v>0</v>
      </c>
      <c r="E1091" t="str">
        <f t="shared" ref="E1091:E1154" si="102">IF(LEFT(A1091,3)="Câu",LEFT(A1091,FIND(".",A1091,1)),LEFT(A1091,1))</f>
        <v>1</v>
      </c>
      <c r="F1091" t="str">
        <f t="shared" ref="F1091:F1154" si="103">IF(LEFT(A1092,3)="Câu",LEFT(A1092,FIND(".",A1092,1)),LEFT(A1092,1))</f>
        <v>2</v>
      </c>
      <c r="G1091" t="str">
        <f t="shared" ref="G1091:G1154" si="104">IF(LEFT(A1093,3)="Câu",LEFT(A1093,FIND(".",A1093,1)),LEFT(A1093,1))</f>
        <v>3</v>
      </c>
      <c r="H1091" t="str">
        <f t="shared" ref="H1091:H1154" si="105">IF(LEFT(A1094,3)="Câu","",LEFT(A1094,1))</f>
        <v/>
      </c>
      <c r="I1091" t="str">
        <f t="shared" ref="I1091:I1154" si="106">IF(LEFT(A1095,3)="Câu","",LEFT(A1095,1))</f>
        <v>1</v>
      </c>
      <c r="J1091" t="str">
        <f t="shared" ref="J1091:J1154" ca="1" si="107">IFERROR(VLOOKUP(TRUE,INDIRECT("C"&amp;MATCH(E1091,$E$1:$E$2471,0)&amp;":E"&amp;MATCH("Câu "&amp;VALUE(MID(E1091,5,LEN(E1091)-5))+1&amp;".",$E$1:$E$2471,0)),3,0),"")</f>
        <v/>
      </c>
    </row>
    <row r="1092" spans="1:10" ht="318.75" x14ac:dyDescent="0.25">
      <c r="A1092" s="3" t="s">
        <v>2503</v>
      </c>
      <c r="B1092">
        <f>IFERROR(COUNTIFS($A$1:A1092,"Câu "&amp;"*")-MID(A1092,5,FIND(".",A1092,1)-5),0)</f>
        <v>0</v>
      </c>
      <c r="C1092" t="b">
        <v>0</v>
      </c>
      <c r="E1092" t="str">
        <f t="shared" si="102"/>
        <v>2</v>
      </c>
      <c r="F1092" t="str">
        <f t="shared" si="103"/>
        <v>3</v>
      </c>
      <c r="G1092" t="str">
        <f t="shared" si="104"/>
        <v>Câu 265.</v>
      </c>
      <c r="H1092" t="str">
        <f t="shared" si="105"/>
        <v>1</v>
      </c>
      <c r="I1092" t="str">
        <f t="shared" si="106"/>
        <v>2</v>
      </c>
      <c r="J1092" t="str">
        <f t="shared" ca="1" si="107"/>
        <v/>
      </c>
    </row>
    <row r="1093" spans="1:10" ht="409.5" x14ac:dyDescent="0.25">
      <c r="A1093" s="3" t="s">
        <v>2504</v>
      </c>
      <c r="B1093">
        <f>IFERROR(COUNTIFS($A$1:A1093,"Câu "&amp;"*")-MID(A1093,5,FIND(".",A1093,1)-5),0)</f>
        <v>0</v>
      </c>
      <c r="C1093" t="b">
        <v>1</v>
      </c>
      <c r="E1093" t="str">
        <f t="shared" si="102"/>
        <v>3</v>
      </c>
      <c r="F1093" t="str">
        <f t="shared" si="103"/>
        <v>Câu 265.</v>
      </c>
      <c r="G1093" t="str">
        <f t="shared" si="104"/>
        <v>1</v>
      </c>
      <c r="H1093" t="str">
        <f t="shared" si="105"/>
        <v>2</v>
      </c>
      <c r="I1093" t="str">
        <f t="shared" si="106"/>
        <v>3</v>
      </c>
      <c r="J1093" t="str">
        <f t="shared" ca="1" si="107"/>
        <v/>
      </c>
    </row>
    <row r="1094" spans="1:10" ht="393.75" x14ac:dyDescent="0.25">
      <c r="A1094" s="4" t="s">
        <v>937</v>
      </c>
      <c r="B1094">
        <f>IFERROR(COUNTIFS($A$1:A1094,"Câu "&amp;"*")-MID(A1094,5,FIND(".",A1094,1)-5),0)</f>
        <v>0</v>
      </c>
      <c r="C1094" t="b">
        <v>0</v>
      </c>
      <c r="E1094" t="str">
        <f t="shared" si="102"/>
        <v>Câu 265.</v>
      </c>
      <c r="F1094" t="str">
        <f t="shared" si="103"/>
        <v>1</v>
      </c>
      <c r="G1094" t="str">
        <f t="shared" si="104"/>
        <v>2</v>
      </c>
      <c r="H1094" t="str">
        <f t="shared" si="105"/>
        <v>3</v>
      </c>
      <c r="I1094" t="str">
        <f t="shared" si="106"/>
        <v/>
      </c>
      <c r="J1094" t="str">
        <f t="shared" ca="1" si="107"/>
        <v>3</v>
      </c>
    </row>
    <row r="1095" spans="1:10" ht="409.5" x14ac:dyDescent="0.25">
      <c r="A1095" s="3" t="s">
        <v>2505</v>
      </c>
      <c r="B1095">
        <f>IFERROR(COUNTIFS($A$1:A1095,"Câu "&amp;"*")-MID(A1095,5,FIND(".",A1095,1)-5),0)</f>
        <v>0</v>
      </c>
      <c r="C1095" t="b">
        <v>0</v>
      </c>
      <c r="E1095" t="str">
        <f t="shared" si="102"/>
        <v>1</v>
      </c>
      <c r="F1095" t="str">
        <f t="shared" si="103"/>
        <v>2</v>
      </c>
      <c r="G1095" t="str">
        <f t="shared" si="104"/>
        <v>3</v>
      </c>
      <c r="H1095" t="str">
        <f t="shared" si="105"/>
        <v/>
      </c>
      <c r="I1095" t="str">
        <f t="shared" si="106"/>
        <v>1</v>
      </c>
      <c r="J1095" t="str">
        <f t="shared" ca="1" si="107"/>
        <v/>
      </c>
    </row>
    <row r="1096" spans="1:10" ht="409.5" x14ac:dyDescent="0.25">
      <c r="A1096" s="3" t="s">
        <v>2506</v>
      </c>
      <c r="B1096">
        <f>IFERROR(COUNTIFS($A$1:A1096,"Câu "&amp;"*")-MID(A1096,5,FIND(".",A1096,1)-5),0)</f>
        <v>0</v>
      </c>
      <c r="C1096" t="b">
        <v>0</v>
      </c>
      <c r="E1096" t="str">
        <f t="shared" si="102"/>
        <v>2</v>
      </c>
      <c r="F1096" t="str">
        <f t="shared" si="103"/>
        <v>3</v>
      </c>
      <c r="G1096" t="str">
        <f t="shared" si="104"/>
        <v>Câu 266.</v>
      </c>
      <c r="H1096" t="str">
        <f t="shared" si="105"/>
        <v>1</v>
      </c>
      <c r="I1096" t="str">
        <f t="shared" si="106"/>
        <v>2</v>
      </c>
      <c r="J1096" t="str">
        <f t="shared" ca="1" si="107"/>
        <v/>
      </c>
    </row>
    <row r="1097" spans="1:10" ht="37.5" x14ac:dyDescent="0.25">
      <c r="A1097" s="3" t="s">
        <v>1825</v>
      </c>
      <c r="B1097">
        <f>IFERROR(COUNTIFS($A$1:A1097,"Câu "&amp;"*")-MID(A1097,5,FIND(".",A1097,1)-5),0)</f>
        <v>0</v>
      </c>
      <c r="C1097" t="b">
        <v>1</v>
      </c>
      <c r="E1097" t="str">
        <f t="shared" si="102"/>
        <v>3</v>
      </c>
      <c r="F1097" t="str">
        <f t="shared" si="103"/>
        <v>Câu 266.</v>
      </c>
      <c r="G1097" t="str">
        <f t="shared" si="104"/>
        <v>1</v>
      </c>
      <c r="H1097" t="str">
        <f t="shared" si="105"/>
        <v>2</v>
      </c>
      <c r="I1097" t="str">
        <f t="shared" si="106"/>
        <v>3</v>
      </c>
      <c r="J1097" t="str">
        <f t="shared" ca="1" si="107"/>
        <v/>
      </c>
    </row>
    <row r="1098" spans="1:10" ht="318.75" x14ac:dyDescent="0.25">
      <c r="A1098" s="4" t="s">
        <v>940</v>
      </c>
      <c r="B1098">
        <f>IFERROR(COUNTIFS($A$1:A1098,"Câu "&amp;"*")-MID(A1098,5,FIND(".",A1098,1)-5),0)</f>
        <v>0</v>
      </c>
      <c r="C1098" t="b">
        <v>0</v>
      </c>
      <c r="E1098" t="str">
        <f t="shared" si="102"/>
        <v>Câu 266.</v>
      </c>
      <c r="F1098" t="str">
        <f t="shared" si="103"/>
        <v>1</v>
      </c>
      <c r="G1098" t="str">
        <f t="shared" si="104"/>
        <v>2</v>
      </c>
      <c r="H1098" t="str">
        <f t="shared" si="105"/>
        <v>3</v>
      </c>
      <c r="I1098" t="str">
        <f t="shared" si="106"/>
        <v/>
      </c>
      <c r="J1098" t="str">
        <f t="shared" ca="1" si="107"/>
        <v>2</v>
      </c>
    </row>
    <row r="1099" spans="1:10" ht="18.75" x14ac:dyDescent="0.25">
      <c r="A1099" s="11" t="s">
        <v>2507</v>
      </c>
      <c r="B1099">
        <f>IFERROR(COUNTIFS($A$1:A1099,"Câu "&amp;"*")-MID(A1099,5,FIND(".",A1099,1)-5),0)</f>
        <v>0</v>
      </c>
      <c r="C1099" t="b">
        <v>0</v>
      </c>
      <c r="E1099" t="str">
        <f t="shared" si="102"/>
        <v>1</v>
      </c>
      <c r="F1099" t="str">
        <f t="shared" si="103"/>
        <v>2</v>
      </c>
      <c r="G1099" t="str">
        <f t="shared" si="104"/>
        <v>3</v>
      </c>
      <c r="H1099" t="str">
        <f t="shared" si="105"/>
        <v/>
      </c>
      <c r="I1099" t="str">
        <f t="shared" si="106"/>
        <v>1</v>
      </c>
      <c r="J1099" t="str">
        <f t="shared" ca="1" si="107"/>
        <v/>
      </c>
    </row>
    <row r="1100" spans="1:10" ht="18.75" x14ac:dyDescent="0.25">
      <c r="A1100" s="11" t="s">
        <v>2508</v>
      </c>
      <c r="B1100">
        <f>IFERROR(COUNTIFS($A$1:A1100,"Câu "&amp;"*")-MID(A1100,5,FIND(".",A1100,1)-5),0)</f>
        <v>0</v>
      </c>
      <c r="C1100" t="b">
        <v>1</v>
      </c>
      <c r="E1100" t="str">
        <f t="shared" si="102"/>
        <v>2</v>
      </c>
      <c r="F1100" t="str">
        <f t="shared" si="103"/>
        <v>3</v>
      </c>
      <c r="G1100" t="str">
        <f t="shared" si="104"/>
        <v>Câu 267.</v>
      </c>
      <c r="H1100" t="str">
        <f t="shared" si="105"/>
        <v>1</v>
      </c>
      <c r="I1100" t="str">
        <f t="shared" si="106"/>
        <v>2</v>
      </c>
      <c r="J1100" t="str">
        <f t="shared" ca="1" si="107"/>
        <v/>
      </c>
    </row>
    <row r="1101" spans="1:10" ht="18.75" x14ac:dyDescent="0.25">
      <c r="A1101" s="11" t="s">
        <v>2509</v>
      </c>
      <c r="B1101">
        <f>IFERROR(COUNTIFS($A$1:A1101,"Câu "&amp;"*")-MID(A1101,5,FIND(".",A1101,1)-5),0)</f>
        <v>0</v>
      </c>
      <c r="C1101" t="b">
        <v>0</v>
      </c>
      <c r="E1101" t="str">
        <f t="shared" si="102"/>
        <v>3</v>
      </c>
      <c r="F1101" t="str">
        <f t="shared" si="103"/>
        <v>Câu 267.</v>
      </c>
      <c r="G1101" t="str">
        <f t="shared" si="104"/>
        <v>1</v>
      </c>
      <c r="H1101" t="str">
        <f t="shared" si="105"/>
        <v>2</v>
      </c>
      <c r="I1101" t="str">
        <f t="shared" si="106"/>
        <v>3</v>
      </c>
      <c r="J1101" t="str">
        <f t="shared" ca="1" si="107"/>
        <v/>
      </c>
    </row>
    <row r="1102" spans="1:10" ht="18.75" x14ac:dyDescent="0.25">
      <c r="A1102" s="10" t="s">
        <v>944</v>
      </c>
      <c r="B1102">
        <f>IFERROR(COUNTIFS($A$1:A1102,"Câu "&amp;"*")-MID(A1102,5,FIND(".",A1102,1)-5),0)</f>
        <v>0</v>
      </c>
      <c r="C1102" t="b">
        <v>0</v>
      </c>
      <c r="E1102" t="str">
        <f t="shared" si="102"/>
        <v>Câu 267.</v>
      </c>
      <c r="F1102" t="str">
        <f t="shared" si="103"/>
        <v>1</v>
      </c>
      <c r="G1102" t="str">
        <f t="shared" si="104"/>
        <v>2</v>
      </c>
      <c r="H1102" t="str">
        <f t="shared" si="105"/>
        <v>3</v>
      </c>
      <c r="I1102" t="str">
        <f t="shared" si="106"/>
        <v>4</v>
      </c>
      <c r="J1102" t="str">
        <f t="shared" ca="1" si="107"/>
        <v>4</v>
      </c>
    </row>
    <row r="1103" spans="1:10" ht="18.75" x14ac:dyDescent="0.25">
      <c r="A1103" s="11" t="s">
        <v>2510</v>
      </c>
      <c r="B1103">
        <f>IFERROR(COUNTIFS($A$1:A1103,"Câu "&amp;"*")-MID(A1103,5,FIND(".",A1103,1)-5),0)</f>
        <v>0</v>
      </c>
      <c r="C1103" t="b">
        <v>0</v>
      </c>
      <c r="E1103" t="str">
        <f t="shared" si="102"/>
        <v>1</v>
      </c>
      <c r="F1103" t="str">
        <f t="shared" si="103"/>
        <v>2</v>
      </c>
      <c r="G1103" t="str">
        <f t="shared" si="104"/>
        <v>3</v>
      </c>
      <c r="H1103" t="str">
        <f t="shared" si="105"/>
        <v>4</v>
      </c>
      <c r="I1103" t="str">
        <f t="shared" si="106"/>
        <v/>
      </c>
      <c r="J1103" t="str">
        <f t="shared" ca="1" si="107"/>
        <v/>
      </c>
    </row>
    <row r="1104" spans="1:10" ht="18.75" x14ac:dyDescent="0.25">
      <c r="A1104" s="11" t="s">
        <v>2511</v>
      </c>
      <c r="B1104">
        <f>IFERROR(COUNTIFS($A$1:A1104,"Câu "&amp;"*")-MID(A1104,5,FIND(".",A1104,1)-5),0)</f>
        <v>0</v>
      </c>
      <c r="C1104" t="b">
        <v>0</v>
      </c>
      <c r="E1104" t="str">
        <f t="shared" si="102"/>
        <v>2</v>
      </c>
      <c r="F1104" t="str">
        <f t="shared" si="103"/>
        <v>3</v>
      </c>
      <c r="G1104" t="str">
        <f t="shared" si="104"/>
        <v>4</v>
      </c>
      <c r="H1104" t="str">
        <f t="shared" si="105"/>
        <v/>
      </c>
      <c r="I1104" t="str">
        <f t="shared" si="106"/>
        <v>1</v>
      </c>
      <c r="J1104" t="str">
        <f t="shared" ca="1" si="107"/>
        <v/>
      </c>
    </row>
    <row r="1105" spans="1:10" ht="18.75" x14ac:dyDescent="0.25">
      <c r="A1105" s="11" t="s">
        <v>2512</v>
      </c>
      <c r="B1105">
        <f>IFERROR(COUNTIFS($A$1:A1105,"Câu "&amp;"*")-MID(A1105,5,FIND(".",A1105,1)-5),0)</f>
        <v>0</v>
      </c>
      <c r="C1105" t="b">
        <v>0</v>
      </c>
      <c r="E1105" t="str">
        <f t="shared" si="102"/>
        <v>3</v>
      </c>
      <c r="F1105" t="str">
        <f t="shared" si="103"/>
        <v>4</v>
      </c>
      <c r="G1105" t="str">
        <f t="shared" si="104"/>
        <v>Câu 268.</v>
      </c>
      <c r="H1105" t="str">
        <f t="shared" si="105"/>
        <v>1</v>
      </c>
      <c r="I1105" t="str">
        <f t="shared" si="106"/>
        <v>2</v>
      </c>
      <c r="J1105" t="str">
        <f t="shared" ca="1" si="107"/>
        <v/>
      </c>
    </row>
    <row r="1106" spans="1:10" ht="18.75" x14ac:dyDescent="0.25">
      <c r="A1106" s="11" t="s">
        <v>1978</v>
      </c>
      <c r="B1106">
        <f>IFERROR(COUNTIFS($A$1:A1106,"Câu "&amp;"*")-MID(A1106,5,FIND(".",A1106,1)-5),0)</f>
        <v>0</v>
      </c>
      <c r="C1106" t="b">
        <v>1</v>
      </c>
      <c r="E1106" t="str">
        <f t="shared" si="102"/>
        <v>4</v>
      </c>
      <c r="F1106" t="str">
        <f t="shared" si="103"/>
        <v>Câu 268.</v>
      </c>
      <c r="G1106" t="str">
        <f t="shared" si="104"/>
        <v>1</v>
      </c>
      <c r="H1106" t="str">
        <f t="shared" si="105"/>
        <v>2</v>
      </c>
      <c r="I1106" t="str">
        <f t="shared" si="106"/>
        <v/>
      </c>
      <c r="J1106" t="str">
        <f t="shared" ca="1" si="107"/>
        <v/>
      </c>
    </row>
    <row r="1107" spans="1:10" ht="18.75" x14ac:dyDescent="0.25">
      <c r="A1107" s="10" t="s">
        <v>2513</v>
      </c>
      <c r="B1107">
        <f>IFERROR(COUNTIFS($A$1:A1107,"Câu "&amp;"*")-MID(A1107,5,FIND(".",A1107,1)-5),0)</f>
        <v>0</v>
      </c>
      <c r="C1107" t="b">
        <v>0</v>
      </c>
      <c r="E1107" t="str">
        <f t="shared" si="102"/>
        <v>Câu 268.</v>
      </c>
      <c r="F1107" t="str">
        <f t="shared" si="103"/>
        <v>1</v>
      </c>
      <c r="G1107" t="str">
        <f t="shared" si="104"/>
        <v>2</v>
      </c>
      <c r="H1107" t="str">
        <f t="shared" si="105"/>
        <v/>
      </c>
      <c r="I1107" t="str">
        <f t="shared" si="106"/>
        <v>n</v>
      </c>
      <c r="J1107" t="str">
        <f t="shared" ca="1" si="107"/>
        <v>1</v>
      </c>
    </row>
    <row r="1108" spans="1:10" ht="18.75" x14ac:dyDescent="0.25">
      <c r="A1108" s="11" t="s">
        <v>2514</v>
      </c>
      <c r="B1108">
        <f>IFERROR(COUNTIFS($A$1:A1108,"Câu "&amp;"*")-MID(A1108,5,FIND(".",A1108,1)-5),0)</f>
        <v>0</v>
      </c>
      <c r="C1108" t="b">
        <v>1</v>
      </c>
      <c r="E1108" t="str">
        <f t="shared" si="102"/>
        <v>1</v>
      </c>
      <c r="F1108" t="str">
        <f t="shared" si="103"/>
        <v>2</v>
      </c>
      <c r="G1108" t="str">
        <f t="shared" si="104"/>
        <v>Câu 269.</v>
      </c>
      <c r="H1108" t="str">
        <f t="shared" si="105"/>
        <v>n</v>
      </c>
      <c r="I1108" t="str">
        <f t="shared" si="106"/>
        <v>1</v>
      </c>
      <c r="J1108" t="str">
        <f t="shared" ca="1" si="107"/>
        <v/>
      </c>
    </row>
    <row r="1109" spans="1:10" ht="18.75" x14ac:dyDescent="0.25">
      <c r="A1109" s="11" t="s">
        <v>2515</v>
      </c>
      <c r="B1109">
        <f>IFERROR(COUNTIFS($A$1:A1109,"Câu "&amp;"*")-MID(A1109,5,FIND(".",A1109,1)-5),0)</f>
        <v>0</v>
      </c>
      <c r="C1109" t="b">
        <v>0</v>
      </c>
      <c r="E1109" t="str">
        <f t="shared" si="102"/>
        <v>2</v>
      </c>
      <c r="F1109" t="str">
        <f t="shared" si="103"/>
        <v>Câu 269.</v>
      </c>
      <c r="G1109" t="str">
        <f t="shared" si="104"/>
        <v>n</v>
      </c>
      <c r="H1109" t="str">
        <f t="shared" si="105"/>
        <v>1</v>
      </c>
      <c r="I1109" t="str">
        <f t="shared" si="106"/>
        <v>2</v>
      </c>
      <c r="J1109" t="str">
        <f t="shared" ca="1" si="107"/>
        <v/>
      </c>
    </row>
    <row r="1110" spans="1:10" ht="18.75" x14ac:dyDescent="0.25">
      <c r="A1110" s="10" t="s">
        <v>951</v>
      </c>
      <c r="B1110">
        <f>IFERROR(COUNTIFS($A$1:A1110,"Câu "&amp;"*")-MID(A1110,5,FIND(".",A1110,1)-5),0)</f>
        <v>0</v>
      </c>
      <c r="C1110" t="b">
        <v>0</v>
      </c>
      <c r="E1110" t="str">
        <f t="shared" si="102"/>
        <v>Câu 269.</v>
      </c>
      <c r="F1110" t="str">
        <f t="shared" si="103"/>
        <v>n</v>
      </c>
      <c r="G1110" t="str">
        <f t="shared" si="104"/>
        <v>1</v>
      </c>
      <c r="H1110" t="str">
        <f t="shared" si="105"/>
        <v>2</v>
      </c>
      <c r="I1110" t="str">
        <f t="shared" si="106"/>
        <v>3</v>
      </c>
      <c r="J1110" t="str">
        <f t="shared" ca="1" si="107"/>
        <v>3</v>
      </c>
    </row>
    <row r="1111" spans="1:10" ht="56.25" x14ac:dyDescent="0.25">
      <c r="A1111" s="4" t="s">
        <v>952</v>
      </c>
      <c r="B1111">
        <f>IFERROR(COUNTIFS($A$1:A1111,"Câu "&amp;"*")-MID(A1111,5,FIND(".",A1111,1)-5),0)</f>
        <v>0</v>
      </c>
      <c r="C1111" t="b">
        <v>0</v>
      </c>
      <c r="E1111" t="str">
        <f t="shared" si="102"/>
        <v>n</v>
      </c>
      <c r="F1111" t="str">
        <f t="shared" si="103"/>
        <v>1</v>
      </c>
      <c r="G1111" t="str">
        <f t="shared" si="104"/>
        <v>2</v>
      </c>
      <c r="H1111" t="str">
        <f t="shared" si="105"/>
        <v>3</v>
      </c>
      <c r="I1111" t="str">
        <f t="shared" si="106"/>
        <v/>
      </c>
      <c r="J1111" t="str">
        <f t="shared" ca="1" si="107"/>
        <v/>
      </c>
    </row>
    <row r="1112" spans="1:10" ht="168.75" x14ac:dyDescent="0.25">
      <c r="A1112" s="3" t="s">
        <v>2516</v>
      </c>
      <c r="B1112">
        <f>IFERROR(COUNTIFS($A$1:A1112,"Câu "&amp;"*")-MID(A1112,5,FIND(".",A1112,1)-5),0)</f>
        <v>0</v>
      </c>
      <c r="C1112" t="b">
        <v>0</v>
      </c>
      <c r="E1112" t="str">
        <f t="shared" si="102"/>
        <v>1</v>
      </c>
      <c r="F1112" t="str">
        <f t="shared" si="103"/>
        <v>2</v>
      </c>
      <c r="G1112" t="str">
        <f t="shared" si="104"/>
        <v>3</v>
      </c>
      <c r="H1112" t="str">
        <f t="shared" si="105"/>
        <v/>
      </c>
      <c r="I1112" t="str">
        <f t="shared" si="106"/>
        <v>1</v>
      </c>
      <c r="J1112" t="str">
        <f t="shared" ca="1" si="107"/>
        <v/>
      </c>
    </row>
    <row r="1113" spans="1:10" ht="409.5" x14ac:dyDescent="0.25">
      <c r="A1113" s="3" t="s">
        <v>2517</v>
      </c>
      <c r="B1113">
        <f>IFERROR(COUNTIFS($A$1:A1113,"Câu "&amp;"*")-MID(A1113,5,FIND(".",A1113,1)-5),0)</f>
        <v>0</v>
      </c>
      <c r="C1113" t="b">
        <v>0</v>
      </c>
      <c r="E1113" t="str">
        <f t="shared" si="102"/>
        <v>2</v>
      </c>
      <c r="F1113" t="str">
        <f t="shared" si="103"/>
        <v>3</v>
      </c>
      <c r="G1113" t="str">
        <f t="shared" si="104"/>
        <v>Câu 270.</v>
      </c>
      <c r="H1113" t="str">
        <f t="shared" si="105"/>
        <v>1</v>
      </c>
      <c r="I1113" t="str">
        <f t="shared" si="106"/>
        <v>2</v>
      </c>
      <c r="J1113" t="str">
        <f t="shared" ca="1" si="107"/>
        <v/>
      </c>
    </row>
    <row r="1114" spans="1:10" ht="37.5" x14ac:dyDescent="0.25">
      <c r="A1114" s="3" t="s">
        <v>1825</v>
      </c>
      <c r="B1114">
        <f>IFERROR(COUNTIFS($A$1:A1114,"Câu "&amp;"*")-MID(A1114,5,FIND(".",A1114,1)-5),0)</f>
        <v>0</v>
      </c>
      <c r="C1114" t="b">
        <v>1</v>
      </c>
      <c r="E1114" t="str">
        <f t="shared" si="102"/>
        <v>3</v>
      </c>
      <c r="F1114" t="str">
        <f t="shared" si="103"/>
        <v>Câu 270.</v>
      </c>
      <c r="G1114" t="str">
        <f t="shared" si="104"/>
        <v>1</v>
      </c>
      <c r="H1114" t="str">
        <f t="shared" si="105"/>
        <v>2</v>
      </c>
      <c r="I1114" t="str">
        <f t="shared" si="106"/>
        <v>3</v>
      </c>
      <c r="J1114" t="str">
        <f t="shared" ca="1" si="107"/>
        <v/>
      </c>
    </row>
    <row r="1115" spans="1:10" ht="206.25" x14ac:dyDescent="0.25">
      <c r="A1115" s="4" t="s">
        <v>955</v>
      </c>
      <c r="B1115">
        <f>IFERROR(COUNTIFS($A$1:A1115,"Câu "&amp;"*")-MID(A1115,5,FIND(".",A1115,1)-5),0)</f>
        <v>0</v>
      </c>
      <c r="C1115" t="b">
        <v>0</v>
      </c>
      <c r="E1115" t="str">
        <f t="shared" si="102"/>
        <v>Câu 270.</v>
      </c>
      <c r="F1115" t="str">
        <f t="shared" si="103"/>
        <v>1</v>
      </c>
      <c r="G1115" t="str">
        <f t="shared" si="104"/>
        <v>2</v>
      </c>
      <c r="H1115" t="str">
        <f t="shared" si="105"/>
        <v>3</v>
      </c>
      <c r="I1115" t="str">
        <f t="shared" si="106"/>
        <v/>
      </c>
      <c r="J1115" t="str">
        <f t="shared" ca="1" si="107"/>
        <v>3</v>
      </c>
    </row>
    <row r="1116" spans="1:10" ht="393.75" x14ac:dyDescent="0.25">
      <c r="A1116" s="3" t="s">
        <v>2518</v>
      </c>
      <c r="B1116">
        <f>IFERROR(COUNTIFS($A$1:A1116,"Câu "&amp;"*")-MID(A1116,5,FIND(".",A1116,1)-5),0)</f>
        <v>0</v>
      </c>
      <c r="C1116" t="b">
        <v>0</v>
      </c>
      <c r="E1116" t="str">
        <f t="shared" si="102"/>
        <v>1</v>
      </c>
      <c r="F1116" t="str">
        <f t="shared" si="103"/>
        <v>2</v>
      </c>
      <c r="G1116" t="str">
        <f t="shared" si="104"/>
        <v>3</v>
      </c>
      <c r="H1116" t="str">
        <f t="shared" si="105"/>
        <v/>
      </c>
      <c r="I1116" t="str">
        <f t="shared" si="106"/>
        <v>1</v>
      </c>
      <c r="J1116" t="str">
        <f t="shared" ca="1" si="107"/>
        <v/>
      </c>
    </row>
    <row r="1117" spans="1:10" ht="409.5" x14ac:dyDescent="0.25">
      <c r="A1117" s="3" t="s">
        <v>2519</v>
      </c>
      <c r="B1117">
        <f>IFERROR(COUNTIFS($A$1:A1117,"Câu "&amp;"*")-MID(A1117,5,FIND(".",A1117,1)-5),0)</f>
        <v>0</v>
      </c>
      <c r="C1117" t="b">
        <v>0</v>
      </c>
      <c r="E1117" t="str">
        <f t="shared" si="102"/>
        <v>2</v>
      </c>
      <c r="F1117" t="str">
        <f t="shared" si="103"/>
        <v>3</v>
      </c>
      <c r="G1117" t="str">
        <f t="shared" si="104"/>
        <v>Câu 271.</v>
      </c>
      <c r="H1117" t="str">
        <f t="shared" si="105"/>
        <v>1</v>
      </c>
      <c r="I1117" t="str">
        <f t="shared" si="106"/>
        <v>2</v>
      </c>
      <c r="J1117" t="str">
        <f t="shared" ca="1" si="107"/>
        <v/>
      </c>
    </row>
    <row r="1118" spans="1:10" ht="37.5" x14ac:dyDescent="0.25">
      <c r="A1118" s="3" t="s">
        <v>1825</v>
      </c>
      <c r="B1118">
        <f>IFERROR(COUNTIFS($A$1:A1118,"Câu "&amp;"*")-MID(A1118,5,FIND(".",A1118,1)-5),0)</f>
        <v>0</v>
      </c>
      <c r="C1118" t="b">
        <v>1</v>
      </c>
      <c r="E1118" t="str">
        <f t="shared" si="102"/>
        <v>3</v>
      </c>
      <c r="F1118" t="str">
        <f t="shared" si="103"/>
        <v>Câu 271.</v>
      </c>
      <c r="G1118" t="str">
        <f t="shared" si="104"/>
        <v>1</v>
      </c>
      <c r="H1118" t="str">
        <f t="shared" si="105"/>
        <v>2</v>
      </c>
      <c r="I1118" t="str">
        <f t="shared" si="106"/>
        <v>3</v>
      </c>
      <c r="J1118" t="str">
        <f t="shared" ca="1" si="107"/>
        <v/>
      </c>
    </row>
    <row r="1119" spans="1:10" ht="262.5" x14ac:dyDescent="0.25">
      <c r="A1119" s="4" t="s">
        <v>958</v>
      </c>
      <c r="B1119">
        <f>IFERROR(COUNTIFS($A$1:A1119,"Câu "&amp;"*")-MID(A1119,5,FIND(".",A1119,1)-5),0)</f>
        <v>0</v>
      </c>
      <c r="C1119" t="b">
        <v>0</v>
      </c>
      <c r="E1119" t="str">
        <f t="shared" si="102"/>
        <v>Câu 271.</v>
      </c>
      <c r="F1119" t="str">
        <f t="shared" si="103"/>
        <v>1</v>
      </c>
      <c r="G1119" t="str">
        <f t="shared" si="104"/>
        <v>2</v>
      </c>
      <c r="H1119" t="str">
        <f t="shared" si="105"/>
        <v>3</v>
      </c>
      <c r="I1119" t="str">
        <f t="shared" si="106"/>
        <v/>
      </c>
      <c r="J1119" t="str">
        <f t="shared" ca="1" si="107"/>
        <v>3</v>
      </c>
    </row>
    <row r="1120" spans="1:10" ht="18.75" x14ac:dyDescent="0.25">
      <c r="A1120" s="11" t="s">
        <v>2520</v>
      </c>
      <c r="B1120">
        <f>IFERROR(COUNTIFS($A$1:A1120,"Câu "&amp;"*")-MID(A1120,5,FIND(".",A1120,1)-5),0)</f>
        <v>0</v>
      </c>
      <c r="C1120" t="b">
        <v>0</v>
      </c>
      <c r="E1120" t="str">
        <f t="shared" si="102"/>
        <v>1</v>
      </c>
      <c r="F1120" t="str">
        <f t="shared" si="103"/>
        <v>2</v>
      </c>
      <c r="G1120" t="str">
        <f t="shared" si="104"/>
        <v>3</v>
      </c>
      <c r="H1120" t="str">
        <f t="shared" si="105"/>
        <v/>
      </c>
      <c r="I1120" t="str">
        <f t="shared" si="106"/>
        <v>1</v>
      </c>
      <c r="J1120" t="str">
        <f t="shared" ca="1" si="107"/>
        <v/>
      </c>
    </row>
    <row r="1121" spans="1:10" ht="18.75" x14ac:dyDescent="0.25">
      <c r="A1121" s="11" t="s">
        <v>2521</v>
      </c>
      <c r="B1121">
        <f>IFERROR(COUNTIFS($A$1:A1121,"Câu "&amp;"*")-MID(A1121,5,FIND(".",A1121,1)-5),0)</f>
        <v>0</v>
      </c>
      <c r="C1121" t="b">
        <v>0</v>
      </c>
      <c r="E1121" t="str">
        <f t="shared" si="102"/>
        <v>2</v>
      </c>
      <c r="F1121" t="str">
        <f t="shared" si="103"/>
        <v>3</v>
      </c>
      <c r="G1121" t="str">
        <f t="shared" si="104"/>
        <v>Câu 272.</v>
      </c>
      <c r="H1121" t="str">
        <f t="shared" si="105"/>
        <v>1</v>
      </c>
      <c r="I1121" t="str">
        <f t="shared" si="106"/>
        <v>2</v>
      </c>
      <c r="J1121" t="str">
        <f t="shared" ca="1" si="107"/>
        <v/>
      </c>
    </row>
    <row r="1122" spans="1:10" ht="18.75" x14ac:dyDescent="0.25">
      <c r="A1122" s="11" t="s">
        <v>1825</v>
      </c>
      <c r="B1122">
        <f>IFERROR(COUNTIFS($A$1:A1122,"Câu "&amp;"*")-MID(A1122,5,FIND(".",A1122,1)-5),0)</f>
        <v>0</v>
      </c>
      <c r="C1122" t="b">
        <v>1</v>
      </c>
      <c r="E1122" t="str">
        <f t="shared" si="102"/>
        <v>3</v>
      </c>
      <c r="F1122" t="str">
        <f t="shared" si="103"/>
        <v>Câu 272.</v>
      </c>
      <c r="G1122" t="str">
        <f t="shared" si="104"/>
        <v>1</v>
      </c>
      <c r="H1122" t="str">
        <f t="shared" si="105"/>
        <v>2</v>
      </c>
      <c r="I1122" t="str">
        <f t="shared" si="106"/>
        <v>3</v>
      </c>
      <c r="J1122" t="str">
        <f t="shared" ca="1" si="107"/>
        <v/>
      </c>
    </row>
    <row r="1123" spans="1:10" ht="18.75" x14ac:dyDescent="0.25">
      <c r="A1123" s="10" t="s">
        <v>961</v>
      </c>
      <c r="B1123">
        <f>IFERROR(COUNTIFS($A$1:A1123,"Câu "&amp;"*")-MID(A1123,5,FIND(".",A1123,1)-5),0)</f>
        <v>0</v>
      </c>
      <c r="C1123" t="b">
        <v>0</v>
      </c>
      <c r="E1123" t="str">
        <f t="shared" si="102"/>
        <v>Câu 272.</v>
      </c>
      <c r="F1123" t="str">
        <f t="shared" si="103"/>
        <v>1</v>
      </c>
      <c r="G1123" t="str">
        <f t="shared" si="104"/>
        <v>2</v>
      </c>
      <c r="H1123" t="str">
        <f t="shared" si="105"/>
        <v>3</v>
      </c>
      <c r="I1123" t="str">
        <f t="shared" si="106"/>
        <v/>
      </c>
      <c r="J1123" t="str">
        <f t="shared" ca="1" si="107"/>
        <v>1</v>
      </c>
    </row>
    <row r="1124" spans="1:10" ht="18.75" x14ac:dyDescent="0.25">
      <c r="A1124" s="11" t="s">
        <v>2522</v>
      </c>
      <c r="B1124">
        <f>IFERROR(COUNTIFS($A$1:A1124,"Câu "&amp;"*")-MID(A1124,5,FIND(".",A1124,1)-5),0)</f>
        <v>0</v>
      </c>
      <c r="C1124" t="b">
        <v>1</v>
      </c>
      <c r="E1124" t="str">
        <f t="shared" si="102"/>
        <v>1</v>
      </c>
      <c r="F1124" t="str">
        <f t="shared" si="103"/>
        <v>2</v>
      </c>
      <c r="G1124" t="str">
        <f t="shared" si="104"/>
        <v>3</v>
      </c>
      <c r="H1124" t="str">
        <f t="shared" si="105"/>
        <v/>
      </c>
      <c r="I1124" t="str">
        <f t="shared" si="106"/>
        <v>1</v>
      </c>
      <c r="J1124" t="str">
        <f t="shared" ca="1" si="107"/>
        <v/>
      </c>
    </row>
    <row r="1125" spans="1:10" ht="18.75" x14ac:dyDescent="0.25">
      <c r="A1125" s="11" t="s">
        <v>2523</v>
      </c>
      <c r="B1125">
        <f>IFERROR(COUNTIFS($A$1:A1125,"Câu "&amp;"*")-MID(A1125,5,FIND(".",A1125,1)-5),0)</f>
        <v>0</v>
      </c>
      <c r="C1125" t="b">
        <v>0</v>
      </c>
      <c r="E1125" t="str">
        <f t="shared" si="102"/>
        <v>2</v>
      </c>
      <c r="F1125" t="str">
        <f t="shared" si="103"/>
        <v>3</v>
      </c>
      <c r="G1125" t="str">
        <f t="shared" si="104"/>
        <v>Câu 273.</v>
      </c>
      <c r="H1125" t="str">
        <f t="shared" si="105"/>
        <v>1</v>
      </c>
      <c r="I1125" t="str">
        <f t="shared" si="106"/>
        <v>2</v>
      </c>
      <c r="J1125" t="str">
        <f t="shared" ca="1" si="107"/>
        <v/>
      </c>
    </row>
    <row r="1126" spans="1:10" ht="18.75" x14ac:dyDescent="0.25">
      <c r="A1126" s="11" t="s">
        <v>2524</v>
      </c>
      <c r="B1126">
        <f>IFERROR(COUNTIFS($A$1:A1126,"Câu "&amp;"*")-MID(A1126,5,FIND(".",A1126,1)-5),0)</f>
        <v>0</v>
      </c>
      <c r="C1126" t="b">
        <v>0</v>
      </c>
      <c r="E1126" t="str">
        <f t="shared" si="102"/>
        <v>3</v>
      </c>
      <c r="F1126" t="str">
        <f t="shared" si="103"/>
        <v>Câu 273.</v>
      </c>
      <c r="G1126" t="str">
        <f t="shared" si="104"/>
        <v>1</v>
      </c>
      <c r="H1126" t="str">
        <f t="shared" si="105"/>
        <v>2</v>
      </c>
      <c r="I1126" t="str">
        <f t="shared" si="106"/>
        <v>3</v>
      </c>
      <c r="J1126" t="str">
        <f t="shared" ca="1" si="107"/>
        <v/>
      </c>
    </row>
    <row r="1127" spans="1:10" ht="18.75" x14ac:dyDescent="0.25">
      <c r="A1127" s="10" t="s">
        <v>965</v>
      </c>
      <c r="B1127">
        <f>IFERROR(COUNTIFS($A$1:A1127,"Câu "&amp;"*")-MID(A1127,5,FIND(".",A1127,1)-5),0)</f>
        <v>0</v>
      </c>
      <c r="C1127" t="b">
        <v>0</v>
      </c>
      <c r="E1127" t="str">
        <f t="shared" si="102"/>
        <v>Câu 273.</v>
      </c>
      <c r="F1127" t="str">
        <f t="shared" si="103"/>
        <v>1</v>
      </c>
      <c r="G1127" t="str">
        <f t="shared" si="104"/>
        <v>2</v>
      </c>
      <c r="H1127" t="str">
        <f t="shared" si="105"/>
        <v>3</v>
      </c>
      <c r="I1127" t="str">
        <f t="shared" si="106"/>
        <v/>
      </c>
      <c r="J1127" t="str">
        <f t="shared" ca="1" si="107"/>
        <v>3</v>
      </c>
    </row>
    <row r="1128" spans="1:10" ht="18.75" x14ac:dyDescent="0.25">
      <c r="A1128" s="11" t="s">
        <v>2525</v>
      </c>
      <c r="B1128">
        <f>IFERROR(COUNTIFS($A$1:A1128,"Câu "&amp;"*")-MID(A1128,5,FIND(".",A1128,1)-5),0)</f>
        <v>0</v>
      </c>
      <c r="C1128" t="b">
        <v>0</v>
      </c>
      <c r="E1128" t="str">
        <f t="shared" si="102"/>
        <v>1</v>
      </c>
      <c r="F1128" t="str">
        <f t="shared" si="103"/>
        <v>2</v>
      </c>
      <c r="G1128" t="str">
        <f t="shared" si="104"/>
        <v>3</v>
      </c>
      <c r="H1128" t="str">
        <f t="shared" si="105"/>
        <v/>
      </c>
      <c r="I1128" t="str">
        <f t="shared" si="106"/>
        <v>1</v>
      </c>
      <c r="J1128" t="str">
        <f t="shared" ca="1" si="107"/>
        <v/>
      </c>
    </row>
    <row r="1129" spans="1:10" ht="18.75" x14ac:dyDescent="0.25">
      <c r="A1129" s="11" t="s">
        <v>2526</v>
      </c>
      <c r="B1129">
        <f>IFERROR(COUNTIFS($A$1:A1129,"Câu "&amp;"*")-MID(A1129,5,FIND(".",A1129,1)-5),0)</f>
        <v>0</v>
      </c>
      <c r="C1129" t="b">
        <v>0</v>
      </c>
      <c r="E1129" t="str">
        <f t="shared" si="102"/>
        <v>2</v>
      </c>
      <c r="F1129" t="str">
        <f t="shared" si="103"/>
        <v>3</v>
      </c>
      <c r="G1129" t="str">
        <f t="shared" si="104"/>
        <v>Câu 274.</v>
      </c>
      <c r="H1129" t="str">
        <f t="shared" si="105"/>
        <v>1</v>
      </c>
      <c r="I1129" t="str">
        <f t="shared" si="106"/>
        <v>2</v>
      </c>
      <c r="J1129" t="str">
        <f t="shared" ca="1" si="107"/>
        <v/>
      </c>
    </row>
    <row r="1130" spans="1:10" ht="18.75" x14ac:dyDescent="0.25">
      <c r="A1130" s="11" t="s">
        <v>1825</v>
      </c>
      <c r="B1130">
        <f>IFERROR(COUNTIFS($A$1:A1130,"Câu "&amp;"*")-MID(A1130,5,FIND(".",A1130,1)-5),0)</f>
        <v>0</v>
      </c>
      <c r="C1130" t="b">
        <v>1</v>
      </c>
      <c r="E1130" t="str">
        <f t="shared" si="102"/>
        <v>3</v>
      </c>
      <c r="F1130" t="str">
        <f t="shared" si="103"/>
        <v>Câu 274.</v>
      </c>
      <c r="G1130" t="str">
        <f t="shared" si="104"/>
        <v>1</v>
      </c>
      <c r="H1130" t="str">
        <f t="shared" si="105"/>
        <v>2</v>
      </c>
      <c r="I1130" t="str">
        <f t="shared" si="106"/>
        <v>3</v>
      </c>
      <c r="J1130" t="str">
        <f t="shared" ca="1" si="107"/>
        <v/>
      </c>
    </row>
    <row r="1131" spans="1:10" ht="18.75" x14ac:dyDescent="0.25">
      <c r="A1131" s="10" t="s">
        <v>968</v>
      </c>
      <c r="B1131">
        <f>IFERROR(COUNTIFS($A$1:A1131,"Câu "&amp;"*")-MID(A1131,5,FIND(".",A1131,1)-5),0)</f>
        <v>0</v>
      </c>
      <c r="C1131" t="b">
        <v>0</v>
      </c>
      <c r="E1131" t="str">
        <f t="shared" si="102"/>
        <v>Câu 274.</v>
      </c>
      <c r="F1131" t="str">
        <f t="shared" si="103"/>
        <v>1</v>
      </c>
      <c r="G1131" t="str">
        <f t="shared" si="104"/>
        <v>2</v>
      </c>
      <c r="H1131" t="str">
        <f t="shared" si="105"/>
        <v>3</v>
      </c>
      <c r="I1131" t="str">
        <f t="shared" si="106"/>
        <v/>
      </c>
      <c r="J1131" t="str">
        <f t="shared" ca="1" si="107"/>
        <v>1</v>
      </c>
    </row>
    <row r="1132" spans="1:10" ht="409.5" x14ac:dyDescent="0.25">
      <c r="A1132" s="3" t="s">
        <v>2527</v>
      </c>
      <c r="B1132">
        <f>IFERROR(COUNTIFS($A$1:A1132,"Câu "&amp;"*")-MID(A1132,5,FIND(".",A1132,1)-5),0)</f>
        <v>0</v>
      </c>
      <c r="C1132" t="b">
        <v>1</v>
      </c>
      <c r="E1132" t="str">
        <f t="shared" si="102"/>
        <v>1</v>
      </c>
      <c r="F1132" t="str">
        <f t="shared" si="103"/>
        <v>2</v>
      </c>
      <c r="G1132" t="str">
        <f t="shared" si="104"/>
        <v>3</v>
      </c>
      <c r="H1132" t="str">
        <f t="shared" si="105"/>
        <v/>
      </c>
      <c r="I1132" t="str">
        <f t="shared" si="106"/>
        <v>1</v>
      </c>
      <c r="J1132" t="str">
        <f t="shared" ca="1" si="107"/>
        <v/>
      </c>
    </row>
    <row r="1133" spans="1:10" ht="409.5" x14ac:dyDescent="0.25">
      <c r="A1133" s="3" t="s">
        <v>2528</v>
      </c>
      <c r="B1133">
        <f>IFERROR(COUNTIFS($A$1:A1133,"Câu "&amp;"*")-MID(A1133,5,FIND(".",A1133,1)-5),0)</f>
        <v>0</v>
      </c>
      <c r="C1133" t="b">
        <v>0</v>
      </c>
      <c r="E1133" t="str">
        <f t="shared" si="102"/>
        <v>2</v>
      </c>
      <c r="F1133" t="str">
        <f t="shared" si="103"/>
        <v>3</v>
      </c>
      <c r="G1133" t="str">
        <f t="shared" si="104"/>
        <v>Câu 275.</v>
      </c>
      <c r="H1133" t="str">
        <f t="shared" si="105"/>
        <v>1</v>
      </c>
      <c r="I1133" t="str">
        <f t="shared" si="106"/>
        <v>2</v>
      </c>
      <c r="J1133" t="str">
        <f t="shared" ca="1" si="107"/>
        <v/>
      </c>
    </row>
    <row r="1134" spans="1:10" ht="37.5" x14ac:dyDescent="0.25">
      <c r="A1134" s="3" t="s">
        <v>1814</v>
      </c>
      <c r="B1134">
        <f>IFERROR(COUNTIFS($A$1:A1134,"Câu "&amp;"*")-MID(A1134,5,FIND(".",A1134,1)-5),0)</f>
        <v>0</v>
      </c>
      <c r="C1134" t="b">
        <v>0</v>
      </c>
      <c r="E1134" t="str">
        <f t="shared" si="102"/>
        <v>3</v>
      </c>
      <c r="F1134" t="str">
        <f t="shared" si="103"/>
        <v>Câu 275.</v>
      </c>
      <c r="G1134" t="str">
        <f t="shared" si="104"/>
        <v>1</v>
      </c>
      <c r="H1134" t="str">
        <f t="shared" si="105"/>
        <v>2</v>
      </c>
      <c r="I1134" t="str">
        <f t="shared" si="106"/>
        <v/>
      </c>
      <c r="J1134" t="str">
        <f t="shared" ca="1" si="107"/>
        <v/>
      </c>
    </row>
    <row r="1135" spans="1:10" ht="112.5" x14ac:dyDescent="0.25">
      <c r="A1135" s="4" t="s">
        <v>971</v>
      </c>
      <c r="B1135">
        <f>IFERROR(COUNTIFS($A$1:A1135,"Câu "&amp;"*")-MID(A1135,5,FIND(".",A1135,1)-5),0)</f>
        <v>0</v>
      </c>
      <c r="C1135" t="b">
        <v>0</v>
      </c>
      <c r="E1135" t="str">
        <f t="shared" si="102"/>
        <v>Câu 275.</v>
      </c>
      <c r="F1135" t="str">
        <f t="shared" si="103"/>
        <v>1</v>
      </c>
      <c r="G1135" t="str">
        <f t="shared" si="104"/>
        <v>2</v>
      </c>
      <c r="H1135" t="str">
        <f t="shared" si="105"/>
        <v/>
      </c>
      <c r="I1135" t="str">
        <f t="shared" si="106"/>
        <v>1</v>
      </c>
      <c r="J1135" t="str">
        <f t="shared" ca="1" si="107"/>
        <v>2</v>
      </c>
    </row>
    <row r="1136" spans="1:10" ht="356.25" x14ac:dyDescent="0.25">
      <c r="A1136" s="3" t="s">
        <v>2529</v>
      </c>
      <c r="B1136">
        <f>IFERROR(COUNTIFS($A$1:A1136,"Câu "&amp;"*")-MID(A1136,5,FIND(".",A1136,1)-5),0)</f>
        <v>0</v>
      </c>
      <c r="C1136" t="b">
        <v>0</v>
      </c>
      <c r="E1136" t="str">
        <f t="shared" si="102"/>
        <v>1</v>
      </c>
      <c r="F1136" t="str">
        <f t="shared" si="103"/>
        <v>2</v>
      </c>
      <c r="G1136" t="str">
        <f t="shared" si="104"/>
        <v>Câu 276.</v>
      </c>
      <c r="H1136" t="str">
        <f t="shared" si="105"/>
        <v>1</v>
      </c>
      <c r="I1136" t="str">
        <f t="shared" si="106"/>
        <v>2</v>
      </c>
      <c r="J1136" t="str">
        <f t="shared" ca="1" si="107"/>
        <v/>
      </c>
    </row>
    <row r="1137" spans="1:10" ht="356.25" x14ac:dyDescent="0.25">
      <c r="A1137" s="3" t="s">
        <v>2530</v>
      </c>
      <c r="B1137">
        <f>IFERROR(COUNTIFS($A$1:A1137,"Câu "&amp;"*")-MID(A1137,5,FIND(".",A1137,1)-5),0)</f>
        <v>0</v>
      </c>
      <c r="C1137" t="b">
        <v>1</v>
      </c>
      <c r="E1137" t="str">
        <f t="shared" si="102"/>
        <v>2</v>
      </c>
      <c r="F1137" t="str">
        <f t="shared" si="103"/>
        <v>Câu 276.</v>
      </c>
      <c r="G1137" t="str">
        <f t="shared" si="104"/>
        <v>1</v>
      </c>
      <c r="H1137" t="str">
        <f t="shared" si="105"/>
        <v>2</v>
      </c>
      <c r="I1137" t="str">
        <f t="shared" si="106"/>
        <v>3</v>
      </c>
      <c r="J1137" t="str">
        <f t="shared" ca="1" si="107"/>
        <v/>
      </c>
    </row>
    <row r="1138" spans="1:10" ht="187.5" x14ac:dyDescent="0.25">
      <c r="A1138" s="4" t="s">
        <v>974</v>
      </c>
      <c r="B1138">
        <f>IFERROR(COUNTIFS($A$1:A1138,"Câu "&amp;"*")-MID(A1138,5,FIND(".",A1138,1)-5),0)</f>
        <v>0</v>
      </c>
      <c r="C1138" t="b">
        <v>0</v>
      </c>
      <c r="E1138" t="str">
        <f t="shared" si="102"/>
        <v>Câu 276.</v>
      </c>
      <c r="F1138" t="str">
        <f t="shared" si="103"/>
        <v>1</v>
      </c>
      <c r="G1138" t="str">
        <f t="shared" si="104"/>
        <v>2</v>
      </c>
      <c r="H1138" t="str">
        <f t="shared" si="105"/>
        <v>3</v>
      </c>
      <c r="I1138" t="str">
        <f t="shared" si="106"/>
        <v/>
      </c>
      <c r="J1138" t="str">
        <f t="shared" ca="1" si="107"/>
        <v>1</v>
      </c>
    </row>
    <row r="1139" spans="1:10" ht="409.5" x14ac:dyDescent="0.25">
      <c r="A1139" s="3" t="s">
        <v>2531</v>
      </c>
      <c r="B1139">
        <f>IFERROR(COUNTIFS($A$1:A1139,"Câu "&amp;"*")-MID(A1139,5,FIND(".",A1139,1)-5),0)</f>
        <v>0</v>
      </c>
      <c r="C1139" t="b">
        <v>1</v>
      </c>
      <c r="E1139" t="str">
        <f t="shared" si="102"/>
        <v>1</v>
      </c>
      <c r="F1139" t="str">
        <f t="shared" si="103"/>
        <v>2</v>
      </c>
      <c r="G1139" t="str">
        <f t="shared" si="104"/>
        <v>3</v>
      </c>
      <c r="H1139" t="str">
        <f t="shared" si="105"/>
        <v/>
      </c>
      <c r="I1139" t="str">
        <f t="shared" si="106"/>
        <v>1</v>
      </c>
      <c r="J1139" t="str">
        <f t="shared" ca="1" si="107"/>
        <v/>
      </c>
    </row>
    <row r="1140" spans="1:10" ht="187.5" x14ac:dyDescent="0.25">
      <c r="A1140" s="3" t="s">
        <v>2532</v>
      </c>
      <c r="B1140">
        <f>IFERROR(COUNTIFS($A$1:A1140,"Câu "&amp;"*")-MID(A1140,5,FIND(".",A1140,1)-5),0)</f>
        <v>0</v>
      </c>
      <c r="C1140" t="b">
        <v>0</v>
      </c>
      <c r="E1140" t="str">
        <f t="shared" si="102"/>
        <v>2</v>
      </c>
      <c r="F1140" t="str">
        <f t="shared" si="103"/>
        <v>3</v>
      </c>
      <c r="G1140" t="str">
        <f t="shared" si="104"/>
        <v>Câu 277.</v>
      </c>
      <c r="H1140" t="str">
        <f t="shared" si="105"/>
        <v>1</v>
      </c>
      <c r="I1140" t="str">
        <f t="shared" si="106"/>
        <v>2</v>
      </c>
      <c r="J1140" t="str">
        <f t="shared" ca="1" si="107"/>
        <v/>
      </c>
    </row>
    <row r="1141" spans="1:10" ht="37.5" x14ac:dyDescent="0.25">
      <c r="A1141" s="3" t="s">
        <v>1814</v>
      </c>
      <c r="B1141">
        <f>IFERROR(COUNTIFS($A$1:A1141,"Câu "&amp;"*")-MID(A1141,5,FIND(".",A1141,1)-5),0)</f>
        <v>0</v>
      </c>
      <c r="C1141" t="b">
        <v>0</v>
      </c>
      <c r="E1141" t="str">
        <f t="shared" si="102"/>
        <v>3</v>
      </c>
      <c r="F1141" t="str">
        <f t="shared" si="103"/>
        <v>Câu 277.</v>
      </c>
      <c r="G1141" t="str">
        <f t="shared" si="104"/>
        <v>1</v>
      </c>
      <c r="H1141" t="str">
        <f t="shared" si="105"/>
        <v>2</v>
      </c>
      <c r="I1141" t="str">
        <f t="shared" si="106"/>
        <v>3</v>
      </c>
      <c r="J1141" t="str">
        <f t="shared" ca="1" si="107"/>
        <v/>
      </c>
    </row>
    <row r="1142" spans="1:10" ht="281.25" x14ac:dyDescent="0.25">
      <c r="A1142" s="4" t="s">
        <v>977</v>
      </c>
      <c r="B1142">
        <f>IFERROR(COUNTIFS($A$1:A1142,"Câu "&amp;"*")-MID(A1142,5,FIND(".",A1142,1)-5),0)</f>
        <v>0</v>
      </c>
      <c r="C1142" t="b">
        <v>0</v>
      </c>
      <c r="E1142" t="str">
        <f t="shared" si="102"/>
        <v>Câu 277.</v>
      </c>
      <c r="F1142" t="str">
        <f t="shared" si="103"/>
        <v>1</v>
      </c>
      <c r="G1142" t="str">
        <f t="shared" si="104"/>
        <v>2</v>
      </c>
      <c r="H1142" t="str">
        <f t="shared" si="105"/>
        <v>3</v>
      </c>
      <c r="I1142" t="str">
        <f t="shared" si="106"/>
        <v/>
      </c>
      <c r="J1142" t="str">
        <f t="shared" ca="1" si="107"/>
        <v>3</v>
      </c>
    </row>
    <row r="1143" spans="1:10" ht="18.75" x14ac:dyDescent="0.25">
      <c r="A1143" s="11" t="s">
        <v>2533</v>
      </c>
      <c r="B1143">
        <f>IFERROR(COUNTIFS($A$1:A1143,"Câu "&amp;"*")-MID(A1143,5,FIND(".",A1143,1)-5),0)</f>
        <v>0</v>
      </c>
      <c r="C1143" t="b">
        <v>0</v>
      </c>
      <c r="E1143" t="str">
        <f t="shared" si="102"/>
        <v>1</v>
      </c>
      <c r="F1143" t="str">
        <f t="shared" si="103"/>
        <v>2</v>
      </c>
      <c r="G1143" t="str">
        <f t="shared" si="104"/>
        <v>3</v>
      </c>
      <c r="H1143" t="str">
        <f t="shared" si="105"/>
        <v/>
      </c>
      <c r="I1143" t="str">
        <f t="shared" si="106"/>
        <v>1</v>
      </c>
      <c r="J1143" t="str">
        <f t="shared" ca="1" si="107"/>
        <v/>
      </c>
    </row>
    <row r="1144" spans="1:10" ht="18.75" x14ac:dyDescent="0.25">
      <c r="A1144" s="11" t="s">
        <v>2534</v>
      </c>
      <c r="B1144">
        <f>IFERROR(COUNTIFS($A$1:A1144,"Câu "&amp;"*")-MID(A1144,5,FIND(".",A1144,1)-5),0)</f>
        <v>0</v>
      </c>
      <c r="C1144" t="b">
        <v>0</v>
      </c>
      <c r="E1144" t="str">
        <f t="shared" si="102"/>
        <v>2</v>
      </c>
      <c r="F1144" t="str">
        <f t="shared" si="103"/>
        <v>3</v>
      </c>
      <c r="G1144" t="str">
        <f t="shared" si="104"/>
        <v>Câu 278.</v>
      </c>
      <c r="H1144" t="str">
        <f t="shared" si="105"/>
        <v>1</v>
      </c>
      <c r="I1144" t="str">
        <f t="shared" si="106"/>
        <v>2</v>
      </c>
      <c r="J1144" t="str">
        <f t="shared" ca="1" si="107"/>
        <v/>
      </c>
    </row>
    <row r="1145" spans="1:10" ht="18.75" x14ac:dyDescent="0.25">
      <c r="A1145" s="11" t="s">
        <v>2535</v>
      </c>
      <c r="B1145">
        <f>IFERROR(COUNTIFS($A$1:A1145,"Câu "&amp;"*")-MID(A1145,5,FIND(".",A1145,1)-5),0)</f>
        <v>0</v>
      </c>
      <c r="C1145" t="b">
        <v>1</v>
      </c>
      <c r="E1145" t="str">
        <f t="shared" si="102"/>
        <v>3</v>
      </c>
      <c r="F1145" t="str">
        <f t="shared" si="103"/>
        <v>Câu 278.</v>
      </c>
      <c r="G1145" t="str">
        <f t="shared" si="104"/>
        <v>1</v>
      </c>
      <c r="H1145" t="str">
        <f t="shared" si="105"/>
        <v>2</v>
      </c>
      <c r="I1145" t="str">
        <f t="shared" si="106"/>
        <v>3</v>
      </c>
      <c r="J1145" t="str">
        <f t="shared" ca="1" si="107"/>
        <v/>
      </c>
    </row>
    <row r="1146" spans="1:10" ht="18.75" x14ac:dyDescent="0.25">
      <c r="A1146" s="10" t="s">
        <v>981</v>
      </c>
      <c r="B1146">
        <f>IFERROR(COUNTIFS($A$1:A1146,"Câu "&amp;"*")-MID(A1146,5,FIND(".",A1146,1)-5),0)</f>
        <v>0</v>
      </c>
      <c r="C1146" t="b">
        <v>0</v>
      </c>
      <c r="E1146" t="str">
        <f t="shared" si="102"/>
        <v>Câu 278.</v>
      </c>
      <c r="F1146" t="str">
        <f t="shared" si="103"/>
        <v>1</v>
      </c>
      <c r="G1146" t="str">
        <f t="shared" si="104"/>
        <v>2</v>
      </c>
      <c r="H1146" t="str">
        <f t="shared" si="105"/>
        <v>3</v>
      </c>
      <c r="I1146" t="str">
        <f t="shared" si="106"/>
        <v/>
      </c>
      <c r="J1146" t="str">
        <f t="shared" ca="1" si="107"/>
        <v>2</v>
      </c>
    </row>
    <row r="1147" spans="1:10" ht="18.75" x14ac:dyDescent="0.25">
      <c r="A1147" s="11" t="s">
        <v>2536</v>
      </c>
      <c r="B1147">
        <f>IFERROR(COUNTIFS($A$1:A1147,"Câu "&amp;"*")-MID(A1147,5,FIND(".",A1147,1)-5),0)</f>
        <v>0</v>
      </c>
      <c r="C1147" t="b">
        <v>0</v>
      </c>
      <c r="E1147" t="str">
        <f t="shared" si="102"/>
        <v>1</v>
      </c>
      <c r="F1147" t="str">
        <f t="shared" si="103"/>
        <v>2</v>
      </c>
      <c r="G1147" t="str">
        <f t="shared" si="104"/>
        <v>3</v>
      </c>
      <c r="H1147" t="str">
        <f t="shared" si="105"/>
        <v/>
      </c>
      <c r="I1147" t="str">
        <f t="shared" si="106"/>
        <v>1</v>
      </c>
      <c r="J1147" t="str">
        <f t="shared" ca="1" si="107"/>
        <v/>
      </c>
    </row>
    <row r="1148" spans="1:10" ht="18.75" x14ac:dyDescent="0.25">
      <c r="A1148" s="11" t="s">
        <v>2537</v>
      </c>
      <c r="B1148">
        <f>IFERROR(COUNTIFS($A$1:A1148,"Câu "&amp;"*")-MID(A1148,5,FIND(".",A1148,1)-5),0)</f>
        <v>0</v>
      </c>
      <c r="C1148" t="b">
        <v>1</v>
      </c>
      <c r="E1148" t="str">
        <f t="shared" si="102"/>
        <v>2</v>
      </c>
      <c r="F1148" t="str">
        <f t="shared" si="103"/>
        <v>3</v>
      </c>
      <c r="G1148" t="str">
        <f t="shared" si="104"/>
        <v>Câu 279.</v>
      </c>
      <c r="H1148" t="str">
        <f t="shared" si="105"/>
        <v>1</v>
      </c>
      <c r="I1148" t="str">
        <f t="shared" si="106"/>
        <v>2</v>
      </c>
      <c r="J1148" t="str">
        <f t="shared" ca="1" si="107"/>
        <v/>
      </c>
    </row>
    <row r="1149" spans="1:10" ht="18.75" x14ac:dyDescent="0.25">
      <c r="A1149" s="11" t="s">
        <v>2538</v>
      </c>
      <c r="B1149">
        <f>IFERROR(COUNTIFS($A$1:A1149,"Câu "&amp;"*")-MID(A1149,5,FIND(".",A1149,1)-5),0)</f>
        <v>0</v>
      </c>
      <c r="C1149" t="b">
        <v>0</v>
      </c>
      <c r="E1149" t="str">
        <f t="shared" si="102"/>
        <v>3</v>
      </c>
      <c r="F1149" t="str">
        <f t="shared" si="103"/>
        <v>Câu 279.</v>
      </c>
      <c r="G1149" t="str">
        <f t="shared" si="104"/>
        <v>1</v>
      </c>
      <c r="H1149" t="str">
        <f t="shared" si="105"/>
        <v>2</v>
      </c>
      <c r="I1149" t="str">
        <f t="shared" si="106"/>
        <v>3</v>
      </c>
      <c r="J1149" t="str">
        <f t="shared" ca="1" si="107"/>
        <v/>
      </c>
    </row>
    <row r="1150" spans="1:10" ht="18.75" x14ac:dyDescent="0.25">
      <c r="A1150" s="10" t="s">
        <v>985</v>
      </c>
      <c r="B1150">
        <f>IFERROR(COUNTIFS($A$1:A1150,"Câu "&amp;"*")-MID(A1150,5,FIND(".",A1150,1)-5),0)</f>
        <v>0</v>
      </c>
      <c r="C1150" t="b">
        <v>0</v>
      </c>
      <c r="E1150" t="str">
        <f t="shared" si="102"/>
        <v>Câu 279.</v>
      </c>
      <c r="F1150" t="str">
        <f t="shared" si="103"/>
        <v>1</v>
      </c>
      <c r="G1150" t="str">
        <f t="shared" si="104"/>
        <v>2</v>
      </c>
      <c r="H1150" t="str">
        <f t="shared" si="105"/>
        <v>3</v>
      </c>
      <c r="I1150" t="str">
        <f t="shared" si="106"/>
        <v/>
      </c>
      <c r="J1150" t="str">
        <f t="shared" ca="1" si="107"/>
        <v>1</v>
      </c>
    </row>
    <row r="1151" spans="1:10" ht="409.5" x14ac:dyDescent="0.25">
      <c r="A1151" s="3" t="s">
        <v>2539</v>
      </c>
      <c r="B1151">
        <f>IFERROR(COUNTIFS($A$1:A1151,"Câu "&amp;"*")-MID(A1151,5,FIND(".",A1151,1)-5),0)</f>
        <v>0</v>
      </c>
      <c r="C1151" t="b">
        <v>1</v>
      </c>
      <c r="E1151" t="str">
        <f t="shared" si="102"/>
        <v>1</v>
      </c>
      <c r="F1151" t="str">
        <f t="shared" si="103"/>
        <v>2</v>
      </c>
      <c r="G1151" t="str">
        <f t="shared" si="104"/>
        <v>3</v>
      </c>
      <c r="H1151" t="str">
        <f t="shared" si="105"/>
        <v/>
      </c>
      <c r="I1151" t="str">
        <f t="shared" si="106"/>
        <v>1</v>
      </c>
      <c r="J1151" t="str">
        <f t="shared" ca="1" si="107"/>
        <v/>
      </c>
    </row>
    <row r="1152" spans="1:10" ht="356.25" x14ac:dyDescent="0.25">
      <c r="A1152" s="3" t="s">
        <v>2540</v>
      </c>
      <c r="B1152">
        <f>IFERROR(COUNTIFS($A$1:A1152,"Câu "&amp;"*")-MID(A1152,5,FIND(".",A1152,1)-5),0)</f>
        <v>0</v>
      </c>
      <c r="C1152" t="b">
        <v>0</v>
      </c>
      <c r="E1152" t="str">
        <f t="shared" si="102"/>
        <v>2</v>
      </c>
      <c r="F1152" t="str">
        <f t="shared" si="103"/>
        <v>3</v>
      </c>
      <c r="G1152" t="str">
        <f t="shared" si="104"/>
        <v>Câu 280.</v>
      </c>
      <c r="H1152" t="str">
        <f t="shared" si="105"/>
        <v>1</v>
      </c>
      <c r="I1152" t="str">
        <f t="shared" si="106"/>
        <v>2</v>
      </c>
      <c r="J1152" t="str">
        <f t="shared" ca="1" si="107"/>
        <v/>
      </c>
    </row>
    <row r="1153" spans="1:10" ht="37.5" x14ac:dyDescent="0.25">
      <c r="A1153" s="3" t="s">
        <v>1814</v>
      </c>
      <c r="B1153">
        <f>IFERROR(COUNTIFS($A$1:A1153,"Câu "&amp;"*")-MID(A1153,5,FIND(".",A1153,1)-5),0)</f>
        <v>0</v>
      </c>
      <c r="C1153" t="b">
        <v>0</v>
      </c>
      <c r="E1153" t="str">
        <f t="shared" si="102"/>
        <v>3</v>
      </c>
      <c r="F1153" t="str">
        <f t="shared" si="103"/>
        <v>Câu 280.</v>
      </c>
      <c r="G1153" t="str">
        <f t="shared" si="104"/>
        <v>1</v>
      </c>
      <c r="H1153" t="str">
        <f t="shared" si="105"/>
        <v>2</v>
      </c>
      <c r="I1153" t="str">
        <f t="shared" si="106"/>
        <v>3</v>
      </c>
      <c r="J1153" t="str">
        <f t="shared" ca="1" si="107"/>
        <v/>
      </c>
    </row>
    <row r="1154" spans="1:10" ht="18.75" x14ac:dyDescent="0.25">
      <c r="A1154" s="10" t="s">
        <v>988</v>
      </c>
      <c r="B1154">
        <f>IFERROR(COUNTIFS($A$1:A1154,"Câu "&amp;"*")-MID(A1154,5,FIND(".",A1154,1)-5),0)</f>
        <v>0</v>
      </c>
      <c r="C1154" t="b">
        <v>0</v>
      </c>
      <c r="E1154" t="str">
        <f t="shared" si="102"/>
        <v>Câu 280.</v>
      </c>
      <c r="F1154" t="str">
        <f t="shared" si="103"/>
        <v>1</v>
      </c>
      <c r="G1154" t="str">
        <f t="shared" si="104"/>
        <v>2</v>
      </c>
      <c r="H1154" t="str">
        <f t="shared" si="105"/>
        <v>3</v>
      </c>
      <c r="I1154" t="str">
        <f t="shared" si="106"/>
        <v/>
      </c>
      <c r="J1154" t="str">
        <f t="shared" ca="1" si="107"/>
        <v>1</v>
      </c>
    </row>
    <row r="1155" spans="1:10" ht="18.75" x14ac:dyDescent="0.25">
      <c r="A1155" s="11" t="s">
        <v>2541</v>
      </c>
      <c r="B1155">
        <f>IFERROR(COUNTIFS($A$1:A1155,"Câu "&amp;"*")-MID(A1155,5,FIND(".",A1155,1)-5),0)</f>
        <v>0</v>
      </c>
      <c r="C1155" t="b">
        <v>1</v>
      </c>
      <c r="E1155" t="str">
        <f t="shared" ref="E1155:E1218" si="108">IF(LEFT(A1155,3)="Câu",LEFT(A1155,FIND(".",A1155,1)),LEFT(A1155,1))</f>
        <v>1</v>
      </c>
      <c r="F1155" t="str">
        <f t="shared" ref="F1155:F1218" si="109">IF(LEFT(A1156,3)="Câu",LEFT(A1156,FIND(".",A1156,1)),LEFT(A1156,1))</f>
        <v>2</v>
      </c>
      <c r="G1155" t="str">
        <f t="shared" ref="G1155:G1218" si="110">IF(LEFT(A1157,3)="Câu",LEFT(A1157,FIND(".",A1157,1)),LEFT(A1157,1))</f>
        <v>3</v>
      </c>
      <c r="H1155" t="str">
        <f t="shared" ref="H1155:H1218" si="111">IF(LEFT(A1158,3)="Câu","",LEFT(A1158,1))</f>
        <v/>
      </c>
      <c r="I1155" t="str">
        <f t="shared" ref="I1155:I1218" si="112">IF(LEFT(A1159,3)="Câu","",LEFT(A1159,1))</f>
        <v>1</v>
      </c>
      <c r="J1155" t="str">
        <f t="shared" ref="J1155:J1218" ca="1" si="113">IFERROR(VLOOKUP(TRUE,INDIRECT("C"&amp;MATCH(E1155,$E$1:$E$2471,0)&amp;":E"&amp;MATCH("Câu "&amp;VALUE(MID(E1155,5,LEN(E1155)-5))+1&amp;".",$E$1:$E$2471,0)),3,0),"")</f>
        <v/>
      </c>
    </row>
    <row r="1156" spans="1:10" ht="18.75" x14ac:dyDescent="0.25">
      <c r="A1156" s="11" t="s">
        <v>2542</v>
      </c>
      <c r="B1156">
        <f>IFERROR(COUNTIFS($A$1:A1156,"Câu "&amp;"*")-MID(A1156,5,FIND(".",A1156,1)-5),0)</f>
        <v>0</v>
      </c>
      <c r="C1156" t="b">
        <v>0</v>
      </c>
      <c r="E1156" t="str">
        <f t="shared" si="108"/>
        <v>2</v>
      </c>
      <c r="F1156" t="str">
        <f t="shared" si="109"/>
        <v>3</v>
      </c>
      <c r="G1156" t="str">
        <f t="shared" si="110"/>
        <v>Câu 281.</v>
      </c>
      <c r="H1156" t="str">
        <f t="shared" si="111"/>
        <v>1</v>
      </c>
      <c r="I1156" t="str">
        <f t="shared" si="112"/>
        <v>2</v>
      </c>
      <c r="J1156" t="str">
        <f t="shared" ca="1" si="113"/>
        <v/>
      </c>
    </row>
    <row r="1157" spans="1:10" ht="18.75" x14ac:dyDescent="0.25">
      <c r="A1157" s="11" t="s">
        <v>2543</v>
      </c>
      <c r="B1157">
        <f>IFERROR(COUNTIFS($A$1:A1157,"Câu "&amp;"*")-MID(A1157,5,FIND(".",A1157,1)-5),0)</f>
        <v>0</v>
      </c>
      <c r="C1157" t="b">
        <v>0</v>
      </c>
      <c r="E1157" t="str">
        <f t="shared" si="108"/>
        <v>3</v>
      </c>
      <c r="F1157" t="str">
        <f t="shared" si="109"/>
        <v>Câu 281.</v>
      </c>
      <c r="G1157" t="str">
        <f t="shared" si="110"/>
        <v>1</v>
      </c>
      <c r="H1157" t="str">
        <f t="shared" si="111"/>
        <v>2</v>
      </c>
      <c r="I1157" t="str">
        <f t="shared" si="112"/>
        <v>3</v>
      </c>
      <c r="J1157" t="str">
        <f t="shared" ca="1" si="113"/>
        <v/>
      </c>
    </row>
    <row r="1158" spans="1:10" ht="18.75" x14ac:dyDescent="0.25">
      <c r="A1158" s="10" t="s">
        <v>992</v>
      </c>
      <c r="B1158">
        <f>IFERROR(COUNTIFS($A$1:A1158,"Câu "&amp;"*")-MID(A1158,5,FIND(".",A1158,1)-5),0)</f>
        <v>0</v>
      </c>
      <c r="C1158" t="b">
        <v>0</v>
      </c>
      <c r="E1158" t="str">
        <f t="shared" si="108"/>
        <v>Câu 281.</v>
      </c>
      <c r="F1158" t="str">
        <f t="shared" si="109"/>
        <v>1</v>
      </c>
      <c r="G1158" t="str">
        <f t="shared" si="110"/>
        <v>2</v>
      </c>
      <c r="H1158" t="str">
        <f t="shared" si="111"/>
        <v>3</v>
      </c>
      <c r="I1158" t="str">
        <f t="shared" si="112"/>
        <v/>
      </c>
      <c r="J1158" t="str">
        <f t="shared" ca="1" si="113"/>
        <v>2</v>
      </c>
    </row>
    <row r="1159" spans="1:10" ht="18.75" x14ac:dyDescent="0.25">
      <c r="A1159" s="11" t="s">
        <v>2544</v>
      </c>
      <c r="B1159">
        <f>IFERROR(COUNTIFS($A$1:A1159,"Câu "&amp;"*")-MID(A1159,5,FIND(".",A1159,1)-5),0)</f>
        <v>0</v>
      </c>
      <c r="C1159" t="b">
        <v>0</v>
      </c>
      <c r="E1159" t="str">
        <f t="shared" si="108"/>
        <v>1</v>
      </c>
      <c r="F1159" t="str">
        <f t="shared" si="109"/>
        <v>2</v>
      </c>
      <c r="G1159" t="str">
        <f t="shared" si="110"/>
        <v>3</v>
      </c>
      <c r="H1159" t="str">
        <f t="shared" si="111"/>
        <v/>
      </c>
      <c r="I1159" t="str">
        <f t="shared" si="112"/>
        <v>1</v>
      </c>
      <c r="J1159" t="str">
        <f t="shared" ca="1" si="113"/>
        <v/>
      </c>
    </row>
    <row r="1160" spans="1:10" ht="18.75" x14ac:dyDescent="0.25">
      <c r="A1160" s="11" t="s">
        <v>2545</v>
      </c>
      <c r="B1160">
        <f>IFERROR(COUNTIFS($A$1:A1160,"Câu "&amp;"*")-MID(A1160,5,FIND(".",A1160,1)-5),0)</f>
        <v>0</v>
      </c>
      <c r="C1160" t="b">
        <v>1</v>
      </c>
      <c r="E1160" t="str">
        <f t="shared" si="108"/>
        <v>2</v>
      </c>
      <c r="F1160" t="str">
        <f t="shared" si="109"/>
        <v>3</v>
      </c>
      <c r="G1160" t="str">
        <f t="shared" si="110"/>
        <v>Câu 282.</v>
      </c>
      <c r="H1160" t="str">
        <f t="shared" si="111"/>
        <v>1</v>
      </c>
      <c r="I1160" t="str">
        <f t="shared" si="112"/>
        <v>2</v>
      </c>
      <c r="J1160" t="str">
        <f t="shared" ca="1" si="113"/>
        <v/>
      </c>
    </row>
    <row r="1161" spans="1:10" ht="18.75" x14ac:dyDescent="0.25">
      <c r="A1161" s="11" t="s">
        <v>2546</v>
      </c>
      <c r="B1161">
        <f>IFERROR(COUNTIFS($A$1:A1161,"Câu "&amp;"*")-MID(A1161,5,FIND(".",A1161,1)-5),0)</f>
        <v>0</v>
      </c>
      <c r="C1161" t="b">
        <v>0</v>
      </c>
      <c r="E1161" t="str">
        <f t="shared" si="108"/>
        <v>3</v>
      </c>
      <c r="F1161" t="str">
        <f t="shared" si="109"/>
        <v>Câu 282.</v>
      </c>
      <c r="G1161" t="str">
        <f t="shared" si="110"/>
        <v>1</v>
      </c>
      <c r="H1161" t="str">
        <f t="shared" si="111"/>
        <v>2</v>
      </c>
      <c r="I1161" t="str">
        <f t="shared" si="112"/>
        <v>3</v>
      </c>
      <c r="J1161" t="str">
        <f t="shared" ca="1" si="113"/>
        <v/>
      </c>
    </row>
    <row r="1162" spans="1:10" ht="18.75" x14ac:dyDescent="0.25">
      <c r="A1162" s="10" t="s">
        <v>996</v>
      </c>
      <c r="B1162">
        <f>IFERROR(COUNTIFS($A$1:A1162,"Câu "&amp;"*")-MID(A1162,5,FIND(".",A1162,1)-5),0)</f>
        <v>0</v>
      </c>
      <c r="C1162" t="b">
        <v>0</v>
      </c>
      <c r="E1162" t="str">
        <f t="shared" si="108"/>
        <v>Câu 282.</v>
      </c>
      <c r="F1162" t="str">
        <f t="shared" si="109"/>
        <v>1</v>
      </c>
      <c r="G1162" t="str">
        <f t="shared" si="110"/>
        <v>2</v>
      </c>
      <c r="H1162" t="str">
        <f t="shared" si="111"/>
        <v>3</v>
      </c>
      <c r="I1162" t="str">
        <f t="shared" si="112"/>
        <v/>
      </c>
      <c r="J1162" t="str">
        <f t="shared" ca="1" si="113"/>
        <v>3</v>
      </c>
    </row>
    <row r="1163" spans="1:10" ht="409.5" x14ac:dyDescent="0.25">
      <c r="A1163" s="3" t="s">
        <v>2547</v>
      </c>
      <c r="B1163">
        <f>IFERROR(COUNTIFS($A$1:A1163,"Câu "&amp;"*")-MID(A1163,5,FIND(".",A1163,1)-5),0)</f>
        <v>0</v>
      </c>
      <c r="C1163" t="b">
        <v>0</v>
      </c>
      <c r="E1163" t="str">
        <f t="shared" si="108"/>
        <v>1</v>
      </c>
      <c r="F1163" t="str">
        <f t="shared" si="109"/>
        <v>2</v>
      </c>
      <c r="G1163" t="str">
        <f t="shared" si="110"/>
        <v>3</v>
      </c>
      <c r="H1163" t="str">
        <f t="shared" si="111"/>
        <v/>
      </c>
      <c r="I1163" t="str">
        <f t="shared" si="112"/>
        <v>1</v>
      </c>
      <c r="J1163" t="str">
        <f t="shared" ca="1" si="113"/>
        <v/>
      </c>
    </row>
    <row r="1164" spans="1:10" ht="409.5" x14ac:dyDescent="0.25">
      <c r="A1164" s="3" t="s">
        <v>2548</v>
      </c>
      <c r="B1164">
        <f>IFERROR(COUNTIFS($A$1:A1164,"Câu "&amp;"*")-MID(A1164,5,FIND(".",A1164,1)-5),0)</f>
        <v>0</v>
      </c>
      <c r="C1164" t="b">
        <v>0</v>
      </c>
      <c r="E1164" t="str">
        <f t="shared" si="108"/>
        <v>2</v>
      </c>
      <c r="F1164" t="str">
        <f t="shared" si="109"/>
        <v>3</v>
      </c>
      <c r="G1164" t="str">
        <f t="shared" si="110"/>
        <v>Câu 283.</v>
      </c>
      <c r="H1164" t="str">
        <f t="shared" si="111"/>
        <v>1</v>
      </c>
      <c r="I1164" t="str">
        <f t="shared" si="112"/>
        <v>2</v>
      </c>
      <c r="J1164" t="str">
        <f t="shared" ca="1" si="113"/>
        <v/>
      </c>
    </row>
    <row r="1165" spans="1:10" ht="393.75" x14ac:dyDescent="0.25">
      <c r="A1165" s="3" t="s">
        <v>2549</v>
      </c>
      <c r="B1165">
        <f>IFERROR(COUNTIFS($A$1:A1165,"Câu "&amp;"*")-MID(A1165,5,FIND(".",A1165,1)-5),0)</f>
        <v>0</v>
      </c>
      <c r="C1165" t="b">
        <v>1</v>
      </c>
      <c r="E1165" t="str">
        <f t="shared" si="108"/>
        <v>3</v>
      </c>
      <c r="F1165" t="str">
        <f t="shared" si="109"/>
        <v>Câu 283.</v>
      </c>
      <c r="G1165" t="str">
        <f t="shared" si="110"/>
        <v>1</v>
      </c>
      <c r="H1165" t="str">
        <f t="shared" si="111"/>
        <v>2</v>
      </c>
      <c r="I1165" t="str">
        <f t="shared" si="112"/>
        <v>3</v>
      </c>
      <c r="J1165" t="str">
        <f t="shared" ca="1" si="113"/>
        <v/>
      </c>
    </row>
    <row r="1166" spans="1:10" ht="150" x14ac:dyDescent="0.25">
      <c r="A1166" s="4" t="s">
        <v>1000</v>
      </c>
      <c r="B1166">
        <f>IFERROR(COUNTIFS($A$1:A1166,"Câu "&amp;"*")-MID(A1166,5,FIND(".",A1166,1)-5),0)</f>
        <v>0</v>
      </c>
      <c r="C1166" t="b">
        <v>0</v>
      </c>
      <c r="E1166" t="str">
        <f t="shared" si="108"/>
        <v>Câu 283.</v>
      </c>
      <c r="F1166" t="str">
        <f t="shared" si="109"/>
        <v>1</v>
      </c>
      <c r="G1166" t="str">
        <f t="shared" si="110"/>
        <v>2</v>
      </c>
      <c r="H1166" t="str">
        <f t="shared" si="111"/>
        <v>3</v>
      </c>
      <c r="I1166" t="str">
        <f t="shared" si="112"/>
        <v/>
      </c>
      <c r="J1166" t="str">
        <f t="shared" ca="1" si="113"/>
        <v>3</v>
      </c>
    </row>
    <row r="1167" spans="1:10" ht="18.75" x14ac:dyDescent="0.25">
      <c r="A1167" s="11" t="s">
        <v>2550</v>
      </c>
      <c r="B1167">
        <f>IFERROR(COUNTIFS($A$1:A1167,"Câu "&amp;"*")-MID(A1167,5,FIND(".",A1167,1)-5),0)</f>
        <v>0</v>
      </c>
      <c r="C1167" t="b">
        <v>0</v>
      </c>
      <c r="E1167" t="str">
        <f t="shared" si="108"/>
        <v>1</v>
      </c>
      <c r="F1167" t="str">
        <f t="shared" si="109"/>
        <v>2</v>
      </c>
      <c r="G1167" t="str">
        <f t="shared" si="110"/>
        <v>3</v>
      </c>
      <c r="H1167" t="str">
        <f t="shared" si="111"/>
        <v/>
      </c>
      <c r="I1167" t="str">
        <f t="shared" si="112"/>
        <v>1</v>
      </c>
      <c r="J1167" t="str">
        <f t="shared" ca="1" si="113"/>
        <v/>
      </c>
    </row>
    <row r="1168" spans="1:10" ht="18.75" x14ac:dyDescent="0.25">
      <c r="A1168" s="11" t="s">
        <v>2551</v>
      </c>
      <c r="B1168">
        <f>IFERROR(COUNTIFS($A$1:A1168,"Câu "&amp;"*")-MID(A1168,5,FIND(".",A1168,1)-5),0)</f>
        <v>0</v>
      </c>
      <c r="C1168" t="b">
        <v>0</v>
      </c>
      <c r="E1168" t="str">
        <f t="shared" si="108"/>
        <v>2</v>
      </c>
      <c r="F1168" t="str">
        <f t="shared" si="109"/>
        <v>3</v>
      </c>
      <c r="G1168" t="str">
        <f t="shared" si="110"/>
        <v>Câu 284.</v>
      </c>
      <c r="H1168" t="str">
        <f t="shared" si="111"/>
        <v>1</v>
      </c>
      <c r="I1168" t="str">
        <f t="shared" si="112"/>
        <v>2</v>
      </c>
      <c r="J1168" t="str">
        <f t="shared" ca="1" si="113"/>
        <v/>
      </c>
    </row>
    <row r="1169" spans="1:10" ht="18.75" x14ac:dyDescent="0.25">
      <c r="A1169" s="11" t="s">
        <v>2552</v>
      </c>
      <c r="B1169">
        <f>IFERROR(COUNTIFS($A$1:A1169,"Câu "&amp;"*")-MID(A1169,5,FIND(".",A1169,1)-5),0)</f>
        <v>0</v>
      </c>
      <c r="C1169" t="b">
        <v>1</v>
      </c>
      <c r="E1169" t="str">
        <f t="shared" si="108"/>
        <v>3</v>
      </c>
      <c r="F1169" t="str">
        <f t="shared" si="109"/>
        <v>Câu 284.</v>
      </c>
      <c r="G1169" t="str">
        <f t="shared" si="110"/>
        <v>1</v>
      </c>
      <c r="H1169" t="str">
        <f t="shared" si="111"/>
        <v>2</v>
      </c>
      <c r="I1169" t="str">
        <f t="shared" si="112"/>
        <v>3</v>
      </c>
      <c r="J1169" t="str">
        <f t="shared" ca="1" si="113"/>
        <v/>
      </c>
    </row>
    <row r="1170" spans="1:10" ht="18.75" x14ac:dyDescent="0.25">
      <c r="A1170" s="10" t="s">
        <v>1004</v>
      </c>
      <c r="B1170">
        <f>IFERROR(COUNTIFS($A$1:A1170,"Câu "&amp;"*")-MID(A1170,5,FIND(".",A1170,1)-5),0)</f>
        <v>0</v>
      </c>
      <c r="C1170" t="b">
        <v>0</v>
      </c>
      <c r="E1170" t="str">
        <f t="shared" si="108"/>
        <v>Câu 284.</v>
      </c>
      <c r="F1170" t="str">
        <f t="shared" si="109"/>
        <v>1</v>
      </c>
      <c r="G1170" t="str">
        <f t="shared" si="110"/>
        <v>2</v>
      </c>
      <c r="H1170" t="str">
        <f t="shared" si="111"/>
        <v>3</v>
      </c>
      <c r="I1170" t="str">
        <f t="shared" si="112"/>
        <v/>
      </c>
      <c r="J1170" t="str">
        <f t="shared" ca="1" si="113"/>
        <v>1</v>
      </c>
    </row>
    <row r="1171" spans="1:10" ht="18.75" x14ac:dyDescent="0.25">
      <c r="A1171" s="11" t="s">
        <v>2553</v>
      </c>
      <c r="B1171">
        <f>IFERROR(COUNTIFS($A$1:A1171,"Câu "&amp;"*")-MID(A1171,5,FIND(".",A1171,1)-5),0)</f>
        <v>0</v>
      </c>
      <c r="C1171" t="b">
        <v>1</v>
      </c>
      <c r="E1171" t="str">
        <f t="shared" si="108"/>
        <v>1</v>
      </c>
      <c r="F1171" t="str">
        <f t="shared" si="109"/>
        <v>2</v>
      </c>
      <c r="G1171" t="str">
        <f t="shared" si="110"/>
        <v>3</v>
      </c>
      <c r="H1171" t="str">
        <f t="shared" si="111"/>
        <v/>
      </c>
      <c r="I1171" t="str">
        <f t="shared" si="112"/>
        <v>1</v>
      </c>
      <c r="J1171" t="str">
        <f t="shared" ca="1" si="113"/>
        <v/>
      </c>
    </row>
    <row r="1172" spans="1:10" ht="18.75" x14ac:dyDescent="0.25">
      <c r="A1172" s="11" t="s">
        <v>2542</v>
      </c>
      <c r="B1172">
        <f>IFERROR(COUNTIFS($A$1:A1172,"Câu "&amp;"*")-MID(A1172,5,FIND(".",A1172,1)-5),0)</f>
        <v>0</v>
      </c>
      <c r="C1172" t="b">
        <v>0</v>
      </c>
      <c r="E1172" t="str">
        <f t="shared" si="108"/>
        <v>2</v>
      </c>
      <c r="F1172" t="str">
        <f t="shared" si="109"/>
        <v>3</v>
      </c>
      <c r="G1172" t="str">
        <f t="shared" si="110"/>
        <v>Câu 285.</v>
      </c>
      <c r="H1172" t="str">
        <f t="shared" si="111"/>
        <v>1</v>
      </c>
      <c r="I1172" t="str">
        <f t="shared" si="112"/>
        <v>2</v>
      </c>
      <c r="J1172" t="str">
        <f t="shared" ca="1" si="113"/>
        <v/>
      </c>
    </row>
    <row r="1173" spans="1:10" ht="18.75" x14ac:dyDescent="0.25">
      <c r="A1173" s="11" t="s">
        <v>2554</v>
      </c>
      <c r="B1173">
        <f>IFERROR(COUNTIFS($A$1:A1173,"Câu "&amp;"*")-MID(A1173,5,FIND(".",A1173,1)-5),0)</f>
        <v>0</v>
      </c>
      <c r="C1173" t="b">
        <v>0</v>
      </c>
      <c r="E1173" t="str">
        <f t="shared" si="108"/>
        <v>3</v>
      </c>
      <c r="F1173" t="str">
        <f t="shared" si="109"/>
        <v>Câu 285.</v>
      </c>
      <c r="G1173" t="str">
        <f t="shared" si="110"/>
        <v>1</v>
      </c>
      <c r="H1173" t="str">
        <f t="shared" si="111"/>
        <v>2</v>
      </c>
      <c r="I1173" t="str">
        <f t="shared" si="112"/>
        <v>3</v>
      </c>
      <c r="J1173" t="str">
        <f t="shared" ca="1" si="113"/>
        <v/>
      </c>
    </row>
    <row r="1174" spans="1:10" ht="18.75" x14ac:dyDescent="0.25">
      <c r="A1174" s="10" t="s">
        <v>1007</v>
      </c>
      <c r="B1174">
        <f>IFERROR(COUNTIFS($A$1:A1174,"Câu "&amp;"*")-MID(A1174,5,FIND(".",A1174,1)-5),0)</f>
        <v>0</v>
      </c>
      <c r="C1174" t="b">
        <v>0</v>
      </c>
      <c r="E1174" t="str">
        <f t="shared" si="108"/>
        <v>Câu 285.</v>
      </c>
      <c r="F1174" t="str">
        <f t="shared" si="109"/>
        <v>1</v>
      </c>
      <c r="G1174" t="str">
        <f t="shared" si="110"/>
        <v>2</v>
      </c>
      <c r="H1174" t="str">
        <f t="shared" si="111"/>
        <v>3</v>
      </c>
      <c r="I1174" t="str">
        <f t="shared" si="112"/>
        <v/>
      </c>
      <c r="J1174" t="str">
        <f t="shared" ca="1" si="113"/>
        <v>3</v>
      </c>
    </row>
    <row r="1175" spans="1:10" ht="281.25" x14ac:dyDescent="0.25">
      <c r="A1175" s="3" t="s">
        <v>2555</v>
      </c>
      <c r="B1175">
        <f>IFERROR(COUNTIFS($A$1:A1175,"Câu "&amp;"*")-MID(A1175,5,FIND(".",A1175,1)-5),0)</f>
        <v>0</v>
      </c>
      <c r="C1175" t="b">
        <v>0</v>
      </c>
      <c r="E1175" t="str">
        <f t="shared" si="108"/>
        <v>1</v>
      </c>
      <c r="F1175" t="str">
        <f t="shared" si="109"/>
        <v>2</v>
      </c>
      <c r="G1175" t="str">
        <f t="shared" si="110"/>
        <v>3</v>
      </c>
      <c r="H1175" t="str">
        <f t="shared" si="111"/>
        <v/>
      </c>
      <c r="I1175" t="str">
        <f t="shared" si="112"/>
        <v>1</v>
      </c>
      <c r="J1175" t="str">
        <f t="shared" ca="1" si="113"/>
        <v/>
      </c>
    </row>
    <row r="1176" spans="1:10" ht="187.5" x14ac:dyDescent="0.25">
      <c r="A1176" s="3" t="s">
        <v>2556</v>
      </c>
      <c r="B1176">
        <f>IFERROR(COUNTIFS($A$1:A1176,"Câu "&amp;"*")-MID(A1176,5,FIND(".",A1176,1)-5),0)</f>
        <v>0</v>
      </c>
      <c r="C1176" t="b">
        <v>0</v>
      </c>
      <c r="E1176" t="str">
        <f t="shared" si="108"/>
        <v>2</v>
      </c>
      <c r="F1176" t="str">
        <f t="shared" si="109"/>
        <v>3</v>
      </c>
      <c r="G1176" t="str">
        <f t="shared" si="110"/>
        <v>Câu 286.</v>
      </c>
      <c r="H1176" t="str">
        <f t="shared" si="111"/>
        <v>1</v>
      </c>
      <c r="I1176" t="str">
        <f t="shared" si="112"/>
        <v>2</v>
      </c>
      <c r="J1176" t="str">
        <f t="shared" ca="1" si="113"/>
        <v/>
      </c>
    </row>
    <row r="1177" spans="1:10" ht="18.75" x14ac:dyDescent="0.25">
      <c r="A1177" s="11" t="s">
        <v>1825</v>
      </c>
      <c r="B1177">
        <f>IFERROR(COUNTIFS($A$1:A1177,"Câu "&amp;"*")-MID(A1177,5,FIND(".",A1177,1)-5),0)</f>
        <v>0</v>
      </c>
      <c r="C1177" t="b">
        <v>1</v>
      </c>
      <c r="E1177" t="str">
        <f t="shared" si="108"/>
        <v>3</v>
      </c>
      <c r="F1177" t="str">
        <f t="shared" si="109"/>
        <v>Câu 286.</v>
      </c>
      <c r="G1177" t="str">
        <f t="shared" si="110"/>
        <v>1</v>
      </c>
      <c r="H1177" t="str">
        <f t="shared" si="111"/>
        <v>2</v>
      </c>
      <c r="I1177" t="str">
        <f t="shared" si="112"/>
        <v>3</v>
      </c>
      <c r="J1177" t="str">
        <f t="shared" ca="1" si="113"/>
        <v/>
      </c>
    </row>
    <row r="1178" spans="1:10" ht="18.75" x14ac:dyDescent="0.25">
      <c r="A1178" s="10" t="s">
        <v>1010</v>
      </c>
      <c r="B1178">
        <f>IFERROR(COUNTIFS($A$1:A1178,"Câu "&amp;"*")-MID(A1178,5,FIND(".",A1178,1)-5),0)</f>
        <v>0</v>
      </c>
      <c r="C1178" t="b">
        <v>0</v>
      </c>
      <c r="E1178" t="str">
        <f t="shared" si="108"/>
        <v>Câu 286.</v>
      </c>
      <c r="F1178" t="str">
        <f t="shared" si="109"/>
        <v>1</v>
      </c>
      <c r="G1178" t="str">
        <f t="shared" si="110"/>
        <v>2</v>
      </c>
      <c r="H1178" t="str">
        <f t="shared" si="111"/>
        <v>3</v>
      </c>
      <c r="I1178" t="str">
        <f t="shared" si="112"/>
        <v>4</v>
      </c>
      <c r="J1178" t="str">
        <f t="shared" ca="1" si="113"/>
        <v>1</v>
      </c>
    </row>
    <row r="1179" spans="1:10" ht="18.75" x14ac:dyDescent="0.25">
      <c r="A1179" s="11" t="s">
        <v>2557</v>
      </c>
      <c r="B1179">
        <f>IFERROR(COUNTIFS($A$1:A1179,"Câu "&amp;"*")-MID(A1179,5,FIND(".",A1179,1)-5),0)</f>
        <v>0</v>
      </c>
      <c r="C1179" t="b">
        <v>1</v>
      </c>
      <c r="E1179" t="str">
        <f t="shared" si="108"/>
        <v>1</v>
      </c>
      <c r="F1179" t="str">
        <f t="shared" si="109"/>
        <v>2</v>
      </c>
      <c r="G1179" t="str">
        <f t="shared" si="110"/>
        <v>3</v>
      </c>
      <c r="H1179" t="str">
        <f t="shared" si="111"/>
        <v>4</v>
      </c>
      <c r="I1179" t="str">
        <f t="shared" si="112"/>
        <v/>
      </c>
      <c r="J1179" t="str">
        <f t="shared" ca="1" si="113"/>
        <v/>
      </c>
    </row>
    <row r="1180" spans="1:10" ht="18.75" x14ac:dyDescent="0.25">
      <c r="A1180" s="11" t="s">
        <v>2411</v>
      </c>
      <c r="B1180">
        <f>IFERROR(COUNTIFS($A$1:A1180,"Câu "&amp;"*")-MID(A1180,5,FIND(".",A1180,1)-5),0)</f>
        <v>0</v>
      </c>
      <c r="C1180" t="b">
        <v>0</v>
      </c>
      <c r="E1180" t="str">
        <f t="shared" si="108"/>
        <v>2</v>
      </c>
      <c r="F1180" t="str">
        <f t="shared" si="109"/>
        <v>3</v>
      </c>
      <c r="G1180" t="str">
        <f t="shared" si="110"/>
        <v>4</v>
      </c>
      <c r="H1180" t="str">
        <f t="shared" si="111"/>
        <v/>
      </c>
      <c r="I1180" t="str">
        <f t="shared" si="112"/>
        <v>1</v>
      </c>
      <c r="J1180" t="str">
        <f t="shared" ca="1" si="113"/>
        <v/>
      </c>
    </row>
    <row r="1181" spans="1:10" ht="18.75" x14ac:dyDescent="0.25">
      <c r="A1181" s="11" t="s">
        <v>2558</v>
      </c>
      <c r="B1181">
        <f>IFERROR(COUNTIFS($A$1:A1181,"Câu "&amp;"*")-MID(A1181,5,FIND(".",A1181,1)-5),0)</f>
        <v>0</v>
      </c>
      <c r="C1181" t="b">
        <v>0</v>
      </c>
      <c r="E1181" t="str">
        <f t="shared" si="108"/>
        <v>3</v>
      </c>
      <c r="F1181" t="str">
        <f t="shared" si="109"/>
        <v>4</v>
      </c>
      <c r="G1181" t="str">
        <f t="shared" si="110"/>
        <v>Câu 287.</v>
      </c>
      <c r="H1181" t="str">
        <f t="shared" si="111"/>
        <v>1</v>
      </c>
      <c r="I1181" t="str">
        <f t="shared" si="112"/>
        <v>2</v>
      </c>
      <c r="J1181" t="str">
        <f t="shared" ca="1" si="113"/>
        <v/>
      </c>
    </row>
    <row r="1182" spans="1:10" ht="18.75" x14ac:dyDescent="0.25">
      <c r="A1182" s="11" t="s">
        <v>2559</v>
      </c>
      <c r="B1182">
        <f>IFERROR(COUNTIFS($A$1:A1182,"Câu "&amp;"*")-MID(A1182,5,FIND(".",A1182,1)-5),0)</f>
        <v>0</v>
      </c>
      <c r="C1182" t="b">
        <v>0</v>
      </c>
      <c r="E1182" t="str">
        <f t="shared" si="108"/>
        <v>4</v>
      </c>
      <c r="F1182" t="str">
        <f t="shared" si="109"/>
        <v>Câu 287.</v>
      </c>
      <c r="G1182" t="str">
        <f t="shared" si="110"/>
        <v>1</v>
      </c>
      <c r="H1182" t="str">
        <f t="shared" si="111"/>
        <v>2</v>
      </c>
      <c r="I1182" t="str">
        <f t="shared" si="112"/>
        <v>3</v>
      </c>
      <c r="J1182" t="str">
        <f t="shared" ca="1" si="113"/>
        <v/>
      </c>
    </row>
    <row r="1183" spans="1:10" ht="18.75" x14ac:dyDescent="0.25">
      <c r="A1183" s="10" t="s">
        <v>1014</v>
      </c>
      <c r="B1183">
        <f>IFERROR(COUNTIFS($A$1:A1183,"Câu "&amp;"*")-MID(A1183,5,FIND(".",A1183,1)-5),0)</f>
        <v>0</v>
      </c>
      <c r="C1183" t="b">
        <v>0</v>
      </c>
      <c r="E1183" t="str">
        <f t="shared" si="108"/>
        <v>Câu 287.</v>
      </c>
      <c r="F1183" t="str">
        <f t="shared" si="109"/>
        <v>1</v>
      </c>
      <c r="G1183" t="str">
        <f t="shared" si="110"/>
        <v>2</v>
      </c>
      <c r="H1183" t="str">
        <f t="shared" si="111"/>
        <v>3</v>
      </c>
      <c r="I1183" t="str">
        <f t="shared" si="112"/>
        <v>4</v>
      </c>
      <c r="J1183" t="str">
        <f t="shared" ca="1" si="113"/>
        <v>4</v>
      </c>
    </row>
    <row r="1184" spans="1:10" ht="18.75" x14ac:dyDescent="0.25">
      <c r="A1184" s="11" t="s">
        <v>2560</v>
      </c>
      <c r="B1184">
        <f>IFERROR(COUNTIFS($A$1:A1184,"Câu "&amp;"*")-MID(A1184,5,FIND(".",A1184,1)-5),0)</f>
        <v>0</v>
      </c>
      <c r="C1184" t="b">
        <v>0</v>
      </c>
      <c r="E1184" t="str">
        <f t="shared" si="108"/>
        <v>1</v>
      </c>
      <c r="F1184" t="str">
        <f t="shared" si="109"/>
        <v>2</v>
      </c>
      <c r="G1184" t="str">
        <f t="shared" si="110"/>
        <v>3</v>
      </c>
      <c r="H1184" t="str">
        <f t="shared" si="111"/>
        <v>4</v>
      </c>
      <c r="I1184" t="str">
        <f t="shared" si="112"/>
        <v/>
      </c>
      <c r="J1184" t="str">
        <f t="shared" ca="1" si="113"/>
        <v/>
      </c>
    </row>
    <row r="1185" spans="1:10" ht="18.75" x14ac:dyDescent="0.25">
      <c r="A1185" s="11" t="s">
        <v>2411</v>
      </c>
      <c r="B1185">
        <f>IFERROR(COUNTIFS($A$1:A1185,"Câu "&amp;"*")-MID(A1185,5,FIND(".",A1185,1)-5),0)</f>
        <v>0</v>
      </c>
      <c r="C1185" t="b">
        <v>0</v>
      </c>
      <c r="E1185" t="str">
        <f t="shared" si="108"/>
        <v>2</v>
      </c>
      <c r="F1185" t="str">
        <f t="shared" si="109"/>
        <v>3</v>
      </c>
      <c r="G1185" t="str">
        <f t="shared" si="110"/>
        <v>4</v>
      </c>
      <c r="H1185" t="str">
        <f t="shared" si="111"/>
        <v/>
      </c>
      <c r="I1185" t="str">
        <f t="shared" si="112"/>
        <v>1</v>
      </c>
      <c r="J1185" t="str">
        <f t="shared" ca="1" si="113"/>
        <v/>
      </c>
    </row>
    <row r="1186" spans="1:10" ht="18.75" x14ac:dyDescent="0.25">
      <c r="A1186" s="11" t="s">
        <v>2558</v>
      </c>
      <c r="B1186">
        <f>IFERROR(COUNTIFS($A$1:A1186,"Câu "&amp;"*")-MID(A1186,5,FIND(".",A1186,1)-5),0)</f>
        <v>0</v>
      </c>
      <c r="C1186" t="b">
        <v>0</v>
      </c>
      <c r="E1186" t="str">
        <f t="shared" si="108"/>
        <v>3</v>
      </c>
      <c r="F1186" t="str">
        <f t="shared" si="109"/>
        <v>4</v>
      </c>
      <c r="G1186" t="str">
        <f t="shared" si="110"/>
        <v>Câu 288.</v>
      </c>
      <c r="H1186" t="str">
        <f t="shared" si="111"/>
        <v>1</v>
      </c>
      <c r="I1186" t="str">
        <f t="shared" si="112"/>
        <v>2</v>
      </c>
      <c r="J1186" t="str">
        <f t="shared" ca="1" si="113"/>
        <v/>
      </c>
    </row>
    <row r="1187" spans="1:10" ht="18.75" x14ac:dyDescent="0.25">
      <c r="A1187" s="11" t="s">
        <v>2561</v>
      </c>
      <c r="B1187">
        <f>IFERROR(COUNTIFS($A$1:A1187,"Câu "&amp;"*")-MID(A1187,5,FIND(".",A1187,1)-5),0)</f>
        <v>0</v>
      </c>
      <c r="C1187" t="b">
        <v>1</v>
      </c>
      <c r="E1187" t="str">
        <f t="shared" si="108"/>
        <v>4</v>
      </c>
      <c r="F1187" t="str">
        <f t="shared" si="109"/>
        <v>Câu 288.</v>
      </c>
      <c r="G1187" t="str">
        <f t="shared" si="110"/>
        <v>1</v>
      </c>
      <c r="H1187" t="str">
        <f t="shared" si="111"/>
        <v>2</v>
      </c>
      <c r="I1187" t="str">
        <f t="shared" si="112"/>
        <v>3</v>
      </c>
      <c r="J1187" t="str">
        <f t="shared" ca="1" si="113"/>
        <v/>
      </c>
    </row>
    <row r="1188" spans="1:10" ht="18.75" x14ac:dyDescent="0.25">
      <c r="A1188" s="10" t="s">
        <v>1017</v>
      </c>
      <c r="B1188">
        <f>IFERROR(COUNTIFS($A$1:A1188,"Câu "&amp;"*")-MID(A1188,5,FIND(".",A1188,1)-5),0)</f>
        <v>0</v>
      </c>
      <c r="C1188" t="b">
        <v>0</v>
      </c>
      <c r="E1188" t="str">
        <f t="shared" si="108"/>
        <v>Câu 288.</v>
      </c>
      <c r="F1188" t="str">
        <f t="shared" si="109"/>
        <v>1</v>
      </c>
      <c r="G1188" t="str">
        <f t="shared" si="110"/>
        <v>2</v>
      </c>
      <c r="H1188" t="str">
        <f t="shared" si="111"/>
        <v>3</v>
      </c>
      <c r="I1188" t="str">
        <f t="shared" si="112"/>
        <v>4</v>
      </c>
      <c r="J1188" t="str">
        <f t="shared" ca="1" si="113"/>
        <v>2</v>
      </c>
    </row>
    <row r="1189" spans="1:10" ht="18.75" x14ac:dyDescent="0.25">
      <c r="A1189" s="11" t="s">
        <v>2410</v>
      </c>
      <c r="B1189">
        <f>IFERROR(COUNTIFS($A$1:A1189,"Câu "&amp;"*")-MID(A1189,5,FIND(".",A1189,1)-5),0)</f>
        <v>0</v>
      </c>
      <c r="C1189" t="b">
        <v>0</v>
      </c>
      <c r="E1189" t="str">
        <f t="shared" si="108"/>
        <v>1</v>
      </c>
      <c r="F1189" t="str">
        <f t="shared" si="109"/>
        <v>2</v>
      </c>
      <c r="G1189" t="str">
        <f t="shared" si="110"/>
        <v>3</v>
      </c>
      <c r="H1189" t="str">
        <f t="shared" si="111"/>
        <v>4</v>
      </c>
      <c r="I1189" t="str">
        <f t="shared" si="112"/>
        <v/>
      </c>
      <c r="J1189" t="str">
        <f t="shared" ca="1" si="113"/>
        <v/>
      </c>
    </row>
    <row r="1190" spans="1:10" ht="18.75" x14ac:dyDescent="0.25">
      <c r="A1190" s="11" t="s">
        <v>2562</v>
      </c>
      <c r="B1190">
        <f>IFERROR(COUNTIFS($A$1:A1190,"Câu "&amp;"*")-MID(A1190,5,FIND(".",A1190,1)-5),0)</f>
        <v>0</v>
      </c>
      <c r="C1190" t="b">
        <v>1</v>
      </c>
      <c r="E1190" t="str">
        <f t="shared" si="108"/>
        <v>2</v>
      </c>
      <c r="F1190" t="str">
        <f t="shared" si="109"/>
        <v>3</v>
      </c>
      <c r="G1190" t="str">
        <f t="shared" si="110"/>
        <v>4</v>
      </c>
      <c r="H1190" t="str">
        <f t="shared" si="111"/>
        <v/>
      </c>
      <c r="I1190" t="str">
        <f t="shared" si="112"/>
        <v>1</v>
      </c>
      <c r="J1190" t="str">
        <f t="shared" ca="1" si="113"/>
        <v/>
      </c>
    </row>
    <row r="1191" spans="1:10" ht="18.75" x14ac:dyDescent="0.25">
      <c r="A1191" s="11" t="s">
        <v>2558</v>
      </c>
      <c r="B1191">
        <f>IFERROR(COUNTIFS($A$1:A1191,"Câu "&amp;"*")-MID(A1191,5,FIND(".",A1191,1)-5),0)</f>
        <v>0</v>
      </c>
      <c r="C1191" t="b">
        <v>0</v>
      </c>
      <c r="E1191" t="str">
        <f t="shared" si="108"/>
        <v>3</v>
      </c>
      <c r="F1191" t="str">
        <f t="shared" si="109"/>
        <v>4</v>
      </c>
      <c r="G1191" t="str">
        <f t="shared" si="110"/>
        <v>Câu 289.</v>
      </c>
      <c r="H1191" t="str">
        <f t="shared" si="111"/>
        <v>1</v>
      </c>
      <c r="I1191" t="str">
        <f t="shared" si="112"/>
        <v>2</v>
      </c>
      <c r="J1191" t="str">
        <f t="shared" ca="1" si="113"/>
        <v/>
      </c>
    </row>
    <row r="1192" spans="1:10" ht="18.75" x14ac:dyDescent="0.25">
      <c r="A1192" s="11" t="s">
        <v>2563</v>
      </c>
      <c r="B1192">
        <f>IFERROR(COUNTIFS($A$1:A1192,"Câu "&amp;"*")-MID(A1192,5,FIND(".",A1192,1)-5),0)</f>
        <v>0</v>
      </c>
      <c r="C1192" t="b">
        <v>0</v>
      </c>
      <c r="E1192" t="str">
        <f t="shared" si="108"/>
        <v>4</v>
      </c>
      <c r="F1192" t="str">
        <f t="shared" si="109"/>
        <v>Câu 289.</v>
      </c>
      <c r="G1192" t="str">
        <f t="shared" si="110"/>
        <v>1</v>
      </c>
      <c r="H1192" t="str">
        <f t="shared" si="111"/>
        <v>2</v>
      </c>
      <c r="I1192" t="str">
        <f t="shared" si="112"/>
        <v>3</v>
      </c>
      <c r="J1192" t="str">
        <f t="shared" ca="1" si="113"/>
        <v/>
      </c>
    </row>
    <row r="1193" spans="1:10" ht="18.75" x14ac:dyDescent="0.25">
      <c r="A1193" s="10" t="s">
        <v>1020</v>
      </c>
      <c r="B1193">
        <f>IFERROR(COUNTIFS($A$1:A1193,"Câu "&amp;"*")-MID(A1193,5,FIND(".",A1193,1)-5),0)</f>
        <v>0</v>
      </c>
      <c r="C1193" t="b">
        <v>0</v>
      </c>
      <c r="E1193" t="str">
        <f t="shared" si="108"/>
        <v>Câu 289.</v>
      </c>
      <c r="F1193" t="str">
        <f t="shared" si="109"/>
        <v>1</v>
      </c>
      <c r="G1193" t="str">
        <f t="shared" si="110"/>
        <v>2</v>
      </c>
      <c r="H1193" t="str">
        <f t="shared" si="111"/>
        <v>3</v>
      </c>
      <c r="I1193" t="str">
        <f t="shared" si="112"/>
        <v>4</v>
      </c>
      <c r="J1193" t="str">
        <f t="shared" ca="1" si="113"/>
        <v>1</v>
      </c>
    </row>
    <row r="1194" spans="1:10" ht="18.75" x14ac:dyDescent="0.25">
      <c r="A1194" s="11" t="s">
        <v>2564</v>
      </c>
      <c r="B1194">
        <f>IFERROR(COUNTIFS($A$1:A1194,"Câu "&amp;"*")-MID(A1194,5,FIND(".",A1194,1)-5),0)</f>
        <v>0</v>
      </c>
      <c r="C1194" t="b">
        <v>1</v>
      </c>
      <c r="E1194" t="str">
        <f t="shared" si="108"/>
        <v>1</v>
      </c>
      <c r="F1194" t="str">
        <f t="shared" si="109"/>
        <v>2</v>
      </c>
      <c r="G1194" t="str">
        <f t="shared" si="110"/>
        <v>3</v>
      </c>
      <c r="H1194" t="str">
        <f t="shared" si="111"/>
        <v>4</v>
      </c>
      <c r="I1194" t="str">
        <f t="shared" si="112"/>
        <v/>
      </c>
      <c r="J1194" t="str">
        <f t="shared" ca="1" si="113"/>
        <v/>
      </c>
    </row>
    <row r="1195" spans="1:10" ht="18.75" x14ac:dyDescent="0.25">
      <c r="A1195" s="11" t="s">
        <v>2411</v>
      </c>
      <c r="B1195">
        <f>IFERROR(COUNTIFS($A$1:A1195,"Câu "&amp;"*")-MID(A1195,5,FIND(".",A1195,1)-5),0)</f>
        <v>0</v>
      </c>
      <c r="C1195" t="b">
        <v>0</v>
      </c>
      <c r="E1195" t="str">
        <f t="shared" si="108"/>
        <v>2</v>
      </c>
      <c r="F1195" t="str">
        <f t="shared" si="109"/>
        <v>3</v>
      </c>
      <c r="G1195" t="str">
        <f t="shared" si="110"/>
        <v>4</v>
      </c>
      <c r="H1195" t="str">
        <f t="shared" si="111"/>
        <v/>
      </c>
      <c r="I1195" t="str">
        <f t="shared" si="112"/>
        <v>1</v>
      </c>
      <c r="J1195" t="str">
        <f t="shared" ca="1" si="113"/>
        <v/>
      </c>
    </row>
    <row r="1196" spans="1:10" ht="18.75" x14ac:dyDescent="0.25">
      <c r="A1196" s="11" t="s">
        <v>2558</v>
      </c>
      <c r="B1196">
        <f>IFERROR(COUNTIFS($A$1:A1196,"Câu "&amp;"*")-MID(A1196,5,FIND(".",A1196,1)-5),0)</f>
        <v>0</v>
      </c>
      <c r="C1196" t="b">
        <v>0</v>
      </c>
      <c r="E1196" t="str">
        <f t="shared" si="108"/>
        <v>3</v>
      </c>
      <c r="F1196" t="str">
        <f t="shared" si="109"/>
        <v>4</v>
      </c>
      <c r="G1196" t="str">
        <f t="shared" si="110"/>
        <v>Câu 290.</v>
      </c>
      <c r="H1196" t="str">
        <f t="shared" si="111"/>
        <v>1</v>
      </c>
      <c r="I1196" t="str">
        <f t="shared" si="112"/>
        <v>2</v>
      </c>
      <c r="J1196" t="str">
        <f t="shared" ca="1" si="113"/>
        <v/>
      </c>
    </row>
    <row r="1197" spans="1:10" ht="18.75" x14ac:dyDescent="0.25">
      <c r="A1197" s="11" t="s">
        <v>2563</v>
      </c>
      <c r="B1197">
        <f>IFERROR(COUNTIFS($A$1:A1197,"Câu "&amp;"*")-MID(A1197,5,FIND(".",A1197,1)-5),0)</f>
        <v>0</v>
      </c>
      <c r="C1197" t="b">
        <v>0</v>
      </c>
      <c r="E1197" t="str">
        <f t="shared" si="108"/>
        <v>4</v>
      </c>
      <c r="F1197" t="str">
        <f t="shared" si="109"/>
        <v>Câu 290.</v>
      </c>
      <c r="G1197" t="str">
        <f t="shared" si="110"/>
        <v>1</v>
      </c>
      <c r="H1197" t="str">
        <f t="shared" si="111"/>
        <v>2</v>
      </c>
      <c r="I1197" t="str">
        <f t="shared" si="112"/>
        <v>3</v>
      </c>
      <c r="J1197" t="str">
        <f t="shared" ca="1" si="113"/>
        <v/>
      </c>
    </row>
    <row r="1198" spans="1:10" ht="18.75" x14ac:dyDescent="0.25">
      <c r="A1198" s="10" t="s">
        <v>1022</v>
      </c>
      <c r="B1198">
        <f>IFERROR(COUNTIFS($A$1:A1198,"Câu "&amp;"*")-MID(A1198,5,FIND(".",A1198,1)-5),0)</f>
        <v>0</v>
      </c>
      <c r="C1198" t="b">
        <v>0</v>
      </c>
      <c r="E1198" t="str">
        <f t="shared" si="108"/>
        <v>Câu 290.</v>
      </c>
      <c r="F1198" t="str">
        <f t="shared" si="109"/>
        <v>1</v>
      </c>
      <c r="G1198" t="str">
        <f t="shared" si="110"/>
        <v>2</v>
      </c>
      <c r="H1198" t="str">
        <f t="shared" si="111"/>
        <v>3</v>
      </c>
      <c r="I1198" t="str">
        <f t="shared" si="112"/>
        <v/>
      </c>
      <c r="J1198" t="str">
        <f t="shared" ca="1" si="113"/>
        <v>1</v>
      </c>
    </row>
    <row r="1199" spans="1:10" ht="18.75" x14ac:dyDescent="0.25">
      <c r="A1199" s="11" t="s">
        <v>2565</v>
      </c>
      <c r="B1199">
        <f>IFERROR(COUNTIFS($A$1:A1199,"Câu "&amp;"*")-MID(A1199,5,FIND(".",A1199,1)-5),0)</f>
        <v>0</v>
      </c>
      <c r="C1199" t="b">
        <v>1</v>
      </c>
      <c r="E1199" t="str">
        <f t="shared" si="108"/>
        <v>1</v>
      </c>
      <c r="F1199" t="str">
        <f t="shared" si="109"/>
        <v>2</v>
      </c>
      <c r="G1199" t="str">
        <f t="shared" si="110"/>
        <v>3</v>
      </c>
      <c r="H1199" t="str">
        <f t="shared" si="111"/>
        <v/>
      </c>
      <c r="I1199" t="str">
        <f t="shared" si="112"/>
        <v>1</v>
      </c>
      <c r="J1199" t="str">
        <f t="shared" ca="1" si="113"/>
        <v/>
      </c>
    </row>
    <row r="1200" spans="1:10" ht="18.75" x14ac:dyDescent="0.25">
      <c r="A1200" s="11" t="s">
        <v>2566</v>
      </c>
      <c r="B1200">
        <f>IFERROR(COUNTIFS($A$1:A1200,"Câu "&amp;"*")-MID(A1200,5,FIND(".",A1200,1)-5),0)</f>
        <v>0</v>
      </c>
      <c r="C1200" t="b">
        <v>0</v>
      </c>
      <c r="E1200" t="str">
        <f t="shared" si="108"/>
        <v>2</v>
      </c>
      <c r="F1200" t="str">
        <f t="shared" si="109"/>
        <v>3</v>
      </c>
      <c r="G1200" t="str">
        <f t="shared" si="110"/>
        <v>Câu 291.</v>
      </c>
      <c r="H1200" t="str">
        <f t="shared" si="111"/>
        <v>1</v>
      </c>
      <c r="I1200" t="str">
        <f t="shared" si="112"/>
        <v>2</v>
      </c>
      <c r="J1200" t="str">
        <f t="shared" ca="1" si="113"/>
        <v/>
      </c>
    </row>
    <row r="1201" spans="1:10" ht="18.75" x14ac:dyDescent="0.25">
      <c r="A1201" s="11" t="s">
        <v>2509</v>
      </c>
      <c r="B1201">
        <f>IFERROR(COUNTIFS($A$1:A1201,"Câu "&amp;"*")-MID(A1201,5,FIND(".",A1201,1)-5),0)</f>
        <v>0</v>
      </c>
      <c r="C1201" t="b">
        <v>0</v>
      </c>
      <c r="E1201" t="str">
        <f t="shared" si="108"/>
        <v>3</v>
      </c>
      <c r="F1201" t="str">
        <f t="shared" si="109"/>
        <v>Câu 291.</v>
      </c>
      <c r="G1201" t="str">
        <f t="shared" si="110"/>
        <v>1</v>
      </c>
      <c r="H1201" t="str">
        <f t="shared" si="111"/>
        <v>2</v>
      </c>
      <c r="I1201" t="str">
        <f t="shared" si="112"/>
        <v>3</v>
      </c>
      <c r="J1201" t="str">
        <f t="shared" ca="1" si="113"/>
        <v/>
      </c>
    </row>
    <row r="1202" spans="1:10" ht="18.75" x14ac:dyDescent="0.25">
      <c r="A1202" s="10" t="s">
        <v>1025</v>
      </c>
      <c r="B1202">
        <f>IFERROR(COUNTIFS($A$1:A1202,"Câu "&amp;"*")-MID(A1202,5,FIND(".",A1202,1)-5),0)</f>
        <v>0</v>
      </c>
      <c r="C1202" t="b">
        <v>0</v>
      </c>
      <c r="E1202" t="str">
        <f t="shared" si="108"/>
        <v>Câu 291.</v>
      </c>
      <c r="F1202" t="str">
        <f t="shared" si="109"/>
        <v>1</v>
      </c>
      <c r="G1202" t="str">
        <f t="shared" si="110"/>
        <v>2</v>
      </c>
      <c r="H1202" t="str">
        <f t="shared" si="111"/>
        <v>3</v>
      </c>
      <c r="I1202" t="str">
        <f t="shared" si="112"/>
        <v>4</v>
      </c>
      <c r="J1202" t="str">
        <f t="shared" ca="1" si="113"/>
        <v>4</v>
      </c>
    </row>
    <row r="1203" spans="1:10" ht="18.75" x14ac:dyDescent="0.25">
      <c r="A1203" s="11" t="s">
        <v>2567</v>
      </c>
      <c r="B1203">
        <f>IFERROR(COUNTIFS($A$1:A1203,"Câu "&amp;"*")-MID(A1203,5,FIND(".",A1203,1)-5),0)</f>
        <v>0</v>
      </c>
      <c r="C1203" t="b">
        <v>0</v>
      </c>
      <c r="E1203" t="str">
        <f t="shared" si="108"/>
        <v>1</v>
      </c>
      <c r="F1203" t="str">
        <f t="shared" si="109"/>
        <v>2</v>
      </c>
      <c r="G1203" t="str">
        <f t="shared" si="110"/>
        <v>3</v>
      </c>
      <c r="H1203" t="str">
        <f t="shared" si="111"/>
        <v>4</v>
      </c>
      <c r="I1203" t="str">
        <f t="shared" si="112"/>
        <v/>
      </c>
      <c r="J1203" t="str">
        <f t="shared" ca="1" si="113"/>
        <v/>
      </c>
    </row>
    <row r="1204" spans="1:10" ht="18.75" x14ac:dyDescent="0.25">
      <c r="A1204" s="11" t="s">
        <v>2568</v>
      </c>
      <c r="B1204">
        <f>IFERROR(COUNTIFS($A$1:A1204,"Câu "&amp;"*")-MID(A1204,5,FIND(".",A1204,1)-5),0)</f>
        <v>0</v>
      </c>
      <c r="C1204" t="b">
        <v>0</v>
      </c>
      <c r="E1204" t="str">
        <f t="shared" si="108"/>
        <v>2</v>
      </c>
      <c r="F1204" t="str">
        <f t="shared" si="109"/>
        <v>3</v>
      </c>
      <c r="G1204" t="str">
        <f t="shared" si="110"/>
        <v>4</v>
      </c>
      <c r="H1204" t="str">
        <f t="shared" si="111"/>
        <v/>
      </c>
      <c r="I1204" t="str">
        <f t="shared" si="112"/>
        <v>1</v>
      </c>
      <c r="J1204" t="str">
        <f t="shared" ca="1" si="113"/>
        <v/>
      </c>
    </row>
    <row r="1205" spans="1:10" ht="18.75" x14ac:dyDescent="0.25">
      <c r="A1205" s="11" t="s">
        <v>2569</v>
      </c>
      <c r="B1205">
        <f>IFERROR(COUNTIFS($A$1:A1205,"Câu "&amp;"*")-MID(A1205,5,FIND(".",A1205,1)-5),0)</f>
        <v>0</v>
      </c>
      <c r="C1205" t="b">
        <v>0</v>
      </c>
      <c r="E1205" t="str">
        <f t="shared" si="108"/>
        <v>3</v>
      </c>
      <c r="F1205" t="str">
        <f t="shared" si="109"/>
        <v>4</v>
      </c>
      <c r="G1205" t="str">
        <f t="shared" si="110"/>
        <v>Câu 292.</v>
      </c>
      <c r="H1205" t="str">
        <f t="shared" si="111"/>
        <v>1</v>
      </c>
      <c r="I1205" t="str">
        <f t="shared" si="112"/>
        <v>2</v>
      </c>
      <c r="J1205" t="str">
        <f t="shared" ca="1" si="113"/>
        <v/>
      </c>
    </row>
    <row r="1206" spans="1:10" ht="18.75" x14ac:dyDescent="0.25">
      <c r="A1206" s="11" t="s">
        <v>2570</v>
      </c>
      <c r="B1206">
        <f>IFERROR(COUNTIFS($A$1:A1206,"Câu "&amp;"*")-MID(A1206,5,FIND(".",A1206,1)-5),0)</f>
        <v>0</v>
      </c>
      <c r="C1206" t="b">
        <v>1</v>
      </c>
      <c r="E1206" t="str">
        <f t="shared" si="108"/>
        <v>4</v>
      </c>
      <c r="F1206" t="str">
        <f t="shared" si="109"/>
        <v>Câu 292.</v>
      </c>
      <c r="G1206" t="str">
        <f t="shared" si="110"/>
        <v>1</v>
      </c>
      <c r="H1206" t="str">
        <f t="shared" si="111"/>
        <v>2</v>
      </c>
      <c r="I1206" t="str">
        <f t="shared" si="112"/>
        <v>3</v>
      </c>
      <c r="J1206" t="str">
        <f t="shared" ca="1" si="113"/>
        <v/>
      </c>
    </row>
    <row r="1207" spans="1:10" ht="18.75" x14ac:dyDescent="0.25">
      <c r="A1207" s="10" t="s">
        <v>1030</v>
      </c>
      <c r="B1207">
        <f>IFERROR(COUNTIFS($A$1:A1207,"Câu "&amp;"*")-MID(A1207,5,FIND(".",A1207,1)-5),0)</f>
        <v>0</v>
      </c>
      <c r="C1207" t="b">
        <v>0</v>
      </c>
      <c r="E1207" t="str">
        <f t="shared" si="108"/>
        <v>Câu 292.</v>
      </c>
      <c r="F1207" t="str">
        <f t="shared" si="109"/>
        <v>1</v>
      </c>
      <c r="G1207" t="str">
        <f t="shared" si="110"/>
        <v>2</v>
      </c>
      <c r="H1207" t="str">
        <f t="shared" si="111"/>
        <v>3</v>
      </c>
      <c r="I1207" t="str">
        <f t="shared" si="112"/>
        <v>4</v>
      </c>
      <c r="J1207" t="str">
        <f t="shared" ca="1" si="113"/>
        <v>1</v>
      </c>
    </row>
    <row r="1208" spans="1:10" ht="18.75" x14ac:dyDescent="0.25">
      <c r="A1208" s="11" t="s">
        <v>2571</v>
      </c>
      <c r="B1208">
        <f>IFERROR(COUNTIFS($A$1:A1208,"Câu "&amp;"*")-MID(A1208,5,FIND(".",A1208,1)-5),0)</f>
        <v>0</v>
      </c>
      <c r="C1208" t="b">
        <v>1</v>
      </c>
      <c r="E1208" t="str">
        <f t="shared" si="108"/>
        <v>1</v>
      </c>
      <c r="F1208" t="str">
        <f t="shared" si="109"/>
        <v>2</v>
      </c>
      <c r="G1208" t="str">
        <f t="shared" si="110"/>
        <v>3</v>
      </c>
      <c r="H1208" t="str">
        <f t="shared" si="111"/>
        <v>4</v>
      </c>
      <c r="I1208" t="str">
        <f t="shared" si="112"/>
        <v/>
      </c>
      <c r="J1208" t="str">
        <f t="shared" ca="1" si="113"/>
        <v/>
      </c>
    </row>
    <row r="1209" spans="1:10" ht="18.75" x14ac:dyDescent="0.25">
      <c r="A1209" s="11" t="s">
        <v>2568</v>
      </c>
      <c r="B1209">
        <f>IFERROR(COUNTIFS($A$1:A1209,"Câu "&amp;"*")-MID(A1209,5,FIND(".",A1209,1)-5),0)</f>
        <v>0</v>
      </c>
      <c r="C1209" t="b">
        <v>0</v>
      </c>
      <c r="E1209" t="str">
        <f t="shared" si="108"/>
        <v>2</v>
      </c>
      <c r="F1209" t="str">
        <f t="shared" si="109"/>
        <v>3</v>
      </c>
      <c r="G1209" t="str">
        <f t="shared" si="110"/>
        <v>4</v>
      </c>
      <c r="H1209" t="str">
        <f t="shared" si="111"/>
        <v/>
      </c>
      <c r="I1209" t="str">
        <f t="shared" si="112"/>
        <v>1</v>
      </c>
      <c r="J1209" t="str">
        <f t="shared" ca="1" si="113"/>
        <v/>
      </c>
    </row>
    <row r="1210" spans="1:10" ht="18.75" x14ac:dyDescent="0.25">
      <c r="A1210" s="11" t="s">
        <v>2569</v>
      </c>
      <c r="B1210">
        <f>IFERROR(COUNTIFS($A$1:A1210,"Câu "&amp;"*")-MID(A1210,5,FIND(".",A1210,1)-5),0)</f>
        <v>0</v>
      </c>
      <c r="C1210" t="b">
        <v>0</v>
      </c>
      <c r="E1210" t="str">
        <f t="shared" si="108"/>
        <v>3</v>
      </c>
      <c r="F1210" t="str">
        <f t="shared" si="109"/>
        <v>4</v>
      </c>
      <c r="G1210" t="str">
        <f t="shared" si="110"/>
        <v>Câu 293.</v>
      </c>
      <c r="H1210" t="str">
        <f t="shared" si="111"/>
        <v>1</v>
      </c>
      <c r="I1210" t="str">
        <f t="shared" si="112"/>
        <v>2</v>
      </c>
      <c r="J1210" t="str">
        <f t="shared" ca="1" si="113"/>
        <v/>
      </c>
    </row>
    <row r="1211" spans="1:10" ht="18.75" x14ac:dyDescent="0.25">
      <c r="A1211" s="11" t="s">
        <v>2572</v>
      </c>
      <c r="B1211">
        <f>IFERROR(COUNTIFS($A$1:A1211,"Câu "&amp;"*")-MID(A1211,5,FIND(".",A1211,1)-5),0)</f>
        <v>0</v>
      </c>
      <c r="C1211" t="b">
        <v>0</v>
      </c>
      <c r="E1211" t="str">
        <f t="shared" si="108"/>
        <v>4</v>
      </c>
      <c r="F1211" t="str">
        <f t="shared" si="109"/>
        <v>Câu 293.</v>
      </c>
      <c r="G1211" t="str">
        <f t="shared" si="110"/>
        <v>1</v>
      </c>
      <c r="H1211" t="str">
        <f t="shared" si="111"/>
        <v>2</v>
      </c>
      <c r="I1211" t="str">
        <f t="shared" si="112"/>
        <v/>
      </c>
      <c r="J1211" t="str">
        <f t="shared" ca="1" si="113"/>
        <v/>
      </c>
    </row>
    <row r="1212" spans="1:10" ht="18.75" x14ac:dyDescent="0.25">
      <c r="A1212" s="10" t="s">
        <v>1033</v>
      </c>
      <c r="B1212">
        <f>IFERROR(COUNTIFS($A$1:A1212,"Câu "&amp;"*")-MID(A1212,5,FIND(".",A1212,1)-5),0)</f>
        <v>0</v>
      </c>
      <c r="C1212" t="b">
        <v>0</v>
      </c>
      <c r="E1212" t="str">
        <f t="shared" si="108"/>
        <v>Câu 293.</v>
      </c>
      <c r="F1212" t="str">
        <f t="shared" si="109"/>
        <v>1</v>
      </c>
      <c r="G1212" t="str">
        <f t="shared" si="110"/>
        <v>2</v>
      </c>
      <c r="H1212" t="str">
        <f t="shared" si="111"/>
        <v/>
      </c>
      <c r="I1212" t="str">
        <f t="shared" si="112"/>
        <v>1</v>
      </c>
      <c r="J1212" t="str">
        <f t="shared" ca="1" si="113"/>
        <v>2</v>
      </c>
    </row>
    <row r="1213" spans="1:10" ht="18.75" x14ac:dyDescent="0.25">
      <c r="A1213" s="11" t="s">
        <v>2573</v>
      </c>
      <c r="B1213">
        <f>IFERROR(COUNTIFS($A$1:A1213,"Câu "&amp;"*")-MID(A1213,5,FIND(".",A1213,1)-5),0)</f>
        <v>0</v>
      </c>
      <c r="C1213" t="b">
        <v>0</v>
      </c>
      <c r="E1213" t="str">
        <f t="shared" si="108"/>
        <v>1</v>
      </c>
      <c r="F1213" t="str">
        <f t="shared" si="109"/>
        <v>2</v>
      </c>
      <c r="G1213" t="str">
        <f t="shared" si="110"/>
        <v>Câu 294.</v>
      </c>
      <c r="H1213" t="str">
        <f t="shared" si="111"/>
        <v>1</v>
      </c>
      <c r="I1213" t="str">
        <f t="shared" si="112"/>
        <v>2</v>
      </c>
      <c r="J1213" t="str">
        <f t="shared" ca="1" si="113"/>
        <v/>
      </c>
    </row>
    <row r="1214" spans="1:10" ht="18.75" x14ac:dyDescent="0.25">
      <c r="A1214" s="11" t="s">
        <v>2574</v>
      </c>
      <c r="B1214">
        <f>IFERROR(COUNTIFS($A$1:A1214,"Câu "&amp;"*")-MID(A1214,5,FIND(".",A1214,1)-5),0)</f>
        <v>0</v>
      </c>
      <c r="C1214" t="b">
        <v>1</v>
      </c>
      <c r="E1214" t="str">
        <f t="shared" si="108"/>
        <v>2</v>
      </c>
      <c r="F1214" t="str">
        <f t="shared" si="109"/>
        <v>Câu 294.</v>
      </c>
      <c r="G1214" t="str">
        <f t="shared" si="110"/>
        <v>1</v>
      </c>
      <c r="H1214" t="str">
        <f t="shared" si="111"/>
        <v>2</v>
      </c>
      <c r="I1214" t="str">
        <f t="shared" si="112"/>
        <v>3</v>
      </c>
      <c r="J1214" t="str">
        <f t="shared" ca="1" si="113"/>
        <v/>
      </c>
    </row>
    <row r="1215" spans="1:10" ht="18.75" x14ac:dyDescent="0.25">
      <c r="A1215" s="10" t="s">
        <v>1035</v>
      </c>
      <c r="B1215">
        <f>IFERROR(COUNTIFS($A$1:A1215,"Câu "&amp;"*")-MID(A1215,5,FIND(".",A1215,1)-5),0)</f>
        <v>0</v>
      </c>
      <c r="C1215" t="b">
        <v>0</v>
      </c>
      <c r="E1215" t="str">
        <f t="shared" si="108"/>
        <v>Câu 294.</v>
      </c>
      <c r="F1215" t="str">
        <f t="shared" si="109"/>
        <v>1</v>
      </c>
      <c r="G1215" t="str">
        <f t="shared" si="110"/>
        <v>2</v>
      </c>
      <c r="H1215" t="str">
        <f t="shared" si="111"/>
        <v>3</v>
      </c>
      <c r="I1215" t="str">
        <f t="shared" si="112"/>
        <v>4</v>
      </c>
      <c r="J1215" t="str">
        <f t="shared" ca="1" si="113"/>
        <v>4</v>
      </c>
    </row>
    <row r="1216" spans="1:10" ht="18.75" x14ac:dyDescent="0.25">
      <c r="A1216" s="11" t="s">
        <v>2575</v>
      </c>
      <c r="B1216">
        <f>IFERROR(COUNTIFS($A$1:A1216,"Câu "&amp;"*")-MID(A1216,5,FIND(".",A1216,1)-5),0)</f>
        <v>0</v>
      </c>
      <c r="C1216" t="b">
        <v>0</v>
      </c>
      <c r="E1216" t="str">
        <f t="shared" si="108"/>
        <v>1</v>
      </c>
      <c r="F1216" t="str">
        <f t="shared" si="109"/>
        <v>2</v>
      </c>
      <c r="G1216" t="str">
        <f t="shared" si="110"/>
        <v>3</v>
      </c>
      <c r="H1216" t="str">
        <f t="shared" si="111"/>
        <v>4</v>
      </c>
      <c r="I1216" t="str">
        <f t="shared" si="112"/>
        <v/>
      </c>
      <c r="J1216" t="str">
        <f t="shared" ca="1" si="113"/>
        <v/>
      </c>
    </row>
    <row r="1217" spans="1:10" ht="18.75" x14ac:dyDescent="0.25">
      <c r="A1217" s="11" t="s">
        <v>2576</v>
      </c>
      <c r="B1217">
        <f>IFERROR(COUNTIFS($A$1:A1217,"Câu "&amp;"*")-MID(A1217,5,FIND(".",A1217,1)-5),0)</f>
        <v>0</v>
      </c>
      <c r="C1217" t="b">
        <v>0</v>
      </c>
      <c r="E1217" t="str">
        <f t="shared" si="108"/>
        <v>2</v>
      </c>
      <c r="F1217" t="str">
        <f t="shared" si="109"/>
        <v>3</v>
      </c>
      <c r="G1217" t="str">
        <f t="shared" si="110"/>
        <v>4</v>
      </c>
      <c r="H1217" t="str">
        <f t="shared" si="111"/>
        <v/>
      </c>
      <c r="I1217" t="str">
        <f t="shared" si="112"/>
        <v>1</v>
      </c>
      <c r="J1217" t="str">
        <f t="shared" ca="1" si="113"/>
        <v/>
      </c>
    </row>
    <row r="1218" spans="1:10" ht="18.75" x14ac:dyDescent="0.25">
      <c r="A1218" s="11" t="s">
        <v>2577</v>
      </c>
      <c r="B1218">
        <f>IFERROR(COUNTIFS($A$1:A1218,"Câu "&amp;"*")-MID(A1218,5,FIND(".",A1218,1)-5),0)</f>
        <v>0</v>
      </c>
      <c r="C1218" t="b">
        <v>0</v>
      </c>
      <c r="E1218" t="str">
        <f t="shared" si="108"/>
        <v>3</v>
      </c>
      <c r="F1218" t="str">
        <f t="shared" si="109"/>
        <v>4</v>
      </c>
      <c r="G1218" t="str">
        <f t="shared" si="110"/>
        <v>Câu 295.</v>
      </c>
      <c r="H1218" t="str">
        <f t="shared" si="111"/>
        <v>1</v>
      </c>
      <c r="I1218" t="str">
        <f t="shared" si="112"/>
        <v>2</v>
      </c>
      <c r="J1218" t="str">
        <f t="shared" ca="1" si="113"/>
        <v/>
      </c>
    </row>
    <row r="1219" spans="1:10" ht="18.75" x14ac:dyDescent="0.25">
      <c r="A1219" s="11" t="s">
        <v>2578</v>
      </c>
      <c r="B1219">
        <f>IFERROR(COUNTIFS($A$1:A1219,"Câu "&amp;"*")-MID(A1219,5,FIND(".",A1219,1)-5),0)</f>
        <v>0</v>
      </c>
      <c r="C1219" t="b">
        <v>1</v>
      </c>
      <c r="E1219" t="str">
        <f t="shared" ref="E1219:E1282" si="114">IF(LEFT(A1219,3)="Câu",LEFT(A1219,FIND(".",A1219,1)),LEFT(A1219,1))</f>
        <v>4</v>
      </c>
      <c r="F1219" t="str">
        <f t="shared" ref="F1219:F1282" si="115">IF(LEFT(A1220,3)="Câu",LEFT(A1220,FIND(".",A1220,1)),LEFT(A1220,1))</f>
        <v>Câu 295.</v>
      </c>
      <c r="G1219" t="str">
        <f t="shared" ref="G1219:G1282" si="116">IF(LEFT(A1221,3)="Câu",LEFT(A1221,FIND(".",A1221,1)),LEFT(A1221,1))</f>
        <v>1</v>
      </c>
      <c r="H1219" t="str">
        <f t="shared" ref="H1219:H1282" si="117">IF(LEFT(A1222,3)="Câu","",LEFT(A1222,1))</f>
        <v>2</v>
      </c>
      <c r="I1219" t="str">
        <f t="shared" ref="I1219:I1282" si="118">IF(LEFT(A1223,3)="Câu","",LEFT(A1223,1))</f>
        <v>3</v>
      </c>
      <c r="J1219" t="str">
        <f t="shared" ref="J1219:J1282" ca="1" si="119">IFERROR(VLOOKUP(TRUE,INDIRECT("C"&amp;MATCH(E1219,$E$1:$E$2471,0)&amp;":E"&amp;MATCH("Câu "&amp;VALUE(MID(E1219,5,LEN(E1219)-5))+1&amp;".",$E$1:$E$2471,0)),3,0),"")</f>
        <v/>
      </c>
    </row>
    <row r="1220" spans="1:10" ht="409.5" x14ac:dyDescent="0.25">
      <c r="A1220" s="4" t="s">
        <v>1040</v>
      </c>
      <c r="B1220">
        <f>IFERROR(COUNTIFS($A$1:A1220,"Câu "&amp;"*")-MID(A1220,5,FIND(".",A1220,1)-5),0)</f>
        <v>0</v>
      </c>
      <c r="C1220" t="b">
        <v>0</v>
      </c>
      <c r="E1220" t="str">
        <f t="shared" si="114"/>
        <v>Câu 295.</v>
      </c>
      <c r="F1220" t="str">
        <f t="shared" si="115"/>
        <v>1</v>
      </c>
      <c r="G1220" t="str">
        <f t="shared" si="116"/>
        <v>2</v>
      </c>
      <c r="H1220" t="str">
        <f t="shared" si="117"/>
        <v>3</v>
      </c>
      <c r="I1220" t="str">
        <f t="shared" si="118"/>
        <v>4</v>
      </c>
      <c r="J1220" t="str">
        <f t="shared" ca="1" si="119"/>
        <v>4</v>
      </c>
    </row>
    <row r="1221" spans="1:10" ht="18.75" x14ac:dyDescent="0.25">
      <c r="A1221" s="11" t="s">
        <v>2579</v>
      </c>
      <c r="B1221">
        <f>IFERROR(COUNTIFS($A$1:A1221,"Câu "&amp;"*")-MID(A1221,5,FIND(".",A1221,1)-5),0)</f>
        <v>0</v>
      </c>
      <c r="C1221" t="b">
        <v>0</v>
      </c>
      <c r="E1221" t="str">
        <f t="shared" si="114"/>
        <v>1</v>
      </c>
      <c r="F1221" t="str">
        <f t="shared" si="115"/>
        <v>2</v>
      </c>
      <c r="G1221" t="str">
        <f t="shared" si="116"/>
        <v>3</v>
      </c>
      <c r="H1221" t="str">
        <f t="shared" si="117"/>
        <v>4</v>
      </c>
      <c r="I1221" t="str">
        <f t="shared" si="118"/>
        <v/>
      </c>
      <c r="J1221" t="str">
        <f t="shared" ca="1" si="119"/>
        <v/>
      </c>
    </row>
    <row r="1222" spans="1:10" ht="18.75" x14ac:dyDescent="0.25">
      <c r="A1222" s="11" t="s">
        <v>2411</v>
      </c>
      <c r="B1222">
        <f>IFERROR(COUNTIFS($A$1:A1222,"Câu "&amp;"*")-MID(A1222,5,FIND(".",A1222,1)-5),0)</f>
        <v>0</v>
      </c>
      <c r="C1222" t="b">
        <v>0</v>
      </c>
      <c r="E1222" t="str">
        <f t="shared" si="114"/>
        <v>2</v>
      </c>
      <c r="F1222" t="str">
        <f t="shared" si="115"/>
        <v>3</v>
      </c>
      <c r="G1222" t="str">
        <f t="shared" si="116"/>
        <v>4</v>
      </c>
      <c r="H1222" t="str">
        <f t="shared" si="117"/>
        <v/>
      </c>
      <c r="I1222" t="str">
        <f t="shared" si="118"/>
        <v>1</v>
      </c>
      <c r="J1222" t="str">
        <f t="shared" ca="1" si="119"/>
        <v/>
      </c>
    </row>
    <row r="1223" spans="1:10" ht="18.75" x14ac:dyDescent="0.25">
      <c r="A1223" s="11" t="s">
        <v>2558</v>
      </c>
      <c r="B1223">
        <f>IFERROR(COUNTIFS($A$1:A1223,"Câu "&amp;"*")-MID(A1223,5,FIND(".",A1223,1)-5),0)</f>
        <v>0</v>
      </c>
      <c r="C1223" t="b">
        <v>0</v>
      </c>
      <c r="E1223" t="str">
        <f t="shared" si="114"/>
        <v>3</v>
      </c>
      <c r="F1223" t="str">
        <f t="shared" si="115"/>
        <v>4</v>
      </c>
      <c r="G1223" t="str">
        <f t="shared" si="116"/>
        <v>Câu 296.</v>
      </c>
      <c r="H1223" t="str">
        <f t="shared" si="117"/>
        <v>1</v>
      </c>
      <c r="I1223" t="str">
        <f t="shared" si="118"/>
        <v>2</v>
      </c>
      <c r="J1223" t="str">
        <f t="shared" ca="1" si="119"/>
        <v/>
      </c>
    </row>
    <row r="1224" spans="1:10" ht="18.75" x14ac:dyDescent="0.25">
      <c r="A1224" s="11" t="s">
        <v>2580</v>
      </c>
      <c r="B1224">
        <f>IFERROR(COUNTIFS($A$1:A1224,"Câu "&amp;"*")-MID(A1224,5,FIND(".",A1224,1)-5),0)</f>
        <v>0</v>
      </c>
      <c r="C1224" t="b">
        <v>1</v>
      </c>
      <c r="E1224" t="str">
        <f t="shared" si="114"/>
        <v>4</v>
      </c>
      <c r="F1224" t="str">
        <f t="shared" si="115"/>
        <v>Câu 296.</v>
      </c>
      <c r="G1224" t="str">
        <f t="shared" si="116"/>
        <v>1</v>
      </c>
      <c r="H1224" t="str">
        <f t="shared" si="117"/>
        <v>2</v>
      </c>
      <c r="I1224" t="str">
        <f t="shared" si="118"/>
        <v>3</v>
      </c>
      <c r="J1224" t="str">
        <f t="shared" ca="1" si="119"/>
        <v/>
      </c>
    </row>
    <row r="1225" spans="1:10" ht="18.75" x14ac:dyDescent="0.25">
      <c r="A1225" s="10" t="s">
        <v>1043</v>
      </c>
      <c r="B1225">
        <f>IFERROR(COUNTIFS($A$1:A1225,"Câu "&amp;"*")-MID(A1225,5,FIND(".",A1225,1)-5),0)</f>
        <v>0</v>
      </c>
      <c r="C1225" t="b">
        <v>0</v>
      </c>
      <c r="E1225" t="str">
        <f t="shared" si="114"/>
        <v>Câu 296.</v>
      </c>
      <c r="F1225" t="str">
        <f t="shared" si="115"/>
        <v>1</v>
      </c>
      <c r="G1225" t="str">
        <f t="shared" si="116"/>
        <v>2</v>
      </c>
      <c r="H1225" t="str">
        <f t="shared" si="117"/>
        <v>3</v>
      </c>
      <c r="I1225" t="str">
        <f t="shared" si="118"/>
        <v>4</v>
      </c>
      <c r="J1225" t="str">
        <f t="shared" ca="1" si="119"/>
        <v>1</v>
      </c>
    </row>
    <row r="1226" spans="1:10" ht="18.75" x14ac:dyDescent="0.25">
      <c r="A1226" s="11" t="s">
        <v>2581</v>
      </c>
      <c r="B1226">
        <f>IFERROR(COUNTIFS($A$1:A1226,"Câu "&amp;"*")-MID(A1226,5,FIND(".",A1226,1)-5),0)</f>
        <v>0</v>
      </c>
      <c r="C1226" t="b">
        <v>1</v>
      </c>
      <c r="E1226" t="str">
        <f t="shared" si="114"/>
        <v>1</v>
      </c>
      <c r="F1226" t="str">
        <f t="shared" si="115"/>
        <v>2</v>
      </c>
      <c r="G1226" t="str">
        <f t="shared" si="116"/>
        <v>3</v>
      </c>
      <c r="H1226" t="str">
        <f t="shared" si="117"/>
        <v>4</v>
      </c>
      <c r="I1226" t="str">
        <f t="shared" si="118"/>
        <v/>
      </c>
      <c r="J1226" t="str">
        <f t="shared" ca="1" si="119"/>
        <v/>
      </c>
    </row>
    <row r="1227" spans="1:10" ht="18.75" x14ac:dyDescent="0.25">
      <c r="A1227" s="11" t="s">
        <v>2582</v>
      </c>
      <c r="B1227">
        <f>IFERROR(COUNTIFS($A$1:A1227,"Câu "&amp;"*")-MID(A1227,5,FIND(".",A1227,1)-5),0)</f>
        <v>0</v>
      </c>
      <c r="C1227" t="b">
        <v>0</v>
      </c>
      <c r="E1227" t="str">
        <f t="shared" si="114"/>
        <v>2</v>
      </c>
      <c r="F1227" t="str">
        <f t="shared" si="115"/>
        <v>3</v>
      </c>
      <c r="G1227" t="str">
        <f t="shared" si="116"/>
        <v>4</v>
      </c>
      <c r="H1227" t="str">
        <f t="shared" si="117"/>
        <v/>
      </c>
      <c r="I1227" t="str">
        <f t="shared" si="118"/>
        <v>1</v>
      </c>
      <c r="J1227" t="str">
        <f t="shared" ca="1" si="119"/>
        <v/>
      </c>
    </row>
    <row r="1228" spans="1:10" ht="18.75" x14ac:dyDescent="0.25">
      <c r="A1228" s="11" t="s">
        <v>2583</v>
      </c>
      <c r="B1228">
        <f>IFERROR(COUNTIFS($A$1:A1228,"Câu "&amp;"*")-MID(A1228,5,FIND(".",A1228,1)-5),0)</f>
        <v>0</v>
      </c>
      <c r="C1228" t="b">
        <v>0</v>
      </c>
      <c r="E1228" t="str">
        <f t="shared" si="114"/>
        <v>3</v>
      </c>
      <c r="F1228" t="str">
        <f t="shared" si="115"/>
        <v>4</v>
      </c>
      <c r="G1228" t="str">
        <f t="shared" si="116"/>
        <v>Câu 297.</v>
      </c>
      <c r="H1228" t="str">
        <f t="shared" si="117"/>
        <v>1</v>
      </c>
      <c r="I1228" t="str">
        <f t="shared" si="118"/>
        <v>2</v>
      </c>
      <c r="J1228" t="str">
        <f t="shared" ca="1" si="119"/>
        <v/>
      </c>
    </row>
    <row r="1229" spans="1:10" ht="18.75" x14ac:dyDescent="0.25">
      <c r="A1229" s="11" t="s">
        <v>2584</v>
      </c>
      <c r="B1229">
        <f>IFERROR(COUNTIFS($A$1:A1229,"Câu "&amp;"*")-MID(A1229,5,FIND(".",A1229,1)-5),0)</f>
        <v>0</v>
      </c>
      <c r="C1229" t="b">
        <v>0</v>
      </c>
      <c r="E1229" t="str">
        <f t="shared" si="114"/>
        <v>4</v>
      </c>
      <c r="F1229" t="str">
        <f t="shared" si="115"/>
        <v>Câu 297.</v>
      </c>
      <c r="G1229" t="str">
        <f t="shared" si="116"/>
        <v>1</v>
      </c>
      <c r="H1229" t="str">
        <f t="shared" si="117"/>
        <v>2</v>
      </c>
      <c r="I1229" t="str">
        <f t="shared" si="118"/>
        <v>3</v>
      </c>
      <c r="J1229" t="str">
        <f t="shared" ca="1" si="119"/>
        <v/>
      </c>
    </row>
    <row r="1230" spans="1:10" ht="18.75" x14ac:dyDescent="0.25">
      <c r="A1230" s="10" t="s">
        <v>1046</v>
      </c>
      <c r="B1230">
        <f>IFERROR(COUNTIFS($A$1:A1230,"Câu "&amp;"*")-MID(A1230,5,FIND(".",A1230,1)-5),0)</f>
        <v>0</v>
      </c>
      <c r="C1230" t="b">
        <v>0</v>
      </c>
      <c r="E1230" t="str">
        <f t="shared" si="114"/>
        <v>Câu 297.</v>
      </c>
      <c r="F1230" t="str">
        <f t="shared" si="115"/>
        <v>1</v>
      </c>
      <c r="G1230" t="str">
        <f t="shared" si="116"/>
        <v>2</v>
      </c>
      <c r="H1230" t="str">
        <f t="shared" si="117"/>
        <v>3</v>
      </c>
      <c r="I1230" t="str">
        <f t="shared" si="118"/>
        <v>4</v>
      </c>
      <c r="J1230" t="str">
        <f t="shared" ca="1" si="119"/>
        <v>3</v>
      </c>
    </row>
    <row r="1231" spans="1:10" ht="18.75" x14ac:dyDescent="0.25">
      <c r="A1231" s="11" t="s">
        <v>2585</v>
      </c>
      <c r="B1231">
        <f>IFERROR(COUNTIFS($A$1:A1231,"Câu "&amp;"*")-MID(A1231,5,FIND(".",A1231,1)-5),0)</f>
        <v>0</v>
      </c>
      <c r="C1231" t="b">
        <v>0</v>
      </c>
      <c r="E1231" t="str">
        <f t="shared" si="114"/>
        <v>1</v>
      </c>
      <c r="F1231" t="str">
        <f t="shared" si="115"/>
        <v>2</v>
      </c>
      <c r="G1231" t="str">
        <f t="shared" si="116"/>
        <v>3</v>
      </c>
      <c r="H1231" t="str">
        <f t="shared" si="117"/>
        <v>4</v>
      </c>
      <c r="I1231" t="str">
        <f t="shared" si="118"/>
        <v/>
      </c>
      <c r="J1231" t="str">
        <f t="shared" ca="1" si="119"/>
        <v/>
      </c>
    </row>
    <row r="1232" spans="1:10" ht="18.75" x14ac:dyDescent="0.25">
      <c r="A1232" s="11" t="s">
        <v>2586</v>
      </c>
      <c r="B1232">
        <f>IFERROR(COUNTIFS($A$1:A1232,"Câu "&amp;"*")-MID(A1232,5,FIND(".",A1232,1)-5),0)</f>
        <v>0</v>
      </c>
      <c r="C1232" t="b">
        <v>0</v>
      </c>
      <c r="E1232" t="str">
        <f t="shared" si="114"/>
        <v>2</v>
      </c>
      <c r="F1232" t="str">
        <f t="shared" si="115"/>
        <v>3</v>
      </c>
      <c r="G1232" t="str">
        <f t="shared" si="116"/>
        <v>4</v>
      </c>
      <c r="H1232" t="str">
        <f t="shared" si="117"/>
        <v/>
      </c>
      <c r="I1232" t="str">
        <f t="shared" si="118"/>
        <v>1</v>
      </c>
      <c r="J1232" t="str">
        <f t="shared" ca="1" si="119"/>
        <v/>
      </c>
    </row>
    <row r="1233" spans="1:10" ht="18.75" x14ac:dyDescent="0.25">
      <c r="A1233" s="11" t="s">
        <v>2587</v>
      </c>
      <c r="B1233">
        <f>IFERROR(COUNTIFS($A$1:A1233,"Câu "&amp;"*")-MID(A1233,5,FIND(".",A1233,1)-5),0)</f>
        <v>0</v>
      </c>
      <c r="C1233" t="b">
        <v>1</v>
      </c>
      <c r="E1233" t="str">
        <f t="shared" si="114"/>
        <v>3</v>
      </c>
      <c r="F1233" t="str">
        <f t="shared" si="115"/>
        <v>4</v>
      </c>
      <c r="G1233" t="str">
        <f t="shared" si="116"/>
        <v>Câu 298.</v>
      </c>
      <c r="H1233" t="str">
        <f t="shared" si="117"/>
        <v>1</v>
      </c>
      <c r="I1233" t="str">
        <f t="shared" si="118"/>
        <v>2</v>
      </c>
      <c r="J1233" t="str">
        <f t="shared" ca="1" si="119"/>
        <v/>
      </c>
    </row>
    <row r="1234" spans="1:10" ht="18.75" x14ac:dyDescent="0.25">
      <c r="A1234" s="11" t="s">
        <v>2588</v>
      </c>
      <c r="B1234">
        <f>IFERROR(COUNTIFS($A$1:A1234,"Câu "&amp;"*")-MID(A1234,5,FIND(".",A1234,1)-5),0)</f>
        <v>0</v>
      </c>
      <c r="C1234" t="b">
        <v>0</v>
      </c>
      <c r="E1234" t="str">
        <f t="shared" si="114"/>
        <v>4</v>
      </c>
      <c r="F1234" t="str">
        <f t="shared" si="115"/>
        <v>Câu 298.</v>
      </c>
      <c r="G1234" t="str">
        <f t="shared" si="116"/>
        <v>1</v>
      </c>
      <c r="H1234" t="str">
        <f t="shared" si="117"/>
        <v>2</v>
      </c>
      <c r="I1234" t="str">
        <f t="shared" si="118"/>
        <v>3</v>
      </c>
      <c r="J1234" t="str">
        <f t="shared" ca="1" si="119"/>
        <v/>
      </c>
    </row>
    <row r="1235" spans="1:10" ht="18.75" x14ac:dyDescent="0.25">
      <c r="A1235" s="10" t="s">
        <v>1051</v>
      </c>
      <c r="B1235">
        <f>IFERROR(COUNTIFS($A$1:A1235,"Câu "&amp;"*")-MID(A1235,5,FIND(".",A1235,1)-5),0)</f>
        <v>0</v>
      </c>
      <c r="C1235" t="b">
        <v>0</v>
      </c>
      <c r="E1235" t="str">
        <f t="shared" si="114"/>
        <v>Câu 298.</v>
      </c>
      <c r="F1235" t="str">
        <f t="shared" si="115"/>
        <v>1</v>
      </c>
      <c r="G1235" t="str">
        <f t="shared" si="116"/>
        <v>2</v>
      </c>
      <c r="H1235" t="str">
        <f t="shared" si="117"/>
        <v>3</v>
      </c>
      <c r="I1235" t="str">
        <f t="shared" si="118"/>
        <v/>
      </c>
      <c r="J1235" t="str">
        <f t="shared" ca="1" si="119"/>
        <v>2</v>
      </c>
    </row>
    <row r="1236" spans="1:10" ht="18.75" x14ac:dyDescent="0.25">
      <c r="A1236" s="11" t="s">
        <v>2585</v>
      </c>
      <c r="B1236">
        <f>IFERROR(COUNTIFS($A$1:A1236,"Câu "&amp;"*")-MID(A1236,5,FIND(".",A1236,1)-5),0)</f>
        <v>0</v>
      </c>
      <c r="C1236" t="b">
        <v>0</v>
      </c>
      <c r="E1236" t="str">
        <f t="shared" si="114"/>
        <v>1</v>
      </c>
      <c r="F1236" t="str">
        <f t="shared" si="115"/>
        <v>2</v>
      </c>
      <c r="G1236" t="str">
        <f t="shared" si="116"/>
        <v>3</v>
      </c>
      <c r="H1236" t="str">
        <f t="shared" si="117"/>
        <v/>
      </c>
      <c r="I1236" t="str">
        <f t="shared" si="118"/>
        <v>1</v>
      </c>
      <c r="J1236" t="str">
        <f t="shared" ca="1" si="119"/>
        <v/>
      </c>
    </row>
    <row r="1237" spans="1:10" ht="18.75" x14ac:dyDescent="0.25">
      <c r="A1237" s="11" t="s">
        <v>2589</v>
      </c>
      <c r="B1237">
        <f>IFERROR(COUNTIFS($A$1:A1237,"Câu "&amp;"*")-MID(A1237,5,FIND(".",A1237,1)-5),0)</f>
        <v>0</v>
      </c>
      <c r="C1237" t="b">
        <v>1</v>
      </c>
      <c r="E1237" t="str">
        <f t="shared" si="114"/>
        <v>2</v>
      </c>
      <c r="F1237" t="str">
        <f t="shared" si="115"/>
        <v>3</v>
      </c>
      <c r="G1237" t="str">
        <f t="shared" si="116"/>
        <v>Câu 299.</v>
      </c>
      <c r="H1237" t="str">
        <f t="shared" si="117"/>
        <v>1</v>
      </c>
      <c r="I1237" t="str">
        <f t="shared" si="118"/>
        <v>2</v>
      </c>
      <c r="J1237" t="str">
        <f t="shared" ca="1" si="119"/>
        <v/>
      </c>
    </row>
    <row r="1238" spans="1:10" ht="18.75" x14ac:dyDescent="0.25">
      <c r="A1238" s="11" t="s">
        <v>2590</v>
      </c>
      <c r="B1238">
        <f>IFERROR(COUNTIFS($A$1:A1238,"Câu "&amp;"*")-MID(A1238,5,FIND(".",A1238,1)-5),0)</f>
        <v>0</v>
      </c>
      <c r="C1238" t="b">
        <v>0</v>
      </c>
      <c r="E1238" t="str">
        <f t="shared" si="114"/>
        <v>3</v>
      </c>
      <c r="F1238" t="str">
        <f t="shared" si="115"/>
        <v>Câu 299.</v>
      </c>
      <c r="G1238" t="str">
        <f t="shared" si="116"/>
        <v>1</v>
      </c>
      <c r="H1238" t="str">
        <f t="shared" si="117"/>
        <v>2</v>
      </c>
      <c r="I1238" t="str">
        <f t="shared" si="118"/>
        <v>3</v>
      </c>
      <c r="J1238" t="str">
        <f t="shared" ca="1" si="119"/>
        <v/>
      </c>
    </row>
    <row r="1239" spans="1:10" ht="18.75" x14ac:dyDescent="0.25">
      <c r="A1239" s="10" t="s">
        <v>1054</v>
      </c>
      <c r="B1239">
        <f>IFERROR(COUNTIFS($A$1:A1239,"Câu "&amp;"*")-MID(A1239,5,FIND(".",A1239,1)-5),0)</f>
        <v>0</v>
      </c>
      <c r="C1239" t="b">
        <v>0</v>
      </c>
      <c r="E1239" t="str">
        <f t="shared" si="114"/>
        <v>Câu 299.</v>
      </c>
      <c r="F1239" t="str">
        <f t="shared" si="115"/>
        <v>1</v>
      </c>
      <c r="G1239" t="str">
        <f t="shared" si="116"/>
        <v>2</v>
      </c>
      <c r="H1239" t="str">
        <f t="shared" si="117"/>
        <v>3</v>
      </c>
      <c r="I1239" t="str">
        <f t="shared" si="118"/>
        <v>4</v>
      </c>
      <c r="J1239" t="str">
        <f t="shared" ca="1" si="119"/>
        <v>3</v>
      </c>
    </row>
    <row r="1240" spans="1:10" ht="18.75" x14ac:dyDescent="0.25">
      <c r="A1240" s="11" t="s">
        <v>2591</v>
      </c>
      <c r="B1240">
        <f>IFERROR(COUNTIFS($A$1:A1240,"Câu "&amp;"*")-MID(A1240,5,FIND(".",A1240,1)-5),0)</f>
        <v>0</v>
      </c>
      <c r="C1240" t="b">
        <v>0</v>
      </c>
      <c r="E1240" t="str">
        <f t="shared" si="114"/>
        <v>1</v>
      </c>
      <c r="F1240" t="str">
        <f t="shared" si="115"/>
        <v>2</v>
      </c>
      <c r="G1240" t="str">
        <f t="shared" si="116"/>
        <v>3</v>
      </c>
      <c r="H1240" t="str">
        <f t="shared" si="117"/>
        <v>4</v>
      </c>
      <c r="I1240" t="str">
        <f t="shared" si="118"/>
        <v/>
      </c>
      <c r="J1240" t="str">
        <f t="shared" ca="1" si="119"/>
        <v/>
      </c>
    </row>
    <row r="1241" spans="1:10" ht="18.75" x14ac:dyDescent="0.25">
      <c r="A1241" s="11" t="s">
        <v>2592</v>
      </c>
      <c r="B1241">
        <f>IFERROR(COUNTIFS($A$1:A1241,"Câu "&amp;"*")-MID(A1241,5,FIND(".",A1241,1)-5),0)</f>
        <v>0</v>
      </c>
      <c r="C1241" t="b">
        <v>0</v>
      </c>
      <c r="E1241" t="str">
        <f t="shared" si="114"/>
        <v>2</v>
      </c>
      <c r="F1241" t="str">
        <f t="shared" si="115"/>
        <v>3</v>
      </c>
      <c r="G1241" t="str">
        <f t="shared" si="116"/>
        <v>4</v>
      </c>
      <c r="H1241" t="str">
        <f t="shared" si="117"/>
        <v/>
      </c>
      <c r="I1241" t="str">
        <f t="shared" si="118"/>
        <v>1</v>
      </c>
      <c r="J1241" t="str">
        <f t="shared" ca="1" si="119"/>
        <v/>
      </c>
    </row>
    <row r="1242" spans="1:10" ht="18.75" x14ac:dyDescent="0.25">
      <c r="A1242" s="11" t="s">
        <v>2593</v>
      </c>
      <c r="B1242">
        <f>IFERROR(COUNTIFS($A$1:A1242,"Câu "&amp;"*")-MID(A1242,5,FIND(".",A1242,1)-5),0)</f>
        <v>0</v>
      </c>
      <c r="C1242" t="b">
        <v>1</v>
      </c>
      <c r="E1242" t="str">
        <f t="shared" si="114"/>
        <v>3</v>
      </c>
      <c r="F1242" t="str">
        <f t="shared" si="115"/>
        <v>4</v>
      </c>
      <c r="G1242" t="str">
        <f t="shared" si="116"/>
        <v>Câu 300.</v>
      </c>
      <c r="H1242" t="str">
        <f t="shared" si="117"/>
        <v>1</v>
      </c>
      <c r="I1242" t="str">
        <f t="shared" si="118"/>
        <v>2</v>
      </c>
      <c r="J1242" t="str">
        <f t="shared" ca="1" si="119"/>
        <v/>
      </c>
    </row>
    <row r="1243" spans="1:10" ht="18.75" x14ac:dyDescent="0.25">
      <c r="A1243" s="11" t="s">
        <v>2594</v>
      </c>
      <c r="B1243">
        <f>IFERROR(COUNTIFS($A$1:A1243,"Câu "&amp;"*")-MID(A1243,5,FIND(".",A1243,1)-5),0)</f>
        <v>0</v>
      </c>
      <c r="C1243" t="b">
        <v>0</v>
      </c>
      <c r="E1243" t="str">
        <f t="shared" si="114"/>
        <v>4</v>
      </c>
      <c r="F1243" t="str">
        <f t="shared" si="115"/>
        <v>Câu 300.</v>
      </c>
      <c r="G1243" t="str">
        <f t="shared" si="116"/>
        <v>1</v>
      </c>
      <c r="H1243" t="str">
        <f t="shared" si="117"/>
        <v>2</v>
      </c>
      <c r="I1243" t="str">
        <f t="shared" si="118"/>
        <v>3</v>
      </c>
      <c r="J1243" t="str">
        <f t="shared" ca="1" si="119"/>
        <v/>
      </c>
    </row>
    <row r="1244" spans="1:10" ht="18.75" x14ac:dyDescent="0.25">
      <c r="A1244" s="10" t="s">
        <v>1059</v>
      </c>
      <c r="B1244">
        <f>IFERROR(COUNTIFS($A$1:A1244,"Câu "&amp;"*")-MID(A1244,5,FIND(".",A1244,1)-5),0)</f>
        <v>0</v>
      </c>
      <c r="C1244" t="b">
        <v>0</v>
      </c>
      <c r="E1244" t="str">
        <f t="shared" si="114"/>
        <v>Câu 300.</v>
      </c>
      <c r="F1244" t="str">
        <f t="shared" si="115"/>
        <v>1</v>
      </c>
      <c r="G1244" t="str">
        <f t="shared" si="116"/>
        <v>2</v>
      </c>
      <c r="H1244" t="str">
        <f t="shared" si="117"/>
        <v>3</v>
      </c>
      <c r="I1244" t="str">
        <f t="shared" si="118"/>
        <v>4</v>
      </c>
      <c r="J1244" t="str">
        <f t="shared" ca="1" si="119"/>
        <v>3</v>
      </c>
    </row>
    <row r="1245" spans="1:10" ht="18.75" x14ac:dyDescent="0.25">
      <c r="A1245" s="11" t="s">
        <v>2595</v>
      </c>
      <c r="B1245">
        <f>IFERROR(COUNTIFS($A$1:A1245,"Câu "&amp;"*")-MID(A1245,5,FIND(".",A1245,1)-5),0)</f>
        <v>0</v>
      </c>
      <c r="C1245" t="b">
        <v>0</v>
      </c>
      <c r="E1245" t="str">
        <f t="shared" si="114"/>
        <v>1</v>
      </c>
      <c r="F1245" t="str">
        <f t="shared" si="115"/>
        <v>2</v>
      </c>
      <c r="G1245" t="str">
        <f t="shared" si="116"/>
        <v>3</v>
      </c>
      <c r="H1245" t="str">
        <f t="shared" si="117"/>
        <v>4</v>
      </c>
      <c r="I1245" t="str">
        <f t="shared" si="118"/>
        <v>C</v>
      </c>
      <c r="J1245" t="str">
        <f t="shared" ca="1" si="119"/>
        <v/>
      </c>
    </row>
    <row r="1246" spans="1:10" ht="18.75" x14ac:dyDescent="0.25">
      <c r="A1246" s="11" t="s">
        <v>2596</v>
      </c>
      <c r="B1246">
        <f>IFERROR(COUNTIFS($A$1:A1246,"Câu "&amp;"*")-MID(A1246,5,FIND(".",A1246,1)-5),0)</f>
        <v>0</v>
      </c>
      <c r="C1246" t="b">
        <v>0</v>
      </c>
      <c r="E1246" t="str">
        <f t="shared" si="114"/>
        <v>2</v>
      </c>
      <c r="F1246" t="str">
        <f t="shared" si="115"/>
        <v>3</v>
      </c>
      <c r="G1246" t="str">
        <f t="shared" si="116"/>
        <v>4</v>
      </c>
      <c r="H1246" t="str">
        <f t="shared" si="117"/>
        <v>C</v>
      </c>
      <c r="I1246" t="str">
        <f t="shared" si="118"/>
        <v/>
      </c>
      <c r="J1246" t="str">
        <f t="shared" ca="1" si="119"/>
        <v/>
      </c>
    </row>
    <row r="1247" spans="1:10" ht="18.75" x14ac:dyDescent="0.25">
      <c r="A1247" s="11" t="s">
        <v>2597</v>
      </c>
      <c r="B1247">
        <f>IFERROR(COUNTIFS($A$1:A1247,"Câu "&amp;"*")-MID(A1247,5,FIND(".",A1247,1)-5),0)</f>
        <v>0</v>
      </c>
      <c r="C1247" t="b">
        <v>1</v>
      </c>
      <c r="E1247" t="str">
        <f t="shared" si="114"/>
        <v>3</v>
      </c>
      <c r="F1247" t="str">
        <f t="shared" si="115"/>
        <v>4</v>
      </c>
      <c r="G1247" t="str">
        <f t="shared" si="116"/>
        <v>C</v>
      </c>
      <c r="H1247" t="str">
        <f t="shared" si="117"/>
        <v/>
      </c>
      <c r="I1247" t="str">
        <f t="shared" si="118"/>
        <v>1</v>
      </c>
      <c r="J1247" t="str">
        <f t="shared" ca="1" si="119"/>
        <v/>
      </c>
    </row>
    <row r="1248" spans="1:10" ht="18.75" x14ac:dyDescent="0.25">
      <c r="A1248" s="11" t="s">
        <v>2598</v>
      </c>
      <c r="B1248">
        <f>IFERROR(COUNTIFS($A$1:A1248,"Câu "&amp;"*")-MID(A1248,5,FIND(".",A1248,1)-5),0)</f>
        <v>0</v>
      </c>
      <c r="C1248" t="b">
        <v>0</v>
      </c>
      <c r="E1248" t="str">
        <f t="shared" si="114"/>
        <v>4</v>
      </c>
      <c r="F1248" t="str">
        <f t="shared" si="115"/>
        <v>C</v>
      </c>
      <c r="G1248" t="str">
        <f t="shared" si="116"/>
        <v>Câu 301.</v>
      </c>
      <c r="H1248" t="str">
        <f t="shared" si="117"/>
        <v>1</v>
      </c>
      <c r="I1248" t="str">
        <f t="shared" si="118"/>
        <v>2</v>
      </c>
      <c r="J1248" t="str">
        <f t="shared" ca="1" si="119"/>
        <v/>
      </c>
    </row>
    <row r="1249" spans="1:10" ht="18.75" x14ac:dyDescent="0.25">
      <c r="A1249" s="7" t="s">
        <v>1064</v>
      </c>
      <c r="B1249">
        <f>IFERROR(COUNTIFS($A$1:A1249,"Câu "&amp;"*")-MID(A1249,5,FIND(".",A1249,1)-5),0)</f>
        <v>0</v>
      </c>
      <c r="C1249" t="b">
        <v>0</v>
      </c>
      <c r="E1249" t="str">
        <f t="shared" si="114"/>
        <v>C</v>
      </c>
      <c r="F1249" t="str">
        <f t="shared" si="115"/>
        <v>Câu 301.</v>
      </c>
      <c r="G1249" t="str">
        <f t="shared" si="116"/>
        <v>1</v>
      </c>
      <c r="H1249" t="str">
        <f t="shared" si="117"/>
        <v>2</v>
      </c>
      <c r="I1249" t="str">
        <f t="shared" si="118"/>
        <v>3</v>
      </c>
      <c r="J1249" t="str">
        <f t="shared" ca="1" si="119"/>
        <v/>
      </c>
    </row>
    <row r="1250" spans="1:10" ht="18.75" x14ac:dyDescent="0.25">
      <c r="A1250" s="10" t="s">
        <v>1065</v>
      </c>
      <c r="B1250">
        <f>IFERROR(COUNTIFS($A$1:A1250,"Câu "&amp;"*")-MID(A1250,5,FIND(".",A1250,1)-5),0)</f>
        <v>0</v>
      </c>
      <c r="C1250" t="b">
        <v>0</v>
      </c>
      <c r="E1250" t="str">
        <f t="shared" si="114"/>
        <v>Câu 301.</v>
      </c>
      <c r="F1250" t="str">
        <f t="shared" si="115"/>
        <v>1</v>
      </c>
      <c r="G1250" t="str">
        <f t="shared" si="116"/>
        <v>2</v>
      </c>
      <c r="H1250" t="str">
        <f t="shared" si="117"/>
        <v>3</v>
      </c>
      <c r="I1250" t="str">
        <f t="shared" si="118"/>
        <v>4</v>
      </c>
      <c r="J1250" t="str">
        <f t="shared" ca="1" si="119"/>
        <v>1</v>
      </c>
    </row>
    <row r="1251" spans="1:10" ht="18.75" x14ac:dyDescent="0.25">
      <c r="A1251" s="11" t="s">
        <v>2599</v>
      </c>
      <c r="B1251">
        <f>IFERROR(COUNTIFS($A$1:A1251,"Câu "&amp;"*")-MID(A1251,5,FIND(".",A1251,1)-5),0)</f>
        <v>0</v>
      </c>
      <c r="C1251" t="b">
        <v>1</v>
      </c>
      <c r="E1251" t="str">
        <f t="shared" si="114"/>
        <v>1</v>
      </c>
      <c r="F1251" t="str">
        <f t="shared" si="115"/>
        <v>2</v>
      </c>
      <c r="G1251" t="str">
        <f t="shared" si="116"/>
        <v>3</v>
      </c>
      <c r="H1251" t="str">
        <f t="shared" si="117"/>
        <v>4</v>
      </c>
      <c r="I1251" t="str">
        <f t="shared" si="118"/>
        <v/>
      </c>
      <c r="J1251" t="str">
        <f t="shared" ca="1" si="119"/>
        <v/>
      </c>
    </row>
    <row r="1252" spans="1:10" ht="18.75" x14ac:dyDescent="0.25">
      <c r="A1252" s="11" t="s">
        <v>2600</v>
      </c>
      <c r="B1252">
        <f>IFERROR(COUNTIFS($A$1:A1252,"Câu "&amp;"*")-MID(A1252,5,FIND(".",A1252,1)-5),0)</f>
        <v>0</v>
      </c>
      <c r="C1252" t="b">
        <v>0</v>
      </c>
      <c r="E1252" t="str">
        <f t="shared" si="114"/>
        <v>2</v>
      </c>
      <c r="F1252" t="str">
        <f t="shared" si="115"/>
        <v>3</v>
      </c>
      <c r="G1252" t="str">
        <f t="shared" si="116"/>
        <v>4</v>
      </c>
      <c r="H1252" t="str">
        <f t="shared" si="117"/>
        <v/>
      </c>
      <c r="I1252" t="str">
        <f t="shared" si="118"/>
        <v>1</v>
      </c>
      <c r="J1252" t="str">
        <f t="shared" ca="1" si="119"/>
        <v/>
      </c>
    </row>
    <row r="1253" spans="1:10" ht="18.75" x14ac:dyDescent="0.25">
      <c r="A1253" s="11" t="s">
        <v>1067</v>
      </c>
      <c r="B1253">
        <f>IFERROR(COUNTIFS($A$1:A1253,"Câu "&amp;"*")-MID(A1253,5,FIND(".",A1253,1)-5),0)</f>
        <v>0</v>
      </c>
      <c r="C1253" t="b">
        <v>0</v>
      </c>
      <c r="E1253" t="str">
        <f t="shared" si="114"/>
        <v>3</v>
      </c>
      <c r="F1253" t="str">
        <f t="shared" si="115"/>
        <v>4</v>
      </c>
      <c r="G1253" t="str">
        <f t="shared" si="116"/>
        <v>Câu 302.</v>
      </c>
      <c r="H1253" t="str">
        <f t="shared" si="117"/>
        <v>1</v>
      </c>
      <c r="I1253" t="str">
        <f t="shared" si="118"/>
        <v>2</v>
      </c>
      <c r="J1253" t="str">
        <f t="shared" ca="1" si="119"/>
        <v/>
      </c>
    </row>
    <row r="1254" spans="1:10" ht="18.75" x14ac:dyDescent="0.25">
      <c r="A1254" s="11" t="s">
        <v>1069</v>
      </c>
      <c r="B1254">
        <f>IFERROR(COUNTIFS($A$1:A1254,"Câu "&amp;"*")-MID(A1254,5,FIND(".",A1254,1)-5),0)</f>
        <v>0</v>
      </c>
      <c r="C1254" t="b">
        <v>0</v>
      </c>
      <c r="E1254" t="str">
        <f t="shared" si="114"/>
        <v>4</v>
      </c>
      <c r="F1254" t="str">
        <f t="shared" si="115"/>
        <v>Câu 302.</v>
      </c>
      <c r="G1254" t="str">
        <f t="shared" si="116"/>
        <v>1</v>
      </c>
      <c r="H1254" t="str">
        <f t="shared" si="117"/>
        <v>2</v>
      </c>
      <c r="I1254" t="str">
        <f t="shared" si="118"/>
        <v>3</v>
      </c>
      <c r="J1254" t="str">
        <f t="shared" ca="1" si="119"/>
        <v/>
      </c>
    </row>
    <row r="1255" spans="1:10" ht="18.75" x14ac:dyDescent="0.25">
      <c r="A1255" s="10" t="s">
        <v>1070</v>
      </c>
      <c r="B1255">
        <f>IFERROR(COUNTIFS($A$1:A1255,"Câu "&amp;"*")-MID(A1255,5,FIND(".",A1255,1)-5),0)</f>
        <v>0</v>
      </c>
      <c r="C1255" t="b">
        <v>0</v>
      </c>
      <c r="E1255" t="str">
        <f t="shared" si="114"/>
        <v>Câu 302.</v>
      </c>
      <c r="F1255" t="str">
        <f t="shared" si="115"/>
        <v>1</v>
      </c>
      <c r="G1255" t="str">
        <f t="shared" si="116"/>
        <v>2</v>
      </c>
      <c r="H1255" t="str">
        <f t="shared" si="117"/>
        <v>3</v>
      </c>
      <c r="I1255" t="str">
        <f t="shared" si="118"/>
        <v>4</v>
      </c>
      <c r="J1255" t="str">
        <f t="shared" ca="1" si="119"/>
        <v>4</v>
      </c>
    </row>
    <row r="1256" spans="1:10" ht="18.75" x14ac:dyDescent="0.25">
      <c r="A1256" s="11" t="s">
        <v>2601</v>
      </c>
      <c r="B1256">
        <f>IFERROR(COUNTIFS($A$1:A1256,"Câu "&amp;"*")-MID(A1256,5,FIND(".",A1256,1)-5),0)</f>
        <v>0</v>
      </c>
      <c r="C1256" t="b">
        <v>0</v>
      </c>
      <c r="E1256" t="str">
        <f t="shared" si="114"/>
        <v>1</v>
      </c>
      <c r="F1256" t="str">
        <f t="shared" si="115"/>
        <v>2</v>
      </c>
      <c r="G1256" t="str">
        <f t="shared" si="116"/>
        <v>3</v>
      </c>
      <c r="H1256" t="str">
        <f t="shared" si="117"/>
        <v>4</v>
      </c>
      <c r="I1256" t="str">
        <f t="shared" si="118"/>
        <v/>
      </c>
      <c r="J1256" t="str">
        <f t="shared" ca="1" si="119"/>
        <v/>
      </c>
    </row>
    <row r="1257" spans="1:10" ht="18.75" x14ac:dyDescent="0.25">
      <c r="A1257" s="11" t="s">
        <v>2602</v>
      </c>
      <c r="B1257">
        <f>IFERROR(COUNTIFS($A$1:A1257,"Câu "&amp;"*")-MID(A1257,5,FIND(".",A1257,1)-5),0)</f>
        <v>0</v>
      </c>
      <c r="C1257" t="b">
        <v>0</v>
      </c>
      <c r="E1257" t="str">
        <f t="shared" si="114"/>
        <v>2</v>
      </c>
      <c r="F1257" t="str">
        <f t="shared" si="115"/>
        <v>3</v>
      </c>
      <c r="G1257" t="str">
        <f t="shared" si="116"/>
        <v>4</v>
      </c>
      <c r="H1257" t="str">
        <f t="shared" si="117"/>
        <v/>
      </c>
      <c r="I1257" t="str">
        <f t="shared" si="118"/>
        <v>1</v>
      </c>
      <c r="J1257" t="str">
        <f t="shared" ca="1" si="119"/>
        <v/>
      </c>
    </row>
    <row r="1258" spans="1:10" ht="18.75" x14ac:dyDescent="0.25">
      <c r="A1258" s="11" t="s">
        <v>1067</v>
      </c>
      <c r="B1258">
        <f>IFERROR(COUNTIFS($A$1:A1258,"Câu "&amp;"*")-MID(A1258,5,FIND(".",A1258,1)-5),0)</f>
        <v>0</v>
      </c>
      <c r="C1258" t="b">
        <v>0</v>
      </c>
      <c r="E1258" t="str">
        <f t="shared" si="114"/>
        <v>3</v>
      </c>
      <c r="F1258" t="str">
        <f t="shared" si="115"/>
        <v>4</v>
      </c>
      <c r="G1258" t="str">
        <f t="shared" si="116"/>
        <v>Câu 303.</v>
      </c>
      <c r="H1258" t="str">
        <f t="shared" si="117"/>
        <v>1</v>
      </c>
      <c r="I1258" t="str">
        <f t="shared" si="118"/>
        <v>2</v>
      </c>
      <c r="J1258" t="str">
        <f t="shared" ca="1" si="119"/>
        <v/>
      </c>
    </row>
    <row r="1259" spans="1:10" ht="18.75" x14ac:dyDescent="0.25">
      <c r="A1259" s="12" t="s">
        <v>1073</v>
      </c>
      <c r="B1259">
        <f>IFERROR(COUNTIFS($A$1:A1259,"Câu "&amp;"*")-MID(A1259,5,FIND(".",A1259,1)-5),0)</f>
        <v>0</v>
      </c>
      <c r="C1259" t="b">
        <v>1</v>
      </c>
      <c r="E1259" t="str">
        <f t="shared" si="114"/>
        <v>4</v>
      </c>
      <c r="F1259" t="str">
        <f t="shared" si="115"/>
        <v>Câu 303.</v>
      </c>
      <c r="G1259" t="str">
        <f t="shared" si="116"/>
        <v>1</v>
      </c>
      <c r="H1259" t="str">
        <f t="shared" si="117"/>
        <v>2</v>
      </c>
      <c r="I1259" t="str">
        <f t="shared" si="118"/>
        <v>3</v>
      </c>
      <c r="J1259" t="str">
        <f t="shared" ca="1" si="119"/>
        <v/>
      </c>
    </row>
    <row r="1260" spans="1:10" ht="18.75" x14ac:dyDescent="0.25">
      <c r="A1260" s="10" t="s">
        <v>1074</v>
      </c>
      <c r="B1260">
        <f>IFERROR(COUNTIFS($A$1:A1260,"Câu "&amp;"*")-MID(A1260,5,FIND(".",A1260,1)-5),0)</f>
        <v>0</v>
      </c>
      <c r="C1260" t="b">
        <v>0</v>
      </c>
      <c r="E1260" t="str">
        <f t="shared" si="114"/>
        <v>Câu 303.</v>
      </c>
      <c r="F1260" t="str">
        <f t="shared" si="115"/>
        <v>1</v>
      </c>
      <c r="G1260" t="str">
        <f t="shared" si="116"/>
        <v>2</v>
      </c>
      <c r="H1260" t="str">
        <f t="shared" si="117"/>
        <v>3</v>
      </c>
      <c r="I1260" t="str">
        <f t="shared" si="118"/>
        <v>4</v>
      </c>
      <c r="J1260" t="str">
        <f t="shared" ca="1" si="119"/>
        <v>2</v>
      </c>
    </row>
    <row r="1261" spans="1:10" ht="18.75" x14ac:dyDescent="0.25">
      <c r="A1261" s="11" t="s">
        <v>2603</v>
      </c>
      <c r="B1261">
        <f>IFERROR(COUNTIFS($A$1:A1261,"Câu "&amp;"*")-MID(A1261,5,FIND(".",A1261,1)-5),0)</f>
        <v>0</v>
      </c>
      <c r="C1261" t="b">
        <v>0</v>
      </c>
      <c r="E1261" t="str">
        <f t="shared" si="114"/>
        <v>1</v>
      </c>
      <c r="F1261" t="str">
        <f t="shared" si="115"/>
        <v>2</v>
      </c>
      <c r="G1261" t="str">
        <f t="shared" si="116"/>
        <v>3</v>
      </c>
      <c r="H1261" t="str">
        <f t="shared" si="117"/>
        <v>4</v>
      </c>
      <c r="I1261" t="str">
        <f t="shared" si="118"/>
        <v/>
      </c>
      <c r="J1261" t="str">
        <f t="shared" ca="1" si="119"/>
        <v/>
      </c>
    </row>
    <row r="1262" spans="1:10" ht="18.75" x14ac:dyDescent="0.25">
      <c r="A1262" s="11" t="s">
        <v>2604</v>
      </c>
      <c r="B1262">
        <f>IFERROR(COUNTIFS($A$1:A1262,"Câu "&amp;"*")-MID(A1262,5,FIND(".",A1262,1)-5),0)</f>
        <v>0</v>
      </c>
      <c r="C1262" t="b">
        <v>1</v>
      </c>
      <c r="E1262" t="str">
        <f t="shared" si="114"/>
        <v>2</v>
      </c>
      <c r="F1262" t="str">
        <f t="shared" si="115"/>
        <v>3</v>
      </c>
      <c r="G1262" t="str">
        <f t="shared" si="116"/>
        <v>4</v>
      </c>
      <c r="H1262" t="str">
        <f t="shared" si="117"/>
        <v/>
      </c>
      <c r="I1262" t="str">
        <f t="shared" si="118"/>
        <v>1</v>
      </c>
      <c r="J1262" t="str">
        <f t="shared" ca="1" si="119"/>
        <v/>
      </c>
    </row>
    <row r="1263" spans="1:10" ht="18.75" x14ac:dyDescent="0.25">
      <c r="A1263" s="11" t="s">
        <v>2605</v>
      </c>
      <c r="B1263">
        <f>IFERROR(COUNTIFS($A$1:A1263,"Câu "&amp;"*")-MID(A1263,5,FIND(".",A1263,1)-5),0)</f>
        <v>0</v>
      </c>
      <c r="C1263" t="b">
        <v>0</v>
      </c>
      <c r="E1263" t="str">
        <f t="shared" si="114"/>
        <v>3</v>
      </c>
      <c r="F1263" t="str">
        <f t="shared" si="115"/>
        <v>4</v>
      </c>
      <c r="G1263" t="str">
        <f t="shared" si="116"/>
        <v>Câu 304.</v>
      </c>
      <c r="H1263" t="str">
        <f t="shared" si="117"/>
        <v>1</v>
      </c>
      <c r="I1263" t="str">
        <f t="shared" si="118"/>
        <v>2</v>
      </c>
      <c r="J1263" t="str">
        <f t="shared" ca="1" si="119"/>
        <v/>
      </c>
    </row>
    <row r="1264" spans="1:10" ht="18.75" x14ac:dyDescent="0.25">
      <c r="A1264" s="11" t="s">
        <v>2606</v>
      </c>
      <c r="B1264">
        <f>IFERROR(COUNTIFS($A$1:A1264,"Câu "&amp;"*")-MID(A1264,5,FIND(".",A1264,1)-5),0)</f>
        <v>0</v>
      </c>
      <c r="C1264" t="b">
        <v>0</v>
      </c>
      <c r="E1264" t="str">
        <f t="shared" si="114"/>
        <v>4</v>
      </c>
      <c r="F1264" t="str">
        <f t="shared" si="115"/>
        <v>Câu 304.</v>
      </c>
      <c r="G1264" t="str">
        <f t="shared" si="116"/>
        <v>1</v>
      </c>
      <c r="H1264" t="str">
        <f t="shared" si="117"/>
        <v>2</v>
      </c>
      <c r="I1264" t="str">
        <f t="shared" si="118"/>
        <v>3</v>
      </c>
      <c r="J1264" t="str">
        <f t="shared" ca="1" si="119"/>
        <v/>
      </c>
    </row>
    <row r="1265" spans="1:10" ht="18.75" x14ac:dyDescent="0.25">
      <c r="A1265" s="10" t="s">
        <v>1078</v>
      </c>
      <c r="B1265">
        <f>IFERROR(COUNTIFS($A$1:A1265,"Câu "&amp;"*")-MID(A1265,5,FIND(".",A1265,1)-5),0)</f>
        <v>0</v>
      </c>
      <c r="C1265" t="b">
        <v>0</v>
      </c>
      <c r="E1265" t="str">
        <f t="shared" si="114"/>
        <v>Câu 304.</v>
      </c>
      <c r="F1265" t="str">
        <f t="shared" si="115"/>
        <v>1</v>
      </c>
      <c r="G1265" t="str">
        <f t="shared" si="116"/>
        <v>2</v>
      </c>
      <c r="H1265" t="str">
        <f t="shared" si="117"/>
        <v>3</v>
      </c>
      <c r="I1265" t="str">
        <f t="shared" si="118"/>
        <v/>
      </c>
      <c r="J1265" t="str">
        <f t="shared" ca="1" si="119"/>
        <v>1</v>
      </c>
    </row>
    <row r="1266" spans="1:10" ht="18.75" x14ac:dyDescent="0.25">
      <c r="A1266" s="11" t="s">
        <v>2607</v>
      </c>
      <c r="B1266">
        <f>IFERROR(COUNTIFS($A$1:A1266,"Câu "&amp;"*")-MID(A1266,5,FIND(".",A1266,1)-5),0)</f>
        <v>0</v>
      </c>
      <c r="C1266" t="b">
        <v>1</v>
      </c>
      <c r="E1266" t="str">
        <f t="shared" si="114"/>
        <v>1</v>
      </c>
      <c r="F1266" t="str">
        <f t="shared" si="115"/>
        <v>2</v>
      </c>
      <c r="G1266" t="str">
        <f t="shared" si="116"/>
        <v>3</v>
      </c>
      <c r="H1266" t="str">
        <f t="shared" si="117"/>
        <v/>
      </c>
      <c r="I1266" t="str">
        <f t="shared" si="118"/>
        <v>1</v>
      </c>
      <c r="J1266" t="str">
        <f t="shared" ca="1" si="119"/>
        <v/>
      </c>
    </row>
    <row r="1267" spans="1:10" ht="18.75" x14ac:dyDescent="0.25">
      <c r="A1267" s="11" t="s">
        <v>2608</v>
      </c>
      <c r="B1267">
        <f>IFERROR(COUNTIFS($A$1:A1267,"Câu "&amp;"*")-MID(A1267,5,FIND(".",A1267,1)-5),0)</f>
        <v>0</v>
      </c>
      <c r="C1267" t="b">
        <v>0</v>
      </c>
      <c r="E1267" t="str">
        <f t="shared" si="114"/>
        <v>2</v>
      </c>
      <c r="F1267" t="str">
        <f t="shared" si="115"/>
        <v>3</v>
      </c>
      <c r="G1267" t="str">
        <f t="shared" si="116"/>
        <v>Câu 305.</v>
      </c>
      <c r="H1267" t="str">
        <f t="shared" si="117"/>
        <v>1</v>
      </c>
      <c r="I1267" t="str">
        <f t="shared" si="118"/>
        <v>2</v>
      </c>
      <c r="J1267" t="str">
        <f t="shared" ca="1" si="119"/>
        <v/>
      </c>
    </row>
    <row r="1268" spans="1:10" ht="18.75" x14ac:dyDescent="0.25">
      <c r="A1268" s="11" t="s">
        <v>2609</v>
      </c>
      <c r="B1268">
        <f>IFERROR(COUNTIFS($A$1:A1268,"Câu "&amp;"*")-MID(A1268,5,FIND(".",A1268,1)-5),0)</f>
        <v>0</v>
      </c>
      <c r="C1268" t="b">
        <v>0</v>
      </c>
      <c r="E1268" t="str">
        <f t="shared" si="114"/>
        <v>3</v>
      </c>
      <c r="F1268" t="str">
        <f t="shared" si="115"/>
        <v>Câu 305.</v>
      </c>
      <c r="G1268" t="str">
        <f t="shared" si="116"/>
        <v>1</v>
      </c>
      <c r="H1268" t="str">
        <f t="shared" si="117"/>
        <v>2</v>
      </c>
      <c r="I1268" t="str">
        <f t="shared" si="118"/>
        <v>3</v>
      </c>
      <c r="J1268" t="str">
        <f t="shared" ca="1" si="119"/>
        <v/>
      </c>
    </row>
    <row r="1269" spans="1:10" ht="18.75" x14ac:dyDescent="0.25">
      <c r="A1269" s="10" t="s">
        <v>1080</v>
      </c>
      <c r="B1269">
        <f>IFERROR(COUNTIFS($A$1:A1269,"Câu "&amp;"*")-MID(A1269,5,FIND(".",A1269,1)-5),0)</f>
        <v>0</v>
      </c>
      <c r="C1269" t="b">
        <v>0</v>
      </c>
      <c r="E1269" t="str">
        <f t="shared" si="114"/>
        <v>Câu 305.</v>
      </c>
      <c r="F1269" t="str">
        <f t="shared" si="115"/>
        <v>1</v>
      </c>
      <c r="G1269" t="str">
        <f t="shared" si="116"/>
        <v>2</v>
      </c>
      <c r="H1269" t="str">
        <f t="shared" si="117"/>
        <v>3</v>
      </c>
      <c r="I1269" t="str">
        <f t="shared" si="118"/>
        <v/>
      </c>
      <c r="J1269" t="str">
        <f t="shared" ca="1" si="119"/>
        <v>3</v>
      </c>
    </row>
    <row r="1270" spans="1:10" ht="18.75" x14ac:dyDescent="0.25">
      <c r="A1270" s="11" t="s">
        <v>2603</v>
      </c>
      <c r="B1270">
        <f>IFERROR(COUNTIFS($A$1:A1270,"Câu "&amp;"*")-MID(A1270,5,FIND(".",A1270,1)-5),0)</f>
        <v>0</v>
      </c>
      <c r="C1270" t="b">
        <v>0</v>
      </c>
      <c r="E1270" t="str">
        <f t="shared" si="114"/>
        <v>1</v>
      </c>
      <c r="F1270" t="str">
        <f t="shared" si="115"/>
        <v>2</v>
      </c>
      <c r="G1270" t="str">
        <f t="shared" si="116"/>
        <v>3</v>
      </c>
      <c r="H1270" t="str">
        <f t="shared" si="117"/>
        <v/>
      </c>
      <c r="I1270" t="str">
        <f t="shared" si="118"/>
        <v>1</v>
      </c>
      <c r="J1270" t="str">
        <f t="shared" ca="1" si="119"/>
        <v/>
      </c>
    </row>
    <row r="1271" spans="1:10" ht="18.75" x14ac:dyDescent="0.25">
      <c r="A1271" s="11" t="s">
        <v>2600</v>
      </c>
      <c r="B1271">
        <f>IFERROR(COUNTIFS($A$1:A1271,"Câu "&amp;"*")-MID(A1271,5,FIND(".",A1271,1)-5),0)</f>
        <v>0</v>
      </c>
      <c r="C1271" t="b">
        <v>0</v>
      </c>
      <c r="E1271" t="str">
        <f t="shared" si="114"/>
        <v>2</v>
      </c>
      <c r="F1271" t="str">
        <f t="shared" si="115"/>
        <v>3</v>
      </c>
      <c r="G1271" t="str">
        <f t="shared" si="116"/>
        <v>Câu 306.</v>
      </c>
      <c r="H1271" t="str">
        <f t="shared" si="117"/>
        <v>1</v>
      </c>
      <c r="I1271" t="str">
        <f t="shared" si="118"/>
        <v>2</v>
      </c>
      <c r="J1271" t="str">
        <f t="shared" ca="1" si="119"/>
        <v/>
      </c>
    </row>
    <row r="1272" spans="1:10" ht="18.75" x14ac:dyDescent="0.25">
      <c r="A1272" s="11" t="s">
        <v>2610</v>
      </c>
      <c r="B1272">
        <f>IFERROR(COUNTIFS($A$1:A1272,"Câu "&amp;"*")-MID(A1272,5,FIND(".",A1272,1)-5),0)</f>
        <v>0</v>
      </c>
      <c r="C1272" t="b">
        <v>1</v>
      </c>
      <c r="E1272" t="str">
        <f t="shared" si="114"/>
        <v>3</v>
      </c>
      <c r="F1272" t="str">
        <f t="shared" si="115"/>
        <v>Câu 306.</v>
      </c>
      <c r="G1272" t="str">
        <f t="shared" si="116"/>
        <v>1</v>
      </c>
      <c r="H1272" t="str">
        <f t="shared" si="117"/>
        <v>2</v>
      </c>
      <c r="I1272" t="str">
        <f t="shared" si="118"/>
        <v>3</v>
      </c>
      <c r="J1272" t="str">
        <f t="shared" ca="1" si="119"/>
        <v/>
      </c>
    </row>
    <row r="1273" spans="1:10" ht="18.75" x14ac:dyDescent="0.25">
      <c r="A1273" s="10" t="s">
        <v>1082</v>
      </c>
      <c r="B1273">
        <f>IFERROR(COUNTIFS($A$1:A1273,"Câu "&amp;"*")-MID(A1273,5,FIND(".",A1273,1)-5),0)</f>
        <v>0</v>
      </c>
      <c r="C1273" t="b">
        <v>0</v>
      </c>
      <c r="E1273" t="str">
        <f t="shared" si="114"/>
        <v>Câu 306.</v>
      </c>
      <c r="F1273" t="str">
        <f t="shared" si="115"/>
        <v>1</v>
      </c>
      <c r="G1273" t="str">
        <f t="shared" si="116"/>
        <v>2</v>
      </c>
      <c r="H1273" t="str">
        <f t="shared" si="117"/>
        <v>3</v>
      </c>
      <c r="I1273" t="str">
        <f t="shared" si="118"/>
        <v/>
      </c>
      <c r="J1273" t="str">
        <f t="shared" ca="1" si="119"/>
        <v>1</v>
      </c>
    </row>
    <row r="1274" spans="1:10" ht="18.75" x14ac:dyDescent="0.25">
      <c r="A1274" s="11" t="s">
        <v>2599</v>
      </c>
      <c r="B1274">
        <f>IFERROR(COUNTIFS($A$1:A1274,"Câu "&amp;"*")-MID(A1274,5,FIND(".",A1274,1)-5),0)</f>
        <v>0</v>
      </c>
      <c r="C1274" t="b">
        <v>1</v>
      </c>
      <c r="E1274" t="str">
        <f t="shared" si="114"/>
        <v>1</v>
      </c>
      <c r="F1274" t="str">
        <f t="shared" si="115"/>
        <v>2</v>
      </c>
      <c r="G1274" t="str">
        <f t="shared" si="116"/>
        <v>3</v>
      </c>
      <c r="H1274" t="str">
        <f t="shared" si="117"/>
        <v/>
      </c>
      <c r="I1274" t="str">
        <f t="shared" si="118"/>
        <v>1</v>
      </c>
      <c r="J1274" t="str">
        <f t="shared" ca="1" si="119"/>
        <v/>
      </c>
    </row>
    <row r="1275" spans="1:10" ht="18.75" x14ac:dyDescent="0.25">
      <c r="A1275" s="11" t="s">
        <v>2600</v>
      </c>
      <c r="B1275">
        <f>IFERROR(COUNTIFS($A$1:A1275,"Câu "&amp;"*")-MID(A1275,5,FIND(".",A1275,1)-5),0)</f>
        <v>0</v>
      </c>
      <c r="C1275" t="b">
        <v>0</v>
      </c>
      <c r="E1275" t="str">
        <f t="shared" si="114"/>
        <v>2</v>
      </c>
      <c r="F1275" t="str">
        <f t="shared" si="115"/>
        <v>3</v>
      </c>
      <c r="G1275" t="str">
        <f t="shared" si="116"/>
        <v>Câu 307.</v>
      </c>
      <c r="H1275" t="str">
        <f t="shared" si="117"/>
        <v>1</v>
      </c>
      <c r="I1275" t="str">
        <f t="shared" si="118"/>
        <v>2</v>
      </c>
      <c r="J1275" t="str">
        <f t="shared" ca="1" si="119"/>
        <v/>
      </c>
    </row>
    <row r="1276" spans="1:10" ht="18.75" x14ac:dyDescent="0.25">
      <c r="A1276" s="11" t="s">
        <v>2611</v>
      </c>
      <c r="B1276">
        <f>IFERROR(COUNTIFS($A$1:A1276,"Câu "&amp;"*")-MID(A1276,5,FIND(".",A1276,1)-5),0)</f>
        <v>0</v>
      </c>
      <c r="C1276" t="b">
        <v>0</v>
      </c>
      <c r="E1276" t="str">
        <f t="shared" si="114"/>
        <v>3</v>
      </c>
      <c r="F1276" t="str">
        <f t="shared" si="115"/>
        <v>Câu 307.</v>
      </c>
      <c r="G1276" t="str">
        <f t="shared" si="116"/>
        <v>1</v>
      </c>
      <c r="H1276" t="str">
        <f t="shared" si="117"/>
        <v>2</v>
      </c>
      <c r="I1276" t="str">
        <f t="shared" si="118"/>
        <v>3</v>
      </c>
      <c r="J1276" t="str">
        <f t="shared" ca="1" si="119"/>
        <v/>
      </c>
    </row>
    <row r="1277" spans="1:10" ht="18.75" x14ac:dyDescent="0.25">
      <c r="A1277" s="10" t="s">
        <v>1084</v>
      </c>
      <c r="B1277">
        <f>IFERROR(COUNTIFS($A$1:A1277,"Câu "&amp;"*")-MID(A1277,5,FIND(".",A1277,1)-5),0)</f>
        <v>0</v>
      </c>
      <c r="C1277" t="b">
        <v>0</v>
      </c>
      <c r="E1277" t="str">
        <f t="shared" si="114"/>
        <v>Câu 307.</v>
      </c>
      <c r="F1277" t="str">
        <f t="shared" si="115"/>
        <v>1</v>
      </c>
      <c r="G1277" t="str">
        <f t="shared" si="116"/>
        <v>2</v>
      </c>
      <c r="H1277" t="str">
        <f t="shared" si="117"/>
        <v>3</v>
      </c>
      <c r="I1277" t="str">
        <f t="shared" si="118"/>
        <v>4</v>
      </c>
      <c r="J1277" t="str">
        <f t="shared" ca="1" si="119"/>
        <v>3</v>
      </c>
    </row>
    <row r="1278" spans="1:10" ht="18.75" x14ac:dyDescent="0.25">
      <c r="A1278" s="11" t="s">
        <v>2612</v>
      </c>
      <c r="B1278">
        <f>IFERROR(COUNTIFS($A$1:A1278,"Câu "&amp;"*")-MID(A1278,5,FIND(".",A1278,1)-5),0)</f>
        <v>0</v>
      </c>
      <c r="C1278" t="b">
        <v>0</v>
      </c>
      <c r="E1278" t="str">
        <f t="shared" si="114"/>
        <v>1</v>
      </c>
      <c r="F1278" t="str">
        <f t="shared" si="115"/>
        <v>2</v>
      </c>
      <c r="G1278" t="str">
        <f t="shared" si="116"/>
        <v>3</v>
      </c>
      <c r="H1278" t="str">
        <f t="shared" si="117"/>
        <v>4</v>
      </c>
      <c r="I1278" t="str">
        <f t="shared" si="118"/>
        <v/>
      </c>
      <c r="J1278" t="str">
        <f t="shared" ca="1" si="119"/>
        <v/>
      </c>
    </row>
    <row r="1279" spans="1:10" ht="18.75" x14ac:dyDescent="0.25">
      <c r="A1279" s="11" t="s">
        <v>2613</v>
      </c>
      <c r="B1279">
        <f>IFERROR(COUNTIFS($A$1:A1279,"Câu "&amp;"*")-MID(A1279,5,FIND(".",A1279,1)-5),0)</f>
        <v>0</v>
      </c>
      <c r="C1279" t="b">
        <v>0</v>
      </c>
      <c r="E1279" t="str">
        <f t="shared" si="114"/>
        <v>2</v>
      </c>
      <c r="F1279" t="str">
        <f t="shared" si="115"/>
        <v>3</v>
      </c>
      <c r="G1279" t="str">
        <f t="shared" si="116"/>
        <v>4</v>
      </c>
      <c r="H1279" t="str">
        <f t="shared" si="117"/>
        <v/>
      </c>
      <c r="I1279" t="str">
        <f t="shared" si="118"/>
        <v>1</v>
      </c>
      <c r="J1279" t="str">
        <f t="shared" ca="1" si="119"/>
        <v/>
      </c>
    </row>
    <row r="1280" spans="1:10" ht="18.75" x14ac:dyDescent="0.25">
      <c r="A1280" s="11" t="s">
        <v>2614</v>
      </c>
      <c r="B1280">
        <f>IFERROR(COUNTIFS($A$1:A1280,"Câu "&amp;"*")-MID(A1280,5,FIND(".",A1280,1)-5),0)</f>
        <v>0</v>
      </c>
      <c r="C1280" t="b">
        <v>1</v>
      </c>
      <c r="E1280" t="str">
        <f t="shared" si="114"/>
        <v>3</v>
      </c>
      <c r="F1280" t="str">
        <f t="shared" si="115"/>
        <v>4</v>
      </c>
      <c r="G1280" t="str">
        <f t="shared" si="116"/>
        <v>Câu 308.</v>
      </c>
      <c r="H1280" t="str">
        <f t="shared" si="117"/>
        <v>1</v>
      </c>
      <c r="I1280" t="str">
        <f t="shared" si="118"/>
        <v>2</v>
      </c>
      <c r="J1280" t="str">
        <f t="shared" ca="1" si="119"/>
        <v/>
      </c>
    </row>
    <row r="1281" spans="1:10" ht="18.75" x14ac:dyDescent="0.25">
      <c r="A1281" s="11" t="s">
        <v>2606</v>
      </c>
      <c r="B1281">
        <f>IFERROR(COUNTIFS($A$1:A1281,"Câu "&amp;"*")-MID(A1281,5,FIND(".",A1281,1)-5),0)</f>
        <v>0</v>
      </c>
      <c r="C1281" t="b">
        <v>0</v>
      </c>
      <c r="E1281" t="str">
        <f t="shared" si="114"/>
        <v>4</v>
      </c>
      <c r="F1281" t="str">
        <f t="shared" si="115"/>
        <v>Câu 308.</v>
      </c>
      <c r="G1281" t="str">
        <f t="shared" si="116"/>
        <v>1</v>
      </c>
      <c r="H1281" t="str">
        <f t="shared" si="117"/>
        <v>2</v>
      </c>
      <c r="I1281" t="str">
        <f t="shared" si="118"/>
        <v>3</v>
      </c>
      <c r="J1281" t="str">
        <f t="shared" ca="1" si="119"/>
        <v/>
      </c>
    </row>
    <row r="1282" spans="1:10" ht="18.75" x14ac:dyDescent="0.25">
      <c r="A1282" s="10" t="s">
        <v>1087</v>
      </c>
      <c r="B1282">
        <f>IFERROR(COUNTIFS($A$1:A1282,"Câu "&amp;"*")-MID(A1282,5,FIND(".",A1282,1)-5),0)</f>
        <v>0</v>
      </c>
      <c r="C1282" t="b">
        <v>0</v>
      </c>
      <c r="E1282" t="str">
        <f t="shared" si="114"/>
        <v>Câu 308.</v>
      </c>
      <c r="F1282" t="str">
        <f t="shared" si="115"/>
        <v>1</v>
      </c>
      <c r="G1282" t="str">
        <f t="shared" si="116"/>
        <v>2</v>
      </c>
      <c r="H1282" t="str">
        <f t="shared" si="117"/>
        <v>3</v>
      </c>
      <c r="I1282" t="str">
        <f t="shared" si="118"/>
        <v>4</v>
      </c>
      <c r="J1282" t="str">
        <f t="shared" ca="1" si="119"/>
        <v>3</v>
      </c>
    </row>
    <row r="1283" spans="1:10" ht="18.75" x14ac:dyDescent="0.25">
      <c r="A1283" s="11" t="s">
        <v>2615</v>
      </c>
      <c r="B1283">
        <f>IFERROR(COUNTIFS($A$1:A1283,"Câu "&amp;"*")-MID(A1283,5,FIND(".",A1283,1)-5),0)</f>
        <v>0</v>
      </c>
      <c r="C1283" t="b">
        <v>0</v>
      </c>
      <c r="E1283" t="str">
        <f t="shared" ref="E1283:E1346" si="120">IF(LEFT(A1283,3)="Câu",LEFT(A1283,FIND(".",A1283,1)),LEFT(A1283,1))</f>
        <v>1</v>
      </c>
      <c r="F1283" t="str">
        <f t="shared" ref="F1283:F1346" si="121">IF(LEFT(A1284,3)="Câu",LEFT(A1284,FIND(".",A1284,1)),LEFT(A1284,1))</f>
        <v>2</v>
      </c>
      <c r="G1283" t="str">
        <f t="shared" ref="G1283:G1346" si="122">IF(LEFT(A1285,3)="Câu",LEFT(A1285,FIND(".",A1285,1)),LEFT(A1285,1))</f>
        <v>3</v>
      </c>
      <c r="H1283" t="str">
        <f t="shared" ref="H1283:H1346" si="123">IF(LEFT(A1286,3)="Câu","",LEFT(A1286,1))</f>
        <v>4</v>
      </c>
      <c r="I1283" t="str">
        <f t="shared" ref="I1283:I1346" si="124">IF(LEFT(A1287,3)="Câu","",LEFT(A1287,1))</f>
        <v/>
      </c>
      <c r="J1283" t="str">
        <f t="shared" ref="J1283:J1346" ca="1" si="125">IFERROR(VLOOKUP(TRUE,INDIRECT("C"&amp;MATCH(E1283,$E$1:$E$2471,0)&amp;":E"&amp;MATCH("Câu "&amp;VALUE(MID(E1283,5,LEN(E1283)-5))+1&amp;".",$E$1:$E$2471,0)),3,0),"")</f>
        <v/>
      </c>
    </row>
    <row r="1284" spans="1:10" ht="18.75" x14ac:dyDescent="0.25">
      <c r="A1284" s="11" t="s">
        <v>2600</v>
      </c>
      <c r="B1284">
        <f>IFERROR(COUNTIFS($A$1:A1284,"Câu "&amp;"*")-MID(A1284,5,FIND(".",A1284,1)-5),0)</f>
        <v>0</v>
      </c>
      <c r="C1284" t="b">
        <v>0</v>
      </c>
      <c r="E1284" t="str">
        <f t="shared" si="120"/>
        <v>2</v>
      </c>
      <c r="F1284" t="str">
        <f t="shared" si="121"/>
        <v>3</v>
      </c>
      <c r="G1284" t="str">
        <f t="shared" si="122"/>
        <v>4</v>
      </c>
      <c r="H1284" t="str">
        <f t="shared" si="123"/>
        <v/>
      </c>
      <c r="I1284" t="str">
        <f t="shared" si="124"/>
        <v>1</v>
      </c>
      <c r="J1284" t="str">
        <f t="shared" ca="1" si="125"/>
        <v/>
      </c>
    </row>
    <row r="1285" spans="1:10" ht="18.75" x14ac:dyDescent="0.25">
      <c r="A1285" s="11" t="s">
        <v>2616</v>
      </c>
      <c r="B1285">
        <f>IFERROR(COUNTIFS($A$1:A1285,"Câu "&amp;"*")-MID(A1285,5,FIND(".",A1285,1)-5),0)</f>
        <v>0</v>
      </c>
      <c r="C1285" t="b">
        <v>1</v>
      </c>
      <c r="E1285" t="str">
        <f t="shared" si="120"/>
        <v>3</v>
      </c>
      <c r="F1285" t="str">
        <f t="shared" si="121"/>
        <v>4</v>
      </c>
      <c r="G1285" t="str">
        <f t="shared" si="122"/>
        <v>Câu 309.</v>
      </c>
      <c r="H1285" t="str">
        <f t="shared" si="123"/>
        <v>1</v>
      </c>
      <c r="I1285" t="str">
        <f t="shared" si="124"/>
        <v>2</v>
      </c>
      <c r="J1285" t="str">
        <f t="shared" ca="1" si="125"/>
        <v/>
      </c>
    </row>
    <row r="1286" spans="1:10" ht="18.75" x14ac:dyDescent="0.25">
      <c r="A1286" s="11" t="s">
        <v>2617</v>
      </c>
      <c r="B1286">
        <f>IFERROR(COUNTIFS($A$1:A1286,"Câu "&amp;"*")-MID(A1286,5,FIND(".",A1286,1)-5),0)</f>
        <v>0</v>
      </c>
      <c r="C1286" t="b">
        <v>0</v>
      </c>
      <c r="E1286" t="str">
        <f t="shared" si="120"/>
        <v>4</v>
      </c>
      <c r="F1286" t="str">
        <f t="shared" si="121"/>
        <v>Câu 309.</v>
      </c>
      <c r="G1286" t="str">
        <f t="shared" si="122"/>
        <v>1</v>
      </c>
      <c r="H1286" t="str">
        <f t="shared" si="123"/>
        <v>2</v>
      </c>
      <c r="I1286" t="str">
        <f t="shared" si="124"/>
        <v>3</v>
      </c>
      <c r="J1286" t="str">
        <f t="shared" ca="1" si="125"/>
        <v/>
      </c>
    </row>
    <row r="1287" spans="1:10" ht="18.75" x14ac:dyDescent="0.25">
      <c r="A1287" s="10" t="s">
        <v>1089</v>
      </c>
      <c r="B1287">
        <f>IFERROR(COUNTIFS($A$1:A1287,"Câu "&amp;"*")-MID(A1287,5,FIND(".",A1287,1)-5),0)</f>
        <v>0</v>
      </c>
      <c r="C1287" t="b">
        <v>0</v>
      </c>
      <c r="E1287" t="str">
        <f t="shared" si="120"/>
        <v>Câu 309.</v>
      </c>
      <c r="F1287" t="str">
        <f t="shared" si="121"/>
        <v>1</v>
      </c>
      <c r="G1287" t="str">
        <f t="shared" si="122"/>
        <v>2</v>
      </c>
      <c r="H1287" t="str">
        <f t="shared" si="123"/>
        <v>3</v>
      </c>
      <c r="I1287" t="str">
        <f t="shared" si="124"/>
        <v/>
      </c>
      <c r="J1287" t="str">
        <f t="shared" ca="1" si="125"/>
        <v>2</v>
      </c>
    </row>
    <row r="1288" spans="1:10" ht="18.75" x14ac:dyDescent="0.25">
      <c r="A1288" s="11" t="s">
        <v>2603</v>
      </c>
      <c r="B1288">
        <f>IFERROR(COUNTIFS($A$1:A1288,"Câu "&amp;"*")-MID(A1288,5,FIND(".",A1288,1)-5),0)</f>
        <v>0</v>
      </c>
      <c r="C1288" t="b">
        <v>0</v>
      </c>
      <c r="E1288" t="str">
        <f t="shared" si="120"/>
        <v>1</v>
      </c>
      <c r="F1288" t="str">
        <f t="shared" si="121"/>
        <v>2</v>
      </c>
      <c r="G1288" t="str">
        <f t="shared" si="122"/>
        <v>3</v>
      </c>
      <c r="H1288" t="str">
        <f t="shared" si="123"/>
        <v/>
      </c>
      <c r="I1288" t="str">
        <f t="shared" si="124"/>
        <v>1</v>
      </c>
      <c r="J1288" t="str">
        <f t="shared" ca="1" si="125"/>
        <v/>
      </c>
    </row>
    <row r="1289" spans="1:10" ht="18.75" x14ac:dyDescent="0.25">
      <c r="A1289" s="11" t="s">
        <v>2618</v>
      </c>
      <c r="B1289">
        <f>IFERROR(COUNTIFS($A$1:A1289,"Câu "&amp;"*")-MID(A1289,5,FIND(".",A1289,1)-5),0)</f>
        <v>0</v>
      </c>
      <c r="C1289" t="b">
        <v>1</v>
      </c>
      <c r="E1289" t="str">
        <f t="shared" si="120"/>
        <v>2</v>
      </c>
      <c r="F1289" t="str">
        <f t="shared" si="121"/>
        <v>3</v>
      </c>
      <c r="G1289" t="str">
        <f t="shared" si="122"/>
        <v>Câu 310.</v>
      </c>
      <c r="H1289" t="str">
        <f t="shared" si="123"/>
        <v>1</v>
      </c>
      <c r="I1289" t="str">
        <f t="shared" si="124"/>
        <v>2</v>
      </c>
      <c r="J1289" t="str">
        <f t="shared" ca="1" si="125"/>
        <v/>
      </c>
    </row>
    <row r="1290" spans="1:10" ht="18.75" x14ac:dyDescent="0.25">
      <c r="A1290" s="11" t="s">
        <v>2611</v>
      </c>
      <c r="B1290">
        <f>IFERROR(COUNTIFS($A$1:A1290,"Câu "&amp;"*")-MID(A1290,5,FIND(".",A1290,1)-5),0)</f>
        <v>0</v>
      </c>
      <c r="C1290" t="b">
        <v>0</v>
      </c>
      <c r="E1290" t="str">
        <f t="shared" si="120"/>
        <v>3</v>
      </c>
      <c r="F1290" t="str">
        <f t="shared" si="121"/>
        <v>Câu 310.</v>
      </c>
      <c r="G1290" t="str">
        <f t="shared" si="122"/>
        <v>1</v>
      </c>
      <c r="H1290" t="str">
        <f t="shared" si="123"/>
        <v>2</v>
      </c>
      <c r="I1290" t="str">
        <f t="shared" si="124"/>
        <v>3</v>
      </c>
      <c r="J1290" t="str">
        <f t="shared" ca="1" si="125"/>
        <v/>
      </c>
    </row>
    <row r="1291" spans="1:10" ht="18.75" x14ac:dyDescent="0.25">
      <c r="A1291" s="10" t="s">
        <v>1091</v>
      </c>
      <c r="B1291">
        <f>IFERROR(COUNTIFS($A$1:A1291,"Câu "&amp;"*")-MID(A1291,5,FIND(".",A1291,1)-5),0)</f>
        <v>0</v>
      </c>
      <c r="C1291" t="b">
        <v>0</v>
      </c>
      <c r="E1291" t="str">
        <f t="shared" si="120"/>
        <v>Câu 310.</v>
      </c>
      <c r="F1291" t="str">
        <f t="shared" si="121"/>
        <v>1</v>
      </c>
      <c r="G1291" t="str">
        <f t="shared" si="122"/>
        <v>2</v>
      </c>
      <c r="H1291" t="str">
        <f t="shared" si="123"/>
        <v>3</v>
      </c>
      <c r="I1291" t="str">
        <f t="shared" si="124"/>
        <v>4</v>
      </c>
      <c r="J1291" t="str">
        <f t="shared" ca="1" si="125"/>
        <v>4</v>
      </c>
    </row>
    <row r="1292" spans="1:10" ht="18.75" x14ac:dyDescent="0.25">
      <c r="A1292" s="11" t="s">
        <v>2603</v>
      </c>
      <c r="B1292">
        <f>IFERROR(COUNTIFS($A$1:A1292,"Câu "&amp;"*")-MID(A1292,5,FIND(".",A1292,1)-5),0)</f>
        <v>0</v>
      </c>
      <c r="C1292" t="b">
        <v>0</v>
      </c>
      <c r="E1292" t="str">
        <f t="shared" si="120"/>
        <v>1</v>
      </c>
      <c r="F1292" t="str">
        <f t="shared" si="121"/>
        <v>2</v>
      </c>
      <c r="G1292" t="str">
        <f t="shared" si="122"/>
        <v>3</v>
      </c>
      <c r="H1292" t="str">
        <f t="shared" si="123"/>
        <v>4</v>
      </c>
      <c r="I1292" t="str">
        <f t="shared" si="124"/>
        <v/>
      </c>
      <c r="J1292" t="str">
        <f t="shared" ca="1" si="125"/>
        <v/>
      </c>
    </row>
    <row r="1293" spans="1:10" ht="18.75" x14ac:dyDescent="0.25">
      <c r="A1293" s="11" t="s">
        <v>2613</v>
      </c>
      <c r="B1293">
        <f>IFERROR(COUNTIFS($A$1:A1293,"Câu "&amp;"*")-MID(A1293,5,FIND(".",A1293,1)-5),0)</f>
        <v>0</v>
      </c>
      <c r="C1293" t="b">
        <v>0</v>
      </c>
      <c r="E1293" t="str">
        <f t="shared" si="120"/>
        <v>2</v>
      </c>
      <c r="F1293" t="str">
        <f t="shared" si="121"/>
        <v>3</v>
      </c>
      <c r="G1293" t="str">
        <f t="shared" si="122"/>
        <v>4</v>
      </c>
      <c r="H1293" t="str">
        <f t="shared" si="123"/>
        <v/>
      </c>
      <c r="I1293" t="str">
        <f t="shared" si="124"/>
        <v>1</v>
      </c>
      <c r="J1293" t="str">
        <f t="shared" ca="1" si="125"/>
        <v/>
      </c>
    </row>
    <row r="1294" spans="1:10" ht="18.75" x14ac:dyDescent="0.25">
      <c r="A1294" s="11" t="s">
        <v>2605</v>
      </c>
      <c r="B1294">
        <f>IFERROR(COUNTIFS($A$1:A1294,"Câu "&amp;"*")-MID(A1294,5,FIND(".",A1294,1)-5),0)</f>
        <v>0</v>
      </c>
      <c r="C1294" t="b">
        <v>0</v>
      </c>
      <c r="E1294" t="str">
        <f t="shared" si="120"/>
        <v>3</v>
      </c>
      <c r="F1294" t="str">
        <f t="shared" si="121"/>
        <v>4</v>
      </c>
      <c r="G1294" t="str">
        <f t="shared" si="122"/>
        <v>Câu 311.</v>
      </c>
      <c r="H1294" t="str">
        <f t="shared" si="123"/>
        <v>1</v>
      </c>
      <c r="I1294" t="str">
        <f t="shared" si="124"/>
        <v>2</v>
      </c>
      <c r="J1294" t="str">
        <f t="shared" ca="1" si="125"/>
        <v/>
      </c>
    </row>
    <row r="1295" spans="1:10" ht="18.75" x14ac:dyDescent="0.25">
      <c r="A1295" s="11" t="s">
        <v>2619</v>
      </c>
      <c r="B1295">
        <f>IFERROR(COUNTIFS($A$1:A1295,"Câu "&amp;"*")-MID(A1295,5,FIND(".",A1295,1)-5),0)</f>
        <v>0</v>
      </c>
      <c r="C1295" t="b">
        <v>1</v>
      </c>
      <c r="E1295" t="str">
        <f t="shared" si="120"/>
        <v>4</v>
      </c>
      <c r="F1295" t="str">
        <f t="shared" si="121"/>
        <v>Câu 311.</v>
      </c>
      <c r="G1295" t="str">
        <f t="shared" si="122"/>
        <v>1</v>
      </c>
      <c r="H1295" t="str">
        <f t="shared" si="123"/>
        <v>2</v>
      </c>
      <c r="I1295" t="str">
        <f t="shared" si="124"/>
        <v>3</v>
      </c>
      <c r="J1295" t="str">
        <f t="shared" ca="1" si="125"/>
        <v/>
      </c>
    </row>
    <row r="1296" spans="1:10" ht="18.75" x14ac:dyDescent="0.25">
      <c r="A1296" s="10" t="s">
        <v>1092</v>
      </c>
      <c r="B1296">
        <f>IFERROR(COUNTIFS($A$1:A1296,"Câu "&amp;"*")-MID(A1296,5,FIND(".",A1296,1)-5),0)</f>
        <v>0</v>
      </c>
      <c r="C1296" t="b">
        <v>0</v>
      </c>
      <c r="E1296" t="str">
        <f t="shared" si="120"/>
        <v>Câu 311.</v>
      </c>
      <c r="F1296" t="str">
        <f t="shared" si="121"/>
        <v>1</v>
      </c>
      <c r="G1296" t="str">
        <f t="shared" si="122"/>
        <v>2</v>
      </c>
      <c r="H1296" t="str">
        <f t="shared" si="123"/>
        <v>3</v>
      </c>
      <c r="I1296" t="str">
        <f t="shared" si="124"/>
        <v/>
      </c>
      <c r="J1296" t="str">
        <f t="shared" ca="1" si="125"/>
        <v>3</v>
      </c>
    </row>
    <row r="1297" spans="1:10" ht="18.75" x14ac:dyDescent="0.25">
      <c r="A1297" s="11" t="s">
        <v>2603</v>
      </c>
      <c r="B1297">
        <f>IFERROR(COUNTIFS($A$1:A1297,"Câu "&amp;"*")-MID(A1297,5,FIND(".",A1297,1)-5),0)</f>
        <v>0</v>
      </c>
      <c r="C1297" t="b">
        <v>0</v>
      </c>
      <c r="E1297" t="str">
        <f t="shared" si="120"/>
        <v>1</v>
      </c>
      <c r="F1297" t="str">
        <f t="shared" si="121"/>
        <v>2</v>
      </c>
      <c r="G1297" t="str">
        <f t="shared" si="122"/>
        <v>3</v>
      </c>
      <c r="H1297" t="str">
        <f t="shared" si="123"/>
        <v/>
      </c>
      <c r="I1297" t="str">
        <f t="shared" si="124"/>
        <v>1</v>
      </c>
      <c r="J1297" t="str">
        <f t="shared" ca="1" si="125"/>
        <v/>
      </c>
    </row>
    <row r="1298" spans="1:10" ht="18.75" x14ac:dyDescent="0.25">
      <c r="A1298" s="11" t="s">
        <v>2600</v>
      </c>
      <c r="B1298">
        <f>IFERROR(COUNTIFS($A$1:A1298,"Câu "&amp;"*")-MID(A1298,5,FIND(".",A1298,1)-5),0)</f>
        <v>0</v>
      </c>
      <c r="C1298" t="b">
        <v>0</v>
      </c>
      <c r="E1298" t="str">
        <f t="shared" si="120"/>
        <v>2</v>
      </c>
      <c r="F1298" t="str">
        <f t="shared" si="121"/>
        <v>3</v>
      </c>
      <c r="G1298" t="str">
        <f t="shared" si="122"/>
        <v>Câu 312.</v>
      </c>
      <c r="H1298" t="str">
        <f t="shared" si="123"/>
        <v>1</v>
      </c>
      <c r="I1298" t="str">
        <f t="shared" si="124"/>
        <v>2</v>
      </c>
      <c r="J1298" t="str">
        <f t="shared" ca="1" si="125"/>
        <v/>
      </c>
    </row>
    <row r="1299" spans="1:10" ht="18.75" x14ac:dyDescent="0.25">
      <c r="A1299" s="11" t="s">
        <v>2610</v>
      </c>
      <c r="B1299">
        <f>IFERROR(COUNTIFS($A$1:A1299,"Câu "&amp;"*")-MID(A1299,5,FIND(".",A1299,1)-5),0)</f>
        <v>0</v>
      </c>
      <c r="C1299" t="b">
        <v>1</v>
      </c>
      <c r="E1299" t="str">
        <f t="shared" si="120"/>
        <v>3</v>
      </c>
      <c r="F1299" t="str">
        <f t="shared" si="121"/>
        <v>Câu 312.</v>
      </c>
      <c r="G1299" t="str">
        <f t="shared" si="122"/>
        <v>1</v>
      </c>
      <c r="H1299" t="str">
        <f t="shared" si="123"/>
        <v>2</v>
      </c>
      <c r="I1299" t="str">
        <f t="shared" si="124"/>
        <v/>
      </c>
      <c r="J1299" t="str">
        <f t="shared" ca="1" si="125"/>
        <v/>
      </c>
    </row>
    <row r="1300" spans="1:10" ht="18.75" x14ac:dyDescent="0.25">
      <c r="A1300" s="10" t="s">
        <v>1093</v>
      </c>
      <c r="B1300">
        <f>IFERROR(COUNTIFS($A$1:A1300,"Câu "&amp;"*")-MID(A1300,5,FIND(".",A1300,1)-5),0)</f>
        <v>0</v>
      </c>
      <c r="C1300" t="b">
        <v>0</v>
      </c>
      <c r="E1300" t="str">
        <f t="shared" si="120"/>
        <v>Câu 312.</v>
      </c>
      <c r="F1300" t="str">
        <f t="shared" si="121"/>
        <v>1</v>
      </c>
      <c r="G1300" t="str">
        <f t="shared" si="122"/>
        <v>2</v>
      </c>
      <c r="H1300" t="str">
        <f t="shared" si="123"/>
        <v/>
      </c>
      <c r="I1300" t="str">
        <f t="shared" si="124"/>
        <v>1</v>
      </c>
      <c r="J1300" t="str">
        <f t="shared" ca="1" si="125"/>
        <v>2</v>
      </c>
    </row>
    <row r="1301" spans="1:10" ht="18.75" x14ac:dyDescent="0.25">
      <c r="A1301" s="11" t="s">
        <v>2603</v>
      </c>
      <c r="B1301">
        <f>IFERROR(COUNTIFS($A$1:A1301,"Câu "&amp;"*")-MID(A1301,5,FIND(".",A1301,1)-5),0)</f>
        <v>0</v>
      </c>
      <c r="C1301" t="b">
        <v>0</v>
      </c>
      <c r="E1301" t="str">
        <f t="shared" si="120"/>
        <v>1</v>
      </c>
      <c r="F1301" t="str">
        <f t="shared" si="121"/>
        <v>2</v>
      </c>
      <c r="G1301" t="str">
        <f t="shared" si="122"/>
        <v>Câu 313.</v>
      </c>
      <c r="H1301" t="str">
        <f t="shared" si="123"/>
        <v>1</v>
      </c>
      <c r="I1301" t="str">
        <f t="shared" si="124"/>
        <v>2</v>
      </c>
      <c r="J1301" t="str">
        <f t="shared" ca="1" si="125"/>
        <v/>
      </c>
    </row>
    <row r="1302" spans="1:10" ht="18.75" x14ac:dyDescent="0.25">
      <c r="A1302" s="11" t="s">
        <v>2618</v>
      </c>
      <c r="B1302">
        <f>IFERROR(COUNTIFS($A$1:A1302,"Câu "&amp;"*")-MID(A1302,5,FIND(".",A1302,1)-5),0)</f>
        <v>0</v>
      </c>
      <c r="C1302" t="b">
        <v>1</v>
      </c>
      <c r="E1302" t="str">
        <f t="shared" si="120"/>
        <v>2</v>
      </c>
      <c r="F1302" t="str">
        <f t="shared" si="121"/>
        <v>Câu 313.</v>
      </c>
      <c r="G1302" t="str">
        <f t="shared" si="122"/>
        <v>1</v>
      </c>
      <c r="H1302" t="str">
        <f t="shared" si="123"/>
        <v>2</v>
      </c>
      <c r="I1302" t="str">
        <f t="shared" si="124"/>
        <v>3</v>
      </c>
      <c r="J1302" t="str">
        <f t="shared" ca="1" si="125"/>
        <v/>
      </c>
    </row>
    <row r="1303" spans="1:10" ht="18.75" x14ac:dyDescent="0.25">
      <c r="A1303" s="10" t="s">
        <v>1094</v>
      </c>
      <c r="B1303">
        <f>IFERROR(COUNTIFS($A$1:A1303,"Câu "&amp;"*")-MID(A1303,5,FIND(".",A1303,1)-5),0)</f>
        <v>0</v>
      </c>
      <c r="C1303" t="b">
        <v>0</v>
      </c>
      <c r="E1303" t="str">
        <f t="shared" si="120"/>
        <v>Câu 313.</v>
      </c>
      <c r="F1303" t="str">
        <f t="shared" si="121"/>
        <v>1</v>
      </c>
      <c r="G1303" t="str">
        <f t="shared" si="122"/>
        <v>2</v>
      </c>
      <c r="H1303" t="str">
        <f t="shared" si="123"/>
        <v>3</v>
      </c>
      <c r="I1303" t="str">
        <f t="shared" si="124"/>
        <v>4</v>
      </c>
      <c r="J1303" t="str">
        <f t="shared" ca="1" si="125"/>
        <v>2</v>
      </c>
    </row>
    <row r="1304" spans="1:10" ht="18.75" x14ac:dyDescent="0.25">
      <c r="A1304" s="11" t="s">
        <v>2603</v>
      </c>
      <c r="B1304">
        <f>IFERROR(COUNTIFS($A$1:A1304,"Câu "&amp;"*")-MID(A1304,5,FIND(".",A1304,1)-5),0)</f>
        <v>0</v>
      </c>
      <c r="C1304" t="b">
        <v>0</v>
      </c>
      <c r="E1304" t="str">
        <f t="shared" si="120"/>
        <v>1</v>
      </c>
      <c r="F1304" t="str">
        <f t="shared" si="121"/>
        <v>2</v>
      </c>
      <c r="G1304" t="str">
        <f t="shared" si="122"/>
        <v>3</v>
      </c>
      <c r="H1304" t="str">
        <f t="shared" si="123"/>
        <v>4</v>
      </c>
      <c r="I1304" t="str">
        <f t="shared" si="124"/>
        <v/>
      </c>
      <c r="J1304" t="str">
        <f t="shared" ca="1" si="125"/>
        <v/>
      </c>
    </row>
    <row r="1305" spans="1:10" ht="18.75" x14ac:dyDescent="0.25">
      <c r="A1305" s="11" t="s">
        <v>2618</v>
      </c>
      <c r="B1305">
        <f>IFERROR(COUNTIFS($A$1:A1305,"Câu "&amp;"*")-MID(A1305,5,FIND(".",A1305,1)-5),0)</f>
        <v>0</v>
      </c>
      <c r="C1305" t="b">
        <v>1</v>
      </c>
      <c r="E1305" t="str">
        <f t="shared" si="120"/>
        <v>2</v>
      </c>
      <c r="F1305" t="str">
        <f t="shared" si="121"/>
        <v>3</v>
      </c>
      <c r="G1305" t="str">
        <f t="shared" si="122"/>
        <v>4</v>
      </c>
      <c r="H1305" t="str">
        <f t="shared" si="123"/>
        <v/>
      </c>
      <c r="I1305" t="str">
        <f t="shared" si="124"/>
        <v>1</v>
      </c>
      <c r="J1305" t="str">
        <f t="shared" ca="1" si="125"/>
        <v/>
      </c>
    </row>
    <row r="1306" spans="1:10" ht="18.75" x14ac:dyDescent="0.25">
      <c r="A1306" s="11" t="s">
        <v>2620</v>
      </c>
      <c r="B1306">
        <f>IFERROR(COUNTIFS($A$1:A1306,"Câu "&amp;"*")-MID(A1306,5,FIND(".",A1306,1)-5),0)</f>
        <v>0</v>
      </c>
      <c r="C1306" t="b">
        <v>0</v>
      </c>
      <c r="E1306" t="str">
        <f t="shared" si="120"/>
        <v>3</v>
      </c>
      <c r="F1306" t="str">
        <f t="shared" si="121"/>
        <v>4</v>
      </c>
      <c r="G1306" t="str">
        <f t="shared" si="122"/>
        <v>Câu 314.</v>
      </c>
      <c r="H1306" t="str">
        <f t="shared" si="123"/>
        <v>1</v>
      </c>
      <c r="I1306" t="str">
        <f t="shared" si="124"/>
        <v>2</v>
      </c>
      <c r="J1306" t="str">
        <f t="shared" ca="1" si="125"/>
        <v/>
      </c>
    </row>
    <row r="1307" spans="1:10" ht="18.75" x14ac:dyDescent="0.25">
      <c r="A1307" s="11" t="s">
        <v>2621</v>
      </c>
      <c r="B1307">
        <f>IFERROR(COUNTIFS($A$1:A1307,"Câu "&amp;"*")-MID(A1307,5,FIND(".",A1307,1)-5),0)</f>
        <v>0</v>
      </c>
      <c r="C1307" t="b">
        <v>0</v>
      </c>
      <c r="E1307" t="str">
        <f t="shared" si="120"/>
        <v>4</v>
      </c>
      <c r="F1307" t="str">
        <f t="shared" si="121"/>
        <v>Câu 314.</v>
      </c>
      <c r="G1307" t="str">
        <f t="shared" si="122"/>
        <v>1</v>
      </c>
      <c r="H1307" t="str">
        <f t="shared" si="123"/>
        <v>2</v>
      </c>
      <c r="I1307" t="str">
        <f t="shared" si="124"/>
        <v>3</v>
      </c>
      <c r="J1307" t="str">
        <f t="shared" ca="1" si="125"/>
        <v/>
      </c>
    </row>
    <row r="1308" spans="1:10" ht="18.75" x14ac:dyDescent="0.25">
      <c r="A1308" s="10" t="s">
        <v>1096</v>
      </c>
      <c r="B1308">
        <f>IFERROR(COUNTIFS($A$1:A1308,"Câu "&amp;"*")-MID(A1308,5,FIND(".",A1308,1)-5),0)</f>
        <v>0</v>
      </c>
      <c r="C1308" t="b">
        <v>0</v>
      </c>
      <c r="E1308" t="str">
        <f t="shared" si="120"/>
        <v>Câu 314.</v>
      </c>
      <c r="F1308" t="str">
        <f t="shared" si="121"/>
        <v>1</v>
      </c>
      <c r="G1308" t="str">
        <f t="shared" si="122"/>
        <v>2</v>
      </c>
      <c r="H1308" t="str">
        <f t="shared" si="123"/>
        <v>3</v>
      </c>
      <c r="I1308" t="str">
        <f t="shared" si="124"/>
        <v/>
      </c>
      <c r="J1308" t="str">
        <f t="shared" ca="1" si="125"/>
        <v>1</v>
      </c>
    </row>
    <row r="1309" spans="1:10" ht="18.75" x14ac:dyDescent="0.25">
      <c r="A1309" s="11" t="s">
        <v>2599</v>
      </c>
      <c r="B1309">
        <f>IFERROR(COUNTIFS($A$1:A1309,"Câu "&amp;"*")-MID(A1309,5,FIND(".",A1309,1)-5),0)</f>
        <v>0</v>
      </c>
      <c r="C1309" t="b">
        <v>1</v>
      </c>
      <c r="E1309" t="str">
        <f t="shared" si="120"/>
        <v>1</v>
      </c>
      <c r="F1309" t="str">
        <f t="shared" si="121"/>
        <v>2</v>
      </c>
      <c r="G1309" t="str">
        <f t="shared" si="122"/>
        <v>3</v>
      </c>
      <c r="H1309" t="str">
        <f t="shared" si="123"/>
        <v/>
      </c>
      <c r="I1309" t="str">
        <f t="shared" si="124"/>
        <v>1</v>
      </c>
      <c r="J1309" t="str">
        <f t="shared" ca="1" si="125"/>
        <v/>
      </c>
    </row>
    <row r="1310" spans="1:10" ht="18.75" x14ac:dyDescent="0.25">
      <c r="A1310" s="11" t="s">
        <v>2600</v>
      </c>
      <c r="B1310">
        <f>IFERROR(COUNTIFS($A$1:A1310,"Câu "&amp;"*")-MID(A1310,5,FIND(".",A1310,1)-5),0)</f>
        <v>0</v>
      </c>
      <c r="C1310" t="b">
        <v>0</v>
      </c>
      <c r="E1310" t="str">
        <f t="shared" si="120"/>
        <v>2</v>
      </c>
      <c r="F1310" t="str">
        <f t="shared" si="121"/>
        <v>3</v>
      </c>
      <c r="G1310" t="str">
        <f t="shared" si="122"/>
        <v>Câu 315.</v>
      </c>
      <c r="H1310" t="str">
        <f t="shared" si="123"/>
        <v>1</v>
      </c>
      <c r="I1310" t="str">
        <f t="shared" si="124"/>
        <v>2</v>
      </c>
      <c r="J1310" t="str">
        <f t="shared" ca="1" si="125"/>
        <v/>
      </c>
    </row>
    <row r="1311" spans="1:10" ht="18.75" x14ac:dyDescent="0.25">
      <c r="A1311" s="11" t="s">
        <v>2622</v>
      </c>
      <c r="B1311">
        <f>IFERROR(COUNTIFS($A$1:A1311,"Câu "&amp;"*")-MID(A1311,5,FIND(".",A1311,1)-5),0)</f>
        <v>0</v>
      </c>
      <c r="C1311" t="b">
        <v>0</v>
      </c>
      <c r="E1311" t="str">
        <f t="shared" si="120"/>
        <v>3</v>
      </c>
      <c r="F1311" t="str">
        <f t="shared" si="121"/>
        <v>Câu 315.</v>
      </c>
      <c r="G1311" t="str">
        <f t="shared" si="122"/>
        <v>1</v>
      </c>
      <c r="H1311" t="str">
        <f t="shared" si="123"/>
        <v>2</v>
      </c>
      <c r="I1311" t="str">
        <f t="shared" si="124"/>
        <v>3</v>
      </c>
      <c r="J1311" t="str">
        <f t="shared" ca="1" si="125"/>
        <v/>
      </c>
    </row>
    <row r="1312" spans="1:10" ht="18.75" x14ac:dyDescent="0.25">
      <c r="A1312" s="10" t="s">
        <v>1097</v>
      </c>
      <c r="B1312">
        <f>IFERROR(COUNTIFS($A$1:A1312,"Câu "&amp;"*")-MID(A1312,5,FIND(".",A1312,1)-5),0)</f>
        <v>0</v>
      </c>
      <c r="C1312" t="b">
        <v>0</v>
      </c>
      <c r="E1312" t="str">
        <f t="shared" si="120"/>
        <v>Câu 315.</v>
      </c>
      <c r="F1312" t="str">
        <f t="shared" si="121"/>
        <v>1</v>
      </c>
      <c r="G1312" t="str">
        <f t="shared" si="122"/>
        <v>2</v>
      </c>
      <c r="H1312" t="str">
        <f t="shared" si="123"/>
        <v>3</v>
      </c>
      <c r="I1312" t="str">
        <f t="shared" si="124"/>
        <v/>
      </c>
      <c r="J1312" t="str">
        <f t="shared" ca="1" si="125"/>
        <v>2</v>
      </c>
    </row>
    <row r="1313" spans="1:10" ht="18.75" x14ac:dyDescent="0.25">
      <c r="A1313" s="11" t="s">
        <v>2603</v>
      </c>
      <c r="B1313">
        <f>IFERROR(COUNTIFS($A$1:A1313,"Câu "&amp;"*")-MID(A1313,5,FIND(".",A1313,1)-5),0)</f>
        <v>0</v>
      </c>
      <c r="C1313" t="b">
        <v>0</v>
      </c>
      <c r="E1313" t="str">
        <f t="shared" si="120"/>
        <v>1</v>
      </c>
      <c r="F1313" t="str">
        <f t="shared" si="121"/>
        <v>2</v>
      </c>
      <c r="G1313" t="str">
        <f t="shared" si="122"/>
        <v>3</v>
      </c>
      <c r="H1313" t="str">
        <f t="shared" si="123"/>
        <v/>
      </c>
      <c r="I1313" t="str">
        <f t="shared" si="124"/>
        <v>1</v>
      </c>
      <c r="J1313" t="str">
        <f t="shared" ca="1" si="125"/>
        <v/>
      </c>
    </row>
    <row r="1314" spans="1:10" ht="18.75" x14ac:dyDescent="0.25">
      <c r="A1314" s="11" t="s">
        <v>2618</v>
      </c>
      <c r="B1314">
        <f>IFERROR(COUNTIFS($A$1:A1314,"Câu "&amp;"*")-MID(A1314,5,FIND(".",A1314,1)-5),0)</f>
        <v>0</v>
      </c>
      <c r="C1314" t="b">
        <v>1</v>
      </c>
      <c r="E1314" t="str">
        <f t="shared" si="120"/>
        <v>2</v>
      </c>
      <c r="F1314" t="str">
        <f t="shared" si="121"/>
        <v>3</v>
      </c>
      <c r="G1314" t="str">
        <f t="shared" si="122"/>
        <v>Câu 316.</v>
      </c>
      <c r="H1314" t="str">
        <f t="shared" si="123"/>
        <v>1</v>
      </c>
      <c r="I1314" t="str">
        <f t="shared" si="124"/>
        <v>2</v>
      </c>
      <c r="J1314" t="str">
        <f t="shared" ca="1" si="125"/>
        <v/>
      </c>
    </row>
    <row r="1315" spans="1:10" ht="18.75" x14ac:dyDescent="0.25">
      <c r="A1315" s="11" t="s">
        <v>2620</v>
      </c>
      <c r="B1315">
        <f>IFERROR(COUNTIFS($A$1:A1315,"Câu "&amp;"*")-MID(A1315,5,FIND(".",A1315,1)-5),0)</f>
        <v>0</v>
      </c>
      <c r="C1315" t="b">
        <v>0</v>
      </c>
      <c r="E1315" t="str">
        <f t="shared" si="120"/>
        <v>3</v>
      </c>
      <c r="F1315" t="str">
        <f t="shared" si="121"/>
        <v>Câu 316.</v>
      </c>
      <c r="G1315" t="str">
        <f t="shared" si="122"/>
        <v>1</v>
      </c>
      <c r="H1315" t="str">
        <f t="shared" si="123"/>
        <v>2</v>
      </c>
      <c r="I1315" t="str">
        <f t="shared" si="124"/>
        <v>3</v>
      </c>
      <c r="J1315" t="str">
        <f t="shared" ca="1" si="125"/>
        <v/>
      </c>
    </row>
    <row r="1316" spans="1:10" ht="18.75" x14ac:dyDescent="0.25">
      <c r="A1316" s="10" t="s">
        <v>1098</v>
      </c>
      <c r="B1316">
        <f>IFERROR(COUNTIFS($A$1:A1316,"Câu "&amp;"*")-MID(A1316,5,FIND(".",A1316,1)-5),0)</f>
        <v>0</v>
      </c>
      <c r="C1316" t="b">
        <v>0</v>
      </c>
      <c r="E1316" t="str">
        <f t="shared" si="120"/>
        <v>Câu 316.</v>
      </c>
      <c r="F1316" t="str">
        <f t="shared" si="121"/>
        <v>1</v>
      </c>
      <c r="G1316" t="str">
        <f t="shared" si="122"/>
        <v>2</v>
      </c>
      <c r="H1316" t="str">
        <f t="shared" si="123"/>
        <v>3</v>
      </c>
      <c r="I1316" t="str">
        <f t="shared" si="124"/>
        <v/>
      </c>
      <c r="J1316" t="str">
        <f t="shared" ca="1" si="125"/>
        <v>3</v>
      </c>
    </row>
    <row r="1317" spans="1:10" ht="18.75" x14ac:dyDescent="0.25">
      <c r="A1317" s="11" t="s">
        <v>2603</v>
      </c>
      <c r="B1317">
        <f>IFERROR(COUNTIFS($A$1:A1317,"Câu "&amp;"*")-MID(A1317,5,FIND(".",A1317,1)-5),0)</f>
        <v>0</v>
      </c>
      <c r="C1317" t="b">
        <v>0</v>
      </c>
      <c r="E1317" t="str">
        <f t="shared" si="120"/>
        <v>1</v>
      </c>
      <c r="F1317" t="str">
        <f t="shared" si="121"/>
        <v>2</v>
      </c>
      <c r="G1317" t="str">
        <f t="shared" si="122"/>
        <v>3</v>
      </c>
      <c r="H1317" t="str">
        <f t="shared" si="123"/>
        <v/>
      </c>
      <c r="I1317" t="str">
        <f t="shared" si="124"/>
        <v>1</v>
      </c>
      <c r="J1317" t="str">
        <f t="shared" ca="1" si="125"/>
        <v/>
      </c>
    </row>
    <row r="1318" spans="1:10" ht="18.75" x14ac:dyDescent="0.25">
      <c r="A1318" s="11" t="s">
        <v>2600</v>
      </c>
      <c r="B1318">
        <f>IFERROR(COUNTIFS($A$1:A1318,"Câu "&amp;"*")-MID(A1318,5,FIND(".",A1318,1)-5),0)</f>
        <v>0</v>
      </c>
      <c r="C1318" t="b">
        <v>0</v>
      </c>
      <c r="E1318" t="str">
        <f t="shared" si="120"/>
        <v>2</v>
      </c>
      <c r="F1318" t="str">
        <f t="shared" si="121"/>
        <v>3</v>
      </c>
      <c r="G1318" t="str">
        <f t="shared" si="122"/>
        <v>Câu 317.</v>
      </c>
      <c r="H1318" t="str">
        <f t="shared" si="123"/>
        <v>1</v>
      </c>
      <c r="I1318" t="str">
        <f t="shared" si="124"/>
        <v>2</v>
      </c>
      <c r="J1318" t="str">
        <f t="shared" ca="1" si="125"/>
        <v/>
      </c>
    </row>
    <row r="1319" spans="1:10" ht="18.75" x14ac:dyDescent="0.25">
      <c r="A1319" s="11" t="s">
        <v>2610</v>
      </c>
      <c r="B1319">
        <f>IFERROR(COUNTIFS($A$1:A1319,"Câu "&amp;"*")-MID(A1319,5,FIND(".",A1319,1)-5),0)</f>
        <v>0</v>
      </c>
      <c r="C1319" t="b">
        <v>1</v>
      </c>
      <c r="E1319" t="str">
        <f t="shared" si="120"/>
        <v>3</v>
      </c>
      <c r="F1319" t="str">
        <f t="shared" si="121"/>
        <v>Câu 317.</v>
      </c>
      <c r="G1319" t="str">
        <f t="shared" si="122"/>
        <v>1</v>
      </c>
      <c r="H1319" t="str">
        <f t="shared" si="123"/>
        <v>2</v>
      </c>
      <c r="I1319" t="str">
        <f t="shared" si="124"/>
        <v>3</v>
      </c>
      <c r="J1319" t="str">
        <f t="shared" ca="1" si="125"/>
        <v/>
      </c>
    </row>
    <row r="1320" spans="1:10" ht="18.75" x14ac:dyDescent="0.25">
      <c r="A1320" s="10" t="s">
        <v>1099</v>
      </c>
      <c r="B1320">
        <f>IFERROR(COUNTIFS($A$1:A1320,"Câu "&amp;"*")-MID(A1320,5,FIND(".",A1320,1)-5),0)</f>
        <v>0</v>
      </c>
      <c r="C1320" t="b">
        <v>0</v>
      </c>
      <c r="E1320" t="str">
        <f t="shared" si="120"/>
        <v>Câu 317.</v>
      </c>
      <c r="F1320" t="str">
        <f t="shared" si="121"/>
        <v>1</v>
      </c>
      <c r="G1320" t="str">
        <f t="shared" si="122"/>
        <v>2</v>
      </c>
      <c r="H1320" t="str">
        <f t="shared" si="123"/>
        <v>3</v>
      </c>
      <c r="I1320" t="str">
        <f t="shared" si="124"/>
        <v>4</v>
      </c>
      <c r="J1320" t="str">
        <f t="shared" ca="1" si="125"/>
        <v>1</v>
      </c>
    </row>
    <row r="1321" spans="1:10" ht="18.75" x14ac:dyDescent="0.25">
      <c r="A1321" s="11" t="s">
        <v>2607</v>
      </c>
      <c r="B1321">
        <f>IFERROR(COUNTIFS($A$1:A1321,"Câu "&amp;"*")-MID(A1321,5,FIND(".",A1321,1)-5),0)</f>
        <v>0</v>
      </c>
      <c r="C1321" t="b">
        <v>1</v>
      </c>
      <c r="E1321" t="str">
        <f t="shared" si="120"/>
        <v>1</v>
      </c>
      <c r="F1321" t="str">
        <f t="shared" si="121"/>
        <v>2</v>
      </c>
      <c r="G1321" t="str">
        <f t="shared" si="122"/>
        <v>3</v>
      </c>
      <c r="H1321" t="str">
        <f t="shared" si="123"/>
        <v>4</v>
      </c>
      <c r="I1321" t="str">
        <f t="shared" si="124"/>
        <v/>
      </c>
      <c r="J1321" t="str">
        <f t="shared" ca="1" si="125"/>
        <v/>
      </c>
    </row>
    <row r="1322" spans="1:10" ht="18.75" x14ac:dyDescent="0.25">
      <c r="A1322" s="11" t="s">
        <v>2608</v>
      </c>
      <c r="B1322">
        <f>IFERROR(COUNTIFS($A$1:A1322,"Câu "&amp;"*")-MID(A1322,5,FIND(".",A1322,1)-5),0)</f>
        <v>0</v>
      </c>
      <c r="C1322" t="b">
        <v>0</v>
      </c>
      <c r="E1322" t="str">
        <f t="shared" si="120"/>
        <v>2</v>
      </c>
      <c r="F1322" t="str">
        <f t="shared" si="121"/>
        <v>3</v>
      </c>
      <c r="G1322" t="str">
        <f t="shared" si="122"/>
        <v>4</v>
      </c>
      <c r="H1322" t="str">
        <f t="shared" si="123"/>
        <v/>
      </c>
      <c r="I1322" t="str">
        <f t="shared" si="124"/>
        <v>1</v>
      </c>
      <c r="J1322" t="str">
        <f t="shared" ca="1" si="125"/>
        <v/>
      </c>
    </row>
    <row r="1323" spans="1:10" ht="18.75" x14ac:dyDescent="0.25">
      <c r="A1323" s="11" t="s">
        <v>2609</v>
      </c>
      <c r="B1323">
        <f>IFERROR(COUNTIFS($A$1:A1323,"Câu "&amp;"*")-MID(A1323,5,FIND(".",A1323,1)-5),0)</f>
        <v>0</v>
      </c>
      <c r="C1323" t="b">
        <v>0</v>
      </c>
      <c r="E1323" t="str">
        <f t="shared" si="120"/>
        <v>3</v>
      </c>
      <c r="F1323" t="str">
        <f t="shared" si="121"/>
        <v>4</v>
      </c>
      <c r="G1323" t="str">
        <f t="shared" si="122"/>
        <v>Câu 318.</v>
      </c>
      <c r="H1323" t="str">
        <f t="shared" si="123"/>
        <v>1</v>
      </c>
      <c r="I1323" t="str">
        <f t="shared" si="124"/>
        <v>2</v>
      </c>
      <c r="J1323" t="str">
        <f t="shared" ca="1" si="125"/>
        <v/>
      </c>
    </row>
    <row r="1324" spans="1:10" ht="18.75" x14ac:dyDescent="0.25">
      <c r="A1324" s="11" t="s">
        <v>2606</v>
      </c>
      <c r="B1324">
        <f>IFERROR(COUNTIFS($A$1:A1324,"Câu "&amp;"*")-MID(A1324,5,FIND(".",A1324,1)-5),0)</f>
        <v>0</v>
      </c>
      <c r="C1324" t="b">
        <v>0</v>
      </c>
      <c r="E1324" t="str">
        <f t="shared" si="120"/>
        <v>4</v>
      </c>
      <c r="F1324" t="str">
        <f t="shared" si="121"/>
        <v>Câu 318.</v>
      </c>
      <c r="G1324" t="str">
        <f t="shared" si="122"/>
        <v>1</v>
      </c>
      <c r="H1324" t="str">
        <f t="shared" si="123"/>
        <v>2</v>
      </c>
      <c r="I1324" t="str">
        <f t="shared" si="124"/>
        <v>3</v>
      </c>
      <c r="J1324" t="str">
        <f t="shared" ca="1" si="125"/>
        <v/>
      </c>
    </row>
    <row r="1325" spans="1:10" ht="18.75" x14ac:dyDescent="0.25">
      <c r="A1325" s="10" t="s">
        <v>1100</v>
      </c>
      <c r="B1325">
        <f>IFERROR(COUNTIFS($A$1:A1325,"Câu "&amp;"*")-MID(A1325,5,FIND(".",A1325,1)-5),0)</f>
        <v>0</v>
      </c>
      <c r="C1325" t="b">
        <v>0</v>
      </c>
      <c r="E1325" t="str">
        <f t="shared" si="120"/>
        <v>Câu 318.</v>
      </c>
      <c r="F1325" t="str">
        <f t="shared" si="121"/>
        <v>1</v>
      </c>
      <c r="G1325" t="str">
        <f t="shared" si="122"/>
        <v>2</v>
      </c>
      <c r="H1325" t="str">
        <f t="shared" si="123"/>
        <v>3</v>
      </c>
      <c r="I1325" t="str">
        <f t="shared" si="124"/>
        <v>4</v>
      </c>
      <c r="J1325" t="str">
        <f t="shared" ca="1" si="125"/>
        <v>1</v>
      </c>
    </row>
    <row r="1326" spans="1:10" ht="18.75" x14ac:dyDescent="0.25">
      <c r="A1326" s="11" t="s">
        <v>2607</v>
      </c>
      <c r="B1326">
        <f>IFERROR(COUNTIFS($A$1:A1326,"Câu "&amp;"*")-MID(A1326,5,FIND(".",A1326,1)-5),0)</f>
        <v>0</v>
      </c>
      <c r="C1326" t="b">
        <v>1</v>
      </c>
      <c r="E1326" t="str">
        <f t="shared" si="120"/>
        <v>1</v>
      </c>
      <c r="F1326" t="str">
        <f t="shared" si="121"/>
        <v>2</v>
      </c>
      <c r="G1326" t="str">
        <f t="shared" si="122"/>
        <v>3</v>
      </c>
      <c r="H1326" t="str">
        <f t="shared" si="123"/>
        <v>4</v>
      </c>
      <c r="I1326" t="str">
        <f t="shared" si="124"/>
        <v/>
      </c>
      <c r="J1326" t="str">
        <f t="shared" ca="1" si="125"/>
        <v/>
      </c>
    </row>
    <row r="1327" spans="1:10" ht="18.75" x14ac:dyDescent="0.25">
      <c r="A1327" s="11" t="s">
        <v>2608</v>
      </c>
      <c r="B1327">
        <f>IFERROR(COUNTIFS($A$1:A1327,"Câu "&amp;"*")-MID(A1327,5,FIND(".",A1327,1)-5),0)</f>
        <v>0</v>
      </c>
      <c r="C1327" t="b">
        <v>0</v>
      </c>
      <c r="E1327" t="str">
        <f t="shared" si="120"/>
        <v>2</v>
      </c>
      <c r="F1327" t="str">
        <f t="shared" si="121"/>
        <v>3</v>
      </c>
      <c r="G1327" t="str">
        <f t="shared" si="122"/>
        <v>4</v>
      </c>
      <c r="H1327" t="str">
        <f t="shared" si="123"/>
        <v/>
      </c>
      <c r="I1327" t="str">
        <f t="shared" si="124"/>
        <v>1</v>
      </c>
      <c r="J1327" t="str">
        <f t="shared" ca="1" si="125"/>
        <v/>
      </c>
    </row>
    <row r="1328" spans="1:10" ht="18.75" x14ac:dyDescent="0.25">
      <c r="A1328" s="11" t="s">
        <v>2609</v>
      </c>
      <c r="B1328">
        <f>IFERROR(COUNTIFS($A$1:A1328,"Câu "&amp;"*")-MID(A1328,5,FIND(".",A1328,1)-5),0)</f>
        <v>0</v>
      </c>
      <c r="C1328" t="b">
        <v>0</v>
      </c>
      <c r="E1328" t="str">
        <f t="shared" si="120"/>
        <v>3</v>
      </c>
      <c r="F1328" t="str">
        <f t="shared" si="121"/>
        <v>4</v>
      </c>
      <c r="G1328" t="str">
        <f t="shared" si="122"/>
        <v>Câu 319.</v>
      </c>
      <c r="H1328" t="str">
        <f t="shared" si="123"/>
        <v>1</v>
      </c>
      <c r="I1328" t="str">
        <f t="shared" si="124"/>
        <v>2</v>
      </c>
      <c r="J1328" t="str">
        <f t="shared" ca="1" si="125"/>
        <v/>
      </c>
    </row>
    <row r="1329" spans="1:10" ht="18.75" x14ac:dyDescent="0.25">
      <c r="A1329" s="11" t="s">
        <v>2606</v>
      </c>
      <c r="B1329">
        <f>IFERROR(COUNTIFS($A$1:A1329,"Câu "&amp;"*")-MID(A1329,5,FIND(".",A1329,1)-5),0)</f>
        <v>0</v>
      </c>
      <c r="C1329" t="b">
        <v>0</v>
      </c>
      <c r="E1329" t="str">
        <f t="shared" si="120"/>
        <v>4</v>
      </c>
      <c r="F1329" t="str">
        <f t="shared" si="121"/>
        <v>Câu 319.</v>
      </c>
      <c r="G1329" t="str">
        <f t="shared" si="122"/>
        <v>1</v>
      </c>
      <c r="H1329" t="str">
        <f t="shared" si="123"/>
        <v>2</v>
      </c>
      <c r="I1329" t="str">
        <f t="shared" si="124"/>
        <v>3</v>
      </c>
      <c r="J1329" t="str">
        <f t="shared" ca="1" si="125"/>
        <v/>
      </c>
    </row>
    <row r="1330" spans="1:10" ht="18.75" x14ac:dyDescent="0.25">
      <c r="A1330" s="10" t="s">
        <v>1101</v>
      </c>
      <c r="B1330">
        <f>IFERROR(COUNTIFS($A$1:A1330,"Câu "&amp;"*")-MID(A1330,5,FIND(".",A1330,1)-5),0)</f>
        <v>0</v>
      </c>
      <c r="C1330" t="b">
        <v>0</v>
      </c>
      <c r="E1330" t="str">
        <f t="shared" si="120"/>
        <v>Câu 319.</v>
      </c>
      <c r="F1330" t="str">
        <f t="shared" si="121"/>
        <v>1</v>
      </c>
      <c r="G1330" t="str">
        <f t="shared" si="122"/>
        <v>2</v>
      </c>
      <c r="H1330" t="str">
        <f t="shared" si="123"/>
        <v>3</v>
      </c>
      <c r="I1330" t="str">
        <f t="shared" si="124"/>
        <v>4</v>
      </c>
      <c r="J1330" t="str">
        <f t="shared" ca="1" si="125"/>
        <v>1</v>
      </c>
    </row>
    <row r="1331" spans="1:10" ht="18.75" x14ac:dyDescent="0.25">
      <c r="A1331" s="11" t="s">
        <v>2599</v>
      </c>
      <c r="B1331">
        <f>IFERROR(COUNTIFS($A$1:A1331,"Câu "&amp;"*")-MID(A1331,5,FIND(".",A1331,1)-5),0)</f>
        <v>0</v>
      </c>
      <c r="C1331" t="b">
        <v>1</v>
      </c>
      <c r="E1331" t="str">
        <f t="shared" si="120"/>
        <v>1</v>
      </c>
      <c r="F1331" t="str">
        <f t="shared" si="121"/>
        <v>2</v>
      </c>
      <c r="G1331" t="str">
        <f t="shared" si="122"/>
        <v>3</v>
      </c>
      <c r="H1331" t="str">
        <f t="shared" si="123"/>
        <v>4</v>
      </c>
      <c r="I1331" t="str">
        <f t="shared" si="124"/>
        <v/>
      </c>
      <c r="J1331" t="str">
        <f t="shared" ca="1" si="125"/>
        <v/>
      </c>
    </row>
    <row r="1332" spans="1:10" ht="18.75" x14ac:dyDescent="0.25">
      <c r="A1332" s="11" t="s">
        <v>2600</v>
      </c>
      <c r="B1332">
        <f>IFERROR(COUNTIFS($A$1:A1332,"Câu "&amp;"*")-MID(A1332,5,FIND(".",A1332,1)-5),0)</f>
        <v>0</v>
      </c>
      <c r="C1332" t="b">
        <v>0</v>
      </c>
      <c r="E1332" t="str">
        <f t="shared" si="120"/>
        <v>2</v>
      </c>
      <c r="F1332" t="str">
        <f t="shared" si="121"/>
        <v>3</v>
      </c>
      <c r="G1332" t="str">
        <f t="shared" si="122"/>
        <v>4</v>
      </c>
      <c r="H1332" t="str">
        <f t="shared" si="123"/>
        <v/>
      </c>
      <c r="I1332" t="str">
        <f t="shared" si="124"/>
        <v>1</v>
      </c>
      <c r="J1332" t="str">
        <f t="shared" ca="1" si="125"/>
        <v/>
      </c>
    </row>
    <row r="1333" spans="1:10" ht="18.75" x14ac:dyDescent="0.25">
      <c r="A1333" s="11" t="s">
        <v>2611</v>
      </c>
      <c r="B1333">
        <f>IFERROR(COUNTIFS($A$1:A1333,"Câu "&amp;"*")-MID(A1333,5,FIND(".",A1333,1)-5),0)</f>
        <v>0</v>
      </c>
      <c r="C1333" t="b">
        <v>0</v>
      </c>
      <c r="E1333" t="str">
        <f t="shared" si="120"/>
        <v>3</v>
      </c>
      <c r="F1333" t="str">
        <f t="shared" si="121"/>
        <v>4</v>
      </c>
      <c r="G1333" t="str">
        <f t="shared" si="122"/>
        <v>Câu 320.</v>
      </c>
      <c r="H1333" t="str">
        <f t="shared" si="123"/>
        <v>1</v>
      </c>
      <c r="I1333" t="str">
        <f t="shared" si="124"/>
        <v>2</v>
      </c>
      <c r="J1333" t="str">
        <f t="shared" ca="1" si="125"/>
        <v/>
      </c>
    </row>
    <row r="1334" spans="1:10" ht="18.75" x14ac:dyDescent="0.25">
      <c r="A1334" s="11" t="s">
        <v>2623</v>
      </c>
      <c r="B1334">
        <f>IFERROR(COUNTIFS($A$1:A1334,"Câu "&amp;"*")-MID(A1334,5,FIND(".",A1334,1)-5),0)</f>
        <v>0</v>
      </c>
      <c r="C1334" t="b">
        <v>0</v>
      </c>
      <c r="E1334" t="str">
        <f t="shared" si="120"/>
        <v>4</v>
      </c>
      <c r="F1334" t="str">
        <f t="shared" si="121"/>
        <v>Câu 320.</v>
      </c>
      <c r="G1334" t="str">
        <f t="shared" si="122"/>
        <v>1</v>
      </c>
      <c r="H1334" t="str">
        <f t="shared" si="123"/>
        <v>2</v>
      </c>
      <c r="I1334" t="str">
        <f t="shared" si="124"/>
        <v>3</v>
      </c>
      <c r="J1334" t="str">
        <f t="shared" ca="1" si="125"/>
        <v/>
      </c>
    </row>
    <row r="1335" spans="1:10" ht="18.75" x14ac:dyDescent="0.25">
      <c r="A1335" s="10" t="s">
        <v>1102</v>
      </c>
      <c r="B1335">
        <f>IFERROR(COUNTIFS($A$1:A1335,"Câu "&amp;"*")-MID(A1335,5,FIND(".",A1335,1)-5),0)</f>
        <v>0</v>
      </c>
      <c r="C1335" t="b">
        <v>0</v>
      </c>
      <c r="E1335" t="str">
        <f t="shared" si="120"/>
        <v>Câu 320.</v>
      </c>
      <c r="F1335" t="str">
        <f t="shared" si="121"/>
        <v>1</v>
      </c>
      <c r="G1335" t="str">
        <f t="shared" si="122"/>
        <v>2</v>
      </c>
      <c r="H1335" t="str">
        <f t="shared" si="123"/>
        <v>3</v>
      </c>
      <c r="I1335" t="str">
        <f t="shared" si="124"/>
        <v>4</v>
      </c>
      <c r="J1335" t="str">
        <f t="shared" ca="1" si="125"/>
        <v>2</v>
      </c>
    </row>
    <row r="1336" spans="1:10" ht="18.75" x14ac:dyDescent="0.25">
      <c r="A1336" s="11" t="s">
        <v>2603</v>
      </c>
      <c r="B1336">
        <f>IFERROR(COUNTIFS($A$1:A1336,"Câu "&amp;"*")-MID(A1336,5,FIND(".",A1336,1)-5),0)</f>
        <v>0</v>
      </c>
      <c r="C1336" t="b">
        <v>0</v>
      </c>
      <c r="E1336" t="str">
        <f t="shared" si="120"/>
        <v>1</v>
      </c>
      <c r="F1336" t="str">
        <f t="shared" si="121"/>
        <v>2</v>
      </c>
      <c r="G1336" t="str">
        <f t="shared" si="122"/>
        <v>3</v>
      </c>
      <c r="H1336" t="str">
        <f t="shared" si="123"/>
        <v>4</v>
      </c>
      <c r="I1336" t="str">
        <f t="shared" si="124"/>
        <v/>
      </c>
      <c r="J1336" t="str">
        <f t="shared" ca="1" si="125"/>
        <v/>
      </c>
    </row>
    <row r="1337" spans="1:10" ht="18.75" x14ac:dyDescent="0.25">
      <c r="A1337" s="11" t="s">
        <v>2618</v>
      </c>
      <c r="B1337">
        <f>IFERROR(COUNTIFS($A$1:A1337,"Câu "&amp;"*")-MID(A1337,5,FIND(".",A1337,1)-5),0)</f>
        <v>0</v>
      </c>
      <c r="C1337" t="b">
        <v>1</v>
      </c>
      <c r="E1337" t="str">
        <f t="shared" si="120"/>
        <v>2</v>
      </c>
      <c r="F1337" t="str">
        <f t="shared" si="121"/>
        <v>3</v>
      </c>
      <c r="G1337" t="str">
        <f t="shared" si="122"/>
        <v>4</v>
      </c>
      <c r="H1337" t="str">
        <f t="shared" si="123"/>
        <v/>
      </c>
      <c r="I1337" t="str">
        <f t="shared" si="124"/>
        <v>1</v>
      </c>
      <c r="J1337" t="str">
        <f t="shared" ca="1" si="125"/>
        <v/>
      </c>
    </row>
    <row r="1338" spans="1:10" ht="18.75" x14ac:dyDescent="0.25">
      <c r="A1338" s="11" t="s">
        <v>2611</v>
      </c>
      <c r="B1338">
        <f>IFERROR(COUNTIFS($A$1:A1338,"Câu "&amp;"*")-MID(A1338,5,FIND(".",A1338,1)-5),0)</f>
        <v>0</v>
      </c>
      <c r="C1338" t="b">
        <v>0</v>
      </c>
      <c r="E1338" t="str">
        <f t="shared" si="120"/>
        <v>3</v>
      </c>
      <c r="F1338" t="str">
        <f t="shared" si="121"/>
        <v>4</v>
      </c>
      <c r="G1338" t="str">
        <f t="shared" si="122"/>
        <v>Câu 321.</v>
      </c>
      <c r="H1338" t="str">
        <f t="shared" si="123"/>
        <v>1</v>
      </c>
      <c r="I1338" t="str">
        <f t="shared" si="124"/>
        <v>2</v>
      </c>
      <c r="J1338" t="str">
        <f t="shared" ca="1" si="125"/>
        <v/>
      </c>
    </row>
    <row r="1339" spans="1:10" ht="18.75" x14ac:dyDescent="0.25">
      <c r="A1339" s="11" t="s">
        <v>2623</v>
      </c>
      <c r="B1339">
        <f>IFERROR(COUNTIFS($A$1:A1339,"Câu "&amp;"*")-MID(A1339,5,FIND(".",A1339,1)-5),0)</f>
        <v>0</v>
      </c>
      <c r="C1339" t="b">
        <v>0</v>
      </c>
      <c r="E1339" t="str">
        <f t="shared" si="120"/>
        <v>4</v>
      </c>
      <c r="F1339" t="str">
        <f t="shared" si="121"/>
        <v>Câu 321.</v>
      </c>
      <c r="G1339" t="str">
        <f t="shared" si="122"/>
        <v>1</v>
      </c>
      <c r="H1339" t="str">
        <f t="shared" si="123"/>
        <v>2</v>
      </c>
      <c r="I1339" t="str">
        <f t="shared" si="124"/>
        <v>3</v>
      </c>
      <c r="J1339" t="str">
        <f t="shared" ca="1" si="125"/>
        <v/>
      </c>
    </row>
    <row r="1340" spans="1:10" ht="18.75" x14ac:dyDescent="0.25">
      <c r="A1340" s="10" t="s">
        <v>1103</v>
      </c>
      <c r="B1340">
        <f>IFERROR(COUNTIFS($A$1:A1340,"Câu "&amp;"*")-MID(A1340,5,FIND(".",A1340,1)-5),0)</f>
        <v>0</v>
      </c>
      <c r="C1340" t="b">
        <v>0</v>
      </c>
      <c r="E1340" t="str">
        <f t="shared" si="120"/>
        <v>Câu 321.</v>
      </c>
      <c r="F1340" t="str">
        <f t="shared" si="121"/>
        <v>1</v>
      </c>
      <c r="G1340" t="str">
        <f t="shared" si="122"/>
        <v>2</v>
      </c>
      <c r="H1340" t="str">
        <f t="shared" si="123"/>
        <v>3</v>
      </c>
      <c r="I1340" t="str">
        <f t="shared" si="124"/>
        <v/>
      </c>
      <c r="J1340" t="str">
        <f t="shared" ca="1" si="125"/>
        <v>2</v>
      </c>
    </row>
    <row r="1341" spans="1:10" ht="18.75" x14ac:dyDescent="0.25">
      <c r="A1341" s="11" t="s">
        <v>2603</v>
      </c>
      <c r="B1341">
        <f>IFERROR(COUNTIFS($A$1:A1341,"Câu "&amp;"*")-MID(A1341,5,FIND(".",A1341,1)-5),0)</f>
        <v>0</v>
      </c>
      <c r="C1341" t="b">
        <v>0</v>
      </c>
      <c r="E1341" t="str">
        <f t="shared" si="120"/>
        <v>1</v>
      </c>
      <c r="F1341" t="str">
        <f t="shared" si="121"/>
        <v>2</v>
      </c>
      <c r="G1341" t="str">
        <f t="shared" si="122"/>
        <v>3</v>
      </c>
      <c r="H1341" t="str">
        <f t="shared" si="123"/>
        <v/>
      </c>
      <c r="I1341" t="str">
        <f t="shared" si="124"/>
        <v>1</v>
      </c>
      <c r="J1341" t="str">
        <f t="shared" ca="1" si="125"/>
        <v/>
      </c>
    </row>
    <row r="1342" spans="1:10" ht="18.75" x14ac:dyDescent="0.25">
      <c r="A1342" s="11" t="s">
        <v>2618</v>
      </c>
      <c r="B1342">
        <f>IFERROR(COUNTIFS($A$1:A1342,"Câu "&amp;"*")-MID(A1342,5,FIND(".",A1342,1)-5),0)</f>
        <v>0</v>
      </c>
      <c r="C1342" t="b">
        <v>1</v>
      </c>
      <c r="E1342" t="str">
        <f t="shared" si="120"/>
        <v>2</v>
      </c>
      <c r="F1342" t="str">
        <f t="shared" si="121"/>
        <v>3</v>
      </c>
      <c r="G1342" t="str">
        <f t="shared" si="122"/>
        <v>Câu 322.</v>
      </c>
      <c r="H1342" t="str">
        <f t="shared" si="123"/>
        <v>1</v>
      </c>
      <c r="I1342" t="str">
        <f t="shared" si="124"/>
        <v>2</v>
      </c>
      <c r="J1342" t="str">
        <f t="shared" ca="1" si="125"/>
        <v/>
      </c>
    </row>
    <row r="1343" spans="1:10" ht="18.75" x14ac:dyDescent="0.25">
      <c r="A1343" s="11" t="s">
        <v>2620</v>
      </c>
      <c r="B1343">
        <f>IFERROR(COUNTIFS($A$1:A1343,"Câu "&amp;"*")-MID(A1343,5,FIND(".",A1343,1)-5),0)</f>
        <v>0</v>
      </c>
      <c r="C1343" t="b">
        <v>0</v>
      </c>
      <c r="E1343" t="str">
        <f t="shared" si="120"/>
        <v>3</v>
      </c>
      <c r="F1343" t="str">
        <f t="shared" si="121"/>
        <v>Câu 322.</v>
      </c>
      <c r="G1343" t="str">
        <f t="shared" si="122"/>
        <v>1</v>
      </c>
      <c r="H1343" t="str">
        <f t="shared" si="123"/>
        <v>2</v>
      </c>
      <c r="I1343" t="str">
        <f t="shared" si="124"/>
        <v>3</v>
      </c>
      <c r="J1343" t="str">
        <f t="shared" ca="1" si="125"/>
        <v/>
      </c>
    </row>
    <row r="1344" spans="1:10" ht="18.75" x14ac:dyDescent="0.25">
      <c r="A1344" s="10" t="s">
        <v>1104</v>
      </c>
      <c r="B1344">
        <f>IFERROR(COUNTIFS($A$1:A1344,"Câu "&amp;"*")-MID(A1344,5,FIND(".",A1344,1)-5),0)</f>
        <v>0</v>
      </c>
      <c r="C1344" t="b">
        <v>0</v>
      </c>
      <c r="E1344" t="str">
        <f t="shared" si="120"/>
        <v>Câu 322.</v>
      </c>
      <c r="F1344" t="str">
        <f t="shared" si="121"/>
        <v>1</v>
      </c>
      <c r="G1344" t="str">
        <f t="shared" si="122"/>
        <v>2</v>
      </c>
      <c r="H1344" t="str">
        <f t="shared" si="123"/>
        <v>3</v>
      </c>
      <c r="I1344" t="str">
        <f t="shared" si="124"/>
        <v/>
      </c>
      <c r="J1344" t="str">
        <f t="shared" ca="1" si="125"/>
        <v>2</v>
      </c>
    </row>
    <row r="1345" spans="1:10" ht="18.75" x14ac:dyDescent="0.25">
      <c r="A1345" s="11" t="s">
        <v>2603</v>
      </c>
      <c r="B1345">
        <f>IFERROR(COUNTIFS($A$1:A1345,"Câu "&amp;"*")-MID(A1345,5,FIND(".",A1345,1)-5),0)</f>
        <v>0</v>
      </c>
      <c r="C1345" t="b">
        <v>0</v>
      </c>
      <c r="E1345" t="str">
        <f t="shared" si="120"/>
        <v>1</v>
      </c>
      <c r="F1345" t="str">
        <f t="shared" si="121"/>
        <v>2</v>
      </c>
      <c r="G1345" t="str">
        <f t="shared" si="122"/>
        <v>3</v>
      </c>
      <c r="H1345" t="str">
        <f t="shared" si="123"/>
        <v/>
      </c>
      <c r="I1345" t="str">
        <f t="shared" si="124"/>
        <v>1</v>
      </c>
      <c r="J1345" t="str">
        <f t="shared" ca="1" si="125"/>
        <v/>
      </c>
    </row>
    <row r="1346" spans="1:10" ht="18.75" x14ac:dyDescent="0.25">
      <c r="A1346" s="11" t="s">
        <v>2618</v>
      </c>
      <c r="B1346">
        <f>IFERROR(COUNTIFS($A$1:A1346,"Câu "&amp;"*")-MID(A1346,5,FIND(".",A1346,1)-5),0)</f>
        <v>0</v>
      </c>
      <c r="C1346" t="b">
        <v>1</v>
      </c>
      <c r="E1346" t="str">
        <f t="shared" si="120"/>
        <v>2</v>
      </c>
      <c r="F1346" t="str">
        <f t="shared" si="121"/>
        <v>3</v>
      </c>
      <c r="G1346" t="str">
        <f t="shared" si="122"/>
        <v>Câu 323.</v>
      </c>
      <c r="H1346" t="str">
        <f t="shared" si="123"/>
        <v>1</v>
      </c>
      <c r="I1346" t="str">
        <f t="shared" si="124"/>
        <v>2</v>
      </c>
      <c r="J1346" t="str">
        <f t="shared" ca="1" si="125"/>
        <v/>
      </c>
    </row>
    <row r="1347" spans="1:10" ht="18.75" x14ac:dyDescent="0.25">
      <c r="A1347" s="11" t="s">
        <v>2620</v>
      </c>
      <c r="B1347">
        <f>IFERROR(COUNTIFS($A$1:A1347,"Câu "&amp;"*")-MID(A1347,5,FIND(".",A1347,1)-5),0)</f>
        <v>0</v>
      </c>
      <c r="C1347" t="b">
        <v>0</v>
      </c>
      <c r="E1347" t="str">
        <f t="shared" ref="E1347:E1410" si="126">IF(LEFT(A1347,3)="Câu",LEFT(A1347,FIND(".",A1347,1)),LEFT(A1347,1))</f>
        <v>3</v>
      </c>
      <c r="F1347" t="str">
        <f t="shared" ref="F1347:F1410" si="127">IF(LEFT(A1348,3)="Câu",LEFT(A1348,FIND(".",A1348,1)),LEFT(A1348,1))</f>
        <v>Câu 323.</v>
      </c>
      <c r="G1347" t="str">
        <f t="shared" ref="G1347:G1410" si="128">IF(LEFT(A1349,3)="Câu",LEFT(A1349,FIND(".",A1349,1)),LEFT(A1349,1))</f>
        <v>1</v>
      </c>
      <c r="H1347" t="str">
        <f t="shared" ref="H1347:H1410" si="129">IF(LEFT(A1350,3)="Câu","",LEFT(A1350,1))</f>
        <v>2</v>
      </c>
      <c r="I1347" t="str">
        <f t="shared" ref="I1347:I1410" si="130">IF(LEFT(A1351,3)="Câu","",LEFT(A1351,1))</f>
        <v>3</v>
      </c>
      <c r="J1347" t="str">
        <f t="shared" ref="J1347:J1410" ca="1" si="131">IFERROR(VLOOKUP(TRUE,INDIRECT("C"&amp;MATCH(E1347,$E$1:$E$2471,0)&amp;":E"&amp;MATCH("Câu "&amp;VALUE(MID(E1347,5,LEN(E1347)-5))+1&amp;".",$E$1:$E$2471,0)),3,0),"")</f>
        <v/>
      </c>
    </row>
    <row r="1348" spans="1:10" ht="18.75" x14ac:dyDescent="0.25">
      <c r="A1348" s="10" t="s">
        <v>1105</v>
      </c>
      <c r="B1348">
        <f>IFERROR(COUNTIFS($A$1:A1348,"Câu "&amp;"*")-MID(A1348,5,FIND(".",A1348,1)-5),0)</f>
        <v>0</v>
      </c>
      <c r="C1348" t="b">
        <v>0</v>
      </c>
      <c r="E1348" t="str">
        <f t="shared" si="126"/>
        <v>Câu 323.</v>
      </c>
      <c r="F1348" t="str">
        <f t="shared" si="127"/>
        <v>1</v>
      </c>
      <c r="G1348" t="str">
        <f t="shared" si="128"/>
        <v>2</v>
      </c>
      <c r="H1348" t="str">
        <f t="shared" si="129"/>
        <v>3</v>
      </c>
      <c r="I1348" t="str">
        <f t="shared" si="130"/>
        <v/>
      </c>
      <c r="J1348" t="str">
        <f t="shared" ca="1" si="131"/>
        <v>3</v>
      </c>
    </row>
    <row r="1349" spans="1:10" ht="18.75" x14ac:dyDescent="0.25">
      <c r="A1349" s="11" t="s">
        <v>2603</v>
      </c>
      <c r="B1349">
        <f>IFERROR(COUNTIFS($A$1:A1349,"Câu "&amp;"*")-MID(A1349,5,FIND(".",A1349,1)-5),0)</f>
        <v>0</v>
      </c>
      <c r="C1349" t="b">
        <v>0</v>
      </c>
      <c r="E1349" t="str">
        <f t="shared" si="126"/>
        <v>1</v>
      </c>
      <c r="F1349" t="str">
        <f t="shared" si="127"/>
        <v>2</v>
      </c>
      <c r="G1349" t="str">
        <f t="shared" si="128"/>
        <v>3</v>
      </c>
      <c r="H1349" t="str">
        <f t="shared" si="129"/>
        <v/>
      </c>
      <c r="I1349" t="str">
        <f t="shared" si="130"/>
        <v>1</v>
      </c>
      <c r="J1349" t="str">
        <f t="shared" ca="1" si="131"/>
        <v/>
      </c>
    </row>
    <row r="1350" spans="1:10" ht="18.75" x14ac:dyDescent="0.25">
      <c r="A1350" s="11" t="s">
        <v>2600</v>
      </c>
      <c r="B1350">
        <f>IFERROR(COUNTIFS($A$1:A1350,"Câu "&amp;"*")-MID(A1350,5,FIND(".",A1350,1)-5),0)</f>
        <v>0</v>
      </c>
      <c r="C1350" t="b">
        <v>0</v>
      </c>
      <c r="E1350" t="str">
        <f t="shared" si="126"/>
        <v>2</v>
      </c>
      <c r="F1350" t="str">
        <f t="shared" si="127"/>
        <v>3</v>
      </c>
      <c r="G1350" t="str">
        <f t="shared" si="128"/>
        <v>Câu 324.</v>
      </c>
      <c r="H1350" t="str">
        <f t="shared" si="129"/>
        <v>1</v>
      </c>
      <c r="I1350" t="str">
        <f t="shared" si="130"/>
        <v>2</v>
      </c>
      <c r="J1350" t="str">
        <f t="shared" ca="1" si="131"/>
        <v/>
      </c>
    </row>
    <row r="1351" spans="1:10" ht="18.75" x14ac:dyDescent="0.25">
      <c r="A1351" s="11" t="s">
        <v>2610</v>
      </c>
      <c r="B1351">
        <f>IFERROR(COUNTIFS($A$1:A1351,"Câu "&amp;"*")-MID(A1351,5,FIND(".",A1351,1)-5),0)</f>
        <v>0</v>
      </c>
      <c r="C1351" t="b">
        <v>1</v>
      </c>
      <c r="E1351" t="str">
        <f t="shared" si="126"/>
        <v>3</v>
      </c>
      <c r="F1351" t="str">
        <f t="shared" si="127"/>
        <v>Câu 324.</v>
      </c>
      <c r="G1351" t="str">
        <f t="shared" si="128"/>
        <v>1</v>
      </c>
      <c r="H1351" t="str">
        <f t="shared" si="129"/>
        <v>2</v>
      </c>
      <c r="I1351" t="str">
        <f t="shared" si="130"/>
        <v>3</v>
      </c>
      <c r="J1351" t="str">
        <f t="shared" ca="1" si="131"/>
        <v/>
      </c>
    </row>
    <row r="1352" spans="1:10" ht="18.75" x14ac:dyDescent="0.25">
      <c r="A1352" s="10" t="s">
        <v>1106</v>
      </c>
      <c r="B1352">
        <f>IFERROR(COUNTIFS($A$1:A1352,"Câu "&amp;"*")-MID(A1352,5,FIND(".",A1352,1)-5),0)</f>
        <v>0</v>
      </c>
      <c r="C1352" t="b">
        <v>0</v>
      </c>
      <c r="E1352" t="str">
        <f t="shared" si="126"/>
        <v>Câu 324.</v>
      </c>
      <c r="F1352" t="str">
        <f t="shared" si="127"/>
        <v>1</v>
      </c>
      <c r="G1352" t="str">
        <f t="shared" si="128"/>
        <v>2</v>
      </c>
      <c r="H1352" t="str">
        <f t="shared" si="129"/>
        <v>3</v>
      </c>
      <c r="I1352" t="str">
        <f t="shared" si="130"/>
        <v/>
      </c>
      <c r="J1352" t="str">
        <f t="shared" ca="1" si="131"/>
        <v>1</v>
      </c>
    </row>
    <row r="1353" spans="1:10" ht="18.75" x14ac:dyDescent="0.25">
      <c r="A1353" s="11" t="s">
        <v>2599</v>
      </c>
      <c r="B1353">
        <f>IFERROR(COUNTIFS($A$1:A1353,"Câu "&amp;"*")-MID(A1353,5,FIND(".",A1353,1)-5),0)</f>
        <v>0</v>
      </c>
      <c r="C1353" t="b">
        <v>1</v>
      </c>
      <c r="E1353" t="str">
        <f t="shared" si="126"/>
        <v>1</v>
      </c>
      <c r="F1353" t="str">
        <f t="shared" si="127"/>
        <v>2</v>
      </c>
      <c r="G1353" t="str">
        <f t="shared" si="128"/>
        <v>3</v>
      </c>
      <c r="H1353" t="str">
        <f t="shared" si="129"/>
        <v/>
      </c>
      <c r="I1353" t="str">
        <f t="shared" si="130"/>
        <v>1</v>
      </c>
      <c r="J1353" t="str">
        <f t="shared" ca="1" si="131"/>
        <v/>
      </c>
    </row>
    <row r="1354" spans="1:10" ht="18.75" x14ac:dyDescent="0.25">
      <c r="A1354" s="11" t="s">
        <v>2600</v>
      </c>
      <c r="B1354">
        <f>IFERROR(COUNTIFS($A$1:A1354,"Câu "&amp;"*")-MID(A1354,5,FIND(".",A1354,1)-5),0)</f>
        <v>0</v>
      </c>
      <c r="C1354" t="b">
        <v>0</v>
      </c>
      <c r="E1354" t="str">
        <f t="shared" si="126"/>
        <v>2</v>
      </c>
      <c r="F1354" t="str">
        <f t="shared" si="127"/>
        <v>3</v>
      </c>
      <c r="G1354" t="str">
        <f t="shared" si="128"/>
        <v>Câu 325.</v>
      </c>
      <c r="H1354" t="str">
        <f t="shared" si="129"/>
        <v>1</v>
      </c>
      <c r="I1354" t="str">
        <f t="shared" si="130"/>
        <v>2</v>
      </c>
      <c r="J1354" t="str">
        <f t="shared" ca="1" si="131"/>
        <v/>
      </c>
    </row>
    <row r="1355" spans="1:10" ht="18.75" x14ac:dyDescent="0.25">
      <c r="A1355" s="11" t="s">
        <v>2622</v>
      </c>
      <c r="B1355">
        <f>IFERROR(COUNTIFS($A$1:A1355,"Câu "&amp;"*")-MID(A1355,5,FIND(".",A1355,1)-5),0)</f>
        <v>0</v>
      </c>
      <c r="C1355" t="b">
        <v>0</v>
      </c>
      <c r="E1355" t="str">
        <f t="shared" si="126"/>
        <v>3</v>
      </c>
      <c r="F1355" t="str">
        <f t="shared" si="127"/>
        <v>Câu 325.</v>
      </c>
      <c r="G1355" t="str">
        <f t="shared" si="128"/>
        <v>1</v>
      </c>
      <c r="H1355" t="str">
        <f t="shared" si="129"/>
        <v>2</v>
      </c>
      <c r="I1355" t="str">
        <f t="shared" si="130"/>
        <v>3</v>
      </c>
      <c r="J1355" t="str">
        <f t="shared" ca="1" si="131"/>
        <v/>
      </c>
    </row>
    <row r="1356" spans="1:10" ht="18.75" x14ac:dyDescent="0.25">
      <c r="A1356" s="10" t="s">
        <v>1107</v>
      </c>
      <c r="B1356">
        <f>IFERROR(COUNTIFS($A$1:A1356,"Câu "&amp;"*")-MID(A1356,5,FIND(".",A1356,1)-5),0)</f>
        <v>0</v>
      </c>
      <c r="C1356" t="b">
        <v>0</v>
      </c>
      <c r="E1356" t="str">
        <f t="shared" si="126"/>
        <v>Câu 325.</v>
      </c>
      <c r="F1356" t="str">
        <f t="shared" si="127"/>
        <v>1</v>
      </c>
      <c r="G1356" t="str">
        <f t="shared" si="128"/>
        <v>2</v>
      </c>
      <c r="H1356" t="str">
        <f t="shared" si="129"/>
        <v>3</v>
      </c>
      <c r="I1356" t="str">
        <f t="shared" si="130"/>
        <v/>
      </c>
      <c r="J1356" t="str">
        <f t="shared" ca="1" si="131"/>
        <v>2</v>
      </c>
    </row>
    <row r="1357" spans="1:10" ht="18.75" x14ac:dyDescent="0.25">
      <c r="A1357" s="11" t="s">
        <v>2603</v>
      </c>
      <c r="B1357">
        <f>IFERROR(COUNTIFS($A$1:A1357,"Câu "&amp;"*")-MID(A1357,5,FIND(".",A1357,1)-5),0)</f>
        <v>0</v>
      </c>
      <c r="C1357" t="b">
        <v>0</v>
      </c>
      <c r="E1357" t="str">
        <f t="shared" si="126"/>
        <v>1</v>
      </c>
      <c r="F1357" t="str">
        <f t="shared" si="127"/>
        <v>2</v>
      </c>
      <c r="G1357" t="str">
        <f t="shared" si="128"/>
        <v>3</v>
      </c>
      <c r="H1357" t="str">
        <f t="shared" si="129"/>
        <v/>
      </c>
      <c r="I1357" t="str">
        <f t="shared" si="130"/>
        <v>1</v>
      </c>
      <c r="J1357" t="str">
        <f t="shared" ca="1" si="131"/>
        <v/>
      </c>
    </row>
    <row r="1358" spans="1:10" ht="18.75" x14ac:dyDescent="0.25">
      <c r="A1358" s="11" t="s">
        <v>2618</v>
      </c>
      <c r="B1358">
        <f>IFERROR(COUNTIFS($A$1:A1358,"Câu "&amp;"*")-MID(A1358,5,FIND(".",A1358,1)-5),0)</f>
        <v>0</v>
      </c>
      <c r="C1358" t="b">
        <v>1</v>
      </c>
      <c r="E1358" t="str">
        <f t="shared" si="126"/>
        <v>2</v>
      </c>
      <c r="F1358" t="str">
        <f t="shared" si="127"/>
        <v>3</v>
      </c>
      <c r="G1358" t="str">
        <f t="shared" si="128"/>
        <v>Câu 326.</v>
      </c>
      <c r="H1358" t="str">
        <f t="shared" si="129"/>
        <v>1</v>
      </c>
      <c r="I1358" t="str">
        <f t="shared" si="130"/>
        <v>2</v>
      </c>
      <c r="J1358" t="str">
        <f t="shared" ca="1" si="131"/>
        <v/>
      </c>
    </row>
    <row r="1359" spans="1:10" ht="18.75" x14ac:dyDescent="0.25">
      <c r="A1359" s="11" t="s">
        <v>2624</v>
      </c>
      <c r="B1359">
        <f>IFERROR(COUNTIFS($A$1:A1359,"Câu "&amp;"*")-MID(A1359,5,FIND(".",A1359,1)-5),0)</f>
        <v>0</v>
      </c>
      <c r="C1359" t="b">
        <v>0</v>
      </c>
      <c r="E1359" t="str">
        <f t="shared" si="126"/>
        <v>3</v>
      </c>
      <c r="F1359" t="str">
        <f t="shared" si="127"/>
        <v>Câu 326.</v>
      </c>
      <c r="G1359" t="str">
        <f t="shared" si="128"/>
        <v>1</v>
      </c>
      <c r="H1359" t="str">
        <f t="shared" si="129"/>
        <v>2</v>
      </c>
      <c r="I1359" t="str">
        <f t="shared" si="130"/>
        <v>3</v>
      </c>
      <c r="J1359" t="str">
        <f t="shared" ca="1" si="131"/>
        <v/>
      </c>
    </row>
    <row r="1360" spans="1:10" ht="18.75" x14ac:dyDescent="0.25">
      <c r="A1360" s="10" t="s">
        <v>1108</v>
      </c>
      <c r="B1360">
        <f>IFERROR(COUNTIFS($A$1:A1360,"Câu "&amp;"*")-MID(A1360,5,FIND(".",A1360,1)-5),0)</f>
        <v>0</v>
      </c>
      <c r="C1360" t="b">
        <v>0</v>
      </c>
      <c r="E1360" t="str">
        <f t="shared" si="126"/>
        <v>Câu 326.</v>
      </c>
      <c r="F1360" t="str">
        <f t="shared" si="127"/>
        <v>1</v>
      </c>
      <c r="G1360" t="str">
        <f t="shared" si="128"/>
        <v>2</v>
      </c>
      <c r="H1360" t="str">
        <f t="shared" si="129"/>
        <v>3</v>
      </c>
      <c r="I1360" t="str">
        <f t="shared" si="130"/>
        <v/>
      </c>
      <c r="J1360" t="str">
        <f t="shared" ca="1" si="131"/>
        <v>3</v>
      </c>
    </row>
    <row r="1361" spans="1:10" ht="18.75" x14ac:dyDescent="0.25">
      <c r="A1361" s="11" t="s">
        <v>2603</v>
      </c>
      <c r="B1361">
        <f>IFERROR(COUNTIFS($A$1:A1361,"Câu "&amp;"*")-MID(A1361,5,FIND(".",A1361,1)-5),0)</f>
        <v>0</v>
      </c>
      <c r="C1361" t="b">
        <v>0</v>
      </c>
      <c r="E1361" t="str">
        <f t="shared" si="126"/>
        <v>1</v>
      </c>
      <c r="F1361" t="str">
        <f t="shared" si="127"/>
        <v>2</v>
      </c>
      <c r="G1361" t="str">
        <f t="shared" si="128"/>
        <v>3</v>
      </c>
      <c r="H1361" t="str">
        <f t="shared" si="129"/>
        <v/>
      </c>
      <c r="I1361" t="str">
        <f t="shared" si="130"/>
        <v>1</v>
      </c>
      <c r="J1361" t="str">
        <f t="shared" ca="1" si="131"/>
        <v/>
      </c>
    </row>
    <row r="1362" spans="1:10" ht="18.75" x14ac:dyDescent="0.25">
      <c r="A1362" s="11" t="s">
        <v>2600</v>
      </c>
      <c r="B1362">
        <f>IFERROR(COUNTIFS($A$1:A1362,"Câu "&amp;"*")-MID(A1362,5,FIND(".",A1362,1)-5),0)</f>
        <v>0</v>
      </c>
      <c r="C1362" t="b">
        <v>0</v>
      </c>
      <c r="E1362" t="str">
        <f t="shared" si="126"/>
        <v>2</v>
      </c>
      <c r="F1362" t="str">
        <f t="shared" si="127"/>
        <v>3</v>
      </c>
      <c r="G1362" t="str">
        <f t="shared" si="128"/>
        <v>Câu 327.</v>
      </c>
      <c r="H1362" t="str">
        <f t="shared" si="129"/>
        <v>1</v>
      </c>
      <c r="I1362" t="str">
        <f t="shared" si="130"/>
        <v>2</v>
      </c>
      <c r="J1362" t="str">
        <f t="shared" ca="1" si="131"/>
        <v/>
      </c>
    </row>
    <row r="1363" spans="1:10" ht="18.75" x14ac:dyDescent="0.25">
      <c r="A1363" s="11" t="s">
        <v>2625</v>
      </c>
      <c r="B1363">
        <f>IFERROR(COUNTIFS($A$1:A1363,"Câu "&amp;"*")-MID(A1363,5,FIND(".",A1363,1)-5),0)</f>
        <v>0</v>
      </c>
      <c r="C1363" t="b">
        <v>1</v>
      </c>
      <c r="E1363" t="str">
        <f t="shared" si="126"/>
        <v>3</v>
      </c>
      <c r="F1363" t="str">
        <f t="shared" si="127"/>
        <v>Câu 327.</v>
      </c>
      <c r="G1363" t="str">
        <f t="shared" si="128"/>
        <v>1</v>
      </c>
      <c r="H1363" t="str">
        <f t="shared" si="129"/>
        <v>2</v>
      </c>
      <c r="I1363" t="str">
        <f t="shared" si="130"/>
        <v>3</v>
      </c>
      <c r="J1363" t="str">
        <f t="shared" ca="1" si="131"/>
        <v/>
      </c>
    </row>
    <row r="1364" spans="1:10" ht="18.75" x14ac:dyDescent="0.25">
      <c r="A1364" s="10" t="s">
        <v>1109</v>
      </c>
      <c r="B1364">
        <f>IFERROR(COUNTIFS($A$1:A1364,"Câu "&amp;"*")-MID(A1364,5,FIND(".",A1364,1)-5),0)</f>
        <v>0</v>
      </c>
      <c r="C1364" t="b">
        <v>0</v>
      </c>
      <c r="E1364" t="str">
        <f t="shared" si="126"/>
        <v>Câu 327.</v>
      </c>
      <c r="F1364" t="str">
        <f t="shared" si="127"/>
        <v>1</v>
      </c>
      <c r="G1364" t="str">
        <f t="shared" si="128"/>
        <v>2</v>
      </c>
      <c r="H1364" t="str">
        <f t="shared" si="129"/>
        <v>3</v>
      </c>
      <c r="I1364" t="str">
        <f t="shared" si="130"/>
        <v>4</v>
      </c>
      <c r="J1364" t="str">
        <f t="shared" ca="1" si="131"/>
        <v>2</v>
      </c>
    </row>
    <row r="1365" spans="1:10" ht="18.75" x14ac:dyDescent="0.25">
      <c r="A1365" s="11" t="s">
        <v>2603</v>
      </c>
      <c r="B1365">
        <f>IFERROR(COUNTIFS($A$1:A1365,"Câu "&amp;"*")-MID(A1365,5,FIND(".",A1365,1)-5),0)</f>
        <v>0</v>
      </c>
      <c r="C1365" t="b">
        <v>0</v>
      </c>
      <c r="E1365" t="str">
        <f t="shared" si="126"/>
        <v>1</v>
      </c>
      <c r="F1365" t="str">
        <f t="shared" si="127"/>
        <v>2</v>
      </c>
      <c r="G1365" t="str">
        <f t="shared" si="128"/>
        <v>3</v>
      </c>
      <c r="H1365" t="str">
        <f t="shared" si="129"/>
        <v>4</v>
      </c>
      <c r="I1365" t="str">
        <f t="shared" si="130"/>
        <v/>
      </c>
      <c r="J1365" t="str">
        <f t="shared" ca="1" si="131"/>
        <v/>
      </c>
    </row>
    <row r="1366" spans="1:10" ht="18.75" x14ac:dyDescent="0.25">
      <c r="A1366" s="11" t="s">
        <v>2626</v>
      </c>
      <c r="B1366">
        <f>IFERROR(COUNTIFS($A$1:A1366,"Câu "&amp;"*")-MID(A1366,5,FIND(".",A1366,1)-5),0)</f>
        <v>0</v>
      </c>
      <c r="C1366" t="b">
        <v>1</v>
      </c>
      <c r="E1366" t="str">
        <f t="shared" si="126"/>
        <v>2</v>
      </c>
      <c r="F1366" t="str">
        <f t="shared" si="127"/>
        <v>3</v>
      </c>
      <c r="G1366" t="str">
        <f t="shared" si="128"/>
        <v>4</v>
      </c>
      <c r="H1366" t="str">
        <f t="shared" si="129"/>
        <v/>
      </c>
      <c r="I1366" t="str">
        <f t="shared" si="130"/>
        <v>1</v>
      </c>
      <c r="J1366" t="str">
        <f t="shared" ca="1" si="131"/>
        <v/>
      </c>
    </row>
    <row r="1367" spans="1:10" ht="18.75" x14ac:dyDescent="0.25">
      <c r="A1367" s="11" t="s">
        <v>2609</v>
      </c>
      <c r="B1367">
        <f>IFERROR(COUNTIFS($A$1:A1367,"Câu "&amp;"*")-MID(A1367,5,FIND(".",A1367,1)-5),0)</f>
        <v>0</v>
      </c>
      <c r="C1367" t="b">
        <v>0</v>
      </c>
      <c r="E1367" t="str">
        <f t="shared" si="126"/>
        <v>3</v>
      </c>
      <c r="F1367" t="str">
        <f t="shared" si="127"/>
        <v>4</v>
      </c>
      <c r="G1367" t="str">
        <f t="shared" si="128"/>
        <v>Câu 328.</v>
      </c>
      <c r="H1367" t="str">
        <f t="shared" si="129"/>
        <v>1</v>
      </c>
      <c r="I1367" t="str">
        <f t="shared" si="130"/>
        <v>2</v>
      </c>
      <c r="J1367" t="str">
        <f t="shared" ca="1" si="131"/>
        <v/>
      </c>
    </row>
    <row r="1368" spans="1:10" ht="18.75" x14ac:dyDescent="0.25">
      <c r="A1368" s="11" t="s">
        <v>2627</v>
      </c>
      <c r="B1368">
        <f>IFERROR(COUNTIFS($A$1:A1368,"Câu "&amp;"*")-MID(A1368,5,FIND(".",A1368,1)-5),0)</f>
        <v>0</v>
      </c>
      <c r="C1368" t="b">
        <v>0</v>
      </c>
      <c r="E1368" t="str">
        <f t="shared" si="126"/>
        <v>4</v>
      </c>
      <c r="F1368" t="str">
        <f t="shared" si="127"/>
        <v>Câu 328.</v>
      </c>
      <c r="G1368" t="str">
        <f t="shared" si="128"/>
        <v>1</v>
      </c>
      <c r="H1368" t="str">
        <f t="shared" si="129"/>
        <v>2</v>
      </c>
      <c r="I1368" t="str">
        <f t="shared" si="130"/>
        <v>3</v>
      </c>
      <c r="J1368" t="str">
        <f t="shared" ca="1" si="131"/>
        <v/>
      </c>
    </row>
    <row r="1369" spans="1:10" ht="18.75" x14ac:dyDescent="0.25">
      <c r="A1369" s="10" t="s">
        <v>1110</v>
      </c>
      <c r="B1369">
        <f>IFERROR(COUNTIFS($A$1:A1369,"Câu "&amp;"*")-MID(A1369,5,FIND(".",A1369,1)-5),0)</f>
        <v>0</v>
      </c>
      <c r="C1369" t="b">
        <v>0</v>
      </c>
      <c r="E1369" t="str">
        <f t="shared" si="126"/>
        <v>Câu 328.</v>
      </c>
      <c r="F1369" t="str">
        <f t="shared" si="127"/>
        <v>1</v>
      </c>
      <c r="G1369" t="str">
        <f t="shared" si="128"/>
        <v>2</v>
      </c>
      <c r="H1369" t="str">
        <f t="shared" si="129"/>
        <v>3</v>
      </c>
      <c r="I1369" t="str">
        <f t="shared" si="130"/>
        <v>4</v>
      </c>
      <c r="J1369" t="str">
        <f t="shared" ca="1" si="131"/>
        <v>1</v>
      </c>
    </row>
    <row r="1370" spans="1:10" ht="18.75" x14ac:dyDescent="0.25">
      <c r="A1370" s="11" t="s">
        <v>2607</v>
      </c>
      <c r="B1370">
        <f>IFERROR(COUNTIFS($A$1:A1370,"Câu "&amp;"*")-MID(A1370,5,FIND(".",A1370,1)-5),0)</f>
        <v>0</v>
      </c>
      <c r="C1370" t="b">
        <v>1</v>
      </c>
      <c r="E1370" t="str">
        <f t="shared" si="126"/>
        <v>1</v>
      </c>
      <c r="F1370" t="str">
        <f t="shared" si="127"/>
        <v>2</v>
      </c>
      <c r="G1370" t="str">
        <f t="shared" si="128"/>
        <v>3</v>
      </c>
      <c r="H1370" t="str">
        <f t="shared" si="129"/>
        <v>4</v>
      </c>
      <c r="I1370" t="str">
        <f t="shared" si="130"/>
        <v/>
      </c>
      <c r="J1370" t="str">
        <f t="shared" ca="1" si="131"/>
        <v/>
      </c>
    </row>
    <row r="1371" spans="1:10" ht="18.75" x14ac:dyDescent="0.25">
      <c r="A1371" s="11" t="s">
        <v>2600</v>
      </c>
      <c r="B1371">
        <f>IFERROR(COUNTIFS($A$1:A1371,"Câu "&amp;"*")-MID(A1371,5,FIND(".",A1371,1)-5),0)</f>
        <v>0</v>
      </c>
      <c r="C1371" t="b">
        <v>0</v>
      </c>
      <c r="E1371" t="str">
        <f t="shared" si="126"/>
        <v>2</v>
      </c>
      <c r="F1371" t="str">
        <f t="shared" si="127"/>
        <v>3</v>
      </c>
      <c r="G1371" t="str">
        <f t="shared" si="128"/>
        <v>4</v>
      </c>
      <c r="H1371" t="str">
        <f t="shared" si="129"/>
        <v/>
      </c>
      <c r="I1371" t="str">
        <f t="shared" si="130"/>
        <v>1</v>
      </c>
      <c r="J1371" t="str">
        <f t="shared" ca="1" si="131"/>
        <v/>
      </c>
    </row>
    <row r="1372" spans="1:10" ht="18.75" x14ac:dyDescent="0.25">
      <c r="A1372" s="11" t="s">
        <v>2609</v>
      </c>
      <c r="B1372">
        <f>IFERROR(COUNTIFS($A$1:A1372,"Câu "&amp;"*")-MID(A1372,5,FIND(".",A1372,1)-5),0)</f>
        <v>0</v>
      </c>
      <c r="C1372" t="b">
        <v>0</v>
      </c>
      <c r="E1372" t="str">
        <f t="shared" si="126"/>
        <v>3</v>
      </c>
      <c r="F1372" t="str">
        <f t="shared" si="127"/>
        <v>4</v>
      </c>
      <c r="G1372" t="str">
        <f t="shared" si="128"/>
        <v>Câu 329.</v>
      </c>
      <c r="H1372" t="str">
        <f t="shared" si="129"/>
        <v>1</v>
      </c>
      <c r="I1372" t="str">
        <f t="shared" si="130"/>
        <v>2</v>
      </c>
      <c r="J1372" t="str">
        <f t="shared" ca="1" si="131"/>
        <v/>
      </c>
    </row>
    <row r="1373" spans="1:10" ht="18.75" x14ac:dyDescent="0.25">
      <c r="A1373" s="11" t="s">
        <v>2627</v>
      </c>
      <c r="B1373">
        <f>IFERROR(COUNTIFS($A$1:A1373,"Câu "&amp;"*")-MID(A1373,5,FIND(".",A1373,1)-5),0)</f>
        <v>0</v>
      </c>
      <c r="C1373" t="b">
        <v>0</v>
      </c>
      <c r="E1373" t="str">
        <f t="shared" si="126"/>
        <v>4</v>
      </c>
      <c r="F1373" t="str">
        <f t="shared" si="127"/>
        <v>Câu 329.</v>
      </c>
      <c r="G1373" t="str">
        <f t="shared" si="128"/>
        <v>1</v>
      </c>
      <c r="H1373" t="str">
        <f t="shared" si="129"/>
        <v>2</v>
      </c>
      <c r="I1373" t="str">
        <f t="shared" si="130"/>
        <v>3</v>
      </c>
      <c r="J1373" t="str">
        <f t="shared" ca="1" si="131"/>
        <v/>
      </c>
    </row>
    <row r="1374" spans="1:10" ht="18.75" x14ac:dyDescent="0.25">
      <c r="A1374" s="10" t="s">
        <v>1111</v>
      </c>
      <c r="B1374">
        <f>IFERROR(COUNTIFS($A$1:A1374,"Câu "&amp;"*")-MID(A1374,5,FIND(".",A1374,1)-5),0)</f>
        <v>0</v>
      </c>
      <c r="C1374" t="b">
        <v>0</v>
      </c>
      <c r="E1374" t="str">
        <f t="shared" si="126"/>
        <v>Câu 329.</v>
      </c>
      <c r="F1374" t="str">
        <f t="shared" si="127"/>
        <v>1</v>
      </c>
      <c r="G1374" t="str">
        <f t="shared" si="128"/>
        <v>2</v>
      </c>
      <c r="H1374" t="str">
        <f t="shared" si="129"/>
        <v>3</v>
      </c>
      <c r="I1374" t="str">
        <f t="shared" si="130"/>
        <v/>
      </c>
      <c r="J1374" t="str">
        <f t="shared" ca="1" si="131"/>
        <v>2</v>
      </c>
    </row>
    <row r="1375" spans="1:10" ht="18.75" x14ac:dyDescent="0.25">
      <c r="A1375" s="11" t="s">
        <v>2603</v>
      </c>
      <c r="B1375">
        <f>IFERROR(COUNTIFS($A$1:A1375,"Câu "&amp;"*")-MID(A1375,5,FIND(".",A1375,1)-5),0)</f>
        <v>0</v>
      </c>
      <c r="C1375" t="b">
        <v>0</v>
      </c>
      <c r="E1375" t="str">
        <f t="shared" si="126"/>
        <v>1</v>
      </c>
      <c r="F1375" t="str">
        <f t="shared" si="127"/>
        <v>2</v>
      </c>
      <c r="G1375" t="str">
        <f t="shared" si="128"/>
        <v>3</v>
      </c>
      <c r="H1375" t="str">
        <f t="shared" si="129"/>
        <v/>
      </c>
      <c r="I1375" t="str">
        <f t="shared" si="130"/>
        <v>1</v>
      </c>
      <c r="J1375" t="str">
        <f t="shared" ca="1" si="131"/>
        <v/>
      </c>
    </row>
    <row r="1376" spans="1:10" ht="18.75" x14ac:dyDescent="0.25">
      <c r="A1376" s="11" t="s">
        <v>2618</v>
      </c>
      <c r="B1376">
        <f>IFERROR(COUNTIFS($A$1:A1376,"Câu "&amp;"*")-MID(A1376,5,FIND(".",A1376,1)-5),0)</f>
        <v>0</v>
      </c>
      <c r="C1376" t="b">
        <v>1</v>
      </c>
      <c r="E1376" t="str">
        <f t="shared" si="126"/>
        <v>2</v>
      </c>
      <c r="F1376" t="str">
        <f t="shared" si="127"/>
        <v>3</v>
      </c>
      <c r="G1376" t="str">
        <f t="shared" si="128"/>
        <v>Câu 330.</v>
      </c>
      <c r="H1376" t="str">
        <f t="shared" si="129"/>
        <v>1</v>
      </c>
      <c r="I1376" t="str">
        <f t="shared" si="130"/>
        <v>2</v>
      </c>
      <c r="J1376" t="str">
        <f t="shared" ca="1" si="131"/>
        <v/>
      </c>
    </row>
    <row r="1377" spans="1:10" ht="18.75" x14ac:dyDescent="0.25">
      <c r="A1377" s="11" t="s">
        <v>2624</v>
      </c>
      <c r="B1377">
        <f>IFERROR(COUNTIFS($A$1:A1377,"Câu "&amp;"*")-MID(A1377,5,FIND(".",A1377,1)-5),0)</f>
        <v>0</v>
      </c>
      <c r="C1377" t="b">
        <v>0</v>
      </c>
      <c r="E1377" t="str">
        <f t="shared" si="126"/>
        <v>3</v>
      </c>
      <c r="F1377" t="str">
        <f t="shared" si="127"/>
        <v>Câu 330.</v>
      </c>
      <c r="G1377" t="str">
        <f t="shared" si="128"/>
        <v>1</v>
      </c>
      <c r="H1377" t="str">
        <f t="shared" si="129"/>
        <v>2</v>
      </c>
      <c r="I1377" t="str">
        <f t="shared" si="130"/>
        <v>3</v>
      </c>
      <c r="J1377" t="str">
        <f t="shared" ca="1" si="131"/>
        <v/>
      </c>
    </row>
    <row r="1378" spans="1:10" ht="18.75" x14ac:dyDescent="0.25">
      <c r="A1378" s="10" t="s">
        <v>1112</v>
      </c>
      <c r="B1378">
        <f>IFERROR(COUNTIFS($A$1:A1378,"Câu "&amp;"*")-MID(A1378,5,FIND(".",A1378,1)-5),0)</f>
        <v>0</v>
      </c>
      <c r="C1378" t="b">
        <v>0</v>
      </c>
      <c r="E1378" t="str">
        <f t="shared" si="126"/>
        <v>Câu 330.</v>
      </c>
      <c r="F1378" t="str">
        <f t="shared" si="127"/>
        <v>1</v>
      </c>
      <c r="G1378" t="str">
        <f t="shared" si="128"/>
        <v>2</v>
      </c>
      <c r="H1378" t="str">
        <f t="shared" si="129"/>
        <v>3</v>
      </c>
      <c r="I1378" t="str">
        <f t="shared" si="130"/>
        <v/>
      </c>
      <c r="J1378" t="str">
        <f t="shared" ca="1" si="131"/>
        <v>1</v>
      </c>
    </row>
    <row r="1379" spans="1:10" ht="18.75" x14ac:dyDescent="0.25">
      <c r="A1379" s="11" t="s">
        <v>2599</v>
      </c>
      <c r="B1379">
        <f>IFERROR(COUNTIFS($A$1:A1379,"Câu "&amp;"*")-MID(A1379,5,FIND(".",A1379,1)-5),0)</f>
        <v>0</v>
      </c>
      <c r="C1379" t="b">
        <v>1</v>
      </c>
      <c r="E1379" t="str">
        <f t="shared" si="126"/>
        <v>1</v>
      </c>
      <c r="F1379" t="str">
        <f t="shared" si="127"/>
        <v>2</v>
      </c>
      <c r="G1379" t="str">
        <f t="shared" si="128"/>
        <v>3</v>
      </c>
      <c r="H1379" t="str">
        <f t="shared" si="129"/>
        <v/>
      </c>
      <c r="I1379" t="str">
        <f t="shared" si="130"/>
        <v>1</v>
      </c>
      <c r="J1379" t="str">
        <f t="shared" ca="1" si="131"/>
        <v/>
      </c>
    </row>
    <row r="1380" spans="1:10" ht="18.75" x14ac:dyDescent="0.25">
      <c r="A1380" s="11" t="s">
        <v>2600</v>
      </c>
      <c r="B1380">
        <f>IFERROR(COUNTIFS($A$1:A1380,"Câu "&amp;"*")-MID(A1380,5,FIND(".",A1380,1)-5),0)</f>
        <v>0</v>
      </c>
      <c r="C1380" t="b">
        <v>0</v>
      </c>
      <c r="E1380" t="str">
        <f t="shared" si="126"/>
        <v>2</v>
      </c>
      <c r="F1380" t="str">
        <f t="shared" si="127"/>
        <v>3</v>
      </c>
      <c r="G1380" t="str">
        <f t="shared" si="128"/>
        <v>Câu 331.</v>
      </c>
      <c r="H1380" t="str">
        <f t="shared" si="129"/>
        <v>1</v>
      </c>
      <c r="I1380" t="str">
        <f t="shared" si="130"/>
        <v>2</v>
      </c>
      <c r="J1380" t="str">
        <f t="shared" ca="1" si="131"/>
        <v/>
      </c>
    </row>
    <row r="1381" spans="1:10" ht="18.75" x14ac:dyDescent="0.25">
      <c r="A1381" s="11" t="s">
        <v>2622</v>
      </c>
      <c r="B1381">
        <f>IFERROR(COUNTIFS($A$1:A1381,"Câu "&amp;"*")-MID(A1381,5,FIND(".",A1381,1)-5),0)</f>
        <v>0</v>
      </c>
      <c r="C1381" t="b">
        <v>0</v>
      </c>
      <c r="E1381" t="str">
        <f t="shared" si="126"/>
        <v>3</v>
      </c>
      <c r="F1381" t="str">
        <f t="shared" si="127"/>
        <v>Câu 331.</v>
      </c>
      <c r="G1381" t="str">
        <f t="shared" si="128"/>
        <v>1</v>
      </c>
      <c r="H1381" t="str">
        <f t="shared" si="129"/>
        <v>2</v>
      </c>
      <c r="I1381" t="str">
        <f t="shared" si="130"/>
        <v>3</v>
      </c>
      <c r="J1381" t="str">
        <f t="shared" ca="1" si="131"/>
        <v/>
      </c>
    </row>
    <row r="1382" spans="1:10" ht="18.75" x14ac:dyDescent="0.25">
      <c r="A1382" s="10" t="s">
        <v>1113</v>
      </c>
      <c r="B1382">
        <f>IFERROR(COUNTIFS($A$1:A1382,"Câu "&amp;"*")-MID(A1382,5,FIND(".",A1382,1)-5),0)</f>
        <v>0</v>
      </c>
      <c r="C1382" t="b">
        <v>0</v>
      </c>
      <c r="E1382" t="str">
        <f t="shared" si="126"/>
        <v>Câu 331.</v>
      </c>
      <c r="F1382" t="str">
        <f t="shared" si="127"/>
        <v>1</v>
      </c>
      <c r="G1382" t="str">
        <f t="shared" si="128"/>
        <v>2</v>
      </c>
      <c r="H1382" t="str">
        <f t="shared" si="129"/>
        <v>3</v>
      </c>
      <c r="I1382" t="str">
        <f t="shared" si="130"/>
        <v/>
      </c>
      <c r="J1382" t="str">
        <f t="shared" ca="1" si="131"/>
        <v>3</v>
      </c>
    </row>
    <row r="1383" spans="1:10" ht="18.75" x14ac:dyDescent="0.25">
      <c r="A1383" s="11" t="s">
        <v>2603</v>
      </c>
      <c r="B1383">
        <f>IFERROR(COUNTIFS($A$1:A1383,"Câu "&amp;"*")-MID(A1383,5,FIND(".",A1383,1)-5),0)</f>
        <v>0</v>
      </c>
      <c r="C1383" t="b">
        <v>0</v>
      </c>
      <c r="E1383" t="str">
        <f t="shared" si="126"/>
        <v>1</v>
      </c>
      <c r="F1383" t="str">
        <f t="shared" si="127"/>
        <v>2</v>
      </c>
      <c r="G1383" t="str">
        <f t="shared" si="128"/>
        <v>3</v>
      </c>
      <c r="H1383" t="str">
        <f t="shared" si="129"/>
        <v/>
      </c>
      <c r="I1383" t="str">
        <f t="shared" si="130"/>
        <v>1</v>
      </c>
      <c r="J1383" t="str">
        <f t="shared" ca="1" si="131"/>
        <v/>
      </c>
    </row>
    <row r="1384" spans="1:10" ht="18.75" x14ac:dyDescent="0.25">
      <c r="A1384" s="11" t="s">
        <v>2600</v>
      </c>
      <c r="B1384">
        <f>IFERROR(COUNTIFS($A$1:A1384,"Câu "&amp;"*")-MID(A1384,5,FIND(".",A1384,1)-5),0)</f>
        <v>0</v>
      </c>
      <c r="C1384" t="b">
        <v>0</v>
      </c>
      <c r="E1384" t="str">
        <f t="shared" si="126"/>
        <v>2</v>
      </c>
      <c r="F1384" t="str">
        <f t="shared" si="127"/>
        <v>3</v>
      </c>
      <c r="G1384" t="str">
        <f t="shared" si="128"/>
        <v>Câu 332.</v>
      </c>
      <c r="H1384" t="str">
        <f t="shared" si="129"/>
        <v>1</v>
      </c>
      <c r="I1384" t="str">
        <f t="shared" si="130"/>
        <v>2</v>
      </c>
      <c r="J1384" t="str">
        <f t="shared" ca="1" si="131"/>
        <v/>
      </c>
    </row>
    <row r="1385" spans="1:10" ht="18.75" x14ac:dyDescent="0.25">
      <c r="A1385" s="11" t="s">
        <v>2628</v>
      </c>
      <c r="B1385">
        <f>IFERROR(COUNTIFS($A$1:A1385,"Câu "&amp;"*")-MID(A1385,5,FIND(".",A1385,1)-5),0)</f>
        <v>0</v>
      </c>
      <c r="C1385" t="b">
        <v>1</v>
      </c>
      <c r="E1385" t="str">
        <f t="shared" si="126"/>
        <v>3</v>
      </c>
      <c r="F1385" t="str">
        <f t="shared" si="127"/>
        <v>Câu 332.</v>
      </c>
      <c r="G1385" t="str">
        <f t="shared" si="128"/>
        <v>1</v>
      </c>
      <c r="H1385" t="str">
        <f t="shared" si="129"/>
        <v>2</v>
      </c>
      <c r="I1385" t="str">
        <f t="shared" si="130"/>
        <v>3</v>
      </c>
      <c r="J1385" t="str">
        <f t="shared" ca="1" si="131"/>
        <v/>
      </c>
    </row>
    <row r="1386" spans="1:10" ht="18.75" x14ac:dyDescent="0.25">
      <c r="A1386" s="10" t="s">
        <v>1115</v>
      </c>
      <c r="B1386">
        <f>IFERROR(COUNTIFS($A$1:A1386,"Câu "&amp;"*")-MID(A1386,5,FIND(".",A1386,1)-5),0)</f>
        <v>0</v>
      </c>
      <c r="C1386" t="b">
        <v>0</v>
      </c>
      <c r="E1386" t="str">
        <f t="shared" si="126"/>
        <v>Câu 332.</v>
      </c>
      <c r="F1386" t="str">
        <f t="shared" si="127"/>
        <v>1</v>
      </c>
      <c r="G1386" t="str">
        <f t="shared" si="128"/>
        <v>2</v>
      </c>
      <c r="H1386" t="str">
        <f t="shared" si="129"/>
        <v>3</v>
      </c>
      <c r="I1386" t="str">
        <f t="shared" si="130"/>
        <v>4</v>
      </c>
      <c r="J1386" t="str">
        <f t="shared" ca="1" si="131"/>
        <v>4</v>
      </c>
    </row>
    <row r="1387" spans="1:10" ht="18.75" x14ac:dyDescent="0.25">
      <c r="A1387" s="11" t="s">
        <v>2603</v>
      </c>
      <c r="B1387">
        <f>IFERROR(COUNTIFS($A$1:A1387,"Câu "&amp;"*")-MID(A1387,5,FIND(".",A1387,1)-5),0)</f>
        <v>0</v>
      </c>
      <c r="C1387" t="b">
        <v>0</v>
      </c>
      <c r="E1387" t="str">
        <f t="shared" si="126"/>
        <v>1</v>
      </c>
      <c r="F1387" t="str">
        <f t="shared" si="127"/>
        <v>2</v>
      </c>
      <c r="G1387" t="str">
        <f t="shared" si="128"/>
        <v>3</v>
      </c>
      <c r="H1387" t="str">
        <f t="shared" si="129"/>
        <v>4</v>
      </c>
      <c r="I1387" t="str">
        <f t="shared" si="130"/>
        <v/>
      </c>
      <c r="J1387" t="str">
        <f t="shared" ca="1" si="131"/>
        <v/>
      </c>
    </row>
    <row r="1388" spans="1:10" ht="18.75" x14ac:dyDescent="0.25">
      <c r="A1388" s="11" t="s">
        <v>2600</v>
      </c>
      <c r="B1388">
        <f>IFERROR(COUNTIFS($A$1:A1388,"Câu "&amp;"*")-MID(A1388,5,FIND(".",A1388,1)-5),0)</f>
        <v>0</v>
      </c>
      <c r="C1388" t="b">
        <v>0</v>
      </c>
      <c r="E1388" t="str">
        <f t="shared" si="126"/>
        <v>2</v>
      </c>
      <c r="F1388" t="str">
        <f t="shared" si="127"/>
        <v>3</v>
      </c>
      <c r="G1388" t="str">
        <f t="shared" si="128"/>
        <v>4</v>
      </c>
      <c r="H1388" t="str">
        <f t="shared" si="129"/>
        <v/>
      </c>
      <c r="I1388" t="str">
        <f t="shared" si="130"/>
        <v>1</v>
      </c>
      <c r="J1388" t="str">
        <f t="shared" ca="1" si="131"/>
        <v/>
      </c>
    </row>
    <row r="1389" spans="1:10" ht="18.75" x14ac:dyDescent="0.25">
      <c r="A1389" s="11" t="s">
        <v>2611</v>
      </c>
      <c r="B1389">
        <f>IFERROR(COUNTIFS($A$1:A1389,"Câu "&amp;"*")-MID(A1389,5,FIND(".",A1389,1)-5),0)</f>
        <v>0</v>
      </c>
      <c r="C1389" t="b">
        <v>0</v>
      </c>
      <c r="E1389" t="str">
        <f t="shared" si="126"/>
        <v>3</v>
      </c>
      <c r="F1389" t="str">
        <f t="shared" si="127"/>
        <v>4</v>
      </c>
      <c r="G1389" t="str">
        <f t="shared" si="128"/>
        <v>Câu 333.</v>
      </c>
      <c r="H1389" t="str">
        <f t="shared" si="129"/>
        <v>1</v>
      </c>
      <c r="I1389" t="str">
        <f t="shared" si="130"/>
        <v>2</v>
      </c>
      <c r="J1389" t="str">
        <f t="shared" ca="1" si="131"/>
        <v/>
      </c>
    </row>
    <row r="1390" spans="1:10" ht="18.75" x14ac:dyDescent="0.25">
      <c r="A1390" s="11" t="s">
        <v>2629</v>
      </c>
      <c r="B1390">
        <f>IFERROR(COUNTIFS($A$1:A1390,"Câu "&amp;"*")-MID(A1390,5,FIND(".",A1390,1)-5),0)</f>
        <v>0</v>
      </c>
      <c r="C1390" t="b">
        <v>1</v>
      </c>
      <c r="E1390" t="str">
        <f t="shared" si="126"/>
        <v>4</v>
      </c>
      <c r="F1390" t="str">
        <f t="shared" si="127"/>
        <v>Câu 333.</v>
      </c>
      <c r="G1390" t="str">
        <f t="shared" si="128"/>
        <v>1</v>
      </c>
      <c r="H1390" t="str">
        <f t="shared" si="129"/>
        <v>2</v>
      </c>
      <c r="I1390" t="str">
        <f t="shared" si="130"/>
        <v>3</v>
      </c>
      <c r="J1390" t="str">
        <f t="shared" ca="1" si="131"/>
        <v/>
      </c>
    </row>
    <row r="1391" spans="1:10" ht="18.75" x14ac:dyDescent="0.25">
      <c r="A1391" s="10" t="s">
        <v>1116</v>
      </c>
      <c r="B1391">
        <f>IFERROR(COUNTIFS($A$1:A1391,"Câu "&amp;"*")-MID(A1391,5,FIND(".",A1391,1)-5),0)</f>
        <v>0</v>
      </c>
      <c r="C1391" t="b">
        <v>0</v>
      </c>
      <c r="E1391" t="str">
        <f t="shared" si="126"/>
        <v>Câu 333.</v>
      </c>
      <c r="F1391" t="str">
        <f t="shared" si="127"/>
        <v>1</v>
      </c>
      <c r="G1391" t="str">
        <f t="shared" si="128"/>
        <v>2</v>
      </c>
      <c r="H1391" t="str">
        <f t="shared" si="129"/>
        <v>3</v>
      </c>
      <c r="I1391" t="str">
        <f t="shared" si="130"/>
        <v/>
      </c>
      <c r="J1391" t="str">
        <f t="shared" ca="1" si="131"/>
        <v>3</v>
      </c>
    </row>
    <row r="1392" spans="1:10" ht="18.75" x14ac:dyDescent="0.25">
      <c r="A1392" s="11" t="s">
        <v>2603</v>
      </c>
      <c r="B1392">
        <f>IFERROR(COUNTIFS($A$1:A1392,"Câu "&amp;"*")-MID(A1392,5,FIND(".",A1392,1)-5),0)</f>
        <v>0</v>
      </c>
      <c r="C1392" t="b">
        <v>0</v>
      </c>
      <c r="E1392" t="str">
        <f t="shared" si="126"/>
        <v>1</v>
      </c>
      <c r="F1392" t="str">
        <f t="shared" si="127"/>
        <v>2</v>
      </c>
      <c r="G1392" t="str">
        <f t="shared" si="128"/>
        <v>3</v>
      </c>
      <c r="H1392" t="str">
        <f t="shared" si="129"/>
        <v/>
      </c>
      <c r="I1392" t="str">
        <f t="shared" si="130"/>
        <v>1</v>
      </c>
      <c r="J1392" t="str">
        <f t="shared" ca="1" si="131"/>
        <v/>
      </c>
    </row>
    <row r="1393" spans="1:10" ht="18.75" x14ac:dyDescent="0.25">
      <c r="A1393" s="11" t="s">
        <v>2600</v>
      </c>
      <c r="B1393">
        <f>IFERROR(COUNTIFS($A$1:A1393,"Câu "&amp;"*")-MID(A1393,5,FIND(".",A1393,1)-5),0)</f>
        <v>0</v>
      </c>
      <c r="C1393" t="b">
        <v>0</v>
      </c>
      <c r="E1393" t="str">
        <f t="shared" si="126"/>
        <v>2</v>
      </c>
      <c r="F1393" t="str">
        <f t="shared" si="127"/>
        <v>3</v>
      </c>
      <c r="G1393" t="str">
        <f t="shared" si="128"/>
        <v>Câu 334.</v>
      </c>
      <c r="H1393" t="str">
        <f t="shared" si="129"/>
        <v>1</v>
      </c>
      <c r="I1393" t="str">
        <f t="shared" si="130"/>
        <v>2</v>
      </c>
      <c r="J1393" t="str">
        <f t="shared" ca="1" si="131"/>
        <v/>
      </c>
    </row>
    <row r="1394" spans="1:10" ht="18.75" x14ac:dyDescent="0.25">
      <c r="A1394" s="11" t="s">
        <v>2628</v>
      </c>
      <c r="B1394">
        <f>IFERROR(COUNTIFS($A$1:A1394,"Câu "&amp;"*")-MID(A1394,5,FIND(".",A1394,1)-5),0)</f>
        <v>0</v>
      </c>
      <c r="C1394" t="b">
        <v>1</v>
      </c>
      <c r="E1394" t="str">
        <f t="shared" si="126"/>
        <v>3</v>
      </c>
      <c r="F1394" t="str">
        <f t="shared" si="127"/>
        <v>Câu 334.</v>
      </c>
      <c r="G1394" t="str">
        <f t="shared" si="128"/>
        <v>1</v>
      </c>
      <c r="H1394" t="str">
        <f t="shared" si="129"/>
        <v>2</v>
      </c>
      <c r="I1394" t="str">
        <f t="shared" si="130"/>
        <v>3</v>
      </c>
      <c r="J1394" t="str">
        <f t="shared" ca="1" si="131"/>
        <v/>
      </c>
    </row>
    <row r="1395" spans="1:10" ht="18.75" x14ac:dyDescent="0.25">
      <c r="A1395" s="10" t="s">
        <v>1117</v>
      </c>
      <c r="B1395">
        <f>IFERROR(COUNTIFS($A$1:A1395,"Câu "&amp;"*")-MID(A1395,5,FIND(".",A1395,1)-5),0)</f>
        <v>0</v>
      </c>
      <c r="C1395" t="b">
        <v>0</v>
      </c>
      <c r="E1395" t="str">
        <f t="shared" si="126"/>
        <v>Câu 334.</v>
      </c>
      <c r="F1395" t="str">
        <f t="shared" si="127"/>
        <v>1</v>
      </c>
      <c r="G1395" t="str">
        <f t="shared" si="128"/>
        <v>2</v>
      </c>
      <c r="H1395" t="str">
        <f t="shared" si="129"/>
        <v>3</v>
      </c>
      <c r="I1395" t="str">
        <f t="shared" si="130"/>
        <v/>
      </c>
      <c r="J1395" t="str">
        <f t="shared" ca="1" si="131"/>
        <v>3</v>
      </c>
    </row>
    <row r="1396" spans="1:10" ht="18.75" x14ac:dyDescent="0.25">
      <c r="A1396" s="11" t="s">
        <v>2630</v>
      </c>
      <c r="B1396">
        <f>IFERROR(COUNTIFS($A$1:A1396,"Câu "&amp;"*")-MID(A1396,5,FIND(".",A1396,1)-5),0)</f>
        <v>0</v>
      </c>
      <c r="C1396" t="b">
        <v>0</v>
      </c>
      <c r="E1396" t="str">
        <f t="shared" si="126"/>
        <v>1</v>
      </c>
      <c r="F1396" t="str">
        <f t="shared" si="127"/>
        <v>2</v>
      </c>
      <c r="G1396" t="str">
        <f t="shared" si="128"/>
        <v>3</v>
      </c>
      <c r="H1396" t="str">
        <f t="shared" si="129"/>
        <v/>
      </c>
      <c r="I1396" t="str">
        <f t="shared" si="130"/>
        <v>1</v>
      </c>
      <c r="J1396" t="str">
        <f t="shared" ca="1" si="131"/>
        <v/>
      </c>
    </row>
    <row r="1397" spans="1:10" ht="18.75" x14ac:dyDescent="0.25">
      <c r="A1397" s="11" t="s">
        <v>2631</v>
      </c>
      <c r="B1397">
        <f>IFERROR(COUNTIFS($A$1:A1397,"Câu "&amp;"*")-MID(A1397,5,FIND(".",A1397,1)-5),0)</f>
        <v>0</v>
      </c>
      <c r="C1397" t="b">
        <v>0</v>
      </c>
      <c r="E1397" t="str">
        <f t="shared" si="126"/>
        <v>2</v>
      </c>
      <c r="F1397" t="str">
        <f t="shared" si="127"/>
        <v>3</v>
      </c>
      <c r="G1397" t="str">
        <f t="shared" si="128"/>
        <v>Câu 335.</v>
      </c>
      <c r="H1397" t="str">
        <f t="shared" si="129"/>
        <v>1</v>
      </c>
      <c r="I1397" t="str">
        <f t="shared" si="130"/>
        <v>2</v>
      </c>
      <c r="J1397" t="str">
        <f t="shared" ca="1" si="131"/>
        <v/>
      </c>
    </row>
    <row r="1398" spans="1:10" ht="18.75" x14ac:dyDescent="0.25">
      <c r="A1398" s="11" t="s">
        <v>2632</v>
      </c>
      <c r="B1398">
        <f>IFERROR(COUNTIFS($A$1:A1398,"Câu "&amp;"*")-MID(A1398,5,FIND(".",A1398,1)-5),0)</f>
        <v>0</v>
      </c>
      <c r="C1398" t="b">
        <v>1</v>
      </c>
      <c r="E1398" t="str">
        <f t="shared" si="126"/>
        <v>3</v>
      </c>
      <c r="F1398" t="str">
        <f t="shared" si="127"/>
        <v>Câu 335.</v>
      </c>
      <c r="G1398" t="str">
        <f t="shared" si="128"/>
        <v>1</v>
      </c>
      <c r="H1398" t="str">
        <f t="shared" si="129"/>
        <v>2</v>
      </c>
      <c r="I1398" t="str">
        <f t="shared" si="130"/>
        <v/>
      </c>
      <c r="J1398" t="str">
        <f t="shared" ca="1" si="131"/>
        <v/>
      </c>
    </row>
    <row r="1399" spans="1:10" ht="18.75" x14ac:dyDescent="0.25">
      <c r="A1399" s="10" t="s">
        <v>1121</v>
      </c>
      <c r="B1399">
        <f>IFERROR(COUNTIFS($A$1:A1399,"Câu "&amp;"*")-MID(A1399,5,FIND(".",A1399,1)-5),0)</f>
        <v>0</v>
      </c>
      <c r="C1399" t="b">
        <v>0</v>
      </c>
      <c r="E1399" t="str">
        <f t="shared" si="126"/>
        <v>Câu 335.</v>
      </c>
      <c r="F1399" t="str">
        <f t="shared" si="127"/>
        <v>1</v>
      </c>
      <c r="G1399" t="str">
        <f t="shared" si="128"/>
        <v>2</v>
      </c>
      <c r="H1399" t="str">
        <f t="shared" si="129"/>
        <v/>
      </c>
      <c r="I1399" t="str">
        <f t="shared" si="130"/>
        <v>1</v>
      </c>
      <c r="J1399" t="str">
        <f t="shared" ca="1" si="131"/>
        <v>1</v>
      </c>
    </row>
    <row r="1400" spans="1:10" ht="168.75" x14ac:dyDescent="0.25">
      <c r="A1400" s="3" t="s">
        <v>2633</v>
      </c>
      <c r="B1400">
        <f>IFERROR(COUNTIFS($A$1:A1400,"Câu "&amp;"*")-MID(A1400,5,FIND(".",A1400,1)-5),0)</f>
        <v>0</v>
      </c>
      <c r="C1400" t="b">
        <v>1</v>
      </c>
      <c r="E1400" t="str">
        <f t="shared" si="126"/>
        <v>1</v>
      </c>
      <c r="F1400" t="str">
        <f t="shared" si="127"/>
        <v>2</v>
      </c>
      <c r="G1400" t="str">
        <f t="shared" si="128"/>
        <v>Câu 336.</v>
      </c>
      <c r="H1400" t="str">
        <f t="shared" si="129"/>
        <v>1</v>
      </c>
      <c r="I1400" t="str">
        <f t="shared" si="130"/>
        <v>2</v>
      </c>
      <c r="J1400" t="str">
        <f t="shared" ca="1" si="131"/>
        <v/>
      </c>
    </row>
    <row r="1401" spans="1:10" ht="168.75" x14ac:dyDescent="0.25">
      <c r="A1401" s="3" t="s">
        <v>2634</v>
      </c>
      <c r="B1401">
        <f>IFERROR(COUNTIFS($A$1:A1401,"Câu "&amp;"*")-MID(A1401,5,FIND(".",A1401,1)-5),0)</f>
        <v>0</v>
      </c>
      <c r="C1401" t="b">
        <v>0</v>
      </c>
      <c r="E1401" t="str">
        <f t="shared" si="126"/>
        <v>2</v>
      </c>
      <c r="F1401" t="str">
        <f t="shared" si="127"/>
        <v>Câu 336.</v>
      </c>
      <c r="G1401" t="str">
        <f t="shared" si="128"/>
        <v>1</v>
      </c>
      <c r="H1401" t="str">
        <f t="shared" si="129"/>
        <v>2</v>
      </c>
      <c r="I1401" t="str">
        <f t="shared" si="130"/>
        <v/>
      </c>
      <c r="J1401" t="str">
        <f t="shared" ca="1" si="131"/>
        <v/>
      </c>
    </row>
    <row r="1402" spans="1:10" ht="409.5" x14ac:dyDescent="0.25">
      <c r="A1402" s="4" t="s">
        <v>1124</v>
      </c>
      <c r="B1402">
        <f>IFERROR(COUNTIFS($A$1:A1402,"Câu "&amp;"*")-MID(A1402,5,FIND(".",A1402,1)-5),0)</f>
        <v>0</v>
      </c>
      <c r="C1402" t="b">
        <v>0</v>
      </c>
      <c r="E1402" t="str">
        <f t="shared" si="126"/>
        <v>Câu 336.</v>
      </c>
      <c r="F1402" t="str">
        <f t="shared" si="127"/>
        <v>1</v>
      </c>
      <c r="G1402" t="str">
        <f t="shared" si="128"/>
        <v>2</v>
      </c>
      <c r="H1402" t="str">
        <f t="shared" si="129"/>
        <v/>
      </c>
      <c r="I1402" t="str">
        <f t="shared" si="130"/>
        <v>1</v>
      </c>
      <c r="J1402" t="str">
        <f t="shared" ca="1" si="131"/>
        <v>2</v>
      </c>
    </row>
    <row r="1403" spans="1:10" ht="37.5" x14ac:dyDescent="0.25">
      <c r="A1403" s="3" t="s">
        <v>1965</v>
      </c>
      <c r="B1403">
        <f>IFERROR(COUNTIFS($A$1:A1403,"Câu "&amp;"*")-MID(A1403,5,FIND(".",A1403,1)-5),0)</f>
        <v>0</v>
      </c>
      <c r="C1403" t="b">
        <v>0</v>
      </c>
      <c r="E1403" t="str">
        <f t="shared" si="126"/>
        <v>1</v>
      </c>
      <c r="F1403" t="str">
        <f t="shared" si="127"/>
        <v>2</v>
      </c>
      <c r="G1403" t="str">
        <f t="shared" si="128"/>
        <v>Câu 337.</v>
      </c>
      <c r="H1403" t="str">
        <f t="shared" si="129"/>
        <v>1</v>
      </c>
      <c r="I1403" t="str">
        <f t="shared" si="130"/>
        <v>2</v>
      </c>
      <c r="J1403" t="str">
        <f t="shared" ca="1" si="131"/>
        <v/>
      </c>
    </row>
    <row r="1404" spans="1:10" ht="75" x14ac:dyDescent="0.25">
      <c r="A1404" s="3" t="s">
        <v>1998</v>
      </c>
      <c r="B1404">
        <f>IFERROR(COUNTIFS($A$1:A1404,"Câu "&amp;"*")-MID(A1404,5,FIND(".",A1404,1)-5),0)</f>
        <v>0</v>
      </c>
      <c r="C1404" t="b">
        <v>1</v>
      </c>
      <c r="E1404" t="str">
        <f t="shared" si="126"/>
        <v>2</v>
      </c>
      <c r="F1404" t="str">
        <f t="shared" si="127"/>
        <v>Câu 337.</v>
      </c>
      <c r="G1404" t="str">
        <f t="shared" si="128"/>
        <v>1</v>
      </c>
      <c r="H1404" t="str">
        <f t="shared" si="129"/>
        <v>2</v>
      </c>
      <c r="I1404" t="str">
        <f t="shared" si="130"/>
        <v>3</v>
      </c>
      <c r="J1404" t="str">
        <f t="shared" ca="1" si="131"/>
        <v/>
      </c>
    </row>
    <row r="1405" spans="1:10" ht="18.75" x14ac:dyDescent="0.25">
      <c r="A1405" s="10" t="s">
        <v>1125</v>
      </c>
      <c r="B1405">
        <f>IFERROR(COUNTIFS($A$1:A1405,"Câu "&amp;"*")-MID(A1405,5,FIND(".",A1405,1)-5),0)</f>
        <v>0</v>
      </c>
      <c r="C1405" t="b">
        <v>0</v>
      </c>
      <c r="E1405" t="str">
        <f t="shared" si="126"/>
        <v>Câu 337.</v>
      </c>
      <c r="F1405" t="str">
        <f t="shared" si="127"/>
        <v>1</v>
      </c>
      <c r="G1405" t="str">
        <f t="shared" si="128"/>
        <v>2</v>
      </c>
      <c r="H1405" t="str">
        <f t="shared" si="129"/>
        <v>3</v>
      </c>
      <c r="I1405" t="str">
        <f t="shared" si="130"/>
        <v/>
      </c>
      <c r="J1405" t="str">
        <f t="shared" ca="1" si="131"/>
        <v>1</v>
      </c>
    </row>
    <row r="1406" spans="1:10" ht="18.75" x14ac:dyDescent="0.25">
      <c r="A1406" s="11" t="s">
        <v>2599</v>
      </c>
      <c r="B1406">
        <f>IFERROR(COUNTIFS($A$1:A1406,"Câu "&amp;"*")-MID(A1406,5,FIND(".",A1406,1)-5),0)</f>
        <v>0</v>
      </c>
      <c r="C1406" t="b">
        <v>1</v>
      </c>
      <c r="E1406" t="str">
        <f t="shared" si="126"/>
        <v>1</v>
      </c>
      <c r="F1406" t="str">
        <f t="shared" si="127"/>
        <v>2</v>
      </c>
      <c r="G1406" t="str">
        <f t="shared" si="128"/>
        <v>3</v>
      </c>
      <c r="H1406" t="str">
        <f t="shared" si="129"/>
        <v/>
      </c>
      <c r="I1406" t="str">
        <f t="shared" si="130"/>
        <v>1</v>
      </c>
      <c r="J1406" t="str">
        <f t="shared" ca="1" si="131"/>
        <v/>
      </c>
    </row>
    <row r="1407" spans="1:10" ht="18.75" x14ac:dyDescent="0.25">
      <c r="A1407" s="11" t="s">
        <v>2600</v>
      </c>
      <c r="B1407">
        <f>IFERROR(COUNTIFS($A$1:A1407,"Câu "&amp;"*")-MID(A1407,5,FIND(".",A1407,1)-5),0)</f>
        <v>0</v>
      </c>
      <c r="C1407" t="b">
        <v>0</v>
      </c>
      <c r="E1407" t="str">
        <f t="shared" si="126"/>
        <v>2</v>
      </c>
      <c r="F1407" t="str">
        <f t="shared" si="127"/>
        <v>3</v>
      </c>
      <c r="G1407" t="str">
        <f t="shared" si="128"/>
        <v>Câu 338.</v>
      </c>
      <c r="H1407" t="str">
        <f t="shared" si="129"/>
        <v>1</v>
      </c>
      <c r="I1407" t="str">
        <f t="shared" si="130"/>
        <v>2</v>
      </c>
      <c r="J1407" t="str">
        <f t="shared" ca="1" si="131"/>
        <v/>
      </c>
    </row>
    <row r="1408" spans="1:10" ht="18.75" x14ac:dyDescent="0.25">
      <c r="A1408" s="11" t="s">
        <v>2611</v>
      </c>
      <c r="B1408">
        <f>IFERROR(COUNTIFS($A$1:A1408,"Câu "&amp;"*")-MID(A1408,5,FIND(".",A1408,1)-5),0)</f>
        <v>0</v>
      </c>
      <c r="C1408" t="b">
        <v>0</v>
      </c>
      <c r="E1408" t="str">
        <f t="shared" si="126"/>
        <v>3</v>
      </c>
      <c r="F1408" t="str">
        <f t="shared" si="127"/>
        <v>Câu 338.</v>
      </c>
      <c r="G1408" t="str">
        <f t="shared" si="128"/>
        <v>1</v>
      </c>
      <c r="H1408" t="str">
        <f t="shared" si="129"/>
        <v>2</v>
      </c>
      <c r="I1408" t="str">
        <f t="shared" si="130"/>
        <v/>
      </c>
      <c r="J1408" t="str">
        <f t="shared" ca="1" si="131"/>
        <v/>
      </c>
    </row>
    <row r="1409" spans="1:10" ht="18.75" x14ac:dyDescent="0.25">
      <c r="A1409" s="10" t="s">
        <v>1126</v>
      </c>
      <c r="B1409">
        <f>IFERROR(COUNTIFS($A$1:A1409,"Câu "&amp;"*")-MID(A1409,5,FIND(".",A1409,1)-5),0)</f>
        <v>0</v>
      </c>
      <c r="C1409" t="b">
        <v>0</v>
      </c>
      <c r="E1409" t="str">
        <f t="shared" si="126"/>
        <v>Câu 338.</v>
      </c>
      <c r="F1409" t="str">
        <f t="shared" si="127"/>
        <v>1</v>
      </c>
      <c r="G1409" t="str">
        <f t="shared" si="128"/>
        <v>2</v>
      </c>
      <c r="H1409" t="str">
        <f t="shared" si="129"/>
        <v/>
      </c>
      <c r="I1409" t="str">
        <f t="shared" si="130"/>
        <v>1</v>
      </c>
      <c r="J1409" t="str">
        <f t="shared" ca="1" si="131"/>
        <v>2</v>
      </c>
    </row>
    <row r="1410" spans="1:10" ht="18.75" x14ac:dyDescent="0.25">
      <c r="A1410" s="11" t="s">
        <v>2635</v>
      </c>
      <c r="B1410">
        <f>IFERROR(COUNTIFS($A$1:A1410,"Câu "&amp;"*")-MID(A1410,5,FIND(".",A1410,1)-5),0)</f>
        <v>0</v>
      </c>
      <c r="C1410" t="b">
        <v>0</v>
      </c>
      <c r="E1410" t="str">
        <f t="shared" si="126"/>
        <v>1</v>
      </c>
      <c r="F1410" t="str">
        <f t="shared" si="127"/>
        <v>2</v>
      </c>
      <c r="G1410" t="str">
        <f t="shared" si="128"/>
        <v>Câu 339.</v>
      </c>
      <c r="H1410" t="str">
        <f t="shared" si="129"/>
        <v>1</v>
      </c>
      <c r="I1410" t="str">
        <f t="shared" si="130"/>
        <v>2</v>
      </c>
      <c r="J1410" t="str">
        <f t="shared" ca="1" si="131"/>
        <v/>
      </c>
    </row>
    <row r="1411" spans="1:10" ht="18.75" x14ac:dyDescent="0.25">
      <c r="A1411" s="11" t="s">
        <v>2636</v>
      </c>
      <c r="B1411">
        <f>IFERROR(COUNTIFS($A$1:A1411,"Câu "&amp;"*")-MID(A1411,5,FIND(".",A1411,1)-5),0)</f>
        <v>0</v>
      </c>
      <c r="C1411" t="b">
        <v>1</v>
      </c>
      <c r="E1411" t="str">
        <f t="shared" ref="E1411:E1474" si="132">IF(LEFT(A1411,3)="Câu",LEFT(A1411,FIND(".",A1411,1)),LEFT(A1411,1))</f>
        <v>2</v>
      </c>
      <c r="F1411" t="str">
        <f t="shared" ref="F1411:F1474" si="133">IF(LEFT(A1412,3)="Câu",LEFT(A1412,FIND(".",A1412,1)),LEFT(A1412,1))</f>
        <v>Câu 339.</v>
      </c>
      <c r="G1411" t="str">
        <f t="shared" ref="G1411:G1474" si="134">IF(LEFT(A1413,3)="Câu",LEFT(A1413,FIND(".",A1413,1)),LEFT(A1413,1))</f>
        <v>1</v>
      </c>
      <c r="H1411" t="str">
        <f t="shared" ref="H1411:H1474" si="135">IF(LEFT(A1414,3)="Câu","",LEFT(A1414,1))</f>
        <v>2</v>
      </c>
      <c r="I1411" t="str">
        <f t="shared" ref="I1411:I1474" si="136">IF(LEFT(A1415,3)="Câu","",LEFT(A1415,1))</f>
        <v>3</v>
      </c>
      <c r="J1411" t="str">
        <f t="shared" ref="J1411:J1474" ca="1" si="137">IFERROR(VLOOKUP(TRUE,INDIRECT("C"&amp;MATCH(E1411,$E$1:$E$2471,0)&amp;":E"&amp;MATCH("Câu "&amp;VALUE(MID(E1411,5,LEN(E1411)-5))+1&amp;".",$E$1:$E$2471,0)),3,0),"")</f>
        <v/>
      </c>
    </row>
    <row r="1412" spans="1:10" ht="18.75" x14ac:dyDescent="0.25">
      <c r="A1412" s="10" t="s">
        <v>1129</v>
      </c>
      <c r="B1412">
        <f>IFERROR(COUNTIFS($A$1:A1412,"Câu "&amp;"*")-MID(A1412,5,FIND(".",A1412,1)-5),0)</f>
        <v>0</v>
      </c>
      <c r="C1412" t="b">
        <v>0</v>
      </c>
      <c r="E1412" t="str">
        <f t="shared" si="132"/>
        <v>Câu 339.</v>
      </c>
      <c r="F1412" t="str">
        <f t="shared" si="133"/>
        <v>1</v>
      </c>
      <c r="G1412" t="str">
        <f t="shared" si="134"/>
        <v>2</v>
      </c>
      <c r="H1412" t="str">
        <f t="shared" si="135"/>
        <v>3</v>
      </c>
      <c r="I1412" t="str">
        <f t="shared" si="136"/>
        <v/>
      </c>
      <c r="J1412" t="str">
        <f t="shared" ca="1" si="137"/>
        <v>1</v>
      </c>
    </row>
    <row r="1413" spans="1:10" ht="18.75" x14ac:dyDescent="0.25">
      <c r="A1413" s="11" t="s">
        <v>2637</v>
      </c>
      <c r="B1413">
        <f>IFERROR(COUNTIFS($A$1:A1413,"Câu "&amp;"*")-MID(A1413,5,FIND(".",A1413,1)-5),0)</f>
        <v>0</v>
      </c>
      <c r="C1413" t="b">
        <v>1</v>
      </c>
      <c r="E1413" t="str">
        <f t="shared" si="132"/>
        <v>1</v>
      </c>
      <c r="F1413" t="str">
        <f t="shared" si="133"/>
        <v>2</v>
      </c>
      <c r="G1413" t="str">
        <f t="shared" si="134"/>
        <v>3</v>
      </c>
      <c r="H1413" t="str">
        <f t="shared" si="135"/>
        <v/>
      </c>
      <c r="I1413" t="str">
        <f t="shared" si="136"/>
        <v>1</v>
      </c>
      <c r="J1413" t="str">
        <f t="shared" ca="1" si="137"/>
        <v/>
      </c>
    </row>
    <row r="1414" spans="1:10" ht="18.75" x14ac:dyDescent="0.25">
      <c r="A1414" s="11" t="s">
        <v>2638</v>
      </c>
      <c r="B1414">
        <f>IFERROR(COUNTIFS($A$1:A1414,"Câu "&amp;"*")-MID(A1414,5,FIND(".",A1414,1)-5),0)</f>
        <v>0</v>
      </c>
      <c r="C1414" t="b">
        <v>0</v>
      </c>
      <c r="E1414" t="str">
        <f t="shared" si="132"/>
        <v>2</v>
      </c>
      <c r="F1414" t="str">
        <f t="shared" si="133"/>
        <v>3</v>
      </c>
      <c r="G1414" t="str">
        <f t="shared" si="134"/>
        <v>Câu 340.</v>
      </c>
      <c r="H1414" t="str">
        <f t="shared" si="135"/>
        <v>1</v>
      </c>
      <c r="I1414" t="str">
        <f t="shared" si="136"/>
        <v>2</v>
      </c>
      <c r="J1414" t="str">
        <f t="shared" ca="1" si="137"/>
        <v/>
      </c>
    </row>
    <row r="1415" spans="1:10" ht="18.75" x14ac:dyDescent="0.25">
      <c r="A1415" s="11" t="s">
        <v>2639</v>
      </c>
      <c r="B1415">
        <f>IFERROR(COUNTIFS($A$1:A1415,"Câu "&amp;"*")-MID(A1415,5,FIND(".",A1415,1)-5),0)</f>
        <v>0</v>
      </c>
      <c r="C1415" t="b">
        <v>0</v>
      </c>
      <c r="E1415" t="str">
        <f t="shared" si="132"/>
        <v>3</v>
      </c>
      <c r="F1415" t="str">
        <f t="shared" si="133"/>
        <v>Câu 340.</v>
      </c>
      <c r="G1415" t="str">
        <f t="shared" si="134"/>
        <v>1</v>
      </c>
      <c r="H1415" t="str">
        <f t="shared" si="135"/>
        <v>2</v>
      </c>
      <c r="I1415" t="str">
        <f t="shared" si="136"/>
        <v>3</v>
      </c>
      <c r="J1415" t="str">
        <f t="shared" ca="1" si="137"/>
        <v/>
      </c>
    </row>
    <row r="1416" spans="1:10" ht="18.75" x14ac:dyDescent="0.25">
      <c r="A1416" s="10" t="s">
        <v>1133</v>
      </c>
      <c r="B1416">
        <f>IFERROR(COUNTIFS($A$1:A1416,"Câu "&amp;"*")-MID(A1416,5,FIND(".",A1416,1)-5),0)</f>
        <v>0</v>
      </c>
      <c r="C1416" t="b">
        <v>0</v>
      </c>
      <c r="E1416" t="str">
        <f t="shared" si="132"/>
        <v>Câu 340.</v>
      </c>
      <c r="F1416" t="str">
        <f t="shared" si="133"/>
        <v>1</v>
      </c>
      <c r="G1416" t="str">
        <f t="shared" si="134"/>
        <v>2</v>
      </c>
      <c r="H1416" t="str">
        <f t="shared" si="135"/>
        <v>3</v>
      </c>
      <c r="I1416" t="str">
        <f t="shared" si="136"/>
        <v/>
      </c>
      <c r="J1416" t="str">
        <f t="shared" ca="1" si="137"/>
        <v>3</v>
      </c>
    </row>
    <row r="1417" spans="1:10" ht="18.75" x14ac:dyDescent="0.25">
      <c r="A1417" s="11" t="s">
        <v>2603</v>
      </c>
      <c r="B1417">
        <f>IFERROR(COUNTIFS($A$1:A1417,"Câu "&amp;"*")-MID(A1417,5,FIND(".",A1417,1)-5),0)</f>
        <v>0</v>
      </c>
      <c r="C1417" t="b">
        <v>0</v>
      </c>
      <c r="E1417" t="str">
        <f t="shared" si="132"/>
        <v>1</v>
      </c>
      <c r="F1417" t="str">
        <f t="shared" si="133"/>
        <v>2</v>
      </c>
      <c r="G1417" t="str">
        <f t="shared" si="134"/>
        <v>3</v>
      </c>
      <c r="H1417" t="str">
        <f t="shared" si="135"/>
        <v/>
      </c>
      <c r="I1417" t="str">
        <f t="shared" si="136"/>
        <v>1</v>
      </c>
      <c r="J1417" t="str">
        <f t="shared" ca="1" si="137"/>
        <v/>
      </c>
    </row>
    <row r="1418" spans="1:10" ht="18.75" x14ac:dyDescent="0.25">
      <c r="A1418" s="11" t="s">
        <v>2600</v>
      </c>
      <c r="B1418">
        <f>IFERROR(COUNTIFS($A$1:A1418,"Câu "&amp;"*")-MID(A1418,5,FIND(".",A1418,1)-5),0)</f>
        <v>0</v>
      </c>
      <c r="C1418" t="b">
        <v>0</v>
      </c>
      <c r="E1418" t="str">
        <f t="shared" si="132"/>
        <v>2</v>
      </c>
      <c r="F1418" t="str">
        <f t="shared" si="133"/>
        <v>3</v>
      </c>
      <c r="G1418" t="str">
        <f t="shared" si="134"/>
        <v>Câu 341.</v>
      </c>
      <c r="H1418" t="str">
        <f t="shared" si="135"/>
        <v>1</v>
      </c>
      <c r="I1418" t="str">
        <f t="shared" si="136"/>
        <v>2</v>
      </c>
      <c r="J1418" t="str">
        <f t="shared" ca="1" si="137"/>
        <v/>
      </c>
    </row>
    <row r="1419" spans="1:10" ht="18.75" x14ac:dyDescent="0.25">
      <c r="A1419" s="11" t="s">
        <v>2610</v>
      </c>
      <c r="B1419">
        <f>IFERROR(COUNTIFS($A$1:A1419,"Câu "&amp;"*")-MID(A1419,5,FIND(".",A1419,1)-5),0)</f>
        <v>0</v>
      </c>
      <c r="C1419" t="b">
        <v>1</v>
      </c>
      <c r="E1419" t="str">
        <f t="shared" si="132"/>
        <v>3</v>
      </c>
      <c r="F1419" t="str">
        <f t="shared" si="133"/>
        <v>Câu 341.</v>
      </c>
      <c r="G1419" t="str">
        <f t="shared" si="134"/>
        <v>1</v>
      </c>
      <c r="H1419" t="str">
        <f t="shared" si="135"/>
        <v>2</v>
      </c>
      <c r="I1419" t="str">
        <f t="shared" si="136"/>
        <v/>
      </c>
      <c r="J1419" t="str">
        <f t="shared" ca="1" si="137"/>
        <v/>
      </c>
    </row>
    <row r="1420" spans="1:10" ht="18.75" x14ac:dyDescent="0.25">
      <c r="A1420" s="10" t="s">
        <v>1134</v>
      </c>
      <c r="B1420">
        <f>IFERROR(COUNTIFS($A$1:A1420,"Câu "&amp;"*")-MID(A1420,5,FIND(".",A1420,1)-5),0)</f>
        <v>0</v>
      </c>
      <c r="C1420" t="b">
        <v>0</v>
      </c>
      <c r="E1420" t="str">
        <f t="shared" si="132"/>
        <v>Câu 341.</v>
      </c>
      <c r="F1420" t="str">
        <f t="shared" si="133"/>
        <v>1</v>
      </c>
      <c r="G1420" t="str">
        <f t="shared" si="134"/>
        <v>2</v>
      </c>
      <c r="H1420" t="str">
        <f t="shared" si="135"/>
        <v/>
      </c>
      <c r="I1420" t="str">
        <f t="shared" si="136"/>
        <v>1</v>
      </c>
      <c r="J1420" t="str">
        <f t="shared" ca="1" si="137"/>
        <v>1</v>
      </c>
    </row>
    <row r="1421" spans="1:10" ht="18.75" x14ac:dyDescent="0.25">
      <c r="A1421" s="11" t="s">
        <v>2640</v>
      </c>
      <c r="B1421">
        <f>IFERROR(COUNTIFS($A$1:A1421,"Câu "&amp;"*")-MID(A1421,5,FIND(".",A1421,1)-5),0)</f>
        <v>0</v>
      </c>
      <c r="C1421" t="b">
        <v>1</v>
      </c>
      <c r="E1421" t="str">
        <f t="shared" si="132"/>
        <v>1</v>
      </c>
      <c r="F1421" t="str">
        <f t="shared" si="133"/>
        <v>2</v>
      </c>
      <c r="G1421" t="str">
        <f t="shared" si="134"/>
        <v>Câu 342.</v>
      </c>
      <c r="H1421" t="str">
        <f t="shared" si="135"/>
        <v>1</v>
      </c>
      <c r="I1421" t="str">
        <f t="shared" si="136"/>
        <v>2</v>
      </c>
      <c r="J1421" t="str">
        <f t="shared" ca="1" si="137"/>
        <v/>
      </c>
    </row>
    <row r="1422" spans="1:10" ht="18.75" x14ac:dyDescent="0.25">
      <c r="A1422" s="11" t="s">
        <v>2641</v>
      </c>
      <c r="B1422">
        <f>IFERROR(COUNTIFS($A$1:A1422,"Câu "&amp;"*")-MID(A1422,5,FIND(".",A1422,1)-5),0)</f>
        <v>0</v>
      </c>
      <c r="C1422" t="b">
        <v>0</v>
      </c>
      <c r="E1422" t="str">
        <f t="shared" si="132"/>
        <v>2</v>
      </c>
      <c r="F1422" t="str">
        <f t="shared" si="133"/>
        <v>Câu 342.</v>
      </c>
      <c r="G1422" t="str">
        <f t="shared" si="134"/>
        <v>1</v>
      </c>
      <c r="H1422" t="str">
        <f t="shared" si="135"/>
        <v>2</v>
      </c>
      <c r="I1422" t="str">
        <f t="shared" si="136"/>
        <v>3</v>
      </c>
      <c r="J1422" t="str">
        <f t="shared" ca="1" si="137"/>
        <v/>
      </c>
    </row>
    <row r="1423" spans="1:10" ht="18.75" x14ac:dyDescent="0.25">
      <c r="A1423" s="10" t="s">
        <v>1137</v>
      </c>
      <c r="B1423">
        <f>IFERROR(COUNTIFS($A$1:A1423,"Câu "&amp;"*")-MID(A1423,5,FIND(".",A1423,1)-5),0)</f>
        <v>0</v>
      </c>
      <c r="C1423" t="b">
        <v>0</v>
      </c>
      <c r="E1423" t="str">
        <f t="shared" si="132"/>
        <v>Câu 342.</v>
      </c>
      <c r="F1423" t="str">
        <f t="shared" si="133"/>
        <v>1</v>
      </c>
      <c r="G1423" t="str">
        <f t="shared" si="134"/>
        <v>2</v>
      </c>
      <c r="H1423" t="str">
        <f t="shared" si="135"/>
        <v>3</v>
      </c>
      <c r="I1423" t="str">
        <f t="shared" si="136"/>
        <v>4</v>
      </c>
      <c r="J1423" t="str">
        <f t="shared" ca="1" si="137"/>
        <v>1</v>
      </c>
    </row>
    <row r="1424" spans="1:10" ht="18.75" x14ac:dyDescent="0.25">
      <c r="A1424" s="11" t="s">
        <v>2607</v>
      </c>
      <c r="B1424">
        <f>IFERROR(COUNTIFS($A$1:A1424,"Câu "&amp;"*")-MID(A1424,5,FIND(".",A1424,1)-5),0)</f>
        <v>0</v>
      </c>
      <c r="C1424" t="b">
        <v>1</v>
      </c>
      <c r="E1424" t="str">
        <f t="shared" si="132"/>
        <v>1</v>
      </c>
      <c r="F1424" t="str">
        <f t="shared" si="133"/>
        <v>2</v>
      </c>
      <c r="G1424" t="str">
        <f t="shared" si="134"/>
        <v>3</v>
      </c>
      <c r="H1424" t="str">
        <f t="shared" si="135"/>
        <v>4</v>
      </c>
      <c r="I1424" t="str">
        <f t="shared" si="136"/>
        <v/>
      </c>
      <c r="J1424" t="str">
        <f t="shared" ca="1" si="137"/>
        <v/>
      </c>
    </row>
    <row r="1425" spans="1:10" ht="18.75" x14ac:dyDescent="0.25">
      <c r="A1425" s="11" t="s">
        <v>2642</v>
      </c>
      <c r="B1425">
        <f>IFERROR(COUNTIFS($A$1:A1425,"Câu "&amp;"*")-MID(A1425,5,FIND(".",A1425,1)-5),0)</f>
        <v>0</v>
      </c>
      <c r="C1425" t="b">
        <v>0</v>
      </c>
      <c r="E1425" t="str">
        <f t="shared" si="132"/>
        <v>2</v>
      </c>
      <c r="F1425" t="str">
        <f t="shared" si="133"/>
        <v>3</v>
      </c>
      <c r="G1425" t="str">
        <f t="shared" si="134"/>
        <v>4</v>
      </c>
      <c r="H1425" t="str">
        <f t="shared" si="135"/>
        <v/>
      </c>
      <c r="I1425" t="str">
        <f t="shared" si="136"/>
        <v>1</v>
      </c>
      <c r="J1425" t="str">
        <f t="shared" ca="1" si="137"/>
        <v/>
      </c>
    </row>
    <row r="1426" spans="1:10" ht="18.75" x14ac:dyDescent="0.25">
      <c r="A1426" s="11" t="s">
        <v>2605</v>
      </c>
      <c r="B1426">
        <f>IFERROR(COUNTIFS($A$1:A1426,"Câu "&amp;"*")-MID(A1426,5,FIND(".",A1426,1)-5),0)</f>
        <v>0</v>
      </c>
      <c r="C1426" t="b">
        <v>0</v>
      </c>
      <c r="E1426" t="str">
        <f t="shared" si="132"/>
        <v>3</v>
      </c>
      <c r="F1426" t="str">
        <f t="shared" si="133"/>
        <v>4</v>
      </c>
      <c r="G1426" t="str">
        <f t="shared" si="134"/>
        <v>Câu 343.</v>
      </c>
      <c r="H1426" t="str">
        <f t="shared" si="135"/>
        <v>1</v>
      </c>
      <c r="I1426" t="str">
        <f t="shared" si="136"/>
        <v>2</v>
      </c>
      <c r="J1426" t="str">
        <f t="shared" ca="1" si="137"/>
        <v/>
      </c>
    </row>
    <row r="1427" spans="1:10" ht="18.75" x14ac:dyDescent="0.25">
      <c r="A1427" s="11" t="s">
        <v>2606</v>
      </c>
      <c r="B1427">
        <f>IFERROR(COUNTIFS($A$1:A1427,"Câu "&amp;"*")-MID(A1427,5,FIND(".",A1427,1)-5),0)</f>
        <v>0</v>
      </c>
      <c r="C1427" t="b">
        <v>0</v>
      </c>
      <c r="E1427" t="str">
        <f t="shared" si="132"/>
        <v>4</v>
      </c>
      <c r="F1427" t="str">
        <f t="shared" si="133"/>
        <v>Câu 343.</v>
      </c>
      <c r="G1427" t="str">
        <f t="shared" si="134"/>
        <v>1</v>
      </c>
      <c r="H1427" t="str">
        <f t="shared" si="135"/>
        <v>2</v>
      </c>
      <c r="I1427" t="str">
        <f t="shared" si="136"/>
        <v>3</v>
      </c>
      <c r="J1427" t="str">
        <f t="shared" ca="1" si="137"/>
        <v/>
      </c>
    </row>
    <row r="1428" spans="1:10" ht="18.75" x14ac:dyDescent="0.25">
      <c r="A1428" s="10" t="s">
        <v>1138</v>
      </c>
      <c r="B1428">
        <f>IFERROR(COUNTIFS($A$1:A1428,"Câu "&amp;"*")-MID(A1428,5,FIND(".",A1428,1)-5),0)</f>
        <v>0</v>
      </c>
      <c r="C1428" t="b">
        <v>0</v>
      </c>
      <c r="E1428" t="str">
        <f t="shared" si="132"/>
        <v>Câu 343.</v>
      </c>
      <c r="F1428" t="str">
        <f t="shared" si="133"/>
        <v>1</v>
      </c>
      <c r="G1428" t="str">
        <f t="shared" si="134"/>
        <v>2</v>
      </c>
      <c r="H1428" t="str">
        <f t="shared" si="135"/>
        <v>3</v>
      </c>
      <c r="I1428" t="str">
        <f t="shared" si="136"/>
        <v>4</v>
      </c>
      <c r="J1428" t="str">
        <f t="shared" ca="1" si="137"/>
        <v>3</v>
      </c>
    </row>
    <row r="1429" spans="1:10" ht="18.75" x14ac:dyDescent="0.25">
      <c r="A1429" s="11" t="s">
        <v>2615</v>
      </c>
      <c r="B1429">
        <f>IFERROR(COUNTIFS($A$1:A1429,"Câu "&amp;"*")-MID(A1429,5,FIND(".",A1429,1)-5),0)</f>
        <v>0</v>
      </c>
      <c r="C1429" t="b">
        <v>0</v>
      </c>
      <c r="E1429" t="str">
        <f t="shared" si="132"/>
        <v>1</v>
      </c>
      <c r="F1429" t="str">
        <f t="shared" si="133"/>
        <v>2</v>
      </c>
      <c r="G1429" t="str">
        <f t="shared" si="134"/>
        <v>3</v>
      </c>
      <c r="H1429" t="str">
        <f t="shared" si="135"/>
        <v>4</v>
      </c>
      <c r="I1429" t="str">
        <f t="shared" si="136"/>
        <v/>
      </c>
      <c r="J1429" t="str">
        <f t="shared" ca="1" si="137"/>
        <v/>
      </c>
    </row>
    <row r="1430" spans="1:10" ht="18.75" x14ac:dyDescent="0.25">
      <c r="A1430" s="11" t="s">
        <v>2608</v>
      </c>
      <c r="B1430">
        <f>IFERROR(COUNTIFS($A$1:A1430,"Câu "&amp;"*")-MID(A1430,5,FIND(".",A1430,1)-5),0)</f>
        <v>0</v>
      </c>
      <c r="C1430" t="b">
        <v>0</v>
      </c>
      <c r="E1430" t="str">
        <f t="shared" si="132"/>
        <v>2</v>
      </c>
      <c r="F1430" t="str">
        <f t="shared" si="133"/>
        <v>3</v>
      </c>
      <c r="G1430" t="str">
        <f t="shared" si="134"/>
        <v>4</v>
      </c>
      <c r="H1430" t="str">
        <f t="shared" si="135"/>
        <v/>
      </c>
      <c r="I1430" t="str">
        <f t="shared" si="136"/>
        <v>1</v>
      </c>
      <c r="J1430" t="str">
        <f t="shared" ca="1" si="137"/>
        <v/>
      </c>
    </row>
    <row r="1431" spans="1:10" ht="18.75" x14ac:dyDescent="0.25">
      <c r="A1431" s="11" t="s">
        <v>2614</v>
      </c>
      <c r="B1431">
        <f>IFERROR(COUNTIFS($A$1:A1431,"Câu "&amp;"*")-MID(A1431,5,FIND(".",A1431,1)-5),0)</f>
        <v>0</v>
      </c>
      <c r="C1431" t="b">
        <v>1</v>
      </c>
      <c r="E1431" t="str">
        <f t="shared" si="132"/>
        <v>3</v>
      </c>
      <c r="F1431" t="str">
        <f t="shared" si="133"/>
        <v>4</v>
      </c>
      <c r="G1431" t="str">
        <f t="shared" si="134"/>
        <v>Câu 344.</v>
      </c>
      <c r="H1431" t="str">
        <f t="shared" si="135"/>
        <v>1</v>
      </c>
      <c r="I1431" t="str">
        <f t="shared" si="136"/>
        <v>2</v>
      </c>
      <c r="J1431" t="str">
        <f t="shared" ca="1" si="137"/>
        <v/>
      </c>
    </row>
    <row r="1432" spans="1:10" ht="18.75" x14ac:dyDescent="0.25">
      <c r="A1432" s="11" t="s">
        <v>2606</v>
      </c>
      <c r="B1432">
        <f>IFERROR(COUNTIFS($A$1:A1432,"Câu "&amp;"*")-MID(A1432,5,FIND(".",A1432,1)-5),0)</f>
        <v>0</v>
      </c>
      <c r="C1432" t="b">
        <v>0</v>
      </c>
      <c r="E1432" t="str">
        <f t="shared" si="132"/>
        <v>4</v>
      </c>
      <c r="F1432" t="str">
        <f t="shared" si="133"/>
        <v>Câu 344.</v>
      </c>
      <c r="G1432" t="str">
        <f t="shared" si="134"/>
        <v>1</v>
      </c>
      <c r="H1432" t="str">
        <f t="shared" si="135"/>
        <v>2</v>
      </c>
      <c r="I1432" t="str">
        <f t="shared" si="136"/>
        <v/>
      </c>
      <c r="J1432" t="str">
        <f t="shared" ca="1" si="137"/>
        <v/>
      </c>
    </row>
    <row r="1433" spans="1:10" ht="18.75" x14ac:dyDescent="0.25">
      <c r="A1433" s="10" t="s">
        <v>1139</v>
      </c>
      <c r="B1433">
        <f>IFERROR(COUNTIFS($A$1:A1433,"Câu "&amp;"*")-MID(A1433,5,FIND(".",A1433,1)-5),0)</f>
        <v>0</v>
      </c>
      <c r="C1433" t="b">
        <v>0</v>
      </c>
      <c r="E1433" t="str">
        <f t="shared" si="132"/>
        <v>Câu 344.</v>
      </c>
      <c r="F1433" t="str">
        <f t="shared" si="133"/>
        <v>1</v>
      </c>
      <c r="G1433" t="str">
        <f t="shared" si="134"/>
        <v>2</v>
      </c>
      <c r="H1433" t="str">
        <f t="shared" si="135"/>
        <v/>
      </c>
      <c r="I1433" t="str">
        <f t="shared" si="136"/>
        <v>1</v>
      </c>
      <c r="J1433" t="str">
        <f t="shared" ca="1" si="137"/>
        <v>2</v>
      </c>
    </row>
    <row r="1434" spans="1:10" ht="18.75" x14ac:dyDescent="0.25">
      <c r="A1434" s="11" t="s">
        <v>1965</v>
      </c>
      <c r="B1434">
        <f>IFERROR(COUNTIFS($A$1:A1434,"Câu "&amp;"*")-MID(A1434,5,FIND(".",A1434,1)-5),0)</f>
        <v>0</v>
      </c>
      <c r="C1434" t="b">
        <v>0</v>
      </c>
      <c r="E1434" t="str">
        <f t="shared" si="132"/>
        <v>1</v>
      </c>
      <c r="F1434" t="str">
        <f t="shared" si="133"/>
        <v>2</v>
      </c>
      <c r="G1434" t="str">
        <f t="shared" si="134"/>
        <v>Câu 345.</v>
      </c>
      <c r="H1434" t="str">
        <f t="shared" si="135"/>
        <v>1</v>
      </c>
      <c r="I1434" t="str">
        <f t="shared" si="136"/>
        <v>2</v>
      </c>
      <c r="J1434" t="str">
        <f t="shared" ca="1" si="137"/>
        <v/>
      </c>
    </row>
    <row r="1435" spans="1:10" ht="18.75" x14ac:dyDescent="0.25">
      <c r="A1435" s="11" t="s">
        <v>1998</v>
      </c>
      <c r="B1435">
        <f>IFERROR(COUNTIFS($A$1:A1435,"Câu "&amp;"*")-MID(A1435,5,FIND(".",A1435,1)-5),0)</f>
        <v>0</v>
      </c>
      <c r="C1435" t="b">
        <v>1</v>
      </c>
      <c r="E1435" t="str">
        <f t="shared" si="132"/>
        <v>2</v>
      </c>
      <c r="F1435" t="str">
        <f t="shared" si="133"/>
        <v>Câu 345.</v>
      </c>
      <c r="G1435" t="str">
        <f t="shared" si="134"/>
        <v>1</v>
      </c>
      <c r="H1435" t="str">
        <f t="shared" si="135"/>
        <v>2</v>
      </c>
      <c r="I1435" t="str">
        <f t="shared" si="136"/>
        <v/>
      </c>
      <c r="J1435" t="str">
        <f t="shared" ca="1" si="137"/>
        <v/>
      </c>
    </row>
    <row r="1436" spans="1:10" ht="18.75" x14ac:dyDescent="0.25">
      <c r="A1436" s="10" t="s">
        <v>1140</v>
      </c>
      <c r="B1436">
        <f>IFERROR(COUNTIFS($A$1:A1436,"Câu "&amp;"*")-MID(A1436,5,FIND(".",A1436,1)-5),0)</f>
        <v>0</v>
      </c>
      <c r="C1436" t="b">
        <v>0</v>
      </c>
      <c r="E1436" t="str">
        <f t="shared" si="132"/>
        <v>Câu 345.</v>
      </c>
      <c r="F1436" t="str">
        <f t="shared" si="133"/>
        <v>1</v>
      </c>
      <c r="G1436" t="str">
        <f t="shared" si="134"/>
        <v>2</v>
      </c>
      <c r="H1436" t="str">
        <f t="shared" si="135"/>
        <v/>
      </c>
      <c r="I1436" t="str">
        <f t="shared" si="136"/>
        <v>1</v>
      </c>
      <c r="J1436" t="str">
        <f t="shared" ca="1" si="137"/>
        <v>1</v>
      </c>
    </row>
    <row r="1437" spans="1:10" ht="18.75" x14ac:dyDescent="0.25">
      <c r="A1437" s="11" t="s">
        <v>2643</v>
      </c>
      <c r="B1437">
        <f>IFERROR(COUNTIFS($A$1:A1437,"Câu "&amp;"*")-MID(A1437,5,FIND(".",A1437,1)-5),0)</f>
        <v>0</v>
      </c>
      <c r="C1437" t="b">
        <v>1</v>
      </c>
      <c r="E1437" t="str">
        <f t="shared" si="132"/>
        <v>1</v>
      </c>
      <c r="F1437" t="str">
        <f t="shared" si="133"/>
        <v>2</v>
      </c>
      <c r="G1437" t="str">
        <f t="shared" si="134"/>
        <v>Câu 346.</v>
      </c>
      <c r="H1437" t="str">
        <f t="shared" si="135"/>
        <v>1</v>
      </c>
      <c r="I1437" t="str">
        <f t="shared" si="136"/>
        <v>2</v>
      </c>
      <c r="J1437" t="str">
        <f t="shared" ca="1" si="137"/>
        <v/>
      </c>
    </row>
    <row r="1438" spans="1:10" ht="18.75" x14ac:dyDescent="0.25">
      <c r="A1438" s="11" t="s">
        <v>2644</v>
      </c>
      <c r="B1438">
        <f>IFERROR(COUNTIFS($A$1:A1438,"Câu "&amp;"*")-MID(A1438,5,FIND(".",A1438,1)-5),0)</f>
        <v>0</v>
      </c>
      <c r="C1438" t="b">
        <v>0</v>
      </c>
      <c r="E1438" t="str">
        <f t="shared" si="132"/>
        <v>2</v>
      </c>
      <c r="F1438" t="str">
        <f t="shared" si="133"/>
        <v>Câu 346.</v>
      </c>
      <c r="G1438" t="str">
        <f t="shared" si="134"/>
        <v>1</v>
      </c>
      <c r="H1438" t="str">
        <f t="shared" si="135"/>
        <v>2</v>
      </c>
      <c r="I1438" t="str">
        <f t="shared" si="136"/>
        <v>3</v>
      </c>
      <c r="J1438" t="str">
        <f t="shared" ca="1" si="137"/>
        <v/>
      </c>
    </row>
    <row r="1439" spans="1:10" ht="18.75" x14ac:dyDescent="0.25">
      <c r="A1439" s="10" t="s">
        <v>1143</v>
      </c>
      <c r="B1439">
        <f>IFERROR(COUNTIFS($A$1:A1439,"Câu "&amp;"*")-MID(A1439,5,FIND(".",A1439,1)-5),0)</f>
        <v>0</v>
      </c>
      <c r="C1439" t="b">
        <v>0</v>
      </c>
      <c r="E1439" t="str">
        <f t="shared" si="132"/>
        <v>Câu 346.</v>
      </c>
      <c r="F1439" t="str">
        <f t="shared" si="133"/>
        <v>1</v>
      </c>
      <c r="G1439" t="str">
        <f t="shared" si="134"/>
        <v>2</v>
      </c>
      <c r="H1439" t="str">
        <f t="shared" si="135"/>
        <v>3</v>
      </c>
      <c r="I1439" t="str">
        <f t="shared" si="136"/>
        <v/>
      </c>
      <c r="J1439" t="str">
        <f t="shared" ca="1" si="137"/>
        <v>2</v>
      </c>
    </row>
    <row r="1440" spans="1:10" ht="18.75" x14ac:dyDescent="0.25">
      <c r="A1440" s="11" t="s">
        <v>2645</v>
      </c>
      <c r="B1440">
        <f>IFERROR(COUNTIFS($A$1:A1440,"Câu "&amp;"*")-MID(A1440,5,FIND(".",A1440,1)-5),0)</f>
        <v>0</v>
      </c>
      <c r="C1440" t="b">
        <v>0</v>
      </c>
      <c r="E1440" t="str">
        <f t="shared" si="132"/>
        <v>1</v>
      </c>
      <c r="F1440" t="str">
        <f t="shared" si="133"/>
        <v>2</v>
      </c>
      <c r="G1440" t="str">
        <f t="shared" si="134"/>
        <v>3</v>
      </c>
      <c r="H1440" t="str">
        <f t="shared" si="135"/>
        <v/>
      </c>
      <c r="I1440" t="str">
        <f t="shared" si="136"/>
        <v>1</v>
      </c>
      <c r="J1440" t="str">
        <f t="shared" ca="1" si="137"/>
        <v/>
      </c>
    </row>
    <row r="1441" spans="1:10" ht="18.75" x14ac:dyDescent="0.25">
      <c r="A1441" s="11" t="s">
        <v>2646</v>
      </c>
      <c r="B1441">
        <f>IFERROR(COUNTIFS($A$1:A1441,"Câu "&amp;"*")-MID(A1441,5,FIND(".",A1441,1)-5),0)</f>
        <v>0</v>
      </c>
      <c r="C1441" t="b">
        <v>1</v>
      </c>
      <c r="E1441" t="str">
        <f t="shared" si="132"/>
        <v>2</v>
      </c>
      <c r="F1441" t="str">
        <f t="shared" si="133"/>
        <v>3</v>
      </c>
      <c r="G1441" t="str">
        <f t="shared" si="134"/>
        <v>Câu 347.</v>
      </c>
      <c r="H1441" t="str">
        <f t="shared" si="135"/>
        <v>1</v>
      </c>
      <c r="I1441" t="str">
        <f t="shared" si="136"/>
        <v>2</v>
      </c>
      <c r="J1441" t="str">
        <f t="shared" ca="1" si="137"/>
        <v/>
      </c>
    </row>
    <row r="1442" spans="1:10" ht="18.75" x14ac:dyDescent="0.25">
      <c r="A1442" s="11" t="s">
        <v>2647</v>
      </c>
      <c r="B1442">
        <f>IFERROR(COUNTIFS($A$1:A1442,"Câu "&amp;"*")-MID(A1442,5,FIND(".",A1442,1)-5),0)</f>
        <v>0</v>
      </c>
      <c r="C1442" t="b">
        <v>0</v>
      </c>
      <c r="E1442" t="str">
        <f t="shared" si="132"/>
        <v>3</v>
      </c>
      <c r="F1442" t="str">
        <f t="shared" si="133"/>
        <v>Câu 347.</v>
      </c>
      <c r="G1442" t="str">
        <f t="shared" si="134"/>
        <v>1</v>
      </c>
      <c r="H1442" t="str">
        <f t="shared" si="135"/>
        <v>2</v>
      </c>
      <c r="I1442" t="str">
        <f t="shared" si="136"/>
        <v>3</v>
      </c>
      <c r="J1442" t="str">
        <f t="shared" ca="1" si="137"/>
        <v/>
      </c>
    </row>
    <row r="1443" spans="1:10" ht="18.75" x14ac:dyDescent="0.25">
      <c r="A1443" s="10" t="s">
        <v>1147</v>
      </c>
      <c r="B1443">
        <f>IFERROR(COUNTIFS($A$1:A1443,"Câu "&amp;"*")-MID(A1443,5,FIND(".",A1443,1)-5),0)</f>
        <v>0</v>
      </c>
      <c r="C1443" t="b">
        <v>0</v>
      </c>
      <c r="E1443" t="str">
        <f t="shared" si="132"/>
        <v>Câu 347.</v>
      </c>
      <c r="F1443" t="str">
        <f t="shared" si="133"/>
        <v>1</v>
      </c>
      <c r="G1443" t="str">
        <f t="shared" si="134"/>
        <v>2</v>
      </c>
      <c r="H1443" t="str">
        <f t="shared" si="135"/>
        <v>3</v>
      </c>
      <c r="I1443" t="str">
        <f t="shared" si="136"/>
        <v/>
      </c>
      <c r="J1443" t="str">
        <f t="shared" ca="1" si="137"/>
        <v>2</v>
      </c>
    </row>
    <row r="1444" spans="1:10" ht="18.75" x14ac:dyDescent="0.25">
      <c r="A1444" s="11" t="s">
        <v>2648</v>
      </c>
      <c r="B1444">
        <f>IFERROR(COUNTIFS($A$1:A1444,"Câu "&amp;"*")-MID(A1444,5,FIND(".",A1444,1)-5),0)</f>
        <v>0</v>
      </c>
      <c r="C1444" t="b">
        <v>0</v>
      </c>
      <c r="E1444" t="str">
        <f t="shared" si="132"/>
        <v>1</v>
      </c>
      <c r="F1444" t="str">
        <f t="shared" si="133"/>
        <v>2</v>
      </c>
      <c r="G1444" t="str">
        <f t="shared" si="134"/>
        <v>3</v>
      </c>
      <c r="H1444" t="str">
        <f t="shared" si="135"/>
        <v/>
      </c>
      <c r="I1444" t="str">
        <f t="shared" si="136"/>
        <v>1</v>
      </c>
      <c r="J1444" t="str">
        <f t="shared" ca="1" si="137"/>
        <v/>
      </c>
    </row>
    <row r="1445" spans="1:10" ht="18.75" x14ac:dyDescent="0.25">
      <c r="A1445" s="11" t="s">
        <v>2649</v>
      </c>
      <c r="B1445">
        <f>IFERROR(COUNTIFS($A$1:A1445,"Câu "&amp;"*")-MID(A1445,5,FIND(".",A1445,1)-5),0)</f>
        <v>0</v>
      </c>
      <c r="C1445" t="b">
        <v>1</v>
      </c>
      <c r="E1445" t="str">
        <f t="shared" si="132"/>
        <v>2</v>
      </c>
      <c r="F1445" t="str">
        <f t="shared" si="133"/>
        <v>3</v>
      </c>
      <c r="G1445" t="str">
        <f t="shared" si="134"/>
        <v>Câu 348.</v>
      </c>
      <c r="H1445" t="str">
        <f t="shared" si="135"/>
        <v>1</v>
      </c>
      <c r="I1445" t="str">
        <f t="shared" si="136"/>
        <v>2</v>
      </c>
      <c r="J1445" t="str">
        <f t="shared" ca="1" si="137"/>
        <v/>
      </c>
    </row>
    <row r="1446" spans="1:10" ht="18.75" x14ac:dyDescent="0.25">
      <c r="A1446" s="11" t="s">
        <v>2650</v>
      </c>
      <c r="B1446">
        <f>IFERROR(COUNTIFS($A$1:A1446,"Câu "&amp;"*")-MID(A1446,5,FIND(".",A1446,1)-5),0)</f>
        <v>0</v>
      </c>
      <c r="C1446" t="b">
        <v>0</v>
      </c>
      <c r="E1446" t="str">
        <f t="shared" si="132"/>
        <v>3</v>
      </c>
      <c r="F1446" t="str">
        <f t="shared" si="133"/>
        <v>Câu 348.</v>
      </c>
      <c r="G1446" t="str">
        <f t="shared" si="134"/>
        <v>1</v>
      </c>
      <c r="H1446" t="str">
        <f t="shared" si="135"/>
        <v>2</v>
      </c>
      <c r="I1446" t="str">
        <f t="shared" si="136"/>
        <v/>
      </c>
      <c r="J1446" t="str">
        <f t="shared" ca="1" si="137"/>
        <v/>
      </c>
    </row>
    <row r="1447" spans="1:10" ht="18.75" x14ac:dyDescent="0.25">
      <c r="A1447" s="10" t="s">
        <v>1151</v>
      </c>
      <c r="B1447">
        <f>IFERROR(COUNTIFS($A$1:A1447,"Câu "&amp;"*")-MID(A1447,5,FIND(".",A1447,1)-5),0)</f>
        <v>0</v>
      </c>
      <c r="C1447" t="b">
        <v>0</v>
      </c>
      <c r="E1447" t="str">
        <f t="shared" si="132"/>
        <v>Câu 348.</v>
      </c>
      <c r="F1447" t="str">
        <f t="shared" si="133"/>
        <v>1</v>
      </c>
      <c r="G1447" t="str">
        <f t="shared" si="134"/>
        <v>2</v>
      </c>
      <c r="H1447" t="str">
        <f t="shared" si="135"/>
        <v/>
      </c>
      <c r="I1447" t="str">
        <f t="shared" si="136"/>
        <v>1</v>
      </c>
      <c r="J1447" t="str">
        <f t="shared" ca="1" si="137"/>
        <v>2</v>
      </c>
    </row>
    <row r="1448" spans="1:10" ht="18.75" x14ac:dyDescent="0.25">
      <c r="A1448" s="11" t="s">
        <v>1965</v>
      </c>
      <c r="B1448">
        <f>IFERROR(COUNTIFS($A$1:A1448,"Câu "&amp;"*")-MID(A1448,5,FIND(".",A1448,1)-5),0)</f>
        <v>0</v>
      </c>
      <c r="C1448" t="b">
        <v>0</v>
      </c>
      <c r="E1448" t="str">
        <f t="shared" si="132"/>
        <v>1</v>
      </c>
      <c r="F1448" t="str">
        <f t="shared" si="133"/>
        <v>2</v>
      </c>
      <c r="G1448" t="str">
        <f t="shared" si="134"/>
        <v>Câu 349.</v>
      </c>
      <c r="H1448" t="str">
        <f t="shared" si="135"/>
        <v>1</v>
      </c>
      <c r="I1448" t="str">
        <f t="shared" si="136"/>
        <v>2</v>
      </c>
      <c r="J1448" t="str">
        <f t="shared" ca="1" si="137"/>
        <v/>
      </c>
    </row>
    <row r="1449" spans="1:10" ht="18.75" x14ac:dyDescent="0.25">
      <c r="A1449" s="11" t="s">
        <v>1998</v>
      </c>
      <c r="B1449">
        <f>IFERROR(COUNTIFS($A$1:A1449,"Câu "&amp;"*")-MID(A1449,5,FIND(".",A1449,1)-5),0)</f>
        <v>0</v>
      </c>
      <c r="C1449" t="b">
        <v>1</v>
      </c>
      <c r="E1449" t="str">
        <f t="shared" si="132"/>
        <v>2</v>
      </c>
      <c r="F1449" t="str">
        <f t="shared" si="133"/>
        <v>Câu 349.</v>
      </c>
      <c r="G1449" t="str">
        <f t="shared" si="134"/>
        <v>1</v>
      </c>
      <c r="H1449" t="str">
        <f t="shared" si="135"/>
        <v>2</v>
      </c>
      <c r="I1449" t="str">
        <f t="shared" si="136"/>
        <v>3</v>
      </c>
      <c r="J1449" t="str">
        <f t="shared" ca="1" si="137"/>
        <v/>
      </c>
    </row>
    <row r="1450" spans="1:10" ht="18.75" x14ac:dyDescent="0.25">
      <c r="A1450" s="10" t="s">
        <v>1152</v>
      </c>
      <c r="B1450">
        <f>IFERROR(COUNTIFS($A$1:A1450,"Câu "&amp;"*")-MID(A1450,5,FIND(".",A1450,1)-5),0)</f>
        <v>0</v>
      </c>
      <c r="C1450" t="b">
        <v>0</v>
      </c>
      <c r="E1450" t="str">
        <f t="shared" si="132"/>
        <v>Câu 349.</v>
      </c>
      <c r="F1450" t="str">
        <f t="shared" si="133"/>
        <v>1</v>
      </c>
      <c r="G1450" t="str">
        <f t="shared" si="134"/>
        <v>2</v>
      </c>
      <c r="H1450" t="str">
        <f t="shared" si="135"/>
        <v>3</v>
      </c>
      <c r="I1450" t="str">
        <f t="shared" si="136"/>
        <v/>
      </c>
      <c r="J1450" t="str">
        <f t="shared" ca="1" si="137"/>
        <v>2</v>
      </c>
    </row>
    <row r="1451" spans="1:10" ht="18.75" x14ac:dyDescent="0.25">
      <c r="A1451" s="11" t="s">
        <v>2615</v>
      </c>
      <c r="B1451">
        <f>IFERROR(COUNTIFS($A$1:A1451,"Câu "&amp;"*")-MID(A1451,5,FIND(".",A1451,1)-5),0)</f>
        <v>0</v>
      </c>
      <c r="C1451" t="b">
        <v>0</v>
      </c>
      <c r="E1451" t="str">
        <f t="shared" si="132"/>
        <v>1</v>
      </c>
      <c r="F1451" t="str">
        <f t="shared" si="133"/>
        <v>2</v>
      </c>
      <c r="G1451" t="str">
        <f t="shared" si="134"/>
        <v>3</v>
      </c>
      <c r="H1451" t="str">
        <f t="shared" si="135"/>
        <v/>
      </c>
      <c r="I1451" t="str">
        <f t="shared" si="136"/>
        <v>1</v>
      </c>
      <c r="J1451" t="str">
        <f t="shared" ca="1" si="137"/>
        <v/>
      </c>
    </row>
    <row r="1452" spans="1:10" ht="18.75" x14ac:dyDescent="0.25">
      <c r="A1452" s="11" t="s">
        <v>2626</v>
      </c>
      <c r="B1452">
        <f>IFERROR(COUNTIFS($A$1:A1452,"Câu "&amp;"*")-MID(A1452,5,FIND(".",A1452,1)-5),0)</f>
        <v>0</v>
      </c>
      <c r="C1452" t="b">
        <v>1</v>
      </c>
      <c r="E1452" t="str">
        <f t="shared" si="132"/>
        <v>2</v>
      </c>
      <c r="F1452" t="str">
        <f t="shared" si="133"/>
        <v>3</v>
      </c>
      <c r="G1452" t="str">
        <f t="shared" si="134"/>
        <v>Câu 350.</v>
      </c>
      <c r="H1452" t="str">
        <f t="shared" si="135"/>
        <v>1</v>
      </c>
      <c r="I1452" t="str">
        <f t="shared" si="136"/>
        <v>2</v>
      </c>
      <c r="J1452" t="str">
        <f t="shared" ca="1" si="137"/>
        <v/>
      </c>
    </row>
    <row r="1453" spans="1:10" ht="18.75" x14ac:dyDescent="0.25">
      <c r="A1453" s="11" t="s">
        <v>2609</v>
      </c>
      <c r="B1453">
        <f>IFERROR(COUNTIFS($A$1:A1453,"Câu "&amp;"*")-MID(A1453,5,FIND(".",A1453,1)-5),0)</f>
        <v>0</v>
      </c>
      <c r="C1453" t="b">
        <v>0</v>
      </c>
      <c r="E1453" t="str">
        <f t="shared" si="132"/>
        <v>3</v>
      </c>
      <c r="F1453" t="str">
        <f t="shared" si="133"/>
        <v>Câu 350.</v>
      </c>
      <c r="G1453" t="str">
        <f t="shared" si="134"/>
        <v>1</v>
      </c>
      <c r="H1453" t="str">
        <f t="shared" si="135"/>
        <v>2</v>
      </c>
      <c r="I1453" t="str">
        <f t="shared" si="136"/>
        <v>3</v>
      </c>
      <c r="J1453" t="str">
        <f t="shared" ca="1" si="137"/>
        <v/>
      </c>
    </row>
    <row r="1454" spans="1:10" ht="18.75" x14ac:dyDescent="0.25">
      <c r="A1454" s="10" t="s">
        <v>1153</v>
      </c>
      <c r="B1454">
        <f>IFERROR(COUNTIFS($A$1:A1454,"Câu "&amp;"*")-MID(A1454,5,FIND(".",A1454,1)-5),0)</f>
        <v>0</v>
      </c>
      <c r="C1454" t="b">
        <v>0</v>
      </c>
      <c r="E1454" t="str">
        <f t="shared" si="132"/>
        <v>Câu 350.</v>
      </c>
      <c r="F1454" t="str">
        <f t="shared" si="133"/>
        <v>1</v>
      </c>
      <c r="G1454" t="str">
        <f t="shared" si="134"/>
        <v>2</v>
      </c>
      <c r="H1454" t="str">
        <f t="shared" si="135"/>
        <v>3</v>
      </c>
      <c r="I1454" t="str">
        <f t="shared" si="136"/>
        <v/>
      </c>
      <c r="J1454" t="str">
        <f t="shared" ca="1" si="137"/>
        <v>2</v>
      </c>
    </row>
    <row r="1455" spans="1:10" ht="18.75" x14ac:dyDescent="0.25">
      <c r="A1455" s="11" t="s">
        <v>2603</v>
      </c>
      <c r="B1455">
        <f>IFERROR(COUNTIFS($A$1:A1455,"Câu "&amp;"*")-MID(A1455,5,FIND(".",A1455,1)-5),0)</f>
        <v>0</v>
      </c>
      <c r="C1455" t="b">
        <v>0</v>
      </c>
      <c r="E1455" t="str">
        <f t="shared" si="132"/>
        <v>1</v>
      </c>
      <c r="F1455" t="str">
        <f t="shared" si="133"/>
        <v>2</v>
      </c>
      <c r="G1455" t="str">
        <f t="shared" si="134"/>
        <v>3</v>
      </c>
      <c r="H1455" t="str">
        <f t="shared" si="135"/>
        <v/>
      </c>
      <c r="I1455" t="str">
        <f t="shared" si="136"/>
        <v>1</v>
      </c>
      <c r="J1455" t="str">
        <f t="shared" ca="1" si="137"/>
        <v/>
      </c>
    </row>
    <row r="1456" spans="1:10" ht="18.75" x14ac:dyDescent="0.25">
      <c r="A1456" s="11" t="s">
        <v>2618</v>
      </c>
      <c r="B1456">
        <f>IFERROR(COUNTIFS($A$1:A1456,"Câu "&amp;"*")-MID(A1456,5,FIND(".",A1456,1)-5),0)</f>
        <v>0</v>
      </c>
      <c r="C1456" t="b">
        <v>1</v>
      </c>
      <c r="E1456" t="str">
        <f t="shared" si="132"/>
        <v>2</v>
      </c>
      <c r="F1456" t="str">
        <f t="shared" si="133"/>
        <v>3</v>
      </c>
      <c r="G1456" t="str">
        <f t="shared" si="134"/>
        <v>Câu 351.</v>
      </c>
      <c r="H1456" t="str">
        <f t="shared" si="135"/>
        <v>1</v>
      </c>
      <c r="I1456" t="str">
        <f t="shared" si="136"/>
        <v>2</v>
      </c>
      <c r="J1456" t="str">
        <f t="shared" ca="1" si="137"/>
        <v/>
      </c>
    </row>
    <row r="1457" spans="1:10" ht="18.75" x14ac:dyDescent="0.25">
      <c r="A1457" s="11" t="s">
        <v>2611</v>
      </c>
      <c r="B1457">
        <f>IFERROR(COUNTIFS($A$1:A1457,"Câu "&amp;"*")-MID(A1457,5,FIND(".",A1457,1)-5),0)</f>
        <v>0</v>
      </c>
      <c r="C1457" t="b">
        <v>0</v>
      </c>
      <c r="E1457" t="str">
        <f t="shared" si="132"/>
        <v>3</v>
      </c>
      <c r="F1457" t="str">
        <f t="shared" si="133"/>
        <v>Câu 351.</v>
      </c>
      <c r="G1457" t="str">
        <f t="shared" si="134"/>
        <v>1</v>
      </c>
      <c r="H1457" t="str">
        <f t="shared" si="135"/>
        <v>2</v>
      </c>
      <c r="I1457" t="str">
        <f t="shared" si="136"/>
        <v/>
      </c>
      <c r="J1457" t="str">
        <f t="shared" ca="1" si="137"/>
        <v/>
      </c>
    </row>
    <row r="1458" spans="1:10" ht="18.75" x14ac:dyDescent="0.25">
      <c r="A1458" s="10" t="s">
        <v>1154</v>
      </c>
      <c r="B1458">
        <f>IFERROR(COUNTIFS($A$1:A1458,"Câu "&amp;"*")-MID(A1458,5,FIND(".",A1458,1)-5),0)</f>
        <v>0</v>
      </c>
      <c r="C1458" t="b">
        <v>0</v>
      </c>
      <c r="E1458" t="str">
        <f t="shared" si="132"/>
        <v>Câu 351.</v>
      </c>
      <c r="F1458" t="str">
        <f t="shared" si="133"/>
        <v>1</v>
      </c>
      <c r="G1458" t="str">
        <f t="shared" si="134"/>
        <v>2</v>
      </c>
      <c r="H1458" t="str">
        <f t="shared" si="135"/>
        <v/>
      </c>
      <c r="I1458" t="str">
        <f t="shared" si="136"/>
        <v>1</v>
      </c>
      <c r="J1458" t="str">
        <f t="shared" ca="1" si="137"/>
        <v>1</v>
      </c>
    </row>
    <row r="1459" spans="1:10" ht="18.75" x14ac:dyDescent="0.25">
      <c r="A1459" s="11" t="s">
        <v>2651</v>
      </c>
      <c r="B1459">
        <f>IFERROR(COUNTIFS($A$1:A1459,"Câu "&amp;"*")-MID(A1459,5,FIND(".",A1459,1)-5),0)</f>
        <v>0</v>
      </c>
      <c r="C1459" t="b">
        <v>1</v>
      </c>
      <c r="E1459" t="str">
        <f t="shared" si="132"/>
        <v>1</v>
      </c>
      <c r="F1459" t="str">
        <f t="shared" si="133"/>
        <v>2</v>
      </c>
      <c r="G1459" t="str">
        <f t="shared" si="134"/>
        <v>Câu 352.</v>
      </c>
      <c r="H1459" t="str">
        <f t="shared" si="135"/>
        <v>1</v>
      </c>
      <c r="I1459" t="str">
        <f t="shared" si="136"/>
        <v>2</v>
      </c>
      <c r="J1459" t="str">
        <f t="shared" ca="1" si="137"/>
        <v/>
      </c>
    </row>
    <row r="1460" spans="1:10" ht="18.75" x14ac:dyDescent="0.25">
      <c r="A1460" s="11" t="s">
        <v>2652</v>
      </c>
      <c r="B1460">
        <f>IFERROR(COUNTIFS($A$1:A1460,"Câu "&amp;"*")-MID(A1460,5,FIND(".",A1460,1)-5),0)</f>
        <v>0</v>
      </c>
      <c r="C1460" t="b">
        <v>0</v>
      </c>
      <c r="E1460" t="str">
        <f t="shared" si="132"/>
        <v>2</v>
      </c>
      <c r="F1460" t="str">
        <f t="shared" si="133"/>
        <v>Câu 352.</v>
      </c>
      <c r="G1460" t="str">
        <f t="shared" si="134"/>
        <v>1</v>
      </c>
      <c r="H1460" t="str">
        <f t="shared" si="135"/>
        <v>2</v>
      </c>
      <c r="I1460" t="str">
        <f t="shared" si="136"/>
        <v>3</v>
      </c>
      <c r="J1460" t="str">
        <f t="shared" ca="1" si="137"/>
        <v/>
      </c>
    </row>
    <row r="1461" spans="1:10" ht="18.75" x14ac:dyDescent="0.25">
      <c r="A1461" s="10" t="s">
        <v>1157</v>
      </c>
      <c r="B1461">
        <f>IFERROR(COUNTIFS($A$1:A1461,"Câu "&amp;"*")-MID(A1461,5,FIND(".",A1461,1)-5),0)</f>
        <v>0</v>
      </c>
      <c r="C1461" t="b">
        <v>0</v>
      </c>
      <c r="E1461" t="str">
        <f t="shared" si="132"/>
        <v>Câu 352.</v>
      </c>
      <c r="F1461" t="str">
        <f t="shared" si="133"/>
        <v>1</v>
      </c>
      <c r="G1461" t="str">
        <f t="shared" si="134"/>
        <v>2</v>
      </c>
      <c r="H1461" t="str">
        <f t="shared" si="135"/>
        <v>3</v>
      </c>
      <c r="I1461" t="str">
        <f t="shared" si="136"/>
        <v/>
      </c>
      <c r="J1461" t="str">
        <f t="shared" ca="1" si="137"/>
        <v>1</v>
      </c>
    </row>
    <row r="1462" spans="1:10" ht="18.75" x14ac:dyDescent="0.25">
      <c r="A1462" s="12" t="s">
        <v>2653</v>
      </c>
      <c r="B1462">
        <f>IFERROR(COUNTIFS($A$1:A1462,"Câu "&amp;"*")-MID(A1462,5,FIND(".",A1462,1)-5),0)</f>
        <v>0</v>
      </c>
      <c r="C1462" t="b">
        <v>1</v>
      </c>
      <c r="E1462" t="str">
        <f t="shared" si="132"/>
        <v>1</v>
      </c>
      <c r="F1462" t="str">
        <f t="shared" si="133"/>
        <v>2</v>
      </c>
      <c r="G1462" t="str">
        <f t="shared" si="134"/>
        <v>3</v>
      </c>
      <c r="H1462" t="str">
        <f t="shared" si="135"/>
        <v/>
      </c>
      <c r="I1462" t="str">
        <f t="shared" si="136"/>
        <v>1</v>
      </c>
      <c r="J1462" t="str">
        <f t="shared" ca="1" si="137"/>
        <v/>
      </c>
    </row>
    <row r="1463" spans="1:10" ht="18.75" x14ac:dyDescent="0.25">
      <c r="A1463" s="11" t="s">
        <v>1158</v>
      </c>
      <c r="B1463">
        <f>IFERROR(COUNTIFS($A$1:A1463,"Câu "&amp;"*")-MID(A1463,5,FIND(".",A1463,1)-5),0)</f>
        <v>0</v>
      </c>
      <c r="C1463" t="b">
        <v>0</v>
      </c>
      <c r="E1463" t="str">
        <f t="shared" si="132"/>
        <v>2</v>
      </c>
      <c r="F1463" t="str">
        <f t="shared" si="133"/>
        <v>3</v>
      </c>
      <c r="G1463" t="str">
        <f t="shared" si="134"/>
        <v>Câu 353.</v>
      </c>
      <c r="H1463" t="str">
        <f t="shared" si="135"/>
        <v>1</v>
      </c>
      <c r="I1463" t="str">
        <f t="shared" si="136"/>
        <v>2</v>
      </c>
      <c r="J1463" t="str">
        <f t="shared" ca="1" si="137"/>
        <v/>
      </c>
    </row>
    <row r="1464" spans="1:10" ht="18.75" x14ac:dyDescent="0.25">
      <c r="A1464" s="11" t="s">
        <v>1159</v>
      </c>
      <c r="B1464">
        <f>IFERROR(COUNTIFS($A$1:A1464,"Câu "&amp;"*")-MID(A1464,5,FIND(".",A1464,1)-5),0)</f>
        <v>0</v>
      </c>
      <c r="C1464" t="b">
        <v>0</v>
      </c>
      <c r="E1464" t="str">
        <f t="shared" si="132"/>
        <v>3</v>
      </c>
      <c r="F1464" t="str">
        <f t="shared" si="133"/>
        <v>Câu 353.</v>
      </c>
      <c r="G1464" t="str">
        <f t="shared" si="134"/>
        <v>1</v>
      </c>
      <c r="H1464" t="str">
        <f t="shared" si="135"/>
        <v>2</v>
      </c>
      <c r="I1464" t="str">
        <f t="shared" si="136"/>
        <v>3</v>
      </c>
      <c r="J1464" t="str">
        <f t="shared" ca="1" si="137"/>
        <v/>
      </c>
    </row>
    <row r="1465" spans="1:10" ht="18.75" x14ac:dyDescent="0.25">
      <c r="A1465" s="10" t="s">
        <v>1160</v>
      </c>
      <c r="B1465">
        <f>IFERROR(COUNTIFS($A$1:A1465,"Câu "&amp;"*")-MID(A1465,5,FIND(".",A1465,1)-5),0)</f>
        <v>0</v>
      </c>
      <c r="C1465" t="b">
        <v>0</v>
      </c>
      <c r="E1465" t="str">
        <f t="shared" si="132"/>
        <v>Câu 353.</v>
      </c>
      <c r="F1465" t="str">
        <f t="shared" si="133"/>
        <v>1</v>
      </c>
      <c r="G1465" t="str">
        <f t="shared" si="134"/>
        <v>2</v>
      </c>
      <c r="H1465" t="str">
        <f t="shared" si="135"/>
        <v>3</v>
      </c>
      <c r="I1465" t="str">
        <f t="shared" si="136"/>
        <v/>
      </c>
      <c r="J1465" t="str">
        <f t="shared" ca="1" si="137"/>
        <v>2</v>
      </c>
    </row>
    <row r="1466" spans="1:10" ht="18.75" x14ac:dyDescent="0.25">
      <c r="A1466" s="11" t="s">
        <v>2603</v>
      </c>
      <c r="B1466">
        <f>IFERROR(COUNTIFS($A$1:A1466,"Câu "&amp;"*")-MID(A1466,5,FIND(".",A1466,1)-5),0)</f>
        <v>0</v>
      </c>
      <c r="C1466" t="b">
        <v>0</v>
      </c>
      <c r="E1466" t="str">
        <f t="shared" si="132"/>
        <v>1</v>
      </c>
      <c r="F1466" t="str">
        <f t="shared" si="133"/>
        <v>2</v>
      </c>
      <c r="G1466" t="str">
        <f t="shared" si="134"/>
        <v>3</v>
      </c>
      <c r="H1466" t="str">
        <f t="shared" si="135"/>
        <v/>
      </c>
      <c r="I1466" t="str">
        <f t="shared" si="136"/>
        <v>1</v>
      </c>
      <c r="J1466" t="str">
        <f t="shared" ca="1" si="137"/>
        <v/>
      </c>
    </row>
    <row r="1467" spans="1:10" ht="18.75" x14ac:dyDescent="0.25">
      <c r="A1467" s="11" t="s">
        <v>2618</v>
      </c>
      <c r="B1467">
        <f>IFERROR(COUNTIFS($A$1:A1467,"Câu "&amp;"*")-MID(A1467,5,FIND(".",A1467,1)-5),0)</f>
        <v>0</v>
      </c>
      <c r="C1467" t="b">
        <v>1</v>
      </c>
      <c r="E1467" t="str">
        <f t="shared" si="132"/>
        <v>2</v>
      </c>
      <c r="F1467" t="str">
        <f t="shared" si="133"/>
        <v>3</v>
      </c>
      <c r="G1467" t="str">
        <f t="shared" si="134"/>
        <v>Câu 354.</v>
      </c>
      <c r="H1467" t="str">
        <f t="shared" si="135"/>
        <v>1</v>
      </c>
      <c r="I1467" t="str">
        <f t="shared" si="136"/>
        <v>2</v>
      </c>
      <c r="J1467" t="str">
        <f t="shared" ca="1" si="137"/>
        <v/>
      </c>
    </row>
    <row r="1468" spans="1:10" ht="18.75" x14ac:dyDescent="0.25">
      <c r="A1468" s="11" t="s">
        <v>2622</v>
      </c>
      <c r="B1468">
        <f>IFERROR(COUNTIFS($A$1:A1468,"Câu "&amp;"*")-MID(A1468,5,FIND(".",A1468,1)-5),0)</f>
        <v>0</v>
      </c>
      <c r="C1468" t="b">
        <v>0</v>
      </c>
      <c r="E1468" t="str">
        <f t="shared" si="132"/>
        <v>3</v>
      </c>
      <c r="F1468" t="str">
        <f t="shared" si="133"/>
        <v>Câu 354.</v>
      </c>
      <c r="G1468" t="str">
        <f t="shared" si="134"/>
        <v>1</v>
      </c>
      <c r="H1468" t="str">
        <f t="shared" si="135"/>
        <v>2</v>
      </c>
      <c r="I1468" t="str">
        <f t="shared" si="136"/>
        <v>3</v>
      </c>
      <c r="J1468" t="str">
        <f t="shared" ca="1" si="137"/>
        <v/>
      </c>
    </row>
    <row r="1469" spans="1:10" ht="18.75" x14ac:dyDescent="0.25">
      <c r="A1469" s="10" t="s">
        <v>1161</v>
      </c>
      <c r="B1469">
        <f>IFERROR(COUNTIFS($A$1:A1469,"Câu "&amp;"*")-MID(A1469,5,FIND(".",A1469,1)-5),0)</f>
        <v>0</v>
      </c>
      <c r="C1469" t="b">
        <v>0</v>
      </c>
      <c r="E1469" t="str">
        <f t="shared" si="132"/>
        <v>Câu 354.</v>
      </c>
      <c r="F1469" t="str">
        <f t="shared" si="133"/>
        <v>1</v>
      </c>
      <c r="G1469" t="str">
        <f t="shared" si="134"/>
        <v>2</v>
      </c>
      <c r="H1469" t="str">
        <f t="shared" si="135"/>
        <v>3</v>
      </c>
      <c r="I1469" t="str">
        <f t="shared" si="136"/>
        <v/>
      </c>
      <c r="J1469" t="str">
        <f t="shared" ca="1" si="137"/>
        <v>2</v>
      </c>
    </row>
    <row r="1470" spans="1:10" ht="18.75" x14ac:dyDescent="0.25">
      <c r="A1470" s="11" t="s">
        <v>2654</v>
      </c>
      <c r="B1470">
        <f>IFERROR(COUNTIFS($A$1:A1470,"Câu "&amp;"*")-MID(A1470,5,FIND(".",A1470,1)-5),0)</f>
        <v>0</v>
      </c>
      <c r="C1470" t="b">
        <v>0</v>
      </c>
      <c r="E1470" t="str">
        <f t="shared" si="132"/>
        <v>1</v>
      </c>
      <c r="F1470" t="str">
        <f t="shared" si="133"/>
        <v>2</v>
      </c>
      <c r="G1470" t="str">
        <f t="shared" si="134"/>
        <v>3</v>
      </c>
      <c r="H1470" t="str">
        <f t="shared" si="135"/>
        <v/>
      </c>
      <c r="I1470" t="str">
        <f t="shared" si="136"/>
        <v>1</v>
      </c>
      <c r="J1470" t="str">
        <f t="shared" ca="1" si="137"/>
        <v/>
      </c>
    </row>
    <row r="1471" spans="1:10" ht="18.75" x14ac:dyDescent="0.25">
      <c r="A1471" s="11" t="s">
        <v>2655</v>
      </c>
      <c r="B1471">
        <f>IFERROR(COUNTIFS($A$1:A1471,"Câu "&amp;"*")-MID(A1471,5,FIND(".",A1471,1)-5),0)</f>
        <v>0</v>
      </c>
      <c r="C1471" t="b">
        <v>1</v>
      </c>
      <c r="E1471" t="str">
        <f t="shared" si="132"/>
        <v>2</v>
      </c>
      <c r="F1471" t="str">
        <f t="shared" si="133"/>
        <v>3</v>
      </c>
      <c r="G1471" t="str">
        <f t="shared" si="134"/>
        <v>Câu 355.</v>
      </c>
      <c r="H1471" t="str">
        <f t="shared" si="135"/>
        <v>1</v>
      </c>
      <c r="I1471" t="str">
        <f t="shared" si="136"/>
        <v>2</v>
      </c>
      <c r="J1471" t="str">
        <f t="shared" ca="1" si="137"/>
        <v/>
      </c>
    </row>
    <row r="1472" spans="1:10" ht="18.75" x14ac:dyDescent="0.25">
      <c r="A1472" s="11" t="s">
        <v>2656</v>
      </c>
      <c r="B1472">
        <f>IFERROR(COUNTIFS($A$1:A1472,"Câu "&amp;"*")-MID(A1472,5,FIND(".",A1472,1)-5),0)</f>
        <v>0</v>
      </c>
      <c r="C1472" t="b">
        <v>0</v>
      </c>
      <c r="E1472" t="str">
        <f t="shared" si="132"/>
        <v>3</v>
      </c>
      <c r="F1472" t="str">
        <f t="shared" si="133"/>
        <v>Câu 355.</v>
      </c>
      <c r="G1472" t="str">
        <f t="shared" si="134"/>
        <v>1</v>
      </c>
      <c r="H1472" t="str">
        <f t="shared" si="135"/>
        <v>2</v>
      </c>
      <c r="I1472" t="str">
        <f t="shared" si="136"/>
        <v/>
      </c>
      <c r="J1472" t="str">
        <f t="shared" ca="1" si="137"/>
        <v/>
      </c>
    </row>
    <row r="1473" spans="1:10" ht="18.75" x14ac:dyDescent="0.25">
      <c r="A1473" s="10" t="s">
        <v>1165</v>
      </c>
      <c r="B1473">
        <f>IFERROR(COUNTIFS($A$1:A1473,"Câu "&amp;"*")-MID(A1473,5,FIND(".",A1473,1)-5),0)</f>
        <v>0</v>
      </c>
      <c r="C1473" t="b">
        <v>0</v>
      </c>
      <c r="E1473" t="str">
        <f t="shared" si="132"/>
        <v>Câu 355.</v>
      </c>
      <c r="F1473" t="str">
        <f t="shared" si="133"/>
        <v>1</v>
      </c>
      <c r="G1473" t="str">
        <f t="shared" si="134"/>
        <v>2</v>
      </c>
      <c r="H1473" t="str">
        <f t="shared" si="135"/>
        <v/>
      </c>
      <c r="I1473" t="str">
        <f t="shared" si="136"/>
        <v>1</v>
      </c>
      <c r="J1473" t="str">
        <f t="shared" ca="1" si="137"/>
        <v>1</v>
      </c>
    </row>
    <row r="1474" spans="1:10" ht="18.75" x14ac:dyDescent="0.25">
      <c r="A1474" s="11" t="s">
        <v>2657</v>
      </c>
      <c r="B1474">
        <f>IFERROR(COUNTIFS($A$1:A1474,"Câu "&amp;"*")-MID(A1474,5,FIND(".",A1474,1)-5),0)</f>
        <v>0</v>
      </c>
      <c r="C1474" t="b">
        <v>1</v>
      </c>
      <c r="E1474" t="str">
        <f t="shared" si="132"/>
        <v>1</v>
      </c>
      <c r="F1474" t="str">
        <f t="shared" si="133"/>
        <v>2</v>
      </c>
      <c r="G1474" t="str">
        <f t="shared" si="134"/>
        <v>Câu 356.</v>
      </c>
      <c r="H1474" t="str">
        <f t="shared" si="135"/>
        <v>1</v>
      </c>
      <c r="I1474" t="str">
        <f t="shared" si="136"/>
        <v>2</v>
      </c>
      <c r="J1474" t="str">
        <f t="shared" ca="1" si="137"/>
        <v/>
      </c>
    </row>
    <row r="1475" spans="1:10" ht="18.75" x14ac:dyDescent="0.25">
      <c r="A1475" s="11" t="s">
        <v>2658</v>
      </c>
      <c r="B1475">
        <f>IFERROR(COUNTIFS($A$1:A1475,"Câu "&amp;"*")-MID(A1475,5,FIND(".",A1475,1)-5),0)</f>
        <v>0</v>
      </c>
      <c r="C1475" t="b">
        <v>0</v>
      </c>
      <c r="E1475" t="str">
        <f t="shared" ref="E1475:E1538" si="138">IF(LEFT(A1475,3)="Câu",LEFT(A1475,FIND(".",A1475,1)),LEFT(A1475,1))</f>
        <v>2</v>
      </c>
      <c r="F1475" t="str">
        <f t="shared" ref="F1475:F1538" si="139">IF(LEFT(A1476,3)="Câu",LEFT(A1476,FIND(".",A1476,1)),LEFT(A1476,1))</f>
        <v>Câu 356.</v>
      </c>
      <c r="G1475" t="str">
        <f t="shared" ref="G1475:G1538" si="140">IF(LEFT(A1477,3)="Câu",LEFT(A1477,FIND(".",A1477,1)),LEFT(A1477,1))</f>
        <v>1</v>
      </c>
      <c r="H1475" t="str">
        <f t="shared" ref="H1475:H1538" si="141">IF(LEFT(A1478,3)="Câu","",LEFT(A1478,1))</f>
        <v>2</v>
      </c>
      <c r="I1475" t="str">
        <f t="shared" ref="I1475:I1538" si="142">IF(LEFT(A1479,3)="Câu","",LEFT(A1479,1))</f>
        <v/>
      </c>
      <c r="J1475" t="str">
        <f t="shared" ref="J1475:J1538" ca="1" si="143">IFERROR(VLOOKUP(TRUE,INDIRECT("C"&amp;MATCH(E1475,$E$1:$E$2471,0)&amp;":E"&amp;MATCH("Câu "&amp;VALUE(MID(E1475,5,LEN(E1475)-5))+1&amp;".",$E$1:$E$2471,0)),3,0),"")</f>
        <v/>
      </c>
    </row>
    <row r="1476" spans="1:10" ht="18.75" x14ac:dyDescent="0.25">
      <c r="A1476" s="10" t="s">
        <v>1166</v>
      </c>
      <c r="B1476">
        <f>IFERROR(COUNTIFS($A$1:A1476,"Câu "&amp;"*")-MID(A1476,5,FIND(".",A1476,1)-5),0)</f>
        <v>0</v>
      </c>
      <c r="C1476" t="b">
        <v>0</v>
      </c>
      <c r="E1476" t="str">
        <f t="shared" si="138"/>
        <v>Câu 356.</v>
      </c>
      <c r="F1476" t="str">
        <f t="shared" si="139"/>
        <v>1</v>
      </c>
      <c r="G1476" t="str">
        <f t="shared" si="140"/>
        <v>2</v>
      </c>
      <c r="H1476" t="str">
        <f t="shared" si="141"/>
        <v/>
      </c>
      <c r="I1476" t="str">
        <f t="shared" si="142"/>
        <v>1</v>
      </c>
      <c r="J1476" t="str">
        <f t="shared" ca="1" si="143"/>
        <v>1</v>
      </c>
    </row>
    <row r="1477" spans="1:10" ht="75" x14ac:dyDescent="0.25">
      <c r="A1477" s="3" t="s">
        <v>2657</v>
      </c>
      <c r="B1477">
        <f>IFERROR(COUNTIFS($A$1:A1477,"Câu "&amp;"*")-MID(A1477,5,FIND(".",A1477,1)-5),0)</f>
        <v>0</v>
      </c>
      <c r="C1477" t="b">
        <v>1</v>
      </c>
      <c r="E1477" t="str">
        <f t="shared" si="138"/>
        <v>1</v>
      </c>
      <c r="F1477" t="str">
        <f t="shared" si="139"/>
        <v>2</v>
      </c>
      <c r="G1477" t="str">
        <f t="shared" si="140"/>
        <v>Câu 357.</v>
      </c>
      <c r="H1477" t="str">
        <f t="shared" si="141"/>
        <v>1</v>
      </c>
      <c r="I1477" t="str">
        <f t="shared" si="142"/>
        <v>2</v>
      </c>
      <c r="J1477" t="str">
        <f t="shared" ca="1" si="143"/>
        <v/>
      </c>
    </row>
    <row r="1478" spans="1:10" ht="37.5" x14ac:dyDescent="0.25">
      <c r="A1478" s="3" t="s">
        <v>2658</v>
      </c>
      <c r="B1478">
        <f>IFERROR(COUNTIFS($A$1:A1478,"Câu "&amp;"*")-MID(A1478,5,FIND(".",A1478,1)-5),0)</f>
        <v>0</v>
      </c>
      <c r="C1478" t="b">
        <v>0</v>
      </c>
      <c r="E1478" t="str">
        <f t="shared" si="138"/>
        <v>2</v>
      </c>
      <c r="F1478" t="str">
        <f t="shared" si="139"/>
        <v>Câu 357.</v>
      </c>
      <c r="G1478" t="str">
        <f t="shared" si="140"/>
        <v>1</v>
      </c>
      <c r="H1478" t="str">
        <f t="shared" si="141"/>
        <v>2</v>
      </c>
      <c r="I1478" t="str">
        <f t="shared" si="142"/>
        <v/>
      </c>
      <c r="J1478" t="str">
        <f t="shared" ca="1" si="143"/>
        <v/>
      </c>
    </row>
    <row r="1479" spans="1:10" ht="409.5" x14ac:dyDescent="0.25">
      <c r="A1479" s="4" t="s">
        <v>1167</v>
      </c>
      <c r="B1479">
        <f>IFERROR(COUNTIFS($A$1:A1479,"Câu "&amp;"*")-MID(A1479,5,FIND(".",A1479,1)-5),0)</f>
        <v>0</v>
      </c>
      <c r="C1479" t="b">
        <v>0</v>
      </c>
      <c r="E1479" t="str">
        <f t="shared" si="138"/>
        <v>Câu 357.</v>
      </c>
      <c r="F1479" t="str">
        <f t="shared" si="139"/>
        <v>1</v>
      </c>
      <c r="G1479" t="str">
        <f t="shared" si="140"/>
        <v>2</v>
      </c>
      <c r="H1479" t="str">
        <f t="shared" si="141"/>
        <v/>
      </c>
      <c r="I1479" t="str">
        <f t="shared" si="142"/>
        <v>1</v>
      </c>
      <c r="J1479" t="str">
        <f t="shared" ca="1" si="143"/>
        <v>1</v>
      </c>
    </row>
    <row r="1480" spans="1:10" ht="18.75" x14ac:dyDescent="0.25">
      <c r="A1480" s="11" t="s">
        <v>2657</v>
      </c>
      <c r="B1480">
        <f>IFERROR(COUNTIFS($A$1:A1480,"Câu "&amp;"*")-MID(A1480,5,FIND(".",A1480,1)-5),0)</f>
        <v>0</v>
      </c>
      <c r="C1480" t="b">
        <v>1</v>
      </c>
      <c r="E1480" t="str">
        <f t="shared" si="138"/>
        <v>1</v>
      </c>
      <c r="F1480" t="str">
        <f t="shared" si="139"/>
        <v>2</v>
      </c>
      <c r="G1480" t="str">
        <f t="shared" si="140"/>
        <v>Câu 358.</v>
      </c>
      <c r="H1480" t="str">
        <f t="shared" si="141"/>
        <v>1</v>
      </c>
      <c r="I1480" t="str">
        <f t="shared" si="142"/>
        <v>2</v>
      </c>
      <c r="J1480" t="str">
        <f t="shared" ca="1" si="143"/>
        <v/>
      </c>
    </row>
    <row r="1481" spans="1:10" ht="18.75" x14ac:dyDescent="0.25">
      <c r="A1481" s="11" t="s">
        <v>2658</v>
      </c>
      <c r="B1481">
        <f>IFERROR(COUNTIFS($A$1:A1481,"Câu "&amp;"*")-MID(A1481,5,FIND(".",A1481,1)-5),0)</f>
        <v>0</v>
      </c>
      <c r="C1481" t="b">
        <v>0</v>
      </c>
      <c r="E1481" t="str">
        <f t="shared" si="138"/>
        <v>2</v>
      </c>
      <c r="F1481" t="str">
        <f t="shared" si="139"/>
        <v>Câu 358.</v>
      </c>
      <c r="G1481" t="str">
        <f t="shared" si="140"/>
        <v>1</v>
      </c>
      <c r="H1481" t="str">
        <f t="shared" si="141"/>
        <v>2</v>
      </c>
      <c r="I1481" t="str">
        <f t="shared" si="142"/>
        <v>3</v>
      </c>
      <c r="J1481" t="str">
        <f t="shared" ca="1" si="143"/>
        <v/>
      </c>
    </row>
    <row r="1482" spans="1:10" ht="18.75" x14ac:dyDescent="0.25">
      <c r="A1482" s="10" t="s">
        <v>1168</v>
      </c>
      <c r="B1482">
        <f>IFERROR(COUNTIFS($A$1:A1482,"Câu "&amp;"*")-MID(A1482,5,FIND(".",A1482,1)-5),0)</f>
        <v>0</v>
      </c>
      <c r="C1482" t="b">
        <v>0</v>
      </c>
      <c r="E1482" t="str">
        <f t="shared" si="138"/>
        <v>Câu 358.</v>
      </c>
      <c r="F1482" t="str">
        <f t="shared" si="139"/>
        <v>1</v>
      </c>
      <c r="G1482" t="str">
        <f t="shared" si="140"/>
        <v>2</v>
      </c>
      <c r="H1482" t="str">
        <f t="shared" si="141"/>
        <v>3</v>
      </c>
      <c r="I1482" t="str">
        <f t="shared" si="142"/>
        <v/>
      </c>
      <c r="J1482" t="str">
        <f t="shared" ca="1" si="143"/>
        <v>2</v>
      </c>
    </row>
    <row r="1483" spans="1:10" ht="18.75" x14ac:dyDescent="0.25">
      <c r="A1483" s="11" t="s">
        <v>2659</v>
      </c>
      <c r="B1483">
        <f>IFERROR(COUNTIFS($A$1:A1483,"Câu "&amp;"*")-MID(A1483,5,FIND(".",A1483,1)-5),0)</f>
        <v>0</v>
      </c>
      <c r="C1483" t="b">
        <v>0</v>
      </c>
      <c r="E1483" t="str">
        <f t="shared" si="138"/>
        <v>1</v>
      </c>
      <c r="F1483" t="str">
        <f t="shared" si="139"/>
        <v>2</v>
      </c>
      <c r="G1483" t="str">
        <f t="shared" si="140"/>
        <v>3</v>
      </c>
      <c r="H1483" t="str">
        <f t="shared" si="141"/>
        <v/>
      </c>
      <c r="I1483" t="str">
        <f t="shared" si="142"/>
        <v>1</v>
      </c>
      <c r="J1483" t="str">
        <f t="shared" ca="1" si="143"/>
        <v/>
      </c>
    </row>
    <row r="1484" spans="1:10" ht="18.75" x14ac:dyDescent="0.25">
      <c r="A1484" s="11" t="s">
        <v>2660</v>
      </c>
      <c r="B1484">
        <f>IFERROR(COUNTIFS($A$1:A1484,"Câu "&amp;"*")-MID(A1484,5,FIND(".",A1484,1)-5),0)</f>
        <v>0</v>
      </c>
      <c r="C1484" t="b">
        <v>1</v>
      </c>
      <c r="E1484" t="str">
        <f t="shared" si="138"/>
        <v>2</v>
      </c>
      <c r="F1484" t="str">
        <f t="shared" si="139"/>
        <v>3</v>
      </c>
      <c r="G1484" t="str">
        <f t="shared" si="140"/>
        <v>Câu 359.</v>
      </c>
      <c r="H1484" t="str">
        <f t="shared" si="141"/>
        <v>1</v>
      </c>
      <c r="I1484" t="str">
        <f t="shared" si="142"/>
        <v>2</v>
      </c>
      <c r="J1484" t="str">
        <f t="shared" ca="1" si="143"/>
        <v/>
      </c>
    </row>
    <row r="1485" spans="1:10" ht="18.75" x14ac:dyDescent="0.25">
      <c r="A1485" s="11" t="s">
        <v>2661</v>
      </c>
      <c r="B1485">
        <f>IFERROR(COUNTIFS($A$1:A1485,"Câu "&amp;"*")-MID(A1485,5,FIND(".",A1485,1)-5),0)</f>
        <v>0</v>
      </c>
      <c r="C1485" t="b">
        <v>0</v>
      </c>
      <c r="E1485" t="str">
        <f t="shared" si="138"/>
        <v>3</v>
      </c>
      <c r="F1485" t="str">
        <f t="shared" si="139"/>
        <v>Câu 359.</v>
      </c>
      <c r="G1485" t="str">
        <f t="shared" si="140"/>
        <v>1</v>
      </c>
      <c r="H1485" t="str">
        <f t="shared" si="141"/>
        <v>2</v>
      </c>
      <c r="I1485" t="str">
        <f t="shared" si="142"/>
        <v>3</v>
      </c>
      <c r="J1485" t="str">
        <f t="shared" ca="1" si="143"/>
        <v/>
      </c>
    </row>
    <row r="1486" spans="1:10" ht="18.75" x14ac:dyDescent="0.25">
      <c r="A1486" s="10" t="s">
        <v>1172</v>
      </c>
      <c r="B1486">
        <f>IFERROR(COUNTIFS($A$1:A1486,"Câu "&amp;"*")-MID(A1486,5,FIND(".",A1486,1)-5),0)</f>
        <v>0</v>
      </c>
      <c r="C1486" t="b">
        <v>0</v>
      </c>
      <c r="E1486" t="str">
        <f t="shared" si="138"/>
        <v>Câu 359.</v>
      </c>
      <c r="F1486" t="str">
        <f t="shared" si="139"/>
        <v>1</v>
      </c>
      <c r="G1486" t="str">
        <f t="shared" si="140"/>
        <v>2</v>
      </c>
      <c r="H1486" t="str">
        <f t="shared" si="141"/>
        <v>3</v>
      </c>
      <c r="I1486" t="str">
        <f t="shared" si="142"/>
        <v/>
      </c>
      <c r="J1486" t="str">
        <f t="shared" ca="1" si="143"/>
        <v>2</v>
      </c>
    </row>
    <row r="1487" spans="1:10" ht="18.75" x14ac:dyDescent="0.25">
      <c r="A1487" s="11" t="s">
        <v>2662</v>
      </c>
      <c r="B1487">
        <f>IFERROR(COUNTIFS($A$1:A1487,"Câu "&amp;"*")-MID(A1487,5,FIND(".",A1487,1)-5),0)</f>
        <v>0</v>
      </c>
      <c r="C1487" t="b">
        <v>0</v>
      </c>
      <c r="E1487" t="str">
        <f t="shared" si="138"/>
        <v>1</v>
      </c>
      <c r="F1487" t="str">
        <f t="shared" si="139"/>
        <v>2</v>
      </c>
      <c r="G1487" t="str">
        <f t="shared" si="140"/>
        <v>3</v>
      </c>
      <c r="H1487" t="str">
        <f t="shared" si="141"/>
        <v/>
      </c>
      <c r="I1487" t="str">
        <f t="shared" si="142"/>
        <v>1</v>
      </c>
      <c r="J1487" t="str">
        <f t="shared" ca="1" si="143"/>
        <v/>
      </c>
    </row>
    <row r="1488" spans="1:10" ht="18.75" x14ac:dyDescent="0.25">
      <c r="A1488" s="11" t="s">
        <v>2663</v>
      </c>
      <c r="B1488">
        <f>IFERROR(COUNTIFS($A$1:A1488,"Câu "&amp;"*")-MID(A1488,5,FIND(".",A1488,1)-5),0)</f>
        <v>0</v>
      </c>
      <c r="C1488" t="b">
        <v>1</v>
      </c>
      <c r="E1488" t="str">
        <f t="shared" si="138"/>
        <v>2</v>
      </c>
      <c r="F1488" t="str">
        <f t="shared" si="139"/>
        <v>3</v>
      </c>
      <c r="G1488" t="str">
        <f t="shared" si="140"/>
        <v>Câu 360.</v>
      </c>
      <c r="H1488" t="str">
        <f t="shared" si="141"/>
        <v>1</v>
      </c>
      <c r="I1488" t="str">
        <f t="shared" si="142"/>
        <v>2</v>
      </c>
      <c r="J1488" t="str">
        <f t="shared" ca="1" si="143"/>
        <v/>
      </c>
    </row>
    <row r="1489" spans="1:10" ht="18.75" x14ac:dyDescent="0.25">
      <c r="A1489" s="11" t="s">
        <v>2664</v>
      </c>
      <c r="B1489">
        <f>IFERROR(COUNTIFS($A$1:A1489,"Câu "&amp;"*")-MID(A1489,5,FIND(".",A1489,1)-5),0)</f>
        <v>0</v>
      </c>
      <c r="C1489" t="b">
        <v>0</v>
      </c>
      <c r="E1489" t="str">
        <f t="shared" si="138"/>
        <v>3</v>
      </c>
      <c r="F1489" t="str">
        <f t="shared" si="139"/>
        <v>Câu 360.</v>
      </c>
      <c r="G1489" t="str">
        <f t="shared" si="140"/>
        <v>1</v>
      </c>
      <c r="H1489" t="str">
        <f t="shared" si="141"/>
        <v>2</v>
      </c>
      <c r="I1489" t="str">
        <f t="shared" si="142"/>
        <v>3</v>
      </c>
      <c r="J1489" t="str">
        <f t="shared" ca="1" si="143"/>
        <v/>
      </c>
    </row>
    <row r="1490" spans="1:10" ht="18.75" x14ac:dyDescent="0.25">
      <c r="A1490" s="10" t="s">
        <v>1176</v>
      </c>
      <c r="B1490">
        <f>IFERROR(COUNTIFS($A$1:A1490,"Câu "&amp;"*")-MID(A1490,5,FIND(".",A1490,1)-5),0)</f>
        <v>0</v>
      </c>
      <c r="C1490" t="b">
        <v>0</v>
      </c>
      <c r="E1490" t="str">
        <f t="shared" si="138"/>
        <v>Câu 360.</v>
      </c>
      <c r="F1490" t="str">
        <f t="shared" si="139"/>
        <v>1</v>
      </c>
      <c r="G1490" t="str">
        <f t="shared" si="140"/>
        <v>2</v>
      </c>
      <c r="H1490" t="str">
        <f t="shared" si="141"/>
        <v>3</v>
      </c>
      <c r="I1490" t="str">
        <f t="shared" si="142"/>
        <v/>
      </c>
      <c r="J1490" t="str">
        <f t="shared" ca="1" si="143"/>
        <v>1</v>
      </c>
    </row>
    <row r="1491" spans="1:10" ht="18.75" x14ac:dyDescent="0.25">
      <c r="A1491" s="11" t="s">
        <v>2599</v>
      </c>
      <c r="B1491">
        <f>IFERROR(COUNTIFS($A$1:A1491,"Câu "&amp;"*")-MID(A1491,5,FIND(".",A1491,1)-5),0)</f>
        <v>0</v>
      </c>
      <c r="C1491" t="b">
        <v>1</v>
      </c>
      <c r="E1491" t="str">
        <f t="shared" si="138"/>
        <v>1</v>
      </c>
      <c r="F1491" t="str">
        <f t="shared" si="139"/>
        <v>2</v>
      </c>
      <c r="G1491" t="str">
        <f t="shared" si="140"/>
        <v>3</v>
      </c>
      <c r="H1491" t="str">
        <f t="shared" si="141"/>
        <v/>
      </c>
      <c r="I1491" t="str">
        <f t="shared" si="142"/>
        <v>1</v>
      </c>
      <c r="J1491" t="str">
        <f t="shared" ca="1" si="143"/>
        <v/>
      </c>
    </row>
    <row r="1492" spans="1:10" ht="18.75" x14ac:dyDescent="0.25">
      <c r="A1492" s="11" t="s">
        <v>2600</v>
      </c>
      <c r="B1492">
        <f>IFERROR(COUNTIFS($A$1:A1492,"Câu "&amp;"*")-MID(A1492,5,FIND(".",A1492,1)-5),0)</f>
        <v>0</v>
      </c>
      <c r="C1492" t="b">
        <v>0</v>
      </c>
      <c r="E1492" t="str">
        <f t="shared" si="138"/>
        <v>2</v>
      </c>
      <c r="F1492" t="str">
        <f t="shared" si="139"/>
        <v>3</v>
      </c>
      <c r="G1492" t="str">
        <f t="shared" si="140"/>
        <v>Câu 361.</v>
      </c>
      <c r="H1492" t="str">
        <f t="shared" si="141"/>
        <v>1</v>
      </c>
      <c r="I1492" t="str">
        <f t="shared" si="142"/>
        <v>2</v>
      </c>
      <c r="J1492" t="str">
        <f t="shared" ca="1" si="143"/>
        <v/>
      </c>
    </row>
    <row r="1493" spans="1:10" ht="18.75" x14ac:dyDescent="0.25">
      <c r="A1493" s="11" t="s">
        <v>2622</v>
      </c>
      <c r="B1493">
        <f>IFERROR(COUNTIFS($A$1:A1493,"Câu "&amp;"*")-MID(A1493,5,FIND(".",A1493,1)-5),0)</f>
        <v>0</v>
      </c>
      <c r="C1493" t="b">
        <v>0</v>
      </c>
      <c r="E1493" t="str">
        <f t="shared" si="138"/>
        <v>3</v>
      </c>
      <c r="F1493" t="str">
        <f t="shared" si="139"/>
        <v>Câu 361.</v>
      </c>
      <c r="G1493" t="str">
        <f t="shared" si="140"/>
        <v>1</v>
      </c>
      <c r="H1493" t="str">
        <f t="shared" si="141"/>
        <v>2</v>
      </c>
      <c r="I1493" t="str">
        <f t="shared" si="142"/>
        <v/>
      </c>
      <c r="J1493" t="str">
        <f t="shared" ca="1" si="143"/>
        <v/>
      </c>
    </row>
    <row r="1494" spans="1:10" ht="409.5" x14ac:dyDescent="0.25">
      <c r="A1494" s="4" t="s">
        <v>1177</v>
      </c>
      <c r="B1494">
        <f>IFERROR(COUNTIFS($A$1:A1494,"Câu "&amp;"*")-MID(A1494,5,FIND(".",A1494,1)-5),0)</f>
        <v>0</v>
      </c>
      <c r="C1494" t="b">
        <v>0</v>
      </c>
      <c r="E1494" t="str">
        <f t="shared" si="138"/>
        <v>Câu 361.</v>
      </c>
      <c r="F1494" t="str">
        <f t="shared" si="139"/>
        <v>1</v>
      </c>
      <c r="G1494" t="str">
        <f t="shared" si="140"/>
        <v>2</v>
      </c>
      <c r="H1494" t="str">
        <f t="shared" si="141"/>
        <v/>
      </c>
      <c r="I1494" t="str">
        <f t="shared" si="142"/>
        <v>1</v>
      </c>
      <c r="J1494" t="str">
        <f t="shared" ca="1" si="143"/>
        <v>1</v>
      </c>
    </row>
    <row r="1495" spans="1:10" ht="18.75" x14ac:dyDescent="0.25">
      <c r="A1495" s="11" t="s">
        <v>2599</v>
      </c>
      <c r="B1495">
        <f>IFERROR(COUNTIFS($A$1:A1495,"Câu "&amp;"*")-MID(A1495,5,FIND(".",A1495,1)-5),0)</f>
        <v>0</v>
      </c>
      <c r="C1495" t="b">
        <v>1</v>
      </c>
      <c r="E1495" t="str">
        <f t="shared" si="138"/>
        <v>1</v>
      </c>
      <c r="F1495" t="str">
        <f t="shared" si="139"/>
        <v>2</v>
      </c>
      <c r="G1495" t="str">
        <f t="shared" si="140"/>
        <v>Câu 362.</v>
      </c>
      <c r="H1495" t="str">
        <f t="shared" si="141"/>
        <v>1</v>
      </c>
      <c r="I1495" t="str">
        <f t="shared" si="142"/>
        <v>2</v>
      </c>
      <c r="J1495" t="str">
        <f t="shared" ca="1" si="143"/>
        <v/>
      </c>
    </row>
    <row r="1496" spans="1:10" ht="18.75" x14ac:dyDescent="0.25">
      <c r="A1496" s="11" t="s">
        <v>2600</v>
      </c>
      <c r="B1496">
        <f>IFERROR(COUNTIFS($A$1:A1496,"Câu "&amp;"*")-MID(A1496,5,FIND(".",A1496,1)-5),0)</f>
        <v>0</v>
      </c>
      <c r="C1496" t="b">
        <v>0</v>
      </c>
      <c r="E1496" t="str">
        <f t="shared" si="138"/>
        <v>2</v>
      </c>
      <c r="F1496" t="str">
        <f t="shared" si="139"/>
        <v>Câu 362.</v>
      </c>
      <c r="G1496" t="str">
        <f t="shared" si="140"/>
        <v>1</v>
      </c>
      <c r="H1496" t="str">
        <f t="shared" si="141"/>
        <v>2</v>
      </c>
      <c r="I1496" t="str">
        <f t="shared" si="142"/>
        <v/>
      </c>
      <c r="J1496" t="str">
        <f t="shared" ca="1" si="143"/>
        <v/>
      </c>
    </row>
    <row r="1497" spans="1:10" ht="18.75" x14ac:dyDescent="0.25">
      <c r="A1497" s="10" t="s">
        <v>1178</v>
      </c>
      <c r="B1497">
        <f>IFERROR(COUNTIFS($A$1:A1497,"Câu "&amp;"*")-MID(A1497,5,FIND(".",A1497,1)-5),0)</f>
        <v>0</v>
      </c>
      <c r="C1497" t="b">
        <v>0</v>
      </c>
      <c r="E1497" t="str">
        <f t="shared" si="138"/>
        <v>Câu 362.</v>
      </c>
      <c r="F1497" t="str">
        <f t="shared" si="139"/>
        <v>1</v>
      </c>
      <c r="G1497" t="str">
        <f t="shared" si="140"/>
        <v>2</v>
      </c>
      <c r="H1497" t="str">
        <f t="shared" si="141"/>
        <v/>
      </c>
      <c r="I1497" t="str">
        <f t="shared" si="142"/>
        <v>1</v>
      </c>
      <c r="J1497" t="str">
        <f t="shared" ca="1" si="143"/>
        <v>2</v>
      </c>
    </row>
    <row r="1498" spans="1:10" ht="18.75" x14ac:dyDescent="0.25">
      <c r="A1498" s="11" t="s">
        <v>2603</v>
      </c>
      <c r="B1498">
        <f>IFERROR(COUNTIFS($A$1:A1498,"Câu "&amp;"*")-MID(A1498,5,FIND(".",A1498,1)-5),0)</f>
        <v>0</v>
      </c>
      <c r="C1498" t="b">
        <v>0</v>
      </c>
      <c r="E1498" t="str">
        <f t="shared" si="138"/>
        <v>1</v>
      </c>
      <c r="F1498" t="str">
        <f t="shared" si="139"/>
        <v>2</v>
      </c>
      <c r="G1498" t="str">
        <f t="shared" si="140"/>
        <v>Câu 363.</v>
      </c>
      <c r="H1498" t="str">
        <f t="shared" si="141"/>
        <v>1</v>
      </c>
      <c r="I1498" t="str">
        <f t="shared" si="142"/>
        <v>2</v>
      </c>
      <c r="J1498" t="str">
        <f t="shared" ca="1" si="143"/>
        <v/>
      </c>
    </row>
    <row r="1499" spans="1:10" ht="18.75" x14ac:dyDescent="0.25">
      <c r="A1499" s="11" t="s">
        <v>2618</v>
      </c>
      <c r="B1499">
        <f>IFERROR(COUNTIFS($A$1:A1499,"Câu "&amp;"*")-MID(A1499,5,FIND(".",A1499,1)-5),0)</f>
        <v>0</v>
      </c>
      <c r="C1499" t="b">
        <v>1</v>
      </c>
      <c r="E1499" t="str">
        <f t="shared" si="138"/>
        <v>2</v>
      </c>
      <c r="F1499" t="str">
        <f t="shared" si="139"/>
        <v>Câu 363.</v>
      </c>
      <c r="G1499" t="str">
        <f t="shared" si="140"/>
        <v>1</v>
      </c>
      <c r="H1499" t="str">
        <f t="shared" si="141"/>
        <v>2</v>
      </c>
      <c r="I1499" t="str">
        <f t="shared" si="142"/>
        <v>3</v>
      </c>
      <c r="J1499" t="str">
        <f t="shared" ca="1" si="143"/>
        <v/>
      </c>
    </row>
    <row r="1500" spans="1:10" ht="18.75" x14ac:dyDescent="0.25">
      <c r="A1500" s="10" t="s">
        <v>1179</v>
      </c>
      <c r="B1500">
        <f>IFERROR(COUNTIFS($A$1:A1500,"Câu "&amp;"*")-MID(A1500,5,FIND(".",A1500,1)-5),0)</f>
        <v>0</v>
      </c>
      <c r="C1500" t="b">
        <v>0</v>
      </c>
      <c r="E1500" t="str">
        <f t="shared" si="138"/>
        <v>Câu 363.</v>
      </c>
      <c r="F1500" t="str">
        <f t="shared" si="139"/>
        <v>1</v>
      </c>
      <c r="G1500" t="str">
        <f t="shared" si="140"/>
        <v>2</v>
      </c>
      <c r="H1500" t="str">
        <f t="shared" si="141"/>
        <v>3</v>
      </c>
      <c r="I1500" t="str">
        <f t="shared" si="142"/>
        <v/>
      </c>
      <c r="J1500" t="str">
        <f t="shared" ca="1" si="143"/>
        <v>2</v>
      </c>
    </row>
    <row r="1501" spans="1:10" ht="18.75" x14ac:dyDescent="0.25">
      <c r="A1501" s="11" t="s">
        <v>2603</v>
      </c>
      <c r="B1501">
        <f>IFERROR(COUNTIFS($A$1:A1501,"Câu "&amp;"*")-MID(A1501,5,FIND(".",A1501,1)-5),0)</f>
        <v>0</v>
      </c>
      <c r="C1501" t="b">
        <v>0</v>
      </c>
      <c r="E1501" t="str">
        <f t="shared" si="138"/>
        <v>1</v>
      </c>
      <c r="F1501" t="str">
        <f t="shared" si="139"/>
        <v>2</v>
      </c>
      <c r="G1501" t="str">
        <f t="shared" si="140"/>
        <v>3</v>
      </c>
      <c r="H1501" t="str">
        <f t="shared" si="141"/>
        <v/>
      </c>
      <c r="I1501" t="str">
        <f t="shared" si="142"/>
        <v>1</v>
      </c>
      <c r="J1501" t="str">
        <f t="shared" ca="1" si="143"/>
        <v/>
      </c>
    </row>
    <row r="1502" spans="1:10" ht="18.75" x14ac:dyDescent="0.25">
      <c r="A1502" s="11" t="s">
        <v>2618</v>
      </c>
      <c r="B1502">
        <f>IFERROR(COUNTIFS($A$1:A1502,"Câu "&amp;"*")-MID(A1502,5,FIND(".",A1502,1)-5),0)</f>
        <v>0</v>
      </c>
      <c r="C1502" t="b">
        <v>1</v>
      </c>
      <c r="E1502" t="str">
        <f t="shared" si="138"/>
        <v>2</v>
      </c>
      <c r="F1502" t="str">
        <f t="shared" si="139"/>
        <v>3</v>
      </c>
      <c r="G1502" t="str">
        <f t="shared" si="140"/>
        <v>Câu 364.</v>
      </c>
      <c r="H1502" t="str">
        <f t="shared" si="141"/>
        <v>1</v>
      </c>
      <c r="I1502" t="str">
        <f t="shared" si="142"/>
        <v>2</v>
      </c>
      <c r="J1502" t="str">
        <f t="shared" ca="1" si="143"/>
        <v/>
      </c>
    </row>
    <row r="1503" spans="1:10" ht="18.75" x14ac:dyDescent="0.25">
      <c r="A1503" s="11" t="s">
        <v>2611</v>
      </c>
      <c r="B1503">
        <f>IFERROR(COUNTIFS($A$1:A1503,"Câu "&amp;"*")-MID(A1503,5,FIND(".",A1503,1)-5),0)</f>
        <v>0</v>
      </c>
      <c r="C1503" t="b">
        <v>0</v>
      </c>
      <c r="E1503" t="str">
        <f t="shared" si="138"/>
        <v>3</v>
      </c>
      <c r="F1503" t="str">
        <f t="shared" si="139"/>
        <v>Câu 364.</v>
      </c>
      <c r="G1503" t="str">
        <f t="shared" si="140"/>
        <v>1</v>
      </c>
      <c r="H1503" t="str">
        <f t="shared" si="141"/>
        <v>2</v>
      </c>
      <c r="I1503" t="str">
        <f t="shared" si="142"/>
        <v/>
      </c>
      <c r="J1503" t="str">
        <f t="shared" ca="1" si="143"/>
        <v/>
      </c>
    </row>
    <row r="1504" spans="1:10" ht="18.75" x14ac:dyDescent="0.25">
      <c r="A1504" s="10" t="s">
        <v>1180</v>
      </c>
      <c r="B1504">
        <f>IFERROR(COUNTIFS($A$1:A1504,"Câu "&amp;"*")-MID(A1504,5,FIND(".",A1504,1)-5),0)</f>
        <v>0</v>
      </c>
      <c r="C1504" t="b">
        <v>0</v>
      </c>
      <c r="E1504" t="str">
        <f t="shared" si="138"/>
        <v>Câu 364.</v>
      </c>
      <c r="F1504" t="str">
        <f t="shared" si="139"/>
        <v>1</v>
      </c>
      <c r="G1504" t="str">
        <f t="shared" si="140"/>
        <v>2</v>
      </c>
      <c r="H1504" t="str">
        <f t="shared" si="141"/>
        <v/>
      </c>
      <c r="I1504" t="str">
        <f t="shared" si="142"/>
        <v>1</v>
      </c>
      <c r="J1504" t="str">
        <f t="shared" ca="1" si="143"/>
        <v>1</v>
      </c>
    </row>
    <row r="1505" spans="1:10" ht="18.75" x14ac:dyDescent="0.25">
      <c r="A1505" s="11" t="s">
        <v>2665</v>
      </c>
      <c r="B1505">
        <f>IFERROR(COUNTIFS($A$1:A1505,"Câu "&amp;"*")-MID(A1505,5,FIND(".",A1505,1)-5),0)</f>
        <v>0</v>
      </c>
      <c r="C1505" t="b">
        <v>1</v>
      </c>
      <c r="E1505" t="str">
        <f t="shared" si="138"/>
        <v>1</v>
      </c>
      <c r="F1505" t="str">
        <f t="shared" si="139"/>
        <v>2</v>
      </c>
      <c r="G1505" t="str">
        <f t="shared" si="140"/>
        <v>Câu 365.</v>
      </c>
      <c r="H1505" t="str">
        <f t="shared" si="141"/>
        <v>1</v>
      </c>
      <c r="I1505" t="str">
        <f t="shared" si="142"/>
        <v>2</v>
      </c>
      <c r="J1505" t="str">
        <f t="shared" ca="1" si="143"/>
        <v/>
      </c>
    </row>
    <row r="1506" spans="1:10" ht="18.75" x14ac:dyDescent="0.25">
      <c r="A1506" s="11" t="s">
        <v>2666</v>
      </c>
      <c r="B1506">
        <f>IFERROR(COUNTIFS($A$1:A1506,"Câu "&amp;"*")-MID(A1506,5,FIND(".",A1506,1)-5),0)</f>
        <v>0</v>
      </c>
      <c r="C1506" t="b">
        <v>0</v>
      </c>
      <c r="E1506" t="str">
        <f t="shared" si="138"/>
        <v>2</v>
      </c>
      <c r="F1506" t="str">
        <f t="shared" si="139"/>
        <v>Câu 365.</v>
      </c>
      <c r="G1506" t="str">
        <f t="shared" si="140"/>
        <v>1</v>
      </c>
      <c r="H1506" t="str">
        <f t="shared" si="141"/>
        <v>2</v>
      </c>
      <c r="I1506" t="str">
        <f t="shared" si="142"/>
        <v>3</v>
      </c>
      <c r="J1506" t="str">
        <f t="shared" ca="1" si="143"/>
        <v/>
      </c>
    </row>
    <row r="1507" spans="1:10" ht="18.75" x14ac:dyDescent="0.25">
      <c r="A1507" s="10" t="s">
        <v>1183</v>
      </c>
      <c r="B1507">
        <f>IFERROR(COUNTIFS($A$1:A1507,"Câu "&amp;"*")-MID(A1507,5,FIND(".",A1507,1)-5),0)</f>
        <v>0</v>
      </c>
      <c r="C1507" t="b">
        <v>0</v>
      </c>
      <c r="E1507" t="str">
        <f t="shared" si="138"/>
        <v>Câu 365.</v>
      </c>
      <c r="F1507" t="str">
        <f t="shared" si="139"/>
        <v>1</v>
      </c>
      <c r="G1507" t="str">
        <f t="shared" si="140"/>
        <v>2</v>
      </c>
      <c r="H1507" t="str">
        <f t="shared" si="141"/>
        <v>3</v>
      </c>
      <c r="I1507" t="str">
        <f t="shared" si="142"/>
        <v/>
      </c>
      <c r="J1507" t="str">
        <f t="shared" ca="1" si="143"/>
        <v>2</v>
      </c>
    </row>
    <row r="1508" spans="1:10" ht="18.75" x14ac:dyDescent="0.25">
      <c r="A1508" s="11" t="s">
        <v>2603</v>
      </c>
      <c r="B1508">
        <f>IFERROR(COUNTIFS($A$1:A1508,"Câu "&amp;"*")-MID(A1508,5,FIND(".",A1508,1)-5),0)</f>
        <v>0</v>
      </c>
      <c r="C1508" t="b">
        <v>0</v>
      </c>
      <c r="E1508" t="str">
        <f t="shared" si="138"/>
        <v>1</v>
      </c>
      <c r="F1508" t="str">
        <f t="shared" si="139"/>
        <v>2</v>
      </c>
      <c r="G1508" t="str">
        <f t="shared" si="140"/>
        <v>3</v>
      </c>
      <c r="H1508" t="str">
        <f t="shared" si="141"/>
        <v/>
      </c>
      <c r="I1508" t="str">
        <f t="shared" si="142"/>
        <v>1</v>
      </c>
      <c r="J1508" t="str">
        <f t="shared" ca="1" si="143"/>
        <v/>
      </c>
    </row>
    <row r="1509" spans="1:10" ht="18.75" x14ac:dyDescent="0.25">
      <c r="A1509" s="11" t="s">
        <v>2618</v>
      </c>
      <c r="B1509">
        <f>IFERROR(COUNTIFS($A$1:A1509,"Câu "&amp;"*")-MID(A1509,5,FIND(".",A1509,1)-5),0)</f>
        <v>0</v>
      </c>
      <c r="C1509" t="b">
        <v>1</v>
      </c>
      <c r="E1509" t="str">
        <f t="shared" si="138"/>
        <v>2</v>
      </c>
      <c r="F1509" t="str">
        <f t="shared" si="139"/>
        <v>3</v>
      </c>
      <c r="G1509" t="str">
        <f t="shared" si="140"/>
        <v>Câu 366.</v>
      </c>
      <c r="H1509" t="str">
        <f t="shared" si="141"/>
        <v>1</v>
      </c>
      <c r="I1509" t="str">
        <f t="shared" si="142"/>
        <v>2</v>
      </c>
      <c r="J1509" t="str">
        <f t="shared" ca="1" si="143"/>
        <v/>
      </c>
    </row>
    <row r="1510" spans="1:10" ht="18.75" x14ac:dyDescent="0.25">
      <c r="A1510" s="11" t="s">
        <v>2622</v>
      </c>
      <c r="B1510">
        <f>IFERROR(COUNTIFS($A$1:A1510,"Câu "&amp;"*")-MID(A1510,5,FIND(".",A1510,1)-5),0)</f>
        <v>0</v>
      </c>
      <c r="C1510" t="b">
        <v>0</v>
      </c>
      <c r="E1510" t="str">
        <f t="shared" si="138"/>
        <v>3</v>
      </c>
      <c r="F1510" t="str">
        <f t="shared" si="139"/>
        <v>Câu 366.</v>
      </c>
      <c r="G1510" t="str">
        <f t="shared" si="140"/>
        <v>1</v>
      </c>
      <c r="H1510" t="str">
        <f t="shared" si="141"/>
        <v>2</v>
      </c>
      <c r="I1510" t="str">
        <f t="shared" si="142"/>
        <v/>
      </c>
      <c r="J1510" t="str">
        <f t="shared" ca="1" si="143"/>
        <v/>
      </c>
    </row>
    <row r="1511" spans="1:10" ht="18.75" x14ac:dyDescent="0.25">
      <c r="A1511" s="10" t="s">
        <v>1184</v>
      </c>
      <c r="B1511">
        <f>IFERROR(COUNTIFS($A$1:A1511,"Câu "&amp;"*")-MID(A1511,5,FIND(".",A1511,1)-5),0)</f>
        <v>0</v>
      </c>
      <c r="C1511" t="b">
        <v>0</v>
      </c>
      <c r="E1511" t="str">
        <f t="shared" si="138"/>
        <v>Câu 366.</v>
      </c>
      <c r="F1511" t="str">
        <f t="shared" si="139"/>
        <v>1</v>
      </c>
      <c r="G1511" t="str">
        <f t="shared" si="140"/>
        <v>2</v>
      </c>
      <c r="H1511" t="str">
        <f t="shared" si="141"/>
        <v/>
      </c>
      <c r="I1511" t="str">
        <f t="shared" si="142"/>
        <v>1</v>
      </c>
      <c r="J1511" t="str">
        <f t="shared" ca="1" si="143"/>
        <v>2</v>
      </c>
    </row>
    <row r="1512" spans="1:10" ht="18.75" x14ac:dyDescent="0.25">
      <c r="A1512" s="11" t="s">
        <v>2667</v>
      </c>
      <c r="B1512">
        <f>IFERROR(COUNTIFS($A$1:A1512,"Câu "&amp;"*")-MID(A1512,5,FIND(".",A1512,1)-5),0)</f>
        <v>0</v>
      </c>
      <c r="C1512" t="b">
        <v>0</v>
      </c>
      <c r="E1512" t="str">
        <f t="shared" si="138"/>
        <v>1</v>
      </c>
      <c r="F1512" t="str">
        <f t="shared" si="139"/>
        <v>2</v>
      </c>
      <c r="G1512" t="str">
        <f t="shared" si="140"/>
        <v>Câu 367.</v>
      </c>
      <c r="H1512" t="str">
        <f t="shared" si="141"/>
        <v>1</v>
      </c>
      <c r="I1512" t="str">
        <f t="shared" si="142"/>
        <v>2</v>
      </c>
      <c r="J1512" t="str">
        <f t="shared" ca="1" si="143"/>
        <v/>
      </c>
    </row>
    <row r="1513" spans="1:10" ht="18.75" x14ac:dyDescent="0.25">
      <c r="A1513" s="11" t="s">
        <v>2668</v>
      </c>
      <c r="B1513">
        <f>IFERROR(COUNTIFS($A$1:A1513,"Câu "&amp;"*")-MID(A1513,5,FIND(".",A1513,1)-5),0)</f>
        <v>0</v>
      </c>
      <c r="C1513" t="b">
        <v>1</v>
      </c>
      <c r="E1513" t="str">
        <f t="shared" si="138"/>
        <v>2</v>
      </c>
      <c r="F1513" t="str">
        <f t="shared" si="139"/>
        <v>Câu 367.</v>
      </c>
      <c r="G1513" t="str">
        <f t="shared" si="140"/>
        <v>1</v>
      </c>
      <c r="H1513" t="str">
        <f t="shared" si="141"/>
        <v>2</v>
      </c>
      <c r="I1513" t="str">
        <f t="shared" si="142"/>
        <v>3</v>
      </c>
      <c r="J1513" t="str">
        <f t="shared" ca="1" si="143"/>
        <v/>
      </c>
    </row>
    <row r="1514" spans="1:10" ht="18.75" x14ac:dyDescent="0.25">
      <c r="A1514" s="10" t="s">
        <v>1187</v>
      </c>
      <c r="B1514">
        <f>IFERROR(COUNTIFS($A$1:A1514,"Câu "&amp;"*")-MID(A1514,5,FIND(".",A1514,1)-5),0)</f>
        <v>0</v>
      </c>
      <c r="C1514" t="b">
        <v>0</v>
      </c>
      <c r="E1514" t="str">
        <f t="shared" si="138"/>
        <v>Câu 367.</v>
      </c>
      <c r="F1514" t="str">
        <f t="shared" si="139"/>
        <v>1</v>
      </c>
      <c r="G1514" t="str">
        <f t="shared" si="140"/>
        <v>2</v>
      </c>
      <c r="H1514" t="str">
        <f t="shared" si="141"/>
        <v>3</v>
      </c>
      <c r="I1514" t="str">
        <f t="shared" si="142"/>
        <v/>
      </c>
      <c r="J1514" t="str">
        <f t="shared" ca="1" si="143"/>
        <v>1</v>
      </c>
    </row>
    <row r="1515" spans="1:10" ht="18.75" x14ac:dyDescent="0.25">
      <c r="A1515" s="11" t="s">
        <v>2599</v>
      </c>
      <c r="B1515">
        <f>IFERROR(COUNTIFS($A$1:A1515,"Câu "&amp;"*")-MID(A1515,5,FIND(".",A1515,1)-5),0)</f>
        <v>0</v>
      </c>
      <c r="C1515" t="b">
        <v>1</v>
      </c>
      <c r="E1515" t="str">
        <f t="shared" si="138"/>
        <v>1</v>
      </c>
      <c r="F1515" t="str">
        <f t="shared" si="139"/>
        <v>2</v>
      </c>
      <c r="G1515" t="str">
        <f t="shared" si="140"/>
        <v>3</v>
      </c>
      <c r="H1515" t="str">
        <f t="shared" si="141"/>
        <v/>
      </c>
      <c r="I1515" t="str">
        <f t="shared" si="142"/>
        <v>1</v>
      </c>
      <c r="J1515" t="str">
        <f t="shared" ca="1" si="143"/>
        <v/>
      </c>
    </row>
    <row r="1516" spans="1:10" ht="18.75" x14ac:dyDescent="0.25">
      <c r="A1516" s="11" t="s">
        <v>2600</v>
      </c>
      <c r="B1516">
        <f>IFERROR(COUNTIFS($A$1:A1516,"Câu "&amp;"*")-MID(A1516,5,FIND(".",A1516,1)-5),0)</f>
        <v>0</v>
      </c>
      <c r="C1516" t="b">
        <v>0</v>
      </c>
      <c r="E1516" t="str">
        <f t="shared" si="138"/>
        <v>2</v>
      </c>
      <c r="F1516" t="str">
        <f t="shared" si="139"/>
        <v>3</v>
      </c>
      <c r="G1516" t="str">
        <f t="shared" si="140"/>
        <v>Câu 368.</v>
      </c>
      <c r="H1516" t="str">
        <f t="shared" si="141"/>
        <v>1</v>
      </c>
      <c r="I1516" t="str">
        <f t="shared" si="142"/>
        <v>2</v>
      </c>
      <c r="J1516" t="str">
        <f t="shared" ca="1" si="143"/>
        <v/>
      </c>
    </row>
    <row r="1517" spans="1:10" ht="18.75" x14ac:dyDescent="0.25">
      <c r="A1517" s="11" t="s">
        <v>2611</v>
      </c>
      <c r="B1517">
        <f>IFERROR(COUNTIFS($A$1:A1517,"Câu "&amp;"*")-MID(A1517,5,FIND(".",A1517,1)-5),0)</f>
        <v>0</v>
      </c>
      <c r="C1517" t="b">
        <v>0</v>
      </c>
      <c r="E1517" t="str">
        <f t="shared" si="138"/>
        <v>3</v>
      </c>
      <c r="F1517" t="str">
        <f t="shared" si="139"/>
        <v>Câu 368.</v>
      </c>
      <c r="G1517" t="str">
        <f t="shared" si="140"/>
        <v>1</v>
      </c>
      <c r="H1517" t="str">
        <f t="shared" si="141"/>
        <v>2</v>
      </c>
      <c r="I1517" t="str">
        <f t="shared" si="142"/>
        <v>3</v>
      </c>
      <c r="J1517" t="str">
        <f t="shared" ca="1" si="143"/>
        <v/>
      </c>
    </row>
    <row r="1518" spans="1:10" ht="18.75" x14ac:dyDescent="0.25">
      <c r="A1518" s="10" t="s">
        <v>1188</v>
      </c>
      <c r="B1518">
        <f>IFERROR(COUNTIFS($A$1:A1518,"Câu "&amp;"*")-MID(A1518,5,FIND(".",A1518,1)-5),0)</f>
        <v>0</v>
      </c>
      <c r="C1518" t="b">
        <v>0</v>
      </c>
      <c r="E1518" t="str">
        <f t="shared" si="138"/>
        <v>Câu 368.</v>
      </c>
      <c r="F1518" t="str">
        <f t="shared" si="139"/>
        <v>1</v>
      </c>
      <c r="G1518" t="str">
        <f t="shared" si="140"/>
        <v>2</v>
      </c>
      <c r="H1518" t="str">
        <f t="shared" si="141"/>
        <v>3</v>
      </c>
      <c r="I1518" t="str">
        <f t="shared" si="142"/>
        <v>4</v>
      </c>
      <c r="J1518" t="str">
        <f t="shared" ca="1" si="143"/>
        <v>3</v>
      </c>
    </row>
    <row r="1519" spans="1:10" ht="18.75" x14ac:dyDescent="0.25">
      <c r="A1519" s="11" t="s">
        <v>2603</v>
      </c>
      <c r="B1519">
        <f>IFERROR(COUNTIFS($A$1:A1519,"Câu "&amp;"*")-MID(A1519,5,FIND(".",A1519,1)-5),0)</f>
        <v>0</v>
      </c>
      <c r="C1519" t="b">
        <v>0</v>
      </c>
      <c r="E1519" t="str">
        <f t="shared" si="138"/>
        <v>1</v>
      </c>
      <c r="F1519" t="str">
        <f t="shared" si="139"/>
        <v>2</v>
      </c>
      <c r="G1519" t="str">
        <f t="shared" si="140"/>
        <v>3</v>
      </c>
      <c r="H1519" t="str">
        <f t="shared" si="141"/>
        <v>4</v>
      </c>
      <c r="I1519" t="str">
        <f t="shared" si="142"/>
        <v/>
      </c>
      <c r="J1519" t="str">
        <f t="shared" ca="1" si="143"/>
        <v/>
      </c>
    </row>
    <row r="1520" spans="1:10" ht="18.75" x14ac:dyDescent="0.25">
      <c r="A1520" s="11" t="s">
        <v>2608</v>
      </c>
      <c r="B1520">
        <f>IFERROR(COUNTIFS($A$1:A1520,"Câu "&amp;"*")-MID(A1520,5,FIND(".",A1520,1)-5),0)</f>
        <v>0</v>
      </c>
      <c r="C1520" t="b">
        <v>0</v>
      </c>
      <c r="E1520" t="str">
        <f t="shared" si="138"/>
        <v>2</v>
      </c>
      <c r="F1520" t="str">
        <f t="shared" si="139"/>
        <v>3</v>
      </c>
      <c r="G1520" t="str">
        <f t="shared" si="140"/>
        <v>4</v>
      </c>
      <c r="H1520" t="str">
        <f t="shared" si="141"/>
        <v/>
      </c>
      <c r="I1520" t="str">
        <f t="shared" si="142"/>
        <v>1</v>
      </c>
      <c r="J1520" t="str">
        <f t="shared" ca="1" si="143"/>
        <v/>
      </c>
    </row>
    <row r="1521" spans="1:10" ht="18.75" x14ac:dyDescent="0.25">
      <c r="A1521" s="11" t="s">
        <v>2628</v>
      </c>
      <c r="B1521">
        <f>IFERROR(COUNTIFS($A$1:A1521,"Câu "&amp;"*")-MID(A1521,5,FIND(".",A1521,1)-5),0)</f>
        <v>0</v>
      </c>
      <c r="C1521" t="b">
        <v>1</v>
      </c>
      <c r="E1521" t="str">
        <f t="shared" si="138"/>
        <v>3</v>
      </c>
      <c r="F1521" t="str">
        <f t="shared" si="139"/>
        <v>4</v>
      </c>
      <c r="G1521" t="str">
        <f t="shared" si="140"/>
        <v>Câu 369.</v>
      </c>
      <c r="H1521" t="str">
        <f t="shared" si="141"/>
        <v>1</v>
      </c>
      <c r="I1521" t="str">
        <f t="shared" si="142"/>
        <v>2</v>
      </c>
      <c r="J1521" t="str">
        <f t="shared" ca="1" si="143"/>
        <v/>
      </c>
    </row>
    <row r="1522" spans="1:10" ht="18.75" x14ac:dyDescent="0.25">
      <c r="A1522" s="11" t="s">
        <v>2606</v>
      </c>
      <c r="B1522">
        <f>IFERROR(COUNTIFS($A$1:A1522,"Câu "&amp;"*")-MID(A1522,5,FIND(".",A1522,1)-5),0)</f>
        <v>0</v>
      </c>
      <c r="C1522" t="b">
        <v>0</v>
      </c>
      <c r="E1522" t="str">
        <f t="shared" si="138"/>
        <v>4</v>
      </c>
      <c r="F1522" t="str">
        <f t="shared" si="139"/>
        <v>Câu 369.</v>
      </c>
      <c r="G1522" t="str">
        <f t="shared" si="140"/>
        <v>1</v>
      </c>
      <c r="H1522" t="str">
        <f t="shared" si="141"/>
        <v>2</v>
      </c>
      <c r="I1522" t="str">
        <f t="shared" si="142"/>
        <v>3</v>
      </c>
      <c r="J1522" t="str">
        <f t="shared" ca="1" si="143"/>
        <v/>
      </c>
    </row>
    <row r="1523" spans="1:10" ht="18.75" x14ac:dyDescent="0.25">
      <c r="A1523" s="10" t="s">
        <v>1189</v>
      </c>
      <c r="B1523">
        <f>IFERROR(COUNTIFS($A$1:A1523,"Câu "&amp;"*")-MID(A1523,5,FIND(".",A1523,1)-5),0)</f>
        <v>0</v>
      </c>
      <c r="C1523" t="b">
        <v>0</v>
      </c>
      <c r="E1523" t="str">
        <f t="shared" si="138"/>
        <v>Câu 369.</v>
      </c>
      <c r="F1523" t="str">
        <f t="shared" si="139"/>
        <v>1</v>
      </c>
      <c r="G1523" t="str">
        <f t="shared" si="140"/>
        <v>2</v>
      </c>
      <c r="H1523" t="str">
        <f t="shared" si="141"/>
        <v>3</v>
      </c>
      <c r="I1523" t="str">
        <f t="shared" si="142"/>
        <v/>
      </c>
      <c r="J1523" t="str">
        <f t="shared" ca="1" si="143"/>
        <v>1</v>
      </c>
    </row>
    <row r="1524" spans="1:10" ht="18.75" x14ac:dyDescent="0.25">
      <c r="A1524" s="11" t="s">
        <v>2599</v>
      </c>
      <c r="B1524">
        <f>IFERROR(COUNTIFS($A$1:A1524,"Câu "&amp;"*")-MID(A1524,5,FIND(".",A1524,1)-5),0)</f>
        <v>0</v>
      </c>
      <c r="C1524" t="b">
        <v>1</v>
      </c>
      <c r="E1524" t="str">
        <f t="shared" si="138"/>
        <v>1</v>
      </c>
      <c r="F1524" t="str">
        <f t="shared" si="139"/>
        <v>2</v>
      </c>
      <c r="G1524" t="str">
        <f t="shared" si="140"/>
        <v>3</v>
      </c>
      <c r="H1524" t="str">
        <f t="shared" si="141"/>
        <v/>
      </c>
      <c r="I1524" t="str">
        <f t="shared" si="142"/>
        <v>1</v>
      </c>
      <c r="J1524" t="str">
        <f t="shared" ca="1" si="143"/>
        <v/>
      </c>
    </row>
    <row r="1525" spans="1:10" ht="18.75" x14ac:dyDescent="0.25">
      <c r="A1525" s="11" t="s">
        <v>2600</v>
      </c>
      <c r="B1525">
        <f>IFERROR(COUNTIFS($A$1:A1525,"Câu "&amp;"*")-MID(A1525,5,FIND(".",A1525,1)-5),0)</f>
        <v>0</v>
      </c>
      <c r="C1525" t="b">
        <v>0</v>
      </c>
      <c r="E1525" t="str">
        <f t="shared" si="138"/>
        <v>2</v>
      </c>
      <c r="F1525" t="str">
        <f t="shared" si="139"/>
        <v>3</v>
      </c>
      <c r="G1525" t="str">
        <f t="shared" si="140"/>
        <v>Câu 370.</v>
      </c>
      <c r="H1525" t="str">
        <f t="shared" si="141"/>
        <v>1</v>
      </c>
      <c r="I1525" t="str">
        <f t="shared" si="142"/>
        <v>2</v>
      </c>
      <c r="J1525" t="str">
        <f t="shared" ca="1" si="143"/>
        <v/>
      </c>
    </row>
    <row r="1526" spans="1:10" ht="18.75" x14ac:dyDescent="0.25">
      <c r="A1526" s="11" t="s">
        <v>2611</v>
      </c>
      <c r="B1526">
        <f>IFERROR(COUNTIFS($A$1:A1526,"Câu "&amp;"*")-MID(A1526,5,FIND(".",A1526,1)-5),0)</f>
        <v>0</v>
      </c>
      <c r="C1526" t="b">
        <v>0</v>
      </c>
      <c r="E1526" t="str">
        <f t="shared" si="138"/>
        <v>3</v>
      </c>
      <c r="F1526" t="str">
        <f t="shared" si="139"/>
        <v>Câu 370.</v>
      </c>
      <c r="G1526" t="str">
        <f t="shared" si="140"/>
        <v>1</v>
      </c>
      <c r="H1526" t="str">
        <f t="shared" si="141"/>
        <v>2</v>
      </c>
      <c r="I1526" t="str">
        <f t="shared" si="142"/>
        <v>3</v>
      </c>
      <c r="J1526" t="str">
        <f t="shared" ca="1" si="143"/>
        <v/>
      </c>
    </row>
    <row r="1527" spans="1:10" ht="18.75" x14ac:dyDescent="0.25">
      <c r="A1527" s="10" t="s">
        <v>1190</v>
      </c>
      <c r="B1527">
        <f>IFERROR(COUNTIFS($A$1:A1527,"Câu "&amp;"*")-MID(A1527,5,FIND(".",A1527,1)-5),0)</f>
        <v>0</v>
      </c>
      <c r="C1527" t="b">
        <v>0</v>
      </c>
      <c r="E1527" t="str">
        <f t="shared" si="138"/>
        <v>Câu 370.</v>
      </c>
      <c r="F1527" t="str">
        <f t="shared" si="139"/>
        <v>1</v>
      </c>
      <c r="G1527" t="str">
        <f t="shared" si="140"/>
        <v>2</v>
      </c>
      <c r="H1527" t="str">
        <f t="shared" si="141"/>
        <v>3</v>
      </c>
      <c r="I1527" t="str">
        <f t="shared" si="142"/>
        <v>4</v>
      </c>
      <c r="J1527" t="str">
        <f t="shared" ca="1" si="143"/>
        <v>4</v>
      </c>
    </row>
    <row r="1528" spans="1:10" ht="18.75" x14ac:dyDescent="0.25">
      <c r="A1528" s="11" t="s">
        <v>2603</v>
      </c>
      <c r="B1528">
        <f>IFERROR(COUNTIFS($A$1:A1528,"Câu "&amp;"*")-MID(A1528,5,FIND(".",A1528,1)-5),0)</f>
        <v>0</v>
      </c>
      <c r="C1528" t="b">
        <v>0</v>
      </c>
      <c r="E1528" t="str">
        <f t="shared" si="138"/>
        <v>1</v>
      </c>
      <c r="F1528" t="str">
        <f t="shared" si="139"/>
        <v>2</v>
      </c>
      <c r="G1528" t="str">
        <f t="shared" si="140"/>
        <v>3</v>
      </c>
      <c r="H1528" t="str">
        <f t="shared" si="141"/>
        <v>4</v>
      </c>
      <c r="I1528" t="str">
        <f t="shared" si="142"/>
        <v/>
      </c>
      <c r="J1528" t="str">
        <f t="shared" ca="1" si="143"/>
        <v/>
      </c>
    </row>
    <row r="1529" spans="1:10" ht="18.75" x14ac:dyDescent="0.25">
      <c r="A1529" s="11" t="s">
        <v>2613</v>
      </c>
      <c r="B1529">
        <f>IFERROR(COUNTIFS($A$1:A1529,"Câu "&amp;"*")-MID(A1529,5,FIND(".",A1529,1)-5),0)</f>
        <v>0</v>
      </c>
      <c r="C1529" t="b">
        <v>0</v>
      </c>
      <c r="E1529" t="str">
        <f t="shared" si="138"/>
        <v>2</v>
      </c>
      <c r="F1529" t="str">
        <f t="shared" si="139"/>
        <v>3</v>
      </c>
      <c r="G1529" t="str">
        <f t="shared" si="140"/>
        <v>4</v>
      </c>
      <c r="H1529" t="str">
        <f t="shared" si="141"/>
        <v/>
      </c>
      <c r="I1529" t="str">
        <f t="shared" si="142"/>
        <v>1</v>
      </c>
      <c r="J1529" t="str">
        <f t="shared" ca="1" si="143"/>
        <v/>
      </c>
    </row>
    <row r="1530" spans="1:10" ht="18.75" x14ac:dyDescent="0.25">
      <c r="A1530" s="11" t="s">
        <v>2609</v>
      </c>
      <c r="B1530">
        <f>IFERROR(COUNTIFS($A$1:A1530,"Câu "&amp;"*")-MID(A1530,5,FIND(".",A1530,1)-5),0)</f>
        <v>0</v>
      </c>
      <c r="C1530" t="b">
        <v>0</v>
      </c>
      <c r="E1530" t="str">
        <f t="shared" si="138"/>
        <v>3</v>
      </c>
      <c r="F1530" t="str">
        <f t="shared" si="139"/>
        <v>4</v>
      </c>
      <c r="G1530" t="str">
        <f t="shared" si="140"/>
        <v>Câu 371.</v>
      </c>
      <c r="H1530" t="str">
        <f t="shared" si="141"/>
        <v>1</v>
      </c>
      <c r="I1530" t="str">
        <f t="shared" si="142"/>
        <v>2</v>
      </c>
      <c r="J1530" t="str">
        <f t="shared" ca="1" si="143"/>
        <v/>
      </c>
    </row>
    <row r="1531" spans="1:10" ht="18.75" x14ac:dyDescent="0.25">
      <c r="A1531" s="11" t="s">
        <v>2669</v>
      </c>
      <c r="B1531">
        <f>IFERROR(COUNTIFS($A$1:A1531,"Câu "&amp;"*")-MID(A1531,5,FIND(".",A1531,1)-5),0)</f>
        <v>0</v>
      </c>
      <c r="C1531" t="b">
        <v>1</v>
      </c>
      <c r="E1531" t="str">
        <f t="shared" si="138"/>
        <v>4</v>
      </c>
      <c r="F1531" t="str">
        <f t="shared" si="139"/>
        <v>Câu 371.</v>
      </c>
      <c r="G1531" t="str">
        <f t="shared" si="140"/>
        <v>1</v>
      </c>
      <c r="H1531" t="str">
        <f t="shared" si="141"/>
        <v>2</v>
      </c>
      <c r="I1531" t="str">
        <f t="shared" si="142"/>
        <v>3</v>
      </c>
      <c r="J1531" t="str">
        <f t="shared" ca="1" si="143"/>
        <v/>
      </c>
    </row>
    <row r="1532" spans="1:10" ht="18.75" x14ac:dyDescent="0.25">
      <c r="A1532" s="10" t="s">
        <v>1192</v>
      </c>
      <c r="B1532">
        <f>IFERROR(COUNTIFS($A$1:A1532,"Câu "&amp;"*")-MID(A1532,5,FIND(".",A1532,1)-5),0)</f>
        <v>0</v>
      </c>
      <c r="C1532" t="b">
        <v>0</v>
      </c>
      <c r="E1532" t="str">
        <f t="shared" si="138"/>
        <v>Câu 371.</v>
      </c>
      <c r="F1532" t="str">
        <f t="shared" si="139"/>
        <v>1</v>
      </c>
      <c r="G1532" t="str">
        <f t="shared" si="140"/>
        <v>2</v>
      </c>
      <c r="H1532" t="str">
        <f t="shared" si="141"/>
        <v>3</v>
      </c>
      <c r="I1532" t="str">
        <f t="shared" si="142"/>
        <v/>
      </c>
      <c r="J1532" t="str">
        <f t="shared" ca="1" si="143"/>
        <v>1</v>
      </c>
    </row>
    <row r="1533" spans="1:10" ht="18.75" x14ac:dyDescent="0.25">
      <c r="A1533" s="11" t="s">
        <v>2599</v>
      </c>
      <c r="B1533">
        <f>IFERROR(COUNTIFS($A$1:A1533,"Câu "&amp;"*")-MID(A1533,5,FIND(".",A1533,1)-5),0)</f>
        <v>0</v>
      </c>
      <c r="C1533" t="b">
        <v>1</v>
      </c>
      <c r="E1533" t="str">
        <f t="shared" si="138"/>
        <v>1</v>
      </c>
      <c r="F1533" t="str">
        <f t="shared" si="139"/>
        <v>2</v>
      </c>
      <c r="G1533" t="str">
        <f t="shared" si="140"/>
        <v>3</v>
      </c>
      <c r="H1533" t="str">
        <f t="shared" si="141"/>
        <v/>
      </c>
      <c r="I1533" t="str">
        <f t="shared" si="142"/>
        <v>1</v>
      </c>
      <c r="J1533" t="str">
        <f t="shared" ca="1" si="143"/>
        <v/>
      </c>
    </row>
    <row r="1534" spans="1:10" ht="18.75" x14ac:dyDescent="0.25">
      <c r="A1534" s="11" t="s">
        <v>2642</v>
      </c>
      <c r="B1534">
        <f>IFERROR(COUNTIFS($A$1:A1534,"Câu "&amp;"*")-MID(A1534,5,FIND(".",A1534,1)-5),0)</f>
        <v>0</v>
      </c>
      <c r="C1534" t="b">
        <v>0</v>
      </c>
      <c r="E1534" t="str">
        <f t="shared" si="138"/>
        <v>2</v>
      </c>
      <c r="F1534" t="str">
        <f t="shared" si="139"/>
        <v>3</v>
      </c>
      <c r="G1534" t="str">
        <f t="shared" si="140"/>
        <v>Câu 372.</v>
      </c>
      <c r="H1534" t="str">
        <f t="shared" si="141"/>
        <v>1</v>
      </c>
      <c r="I1534" t="str">
        <f t="shared" si="142"/>
        <v>2</v>
      </c>
      <c r="J1534" t="str">
        <f t="shared" ca="1" si="143"/>
        <v/>
      </c>
    </row>
    <row r="1535" spans="1:10" ht="18.75" x14ac:dyDescent="0.25">
      <c r="A1535" s="11" t="s">
        <v>2611</v>
      </c>
      <c r="B1535">
        <f>IFERROR(COUNTIFS($A$1:A1535,"Câu "&amp;"*")-MID(A1535,5,FIND(".",A1535,1)-5),0)</f>
        <v>0</v>
      </c>
      <c r="C1535" t="b">
        <v>0</v>
      </c>
      <c r="E1535" t="str">
        <f t="shared" si="138"/>
        <v>3</v>
      </c>
      <c r="F1535" t="str">
        <f t="shared" si="139"/>
        <v>Câu 372.</v>
      </c>
      <c r="G1535" t="str">
        <f t="shared" si="140"/>
        <v>1</v>
      </c>
      <c r="H1535" t="str">
        <f t="shared" si="141"/>
        <v>2</v>
      </c>
      <c r="I1535" t="str">
        <f t="shared" si="142"/>
        <v>3</v>
      </c>
      <c r="J1535" t="str">
        <f t="shared" ca="1" si="143"/>
        <v/>
      </c>
    </row>
    <row r="1536" spans="1:10" ht="18.75" x14ac:dyDescent="0.25">
      <c r="A1536" s="10" t="s">
        <v>1193</v>
      </c>
      <c r="B1536">
        <f>IFERROR(COUNTIFS($A$1:A1536,"Câu "&amp;"*")-MID(A1536,5,FIND(".",A1536,1)-5),0)</f>
        <v>0</v>
      </c>
      <c r="C1536" t="b">
        <v>0</v>
      </c>
      <c r="E1536" t="str">
        <f t="shared" si="138"/>
        <v>Câu 372.</v>
      </c>
      <c r="F1536" t="str">
        <f t="shared" si="139"/>
        <v>1</v>
      </c>
      <c r="G1536" t="str">
        <f t="shared" si="140"/>
        <v>2</v>
      </c>
      <c r="H1536" t="str">
        <f t="shared" si="141"/>
        <v>3</v>
      </c>
      <c r="I1536" t="str">
        <f t="shared" si="142"/>
        <v>4</v>
      </c>
      <c r="J1536" t="str">
        <f t="shared" ca="1" si="143"/>
        <v>3</v>
      </c>
    </row>
    <row r="1537" spans="1:10" ht="18.75" x14ac:dyDescent="0.25">
      <c r="A1537" s="11" t="s">
        <v>2603</v>
      </c>
      <c r="B1537">
        <f>IFERROR(COUNTIFS($A$1:A1537,"Câu "&amp;"*")-MID(A1537,5,FIND(".",A1537,1)-5),0)</f>
        <v>0</v>
      </c>
      <c r="C1537" t="b">
        <v>0</v>
      </c>
      <c r="E1537" t="str">
        <f t="shared" si="138"/>
        <v>1</v>
      </c>
      <c r="F1537" t="str">
        <f t="shared" si="139"/>
        <v>2</v>
      </c>
      <c r="G1537" t="str">
        <f t="shared" si="140"/>
        <v>3</v>
      </c>
      <c r="H1537" t="str">
        <f t="shared" si="141"/>
        <v>4</v>
      </c>
      <c r="I1537" t="str">
        <f t="shared" si="142"/>
        <v/>
      </c>
      <c r="J1537" t="str">
        <f t="shared" ca="1" si="143"/>
        <v/>
      </c>
    </row>
    <row r="1538" spans="1:10" ht="18.75" x14ac:dyDescent="0.25">
      <c r="A1538" s="11" t="s">
        <v>2600</v>
      </c>
      <c r="B1538">
        <f>IFERROR(COUNTIFS($A$1:A1538,"Câu "&amp;"*")-MID(A1538,5,FIND(".",A1538,1)-5),0)</f>
        <v>0</v>
      </c>
      <c r="C1538" t="b">
        <v>0</v>
      </c>
      <c r="E1538" t="str">
        <f t="shared" si="138"/>
        <v>2</v>
      </c>
      <c r="F1538" t="str">
        <f t="shared" si="139"/>
        <v>3</v>
      </c>
      <c r="G1538" t="str">
        <f t="shared" si="140"/>
        <v>4</v>
      </c>
      <c r="H1538" t="str">
        <f t="shared" si="141"/>
        <v/>
      </c>
      <c r="I1538" t="str">
        <f t="shared" si="142"/>
        <v>1</v>
      </c>
      <c r="J1538" t="str">
        <f t="shared" ca="1" si="143"/>
        <v/>
      </c>
    </row>
    <row r="1539" spans="1:10" ht="18.75" x14ac:dyDescent="0.25">
      <c r="A1539" s="11" t="s">
        <v>2628</v>
      </c>
      <c r="B1539">
        <f>IFERROR(COUNTIFS($A$1:A1539,"Câu "&amp;"*")-MID(A1539,5,FIND(".",A1539,1)-5),0)</f>
        <v>0</v>
      </c>
      <c r="C1539" t="b">
        <v>1</v>
      </c>
      <c r="E1539" t="str">
        <f t="shared" ref="E1539:E1602" si="144">IF(LEFT(A1539,3)="Câu",LEFT(A1539,FIND(".",A1539,1)),LEFT(A1539,1))</f>
        <v>3</v>
      </c>
      <c r="F1539" t="str">
        <f t="shared" ref="F1539:F1602" si="145">IF(LEFT(A1540,3)="Câu",LEFT(A1540,FIND(".",A1540,1)),LEFT(A1540,1))</f>
        <v>4</v>
      </c>
      <c r="G1539" t="str">
        <f t="shared" ref="G1539:G1602" si="146">IF(LEFT(A1541,3)="Câu",LEFT(A1541,FIND(".",A1541,1)),LEFT(A1541,1))</f>
        <v>Câu 373.</v>
      </c>
      <c r="H1539" t="str">
        <f t="shared" ref="H1539:H1602" si="147">IF(LEFT(A1542,3)="Câu","",LEFT(A1542,1))</f>
        <v>1</v>
      </c>
      <c r="I1539" t="str">
        <f t="shared" ref="I1539:I1602" si="148">IF(LEFT(A1543,3)="Câu","",LEFT(A1543,1))</f>
        <v>2</v>
      </c>
      <c r="J1539" t="str">
        <f t="shared" ref="J1539:J1602" ca="1" si="149">IFERROR(VLOOKUP(TRUE,INDIRECT("C"&amp;MATCH(E1539,$E$1:$E$2471,0)&amp;":E"&amp;MATCH("Câu "&amp;VALUE(MID(E1539,5,LEN(E1539)-5))+1&amp;".",$E$1:$E$2471,0)),3,0),"")</f>
        <v/>
      </c>
    </row>
    <row r="1540" spans="1:10" ht="18.75" x14ac:dyDescent="0.25">
      <c r="A1540" s="11" t="s">
        <v>2606</v>
      </c>
      <c r="B1540">
        <f>IFERROR(COUNTIFS($A$1:A1540,"Câu "&amp;"*")-MID(A1540,5,FIND(".",A1540,1)-5),0)</f>
        <v>0</v>
      </c>
      <c r="C1540" t="b">
        <v>0</v>
      </c>
      <c r="E1540" t="str">
        <f t="shared" si="144"/>
        <v>4</v>
      </c>
      <c r="F1540" t="str">
        <f t="shared" si="145"/>
        <v>Câu 373.</v>
      </c>
      <c r="G1540" t="str">
        <f t="shared" si="146"/>
        <v>1</v>
      </c>
      <c r="H1540" t="str">
        <f t="shared" si="147"/>
        <v>2</v>
      </c>
      <c r="I1540" t="str">
        <f t="shared" si="148"/>
        <v>3</v>
      </c>
      <c r="J1540" t="str">
        <f t="shared" ca="1" si="149"/>
        <v/>
      </c>
    </row>
    <row r="1541" spans="1:10" ht="18.75" x14ac:dyDescent="0.25">
      <c r="A1541" s="10" t="s">
        <v>1194</v>
      </c>
      <c r="B1541">
        <f>IFERROR(COUNTIFS($A$1:A1541,"Câu "&amp;"*")-MID(A1541,5,FIND(".",A1541,1)-5),0)</f>
        <v>0</v>
      </c>
      <c r="C1541" t="b">
        <v>0</v>
      </c>
      <c r="E1541" t="str">
        <f t="shared" si="144"/>
        <v>Câu 373.</v>
      </c>
      <c r="F1541" t="str">
        <f t="shared" si="145"/>
        <v>1</v>
      </c>
      <c r="G1541" t="str">
        <f t="shared" si="146"/>
        <v>2</v>
      </c>
      <c r="H1541" t="str">
        <f t="shared" si="147"/>
        <v>3</v>
      </c>
      <c r="I1541" t="str">
        <f t="shared" si="148"/>
        <v>4</v>
      </c>
      <c r="J1541" t="str">
        <f t="shared" ca="1" si="149"/>
        <v>2</v>
      </c>
    </row>
    <row r="1542" spans="1:10" ht="18.75" x14ac:dyDescent="0.25">
      <c r="A1542" s="11" t="s">
        <v>2615</v>
      </c>
      <c r="B1542">
        <f>IFERROR(COUNTIFS($A$1:A1542,"Câu "&amp;"*")-MID(A1542,5,FIND(".",A1542,1)-5),0)</f>
        <v>0</v>
      </c>
      <c r="C1542" t="b">
        <v>0</v>
      </c>
      <c r="E1542" t="str">
        <f t="shared" si="144"/>
        <v>1</v>
      </c>
      <c r="F1542" t="str">
        <f t="shared" si="145"/>
        <v>2</v>
      </c>
      <c r="G1542" t="str">
        <f t="shared" si="146"/>
        <v>3</v>
      </c>
      <c r="H1542" t="str">
        <f t="shared" si="147"/>
        <v>4</v>
      </c>
      <c r="I1542" t="str">
        <f t="shared" si="148"/>
        <v/>
      </c>
      <c r="J1542" t="str">
        <f t="shared" ca="1" si="149"/>
        <v/>
      </c>
    </row>
    <row r="1543" spans="1:10" ht="18.75" x14ac:dyDescent="0.25">
      <c r="A1543" s="11" t="s">
        <v>2626</v>
      </c>
      <c r="B1543">
        <f>IFERROR(COUNTIFS($A$1:A1543,"Câu "&amp;"*")-MID(A1543,5,FIND(".",A1543,1)-5),0)</f>
        <v>0</v>
      </c>
      <c r="C1543" t="b">
        <v>1</v>
      </c>
      <c r="E1543" t="str">
        <f t="shared" si="144"/>
        <v>2</v>
      </c>
      <c r="F1543" t="str">
        <f t="shared" si="145"/>
        <v>3</v>
      </c>
      <c r="G1543" t="str">
        <f t="shared" si="146"/>
        <v>4</v>
      </c>
      <c r="H1543" t="str">
        <f t="shared" si="147"/>
        <v/>
      </c>
      <c r="I1543" t="str">
        <f t="shared" si="148"/>
        <v>1</v>
      </c>
      <c r="J1543" t="str">
        <f t="shared" ca="1" si="149"/>
        <v/>
      </c>
    </row>
    <row r="1544" spans="1:10" ht="18.75" x14ac:dyDescent="0.25">
      <c r="A1544" s="11" t="s">
        <v>2609</v>
      </c>
      <c r="B1544">
        <f>IFERROR(COUNTIFS($A$1:A1544,"Câu "&amp;"*")-MID(A1544,5,FIND(".",A1544,1)-5),0)</f>
        <v>0</v>
      </c>
      <c r="C1544" t="b">
        <v>0</v>
      </c>
      <c r="E1544" t="str">
        <f t="shared" si="144"/>
        <v>3</v>
      </c>
      <c r="F1544" t="str">
        <f t="shared" si="145"/>
        <v>4</v>
      </c>
      <c r="G1544" t="str">
        <f t="shared" si="146"/>
        <v>Câu 374.</v>
      </c>
      <c r="H1544" t="str">
        <f t="shared" si="147"/>
        <v>1</v>
      </c>
      <c r="I1544" t="str">
        <f t="shared" si="148"/>
        <v>2</v>
      </c>
      <c r="J1544" t="str">
        <f t="shared" ca="1" si="149"/>
        <v/>
      </c>
    </row>
    <row r="1545" spans="1:10" ht="18.75" x14ac:dyDescent="0.25">
      <c r="A1545" s="11" t="s">
        <v>2606</v>
      </c>
      <c r="B1545">
        <f>IFERROR(COUNTIFS($A$1:A1545,"Câu "&amp;"*")-MID(A1545,5,FIND(".",A1545,1)-5),0)</f>
        <v>0</v>
      </c>
      <c r="C1545" t="b">
        <v>0</v>
      </c>
      <c r="E1545" t="str">
        <f t="shared" si="144"/>
        <v>4</v>
      </c>
      <c r="F1545" t="str">
        <f t="shared" si="145"/>
        <v>Câu 374.</v>
      </c>
      <c r="G1545" t="str">
        <f t="shared" si="146"/>
        <v>1</v>
      </c>
      <c r="H1545" t="str">
        <f t="shared" si="147"/>
        <v>2</v>
      </c>
      <c r="I1545" t="str">
        <f t="shared" si="148"/>
        <v>3</v>
      </c>
      <c r="J1545" t="str">
        <f t="shared" ca="1" si="149"/>
        <v/>
      </c>
    </row>
    <row r="1546" spans="1:10" ht="18.75" x14ac:dyDescent="0.25">
      <c r="A1546" s="10" t="s">
        <v>1195</v>
      </c>
      <c r="B1546">
        <f>IFERROR(COUNTIFS($A$1:A1546,"Câu "&amp;"*")-MID(A1546,5,FIND(".",A1546,1)-5),0)</f>
        <v>0</v>
      </c>
      <c r="C1546" t="b">
        <v>0</v>
      </c>
      <c r="E1546" t="str">
        <f t="shared" si="144"/>
        <v>Câu 374.</v>
      </c>
      <c r="F1546" t="str">
        <f t="shared" si="145"/>
        <v>1</v>
      </c>
      <c r="G1546" t="str">
        <f t="shared" si="146"/>
        <v>2</v>
      </c>
      <c r="H1546" t="str">
        <f t="shared" si="147"/>
        <v>3</v>
      </c>
      <c r="I1546" t="str">
        <f t="shared" si="148"/>
        <v>4</v>
      </c>
      <c r="J1546" t="str">
        <f t="shared" ca="1" si="149"/>
        <v>3</v>
      </c>
    </row>
    <row r="1547" spans="1:10" ht="18.75" x14ac:dyDescent="0.25">
      <c r="A1547" s="11" t="s">
        <v>2615</v>
      </c>
      <c r="B1547">
        <f>IFERROR(COUNTIFS($A$1:A1547,"Câu "&amp;"*")-MID(A1547,5,FIND(".",A1547,1)-5),0)</f>
        <v>0</v>
      </c>
      <c r="C1547" t="b">
        <v>0</v>
      </c>
      <c r="E1547" t="str">
        <f t="shared" si="144"/>
        <v>1</v>
      </c>
      <c r="F1547" t="str">
        <f t="shared" si="145"/>
        <v>2</v>
      </c>
      <c r="G1547" t="str">
        <f t="shared" si="146"/>
        <v>3</v>
      </c>
      <c r="H1547" t="str">
        <f t="shared" si="147"/>
        <v>4</v>
      </c>
      <c r="I1547" t="str">
        <f t="shared" si="148"/>
        <v/>
      </c>
      <c r="J1547" t="str">
        <f t="shared" ca="1" si="149"/>
        <v/>
      </c>
    </row>
    <row r="1548" spans="1:10" ht="18.75" x14ac:dyDescent="0.25">
      <c r="A1548" s="11" t="s">
        <v>2608</v>
      </c>
      <c r="B1548">
        <f>IFERROR(COUNTIFS($A$1:A1548,"Câu "&amp;"*")-MID(A1548,5,FIND(".",A1548,1)-5),0)</f>
        <v>0</v>
      </c>
      <c r="C1548" t="b">
        <v>0</v>
      </c>
      <c r="E1548" t="str">
        <f t="shared" si="144"/>
        <v>2</v>
      </c>
      <c r="F1548" t="str">
        <f t="shared" si="145"/>
        <v>3</v>
      </c>
      <c r="G1548" t="str">
        <f t="shared" si="146"/>
        <v>4</v>
      </c>
      <c r="H1548" t="str">
        <f t="shared" si="147"/>
        <v/>
      </c>
      <c r="I1548" t="str">
        <f t="shared" si="148"/>
        <v>1</v>
      </c>
      <c r="J1548" t="str">
        <f t="shared" ca="1" si="149"/>
        <v/>
      </c>
    </row>
    <row r="1549" spans="1:10" ht="18.75" x14ac:dyDescent="0.25">
      <c r="A1549" s="11" t="s">
        <v>2614</v>
      </c>
      <c r="B1549">
        <f>IFERROR(COUNTIFS($A$1:A1549,"Câu "&amp;"*")-MID(A1549,5,FIND(".",A1549,1)-5),0)</f>
        <v>0</v>
      </c>
      <c r="C1549" t="b">
        <v>1</v>
      </c>
      <c r="E1549" t="str">
        <f t="shared" si="144"/>
        <v>3</v>
      </c>
      <c r="F1549" t="str">
        <f t="shared" si="145"/>
        <v>4</v>
      </c>
      <c r="G1549" t="str">
        <f t="shared" si="146"/>
        <v>Câu 375.</v>
      </c>
      <c r="H1549" t="str">
        <f t="shared" si="147"/>
        <v>1</v>
      </c>
      <c r="I1549" t="str">
        <f t="shared" si="148"/>
        <v>2</v>
      </c>
      <c r="J1549" t="str">
        <f t="shared" ca="1" si="149"/>
        <v/>
      </c>
    </row>
    <row r="1550" spans="1:10" ht="18.75" x14ac:dyDescent="0.25">
      <c r="A1550" s="11" t="s">
        <v>2606</v>
      </c>
      <c r="B1550">
        <f>IFERROR(COUNTIFS($A$1:A1550,"Câu "&amp;"*")-MID(A1550,5,FIND(".",A1550,1)-5),0)</f>
        <v>0</v>
      </c>
      <c r="C1550" t="b">
        <v>0</v>
      </c>
      <c r="E1550" t="str">
        <f t="shared" si="144"/>
        <v>4</v>
      </c>
      <c r="F1550" t="str">
        <f t="shared" si="145"/>
        <v>Câu 375.</v>
      </c>
      <c r="G1550" t="str">
        <f t="shared" si="146"/>
        <v>1</v>
      </c>
      <c r="H1550" t="str">
        <f t="shared" si="147"/>
        <v>2</v>
      </c>
      <c r="I1550" t="str">
        <f t="shared" si="148"/>
        <v>3</v>
      </c>
      <c r="J1550" t="str">
        <f t="shared" ca="1" si="149"/>
        <v/>
      </c>
    </row>
    <row r="1551" spans="1:10" ht="18.75" x14ac:dyDescent="0.25">
      <c r="A1551" s="10" t="s">
        <v>1196</v>
      </c>
      <c r="B1551">
        <f>IFERROR(COUNTIFS($A$1:A1551,"Câu "&amp;"*")-MID(A1551,5,FIND(".",A1551,1)-5),0)</f>
        <v>0</v>
      </c>
      <c r="C1551" t="b">
        <v>0</v>
      </c>
      <c r="E1551" t="str">
        <f t="shared" si="144"/>
        <v>Câu 375.</v>
      </c>
      <c r="F1551" t="str">
        <f t="shared" si="145"/>
        <v>1</v>
      </c>
      <c r="G1551" t="str">
        <f t="shared" si="146"/>
        <v>2</v>
      </c>
      <c r="H1551" t="str">
        <f t="shared" si="147"/>
        <v>3</v>
      </c>
      <c r="I1551" t="str">
        <f t="shared" si="148"/>
        <v>4</v>
      </c>
      <c r="J1551" t="str">
        <f t="shared" ca="1" si="149"/>
        <v>1</v>
      </c>
    </row>
    <row r="1552" spans="1:10" ht="18.75" x14ac:dyDescent="0.25">
      <c r="A1552" s="11" t="s">
        <v>2599</v>
      </c>
      <c r="B1552">
        <f>IFERROR(COUNTIFS($A$1:A1552,"Câu "&amp;"*")-MID(A1552,5,FIND(".",A1552,1)-5),0)</f>
        <v>0</v>
      </c>
      <c r="C1552" t="b">
        <v>1</v>
      </c>
      <c r="E1552" t="str">
        <f t="shared" si="144"/>
        <v>1</v>
      </c>
      <c r="F1552" t="str">
        <f t="shared" si="145"/>
        <v>2</v>
      </c>
      <c r="G1552" t="str">
        <f t="shared" si="146"/>
        <v>3</v>
      </c>
      <c r="H1552" t="str">
        <f t="shared" si="147"/>
        <v>4</v>
      </c>
      <c r="I1552" t="str">
        <f t="shared" si="148"/>
        <v/>
      </c>
      <c r="J1552" t="str">
        <f t="shared" ca="1" si="149"/>
        <v/>
      </c>
    </row>
    <row r="1553" spans="1:10" ht="18.75" x14ac:dyDescent="0.25">
      <c r="A1553" s="11" t="s">
        <v>2600</v>
      </c>
      <c r="B1553">
        <f>IFERROR(COUNTIFS($A$1:A1553,"Câu "&amp;"*")-MID(A1553,5,FIND(".",A1553,1)-5),0)</f>
        <v>0</v>
      </c>
      <c r="C1553" t="b">
        <v>0</v>
      </c>
      <c r="E1553" t="str">
        <f t="shared" si="144"/>
        <v>2</v>
      </c>
      <c r="F1553" t="str">
        <f t="shared" si="145"/>
        <v>3</v>
      </c>
      <c r="G1553" t="str">
        <f t="shared" si="146"/>
        <v>4</v>
      </c>
      <c r="H1553" t="str">
        <f t="shared" si="147"/>
        <v/>
      </c>
      <c r="I1553" t="str">
        <f t="shared" si="148"/>
        <v>1</v>
      </c>
      <c r="J1553" t="str">
        <f t="shared" ca="1" si="149"/>
        <v/>
      </c>
    </row>
    <row r="1554" spans="1:10" ht="18.75" x14ac:dyDescent="0.25">
      <c r="A1554" s="11" t="s">
        <v>2611</v>
      </c>
      <c r="B1554">
        <f>IFERROR(COUNTIFS($A$1:A1554,"Câu "&amp;"*")-MID(A1554,5,FIND(".",A1554,1)-5),0)</f>
        <v>0</v>
      </c>
      <c r="C1554" t="b">
        <v>0</v>
      </c>
      <c r="E1554" t="str">
        <f t="shared" si="144"/>
        <v>3</v>
      </c>
      <c r="F1554" t="str">
        <f t="shared" si="145"/>
        <v>4</v>
      </c>
      <c r="G1554" t="str">
        <f t="shared" si="146"/>
        <v>Câu 376.</v>
      </c>
      <c r="H1554" t="str">
        <f t="shared" si="147"/>
        <v>1</v>
      </c>
      <c r="I1554" t="str">
        <f t="shared" si="148"/>
        <v>2</v>
      </c>
      <c r="J1554" t="str">
        <f t="shared" ca="1" si="149"/>
        <v/>
      </c>
    </row>
    <row r="1555" spans="1:10" ht="18.75" x14ac:dyDescent="0.25">
      <c r="A1555" s="11" t="s">
        <v>2623</v>
      </c>
      <c r="B1555">
        <f>IFERROR(COUNTIFS($A$1:A1555,"Câu "&amp;"*")-MID(A1555,5,FIND(".",A1555,1)-5),0)</f>
        <v>0</v>
      </c>
      <c r="C1555" t="b">
        <v>0</v>
      </c>
      <c r="E1555" t="str">
        <f t="shared" si="144"/>
        <v>4</v>
      </c>
      <c r="F1555" t="str">
        <f t="shared" si="145"/>
        <v>Câu 376.</v>
      </c>
      <c r="G1555" t="str">
        <f t="shared" si="146"/>
        <v>1</v>
      </c>
      <c r="H1555" t="str">
        <f t="shared" si="147"/>
        <v>2</v>
      </c>
      <c r="I1555" t="str">
        <f t="shared" si="148"/>
        <v>3</v>
      </c>
      <c r="J1555" t="str">
        <f t="shared" ca="1" si="149"/>
        <v/>
      </c>
    </row>
    <row r="1556" spans="1:10" ht="18.75" x14ac:dyDescent="0.25">
      <c r="A1556" s="10" t="s">
        <v>1197</v>
      </c>
      <c r="B1556">
        <f>IFERROR(COUNTIFS($A$1:A1556,"Câu "&amp;"*")-MID(A1556,5,FIND(".",A1556,1)-5),0)</f>
        <v>0</v>
      </c>
      <c r="C1556" t="b">
        <v>0</v>
      </c>
      <c r="E1556" t="str">
        <f t="shared" si="144"/>
        <v>Câu 376.</v>
      </c>
      <c r="F1556" t="str">
        <f t="shared" si="145"/>
        <v>1</v>
      </c>
      <c r="G1556" t="str">
        <f t="shared" si="146"/>
        <v>2</v>
      </c>
      <c r="H1556" t="str">
        <f t="shared" si="147"/>
        <v>3</v>
      </c>
      <c r="I1556" t="str">
        <f t="shared" si="148"/>
        <v/>
      </c>
      <c r="J1556" t="str">
        <f t="shared" ca="1" si="149"/>
        <v>2</v>
      </c>
    </row>
    <row r="1557" spans="1:10" ht="18.75" x14ac:dyDescent="0.25">
      <c r="A1557" s="11" t="s">
        <v>2603</v>
      </c>
      <c r="B1557">
        <f>IFERROR(COUNTIFS($A$1:A1557,"Câu "&amp;"*")-MID(A1557,5,FIND(".",A1557,1)-5),0)</f>
        <v>0</v>
      </c>
      <c r="C1557" t="b">
        <v>0</v>
      </c>
      <c r="E1557" t="str">
        <f t="shared" si="144"/>
        <v>1</v>
      </c>
      <c r="F1557" t="str">
        <f t="shared" si="145"/>
        <v>2</v>
      </c>
      <c r="G1557" t="str">
        <f t="shared" si="146"/>
        <v>3</v>
      </c>
      <c r="H1557" t="str">
        <f t="shared" si="147"/>
        <v/>
      </c>
      <c r="I1557" t="str">
        <f t="shared" si="148"/>
        <v>1</v>
      </c>
      <c r="J1557" t="str">
        <f t="shared" ca="1" si="149"/>
        <v/>
      </c>
    </row>
    <row r="1558" spans="1:10" ht="18.75" x14ac:dyDescent="0.25">
      <c r="A1558" s="11" t="s">
        <v>2618</v>
      </c>
      <c r="B1558">
        <f>IFERROR(COUNTIFS($A$1:A1558,"Câu "&amp;"*")-MID(A1558,5,FIND(".",A1558,1)-5),0)</f>
        <v>0</v>
      </c>
      <c r="C1558" t="b">
        <v>1</v>
      </c>
      <c r="E1558" t="str">
        <f t="shared" si="144"/>
        <v>2</v>
      </c>
      <c r="F1558" t="str">
        <f t="shared" si="145"/>
        <v>3</v>
      </c>
      <c r="G1558" t="str">
        <f t="shared" si="146"/>
        <v>Câu 377.</v>
      </c>
      <c r="H1558" t="str">
        <f t="shared" si="147"/>
        <v>1</v>
      </c>
      <c r="I1558" t="str">
        <f t="shared" si="148"/>
        <v>2</v>
      </c>
      <c r="J1558" t="str">
        <f t="shared" ca="1" si="149"/>
        <v/>
      </c>
    </row>
    <row r="1559" spans="1:10" ht="18.75" x14ac:dyDescent="0.25">
      <c r="A1559" s="11" t="s">
        <v>2611</v>
      </c>
      <c r="B1559">
        <f>IFERROR(COUNTIFS($A$1:A1559,"Câu "&amp;"*")-MID(A1559,5,FIND(".",A1559,1)-5),0)</f>
        <v>0</v>
      </c>
      <c r="C1559" t="b">
        <v>0</v>
      </c>
      <c r="E1559" t="str">
        <f t="shared" si="144"/>
        <v>3</v>
      </c>
      <c r="F1559" t="str">
        <f t="shared" si="145"/>
        <v>Câu 377.</v>
      </c>
      <c r="G1559" t="str">
        <f t="shared" si="146"/>
        <v>1</v>
      </c>
      <c r="H1559" t="str">
        <f t="shared" si="147"/>
        <v>2</v>
      </c>
      <c r="I1559" t="str">
        <f t="shared" si="148"/>
        <v>3</v>
      </c>
      <c r="J1559" t="str">
        <f t="shared" ca="1" si="149"/>
        <v/>
      </c>
    </row>
    <row r="1560" spans="1:10" ht="18.75" x14ac:dyDescent="0.25">
      <c r="A1560" s="10" t="s">
        <v>1198</v>
      </c>
      <c r="B1560">
        <f>IFERROR(COUNTIFS($A$1:A1560,"Câu "&amp;"*")-MID(A1560,5,FIND(".",A1560,1)-5),0)</f>
        <v>0</v>
      </c>
      <c r="C1560" t="b">
        <v>0</v>
      </c>
      <c r="E1560" t="str">
        <f t="shared" si="144"/>
        <v>Câu 377.</v>
      </c>
      <c r="F1560" t="str">
        <f t="shared" si="145"/>
        <v>1</v>
      </c>
      <c r="G1560" t="str">
        <f t="shared" si="146"/>
        <v>2</v>
      </c>
      <c r="H1560" t="str">
        <f t="shared" si="147"/>
        <v>3</v>
      </c>
      <c r="I1560" t="str">
        <f t="shared" si="148"/>
        <v/>
      </c>
      <c r="J1560" t="str">
        <f t="shared" ca="1" si="149"/>
        <v>1</v>
      </c>
    </row>
    <row r="1561" spans="1:10" ht="18.75" x14ac:dyDescent="0.25">
      <c r="A1561" s="11" t="s">
        <v>2670</v>
      </c>
      <c r="B1561">
        <f>IFERROR(COUNTIFS($A$1:A1561,"Câu "&amp;"*")-MID(A1561,5,FIND(".",A1561,1)-5),0)</f>
        <v>0</v>
      </c>
      <c r="C1561" t="b">
        <v>1</v>
      </c>
      <c r="E1561" t="str">
        <f t="shared" si="144"/>
        <v>1</v>
      </c>
      <c r="F1561" t="str">
        <f t="shared" si="145"/>
        <v>2</v>
      </c>
      <c r="G1561" t="str">
        <f t="shared" si="146"/>
        <v>3</v>
      </c>
      <c r="H1561" t="str">
        <f t="shared" si="147"/>
        <v/>
      </c>
      <c r="I1561" t="str">
        <f t="shared" si="148"/>
        <v>1</v>
      </c>
      <c r="J1561" t="str">
        <f t="shared" ca="1" si="149"/>
        <v/>
      </c>
    </row>
    <row r="1562" spans="1:10" ht="18.75" x14ac:dyDescent="0.25">
      <c r="A1562" s="11" t="s">
        <v>2671</v>
      </c>
      <c r="B1562">
        <f>IFERROR(COUNTIFS($A$1:A1562,"Câu "&amp;"*")-MID(A1562,5,FIND(".",A1562,1)-5),0)</f>
        <v>0</v>
      </c>
      <c r="C1562" t="b">
        <v>0</v>
      </c>
      <c r="E1562" t="str">
        <f t="shared" si="144"/>
        <v>2</v>
      </c>
      <c r="F1562" t="str">
        <f t="shared" si="145"/>
        <v>3</v>
      </c>
      <c r="G1562" t="str">
        <f t="shared" si="146"/>
        <v>Câu 378.</v>
      </c>
      <c r="H1562" t="str">
        <f t="shared" si="147"/>
        <v>1</v>
      </c>
      <c r="I1562" t="str">
        <f t="shared" si="148"/>
        <v>2</v>
      </c>
      <c r="J1562" t="str">
        <f t="shared" ca="1" si="149"/>
        <v/>
      </c>
    </row>
    <row r="1563" spans="1:10" ht="18.75" x14ac:dyDescent="0.25">
      <c r="A1563" s="11" t="s">
        <v>2672</v>
      </c>
      <c r="B1563">
        <f>IFERROR(COUNTIFS($A$1:A1563,"Câu "&amp;"*")-MID(A1563,5,FIND(".",A1563,1)-5),0)</f>
        <v>0</v>
      </c>
      <c r="C1563" t="b">
        <v>0</v>
      </c>
      <c r="E1563" t="str">
        <f t="shared" si="144"/>
        <v>3</v>
      </c>
      <c r="F1563" t="str">
        <f t="shared" si="145"/>
        <v>Câu 378.</v>
      </c>
      <c r="G1563" t="str">
        <f t="shared" si="146"/>
        <v>1</v>
      </c>
      <c r="H1563" t="str">
        <f t="shared" si="147"/>
        <v>2</v>
      </c>
      <c r="I1563" t="str">
        <f t="shared" si="148"/>
        <v>3</v>
      </c>
      <c r="J1563" t="str">
        <f t="shared" ca="1" si="149"/>
        <v/>
      </c>
    </row>
    <row r="1564" spans="1:10" ht="18.75" x14ac:dyDescent="0.25">
      <c r="A1564" s="10" t="s">
        <v>1202</v>
      </c>
      <c r="B1564">
        <f>IFERROR(COUNTIFS($A$1:A1564,"Câu "&amp;"*")-MID(A1564,5,FIND(".",A1564,1)-5),0)</f>
        <v>0</v>
      </c>
      <c r="C1564" t="b">
        <v>0</v>
      </c>
      <c r="E1564" t="str">
        <f t="shared" si="144"/>
        <v>Câu 378.</v>
      </c>
      <c r="F1564" t="str">
        <f t="shared" si="145"/>
        <v>1</v>
      </c>
      <c r="G1564" t="str">
        <f t="shared" si="146"/>
        <v>2</v>
      </c>
      <c r="H1564" t="str">
        <f t="shared" si="147"/>
        <v>3</v>
      </c>
      <c r="I1564" t="str">
        <f t="shared" si="148"/>
        <v>4</v>
      </c>
      <c r="J1564" t="str">
        <f t="shared" ca="1" si="149"/>
        <v>4</v>
      </c>
    </row>
    <row r="1565" spans="1:10" ht="18.75" x14ac:dyDescent="0.25">
      <c r="A1565" s="11" t="s">
        <v>2603</v>
      </c>
      <c r="B1565">
        <f>IFERROR(COUNTIFS($A$1:A1565,"Câu "&amp;"*")-MID(A1565,5,FIND(".",A1565,1)-5),0)</f>
        <v>0</v>
      </c>
      <c r="C1565" t="b">
        <v>0</v>
      </c>
      <c r="E1565" t="str">
        <f t="shared" si="144"/>
        <v>1</v>
      </c>
      <c r="F1565" t="str">
        <f t="shared" si="145"/>
        <v>2</v>
      </c>
      <c r="G1565" t="str">
        <f t="shared" si="146"/>
        <v>3</v>
      </c>
      <c r="H1565" t="str">
        <f t="shared" si="147"/>
        <v>4</v>
      </c>
      <c r="I1565" t="str">
        <f t="shared" si="148"/>
        <v/>
      </c>
      <c r="J1565" t="str">
        <f t="shared" ca="1" si="149"/>
        <v/>
      </c>
    </row>
    <row r="1566" spans="1:10" ht="18.75" x14ac:dyDescent="0.25">
      <c r="A1566" s="11" t="s">
        <v>2600</v>
      </c>
      <c r="B1566">
        <f>IFERROR(COUNTIFS($A$1:A1566,"Câu "&amp;"*")-MID(A1566,5,FIND(".",A1566,1)-5),0)</f>
        <v>0</v>
      </c>
      <c r="C1566" t="b">
        <v>0</v>
      </c>
      <c r="E1566" t="str">
        <f t="shared" si="144"/>
        <v>2</v>
      </c>
      <c r="F1566" t="str">
        <f t="shared" si="145"/>
        <v>3</v>
      </c>
      <c r="G1566" t="str">
        <f t="shared" si="146"/>
        <v>4</v>
      </c>
      <c r="H1566" t="str">
        <f t="shared" si="147"/>
        <v/>
      </c>
      <c r="I1566" t="str">
        <f t="shared" si="148"/>
        <v>1</v>
      </c>
      <c r="J1566" t="str">
        <f t="shared" ca="1" si="149"/>
        <v/>
      </c>
    </row>
    <row r="1567" spans="1:10" ht="18.75" x14ac:dyDescent="0.25">
      <c r="A1567" s="11" t="s">
        <v>2611</v>
      </c>
      <c r="B1567">
        <f>IFERROR(COUNTIFS($A$1:A1567,"Câu "&amp;"*")-MID(A1567,5,FIND(".",A1567,1)-5),0)</f>
        <v>0</v>
      </c>
      <c r="C1567" t="b">
        <v>0</v>
      </c>
      <c r="E1567" t="str">
        <f t="shared" si="144"/>
        <v>3</v>
      </c>
      <c r="F1567" t="str">
        <f t="shared" si="145"/>
        <v>4</v>
      </c>
      <c r="G1567" t="str">
        <f t="shared" si="146"/>
        <v>Câu 379.</v>
      </c>
      <c r="H1567" t="str">
        <f t="shared" si="147"/>
        <v>1</v>
      </c>
      <c r="I1567" t="str">
        <f t="shared" si="148"/>
        <v>2</v>
      </c>
      <c r="J1567" t="str">
        <f t="shared" ca="1" si="149"/>
        <v/>
      </c>
    </row>
    <row r="1568" spans="1:10" ht="18.75" x14ac:dyDescent="0.25">
      <c r="A1568" s="11" t="s">
        <v>2629</v>
      </c>
      <c r="B1568">
        <f>IFERROR(COUNTIFS($A$1:A1568,"Câu "&amp;"*")-MID(A1568,5,FIND(".",A1568,1)-5),0)</f>
        <v>0</v>
      </c>
      <c r="C1568" t="b">
        <v>1</v>
      </c>
      <c r="E1568" t="str">
        <f t="shared" si="144"/>
        <v>4</v>
      </c>
      <c r="F1568" t="str">
        <f t="shared" si="145"/>
        <v>Câu 379.</v>
      </c>
      <c r="G1568" t="str">
        <f t="shared" si="146"/>
        <v>1</v>
      </c>
      <c r="H1568" t="str">
        <f t="shared" si="147"/>
        <v>2</v>
      </c>
      <c r="I1568" t="str">
        <f t="shared" si="148"/>
        <v>3</v>
      </c>
      <c r="J1568" t="str">
        <f t="shared" ca="1" si="149"/>
        <v/>
      </c>
    </row>
    <row r="1569" spans="1:10" ht="18.75" x14ac:dyDescent="0.25">
      <c r="A1569" s="10" t="s">
        <v>1203</v>
      </c>
      <c r="B1569">
        <f>IFERROR(COUNTIFS($A$1:A1569,"Câu "&amp;"*")-MID(A1569,5,FIND(".",A1569,1)-5),0)</f>
        <v>0</v>
      </c>
      <c r="C1569" t="b">
        <v>0</v>
      </c>
      <c r="E1569" t="str">
        <f t="shared" si="144"/>
        <v>Câu 379.</v>
      </c>
      <c r="F1569" t="str">
        <f t="shared" si="145"/>
        <v>1</v>
      </c>
      <c r="G1569" t="str">
        <f t="shared" si="146"/>
        <v>2</v>
      </c>
      <c r="H1569" t="str">
        <f t="shared" si="147"/>
        <v>3</v>
      </c>
      <c r="I1569" t="str">
        <f t="shared" si="148"/>
        <v/>
      </c>
      <c r="J1569" t="str">
        <f t="shared" ca="1" si="149"/>
        <v>3</v>
      </c>
    </row>
    <row r="1570" spans="1:10" ht="18.75" x14ac:dyDescent="0.25">
      <c r="A1570" s="11" t="s">
        <v>2673</v>
      </c>
      <c r="B1570">
        <f>IFERROR(COUNTIFS($A$1:A1570,"Câu "&amp;"*")-MID(A1570,5,FIND(".",A1570,1)-5),0)</f>
        <v>0</v>
      </c>
      <c r="C1570" t="b">
        <v>0</v>
      </c>
      <c r="E1570" t="str">
        <f t="shared" si="144"/>
        <v>1</v>
      </c>
      <c r="F1570" t="str">
        <f t="shared" si="145"/>
        <v>2</v>
      </c>
      <c r="G1570" t="str">
        <f t="shared" si="146"/>
        <v>3</v>
      </c>
      <c r="H1570" t="str">
        <f t="shared" si="147"/>
        <v/>
      </c>
      <c r="I1570" t="str">
        <f t="shared" si="148"/>
        <v>1</v>
      </c>
      <c r="J1570" t="str">
        <f t="shared" ca="1" si="149"/>
        <v/>
      </c>
    </row>
    <row r="1571" spans="1:10" ht="18.75" x14ac:dyDescent="0.25">
      <c r="A1571" s="11" t="s">
        <v>2674</v>
      </c>
      <c r="B1571">
        <f>IFERROR(COUNTIFS($A$1:A1571,"Câu "&amp;"*")-MID(A1571,5,FIND(".",A1571,1)-5),0)</f>
        <v>0</v>
      </c>
      <c r="C1571" t="b">
        <v>0</v>
      </c>
      <c r="E1571" t="str">
        <f t="shared" si="144"/>
        <v>2</v>
      </c>
      <c r="F1571" t="str">
        <f t="shared" si="145"/>
        <v>3</v>
      </c>
      <c r="G1571" t="str">
        <f t="shared" si="146"/>
        <v>Câu 380.</v>
      </c>
      <c r="H1571" t="str">
        <f t="shared" si="147"/>
        <v>1</v>
      </c>
      <c r="I1571" t="str">
        <f t="shared" si="148"/>
        <v>2</v>
      </c>
      <c r="J1571" t="str">
        <f t="shared" ca="1" si="149"/>
        <v/>
      </c>
    </row>
    <row r="1572" spans="1:10" ht="18.75" x14ac:dyDescent="0.25">
      <c r="A1572" s="11" t="s">
        <v>2675</v>
      </c>
      <c r="B1572">
        <f>IFERROR(COUNTIFS($A$1:A1572,"Câu "&amp;"*")-MID(A1572,5,FIND(".",A1572,1)-5),0)</f>
        <v>0</v>
      </c>
      <c r="C1572" t="b">
        <v>1</v>
      </c>
      <c r="E1572" t="str">
        <f t="shared" si="144"/>
        <v>3</v>
      </c>
      <c r="F1572" t="str">
        <f t="shared" si="145"/>
        <v>Câu 380.</v>
      </c>
      <c r="G1572" t="str">
        <f t="shared" si="146"/>
        <v>1</v>
      </c>
      <c r="H1572" t="str">
        <f t="shared" si="147"/>
        <v>2</v>
      </c>
      <c r="I1572" t="str">
        <f t="shared" si="148"/>
        <v>3</v>
      </c>
      <c r="J1572" t="str">
        <f t="shared" ca="1" si="149"/>
        <v/>
      </c>
    </row>
    <row r="1573" spans="1:10" ht="18.75" x14ac:dyDescent="0.25">
      <c r="A1573" s="10" t="s">
        <v>1206</v>
      </c>
      <c r="B1573">
        <f>IFERROR(COUNTIFS($A$1:A1573,"Câu "&amp;"*")-MID(A1573,5,FIND(".",A1573,1)-5),0)</f>
        <v>0</v>
      </c>
      <c r="C1573" t="b">
        <v>0</v>
      </c>
      <c r="E1573" t="str">
        <f t="shared" si="144"/>
        <v>Câu 380.</v>
      </c>
      <c r="F1573" t="str">
        <f t="shared" si="145"/>
        <v>1</v>
      </c>
      <c r="G1573" t="str">
        <f t="shared" si="146"/>
        <v>2</v>
      </c>
      <c r="H1573" t="str">
        <f t="shared" si="147"/>
        <v>3</v>
      </c>
      <c r="I1573" t="str">
        <f t="shared" si="148"/>
        <v/>
      </c>
      <c r="J1573" t="str">
        <f t="shared" ca="1" si="149"/>
        <v>3</v>
      </c>
    </row>
    <row r="1574" spans="1:10" ht="18.75" x14ac:dyDescent="0.25">
      <c r="A1574" s="11" t="s">
        <v>2603</v>
      </c>
      <c r="B1574">
        <f>IFERROR(COUNTIFS($A$1:A1574,"Câu "&amp;"*")-MID(A1574,5,FIND(".",A1574,1)-5),0)</f>
        <v>0</v>
      </c>
      <c r="C1574" t="b">
        <v>0</v>
      </c>
      <c r="E1574" t="str">
        <f t="shared" si="144"/>
        <v>1</v>
      </c>
      <c r="F1574" t="str">
        <f t="shared" si="145"/>
        <v>2</v>
      </c>
      <c r="G1574" t="str">
        <f t="shared" si="146"/>
        <v>3</v>
      </c>
      <c r="H1574" t="str">
        <f t="shared" si="147"/>
        <v/>
      </c>
      <c r="I1574" t="str">
        <f t="shared" si="148"/>
        <v>1</v>
      </c>
      <c r="J1574" t="str">
        <f t="shared" ca="1" si="149"/>
        <v/>
      </c>
    </row>
    <row r="1575" spans="1:10" ht="18.75" x14ac:dyDescent="0.25">
      <c r="A1575" s="11" t="s">
        <v>2600</v>
      </c>
      <c r="B1575">
        <f>IFERROR(COUNTIFS($A$1:A1575,"Câu "&amp;"*")-MID(A1575,5,FIND(".",A1575,1)-5),0)</f>
        <v>0</v>
      </c>
      <c r="C1575" t="b">
        <v>0</v>
      </c>
      <c r="E1575" t="str">
        <f t="shared" si="144"/>
        <v>2</v>
      </c>
      <c r="F1575" t="str">
        <f t="shared" si="145"/>
        <v>3</v>
      </c>
      <c r="G1575" t="str">
        <f t="shared" si="146"/>
        <v>Câu 381.</v>
      </c>
      <c r="H1575" t="str">
        <f t="shared" si="147"/>
        <v>1</v>
      </c>
      <c r="I1575" t="str">
        <f t="shared" si="148"/>
        <v>2</v>
      </c>
      <c r="J1575" t="str">
        <f t="shared" ca="1" si="149"/>
        <v/>
      </c>
    </row>
    <row r="1576" spans="1:10" ht="18.75" x14ac:dyDescent="0.25">
      <c r="A1576" s="11" t="s">
        <v>2628</v>
      </c>
      <c r="B1576">
        <f>IFERROR(COUNTIFS($A$1:A1576,"Câu "&amp;"*")-MID(A1576,5,FIND(".",A1576,1)-5),0)</f>
        <v>0</v>
      </c>
      <c r="C1576" t="b">
        <v>1</v>
      </c>
      <c r="E1576" t="str">
        <f t="shared" si="144"/>
        <v>3</v>
      </c>
      <c r="F1576" t="str">
        <f t="shared" si="145"/>
        <v>Câu 381.</v>
      </c>
      <c r="G1576" t="str">
        <f t="shared" si="146"/>
        <v>1</v>
      </c>
      <c r="H1576" t="str">
        <f t="shared" si="147"/>
        <v>2</v>
      </c>
      <c r="I1576" t="str">
        <f t="shared" si="148"/>
        <v>3</v>
      </c>
      <c r="J1576" t="str">
        <f t="shared" ca="1" si="149"/>
        <v/>
      </c>
    </row>
    <row r="1577" spans="1:10" ht="18.75" x14ac:dyDescent="0.25">
      <c r="A1577" s="10" t="s">
        <v>1207</v>
      </c>
      <c r="B1577">
        <f>IFERROR(COUNTIFS($A$1:A1577,"Câu "&amp;"*")-MID(A1577,5,FIND(".",A1577,1)-5),0)</f>
        <v>0</v>
      </c>
      <c r="C1577" t="b">
        <v>0</v>
      </c>
      <c r="E1577" t="str">
        <f t="shared" si="144"/>
        <v>Câu 381.</v>
      </c>
      <c r="F1577" t="str">
        <f t="shared" si="145"/>
        <v>1</v>
      </c>
      <c r="G1577" t="str">
        <f t="shared" si="146"/>
        <v>2</v>
      </c>
      <c r="H1577" t="str">
        <f t="shared" si="147"/>
        <v>3</v>
      </c>
      <c r="I1577" t="str">
        <f t="shared" si="148"/>
        <v>4</v>
      </c>
      <c r="J1577" t="str">
        <f t="shared" ca="1" si="149"/>
        <v>2</v>
      </c>
    </row>
    <row r="1578" spans="1:10" ht="18.75" x14ac:dyDescent="0.25">
      <c r="A1578" s="11" t="s">
        <v>2615</v>
      </c>
      <c r="B1578">
        <f>IFERROR(COUNTIFS($A$1:A1578,"Câu "&amp;"*")-MID(A1578,5,FIND(".",A1578,1)-5),0)</f>
        <v>0</v>
      </c>
      <c r="C1578" t="b">
        <v>0</v>
      </c>
      <c r="E1578" t="str">
        <f t="shared" si="144"/>
        <v>1</v>
      </c>
      <c r="F1578" t="str">
        <f t="shared" si="145"/>
        <v>2</v>
      </c>
      <c r="G1578" t="str">
        <f t="shared" si="146"/>
        <v>3</v>
      </c>
      <c r="H1578" t="str">
        <f t="shared" si="147"/>
        <v>4</v>
      </c>
      <c r="I1578" t="str">
        <f t="shared" si="148"/>
        <v/>
      </c>
      <c r="J1578" t="str">
        <f t="shared" ca="1" si="149"/>
        <v/>
      </c>
    </row>
    <row r="1579" spans="1:10" ht="18.75" x14ac:dyDescent="0.25">
      <c r="A1579" s="11" t="s">
        <v>2626</v>
      </c>
      <c r="B1579">
        <f>IFERROR(COUNTIFS($A$1:A1579,"Câu "&amp;"*")-MID(A1579,5,FIND(".",A1579,1)-5),0)</f>
        <v>0</v>
      </c>
      <c r="C1579" t="b">
        <v>1</v>
      </c>
      <c r="E1579" t="str">
        <f t="shared" si="144"/>
        <v>2</v>
      </c>
      <c r="F1579" t="str">
        <f t="shared" si="145"/>
        <v>3</v>
      </c>
      <c r="G1579" t="str">
        <f t="shared" si="146"/>
        <v>4</v>
      </c>
      <c r="H1579" t="str">
        <f t="shared" si="147"/>
        <v/>
      </c>
      <c r="I1579" t="str">
        <f t="shared" si="148"/>
        <v>1</v>
      </c>
      <c r="J1579" t="str">
        <f t="shared" ca="1" si="149"/>
        <v/>
      </c>
    </row>
    <row r="1580" spans="1:10" ht="18.75" x14ac:dyDescent="0.25">
      <c r="A1580" s="11" t="s">
        <v>2609</v>
      </c>
      <c r="B1580">
        <f>IFERROR(COUNTIFS($A$1:A1580,"Câu "&amp;"*")-MID(A1580,5,FIND(".",A1580,1)-5),0)</f>
        <v>0</v>
      </c>
      <c r="C1580" t="b">
        <v>0</v>
      </c>
      <c r="E1580" t="str">
        <f t="shared" si="144"/>
        <v>3</v>
      </c>
      <c r="F1580" t="str">
        <f t="shared" si="145"/>
        <v>4</v>
      </c>
      <c r="G1580" t="str">
        <f t="shared" si="146"/>
        <v>Câu 382.</v>
      </c>
      <c r="H1580" t="str">
        <f t="shared" si="147"/>
        <v>1</v>
      </c>
      <c r="I1580" t="str">
        <f t="shared" si="148"/>
        <v>2</v>
      </c>
      <c r="J1580" t="str">
        <f t="shared" ca="1" si="149"/>
        <v/>
      </c>
    </row>
    <row r="1581" spans="1:10" ht="18.75" x14ac:dyDescent="0.25">
      <c r="A1581" s="11" t="s">
        <v>2606</v>
      </c>
      <c r="B1581">
        <f>IFERROR(COUNTIFS($A$1:A1581,"Câu "&amp;"*")-MID(A1581,5,FIND(".",A1581,1)-5),0)</f>
        <v>0</v>
      </c>
      <c r="C1581" t="b">
        <v>0</v>
      </c>
      <c r="E1581" t="str">
        <f t="shared" si="144"/>
        <v>4</v>
      </c>
      <c r="F1581" t="str">
        <f t="shared" si="145"/>
        <v>Câu 382.</v>
      </c>
      <c r="G1581" t="str">
        <f t="shared" si="146"/>
        <v>1</v>
      </c>
      <c r="H1581" t="str">
        <f t="shared" si="147"/>
        <v>2</v>
      </c>
      <c r="I1581" t="str">
        <f t="shared" si="148"/>
        <v>3</v>
      </c>
      <c r="J1581" t="str">
        <f t="shared" ca="1" si="149"/>
        <v/>
      </c>
    </row>
    <row r="1582" spans="1:10" ht="18.75" x14ac:dyDescent="0.25">
      <c r="A1582" s="10" t="s">
        <v>1208</v>
      </c>
      <c r="B1582">
        <f>IFERROR(COUNTIFS($A$1:A1582,"Câu "&amp;"*")-MID(A1582,5,FIND(".",A1582,1)-5),0)</f>
        <v>0</v>
      </c>
      <c r="C1582" t="b">
        <v>0</v>
      </c>
      <c r="E1582" t="str">
        <f t="shared" si="144"/>
        <v>Câu 382.</v>
      </c>
      <c r="F1582" t="str">
        <f t="shared" si="145"/>
        <v>1</v>
      </c>
      <c r="G1582" t="str">
        <f t="shared" si="146"/>
        <v>2</v>
      </c>
      <c r="H1582" t="str">
        <f t="shared" si="147"/>
        <v>3</v>
      </c>
      <c r="I1582" t="str">
        <f t="shared" si="148"/>
        <v>4</v>
      </c>
      <c r="J1582" t="str">
        <f t="shared" ca="1" si="149"/>
        <v>1</v>
      </c>
    </row>
    <row r="1583" spans="1:10" ht="18.75" x14ac:dyDescent="0.25">
      <c r="A1583" s="11" t="s">
        <v>2599</v>
      </c>
      <c r="B1583">
        <f>IFERROR(COUNTIFS($A$1:A1583,"Câu "&amp;"*")-MID(A1583,5,FIND(".",A1583,1)-5),0)</f>
        <v>0</v>
      </c>
      <c r="C1583" t="b">
        <v>1</v>
      </c>
      <c r="E1583" t="str">
        <f t="shared" si="144"/>
        <v>1</v>
      </c>
      <c r="F1583" t="str">
        <f t="shared" si="145"/>
        <v>2</v>
      </c>
      <c r="G1583" t="str">
        <f t="shared" si="146"/>
        <v>3</v>
      </c>
      <c r="H1583" t="str">
        <f t="shared" si="147"/>
        <v>4</v>
      </c>
      <c r="I1583" t="str">
        <f t="shared" si="148"/>
        <v/>
      </c>
      <c r="J1583" t="str">
        <f t="shared" ca="1" si="149"/>
        <v/>
      </c>
    </row>
    <row r="1584" spans="1:10" ht="18.75" x14ac:dyDescent="0.25">
      <c r="A1584" s="11" t="s">
        <v>2600</v>
      </c>
      <c r="B1584">
        <f>IFERROR(COUNTIFS($A$1:A1584,"Câu "&amp;"*")-MID(A1584,5,FIND(".",A1584,1)-5),0)</f>
        <v>0</v>
      </c>
      <c r="C1584" t="b">
        <v>0</v>
      </c>
      <c r="E1584" t="str">
        <f t="shared" si="144"/>
        <v>2</v>
      </c>
      <c r="F1584" t="str">
        <f t="shared" si="145"/>
        <v>3</v>
      </c>
      <c r="G1584" t="str">
        <f t="shared" si="146"/>
        <v>4</v>
      </c>
      <c r="H1584" t="str">
        <f t="shared" si="147"/>
        <v/>
      </c>
      <c r="I1584" t="str">
        <f t="shared" si="148"/>
        <v>1</v>
      </c>
      <c r="J1584" t="str">
        <f t="shared" ca="1" si="149"/>
        <v/>
      </c>
    </row>
    <row r="1585" spans="1:10" ht="18.75" x14ac:dyDescent="0.25">
      <c r="A1585" s="11" t="s">
        <v>2611</v>
      </c>
      <c r="B1585">
        <f>IFERROR(COUNTIFS($A$1:A1585,"Câu "&amp;"*")-MID(A1585,5,FIND(".",A1585,1)-5),0)</f>
        <v>0</v>
      </c>
      <c r="C1585" t="b">
        <v>0</v>
      </c>
      <c r="E1585" t="str">
        <f t="shared" si="144"/>
        <v>3</v>
      </c>
      <c r="F1585" t="str">
        <f t="shared" si="145"/>
        <v>4</v>
      </c>
      <c r="G1585" t="str">
        <f t="shared" si="146"/>
        <v>Câu 383.</v>
      </c>
      <c r="H1585" t="str">
        <f t="shared" si="147"/>
        <v>1</v>
      </c>
      <c r="I1585" t="str">
        <f t="shared" si="148"/>
        <v>2</v>
      </c>
      <c r="J1585" t="str">
        <f t="shared" ca="1" si="149"/>
        <v/>
      </c>
    </row>
    <row r="1586" spans="1:10" ht="18.75" x14ac:dyDescent="0.25">
      <c r="A1586" s="11" t="s">
        <v>2617</v>
      </c>
      <c r="B1586">
        <f>IFERROR(COUNTIFS($A$1:A1586,"Câu "&amp;"*")-MID(A1586,5,FIND(".",A1586,1)-5),0)</f>
        <v>0</v>
      </c>
      <c r="C1586" t="b">
        <v>0</v>
      </c>
      <c r="E1586" t="str">
        <f t="shared" si="144"/>
        <v>4</v>
      </c>
      <c r="F1586" t="str">
        <f t="shared" si="145"/>
        <v>Câu 383.</v>
      </c>
      <c r="G1586" t="str">
        <f t="shared" si="146"/>
        <v>1</v>
      </c>
      <c r="H1586" t="str">
        <f t="shared" si="147"/>
        <v>2</v>
      </c>
      <c r="I1586" t="str">
        <f t="shared" si="148"/>
        <v>3</v>
      </c>
      <c r="J1586" t="str">
        <f t="shared" ca="1" si="149"/>
        <v/>
      </c>
    </row>
    <row r="1587" spans="1:10" ht="18.75" x14ac:dyDescent="0.25">
      <c r="A1587" s="10" t="s">
        <v>1209</v>
      </c>
      <c r="B1587">
        <f>IFERROR(COUNTIFS($A$1:A1587,"Câu "&amp;"*")-MID(A1587,5,FIND(".",A1587,1)-5),0)</f>
        <v>0</v>
      </c>
      <c r="C1587" t="b">
        <v>0</v>
      </c>
      <c r="E1587" t="str">
        <f t="shared" si="144"/>
        <v>Câu 383.</v>
      </c>
      <c r="F1587" t="str">
        <f t="shared" si="145"/>
        <v>1</v>
      </c>
      <c r="G1587" t="str">
        <f t="shared" si="146"/>
        <v>2</v>
      </c>
      <c r="H1587" t="str">
        <f t="shared" si="147"/>
        <v>3</v>
      </c>
      <c r="I1587" t="str">
        <f t="shared" si="148"/>
        <v/>
      </c>
      <c r="J1587" t="str">
        <f t="shared" ca="1" si="149"/>
        <v>2</v>
      </c>
    </row>
    <row r="1588" spans="1:10" ht="18.75" x14ac:dyDescent="0.25">
      <c r="A1588" s="11" t="s">
        <v>2676</v>
      </c>
      <c r="B1588">
        <f>IFERROR(COUNTIFS($A$1:A1588,"Câu "&amp;"*")-MID(A1588,5,FIND(".",A1588,1)-5),0)</f>
        <v>0</v>
      </c>
      <c r="C1588" t="b">
        <v>0</v>
      </c>
      <c r="E1588" t="str">
        <f t="shared" si="144"/>
        <v>1</v>
      </c>
      <c r="F1588" t="str">
        <f t="shared" si="145"/>
        <v>2</v>
      </c>
      <c r="G1588" t="str">
        <f t="shared" si="146"/>
        <v>3</v>
      </c>
      <c r="H1588" t="str">
        <f t="shared" si="147"/>
        <v/>
      </c>
      <c r="I1588" t="str">
        <f t="shared" si="148"/>
        <v>1</v>
      </c>
      <c r="J1588" t="str">
        <f t="shared" ca="1" si="149"/>
        <v/>
      </c>
    </row>
    <row r="1589" spans="1:10" ht="18.75" x14ac:dyDescent="0.25">
      <c r="A1589" s="11" t="s">
        <v>2618</v>
      </c>
      <c r="B1589">
        <f>IFERROR(COUNTIFS($A$1:A1589,"Câu "&amp;"*")-MID(A1589,5,FIND(".",A1589,1)-5),0)</f>
        <v>0</v>
      </c>
      <c r="C1589" t="b">
        <v>1</v>
      </c>
      <c r="E1589" t="str">
        <f t="shared" si="144"/>
        <v>2</v>
      </c>
      <c r="F1589" t="str">
        <f t="shared" si="145"/>
        <v>3</v>
      </c>
      <c r="G1589" t="str">
        <f t="shared" si="146"/>
        <v>Câu 384.</v>
      </c>
      <c r="H1589" t="str">
        <f t="shared" si="147"/>
        <v>1</v>
      </c>
      <c r="I1589" t="str">
        <f t="shared" si="148"/>
        <v>2</v>
      </c>
      <c r="J1589" t="str">
        <f t="shared" ca="1" si="149"/>
        <v/>
      </c>
    </row>
    <row r="1590" spans="1:10" ht="18.75" x14ac:dyDescent="0.25">
      <c r="A1590" s="11" t="s">
        <v>2611</v>
      </c>
      <c r="B1590">
        <f>IFERROR(COUNTIFS($A$1:A1590,"Câu "&amp;"*")-MID(A1590,5,FIND(".",A1590,1)-5),0)</f>
        <v>0</v>
      </c>
      <c r="C1590" t="b">
        <v>0</v>
      </c>
      <c r="E1590" t="str">
        <f t="shared" si="144"/>
        <v>3</v>
      </c>
      <c r="F1590" t="str">
        <f t="shared" si="145"/>
        <v>Câu 384.</v>
      </c>
      <c r="G1590" t="str">
        <f t="shared" si="146"/>
        <v>1</v>
      </c>
      <c r="H1590" t="str">
        <f t="shared" si="147"/>
        <v>2</v>
      </c>
      <c r="I1590" t="str">
        <f t="shared" si="148"/>
        <v>3</v>
      </c>
      <c r="J1590" t="str">
        <f t="shared" ca="1" si="149"/>
        <v/>
      </c>
    </row>
    <row r="1591" spans="1:10" ht="18.75" x14ac:dyDescent="0.25">
      <c r="A1591" s="10" t="s">
        <v>1210</v>
      </c>
      <c r="B1591">
        <f>IFERROR(COUNTIFS($A$1:A1591,"Câu "&amp;"*")-MID(A1591,5,FIND(".",A1591,1)-5),0)</f>
        <v>0</v>
      </c>
      <c r="C1591" t="b">
        <v>0</v>
      </c>
      <c r="E1591" t="str">
        <f t="shared" si="144"/>
        <v>Câu 384.</v>
      </c>
      <c r="F1591" t="str">
        <f t="shared" si="145"/>
        <v>1</v>
      </c>
      <c r="G1591" t="str">
        <f t="shared" si="146"/>
        <v>2</v>
      </c>
      <c r="H1591" t="str">
        <f t="shared" si="147"/>
        <v>3</v>
      </c>
      <c r="I1591" t="str">
        <f t="shared" si="148"/>
        <v>4</v>
      </c>
      <c r="J1591" t="str">
        <f t="shared" ca="1" si="149"/>
        <v>1</v>
      </c>
    </row>
    <row r="1592" spans="1:10" ht="18.75" x14ac:dyDescent="0.25">
      <c r="A1592" s="11" t="s">
        <v>2607</v>
      </c>
      <c r="B1592">
        <f>IFERROR(COUNTIFS($A$1:A1592,"Câu "&amp;"*")-MID(A1592,5,FIND(".",A1592,1)-5),0)</f>
        <v>0</v>
      </c>
      <c r="C1592" t="b">
        <v>1</v>
      </c>
      <c r="E1592" t="str">
        <f t="shared" si="144"/>
        <v>1</v>
      </c>
      <c r="F1592" t="str">
        <f t="shared" si="145"/>
        <v>2</v>
      </c>
      <c r="G1592" t="str">
        <f t="shared" si="146"/>
        <v>3</v>
      </c>
      <c r="H1592" t="str">
        <f t="shared" si="147"/>
        <v>4</v>
      </c>
      <c r="I1592" t="str">
        <f t="shared" si="148"/>
        <v/>
      </c>
      <c r="J1592" t="str">
        <f t="shared" ca="1" si="149"/>
        <v/>
      </c>
    </row>
    <row r="1593" spans="1:10" ht="18.75" x14ac:dyDescent="0.25">
      <c r="A1593" s="11" t="s">
        <v>2608</v>
      </c>
      <c r="B1593">
        <f>IFERROR(COUNTIFS($A$1:A1593,"Câu "&amp;"*")-MID(A1593,5,FIND(".",A1593,1)-5),0)</f>
        <v>0</v>
      </c>
      <c r="C1593" t="b">
        <v>0</v>
      </c>
      <c r="E1593" t="str">
        <f t="shared" si="144"/>
        <v>2</v>
      </c>
      <c r="F1593" t="str">
        <f t="shared" si="145"/>
        <v>3</v>
      </c>
      <c r="G1593" t="str">
        <f t="shared" si="146"/>
        <v>4</v>
      </c>
      <c r="H1593" t="str">
        <f t="shared" si="147"/>
        <v/>
      </c>
      <c r="I1593" t="str">
        <f t="shared" si="148"/>
        <v>1</v>
      </c>
      <c r="J1593" t="str">
        <f t="shared" ca="1" si="149"/>
        <v/>
      </c>
    </row>
    <row r="1594" spans="1:10" ht="18.75" x14ac:dyDescent="0.25">
      <c r="A1594" s="11" t="s">
        <v>2609</v>
      </c>
      <c r="B1594">
        <f>IFERROR(COUNTIFS($A$1:A1594,"Câu "&amp;"*")-MID(A1594,5,FIND(".",A1594,1)-5),0)</f>
        <v>0</v>
      </c>
      <c r="C1594" t="b">
        <v>0</v>
      </c>
      <c r="E1594" t="str">
        <f t="shared" si="144"/>
        <v>3</v>
      </c>
      <c r="F1594" t="str">
        <f t="shared" si="145"/>
        <v>4</v>
      </c>
      <c r="G1594" t="str">
        <f t="shared" si="146"/>
        <v>Câu 385.</v>
      </c>
      <c r="H1594" t="str">
        <f t="shared" si="147"/>
        <v>1</v>
      </c>
      <c r="I1594" t="str">
        <f t="shared" si="148"/>
        <v>2</v>
      </c>
      <c r="J1594" t="str">
        <f t="shared" ca="1" si="149"/>
        <v/>
      </c>
    </row>
    <row r="1595" spans="1:10" ht="18.75" x14ac:dyDescent="0.25">
      <c r="A1595" s="11" t="s">
        <v>2606</v>
      </c>
      <c r="B1595">
        <f>IFERROR(COUNTIFS($A$1:A1595,"Câu "&amp;"*")-MID(A1595,5,FIND(".",A1595,1)-5),0)</f>
        <v>0</v>
      </c>
      <c r="C1595" t="b">
        <v>0</v>
      </c>
      <c r="E1595" t="str">
        <f t="shared" si="144"/>
        <v>4</v>
      </c>
      <c r="F1595" t="str">
        <f t="shared" si="145"/>
        <v>Câu 385.</v>
      </c>
      <c r="G1595" t="str">
        <f t="shared" si="146"/>
        <v>1</v>
      </c>
      <c r="H1595" t="str">
        <f t="shared" si="147"/>
        <v>2</v>
      </c>
      <c r="I1595" t="str">
        <f t="shared" si="148"/>
        <v>3</v>
      </c>
      <c r="J1595" t="str">
        <f t="shared" ca="1" si="149"/>
        <v/>
      </c>
    </row>
    <row r="1596" spans="1:10" ht="18.75" x14ac:dyDescent="0.25">
      <c r="A1596" s="10" t="s">
        <v>1211</v>
      </c>
      <c r="B1596">
        <f>IFERROR(COUNTIFS($A$1:A1596,"Câu "&amp;"*")-MID(A1596,5,FIND(".",A1596,1)-5),0)</f>
        <v>0</v>
      </c>
      <c r="C1596" t="b">
        <v>0</v>
      </c>
      <c r="E1596" t="str">
        <f t="shared" si="144"/>
        <v>Câu 385.</v>
      </c>
      <c r="F1596" t="str">
        <f t="shared" si="145"/>
        <v>1</v>
      </c>
      <c r="G1596" t="str">
        <f t="shared" si="146"/>
        <v>2</v>
      </c>
      <c r="H1596" t="str">
        <f t="shared" si="147"/>
        <v>3</v>
      </c>
      <c r="I1596" t="str">
        <f t="shared" si="148"/>
        <v>4</v>
      </c>
      <c r="J1596" t="str">
        <f t="shared" ca="1" si="149"/>
        <v>3</v>
      </c>
    </row>
    <row r="1597" spans="1:10" ht="18.75" x14ac:dyDescent="0.25">
      <c r="A1597" s="11" t="s">
        <v>2603</v>
      </c>
      <c r="B1597">
        <f>IFERROR(COUNTIFS($A$1:A1597,"Câu "&amp;"*")-MID(A1597,5,FIND(".",A1597,1)-5),0)</f>
        <v>0</v>
      </c>
      <c r="C1597" t="b">
        <v>0</v>
      </c>
      <c r="E1597" t="str">
        <f t="shared" si="144"/>
        <v>1</v>
      </c>
      <c r="F1597" t="str">
        <f t="shared" si="145"/>
        <v>2</v>
      </c>
      <c r="G1597" t="str">
        <f t="shared" si="146"/>
        <v>3</v>
      </c>
      <c r="H1597" t="str">
        <f t="shared" si="147"/>
        <v>4</v>
      </c>
      <c r="I1597" t="str">
        <f t="shared" si="148"/>
        <v/>
      </c>
      <c r="J1597" t="str">
        <f t="shared" ca="1" si="149"/>
        <v/>
      </c>
    </row>
    <row r="1598" spans="1:10" ht="18.75" x14ac:dyDescent="0.25">
      <c r="A1598" s="11" t="s">
        <v>2608</v>
      </c>
      <c r="B1598">
        <f>IFERROR(COUNTIFS($A$1:A1598,"Câu "&amp;"*")-MID(A1598,5,FIND(".",A1598,1)-5),0)</f>
        <v>0</v>
      </c>
      <c r="C1598" t="b">
        <v>0</v>
      </c>
      <c r="E1598" t="str">
        <f t="shared" si="144"/>
        <v>2</v>
      </c>
      <c r="F1598" t="str">
        <f t="shared" si="145"/>
        <v>3</v>
      </c>
      <c r="G1598" t="str">
        <f t="shared" si="146"/>
        <v>4</v>
      </c>
      <c r="H1598" t="str">
        <f t="shared" si="147"/>
        <v/>
      </c>
      <c r="I1598" t="str">
        <f t="shared" si="148"/>
        <v>1</v>
      </c>
      <c r="J1598" t="str">
        <f t="shared" ca="1" si="149"/>
        <v/>
      </c>
    </row>
    <row r="1599" spans="1:10" ht="18.75" x14ac:dyDescent="0.25">
      <c r="A1599" s="11" t="s">
        <v>2614</v>
      </c>
      <c r="B1599">
        <f>IFERROR(COUNTIFS($A$1:A1599,"Câu "&amp;"*")-MID(A1599,5,FIND(".",A1599,1)-5),0)</f>
        <v>0</v>
      </c>
      <c r="C1599" t="b">
        <v>1</v>
      </c>
      <c r="E1599" t="str">
        <f t="shared" si="144"/>
        <v>3</v>
      </c>
      <c r="F1599" t="str">
        <f t="shared" si="145"/>
        <v>4</v>
      </c>
      <c r="G1599" t="str">
        <f t="shared" si="146"/>
        <v>Câu 386.</v>
      </c>
      <c r="H1599" t="str">
        <f t="shared" si="147"/>
        <v>1</v>
      </c>
      <c r="I1599" t="str">
        <f t="shared" si="148"/>
        <v>2</v>
      </c>
      <c r="J1599" t="str">
        <f t="shared" ca="1" si="149"/>
        <v/>
      </c>
    </row>
    <row r="1600" spans="1:10" ht="18.75" x14ac:dyDescent="0.25">
      <c r="A1600" s="11" t="s">
        <v>2606</v>
      </c>
      <c r="B1600">
        <f>IFERROR(COUNTIFS($A$1:A1600,"Câu "&amp;"*")-MID(A1600,5,FIND(".",A1600,1)-5),0)</f>
        <v>0</v>
      </c>
      <c r="C1600" t="b">
        <v>0</v>
      </c>
      <c r="E1600" t="str">
        <f t="shared" si="144"/>
        <v>4</v>
      </c>
      <c r="F1600" t="str">
        <f t="shared" si="145"/>
        <v>Câu 386.</v>
      </c>
      <c r="G1600" t="str">
        <f t="shared" si="146"/>
        <v>1</v>
      </c>
      <c r="H1600" t="str">
        <f t="shared" si="147"/>
        <v>2</v>
      </c>
      <c r="I1600" t="str">
        <f t="shared" si="148"/>
        <v>3</v>
      </c>
      <c r="J1600" t="str">
        <f t="shared" ca="1" si="149"/>
        <v/>
      </c>
    </row>
    <row r="1601" spans="1:10" ht="18.75" x14ac:dyDescent="0.25">
      <c r="A1601" s="10" t="s">
        <v>1212</v>
      </c>
      <c r="B1601">
        <f>IFERROR(COUNTIFS($A$1:A1601,"Câu "&amp;"*")-MID(A1601,5,FIND(".",A1601,1)-5),0)</f>
        <v>0</v>
      </c>
      <c r="C1601" t="b">
        <v>0</v>
      </c>
      <c r="E1601" t="str">
        <f t="shared" si="144"/>
        <v>Câu 386.</v>
      </c>
      <c r="F1601" t="str">
        <f t="shared" si="145"/>
        <v>1</v>
      </c>
      <c r="G1601" t="str">
        <f t="shared" si="146"/>
        <v>2</v>
      </c>
      <c r="H1601" t="str">
        <f t="shared" si="147"/>
        <v>3</v>
      </c>
      <c r="I1601" t="str">
        <f t="shared" si="148"/>
        <v>4</v>
      </c>
      <c r="J1601" t="str">
        <f t="shared" ca="1" si="149"/>
        <v>3</v>
      </c>
    </row>
    <row r="1602" spans="1:10" ht="18.75" x14ac:dyDescent="0.25">
      <c r="A1602" s="11" t="s">
        <v>2603</v>
      </c>
      <c r="B1602">
        <f>IFERROR(COUNTIFS($A$1:A1602,"Câu "&amp;"*")-MID(A1602,5,FIND(".",A1602,1)-5),0)</f>
        <v>0</v>
      </c>
      <c r="C1602" t="b">
        <v>0</v>
      </c>
      <c r="E1602" t="str">
        <f t="shared" si="144"/>
        <v>1</v>
      </c>
      <c r="F1602" t="str">
        <f t="shared" si="145"/>
        <v>2</v>
      </c>
      <c r="G1602" t="str">
        <f t="shared" si="146"/>
        <v>3</v>
      </c>
      <c r="H1602" t="str">
        <f t="shared" si="147"/>
        <v>4</v>
      </c>
      <c r="I1602" t="str">
        <f t="shared" si="148"/>
        <v/>
      </c>
      <c r="J1602" t="str">
        <f t="shared" ca="1" si="149"/>
        <v/>
      </c>
    </row>
    <row r="1603" spans="1:10" ht="18.75" x14ac:dyDescent="0.25">
      <c r="A1603" s="11" t="s">
        <v>2600</v>
      </c>
      <c r="B1603">
        <f>IFERROR(COUNTIFS($A$1:A1603,"Câu "&amp;"*")-MID(A1603,5,FIND(".",A1603,1)-5),0)</f>
        <v>0</v>
      </c>
      <c r="C1603" t="b">
        <v>0</v>
      </c>
      <c r="E1603" t="str">
        <f t="shared" ref="E1603:E1666" si="150">IF(LEFT(A1603,3)="Câu",LEFT(A1603,FIND(".",A1603,1)),LEFT(A1603,1))</f>
        <v>2</v>
      </c>
      <c r="F1603" t="str">
        <f t="shared" ref="F1603:F1666" si="151">IF(LEFT(A1604,3)="Câu",LEFT(A1604,FIND(".",A1604,1)),LEFT(A1604,1))</f>
        <v>3</v>
      </c>
      <c r="G1603" t="str">
        <f t="shared" ref="G1603:G1666" si="152">IF(LEFT(A1605,3)="Câu",LEFT(A1605,FIND(".",A1605,1)),LEFT(A1605,1))</f>
        <v>4</v>
      </c>
      <c r="H1603" t="str">
        <f t="shared" ref="H1603:H1666" si="153">IF(LEFT(A1606,3)="Câu","",LEFT(A1606,1))</f>
        <v/>
      </c>
      <c r="I1603" t="str">
        <f t="shared" ref="I1603:I1666" si="154">IF(LEFT(A1607,3)="Câu","",LEFT(A1607,1))</f>
        <v>1</v>
      </c>
      <c r="J1603" t="str">
        <f t="shared" ref="J1603:J1666" ca="1" si="155">IFERROR(VLOOKUP(TRUE,INDIRECT("C"&amp;MATCH(E1603,$E$1:$E$2471,0)&amp;":E"&amp;MATCH("Câu "&amp;VALUE(MID(E1603,5,LEN(E1603)-5))+1&amp;".",$E$1:$E$2471,0)),3,0),"")</f>
        <v/>
      </c>
    </row>
    <row r="1604" spans="1:10" ht="18.75" x14ac:dyDescent="0.25">
      <c r="A1604" s="11" t="s">
        <v>2628</v>
      </c>
      <c r="B1604">
        <f>IFERROR(COUNTIFS($A$1:A1604,"Câu "&amp;"*")-MID(A1604,5,FIND(".",A1604,1)-5),0)</f>
        <v>0</v>
      </c>
      <c r="C1604" t="b">
        <v>1</v>
      </c>
      <c r="E1604" t="str">
        <f t="shared" si="150"/>
        <v>3</v>
      </c>
      <c r="F1604" t="str">
        <f t="shared" si="151"/>
        <v>4</v>
      </c>
      <c r="G1604" t="str">
        <f t="shared" si="152"/>
        <v>Câu 387.</v>
      </c>
      <c r="H1604" t="str">
        <f t="shared" si="153"/>
        <v>1</v>
      </c>
      <c r="I1604" t="str">
        <f t="shared" si="154"/>
        <v>2</v>
      </c>
      <c r="J1604" t="str">
        <f t="shared" ca="1" si="155"/>
        <v/>
      </c>
    </row>
    <row r="1605" spans="1:10" ht="18.75" x14ac:dyDescent="0.25">
      <c r="A1605" s="11" t="s">
        <v>2606</v>
      </c>
      <c r="B1605">
        <f>IFERROR(COUNTIFS($A$1:A1605,"Câu "&amp;"*")-MID(A1605,5,FIND(".",A1605,1)-5),0)</f>
        <v>0</v>
      </c>
      <c r="C1605" t="b">
        <v>0</v>
      </c>
      <c r="E1605" t="str">
        <f t="shared" si="150"/>
        <v>4</v>
      </c>
      <c r="F1605" t="str">
        <f t="shared" si="151"/>
        <v>Câu 387.</v>
      </c>
      <c r="G1605" t="str">
        <f t="shared" si="152"/>
        <v>1</v>
      </c>
      <c r="H1605" t="str">
        <f t="shared" si="153"/>
        <v>2</v>
      </c>
      <c r="I1605" t="str">
        <f t="shared" si="154"/>
        <v>3</v>
      </c>
      <c r="J1605" t="str">
        <f t="shared" ca="1" si="155"/>
        <v/>
      </c>
    </row>
    <row r="1606" spans="1:10" ht="18.75" x14ac:dyDescent="0.25">
      <c r="A1606" s="10" t="s">
        <v>1213</v>
      </c>
      <c r="B1606">
        <f>IFERROR(COUNTIFS($A$1:A1606,"Câu "&amp;"*")-MID(A1606,5,FIND(".",A1606,1)-5),0)</f>
        <v>0</v>
      </c>
      <c r="C1606" t="b">
        <v>0</v>
      </c>
      <c r="E1606" t="str">
        <f t="shared" si="150"/>
        <v>Câu 387.</v>
      </c>
      <c r="F1606" t="str">
        <f t="shared" si="151"/>
        <v>1</v>
      </c>
      <c r="G1606" t="str">
        <f t="shared" si="152"/>
        <v>2</v>
      </c>
      <c r="H1606" t="str">
        <f t="shared" si="153"/>
        <v>3</v>
      </c>
      <c r="I1606" t="str">
        <f t="shared" si="154"/>
        <v/>
      </c>
      <c r="J1606" t="str">
        <f t="shared" ca="1" si="155"/>
        <v>1</v>
      </c>
    </row>
    <row r="1607" spans="1:10" ht="18.75" x14ac:dyDescent="0.25">
      <c r="A1607" s="11" t="s">
        <v>2599</v>
      </c>
      <c r="B1607">
        <f>IFERROR(COUNTIFS($A$1:A1607,"Câu "&amp;"*")-MID(A1607,5,FIND(".",A1607,1)-5),0)</f>
        <v>0</v>
      </c>
      <c r="C1607" t="b">
        <v>1</v>
      </c>
      <c r="E1607" t="str">
        <f t="shared" si="150"/>
        <v>1</v>
      </c>
      <c r="F1607" t="str">
        <f t="shared" si="151"/>
        <v>2</v>
      </c>
      <c r="G1607" t="str">
        <f t="shared" si="152"/>
        <v>3</v>
      </c>
      <c r="H1607" t="str">
        <f t="shared" si="153"/>
        <v/>
      </c>
      <c r="I1607" t="str">
        <f t="shared" si="154"/>
        <v>1</v>
      </c>
      <c r="J1607" t="str">
        <f t="shared" ca="1" si="155"/>
        <v/>
      </c>
    </row>
    <row r="1608" spans="1:10" ht="18.75" x14ac:dyDescent="0.25">
      <c r="A1608" s="11" t="s">
        <v>2600</v>
      </c>
      <c r="B1608">
        <f>IFERROR(COUNTIFS($A$1:A1608,"Câu "&amp;"*")-MID(A1608,5,FIND(".",A1608,1)-5),0)</f>
        <v>0</v>
      </c>
      <c r="C1608" t="b">
        <v>0</v>
      </c>
      <c r="E1608" t="str">
        <f t="shared" si="150"/>
        <v>2</v>
      </c>
      <c r="F1608" t="str">
        <f t="shared" si="151"/>
        <v>3</v>
      </c>
      <c r="G1608" t="str">
        <f t="shared" si="152"/>
        <v>Câu 388.</v>
      </c>
      <c r="H1608" t="str">
        <f t="shared" si="153"/>
        <v>1</v>
      </c>
      <c r="I1608" t="str">
        <f t="shared" si="154"/>
        <v>2</v>
      </c>
      <c r="J1608" t="str">
        <f t="shared" ca="1" si="155"/>
        <v/>
      </c>
    </row>
    <row r="1609" spans="1:10" ht="18.75" x14ac:dyDescent="0.25">
      <c r="A1609" s="11" t="s">
        <v>2611</v>
      </c>
      <c r="B1609">
        <f>IFERROR(COUNTIFS($A$1:A1609,"Câu "&amp;"*")-MID(A1609,5,FIND(".",A1609,1)-5),0)</f>
        <v>0</v>
      </c>
      <c r="C1609" t="b">
        <v>0</v>
      </c>
      <c r="E1609" t="str">
        <f t="shared" si="150"/>
        <v>3</v>
      </c>
      <c r="F1609" t="str">
        <f t="shared" si="151"/>
        <v>Câu 388.</v>
      </c>
      <c r="G1609" t="str">
        <f t="shared" si="152"/>
        <v>1</v>
      </c>
      <c r="H1609" t="str">
        <f t="shared" si="153"/>
        <v>2</v>
      </c>
      <c r="I1609" t="str">
        <f t="shared" si="154"/>
        <v>3</v>
      </c>
      <c r="J1609" t="str">
        <f t="shared" ca="1" si="155"/>
        <v/>
      </c>
    </row>
    <row r="1610" spans="1:10" ht="18.75" x14ac:dyDescent="0.25">
      <c r="A1610" s="10" t="s">
        <v>1214</v>
      </c>
      <c r="B1610">
        <f>IFERROR(COUNTIFS($A$1:A1610,"Câu "&amp;"*")-MID(A1610,5,FIND(".",A1610,1)-5),0)</f>
        <v>0</v>
      </c>
      <c r="C1610" t="b">
        <v>0</v>
      </c>
      <c r="E1610" t="str">
        <f t="shared" si="150"/>
        <v>Câu 388.</v>
      </c>
      <c r="F1610" t="str">
        <f t="shared" si="151"/>
        <v>1</v>
      </c>
      <c r="G1610" t="str">
        <f t="shared" si="152"/>
        <v>2</v>
      </c>
      <c r="H1610" t="str">
        <f t="shared" si="153"/>
        <v>3</v>
      </c>
      <c r="I1610" t="str">
        <f t="shared" si="154"/>
        <v/>
      </c>
      <c r="J1610" t="str">
        <f t="shared" ca="1" si="155"/>
        <v>2</v>
      </c>
    </row>
    <row r="1611" spans="1:10" ht="18.75" x14ac:dyDescent="0.25">
      <c r="A1611" s="11" t="s">
        <v>2603</v>
      </c>
      <c r="B1611">
        <f>IFERROR(COUNTIFS($A$1:A1611,"Câu "&amp;"*")-MID(A1611,5,FIND(".",A1611,1)-5),0)</f>
        <v>0</v>
      </c>
      <c r="C1611" t="b">
        <v>0</v>
      </c>
      <c r="E1611" t="str">
        <f t="shared" si="150"/>
        <v>1</v>
      </c>
      <c r="F1611" t="str">
        <f t="shared" si="151"/>
        <v>2</v>
      </c>
      <c r="G1611" t="str">
        <f t="shared" si="152"/>
        <v>3</v>
      </c>
      <c r="H1611" t="str">
        <f t="shared" si="153"/>
        <v/>
      </c>
      <c r="I1611" t="str">
        <f t="shared" si="154"/>
        <v>1</v>
      </c>
      <c r="J1611" t="str">
        <f t="shared" ca="1" si="155"/>
        <v/>
      </c>
    </row>
    <row r="1612" spans="1:10" ht="18.75" x14ac:dyDescent="0.25">
      <c r="A1612" s="11" t="s">
        <v>2618</v>
      </c>
      <c r="B1612">
        <f>IFERROR(COUNTIFS($A$1:A1612,"Câu "&amp;"*")-MID(A1612,5,FIND(".",A1612,1)-5),0)</f>
        <v>0</v>
      </c>
      <c r="C1612" t="b">
        <v>1</v>
      </c>
      <c r="E1612" t="str">
        <f t="shared" si="150"/>
        <v>2</v>
      </c>
      <c r="F1612" t="str">
        <f t="shared" si="151"/>
        <v>3</v>
      </c>
      <c r="G1612" t="str">
        <f t="shared" si="152"/>
        <v>Câu 389.</v>
      </c>
      <c r="H1612" t="str">
        <f t="shared" si="153"/>
        <v>1</v>
      </c>
      <c r="I1612" t="str">
        <f t="shared" si="154"/>
        <v>2</v>
      </c>
      <c r="J1612" t="str">
        <f t="shared" ca="1" si="155"/>
        <v/>
      </c>
    </row>
    <row r="1613" spans="1:10" ht="18.75" x14ac:dyDescent="0.25">
      <c r="A1613" s="11" t="s">
        <v>2611</v>
      </c>
      <c r="B1613">
        <f>IFERROR(COUNTIFS($A$1:A1613,"Câu "&amp;"*")-MID(A1613,5,FIND(".",A1613,1)-5),0)</f>
        <v>0</v>
      </c>
      <c r="C1613" t="b">
        <v>0</v>
      </c>
      <c r="E1613" t="str">
        <f t="shared" si="150"/>
        <v>3</v>
      </c>
      <c r="F1613" t="str">
        <f t="shared" si="151"/>
        <v>Câu 389.</v>
      </c>
      <c r="G1613" t="str">
        <f t="shared" si="152"/>
        <v>1</v>
      </c>
      <c r="H1613" t="str">
        <f t="shared" si="153"/>
        <v>2</v>
      </c>
      <c r="I1613" t="str">
        <f t="shared" si="154"/>
        <v>3</v>
      </c>
      <c r="J1613" t="str">
        <f t="shared" ca="1" si="155"/>
        <v/>
      </c>
    </row>
    <row r="1614" spans="1:10" ht="18.75" x14ac:dyDescent="0.25">
      <c r="A1614" s="10" t="s">
        <v>1215</v>
      </c>
      <c r="B1614">
        <f>IFERROR(COUNTIFS($A$1:A1614,"Câu "&amp;"*")-MID(A1614,5,FIND(".",A1614,1)-5),0)</f>
        <v>0</v>
      </c>
      <c r="C1614" t="b">
        <v>0</v>
      </c>
      <c r="E1614" t="str">
        <f t="shared" si="150"/>
        <v>Câu 389.</v>
      </c>
      <c r="F1614" t="str">
        <f t="shared" si="151"/>
        <v>1</v>
      </c>
      <c r="G1614" t="str">
        <f t="shared" si="152"/>
        <v>2</v>
      </c>
      <c r="H1614" t="str">
        <f t="shared" si="153"/>
        <v>3</v>
      </c>
      <c r="I1614" t="str">
        <f t="shared" si="154"/>
        <v/>
      </c>
      <c r="J1614" t="str">
        <f t="shared" ca="1" si="155"/>
        <v>1</v>
      </c>
    </row>
    <row r="1615" spans="1:10" ht="18.75" x14ac:dyDescent="0.25">
      <c r="A1615" s="11" t="s">
        <v>2599</v>
      </c>
      <c r="B1615">
        <f>IFERROR(COUNTIFS($A$1:A1615,"Câu "&amp;"*")-MID(A1615,5,FIND(".",A1615,1)-5),0)</f>
        <v>0</v>
      </c>
      <c r="C1615" t="b">
        <v>1</v>
      </c>
      <c r="E1615" t="str">
        <f t="shared" si="150"/>
        <v>1</v>
      </c>
      <c r="F1615" t="str">
        <f t="shared" si="151"/>
        <v>2</v>
      </c>
      <c r="G1615" t="str">
        <f t="shared" si="152"/>
        <v>3</v>
      </c>
      <c r="H1615" t="str">
        <f t="shared" si="153"/>
        <v/>
      </c>
      <c r="I1615" t="str">
        <f t="shared" si="154"/>
        <v>1</v>
      </c>
      <c r="J1615" t="str">
        <f t="shared" ca="1" si="155"/>
        <v/>
      </c>
    </row>
    <row r="1616" spans="1:10" ht="18.75" x14ac:dyDescent="0.25">
      <c r="A1616" s="11" t="s">
        <v>2600</v>
      </c>
      <c r="B1616">
        <f>IFERROR(COUNTIFS($A$1:A1616,"Câu "&amp;"*")-MID(A1616,5,FIND(".",A1616,1)-5),0)</f>
        <v>0</v>
      </c>
      <c r="C1616" t="b">
        <v>0</v>
      </c>
      <c r="E1616" t="str">
        <f t="shared" si="150"/>
        <v>2</v>
      </c>
      <c r="F1616" t="str">
        <f t="shared" si="151"/>
        <v>3</v>
      </c>
      <c r="G1616" t="str">
        <f t="shared" si="152"/>
        <v>Câu 390.</v>
      </c>
      <c r="H1616" t="str">
        <f t="shared" si="153"/>
        <v>1</v>
      </c>
      <c r="I1616" t="str">
        <f t="shared" si="154"/>
        <v>2</v>
      </c>
      <c r="J1616" t="str">
        <f t="shared" ca="1" si="155"/>
        <v/>
      </c>
    </row>
    <row r="1617" spans="1:10" ht="18.75" x14ac:dyDescent="0.25">
      <c r="A1617" s="11" t="s">
        <v>2611</v>
      </c>
      <c r="B1617">
        <f>IFERROR(COUNTIFS($A$1:A1617,"Câu "&amp;"*")-MID(A1617,5,FIND(".",A1617,1)-5),0)</f>
        <v>0</v>
      </c>
      <c r="C1617" t="b">
        <v>0</v>
      </c>
      <c r="E1617" t="str">
        <f t="shared" si="150"/>
        <v>3</v>
      </c>
      <c r="F1617" t="str">
        <f t="shared" si="151"/>
        <v>Câu 390.</v>
      </c>
      <c r="G1617" t="str">
        <f t="shared" si="152"/>
        <v>1</v>
      </c>
      <c r="H1617" t="str">
        <f t="shared" si="153"/>
        <v>2</v>
      </c>
      <c r="I1617" t="str">
        <f t="shared" si="154"/>
        <v>3</v>
      </c>
      <c r="J1617" t="str">
        <f t="shared" ca="1" si="155"/>
        <v/>
      </c>
    </row>
    <row r="1618" spans="1:10" ht="18.75" x14ac:dyDescent="0.25">
      <c r="A1618" s="10" t="s">
        <v>1216</v>
      </c>
      <c r="B1618">
        <f>IFERROR(COUNTIFS($A$1:A1618,"Câu "&amp;"*")-MID(A1618,5,FIND(".",A1618,1)-5),0)</f>
        <v>0</v>
      </c>
      <c r="C1618" t="b">
        <v>0</v>
      </c>
      <c r="E1618" t="str">
        <f t="shared" si="150"/>
        <v>Câu 390.</v>
      </c>
      <c r="F1618" t="str">
        <f t="shared" si="151"/>
        <v>1</v>
      </c>
      <c r="G1618" t="str">
        <f t="shared" si="152"/>
        <v>2</v>
      </c>
      <c r="H1618" t="str">
        <f t="shared" si="153"/>
        <v>3</v>
      </c>
      <c r="I1618" t="str">
        <f t="shared" si="154"/>
        <v/>
      </c>
      <c r="J1618" t="str">
        <f t="shared" ca="1" si="155"/>
        <v>2</v>
      </c>
    </row>
    <row r="1619" spans="1:10" ht="18.75" x14ac:dyDescent="0.25">
      <c r="A1619" s="11" t="s">
        <v>2603</v>
      </c>
      <c r="B1619">
        <f>IFERROR(COUNTIFS($A$1:A1619,"Câu "&amp;"*")-MID(A1619,5,FIND(".",A1619,1)-5),0)</f>
        <v>0</v>
      </c>
      <c r="C1619" t="b">
        <v>0</v>
      </c>
      <c r="E1619" t="str">
        <f t="shared" si="150"/>
        <v>1</v>
      </c>
      <c r="F1619" t="str">
        <f t="shared" si="151"/>
        <v>2</v>
      </c>
      <c r="G1619" t="str">
        <f t="shared" si="152"/>
        <v>3</v>
      </c>
      <c r="H1619" t="str">
        <f t="shared" si="153"/>
        <v/>
      </c>
      <c r="I1619" t="str">
        <f t="shared" si="154"/>
        <v>1</v>
      </c>
      <c r="J1619" t="str">
        <f t="shared" ca="1" si="155"/>
        <v/>
      </c>
    </row>
    <row r="1620" spans="1:10" ht="18.75" x14ac:dyDescent="0.25">
      <c r="A1620" s="11" t="s">
        <v>2618</v>
      </c>
      <c r="B1620">
        <f>IFERROR(COUNTIFS($A$1:A1620,"Câu "&amp;"*")-MID(A1620,5,FIND(".",A1620,1)-5),0)</f>
        <v>0</v>
      </c>
      <c r="C1620" t="b">
        <v>1</v>
      </c>
      <c r="E1620" t="str">
        <f t="shared" si="150"/>
        <v>2</v>
      </c>
      <c r="F1620" t="str">
        <f t="shared" si="151"/>
        <v>3</v>
      </c>
      <c r="G1620" t="str">
        <f t="shared" si="152"/>
        <v>Câu 391.</v>
      </c>
      <c r="H1620" t="str">
        <f t="shared" si="153"/>
        <v>1</v>
      </c>
      <c r="I1620" t="str">
        <f t="shared" si="154"/>
        <v>2</v>
      </c>
      <c r="J1620" t="str">
        <f t="shared" ca="1" si="155"/>
        <v/>
      </c>
    </row>
    <row r="1621" spans="1:10" ht="18.75" x14ac:dyDescent="0.25">
      <c r="A1621" s="11" t="s">
        <v>2611</v>
      </c>
      <c r="B1621">
        <f>IFERROR(COUNTIFS($A$1:A1621,"Câu "&amp;"*")-MID(A1621,5,FIND(".",A1621,1)-5),0)</f>
        <v>0</v>
      </c>
      <c r="C1621" t="b">
        <v>0</v>
      </c>
      <c r="E1621" t="str">
        <f t="shared" si="150"/>
        <v>3</v>
      </c>
      <c r="F1621" t="str">
        <f t="shared" si="151"/>
        <v>Câu 391.</v>
      </c>
      <c r="G1621" t="str">
        <f t="shared" si="152"/>
        <v>1</v>
      </c>
      <c r="H1621" t="str">
        <f t="shared" si="153"/>
        <v>2</v>
      </c>
      <c r="I1621" t="str">
        <f t="shared" si="154"/>
        <v>3</v>
      </c>
      <c r="J1621" t="str">
        <f t="shared" ca="1" si="155"/>
        <v/>
      </c>
    </row>
    <row r="1622" spans="1:10" ht="18.75" x14ac:dyDescent="0.25">
      <c r="A1622" s="10" t="s">
        <v>1217</v>
      </c>
      <c r="B1622">
        <f>IFERROR(COUNTIFS($A$1:A1622,"Câu "&amp;"*")-MID(A1622,5,FIND(".",A1622,1)-5),0)</f>
        <v>0</v>
      </c>
      <c r="C1622" t="b">
        <v>0</v>
      </c>
      <c r="E1622" t="str">
        <f t="shared" si="150"/>
        <v>Câu 391.</v>
      </c>
      <c r="F1622" t="str">
        <f t="shared" si="151"/>
        <v>1</v>
      </c>
      <c r="G1622" t="str">
        <f t="shared" si="152"/>
        <v>2</v>
      </c>
      <c r="H1622" t="str">
        <f t="shared" si="153"/>
        <v>3</v>
      </c>
      <c r="I1622" t="str">
        <f t="shared" si="154"/>
        <v>4</v>
      </c>
      <c r="J1622" t="str">
        <f t="shared" ca="1" si="155"/>
        <v>3</v>
      </c>
    </row>
    <row r="1623" spans="1:10" ht="18.75" x14ac:dyDescent="0.25">
      <c r="A1623" s="11" t="s">
        <v>2603</v>
      </c>
      <c r="B1623">
        <f>IFERROR(COUNTIFS($A$1:A1623,"Câu "&amp;"*")-MID(A1623,5,FIND(".",A1623,1)-5),0)</f>
        <v>0</v>
      </c>
      <c r="C1623" t="b">
        <v>0</v>
      </c>
      <c r="E1623" t="str">
        <f t="shared" si="150"/>
        <v>1</v>
      </c>
      <c r="F1623" t="str">
        <f t="shared" si="151"/>
        <v>2</v>
      </c>
      <c r="G1623" t="str">
        <f t="shared" si="152"/>
        <v>3</v>
      </c>
      <c r="H1623" t="str">
        <f t="shared" si="153"/>
        <v>4</v>
      </c>
      <c r="I1623" t="str">
        <f t="shared" si="154"/>
        <v/>
      </c>
      <c r="J1623" t="str">
        <f t="shared" ca="1" si="155"/>
        <v/>
      </c>
    </row>
    <row r="1624" spans="1:10" ht="18.75" x14ac:dyDescent="0.25">
      <c r="A1624" s="11" t="s">
        <v>2600</v>
      </c>
      <c r="B1624">
        <f>IFERROR(COUNTIFS($A$1:A1624,"Câu "&amp;"*")-MID(A1624,5,FIND(".",A1624,1)-5),0)</f>
        <v>0</v>
      </c>
      <c r="C1624" t="b">
        <v>0</v>
      </c>
      <c r="E1624" t="str">
        <f t="shared" si="150"/>
        <v>2</v>
      </c>
      <c r="F1624" t="str">
        <f t="shared" si="151"/>
        <v>3</v>
      </c>
      <c r="G1624" t="str">
        <f t="shared" si="152"/>
        <v>4</v>
      </c>
      <c r="H1624" t="str">
        <f t="shared" si="153"/>
        <v/>
      </c>
      <c r="I1624" t="str">
        <f t="shared" si="154"/>
        <v>1</v>
      </c>
      <c r="J1624" t="str">
        <f t="shared" ca="1" si="155"/>
        <v/>
      </c>
    </row>
    <row r="1625" spans="1:10" ht="18.75" x14ac:dyDescent="0.25">
      <c r="A1625" s="11" t="s">
        <v>2628</v>
      </c>
      <c r="B1625">
        <f>IFERROR(COUNTIFS($A$1:A1625,"Câu "&amp;"*")-MID(A1625,5,FIND(".",A1625,1)-5),0)</f>
        <v>0</v>
      </c>
      <c r="C1625" t="b">
        <v>1</v>
      </c>
      <c r="E1625" t="str">
        <f t="shared" si="150"/>
        <v>3</v>
      </c>
      <c r="F1625" t="str">
        <f t="shared" si="151"/>
        <v>4</v>
      </c>
      <c r="G1625" t="str">
        <f t="shared" si="152"/>
        <v>Câu 392.</v>
      </c>
      <c r="H1625" t="str">
        <f t="shared" si="153"/>
        <v>1</v>
      </c>
      <c r="I1625" t="str">
        <f t="shared" si="154"/>
        <v>2</v>
      </c>
      <c r="J1625" t="str">
        <f t="shared" ca="1" si="155"/>
        <v/>
      </c>
    </row>
    <row r="1626" spans="1:10" ht="18.75" x14ac:dyDescent="0.25">
      <c r="A1626" s="11" t="s">
        <v>2617</v>
      </c>
      <c r="B1626">
        <f>IFERROR(COUNTIFS($A$1:A1626,"Câu "&amp;"*")-MID(A1626,5,FIND(".",A1626,1)-5),0)</f>
        <v>0</v>
      </c>
      <c r="C1626" t="b">
        <v>0</v>
      </c>
      <c r="E1626" t="str">
        <f t="shared" si="150"/>
        <v>4</v>
      </c>
      <c r="F1626" t="str">
        <f t="shared" si="151"/>
        <v>Câu 392.</v>
      </c>
      <c r="G1626" t="str">
        <f t="shared" si="152"/>
        <v>1</v>
      </c>
      <c r="H1626" t="str">
        <f t="shared" si="153"/>
        <v>2</v>
      </c>
      <c r="I1626" t="str">
        <f t="shared" si="154"/>
        <v>3</v>
      </c>
      <c r="J1626" t="str">
        <f t="shared" ca="1" si="155"/>
        <v/>
      </c>
    </row>
    <row r="1627" spans="1:10" ht="18.75" x14ac:dyDescent="0.25">
      <c r="A1627" s="10" t="s">
        <v>1218</v>
      </c>
      <c r="B1627">
        <f>IFERROR(COUNTIFS($A$1:A1627,"Câu "&amp;"*")-MID(A1627,5,FIND(".",A1627,1)-5),0)</f>
        <v>0</v>
      </c>
      <c r="C1627" t="b">
        <v>0</v>
      </c>
      <c r="E1627" t="str">
        <f t="shared" si="150"/>
        <v>Câu 392.</v>
      </c>
      <c r="F1627" t="str">
        <f t="shared" si="151"/>
        <v>1</v>
      </c>
      <c r="G1627" t="str">
        <f t="shared" si="152"/>
        <v>2</v>
      </c>
      <c r="H1627" t="str">
        <f t="shared" si="153"/>
        <v>3</v>
      </c>
      <c r="I1627" t="str">
        <f t="shared" si="154"/>
        <v/>
      </c>
      <c r="J1627" t="str">
        <f t="shared" ca="1" si="155"/>
        <v>2</v>
      </c>
    </row>
    <row r="1628" spans="1:10" ht="18.75" x14ac:dyDescent="0.25">
      <c r="A1628" s="11" t="s">
        <v>2603</v>
      </c>
      <c r="B1628">
        <f>IFERROR(COUNTIFS($A$1:A1628,"Câu "&amp;"*")-MID(A1628,5,FIND(".",A1628,1)-5),0)</f>
        <v>0</v>
      </c>
      <c r="C1628" t="b">
        <v>0</v>
      </c>
      <c r="E1628" t="str">
        <f t="shared" si="150"/>
        <v>1</v>
      </c>
      <c r="F1628" t="str">
        <f t="shared" si="151"/>
        <v>2</v>
      </c>
      <c r="G1628" t="str">
        <f t="shared" si="152"/>
        <v>3</v>
      </c>
      <c r="H1628" t="str">
        <f t="shared" si="153"/>
        <v/>
      </c>
      <c r="I1628" t="str">
        <f t="shared" si="154"/>
        <v>1</v>
      </c>
      <c r="J1628" t="str">
        <f t="shared" ca="1" si="155"/>
        <v/>
      </c>
    </row>
    <row r="1629" spans="1:10" ht="18.75" x14ac:dyDescent="0.25">
      <c r="A1629" s="11" t="s">
        <v>2618</v>
      </c>
      <c r="B1629">
        <f>IFERROR(COUNTIFS($A$1:A1629,"Câu "&amp;"*")-MID(A1629,5,FIND(".",A1629,1)-5),0)</f>
        <v>0</v>
      </c>
      <c r="C1629" t="b">
        <v>1</v>
      </c>
      <c r="E1629" t="str">
        <f t="shared" si="150"/>
        <v>2</v>
      </c>
      <c r="F1629" t="str">
        <f t="shared" si="151"/>
        <v>3</v>
      </c>
      <c r="G1629" t="str">
        <f t="shared" si="152"/>
        <v>Câu 393.</v>
      </c>
      <c r="H1629" t="str">
        <f t="shared" si="153"/>
        <v>1</v>
      </c>
      <c r="I1629" t="str">
        <f t="shared" si="154"/>
        <v>2</v>
      </c>
      <c r="J1629" t="str">
        <f t="shared" ca="1" si="155"/>
        <v/>
      </c>
    </row>
    <row r="1630" spans="1:10" ht="18.75" x14ac:dyDescent="0.25">
      <c r="A1630" s="11" t="s">
        <v>2611</v>
      </c>
      <c r="B1630">
        <f>IFERROR(COUNTIFS($A$1:A1630,"Câu "&amp;"*")-MID(A1630,5,FIND(".",A1630,1)-5),0)</f>
        <v>0</v>
      </c>
      <c r="C1630" t="b">
        <v>0</v>
      </c>
      <c r="E1630" t="str">
        <f t="shared" si="150"/>
        <v>3</v>
      </c>
      <c r="F1630" t="str">
        <f t="shared" si="151"/>
        <v>Câu 393.</v>
      </c>
      <c r="G1630" t="str">
        <f t="shared" si="152"/>
        <v>1</v>
      </c>
      <c r="H1630" t="str">
        <f t="shared" si="153"/>
        <v>2</v>
      </c>
      <c r="I1630" t="str">
        <f t="shared" si="154"/>
        <v>3</v>
      </c>
      <c r="J1630" t="str">
        <f t="shared" ca="1" si="155"/>
        <v/>
      </c>
    </row>
    <row r="1631" spans="1:10" ht="18.75" x14ac:dyDescent="0.25">
      <c r="A1631" s="10" t="s">
        <v>1219</v>
      </c>
      <c r="B1631">
        <f>IFERROR(COUNTIFS($A$1:A1631,"Câu "&amp;"*")-MID(A1631,5,FIND(".",A1631,1)-5),0)</f>
        <v>0</v>
      </c>
      <c r="C1631" t="b">
        <v>0</v>
      </c>
      <c r="E1631" t="str">
        <f t="shared" si="150"/>
        <v>Câu 393.</v>
      </c>
      <c r="F1631" t="str">
        <f t="shared" si="151"/>
        <v>1</v>
      </c>
      <c r="G1631" t="str">
        <f t="shared" si="152"/>
        <v>2</v>
      </c>
      <c r="H1631" t="str">
        <f t="shared" si="153"/>
        <v>3</v>
      </c>
      <c r="I1631" t="str">
        <f t="shared" si="154"/>
        <v/>
      </c>
      <c r="J1631" t="str">
        <f t="shared" ca="1" si="155"/>
        <v>3</v>
      </c>
    </row>
    <row r="1632" spans="1:10" ht="18.75" x14ac:dyDescent="0.25">
      <c r="A1632" s="11" t="s">
        <v>2603</v>
      </c>
      <c r="B1632">
        <f>IFERROR(COUNTIFS($A$1:A1632,"Câu "&amp;"*")-MID(A1632,5,FIND(".",A1632,1)-5),0)</f>
        <v>0</v>
      </c>
      <c r="C1632" t="b">
        <v>0</v>
      </c>
      <c r="E1632" t="str">
        <f t="shared" si="150"/>
        <v>1</v>
      </c>
      <c r="F1632" t="str">
        <f t="shared" si="151"/>
        <v>2</v>
      </c>
      <c r="G1632" t="str">
        <f t="shared" si="152"/>
        <v>3</v>
      </c>
      <c r="H1632" t="str">
        <f t="shared" si="153"/>
        <v/>
      </c>
      <c r="I1632" t="str">
        <f t="shared" si="154"/>
        <v>1</v>
      </c>
      <c r="J1632" t="str">
        <f t="shared" ca="1" si="155"/>
        <v/>
      </c>
    </row>
    <row r="1633" spans="1:10" ht="18.75" x14ac:dyDescent="0.25">
      <c r="A1633" s="11" t="s">
        <v>2600</v>
      </c>
      <c r="B1633">
        <f>IFERROR(COUNTIFS($A$1:A1633,"Câu "&amp;"*")-MID(A1633,5,FIND(".",A1633,1)-5),0)</f>
        <v>0</v>
      </c>
      <c r="C1633" t="b">
        <v>0</v>
      </c>
      <c r="E1633" t="str">
        <f t="shared" si="150"/>
        <v>2</v>
      </c>
      <c r="F1633" t="str">
        <f t="shared" si="151"/>
        <v>3</v>
      </c>
      <c r="G1633" t="str">
        <f t="shared" si="152"/>
        <v>Câu 394.</v>
      </c>
      <c r="H1633" t="str">
        <f t="shared" si="153"/>
        <v>1</v>
      </c>
      <c r="I1633" t="str">
        <f t="shared" si="154"/>
        <v>2</v>
      </c>
      <c r="J1633" t="str">
        <f t="shared" ca="1" si="155"/>
        <v/>
      </c>
    </row>
    <row r="1634" spans="1:10" ht="18.75" x14ac:dyDescent="0.25">
      <c r="A1634" s="11" t="s">
        <v>2628</v>
      </c>
      <c r="B1634">
        <f>IFERROR(COUNTIFS($A$1:A1634,"Câu "&amp;"*")-MID(A1634,5,FIND(".",A1634,1)-5),0)</f>
        <v>0</v>
      </c>
      <c r="C1634" t="b">
        <v>1</v>
      </c>
      <c r="E1634" t="str">
        <f t="shared" si="150"/>
        <v>3</v>
      </c>
      <c r="F1634" t="str">
        <f t="shared" si="151"/>
        <v>Câu 394.</v>
      </c>
      <c r="G1634" t="str">
        <f t="shared" si="152"/>
        <v>1</v>
      </c>
      <c r="H1634" t="str">
        <f t="shared" si="153"/>
        <v>2</v>
      </c>
      <c r="I1634" t="str">
        <f t="shared" si="154"/>
        <v>3</v>
      </c>
      <c r="J1634" t="str">
        <f t="shared" ca="1" si="155"/>
        <v/>
      </c>
    </row>
    <row r="1635" spans="1:10" ht="18.75" x14ac:dyDescent="0.25">
      <c r="A1635" s="10" t="s">
        <v>1220</v>
      </c>
      <c r="B1635">
        <f>IFERROR(COUNTIFS($A$1:A1635,"Câu "&amp;"*")-MID(A1635,5,FIND(".",A1635,1)-5),0)</f>
        <v>0</v>
      </c>
      <c r="C1635" t="b">
        <v>0</v>
      </c>
      <c r="E1635" t="str">
        <f t="shared" si="150"/>
        <v>Câu 394.</v>
      </c>
      <c r="F1635" t="str">
        <f t="shared" si="151"/>
        <v>1</v>
      </c>
      <c r="G1635" t="str">
        <f t="shared" si="152"/>
        <v>2</v>
      </c>
      <c r="H1635" t="str">
        <f t="shared" si="153"/>
        <v>3</v>
      </c>
      <c r="I1635" t="str">
        <f t="shared" si="154"/>
        <v/>
      </c>
      <c r="J1635" t="str">
        <f t="shared" ca="1" si="155"/>
        <v>3</v>
      </c>
    </row>
    <row r="1636" spans="1:10" ht="18.75" x14ac:dyDescent="0.25">
      <c r="A1636" s="11" t="s">
        <v>2603</v>
      </c>
      <c r="B1636">
        <f>IFERROR(COUNTIFS($A$1:A1636,"Câu "&amp;"*")-MID(A1636,5,FIND(".",A1636,1)-5),0)</f>
        <v>0</v>
      </c>
      <c r="C1636" t="b">
        <v>0</v>
      </c>
      <c r="E1636" t="str">
        <f t="shared" si="150"/>
        <v>1</v>
      </c>
      <c r="F1636" t="str">
        <f t="shared" si="151"/>
        <v>2</v>
      </c>
      <c r="G1636" t="str">
        <f t="shared" si="152"/>
        <v>3</v>
      </c>
      <c r="H1636" t="str">
        <f t="shared" si="153"/>
        <v/>
      </c>
      <c r="I1636" t="str">
        <f t="shared" si="154"/>
        <v>1</v>
      </c>
      <c r="J1636" t="str">
        <f t="shared" ca="1" si="155"/>
        <v/>
      </c>
    </row>
    <row r="1637" spans="1:10" ht="18.75" x14ac:dyDescent="0.25">
      <c r="A1637" s="11" t="s">
        <v>2600</v>
      </c>
      <c r="B1637">
        <f>IFERROR(COUNTIFS($A$1:A1637,"Câu "&amp;"*")-MID(A1637,5,FIND(".",A1637,1)-5),0)</f>
        <v>0</v>
      </c>
      <c r="C1637" t="b">
        <v>0</v>
      </c>
      <c r="E1637" t="str">
        <f t="shared" si="150"/>
        <v>2</v>
      </c>
      <c r="F1637" t="str">
        <f t="shared" si="151"/>
        <v>3</v>
      </c>
      <c r="G1637" t="str">
        <f t="shared" si="152"/>
        <v>Câu 395.</v>
      </c>
      <c r="H1637" t="str">
        <f t="shared" si="153"/>
        <v>1</v>
      </c>
      <c r="I1637" t="str">
        <f t="shared" si="154"/>
        <v>2</v>
      </c>
      <c r="J1637" t="str">
        <f t="shared" ca="1" si="155"/>
        <v/>
      </c>
    </row>
    <row r="1638" spans="1:10" ht="18.75" x14ac:dyDescent="0.25">
      <c r="A1638" s="11" t="s">
        <v>2628</v>
      </c>
      <c r="B1638">
        <f>IFERROR(COUNTIFS($A$1:A1638,"Câu "&amp;"*")-MID(A1638,5,FIND(".",A1638,1)-5),0)</f>
        <v>0</v>
      </c>
      <c r="C1638" t="b">
        <v>1</v>
      </c>
      <c r="E1638" t="str">
        <f t="shared" si="150"/>
        <v>3</v>
      </c>
      <c r="F1638" t="str">
        <f t="shared" si="151"/>
        <v>Câu 395.</v>
      </c>
      <c r="G1638" t="str">
        <f t="shared" si="152"/>
        <v>1</v>
      </c>
      <c r="H1638" t="str">
        <f t="shared" si="153"/>
        <v>2</v>
      </c>
      <c r="I1638" t="str">
        <f t="shared" si="154"/>
        <v>3</v>
      </c>
      <c r="J1638" t="str">
        <f t="shared" ca="1" si="155"/>
        <v/>
      </c>
    </row>
    <row r="1639" spans="1:10" ht="18.75" x14ac:dyDescent="0.25">
      <c r="A1639" s="10" t="s">
        <v>1221</v>
      </c>
      <c r="B1639">
        <f>IFERROR(COUNTIFS($A$1:A1639,"Câu "&amp;"*")-MID(A1639,5,FIND(".",A1639,1)-5),0)</f>
        <v>0</v>
      </c>
      <c r="C1639" t="b">
        <v>0</v>
      </c>
      <c r="E1639" t="str">
        <f t="shared" si="150"/>
        <v>Câu 395.</v>
      </c>
      <c r="F1639" t="str">
        <f t="shared" si="151"/>
        <v>1</v>
      </c>
      <c r="G1639" t="str">
        <f t="shared" si="152"/>
        <v>2</v>
      </c>
      <c r="H1639" t="str">
        <f t="shared" si="153"/>
        <v>3</v>
      </c>
      <c r="I1639" t="str">
        <f t="shared" si="154"/>
        <v/>
      </c>
      <c r="J1639" t="str">
        <f t="shared" ca="1" si="155"/>
        <v>1</v>
      </c>
    </row>
    <row r="1640" spans="1:10" ht="18.75" x14ac:dyDescent="0.25">
      <c r="A1640" s="11" t="s">
        <v>2599</v>
      </c>
      <c r="B1640">
        <f>IFERROR(COUNTIFS($A$1:A1640,"Câu "&amp;"*")-MID(A1640,5,FIND(".",A1640,1)-5),0)</f>
        <v>0</v>
      </c>
      <c r="C1640" t="b">
        <v>1</v>
      </c>
      <c r="E1640" t="str">
        <f t="shared" si="150"/>
        <v>1</v>
      </c>
      <c r="F1640" t="str">
        <f t="shared" si="151"/>
        <v>2</v>
      </c>
      <c r="G1640" t="str">
        <f t="shared" si="152"/>
        <v>3</v>
      </c>
      <c r="H1640" t="str">
        <f t="shared" si="153"/>
        <v/>
      </c>
      <c r="I1640" t="str">
        <f t="shared" si="154"/>
        <v>1</v>
      </c>
      <c r="J1640" t="str">
        <f t="shared" ca="1" si="155"/>
        <v/>
      </c>
    </row>
    <row r="1641" spans="1:10" ht="18.75" x14ac:dyDescent="0.25">
      <c r="A1641" s="11" t="s">
        <v>2600</v>
      </c>
      <c r="B1641">
        <f>IFERROR(COUNTIFS($A$1:A1641,"Câu "&amp;"*")-MID(A1641,5,FIND(".",A1641,1)-5),0)</f>
        <v>0</v>
      </c>
      <c r="C1641" t="b">
        <v>0</v>
      </c>
      <c r="E1641" t="str">
        <f t="shared" si="150"/>
        <v>2</v>
      </c>
      <c r="F1641" t="str">
        <f t="shared" si="151"/>
        <v>3</v>
      </c>
      <c r="G1641" t="str">
        <f t="shared" si="152"/>
        <v>Câu 396.</v>
      </c>
      <c r="H1641" t="str">
        <f t="shared" si="153"/>
        <v>1</v>
      </c>
      <c r="I1641" t="str">
        <f t="shared" si="154"/>
        <v>2</v>
      </c>
      <c r="J1641" t="str">
        <f t="shared" ca="1" si="155"/>
        <v/>
      </c>
    </row>
    <row r="1642" spans="1:10" ht="18.75" x14ac:dyDescent="0.25">
      <c r="A1642" s="11" t="s">
        <v>2611</v>
      </c>
      <c r="B1642">
        <f>IFERROR(COUNTIFS($A$1:A1642,"Câu "&amp;"*")-MID(A1642,5,FIND(".",A1642,1)-5),0)</f>
        <v>0</v>
      </c>
      <c r="C1642" t="b">
        <v>0</v>
      </c>
      <c r="E1642" t="str">
        <f t="shared" si="150"/>
        <v>3</v>
      </c>
      <c r="F1642" t="str">
        <f t="shared" si="151"/>
        <v>Câu 396.</v>
      </c>
      <c r="G1642" t="str">
        <f t="shared" si="152"/>
        <v>1</v>
      </c>
      <c r="H1642" t="str">
        <f t="shared" si="153"/>
        <v>2</v>
      </c>
      <c r="I1642" t="str">
        <f t="shared" si="154"/>
        <v>3</v>
      </c>
      <c r="J1642" t="str">
        <f t="shared" ca="1" si="155"/>
        <v/>
      </c>
    </row>
    <row r="1643" spans="1:10" ht="18.75" x14ac:dyDescent="0.25">
      <c r="A1643" s="10" t="s">
        <v>1222</v>
      </c>
      <c r="B1643">
        <f>IFERROR(COUNTIFS($A$1:A1643,"Câu "&amp;"*")-MID(A1643,5,FIND(".",A1643,1)-5),0)</f>
        <v>0</v>
      </c>
      <c r="C1643" t="b">
        <v>0</v>
      </c>
      <c r="E1643" t="str">
        <f t="shared" si="150"/>
        <v>Câu 396.</v>
      </c>
      <c r="F1643" t="str">
        <f t="shared" si="151"/>
        <v>1</v>
      </c>
      <c r="G1643" t="str">
        <f t="shared" si="152"/>
        <v>2</v>
      </c>
      <c r="H1643" t="str">
        <f t="shared" si="153"/>
        <v>3</v>
      </c>
      <c r="I1643" t="str">
        <f t="shared" si="154"/>
        <v/>
      </c>
      <c r="J1643" t="str">
        <f t="shared" ca="1" si="155"/>
        <v>2</v>
      </c>
    </row>
    <row r="1644" spans="1:10" ht="18.75" x14ac:dyDescent="0.25">
      <c r="A1644" s="11" t="s">
        <v>2603</v>
      </c>
      <c r="B1644">
        <f>IFERROR(COUNTIFS($A$1:A1644,"Câu "&amp;"*")-MID(A1644,5,FIND(".",A1644,1)-5),0)</f>
        <v>0</v>
      </c>
      <c r="C1644" t="b">
        <v>0</v>
      </c>
      <c r="E1644" t="str">
        <f t="shared" si="150"/>
        <v>1</v>
      </c>
      <c r="F1644" t="str">
        <f t="shared" si="151"/>
        <v>2</v>
      </c>
      <c r="G1644" t="str">
        <f t="shared" si="152"/>
        <v>3</v>
      </c>
      <c r="H1644" t="str">
        <f t="shared" si="153"/>
        <v/>
      </c>
      <c r="I1644" t="str">
        <f t="shared" si="154"/>
        <v>1</v>
      </c>
      <c r="J1644" t="str">
        <f t="shared" ca="1" si="155"/>
        <v/>
      </c>
    </row>
    <row r="1645" spans="1:10" ht="18.75" x14ac:dyDescent="0.25">
      <c r="A1645" s="11" t="s">
        <v>2618</v>
      </c>
      <c r="B1645">
        <f>IFERROR(COUNTIFS($A$1:A1645,"Câu "&amp;"*")-MID(A1645,5,FIND(".",A1645,1)-5),0)</f>
        <v>0</v>
      </c>
      <c r="C1645" t="b">
        <v>1</v>
      </c>
      <c r="E1645" t="str">
        <f t="shared" si="150"/>
        <v>2</v>
      </c>
      <c r="F1645" t="str">
        <f t="shared" si="151"/>
        <v>3</v>
      </c>
      <c r="G1645" t="str">
        <f t="shared" si="152"/>
        <v>Câu 397.</v>
      </c>
      <c r="H1645" t="str">
        <f t="shared" si="153"/>
        <v>1</v>
      </c>
      <c r="I1645" t="str">
        <f t="shared" si="154"/>
        <v>2</v>
      </c>
      <c r="J1645" t="str">
        <f t="shared" ca="1" si="155"/>
        <v/>
      </c>
    </row>
    <row r="1646" spans="1:10" ht="18.75" x14ac:dyDescent="0.25">
      <c r="A1646" s="11" t="s">
        <v>2611</v>
      </c>
      <c r="B1646">
        <f>IFERROR(COUNTIFS($A$1:A1646,"Câu "&amp;"*")-MID(A1646,5,FIND(".",A1646,1)-5),0)</f>
        <v>0</v>
      </c>
      <c r="C1646" t="b">
        <v>0</v>
      </c>
      <c r="E1646" t="str">
        <f t="shared" si="150"/>
        <v>3</v>
      </c>
      <c r="F1646" t="str">
        <f t="shared" si="151"/>
        <v>Câu 397.</v>
      </c>
      <c r="G1646" t="str">
        <f t="shared" si="152"/>
        <v>1</v>
      </c>
      <c r="H1646" t="str">
        <f t="shared" si="153"/>
        <v>2</v>
      </c>
      <c r="I1646" t="str">
        <f t="shared" si="154"/>
        <v>3</v>
      </c>
      <c r="J1646" t="str">
        <f t="shared" ca="1" si="155"/>
        <v/>
      </c>
    </row>
    <row r="1647" spans="1:10" ht="18.75" x14ac:dyDescent="0.25">
      <c r="A1647" s="10" t="s">
        <v>1223</v>
      </c>
      <c r="B1647">
        <f>IFERROR(COUNTIFS($A$1:A1647,"Câu "&amp;"*")-MID(A1647,5,FIND(".",A1647,1)-5),0)</f>
        <v>0</v>
      </c>
      <c r="C1647" t="b">
        <v>0</v>
      </c>
      <c r="E1647" t="str">
        <f t="shared" si="150"/>
        <v>Câu 397.</v>
      </c>
      <c r="F1647" t="str">
        <f t="shared" si="151"/>
        <v>1</v>
      </c>
      <c r="G1647" t="str">
        <f t="shared" si="152"/>
        <v>2</v>
      </c>
      <c r="H1647" t="str">
        <f t="shared" si="153"/>
        <v>3</v>
      </c>
      <c r="I1647" t="str">
        <f t="shared" si="154"/>
        <v/>
      </c>
      <c r="J1647" t="str">
        <f t="shared" ca="1" si="155"/>
        <v>2</v>
      </c>
    </row>
    <row r="1648" spans="1:10" ht="18.75" x14ac:dyDescent="0.25">
      <c r="A1648" s="11" t="s">
        <v>2603</v>
      </c>
      <c r="B1648">
        <f>IFERROR(COUNTIFS($A$1:A1648,"Câu "&amp;"*")-MID(A1648,5,FIND(".",A1648,1)-5),0)</f>
        <v>0</v>
      </c>
      <c r="C1648" t="b">
        <v>0</v>
      </c>
      <c r="E1648" t="str">
        <f t="shared" si="150"/>
        <v>1</v>
      </c>
      <c r="F1648" t="str">
        <f t="shared" si="151"/>
        <v>2</v>
      </c>
      <c r="G1648" t="str">
        <f t="shared" si="152"/>
        <v>3</v>
      </c>
      <c r="H1648" t="str">
        <f t="shared" si="153"/>
        <v/>
      </c>
      <c r="I1648" t="str">
        <f t="shared" si="154"/>
        <v>1</v>
      </c>
      <c r="J1648" t="str">
        <f t="shared" ca="1" si="155"/>
        <v/>
      </c>
    </row>
    <row r="1649" spans="1:10" ht="18.75" x14ac:dyDescent="0.25">
      <c r="A1649" s="11" t="s">
        <v>2618</v>
      </c>
      <c r="B1649">
        <f>IFERROR(COUNTIFS($A$1:A1649,"Câu "&amp;"*")-MID(A1649,5,FIND(".",A1649,1)-5),0)</f>
        <v>0</v>
      </c>
      <c r="C1649" t="b">
        <v>1</v>
      </c>
      <c r="E1649" t="str">
        <f t="shared" si="150"/>
        <v>2</v>
      </c>
      <c r="F1649" t="str">
        <f t="shared" si="151"/>
        <v>3</v>
      </c>
      <c r="G1649" t="str">
        <f t="shared" si="152"/>
        <v>Câu 398.</v>
      </c>
      <c r="H1649" t="str">
        <f t="shared" si="153"/>
        <v>1</v>
      </c>
      <c r="I1649" t="str">
        <f t="shared" si="154"/>
        <v>2</v>
      </c>
      <c r="J1649" t="str">
        <f t="shared" ca="1" si="155"/>
        <v/>
      </c>
    </row>
    <row r="1650" spans="1:10" ht="18.75" x14ac:dyDescent="0.25">
      <c r="A1650" s="11" t="s">
        <v>2611</v>
      </c>
      <c r="B1650">
        <f>IFERROR(COUNTIFS($A$1:A1650,"Câu "&amp;"*")-MID(A1650,5,FIND(".",A1650,1)-5),0)</f>
        <v>0</v>
      </c>
      <c r="C1650" t="b">
        <v>0</v>
      </c>
      <c r="E1650" t="str">
        <f t="shared" si="150"/>
        <v>3</v>
      </c>
      <c r="F1650" t="str">
        <f t="shared" si="151"/>
        <v>Câu 398.</v>
      </c>
      <c r="G1650" t="str">
        <f t="shared" si="152"/>
        <v>1</v>
      </c>
      <c r="H1650" t="str">
        <f t="shared" si="153"/>
        <v>2</v>
      </c>
      <c r="I1650" t="str">
        <f t="shared" si="154"/>
        <v>3</v>
      </c>
      <c r="J1650" t="str">
        <f t="shared" ca="1" si="155"/>
        <v/>
      </c>
    </row>
    <row r="1651" spans="1:10" ht="18.75" x14ac:dyDescent="0.25">
      <c r="A1651" s="10" t="s">
        <v>1224</v>
      </c>
      <c r="B1651">
        <f>IFERROR(COUNTIFS($A$1:A1651,"Câu "&amp;"*")-MID(A1651,5,FIND(".",A1651,1)-5),0)</f>
        <v>0</v>
      </c>
      <c r="C1651" t="b">
        <v>0</v>
      </c>
      <c r="E1651" t="str">
        <f t="shared" si="150"/>
        <v>Câu 398.</v>
      </c>
      <c r="F1651" t="str">
        <f t="shared" si="151"/>
        <v>1</v>
      </c>
      <c r="G1651" t="str">
        <f t="shared" si="152"/>
        <v>2</v>
      </c>
      <c r="H1651" t="str">
        <f t="shared" si="153"/>
        <v>3</v>
      </c>
      <c r="I1651" t="str">
        <f t="shared" si="154"/>
        <v/>
      </c>
      <c r="J1651" t="str">
        <f t="shared" ca="1" si="155"/>
        <v>2</v>
      </c>
    </row>
    <row r="1652" spans="1:10" ht="18.75" x14ac:dyDescent="0.25">
      <c r="A1652" s="11" t="s">
        <v>2603</v>
      </c>
      <c r="B1652">
        <f>IFERROR(COUNTIFS($A$1:A1652,"Câu "&amp;"*")-MID(A1652,5,FIND(".",A1652,1)-5),0)</f>
        <v>0</v>
      </c>
      <c r="C1652" t="b">
        <v>0</v>
      </c>
      <c r="E1652" t="str">
        <f t="shared" si="150"/>
        <v>1</v>
      </c>
      <c r="F1652" t="str">
        <f t="shared" si="151"/>
        <v>2</v>
      </c>
      <c r="G1652" t="str">
        <f t="shared" si="152"/>
        <v>3</v>
      </c>
      <c r="H1652" t="str">
        <f t="shared" si="153"/>
        <v/>
      </c>
      <c r="I1652" t="str">
        <f t="shared" si="154"/>
        <v>1</v>
      </c>
      <c r="J1652" t="str">
        <f t="shared" ca="1" si="155"/>
        <v/>
      </c>
    </row>
    <row r="1653" spans="1:10" ht="18.75" x14ac:dyDescent="0.25">
      <c r="A1653" s="11" t="s">
        <v>2604</v>
      </c>
      <c r="B1653">
        <f>IFERROR(COUNTIFS($A$1:A1653,"Câu "&amp;"*")-MID(A1653,5,FIND(".",A1653,1)-5),0)</f>
        <v>0</v>
      </c>
      <c r="C1653" t="b">
        <v>1</v>
      </c>
      <c r="E1653" t="str">
        <f t="shared" si="150"/>
        <v>2</v>
      </c>
      <c r="F1653" t="str">
        <f t="shared" si="151"/>
        <v>3</v>
      </c>
      <c r="G1653" t="str">
        <f t="shared" si="152"/>
        <v>Câu 399.</v>
      </c>
      <c r="H1653" t="str">
        <f t="shared" si="153"/>
        <v>1</v>
      </c>
      <c r="I1653" t="str">
        <f t="shared" si="154"/>
        <v>2</v>
      </c>
      <c r="J1653" t="str">
        <f t="shared" ca="1" si="155"/>
        <v/>
      </c>
    </row>
    <row r="1654" spans="1:10" ht="18.75" x14ac:dyDescent="0.25">
      <c r="A1654" s="11" t="s">
        <v>2624</v>
      </c>
      <c r="B1654">
        <f>IFERROR(COUNTIFS($A$1:A1654,"Câu "&amp;"*")-MID(A1654,5,FIND(".",A1654,1)-5),0)</f>
        <v>0</v>
      </c>
      <c r="C1654" t="b">
        <v>0</v>
      </c>
      <c r="E1654" t="str">
        <f t="shared" si="150"/>
        <v>3</v>
      </c>
      <c r="F1654" t="str">
        <f t="shared" si="151"/>
        <v>Câu 399.</v>
      </c>
      <c r="G1654" t="str">
        <f t="shared" si="152"/>
        <v>1</v>
      </c>
      <c r="H1654" t="str">
        <f t="shared" si="153"/>
        <v>2</v>
      </c>
      <c r="I1654" t="str">
        <f t="shared" si="154"/>
        <v>3</v>
      </c>
      <c r="J1654" t="str">
        <f t="shared" ca="1" si="155"/>
        <v/>
      </c>
    </row>
    <row r="1655" spans="1:10" ht="18.75" x14ac:dyDescent="0.25">
      <c r="A1655" s="10" t="s">
        <v>1225</v>
      </c>
      <c r="B1655">
        <f>IFERROR(COUNTIFS($A$1:A1655,"Câu "&amp;"*")-MID(A1655,5,FIND(".",A1655,1)-5),0)</f>
        <v>0</v>
      </c>
      <c r="C1655" t="b">
        <v>0</v>
      </c>
      <c r="E1655" t="str">
        <f t="shared" si="150"/>
        <v>Câu 399.</v>
      </c>
      <c r="F1655" t="str">
        <f t="shared" si="151"/>
        <v>1</v>
      </c>
      <c r="G1655" t="str">
        <f t="shared" si="152"/>
        <v>2</v>
      </c>
      <c r="H1655" t="str">
        <f t="shared" si="153"/>
        <v>3</v>
      </c>
      <c r="I1655" t="str">
        <f t="shared" si="154"/>
        <v/>
      </c>
      <c r="J1655" t="str">
        <f t="shared" ca="1" si="155"/>
        <v>2</v>
      </c>
    </row>
    <row r="1656" spans="1:10" ht="18.75" x14ac:dyDescent="0.25">
      <c r="A1656" s="11" t="s">
        <v>2603</v>
      </c>
      <c r="B1656">
        <f>IFERROR(COUNTIFS($A$1:A1656,"Câu "&amp;"*")-MID(A1656,5,FIND(".",A1656,1)-5),0)</f>
        <v>0</v>
      </c>
      <c r="C1656" t="b">
        <v>0</v>
      </c>
      <c r="E1656" t="str">
        <f t="shared" si="150"/>
        <v>1</v>
      </c>
      <c r="F1656" t="str">
        <f t="shared" si="151"/>
        <v>2</v>
      </c>
      <c r="G1656" t="str">
        <f t="shared" si="152"/>
        <v>3</v>
      </c>
      <c r="H1656" t="str">
        <f t="shared" si="153"/>
        <v/>
      </c>
      <c r="I1656" t="str">
        <f t="shared" si="154"/>
        <v>1</v>
      </c>
      <c r="J1656" t="str">
        <f t="shared" ca="1" si="155"/>
        <v/>
      </c>
    </row>
    <row r="1657" spans="1:10" ht="18.75" x14ac:dyDescent="0.25">
      <c r="A1657" s="11" t="s">
        <v>2618</v>
      </c>
      <c r="B1657">
        <f>IFERROR(COUNTIFS($A$1:A1657,"Câu "&amp;"*")-MID(A1657,5,FIND(".",A1657,1)-5),0)</f>
        <v>0</v>
      </c>
      <c r="C1657" t="b">
        <v>1</v>
      </c>
      <c r="E1657" t="str">
        <f t="shared" si="150"/>
        <v>2</v>
      </c>
      <c r="F1657" t="str">
        <f t="shared" si="151"/>
        <v>3</v>
      </c>
      <c r="G1657" t="str">
        <f t="shared" si="152"/>
        <v>Câu 400.</v>
      </c>
      <c r="H1657" t="str">
        <f t="shared" si="153"/>
        <v>1</v>
      </c>
      <c r="I1657" t="str">
        <f t="shared" si="154"/>
        <v>2</v>
      </c>
      <c r="J1657" t="str">
        <f t="shared" ca="1" si="155"/>
        <v/>
      </c>
    </row>
    <row r="1658" spans="1:10" ht="18.75" x14ac:dyDescent="0.25">
      <c r="A1658" s="11" t="s">
        <v>2622</v>
      </c>
      <c r="B1658">
        <f>IFERROR(COUNTIFS($A$1:A1658,"Câu "&amp;"*")-MID(A1658,5,FIND(".",A1658,1)-5),0)</f>
        <v>0</v>
      </c>
      <c r="C1658" t="b">
        <v>0</v>
      </c>
      <c r="E1658" t="str">
        <f t="shared" si="150"/>
        <v>3</v>
      </c>
      <c r="F1658" t="str">
        <f t="shared" si="151"/>
        <v>Câu 400.</v>
      </c>
      <c r="G1658" t="str">
        <f t="shared" si="152"/>
        <v>1</v>
      </c>
      <c r="H1658" t="str">
        <f t="shared" si="153"/>
        <v>2</v>
      </c>
      <c r="I1658" t="str">
        <f t="shared" si="154"/>
        <v>3</v>
      </c>
      <c r="J1658" t="str">
        <f t="shared" ca="1" si="155"/>
        <v/>
      </c>
    </row>
    <row r="1659" spans="1:10" ht="18.75" x14ac:dyDescent="0.25">
      <c r="A1659" s="10" t="s">
        <v>1226</v>
      </c>
      <c r="B1659">
        <f>IFERROR(COUNTIFS($A$1:A1659,"Câu "&amp;"*")-MID(A1659,5,FIND(".",A1659,1)-5),0)</f>
        <v>0</v>
      </c>
      <c r="C1659" t="b">
        <v>0</v>
      </c>
      <c r="E1659" t="str">
        <f t="shared" si="150"/>
        <v>Câu 400.</v>
      </c>
      <c r="F1659" t="str">
        <f t="shared" si="151"/>
        <v>1</v>
      </c>
      <c r="G1659" t="str">
        <f t="shared" si="152"/>
        <v>2</v>
      </c>
      <c r="H1659" t="str">
        <f t="shared" si="153"/>
        <v>3</v>
      </c>
      <c r="I1659" t="str">
        <f t="shared" si="154"/>
        <v/>
      </c>
      <c r="J1659" t="str">
        <f t="shared" ca="1" si="155"/>
        <v>2</v>
      </c>
    </row>
    <row r="1660" spans="1:10" ht="18.75" x14ac:dyDescent="0.25">
      <c r="A1660" s="11" t="s">
        <v>2677</v>
      </c>
      <c r="B1660">
        <f>IFERROR(COUNTIFS($A$1:A1660,"Câu "&amp;"*")-MID(A1660,5,FIND(".",A1660,1)-5),0)</f>
        <v>0</v>
      </c>
      <c r="C1660" t="b">
        <v>0</v>
      </c>
      <c r="E1660" t="str">
        <f t="shared" si="150"/>
        <v>1</v>
      </c>
      <c r="F1660" t="str">
        <f t="shared" si="151"/>
        <v>2</v>
      </c>
      <c r="G1660" t="str">
        <f t="shared" si="152"/>
        <v>3</v>
      </c>
      <c r="H1660" t="str">
        <f t="shared" si="153"/>
        <v/>
      </c>
      <c r="I1660" t="str">
        <f t="shared" si="154"/>
        <v>1</v>
      </c>
      <c r="J1660" t="str">
        <f t="shared" ca="1" si="155"/>
        <v/>
      </c>
    </row>
    <row r="1661" spans="1:10" ht="18.75" x14ac:dyDescent="0.25">
      <c r="A1661" s="11" t="s">
        <v>2618</v>
      </c>
      <c r="B1661">
        <f>IFERROR(COUNTIFS($A$1:A1661,"Câu "&amp;"*")-MID(A1661,5,FIND(".",A1661,1)-5),0)</f>
        <v>0</v>
      </c>
      <c r="C1661" t="b">
        <v>1</v>
      </c>
      <c r="E1661" t="str">
        <f t="shared" si="150"/>
        <v>2</v>
      </c>
      <c r="F1661" t="str">
        <f t="shared" si="151"/>
        <v>3</v>
      </c>
      <c r="G1661" t="str">
        <f t="shared" si="152"/>
        <v>Câu 401.</v>
      </c>
      <c r="H1661" t="str">
        <f t="shared" si="153"/>
        <v>1</v>
      </c>
      <c r="I1661" t="str">
        <f t="shared" si="154"/>
        <v>2</v>
      </c>
      <c r="J1661" t="str">
        <f t="shared" ca="1" si="155"/>
        <v/>
      </c>
    </row>
    <row r="1662" spans="1:10" ht="18.75" x14ac:dyDescent="0.25">
      <c r="A1662" s="11" t="s">
        <v>2609</v>
      </c>
      <c r="B1662">
        <f>IFERROR(COUNTIFS($A$1:A1662,"Câu "&amp;"*")-MID(A1662,5,FIND(".",A1662,1)-5),0)</f>
        <v>0</v>
      </c>
      <c r="C1662" t="b">
        <v>0</v>
      </c>
      <c r="E1662" t="str">
        <f t="shared" si="150"/>
        <v>3</v>
      </c>
      <c r="F1662" t="str">
        <f t="shared" si="151"/>
        <v>Câu 401.</v>
      </c>
      <c r="G1662" t="str">
        <f t="shared" si="152"/>
        <v>1</v>
      </c>
      <c r="H1662" t="str">
        <f t="shared" si="153"/>
        <v>2</v>
      </c>
      <c r="I1662" t="str">
        <f t="shared" si="154"/>
        <v>3</v>
      </c>
      <c r="J1662" t="str">
        <f t="shared" ca="1" si="155"/>
        <v/>
      </c>
    </row>
    <row r="1663" spans="1:10" ht="18.75" x14ac:dyDescent="0.25">
      <c r="A1663" s="10" t="s">
        <v>1227</v>
      </c>
      <c r="B1663">
        <f>IFERROR(COUNTIFS($A$1:A1663,"Câu "&amp;"*")-MID(A1663,5,FIND(".",A1663,1)-5),0)</f>
        <v>0</v>
      </c>
      <c r="C1663" t="b">
        <v>0</v>
      </c>
      <c r="E1663" t="str">
        <f t="shared" si="150"/>
        <v>Câu 401.</v>
      </c>
      <c r="F1663" t="str">
        <f t="shared" si="151"/>
        <v>1</v>
      </c>
      <c r="G1663" t="str">
        <f t="shared" si="152"/>
        <v>2</v>
      </c>
      <c r="H1663" t="str">
        <f t="shared" si="153"/>
        <v>3</v>
      </c>
      <c r="I1663" t="str">
        <f t="shared" si="154"/>
        <v/>
      </c>
      <c r="J1663" t="str">
        <f t="shared" ca="1" si="155"/>
        <v>2</v>
      </c>
    </row>
    <row r="1664" spans="1:10" ht="18.75" x14ac:dyDescent="0.25">
      <c r="A1664" s="11" t="s">
        <v>2603</v>
      </c>
      <c r="B1664">
        <f>IFERROR(COUNTIFS($A$1:A1664,"Câu "&amp;"*")-MID(A1664,5,FIND(".",A1664,1)-5),0)</f>
        <v>0</v>
      </c>
      <c r="C1664" t="b">
        <v>0</v>
      </c>
      <c r="E1664" t="str">
        <f t="shared" si="150"/>
        <v>1</v>
      </c>
      <c r="F1664" t="str">
        <f t="shared" si="151"/>
        <v>2</v>
      </c>
      <c r="G1664" t="str">
        <f t="shared" si="152"/>
        <v>3</v>
      </c>
      <c r="H1664" t="str">
        <f t="shared" si="153"/>
        <v/>
      </c>
      <c r="I1664" t="str">
        <f t="shared" si="154"/>
        <v>1</v>
      </c>
      <c r="J1664" t="str">
        <f t="shared" ca="1" si="155"/>
        <v/>
      </c>
    </row>
    <row r="1665" spans="1:10" ht="18.75" x14ac:dyDescent="0.25">
      <c r="A1665" s="11" t="s">
        <v>2618</v>
      </c>
      <c r="B1665">
        <f>IFERROR(COUNTIFS($A$1:A1665,"Câu "&amp;"*")-MID(A1665,5,FIND(".",A1665,1)-5),0)</f>
        <v>0</v>
      </c>
      <c r="C1665" t="b">
        <v>1</v>
      </c>
      <c r="E1665" t="str">
        <f t="shared" si="150"/>
        <v>2</v>
      </c>
      <c r="F1665" t="str">
        <f t="shared" si="151"/>
        <v>3</v>
      </c>
      <c r="G1665" t="str">
        <f t="shared" si="152"/>
        <v>Câu 402.</v>
      </c>
      <c r="H1665" t="str">
        <f t="shared" si="153"/>
        <v>1</v>
      </c>
      <c r="I1665" t="str">
        <f t="shared" si="154"/>
        <v>2</v>
      </c>
      <c r="J1665" t="str">
        <f t="shared" ca="1" si="155"/>
        <v/>
      </c>
    </row>
    <row r="1666" spans="1:10" ht="18.75" x14ac:dyDescent="0.25">
      <c r="A1666" s="11" t="s">
        <v>2611</v>
      </c>
      <c r="B1666">
        <f>IFERROR(COUNTIFS($A$1:A1666,"Câu "&amp;"*")-MID(A1666,5,FIND(".",A1666,1)-5),0)</f>
        <v>0</v>
      </c>
      <c r="C1666" t="b">
        <v>0</v>
      </c>
      <c r="E1666" t="str">
        <f t="shared" si="150"/>
        <v>3</v>
      </c>
      <c r="F1666" t="str">
        <f t="shared" si="151"/>
        <v>Câu 402.</v>
      </c>
      <c r="G1666" t="str">
        <f t="shared" si="152"/>
        <v>1</v>
      </c>
      <c r="H1666" t="str">
        <f t="shared" si="153"/>
        <v>2</v>
      </c>
      <c r="I1666" t="str">
        <f t="shared" si="154"/>
        <v>3</v>
      </c>
      <c r="J1666" t="str">
        <f t="shared" ca="1" si="155"/>
        <v/>
      </c>
    </row>
    <row r="1667" spans="1:10" ht="18.75" x14ac:dyDescent="0.25">
      <c r="A1667" s="10" t="s">
        <v>1228</v>
      </c>
      <c r="B1667">
        <f>IFERROR(COUNTIFS($A$1:A1667,"Câu "&amp;"*")-MID(A1667,5,FIND(".",A1667,1)-5),0)</f>
        <v>0</v>
      </c>
      <c r="C1667" t="b">
        <v>0</v>
      </c>
      <c r="E1667" t="str">
        <f t="shared" ref="E1667:E1730" si="156">IF(LEFT(A1667,3)="Câu",LEFT(A1667,FIND(".",A1667,1)),LEFT(A1667,1))</f>
        <v>Câu 402.</v>
      </c>
      <c r="F1667" t="str">
        <f t="shared" ref="F1667:F1730" si="157">IF(LEFT(A1668,3)="Câu",LEFT(A1668,FIND(".",A1668,1)),LEFT(A1668,1))</f>
        <v>1</v>
      </c>
      <c r="G1667" t="str">
        <f t="shared" ref="G1667:G1730" si="158">IF(LEFT(A1669,3)="Câu",LEFT(A1669,FIND(".",A1669,1)),LEFT(A1669,1))</f>
        <v>2</v>
      </c>
      <c r="H1667" t="str">
        <f t="shared" ref="H1667:H1730" si="159">IF(LEFT(A1670,3)="Câu","",LEFT(A1670,1))</f>
        <v>3</v>
      </c>
      <c r="I1667" t="str">
        <f t="shared" ref="I1667:I1730" si="160">IF(LEFT(A1671,3)="Câu","",LEFT(A1671,1))</f>
        <v/>
      </c>
      <c r="J1667" t="str">
        <f t="shared" ref="J1667:J1730" ca="1" si="161">IFERROR(VLOOKUP(TRUE,INDIRECT("C"&amp;MATCH(E1667,$E$1:$E$2471,0)&amp;":E"&amp;MATCH("Câu "&amp;VALUE(MID(E1667,5,LEN(E1667)-5))+1&amp;".",$E$1:$E$2471,0)),3,0),"")</f>
        <v>3</v>
      </c>
    </row>
    <row r="1668" spans="1:10" ht="18.75" x14ac:dyDescent="0.25">
      <c r="A1668" s="11" t="s">
        <v>2603</v>
      </c>
      <c r="B1668">
        <f>IFERROR(COUNTIFS($A$1:A1668,"Câu "&amp;"*")-MID(A1668,5,FIND(".",A1668,1)-5),0)</f>
        <v>0</v>
      </c>
      <c r="C1668" t="b">
        <v>0</v>
      </c>
      <c r="E1668" t="str">
        <f t="shared" si="156"/>
        <v>1</v>
      </c>
      <c r="F1668" t="str">
        <f t="shared" si="157"/>
        <v>2</v>
      </c>
      <c r="G1668" t="str">
        <f t="shared" si="158"/>
        <v>3</v>
      </c>
      <c r="H1668" t="str">
        <f t="shared" si="159"/>
        <v/>
      </c>
      <c r="I1668" t="str">
        <f t="shared" si="160"/>
        <v>1</v>
      </c>
      <c r="J1668" t="str">
        <f t="shared" ca="1" si="161"/>
        <v/>
      </c>
    </row>
    <row r="1669" spans="1:10" ht="18.75" x14ac:dyDescent="0.25">
      <c r="A1669" s="11" t="s">
        <v>2600</v>
      </c>
      <c r="B1669">
        <f>IFERROR(COUNTIFS($A$1:A1669,"Câu "&amp;"*")-MID(A1669,5,FIND(".",A1669,1)-5),0)</f>
        <v>0</v>
      </c>
      <c r="C1669" t="b">
        <v>0</v>
      </c>
      <c r="E1669" t="str">
        <f t="shared" si="156"/>
        <v>2</v>
      </c>
      <c r="F1669" t="str">
        <f t="shared" si="157"/>
        <v>3</v>
      </c>
      <c r="G1669" t="str">
        <f t="shared" si="158"/>
        <v>Câu 403.</v>
      </c>
      <c r="H1669" t="str">
        <f t="shared" si="159"/>
        <v>1</v>
      </c>
      <c r="I1669" t="str">
        <f t="shared" si="160"/>
        <v>2</v>
      </c>
      <c r="J1669" t="str">
        <f t="shared" ca="1" si="161"/>
        <v/>
      </c>
    </row>
    <row r="1670" spans="1:10" ht="18.75" x14ac:dyDescent="0.25">
      <c r="A1670" s="11" t="s">
        <v>2628</v>
      </c>
      <c r="B1670">
        <f>IFERROR(COUNTIFS($A$1:A1670,"Câu "&amp;"*")-MID(A1670,5,FIND(".",A1670,1)-5),0)</f>
        <v>0</v>
      </c>
      <c r="C1670" t="b">
        <v>1</v>
      </c>
      <c r="E1670" t="str">
        <f t="shared" si="156"/>
        <v>3</v>
      </c>
      <c r="F1670" t="str">
        <f t="shared" si="157"/>
        <v>Câu 403.</v>
      </c>
      <c r="G1670" t="str">
        <f t="shared" si="158"/>
        <v>1</v>
      </c>
      <c r="H1670" t="str">
        <f t="shared" si="159"/>
        <v>2</v>
      </c>
      <c r="I1670" t="str">
        <f t="shared" si="160"/>
        <v>3</v>
      </c>
      <c r="J1670" t="str">
        <f t="shared" ca="1" si="161"/>
        <v/>
      </c>
    </row>
    <row r="1671" spans="1:10" ht="18.75" x14ac:dyDescent="0.25">
      <c r="A1671" s="10" t="s">
        <v>1229</v>
      </c>
      <c r="B1671">
        <f>IFERROR(COUNTIFS($A$1:A1671,"Câu "&amp;"*")-MID(A1671,5,FIND(".",A1671,1)-5),0)</f>
        <v>0</v>
      </c>
      <c r="C1671" t="b">
        <v>0</v>
      </c>
      <c r="E1671" t="str">
        <f t="shared" si="156"/>
        <v>Câu 403.</v>
      </c>
      <c r="F1671" t="str">
        <f t="shared" si="157"/>
        <v>1</v>
      </c>
      <c r="G1671" t="str">
        <f t="shared" si="158"/>
        <v>2</v>
      </c>
      <c r="H1671" t="str">
        <f t="shared" si="159"/>
        <v>3</v>
      </c>
      <c r="I1671" t="str">
        <f t="shared" si="160"/>
        <v/>
      </c>
      <c r="J1671" t="str">
        <f t="shared" ca="1" si="161"/>
        <v>1</v>
      </c>
    </row>
    <row r="1672" spans="1:10" ht="18.75" x14ac:dyDescent="0.25">
      <c r="A1672" s="11" t="s">
        <v>2599</v>
      </c>
      <c r="B1672">
        <f>IFERROR(COUNTIFS($A$1:A1672,"Câu "&amp;"*")-MID(A1672,5,FIND(".",A1672,1)-5),0)</f>
        <v>0</v>
      </c>
      <c r="C1672" t="b">
        <v>1</v>
      </c>
      <c r="E1672" t="str">
        <f t="shared" si="156"/>
        <v>1</v>
      </c>
      <c r="F1672" t="str">
        <f t="shared" si="157"/>
        <v>2</v>
      </c>
      <c r="G1672" t="str">
        <f t="shared" si="158"/>
        <v>3</v>
      </c>
      <c r="H1672" t="str">
        <f t="shared" si="159"/>
        <v/>
      </c>
      <c r="I1672" t="str">
        <f t="shared" si="160"/>
        <v>1</v>
      </c>
      <c r="J1672" t="str">
        <f t="shared" ca="1" si="161"/>
        <v/>
      </c>
    </row>
    <row r="1673" spans="1:10" ht="18.75" x14ac:dyDescent="0.25">
      <c r="A1673" s="11" t="s">
        <v>2600</v>
      </c>
      <c r="B1673">
        <f>IFERROR(COUNTIFS($A$1:A1673,"Câu "&amp;"*")-MID(A1673,5,FIND(".",A1673,1)-5),0)</f>
        <v>0</v>
      </c>
      <c r="C1673" t="b">
        <v>0</v>
      </c>
      <c r="E1673" t="str">
        <f t="shared" si="156"/>
        <v>2</v>
      </c>
      <c r="F1673" t="str">
        <f t="shared" si="157"/>
        <v>3</v>
      </c>
      <c r="G1673" t="str">
        <f t="shared" si="158"/>
        <v>Câu 404.</v>
      </c>
      <c r="H1673" t="str">
        <f t="shared" si="159"/>
        <v>1</v>
      </c>
      <c r="I1673" t="str">
        <f t="shared" si="160"/>
        <v>2</v>
      </c>
      <c r="J1673" t="str">
        <f t="shared" ca="1" si="161"/>
        <v/>
      </c>
    </row>
    <row r="1674" spans="1:10" ht="18.75" x14ac:dyDescent="0.25">
      <c r="A1674" s="11" t="s">
        <v>2611</v>
      </c>
      <c r="B1674">
        <f>IFERROR(COUNTIFS($A$1:A1674,"Câu "&amp;"*")-MID(A1674,5,FIND(".",A1674,1)-5),0)</f>
        <v>0</v>
      </c>
      <c r="C1674" t="b">
        <v>0</v>
      </c>
      <c r="E1674" t="str">
        <f t="shared" si="156"/>
        <v>3</v>
      </c>
      <c r="F1674" t="str">
        <f t="shared" si="157"/>
        <v>Câu 404.</v>
      </c>
      <c r="G1674" t="str">
        <f t="shared" si="158"/>
        <v>1</v>
      </c>
      <c r="H1674" t="str">
        <f t="shared" si="159"/>
        <v>2</v>
      </c>
      <c r="I1674" t="str">
        <f t="shared" si="160"/>
        <v>3</v>
      </c>
      <c r="J1674" t="str">
        <f t="shared" ca="1" si="161"/>
        <v/>
      </c>
    </row>
    <row r="1675" spans="1:10" ht="18.75" x14ac:dyDescent="0.25">
      <c r="A1675" s="10" t="s">
        <v>1230</v>
      </c>
      <c r="B1675">
        <f>IFERROR(COUNTIFS($A$1:A1675,"Câu "&amp;"*")-MID(A1675,5,FIND(".",A1675,1)-5),0)</f>
        <v>0</v>
      </c>
      <c r="C1675" t="b">
        <v>0</v>
      </c>
      <c r="E1675" t="str">
        <f t="shared" si="156"/>
        <v>Câu 404.</v>
      </c>
      <c r="F1675" t="str">
        <f t="shared" si="157"/>
        <v>1</v>
      </c>
      <c r="G1675" t="str">
        <f t="shared" si="158"/>
        <v>2</v>
      </c>
      <c r="H1675" t="str">
        <f t="shared" si="159"/>
        <v>3</v>
      </c>
      <c r="I1675" t="str">
        <f t="shared" si="160"/>
        <v>4</v>
      </c>
      <c r="J1675" t="str">
        <f t="shared" ca="1" si="161"/>
        <v>3</v>
      </c>
    </row>
    <row r="1676" spans="1:10" ht="18.75" x14ac:dyDescent="0.25">
      <c r="A1676" s="11" t="s">
        <v>2603</v>
      </c>
      <c r="B1676">
        <f>IFERROR(COUNTIFS($A$1:A1676,"Câu "&amp;"*")-MID(A1676,5,FIND(".",A1676,1)-5),0)</f>
        <v>0</v>
      </c>
      <c r="C1676" t="b">
        <v>0</v>
      </c>
      <c r="E1676" t="str">
        <f t="shared" si="156"/>
        <v>1</v>
      </c>
      <c r="F1676" t="str">
        <f t="shared" si="157"/>
        <v>2</v>
      </c>
      <c r="G1676" t="str">
        <f t="shared" si="158"/>
        <v>3</v>
      </c>
      <c r="H1676" t="str">
        <f t="shared" si="159"/>
        <v>4</v>
      </c>
      <c r="I1676" t="str">
        <f t="shared" si="160"/>
        <v/>
      </c>
      <c r="J1676" t="str">
        <f t="shared" ca="1" si="161"/>
        <v/>
      </c>
    </row>
    <row r="1677" spans="1:10" ht="18.75" x14ac:dyDescent="0.25">
      <c r="A1677" s="11" t="s">
        <v>2600</v>
      </c>
      <c r="B1677">
        <f>IFERROR(COUNTIFS($A$1:A1677,"Câu "&amp;"*")-MID(A1677,5,FIND(".",A1677,1)-5),0)</f>
        <v>0</v>
      </c>
      <c r="C1677" t="b">
        <v>0</v>
      </c>
      <c r="E1677" t="str">
        <f t="shared" si="156"/>
        <v>2</v>
      </c>
      <c r="F1677" t="str">
        <f t="shared" si="157"/>
        <v>3</v>
      </c>
      <c r="G1677" t="str">
        <f t="shared" si="158"/>
        <v>4</v>
      </c>
      <c r="H1677" t="str">
        <f t="shared" si="159"/>
        <v/>
      </c>
      <c r="I1677" t="str">
        <f t="shared" si="160"/>
        <v>1</v>
      </c>
      <c r="J1677" t="str">
        <f t="shared" ca="1" si="161"/>
        <v/>
      </c>
    </row>
    <row r="1678" spans="1:10" ht="18.75" x14ac:dyDescent="0.25">
      <c r="A1678" s="11" t="s">
        <v>2628</v>
      </c>
      <c r="B1678">
        <f>IFERROR(COUNTIFS($A$1:A1678,"Câu "&amp;"*")-MID(A1678,5,FIND(".",A1678,1)-5),0)</f>
        <v>0</v>
      </c>
      <c r="C1678" t="b">
        <v>1</v>
      </c>
      <c r="E1678" t="str">
        <f t="shared" si="156"/>
        <v>3</v>
      </c>
      <c r="F1678" t="str">
        <f t="shared" si="157"/>
        <v>4</v>
      </c>
      <c r="G1678" t="str">
        <f t="shared" si="158"/>
        <v>Câu 405.</v>
      </c>
      <c r="H1678" t="str">
        <f t="shared" si="159"/>
        <v>1</v>
      </c>
      <c r="I1678" t="str">
        <f t="shared" si="160"/>
        <v>2</v>
      </c>
      <c r="J1678" t="str">
        <f t="shared" ca="1" si="161"/>
        <v/>
      </c>
    </row>
    <row r="1679" spans="1:10" ht="18.75" x14ac:dyDescent="0.25">
      <c r="A1679" s="11" t="s">
        <v>2678</v>
      </c>
      <c r="B1679">
        <f>IFERROR(COUNTIFS($A$1:A1679,"Câu "&amp;"*")-MID(A1679,5,FIND(".",A1679,1)-5),0)</f>
        <v>0</v>
      </c>
      <c r="C1679" t="b">
        <v>0</v>
      </c>
      <c r="E1679" t="str">
        <f t="shared" si="156"/>
        <v>4</v>
      </c>
      <c r="F1679" t="str">
        <f t="shared" si="157"/>
        <v>Câu 405.</v>
      </c>
      <c r="G1679" t="str">
        <f t="shared" si="158"/>
        <v>1</v>
      </c>
      <c r="H1679" t="str">
        <f t="shared" si="159"/>
        <v>2</v>
      </c>
      <c r="I1679" t="str">
        <f t="shared" si="160"/>
        <v>3</v>
      </c>
      <c r="J1679" t="str">
        <f t="shared" ca="1" si="161"/>
        <v/>
      </c>
    </row>
    <row r="1680" spans="1:10" ht="18.75" x14ac:dyDescent="0.25">
      <c r="A1680" s="10" t="s">
        <v>1231</v>
      </c>
      <c r="B1680">
        <f>IFERROR(COUNTIFS($A$1:A1680,"Câu "&amp;"*")-MID(A1680,5,FIND(".",A1680,1)-5),0)</f>
        <v>0</v>
      </c>
      <c r="C1680" t="b">
        <v>0</v>
      </c>
      <c r="E1680" t="str">
        <f t="shared" si="156"/>
        <v>Câu 405.</v>
      </c>
      <c r="F1680" t="str">
        <f t="shared" si="157"/>
        <v>1</v>
      </c>
      <c r="G1680" t="str">
        <f t="shared" si="158"/>
        <v>2</v>
      </c>
      <c r="H1680" t="str">
        <f t="shared" si="159"/>
        <v>3</v>
      </c>
      <c r="I1680" t="str">
        <f t="shared" si="160"/>
        <v/>
      </c>
      <c r="J1680" t="str">
        <f t="shared" ca="1" si="161"/>
        <v>2</v>
      </c>
    </row>
    <row r="1681" spans="1:10" ht="18.75" x14ac:dyDescent="0.25">
      <c r="A1681" s="11" t="s">
        <v>2603</v>
      </c>
      <c r="B1681">
        <f>IFERROR(COUNTIFS($A$1:A1681,"Câu "&amp;"*")-MID(A1681,5,FIND(".",A1681,1)-5),0)</f>
        <v>0</v>
      </c>
      <c r="C1681" t="b">
        <v>0</v>
      </c>
      <c r="E1681" t="str">
        <f t="shared" si="156"/>
        <v>1</v>
      </c>
      <c r="F1681" t="str">
        <f t="shared" si="157"/>
        <v>2</v>
      </c>
      <c r="G1681" t="str">
        <f t="shared" si="158"/>
        <v>3</v>
      </c>
      <c r="H1681" t="str">
        <f t="shared" si="159"/>
        <v/>
      </c>
      <c r="I1681" t="str">
        <f t="shared" si="160"/>
        <v>1</v>
      </c>
      <c r="J1681" t="str">
        <f t="shared" ca="1" si="161"/>
        <v/>
      </c>
    </row>
    <row r="1682" spans="1:10" ht="18.75" x14ac:dyDescent="0.25">
      <c r="A1682" s="11" t="s">
        <v>2618</v>
      </c>
      <c r="B1682">
        <f>IFERROR(COUNTIFS($A$1:A1682,"Câu "&amp;"*")-MID(A1682,5,FIND(".",A1682,1)-5),0)</f>
        <v>0</v>
      </c>
      <c r="C1682" t="b">
        <v>1</v>
      </c>
      <c r="E1682" t="str">
        <f t="shared" si="156"/>
        <v>2</v>
      </c>
      <c r="F1682" t="str">
        <f t="shared" si="157"/>
        <v>3</v>
      </c>
      <c r="G1682" t="str">
        <f t="shared" si="158"/>
        <v>Câu 406.</v>
      </c>
      <c r="H1682" t="str">
        <f t="shared" si="159"/>
        <v>1</v>
      </c>
      <c r="I1682" t="str">
        <f t="shared" si="160"/>
        <v>2</v>
      </c>
      <c r="J1682" t="str">
        <f t="shared" ca="1" si="161"/>
        <v/>
      </c>
    </row>
    <row r="1683" spans="1:10" ht="18.75" x14ac:dyDescent="0.25">
      <c r="A1683" s="11" t="s">
        <v>2611</v>
      </c>
      <c r="B1683">
        <f>IFERROR(COUNTIFS($A$1:A1683,"Câu "&amp;"*")-MID(A1683,5,FIND(".",A1683,1)-5),0)</f>
        <v>0</v>
      </c>
      <c r="C1683" t="b">
        <v>0</v>
      </c>
      <c r="E1683" t="str">
        <f t="shared" si="156"/>
        <v>3</v>
      </c>
      <c r="F1683" t="str">
        <f t="shared" si="157"/>
        <v>Câu 406.</v>
      </c>
      <c r="G1683" t="str">
        <f t="shared" si="158"/>
        <v>1</v>
      </c>
      <c r="H1683" t="str">
        <f t="shared" si="159"/>
        <v>2</v>
      </c>
      <c r="I1683" t="str">
        <f t="shared" si="160"/>
        <v>3</v>
      </c>
      <c r="J1683" t="str">
        <f t="shared" ca="1" si="161"/>
        <v/>
      </c>
    </row>
    <row r="1684" spans="1:10" ht="18.75" x14ac:dyDescent="0.25">
      <c r="A1684" s="10" t="s">
        <v>1232</v>
      </c>
      <c r="B1684">
        <f>IFERROR(COUNTIFS($A$1:A1684,"Câu "&amp;"*")-MID(A1684,5,FIND(".",A1684,1)-5),0)</f>
        <v>0</v>
      </c>
      <c r="C1684" t="b">
        <v>0</v>
      </c>
      <c r="E1684" t="str">
        <f t="shared" si="156"/>
        <v>Câu 406.</v>
      </c>
      <c r="F1684" t="str">
        <f t="shared" si="157"/>
        <v>1</v>
      </c>
      <c r="G1684" t="str">
        <f t="shared" si="158"/>
        <v>2</v>
      </c>
      <c r="H1684" t="str">
        <f t="shared" si="159"/>
        <v>3</v>
      </c>
      <c r="I1684" t="str">
        <f t="shared" si="160"/>
        <v/>
      </c>
      <c r="J1684" t="str">
        <f t="shared" ca="1" si="161"/>
        <v>2</v>
      </c>
    </row>
    <row r="1685" spans="1:10" ht="18.75" x14ac:dyDescent="0.25">
      <c r="A1685" s="11" t="s">
        <v>2603</v>
      </c>
      <c r="B1685">
        <f>IFERROR(COUNTIFS($A$1:A1685,"Câu "&amp;"*")-MID(A1685,5,FIND(".",A1685,1)-5),0)</f>
        <v>0</v>
      </c>
      <c r="C1685" t="b">
        <v>0</v>
      </c>
      <c r="E1685" t="str">
        <f t="shared" si="156"/>
        <v>1</v>
      </c>
      <c r="F1685" t="str">
        <f t="shared" si="157"/>
        <v>2</v>
      </c>
      <c r="G1685" t="str">
        <f t="shared" si="158"/>
        <v>3</v>
      </c>
      <c r="H1685" t="str">
        <f t="shared" si="159"/>
        <v/>
      </c>
      <c r="I1685" t="str">
        <f t="shared" si="160"/>
        <v>1</v>
      </c>
      <c r="J1685" t="str">
        <f t="shared" ca="1" si="161"/>
        <v/>
      </c>
    </row>
    <row r="1686" spans="1:10" ht="18.75" x14ac:dyDescent="0.25">
      <c r="A1686" s="11" t="s">
        <v>2618</v>
      </c>
      <c r="B1686">
        <f>IFERROR(COUNTIFS($A$1:A1686,"Câu "&amp;"*")-MID(A1686,5,FIND(".",A1686,1)-5),0)</f>
        <v>0</v>
      </c>
      <c r="C1686" t="b">
        <v>1</v>
      </c>
      <c r="E1686" t="str">
        <f t="shared" si="156"/>
        <v>2</v>
      </c>
      <c r="F1686" t="str">
        <f t="shared" si="157"/>
        <v>3</v>
      </c>
      <c r="G1686" t="str">
        <f t="shared" si="158"/>
        <v>Câu 407.</v>
      </c>
      <c r="H1686" t="str">
        <f t="shared" si="159"/>
        <v>1</v>
      </c>
      <c r="I1686" t="str">
        <f t="shared" si="160"/>
        <v>2</v>
      </c>
      <c r="J1686" t="str">
        <f t="shared" ca="1" si="161"/>
        <v/>
      </c>
    </row>
    <row r="1687" spans="1:10" ht="18.75" x14ac:dyDescent="0.25">
      <c r="A1687" s="11" t="s">
        <v>2611</v>
      </c>
      <c r="B1687">
        <f>IFERROR(COUNTIFS($A$1:A1687,"Câu "&amp;"*")-MID(A1687,5,FIND(".",A1687,1)-5),0)</f>
        <v>0</v>
      </c>
      <c r="C1687" t="b">
        <v>0</v>
      </c>
      <c r="E1687" t="str">
        <f t="shared" si="156"/>
        <v>3</v>
      </c>
      <c r="F1687" t="str">
        <f t="shared" si="157"/>
        <v>Câu 407.</v>
      </c>
      <c r="G1687" t="str">
        <f t="shared" si="158"/>
        <v>1</v>
      </c>
      <c r="H1687" t="str">
        <f t="shared" si="159"/>
        <v>2</v>
      </c>
      <c r="I1687" t="str">
        <f t="shared" si="160"/>
        <v>3</v>
      </c>
      <c r="J1687" t="str">
        <f t="shared" ca="1" si="161"/>
        <v/>
      </c>
    </row>
    <row r="1688" spans="1:10" ht="18.75" x14ac:dyDescent="0.25">
      <c r="A1688" s="10" t="s">
        <v>1233</v>
      </c>
      <c r="B1688">
        <f>IFERROR(COUNTIFS($A$1:A1688,"Câu "&amp;"*")-MID(A1688,5,FIND(".",A1688,1)-5),0)</f>
        <v>0</v>
      </c>
      <c r="C1688" t="b">
        <v>0</v>
      </c>
      <c r="E1688" t="str">
        <f t="shared" si="156"/>
        <v>Câu 407.</v>
      </c>
      <c r="F1688" t="str">
        <f t="shared" si="157"/>
        <v>1</v>
      </c>
      <c r="G1688" t="str">
        <f t="shared" si="158"/>
        <v>2</v>
      </c>
      <c r="H1688" t="str">
        <f t="shared" si="159"/>
        <v>3</v>
      </c>
      <c r="I1688" t="str">
        <f t="shared" si="160"/>
        <v/>
      </c>
      <c r="J1688" t="str">
        <f t="shared" ca="1" si="161"/>
        <v>2</v>
      </c>
    </row>
    <row r="1689" spans="1:10" ht="18.75" x14ac:dyDescent="0.25">
      <c r="A1689" s="11" t="s">
        <v>2603</v>
      </c>
      <c r="B1689">
        <f>IFERROR(COUNTIFS($A$1:A1689,"Câu "&amp;"*")-MID(A1689,5,FIND(".",A1689,1)-5),0)</f>
        <v>0</v>
      </c>
      <c r="C1689" t="b">
        <v>0</v>
      </c>
      <c r="E1689" t="str">
        <f t="shared" si="156"/>
        <v>1</v>
      </c>
      <c r="F1689" t="str">
        <f t="shared" si="157"/>
        <v>2</v>
      </c>
      <c r="G1689" t="str">
        <f t="shared" si="158"/>
        <v>3</v>
      </c>
      <c r="H1689" t="str">
        <f t="shared" si="159"/>
        <v/>
      </c>
      <c r="I1689" t="str">
        <f t="shared" si="160"/>
        <v>1</v>
      </c>
      <c r="J1689" t="str">
        <f t="shared" ca="1" si="161"/>
        <v/>
      </c>
    </row>
    <row r="1690" spans="1:10" ht="18.75" x14ac:dyDescent="0.25">
      <c r="A1690" s="11" t="s">
        <v>2618</v>
      </c>
      <c r="B1690">
        <f>IFERROR(COUNTIFS($A$1:A1690,"Câu "&amp;"*")-MID(A1690,5,FIND(".",A1690,1)-5),0)</f>
        <v>0</v>
      </c>
      <c r="C1690" t="b">
        <v>1</v>
      </c>
      <c r="E1690" t="str">
        <f t="shared" si="156"/>
        <v>2</v>
      </c>
      <c r="F1690" t="str">
        <f t="shared" si="157"/>
        <v>3</v>
      </c>
      <c r="G1690" t="str">
        <f t="shared" si="158"/>
        <v>Câu 408.</v>
      </c>
      <c r="H1690" t="str">
        <f t="shared" si="159"/>
        <v>1</v>
      </c>
      <c r="I1690" t="str">
        <f t="shared" si="160"/>
        <v>2</v>
      </c>
      <c r="J1690" t="str">
        <f t="shared" ca="1" si="161"/>
        <v/>
      </c>
    </row>
    <row r="1691" spans="1:10" ht="18.75" x14ac:dyDescent="0.25">
      <c r="A1691" s="11" t="s">
        <v>2611</v>
      </c>
      <c r="B1691">
        <f>IFERROR(COUNTIFS($A$1:A1691,"Câu "&amp;"*")-MID(A1691,5,FIND(".",A1691,1)-5),0)</f>
        <v>0</v>
      </c>
      <c r="C1691" t="b">
        <v>0</v>
      </c>
      <c r="E1691" t="str">
        <f t="shared" si="156"/>
        <v>3</v>
      </c>
      <c r="F1691" t="str">
        <f t="shared" si="157"/>
        <v>Câu 408.</v>
      </c>
      <c r="G1691" t="str">
        <f t="shared" si="158"/>
        <v>1</v>
      </c>
      <c r="H1691" t="str">
        <f t="shared" si="159"/>
        <v>2</v>
      </c>
      <c r="I1691" t="str">
        <f t="shared" si="160"/>
        <v>3</v>
      </c>
      <c r="J1691" t="str">
        <f t="shared" ca="1" si="161"/>
        <v/>
      </c>
    </row>
    <row r="1692" spans="1:10" ht="18.75" x14ac:dyDescent="0.25">
      <c r="A1692" s="10" t="s">
        <v>1234</v>
      </c>
      <c r="B1692">
        <f>IFERROR(COUNTIFS($A$1:A1692,"Câu "&amp;"*")-MID(A1692,5,FIND(".",A1692,1)-5),0)</f>
        <v>0</v>
      </c>
      <c r="C1692" t="b">
        <v>0</v>
      </c>
      <c r="E1692" t="str">
        <f t="shared" si="156"/>
        <v>Câu 408.</v>
      </c>
      <c r="F1692" t="str">
        <f t="shared" si="157"/>
        <v>1</v>
      </c>
      <c r="G1692" t="str">
        <f t="shared" si="158"/>
        <v>2</v>
      </c>
      <c r="H1692" t="str">
        <f t="shared" si="159"/>
        <v>3</v>
      </c>
      <c r="I1692" t="str">
        <f t="shared" si="160"/>
        <v>4</v>
      </c>
      <c r="J1692" t="str">
        <f t="shared" ca="1" si="161"/>
        <v>1</v>
      </c>
    </row>
    <row r="1693" spans="1:10" ht="18.75" x14ac:dyDescent="0.25">
      <c r="A1693" s="11" t="s">
        <v>2599</v>
      </c>
      <c r="B1693">
        <f>IFERROR(COUNTIFS($A$1:A1693,"Câu "&amp;"*")-MID(A1693,5,FIND(".",A1693,1)-5),0)</f>
        <v>0</v>
      </c>
      <c r="C1693" t="b">
        <v>1</v>
      </c>
      <c r="E1693" t="str">
        <f t="shared" si="156"/>
        <v>1</v>
      </c>
      <c r="F1693" t="str">
        <f t="shared" si="157"/>
        <v>2</v>
      </c>
      <c r="G1693" t="str">
        <f t="shared" si="158"/>
        <v>3</v>
      </c>
      <c r="H1693" t="str">
        <f t="shared" si="159"/>
        <v>4</v>
      </c>
      <c r="I1693" t="str">
        <f t="shared" si="160"/>
        <v/>
      </c>
      <c r="J1693" t="str">
        <f t="shared" ca="1" si="161"/>
        <v/>
      </c>
    </row>
    <row r="1694" spans="1:10" ht="18.75" x14ac:dyDescent="0.25">
      <c r="A1694" s="11" t="s">
        <v>2600</v>
      </c>
      <c r="B1694">
        <f>IFERROR(COUNTIFS($A$1:A1694,"Câu "&amp;"*")-MID(A1694,5,FIND(".",A1694,1)-5),0)</f>
        <v>0</v>
      </c>
      <c r="C1694" t="b">
        <v>0</v>
      </c>
      <c r="E1694" t="str">
        <f t="shared" si="156"/>
        <v>2</v>
      </c>
      <c r="F1694" t="str">
        <f t="shared" si="157"/>
        <v>3</v>
      </c>
      <c r="G1694" t="str">
        <f t="shared" si="158"/>
        <v>4</v>
      </c>
      <c r="H1694" t="str">
        <f t="shared" si="159"/>
        <v/>
      </c>
      <c r="I1694" t="str">
        <f t="shared" si="160"/>
        <v>1</v>
      </c>
      <c r="J1694" t="str">
        <f t="shared" ca="1" si="161"/>
        <v/>
      </c>
    </row>
    <row r="1695" spans="1:10" ht="18.75" x14ac:dyDescent="0.25">
      <c r="A1695" s="11" t="s">
        <v>2611</v>
      </c>
      <c r="B1695">
        <f>IFERROR(COUNTIFS($A$1:A1695,"Câu "&amp;"*")-MID(A1695,5,FIND(".",A1695,1)-5),0)</f>
        <v>0</v>
      </c>
      <c r="C1695" t="b">
        <v>0</v>
      </c>
      <c r="E1695" t="str">
        <f t="shared" si="156"/>
        <v>3</v>
      </c>
      <c r="F1695" t="str">
        <f t="shared" si="157"/>
        <v>4</v>
      </c>
      <c r="G1695" t="str">
        <f t="shared" si="158"/>
        <v>Câu 409.</v>
      </c>
      <c r="H1695" t="str">
        <f t="shared" si="159"/>
        <v>1</v>
      </c>
      <c r="I1695" t="str">
        <f t="shared" si="160"/>
        <v>2</v>
      </c>
      <c r="J1695" t="str">
        <f t="shared" ca="1" si="161"/>
        <v/>
      </c>
    </row>
    <row r="1696" spans="1:10" ht="18.75" x14ac:dyDescent="0.25">
      <c r="A1696" s="11" t="s">
        <v>2679</v>
      </c>
      <c r="B1696">
        <f>IFERROR(COUNTIFS($A$1:A1696,"Câu "&amp;"*")-MID(A1696,5,FIND(".",A1696,1)-5),0)</f>
        <v>0</v>
      </c>
      <c r="C1696" t="b">
        <v>0</v>
      </c>
      <c r="E1696" t="str">
        <f t="shared" si="156"/>
        <v>4</v>
      </c>
      <c r="F1696" t="str">
        <f t="shared" si="157"/>
        <v>Câu 409.</v>
      </c>
      <c r="G1696" t="str">
        <f t="shared" si="158"/>
        <v>1</v>
      </c>
      <c r="H1696" t="str">
        <f t="shared" si="159"/>
        <v>2</v>
      </c>
      <c r="I1696" t="str">
        <f t="shared" si="160"/>
        <v>3</v>
      </c>
      <c r="J1696" t="str">
        <f t="shared" ca="1" si="161"/>
        <v/>
      </c>
    </row>
    <row r="1697" spans="1:10" ht="18.75" x14ac:dyDescent="0.25">
      <c r="A1697" s="10" t="s">
        <v>1235</v>
      </c>
      <c r="B1697">
        <f>IFERROR(COUNTIFS($A$1:A1697,"Câu "&amp;"*")-MID(A1697,5,FIND(".",A1697,1)-5),0)</f>
        <v>0</v>
      </c>
      <c r="C1697" t="b">
        <v>0</v>
      </c>
      <c r="E1697" t="str">
        <f t="shared" si="156"/>
        <v>Câu 409.</v>
      </c>
      <c r="F1697" t="str">
        <f t="shared" si="157"/>
        <v>1</v>
      </c>
      <c r="G1697" t="str">
        <f t="shared" si="158"/>
        <v>2</v>
      </c>
      <c r="H1697" t="str">
        <f t="shared" si="159"/>
        <v>3</v>
      </c>
      <c r="I1697" t="str">
        <f t="shared" si="160"/>
        <v/>
      </c>
      <c r="J1697" t="str">
        <f t="shared" ca="1" si="161"/>
        <v>2</v>
      </c>
    </row>
    <row r="1698" spans="1:10" ht="18.75" x14ac:dyDescent="0.25">
      <c r="A1698" s="11" t="s">
        <v>2603</v>
      </c>
      <c r="B1698">
        <f>IFERROR(COUNTIFS($A$1:A1698,"Câu "&amp;"*")-MID(A1698,5,FIND(".",A1698,1)-5),0)</f>
        <v>0</v>
      </c>
      <c r="C1698" t="b">
        <v>0</v>
      </c>
      <c r="E1698" t="str">
        <f t="shared" si="156"/>
        <v>1</v>
      </c>
      <c r="F1698" t="str">
        <f t="shared" si="157"/>
        <v>2</v>
      </c>
      <c r="G1698" t="str">
        <f t="shared" si="158"/>
        <v>3</v>
      </c>
      <c r="H1698" t="str">
        <f t="shared" si="159"/>
        <v/>
      </c>
      <c r="I1698" t="str">
        <f t="shared" si="160"/>
        <v>1</v>
      </c>
      <c r="J1698" t="str">
        <f t="shared" ca="1" si="161"/>
        <v/>
      </c>
    </row>
    <row r="1699" spans="1:10" ht="18.75" x14ac:dyDescent="0.25">
      <c r="A1699" s="11" t="s">
        <v>2618</v>
      </c>
      <c r="B1699">
        <f>IFERROR(COUNTIFS($A$1:A1699,"Câu "&amp;"*")-MID(A1699,5,FIND(".",A1699,1)-5),0)</f>
        <v>0</v>
      </c>
      <c r="C1699" t="b">
        <v>1</v>
      </c>
      <c r="E1699" t="str">
        <f t="shared" si="156"/>
        <v>2</v>
      </c>
      <c r="F1699" t="str">
        <f t="shared" si="157"/>
        <v>3</v>
      </c>
      <c r="G1699" t="str">
        <f t="shared" si="158"/>
        <v>Câu 410.</v>
      </c>
      <c r="H1699" t="str">
        <f t="shared" si="159"/>
        <v>1</v>
      </c>
      <c r="I1699" t="str">
        <f t="shared" si="160"/>
        <v>2</v>
      </c>
      <c r="J1699" t="str">
        <f t="shared" ca="1" si="161"/>
        <v/>
      </c>
    </row>
    <row r="1700" spans="1:10" ht="18.75" x14ac:dyDescent="0.25">
      <c r="A1700" s="11" t="s">
        <v>2611</v>
      </c>
      <c r="B1700">
        <f>IFERROR(COUNTIFS($A$1:A1700,"Câu "&amp;"*")-MID(A1700,5,FIND(".",A1700,1)-5),0)</f>
        <v>0</v>
      </c>
      <c r="C1700" t="b">
        <v>0</v>
      </c>
      <c r="E1700" t="str">
        <f t="shared" si="156"/>
        <v>3</v>
      </c>
      <c r="F1700" t="str">
        <f t="shared" si="157"/>
        <v>Câu 410.</v>
      </c>
      <c r="G1700" t="str">
        <f t="shared" si="158"/>
        <v>1</v>
      </c>
      <c r="H1700" t="str">
        <f t="shared" si="159"/>
        <v>2</v>
      </c>
      <c r="I1700" t="str">
        <f t="shared" si="160"/>
        <v>3</v>
      </c>
      <c r="J1700" t="str">
        <f t="shared" ca="1" si="161"/>
        <v/>
      </c>
    </row>
    <row r="1701" spans="1:10" ht="18.75" x14ac:dyDescent="0.25">
      <c r="A1701" s="10" t="s">
        <v>1236</v>
      </c>
      <c r="B1701">
        <f>IFERROR(COUNTIFS($A$1:A1701,"Câu "&amp;"*")-MID(A1701,5,FIND(".",A1701,1)-5),0)</f>
        <v>0</v>
      </c>
      <c r="C1701" t="b">
        <v>0</v>
      </c>
      <c r="E1701" t="str">
        <f t="shared" si="156"/>
        <v>Câu 410.</v>
      </c>
      <c r="F1701" t="str">
        <f t="shared" si="157"/>
        <v>1</v>
      </c>
      <c r="G1701" t="str">
        <f t="shared" si="158"/>
        <v>2</v>
      </c>
      <c r="H1701" t="str">
        <f t="shared" si="159"/>
        <v>3</v>
      </c>
      <c r="I1701" t="str">
        <f t="shared" si="160"/>
        <v>4</v>
      </c>
      <c r="J1701" t="str">
        <f t="shared" ca="1" si="161"/>
        <v>2</v>
      </c>
    </row>
    <row r="1702" spans="1:10" ht="18.75" x14ac:dyDescent="0.25">
      <c r="A1702" s="11" t="s">
        <v>2603</v>
      </c>
      <c r="B1702">
        <f>IFERROR(COUNTIFS($A$1:A1702,"Câu "&amp;"*")-MID(A1702,5,FIND(".",A1702,1)-5),0)</f>
        <v>0</v>
      </c>
      <c r="C1702" t="b">
        <v>0</v>
      </c>
      <c r="E1702" t="str">
        <f t="shared" si="156"/>
        <v>1</v>
      </c>
      <c r="F1702" t="str">
        <f t="shared" si="157"/>
        <v>2</v>
      </c>
      <c r="G1702" t="str">
        <f t="shared" si="158"/>
        <v>3</v>
      </c>
      <c r="H1702" t="str">
        <f t="shared" si="159"/>
        <v>4</v>
      </c>
      <c r="I1702" t="str">
        <f t="shared" si="160"/>
        <v/>
      </c>
      <c r="J1702" t="str">
        <f t="shared" ca="1" si="161"/>
        <v/>
      </c>
    </row>
    <row r="1703" spans="1:10" ht="18.75" x14ac:dyDescent="0.25">
      <c r="A1703" s="11" t="s">
        <v>2618</v>
      </c>
      <c r="B1703">
        <f>IFERROR(COUNTIFS($A$1:A1703,"Câu "&amp;"*")-MID(A1703,5,FIND(".",A1703,1)-5),0)</f>
        <v>0</v>
      </c>
      <c r="C1703" t="b">
        <v>1</v>
      </c>
      <c r="E1703" t="str">
        <f t="shared" si="156"/>
        <v>2</v>
      </c>
      <c r="F1703" t="str">
        <f t="shared" si="157"/>
        <v>3</v>
      </c>
      <c r="G1703" t="str">
        <f t="shared" si="158"/>
        <v>4</v>
      </c>
      <c r="H1703" t="str">
        <f t="shared" si="159"/>
        <v/>
      </c>
      <c r="I1703" t="str">
        <f t="shared" si="160"/>
        <v>1</v>
      </c>
      <c r="J1703" t="str">
        <f t="shared" ca="1" si="161"/>
        <v/>
      </c>
    </row>
    <row r="1704" spans="1:10" ht="18.75" x14ac:dyDescent="0.25">
      <c r="A1704" s="11" t="s">
        <v>2611</v>
      </c>
      <c r="B1704">
        <f>IFERROR(COUNTIFS($A$1:A1704,"Câu "&amp;"*")-MID(A1704,5,FIND(".",A1704,1)-5),0)</f>
        <v>0</v>
      </c>
      <c r="C1704" t="b">
        <v>0</v>
      </c>
      <c r="E1704" t="str">
        <f t="shared" si="156"/>
        <v>3</v>
      </c>
      <c r="F1704" t="str">
        <f t="shared" si="157"/>
        <v>4</v>
      </c>
      <c r="G1704" t="str">
        <f t="shared" si="158"/>
        <v>Câu 411.</v>
      </c>
      <c r="H1704" t="str">
        <f t="shared" si="159"/>
        <v>1</v>
      </c>
      <c r="I1704" t="str">
        <f t="shared" si="160"/>
        <v>2</v>
      </c>
      <c r="J1704" t="str">
        <f t="shared" ca="1" si="161"/>
        <v/>
      </c>
    </row>
    <row r="1705" spans="1:10" ht="18.75" x14ac:dyDescent="0.25">
      <c r="A1705" s="11" t="s">
        <v>2606</v>
      </c>
      <c r="B1705">
        <f>IFERROR(COUNTIFS($A$1:A1705,"Câu "&amp;"*")-MID(A1705,5,FIND(".",A1705,1)-5),0)</f>
        <v>0</v>
      </c>
      <c r="C1705" t="b">
        <v>0</v>
      </c>
      <c r="E1705" t="str">
        <f t="shared" si="156"/>
        <v>4</v>
      </c>
      <c r="F1705" t="str">
        <f t="shared" si="157"/>
        <v>Câu 411.</v>
      </c>
      <c r="G1705" t="str">
        <f t="shared" si="158"/>
        <v>1</v>
      </c>
      <c r="H1705" t="str">
        <f t="shared" si="159"/>
        <v>2</v>
      </c>
      <c r="I1705" t="str">
        <f t="shared" si="160"/>
        <v/>
      </c>
      <c r="J1705" t="str">
        <f t="shared" ca="1" si="161"/>
        <v/>
      </c>
    </row>
    <row r="1706" spans="1:10" ht="409.5" x14ac:dyDescent="0.25">
      <c r="A1706" s="4" t="s">
        <v>1237</v>
      </c>
      <c r="B1706">
        <f>IFERROR(COUNTIFS($A$1:A1706,"Câu "&amp;"*")-MID(A1706,5,FIND(".",A1706,1)-5),0)</f>
        <v>0</v>
      </c>
      <c r="C1706" t="b">
        <v>0</v>
      </c>
      <c r="E1706" t="str">
        <f t="shared" si="156"/>
        <v>Câu 411.</v>
      </c>
      <c r="F1706" t="str">
        <f t="shared" si="157"/>
        <v>1</v>
      </c>
      <c r="G1706" t="str">
        <f t="shared" si="158"/>
        <v>2</v>
      </c>
      <c r="H1706" t="str">
        <f t="shared" si="159"/>
        <v/>
      </c>
      <c r="I1706" t="str">
        <f t="shared" si="160"/>
        <v>1</v>
      </c>
      <c r="J1706" t="str">
        <f t="shared" ca="1" si="161"/>
        <v>2</v>
      </c>
    </row>
    <row r="1707" spans="1:10" ht="18.75" x14ac:dyDescent="0.25">
      <c r="A1707" s="11" t="s">
        <v>2603</v>
      </c>
      <c r="B1707">
        <f>IFERROR(COUNTIFS($A$1:A1707,"Câu "&amp;"*")-MID(A1707,5,FIND(".",A1707,1)-5),0)</f>
        <v>0</v>
      </c>
      <c r="C1707" t="b">
        <v>0</v>
      </c>
      <c r="E1707" t="str">
        <f t="shared" si="156"/>
        <v>1</v>
      </c>
      <c r="F1707" t="str">
        <f t="shared" si="157"/>
        <v>2</v>
      </c>
      <c r="G1707" t="str">
        <f t="shared" si="158"/>
        <v>Câu 412.</v>
      </c>
      <c r="H1707" t="str">
        <f t="shared" si="159"/>
        <v>1</v>
      </c>
      <c r="I1707" t="str">
        <f t="shared" si="160"/>
        <v>2</v>
      </c>
      <c r="J1707" t="str">
        <f t="shared" ca="1" si="161"/>
        <v/>
      </c>
    </row>
    <row r="1708" spans="1:10" ht="18.75" x14ac:dyDescent="0.25">
      <c r="A1708" s="11" t="s">
        <v>2618</v>
      </c>
      <c r="B1708">
        <f>IFERROR(COUNTIFS($A$1:A1708,"Câu "&amp;"*")-MID(A1708,5,FIND(".",A1708,1)-5),0)</f>
        <v>0</v>
      </c>
      <c r="C1708" t="b">
        <v>1</v>
      </c>
      <c r="E1708" t="str">
        <f t="shared" si="156"/>
        <v>2</v>
      </c>
      <c r="F1708" t="str">
        <f t="shared" si="157"/>
        <v>Câu 412.</v>
      </c>
      <c r="G1708" t="str">
        <f t="shared" si="158"/>
        <v>1</v>
      </c>
      <c r="H1708" t="str">
        <f t="shared" si="159"/>
        <v>2</v>
      </c>
      <c r="I1708" t="str">
        <f t="shared" si="160"/>
        <v>3</v>
      </c>
      <c r="J1708" t="str">
        <f t="shared" ca="1" si="161"/>
        <v/>
      </c>
    </row>
    <row r="1709" spans="1:10" ht="18.75" x14ac:dyDescent="0.25">
      <c r="A1709" s="10" t="s">
        <v>1238</v>
      </c>
      <c r="B1709">
        <f>IFERROR(COUNTIFS($A$1:A1709,"Câu "&amp;"*")-MID(A1709,5,FIND(".",A1709,1)-5),0)</f>
        <v>0</v>
      </c>
      <c r="C1709" t="b">
        <v>0</v>
      </c>
      <c r="E1709" t="str">
        <f t="shared" si="156"/>
        <v>Câu 412.</v>
      </c>
      <c r="F1709" t="str">
        <f t="shared" si="157"/>
        <v>1</v>
      </c>
      <c r="G1709" t="str">
        <f t="shared" si="158"/>
        <v>2</v>
      </c>
      <c r="H1709" t="str">
        <f t="shared" si="159"/>
        <v>3</v>
      </c>
      <c r="I1709" t="str">
        <f t="shared" si="160"/>
        <v/>
      </c>
      <c r="J1709" t="str">
        <f t="shared" ca="1" si="161"/>
        <v>2</v>
      </c>
    </row>
    <row r="1710" spans="1:10" ht="18.75" x14ac:dyDescent="0.25">
      <c r="A1710" s="11" t="s">
        <v>2603</v>
      </c>
      <c r="B1710">
        <f>IFERROR(COUNTIFS($A$1:A1710,"Câu "&amp;"*")-MID(A1710,5,FIND(".",A1710,1)-5),0)</f>
        <v>0</v>
      </c>
      <c r="C1710" t="b">
        <v>0</v>
      </c>
      <c r="E1710" t="str">
        <f t="shared" si="156"/>
        <v>1</v>
      </c>
      <c r="F1710" t="str">
        <f t="shared" si="157"/>
        <v>2</v>
      </c>
      <c r="G1710" t="str">
        <f t="shared" si="158"/>
        <v>3</v>
      </c>
      <c r="H1710" t="str">
        <f t="shared" si="159"/>
        <v/>
      </c>
      <c r="I1710" t="str">
        <f t="shared" si="160"/>
        <v>1</v>
      </c>
      <c r="J1710" t="str">
        <f t="shared" ca="1" si="161"/>
        <v/>
      </c>
    </row>
    <row r="1711" spans="1:10" ht="18.75" x14ac:dyDescent="0.25">
      <c r="A1711" s="11" t="s">
        <v>2618</v>
      </c>
      <c r="B1711">
        <f>IFERROR(COUNTIFS($A$1:A1711,"Câu "&amp;"*")-MID(A1711,5,FIND(".",A1711,1)-5),0)</f>
        <v>0</v>
      </c>
      <c r="C1711" t="b">
        <v>1</v>
      </c>
      <c r="E1711" t="str">
        <f t="shared" si="156"/>
        <v>2</v>
      </c>
      <c r="F1711" t="str">
        <f t="shared" si="157"/>
        <v>3</v>
      </c>
      <c r="G1711" t="str">
        <f t="shared" si="158"/>
        <v>Câu 413.</v>
      </c>
      <c r="H1711" t="str">
        <f t="shared" si="159"/>
        <v>1</v>
      </c>
      <c r="I1711" t="str">
        <f t="shared" si="160"/>
        <v>2</v>
      </c>
      <c r="J1711" t="str">
        <f t="shared" ca="1" si="161"/>
        <v/>
      </c>
    </row>
    <row r="1712" spans="1:10" ht="18.75" x14ac:dyDescent="0.25">
      <c r="A1712" s="11" t="s">
        <v>2611</v>
      </c>
      <c r="B1712">
        <f>IFERROR(COUNTIFS($A$1:A1712,"Câu "&amp;"*")-MID(A1712,5,FIND(".",A1712,1)-5),0)</f>
        <v>0</v>
      </c>
      <c r="C1712" t="b">
        <v>0</v>
      </c>
      <c r="E1712" t="str">
        <f t="shared" si="156"/>
        <v>3</v>
      </c>
      <c r="F1712" t="str">
        <f t="shared" si="157"/>
        <v>Câu 413.</v>
      </c>
      <c r="G1712" t="str">
        <f t="shared" si="158"/>
        <v>1</v>
      </c>
      <c r="H1712" t="str">
        <f t="shared" si="159"/>
        <v>2</v>
      </c>
      <c r="I1712" t="str">
        <f t="shared" si="160"/>
        <v>3</v>
      </c>
      <c r="J1712" t="str">
        <f t="shared" ca="1" si="161"/>
        <v/>
      </c>
    </row>
    <row r="1713" spans="1:10" ht="18.75" x14ac:dyDescent="0.25">
      <c r="A1713" s="10" t="s">
        <v>1239</v>
      </c>
      <c r="B1713">
        <f>IFERROR(COUNTIFS($A$1:A1713,"Câu "&amp;"*")-MID(A1713,5,FIND(".",A1713,1)-5),0)</f>
        <v>0</v>
      </c>
      <c r="C1713" t="b">
        <v>0</v>
      </c>
      <c r="E1713" t="str">
        <f t="shared" si="156"/>
        <v>Câu 413.</v>
      </c>
      <c r="F1713" t="str">
        <f t="shared" si="157"/>
        <v>1</v>
      </c>
      <c r="G1713" t="str">
        <f t="shared" si="158"/>
        <v>2</v>
      </c>
      <c r="H1713" t="str">
        <f t="shared" si="159"/>
        <v>3</v>
      </c>
      <c r="I1713" t="str">
        <f t="shared" si="160"/>
        <v>4</v>
      </c>
      <c r="J1713" t="str">
        <f t="shared" ca="1" si="161"/>
        <v>2</v>
      </c>
    </row>
    <row r="1714" spans="1:10" ht="18.75" x14ac:dyDescent="0.25">
      <c r="A1714" s="11" t="s">
        <v>2603</v>
      </c>
      <c r="B1714">
        <f>IFERROR(COUNTIFS($A$1:A1714,"Câu "&amp;"*")-MID(A1714,5,FIND(".",A1714,1)-5),0)</f>
        <v>0</v>
      </c>
      <c r="C1714" t="b">
        <v>0</v>
      </c>
      <c r="E1714" t="str">
        <f t="shared" si="156"/>
        <v>1</v>
      </c>
      <c r="F1714" t="str">
        <f t="shared" si="157"/>
        <v>2</v>
      </c>
      <c r="G1714" t="str">
        <f t="shared" si="158"/>
        <v>3</v>
      </c>
      <c r="H1714" t="str">
        <f t="shared" si="159"/>
        <v>4</v>
      </c>
      <c r="I1714" t="str">
        <f t="shared" si="160"/>
        <v/>
      </c>
      <c r="J1714" t="str">
        <f t="shared" ca="1" si="161"/>
        <v/>
      </c>
    </row>
    <row r="1715" spans="1:10" ht="18.75" x14ac:dyDescent="0.25">
      <c r="A1715" s="11" t="s">
        <v>2618</v>
      </c>
      <c r="B1715">
        <f>IFERROR(COUNTIFS($A$1:A1715,"Câu "&amp;"*")-MID(A1715,5,FIND(".",A1715,1)-5),0)</f>
        <v>0</v>
      </c>
      <c r="C1715" t="b">
        <v>1</v>
      </c>
      <c r="E1715" t="str">
        <f t="shared" si="156"/>
        <v>2</v>
      </c>
      <c r="F1715" t="str">
        <f t="shared" si="157"/>
        <v>3</v>
      </c>
      <c r="G1715" t="str">
        <f t="shared" si="158"/>
        <v>4</v>
      </c>
      <c r="H1715" t="str">
        <f t="shared" si="159"/>
        <v/>
      </c>
      <c r="I1715" t="str">
        <f t="shared" si="160"/>
        <v>1</v>
      </c>
      <c r="J1715" t="str">
        <f t="shared" ca="1" si="161"/>
        <v/>
      </c>
    </row>
    <row r="1716" spans="1:10" ht="18.75" x14ac:dyDescent="0.25">
      <c r="A1716" s="11" t="s">
        <v>2611</v>
      </c>
      <c r="B1716">
        <f>IFERROR(COUNTIFS($A$1:A1716,"Câu "&amp;"*")-MID(A1716,5,FIND(".",A1716,1)-5),0)</f>
        <v>0</v>
      </c>
      <c r="C1716" t="b">
        <v>0</v>
      </c>
      <c r="E1716" t="str">
        <f t="shared" si="156"/>
        <v>3</v>
      </c>
      <c r="F1716" t="str">
        <f t="shared" si="157"/>
        <v>4</v>
      </c>
      <c r="G1716" t="str">
        <f t="shared" si="158"/>
        <v>Câu 414.</v>
      </c>
      <c r="H1716" t="str">
        <f t="shared" si="159"/>
        <v>1</v>
      </c>
      <c r="I1716" t="str">
        <f t="shared" si="160"/>
        <v>2</v>
      </c>
      <c r="J1716" t="str">
        <f t="shared" ca="1" si="161"/>
        <v/>
      </c>
    </row>
    <row r="1717" spans="1:10" ht="18.75" x14ac:dyDescent="0.25">
      <c r="A1717" s="11" t="s">
        <v>2606</v>
      </c>
      <c r="B1717">
        <f>IFERROR(COUNTIFS($A$1:A1717,"Câu "&amp;"*")-MID(A1717,5,FIND(".",A1717,1)-5),0)</f>
        <v>0</v>
      </c>
      <c r="C1717" t="b">
        <v>0</v>
      </c>
      <c r="E1717" t="str">
        <f t="shared" si="156"/>
        <v>4</v>
      </c>
      <c r="F1717" t="str">
        <f t="shared" si="157"/>
        <v>Câu 414.</v>
      </c>
      <c r="G1717" t="str">
        <f t="shared" si="158"/>
        <v>1</v>
      </c>
      <c r="H1717" t="str">
        <f t="shared" si="159"/>
        <v>2</v>
      </c>
      <c r="I1717" t="str">
        <f t="shared" si="160"/>
        <v>3</v>
      </c>
      <c r="J1717" t="str">
        <f t="shared" ca="1" si="161"/>
        <v/>
      </c>
    </row>
    <row r="1718" spans="1:10" ht="18.75" x14ac:dyDescent="0.25">
      <c r="A1718" s="10" t="s">
        <v>1240</v>
      </c>
      <c r="B1718">
        <f>IFERROR(COUNTIFS($A$1:A1718,"Câu "&amp;"*")-MID(A1718,5,FIND(".",A1718,1)-5),0)</f>
        <v>0</v>
      </c>
      <c r="C1718" t="b">
        <v>0</v>
      </c>
      <c r="E1718" t="str">
        <f t="shared" si="156"/>
        <v>Câu 414.</v>
      </c>
      <c r="F1718" t="str">
        <f t="shared" si="157"/>
        <v>1</v>
      </c>
      <c r="G1718" t="str">
        <f t="shared" si="158"/>
        <v>2</v>
      </c>
      <c r="H1718" t="str">
        <f t="shared" si="159"/>
        <v>3</v>
      </c>
      <c r="I1718" t="str">
        <f t="shared" si="160"/>
        <v/>
      </c>
      <c r="J1718" t="str">
        <f t="shared" ca="1" si="161"/>
        <v>1</v>
      </c>
    </row>
    <row r="1719" spans="1:10" ht="18.75" x14ac:dyDescent="0.25">
      <c r="A1719" s="11" t="s">
        <v>2599</v>
      </c>
      <c r="B1719">
        <f>IFERROR(COUNTIFS($A$1:A1719,"Câu "&amp;"*")-MID(A1719,5,FIND(".",A1719,1)-5),0)</f>
        <v>0</v>
      </c>
      <c r="C1719" t="b">
        <v>1</v>
      </c>
      <c r="E1719" t="str">
        <f t="shared" si="156"/>
        <v>1</v>
      </c>
      <c r="F1719" t="str">
        <f t="shared" si="157"/>
        <v>2</v>
      </c>
      <c r="G1719" t="str">
        <f t="shared" si="158"/>
        <v>3</v>
      </c>
      <c r="H1719" t="str">
        <f t="shared" si="159"/>
        <v/>
      </c>
      <c r="I1719" t="str">
        <f t="shared" si="160"/>
        <v>1</v>
      </c>
      <c r="J1719" t="str">
        <f t="shared" ca="1" si="161"/>
        <v/>
      </c>
    </row>
    <row r="1720" spans="1:10" ht="18.75" x14ac:dyDescent="0.25">
      <c r="A1720" s="11" t="s">
        <v>2600</v>
      </c>
      <c r="B1720">
        <f>IFERROR(COUNTIFS($A$1:A1720,"Câu "&amp;"*")-MID(A1720,5,FIND(".",A1720,1)-5),0)</f>
        <v>0</v>
      </c>
      <c r="C1720" t="b">
        <v>0</v>
      </c>
      <c r="E1720" t="str">
        <f t="shared" si="156"/>
        <v>2</v>
      </c>
      <c r="F1720" t="str">
        <f t="shared" si="157"/>
        <v>3</v>
      </c>
      <c r="G1720" t="str">
        <f t="shared" si="158"/>
        <v>Câu 415.</v>
      </c>
      <c r="H1720" t="str">
        <f t="shared" si="159"/>
        <v>1</v>
      </c>
      <c r="I1720" t="str">
        <f t="shared" si="160"/>
        <v>2</v>
      </c>
      <c r="J1720" t="str">
        <f t="shared" ca="1" si="161"/>
        <v/>
      </c>
    </row>
    <row r="1721" spans="1:10" ht="18.75" x14ac:dyDescent="0.25">
      <c r="A1721" s="11" t="s">
        <v>2622</v>
      </c>
      <c r="B1721">
        <f>IFERROR(COUNTIFS($A$1:A1721,"Câu "&amp;"*")-MID(A1721,5,FIND(".",A1721,1)-5),0)</f>
        <v>0</v>
      </c>
      <c r="C1721" t="b">
        <v>0</v>
      </c>
      <c r="E1721" t="str">
        <f t="shared" si="156"/>
        <v>3</v>
      </c>
      <c r="F1721" t="str">
        <f t="shared" si="157"/>
        <v>Câu 415.</v>
      </c>
      <c r="G1721" t="str">
        <f t="shared" si="158"/>
        <v>1</v>
      </c>
      <c r="H1721" t="str">
        <f t="shared" si="159"/>
        <v>2</v>
      </c>
      <c r="I1721" t="str">
        <f t="shared" si="160"/>
        <v/>
      </c>
      <c r="J1721" t="str">
        <f t="shared" ca="1" si="161"/>
        <v/>
      </c>
    </row>
    <row r="1722" spans="1:10" ht="18.75" x14ac:dyDescent="0.25">
      <c r="A1722" s="10" t="s">
        <v>1241</v>
      </c>
      <c r="B1722">
        <f>IFERROR(COUNTIFS($A$1:A1722,"Câu "&amp;"*")-MID(A1722,5,FIND(".",A1722,1)-5),0)</f>
        <v>0</v>
      </c>
      <c r="C1722" t="b">
        <v>0</v>
      </c>
      <c r="E1722" t="str">
        <f t="shared" si="156"/>
        <v>Câu 415.</v>
      </c>
      <c r="F1722" t="str">
        <f t="shared" si="157"/>
        <v>1</v>
      </c>
      <c r="G1722" t="str">
        <f t="shared" si="158"/>
        <v>2</v>
      </c>
      <c r="H1722" t="str">
        <f t="shared" si="159"/>
        <v/>
      </c>
      <c r="I1722" t="str">
        <f t="shared" si="160"/>
        <v>1</v>
      </c>
      <c r="J1722" t="str">
        <f t="shared" ca="1" si="161"/>
        <v>1</v>
      </c>
    </row>
    <row r="1723" spans="1:10" ht="18.75" x14ac:dyDescent="0.25">
      <c r="A1723" s="11" t="s">
        <v>2599</v>
      </c>
      <c r="B1723">
        <f>IFERROR(COUNTIFS($A$1:A1723,"Câu "&amp;"*")-MID(A1723,5,FIND(".",A1723,1)-5),0)</f>
        <v>0</v>
      </c>
      <c r="C1723" t="b">
        <v>1</v>
      </c>
      <c r="E1723" t="str">
        <f t="shared" si="156"/>
        <v>1</v>
      </c>
      <c r="F1723" t="str">
        <f t="shared" si="157"/>
        <v>2</v>
      </c>
      <c r="G1723" t="str">
        <f t="shared" si="158"/>
        <v>Câu 416.</v>
      </c>
      <c r="H1723" t="str">
        <f t="shared" si="159"/>
        <v>1</v>
      </c>
      <c r="I1723" t="str">
        <f t="shared" si="160"/>
        <v>2</v>
      </c>
      <c r="J1723" t="str">
        <f t="shared" ca="1" si="161"/>
        <v/>
      </c>
    </row>
    <row r="1724" spans="1:10" ht="18.75" x14ac:dyDescent="0.25">
      <c r="A1724" s="11" t="s">
        <v>2600</v>
      </c>
      <c r="B1724">
        <f>IFERROR(COUNTIFS($A$1:A1724,"Câu "&amp;"*")-MID(A1724,5,FIND(".",A1724,1)-5),0)</f>
        <v>0</v>
      </c>
      <c r="C1724" t="b">
        <v>0</v>
      </c>
      <c r="E1724" t="str">
        <f t="shared" si="156"/>
        <v>2</v>
      </c>
      <c r="F1724" t="str">
        <f t="shared" si="157"/>
        <v>Câu 416.</v>
      </c>
      <c r="G1724" t="str">
        <f t="shared" si="158"/>
        <v>1</v>
      </c>
      <c r="H1724" t="str">
        <f t="shared" si="159"/>
        <v>2</v>
      </c>
      <c r="I1724" t="str">
        <f t="shared" si="160"/>
        <v/>
      </c>
      <c r="J1724" t="str">
        <f t="shared" ca="1" si="161"/>
        <v/>
      </c>
    </row>
    <row r="1725" spans="1:10" ht="18.75" x14ac:dyDescent="0.25">
      <c r="A1725" s="10" t="s">
        <v>1242</v>
      </c>
      <c r="B1725">
        <f>IFERROR(COUNTIFS($A$1:A1725,"Câu "&amp;"*")-MID(A1725,5,FIND(".",A1725,1)-5),0)</f>
        <v>0</v>
      </c>
      <c r="C1725" t="b">
        <v>0</v>
      </c>
      <c r="E1725" t="str">
        <f t="shared" si="156"/>
        <v>Câu 416.</v>
      </c>
      <c r="F1725" t="str">
        <f t="shared" si="157"/>
        <v>1</v>
      </c>
      <c r="G1725" t="str">
        <f t="shared" si="158"/>
        <v>2</v>
      </c>
      <c r="H1725" t="str">
        <f t="shared" si="159"/>
        <v/>
      </c>
      <c r="I1725" t="str">
        <f t="shared" si="160"/>
        <v>1</v>
      </c>
      <c r="J1725" t="str">
        <f t="shared" ca="1" si="161"/>
        <v>2</v>
      </c>
    </row>
    <row r="1726" spans="1:10" ht="18.75" x14ac:dyDescent="0.25">
      <c r="A1726" s="11" t="s">
        <v>2603</v>
      </c>
      <c r="B1726">
        <f>IFERROR(COUNTIFS($A$1:A1726,"Câu "&amp;"*")-MID(A1726,5,FIND(".",A1726,1)-5),0)</f>
        <v>0</v>
      </c>
      <c r="C1726" t="b">
        <v>0</v>
      </c>
      <c r="E1726" t="str">
        <f t="shared" si="156"/>
        <v>1</v>
      </c>
      <c r="F1726" t="str">
        <f t="shared" si="157"/>
        <v>2</v>
      </c>
      <c r="G1726" t="str">
        <f t="shared" si="158"/>
        <v>Câu 417.</v>
      </c>
      <c r="H1726" t="str">
        <f t="shared" si="159"/>
        <v>1</v>
      </c>
      <c r="I1726" t="str">
        <f t="shared" si="160"/>
        <v>2</v>
      </c>
      <c r="J1726" t="str">
        <f t="shared" ca="1" si="161"/>
        <v/>
      </c>
    </row>
    <row r="1727" spans="1:10" ht="18.75" x14ac:dyDescent="0.25">
      <c r="A1727" s="11" t="s">
        <v>2618</v>
      </c>
      <c r="B1727">
        <f>IFERROR(COUNTIFS($A$1:A1727,"Câu "&amp;"*")-MID(A1727,5,FIND(".",A1727,1)-5),0)</f>
        <v>0</v>
      </c>
      <c r="C1727" t="b">
        <v>1</v>
      </c>
      <c r="E1727" t="str">
        <f t="shared" si="156"/>
        <v>2</v>
      </c>
      <c r="F1727" t="str">
        <f t="shared" si="157"/>
        <v>Câu 417.</v>
      </c>
      <c r="G1727" t="str">
        <f t="shared" si="158"/>
        <v>1</v>
      </c>
      <c r="H1727" t="str">
        <f t="shared" si="159"/>
        <v>2</v>
      </c>
      <c r="I1727" t="str">
        <f t="shared" si="160"/>
        <v/>
      </c>
      <c r="J1727" t="str">
        <f t="shared" ca="1" si="161"/>
        <v/>
      </c>
    </row>
    <row r="1728" spans="1:10" ht="18.75" x14ac:dyDescent="0.25">
      <c r="A1728" s="10" t="s">
        <v>1243</v>
      </c>
      <c r="B1728">
        <f>IFERROR(COUNTIFS($A$1:A1728,"Câu "&amp;"*")-MID(A1728,5,FIND(".",A1728,1)-5),0)</f>
        <v>0</v>
      </c>
      <c r="C1728" t="b">
        <v>0</v>
      </c>
      <c r="E1728" t="str">
        <f t="shared" si="156"/>
        <v>Câu 417.</v>
      </c>
      <c r="F1728" t="str">
        <f t="shared" si="157"/>
        <v>1</v>
      </c>
      <c r="G1728" t="str">
        <f t="shared" si="158"/>
        <v>2</v>
      </c>
      <c r="H1728" t="str">
        <f t="shared" si="159"/>
        <v/>
      </c>
      <c r="I1728" t="str">
        <f t="shared" si="160"/>
        <v>1</v>
      </c>
      <c r="J1728" t="str">
        <f t="shared" ca="1" si="161"/>
        <v>1</v>
      </c>
    </row>
    <row r="1729" spans="1:10" ht="18.75" x14ac:dyDescent="0.25">
      <c r="A1729" s="11" t="s">
        <v>2680</v>
      </c>
      <c r="B1729">
        <f>IFERROR(COUNTIFS($A$1:A1729,"Câu "&amp;"*")-MID(A1729,5,FIND(".",A1729,1)-5),0)</f>
        <v>0</v>
      </c>
      <c r="C1729" t="b">
        <v>1</v>
      </c>
      <c r="E1729" t="str">
        <f t="shared" si="156"/>
        <v>1</v>
      </c>
      <c r="F1729" t="str">
        <f t="shared" si="157"/>
        <v>2</v>
      </c>
      <c r="G1729" t="str">
        <f t="shared" si="158"/>
        <v>Câu 418.</v>
      </c>
      <c r="H1729" t="str">
        <f t="shared" si="159"/>
        <v>1</v>
      </c>
      <c r="I1729" t="str">
        <f t="shared" si="160"/>
        <v>2</v>
      </c>
      <c r="J1729" t="str">
        <f t="shared" ca="1" si="161"/>
        <v/>
      </c>
    </row>
    <row r="1730" spans="1:10" ht="18.75" x14ac:dyDescent="0.25">
      <c r="A1730" s="11" t="s">
        <v>2681</v>
      </c>
      <c r="B1730">
        <f>IFERROR(COUNTIFS($A$1:A1730,"Câu "&amp;"*")-MID(A1730,5,FIND(".",A1730,1)-5),0)</f>
        <v>0</v>
      </c>
      <c r="C1730" t="b">
        <v>0</v>
      </c>
      <c r="E1730" t="str">
        <f t="shared" si="156"/>
        <v>2</v>
      </c>
      <c r="F1730" t="str">
        <f t="shared" si="157"/>
        <v>Câu 418.</v>
      </c>
      <c r="G1730" t="str">
        <f t="shared" si="158"/>
        <v>1</v>
      </c>
      <c r="H1730" t="str">
        <f t="shared" si="159"/>
        <v>2</v>
      </c>
      <c r="I1730" t="str">
        <f t="shared" si="160"/>
        <v>3</v>
      </c>
      <c r="J1730" t="str">
        <f t="shared" ca="1" si="161"/>
        <v/>
      </c>
    </row>
    <row r="1731" spans="1:10" ht="18.75" x14ac:dyDescent="0.25">
      <c r="A1731" s="10" t="s">
        <v>1246</v>
      </c>
      <c r="B1731">
        <f>IFERROR(COUNTIFS($A$1:A1731,"Câu "&amp;"*")-MID(A1731,5,FIND(".",A1731,1)-5),0)</f>
        <v>0</v>
      </c>
      <c r="C1731" t="b">
        <v>0</v>
      </c>
      <c r="E1731" t="str">
        <f t="shared" ref="E1731:E1794" si="162">IF(LEFT(A1731,3)="Câu",LEFT(A1731,FIND(".",A1731,1)),LEFT(A1731,1))</f>
        <v>Câu 418.</v>
      </c>
      <c r="F1731" t="str">
        <f t="shared" ref="F1731:F1794" si="163">IF(LEFT(A1732,3)="Câu",LEFT(A1732,FIND(".",A1732,1)),LEFT(A1732,1))</f>
        <v>1</v>
      </c>
      <c r="G1731" t="str">
        <f t="shared" ref="G1731:G1794" si="164">IF(LEFT(A1733,3)="Câu",LEFT(A1733,FIND(".",A1733,1)),LEFT(A1733,1))</f>
        <v>2</v>
      </c>
      <c r="H1731" t="str">
        <f t="shared" ref="H1731:H1794" si="165">IF(LEFT(A1734,3)="Câu","",LEFT(A1734,1))</f>
        <v>3</v>
      </c>
      <c r="I1731" t="str">
        <f t="shared" ref="I1731:I1794" si="166">IF(LEFT(A1735,3)="Câu","",LEFT(A1735,1))</f>
        <v/>
      </c>
      <c r="J1731" t="str">
        <f t="shared" ref="J1731:J1794" ca="1" si="167">IFERROR(VLOOKUP(TRUE,INDIRECT("C"&amp;MATCH(E1731,$E$1:$E$2471,0)&amp;":E"&amp;MATCH("Câu "&amp;VALUE(MID(E1731,5,LEN(E1731)-5))+1&amp;".",$E$1:$E$2471,0)),3,0),"")</f>
        <v>3</v>
      </c>
    </row>
    <row r="1732" spans="1:10" ht="18.75" x14ac:dyDescent="0.25">
      <c r="A1732" s="11" t="s">
        <v>2682</v>
      </c>
      <c r="B1732">
        <f>IFERROR(COUNTIFS($A$1:A1732,"Câu "&amp;"*")-MID(A1732,5,FIND(".",A1732,1)-5),0)</f>
        <v>0</v>
      </c>
      <c r="C1732" t="b">
        <v>0</v>
      </c>
      <c r="E1732" t="str">
        <f t="shared" si="162"/>
        <v>1</v>
      </c>
      <c r="F1732" t="str">
        <f t="shared" si="163"/>
        <v>2</v>
      </c>
      <c r="G1732" t="str">
        <f t="shared" si="164"/>
        <v>3</v>
      </c>
      <c r="H1732" t="str">
        <f t="shared" si="165"/>
        <v/>
      </c>
      <c r="I1732" t="str">
        <f t="shared" si="166"/>
        <v>1</v>
      </c>
      <c r="J1732" t="str">
        <f t="shared" ca="1" si="167"/>
        <v/>
      </c>
    </row>
    <row r="1733" spans="1:10" ht="18.75" x14ac:dyDescent="0.25">
      <c r="A1733" s="11" t="s">
        <v>2683</v>
      </c>
      <c r="B1733">
        <f>IFERROR(COUNTIFS($A$1:A1733,"Câu "&amp;"*")-MID(A1733,5,FIND(".",A1733,1)-5),0)</f>
        <v>0</v>
      </c>
      <c r="C1733" t="b">
        <v>0</v>
      </c>
      <c r="E1733" t="str">
        <f t="shared" si="162"/>
        <v>2</v>
      </c>
      <c r="F1733" t="str">
        <f t="shared" si="163"/>
        <v>3</v>
      </c>
      <c r="G1733" t="str">
        <f t="shared" si="164"/>
        <v>Câu 419.</v>
      </c>
      <c r="H1733" t="str">
        <f t="shared" si="165"/>
        <v>1</v>
      </c>
      <c r="I1733" t="str">
        <f t="shared" si="166"/>
        <v>2</v>
      </c>
      <c r="J1733" t="str">
        <f t="shared" ca="1" si="167"/>
        <v/>
      </c>
    </row>
    <row r="1734" spans="1:10" ht="18.75" x14ac:dyDescent="0.25">
      <c r="A1734" s="11" t="s">
        <v>2684</v>
      </c>
      <c r="B1734">
        <f>IFERROR(COUNTIFS($A$1:A1734,"Câu "&amp;"*")-MID(A1734,5,FIND(".",A1734,1)-5),0)</f>
        <v>0</v>
      </c>
      <c r="C1734" t="b">
        <v>1</v>
      </c>
      <c r="E1734" t="str">
        <f t="shared" si="162"/>
        <v>3</v>
      </c>
      <c r="F1734" t="str">
        <f t="shared" si="163"/>
        <v>Câu 419.</v>
      </c>
      <c r="G1734" t="str">
        <f t="shared" si="164"/>
        <v>1</v>
      </c>
      <c r="H1734" t="str">
        <f t="shared" si="165"/>
        <v>2</v>
      </c>
      <c r="I1734" t="str">
        <f t="shared" si="166"/>
        <v/>
      </c>
      <c r="J1734" t="str">
        <f t="shared" ca="1" si="167"/>
        <v/>
      </c>
    </row>
    <row r="1735" spans="1:10" ht="18.75" x14ac:dyDescent="0.25">
      <c r="A1735" s="10" t="s">
        <v>1250</v>
      </c>
      <c r="B1735">
        <f>IFERROR(COUNTIFS($A$1:A1735,"Câu "&amp;"*")-MID(A1735,5,FIND(".",A1735,1)-5),0)</f>
        <v>0</v>
      </c>
      <c r="C1735" t="b">
        <v>0</v>
      </c>
      <c r="E1735" t="str">
        <f t="shared" si="162"/>
        <v>Câu 419.</v>
      </c>
      <c r="F1735" t="str">
        <f t="shared" si="163"/>
        <v>1</v>
      </c>
      <c r="G1735" t="str">
        <f t="shared" si="164"/>
        <v>2</v>
      </c>
      <c r="H1735" t="str">
        <f t="shared" si="165"/>
        <v/>
      </c>
      <c r="I1735" t="str">
        <f t="shared" si="166"/>
        <v>1</v>
      </c>
      <c r="J1735" t="str">
        <f t="shared" ca="1" si="167"/>
        <v>1</v>
      </c>
    </row>
    <row r="1736" spans="1:10" ht="18.75" x14ac:dyDescent="0.25">
      <c r="A1736" s="11" t="s">
        <v>2685</v>
      </c>
      <c r="B1736">
        <f>IFERROR(COUNTIFS($A$1:A1736,"Câu "&amp;"*")-MID(A1736,5,FIND(".",A1736,1)-5),0)</f>
        <v>0</v>
      </c>
      <c r="C1736" t="b">
        <v>1</v>
      </c>
      <c r="E1736" t="str">
        <f t="shared" si="162"/>
        <v>1</v>
      </c>
      <c r="F1736" t="str">
        <f t="shared" si="163"/>
        <v>2</v>
      </c>
      <c r="G1736" t="str">
        <f t="shared" si="164"/>
        <v>Câu 420.</v>
      </c>
      <c r="H1736" t="str">
        <f t="shared" si="165"/>
        <v>1</v>
      </c>
      <c r="I1736" t="str">
        <f t="shared" si="166"/>
        <v>2</v>
      </c>
      <c r="J1736" t="str">
        <f t="shared" ca="1" si="167"/>
        <v/>
      </c>
    </row>
    <row r="1737" spans="1:10" ht="18.75" x14ac:dyDescent="0.25">
      <c r="A1737" s="11" t="s">
        <v>2686</v>
      </c>
      <c r="B1737">
        <f>IFERROR(COUNTIFS($A$1:A1737,"Câu "&amp;"*")-MID(A1737,5,FIND(".",A1737,1)-5),0)</f>
        <v>0</v>
      </c>
      <c r="C1737" t="b">
        <v>0</v>
      </c>
      <c r="E1737" t="str">
        <f t="shared" si="162"/>
        <v>2</v>
      </c>
      <c r="F1737" t="str">
        <f t="shared" si="163"/>
        <v>Câu 420.</v>
      </c>
      <c r="G1737" t="str">
        <f t="shared" si="164"/>
        <v>1</v>
      </c>
      <c r="H1737" t="str">
        <f t="shared" si="165"/>
        <v>2</v>
      </c>
      <c r="I1737" t="str">
        <f t="shared" si="166"/>
        <v/>
      </c>
      <c r="J1737" t="str">
        <f t="shared" ca="1" si="167"/>
        <v/>
      </c>
    </row>
    <row r="1738" spans="1:10" ht="18.75" x14ac:dyDescent="0.25">
      <c r="A1738" s="10" t="s">
        <v>1253</v>
      </c>
      <c r="B1738">
        <f>IFERROR(COUNTIFS($A$1:A1738,"Câu "&amp;"*")-MID(A1738,5,FIND(".",A1738,1)-5),0)</f>
        <v>0</v>
      </c>
      <c r="C1738" t="b">
        <v>0</v>
      </c>
      <c r="E1738" t="str">
        <f t="shared" si="162"/>
        <v>Câu 420.</v>
      </c>
      <c r="F1738" t="str">
        <f t="shared" si="163"/>
        <v>1</v>
      </c>
      <c r="G1738" t="str">
        <f t="shared" si="164"/>
        <v>2</v>
      </c>
      <c r="H1738" t="str">
        <f t="shared" si="165"/>
        <v/>
      </c>
      <c r="I1738" t="str">
        <f t="shared" si="166"/>
        <v>1</v>
      </c>
      <c r="J1738" t="str">
        <f t="shared" ca="1" si="167"/>
        <v>2</v>
      </c>
    </row>
    <row r="1739" spans="1:10" ht="18.75" x14ac:dyDescent="0.25">
      <c r="A1739" s="11" t="s">
        <v>2687</v>
      </c>
      <c r="B1739">
        <f>IFERROR(COUNTIFS($A$1:A1739,"Câu "&amp;"*")-MID(A1739,5,FIND(".",A1739,1)-5),0)</f>
        <v>0</v>
      </c>
      <c r="C1739" t="b">
        <v>0</v>
      </c>
      <c r="E1739" t="str">
        <f t="shared" si="162"/>
        <v>1</v>
      </c>
      <c r="F1739" t="str">
        <f t="shared" si="163"/>
        <v>2</v>
      </c>
      <c r="G1739" t="str">
        <f t="shared" si="164"/>
        <v>Câu 421.</v>
      </c>
      <c r="H1739" t="str">
        <f t="shared" si="165"/>
        <v>1</v>
      </c>
      <c r="I1739" t="str">
        <f t="shared" si="166"/>
        <v>2</v>
      </c>
      <c r="J1739" t="str">
        <f t="shared" ca="1" si="167"/>
        <v/>
      </c>
    </row>
    <row r="1740" spans="1:10" ht="18.75" x14ac:dyDescent="0.25">
      <c r="A1740" s="11" t="s">
        <v>2688</v>
      </c>
      <c r="B1740">
        <f>IFERROR(COUNTIFS($A$1:A1740,"Câu "&amp;"*")-MID(A1740,5,FIND(".",A1740,1)-5),0)</f>
        <v>0</v>
      </c>
      <c r="C1740" t="b">
        <v>1</v>
      </c>
      <c r="E1740" t="str">
        <f t="shared" si="162"/>
        <v>2</v>
      </c>
      <c r="F1740" t="str">
        <f t="shared" si="163"/>
        <v>Câu 421.</v>
      </c>
      <c r="G1740" t="str">
        <f t="shared" si="164"/>
        <v>1</v>
      </c>
      <c r="H1740" t="str">
        <f t="shared" si="165"/>
        <v>2</v>
      </c>
      <c r="I1740" t="str">
        <f t="shared" si="166"/>
        <v>3</v>
      </c>
      <c r="J1740" t="str">
        <f t="shared" ca="1" si="167"/>
        <v/>
      </c>
    </row>
    <row r="1741" spans="1:10" ht="18.75" x14ac:dyDescent="0.25">
      <c r="A1741" s="10" t="s">
        <v>1256</v>
      </c>
      <c r="B1741">
        <f>IFERROR(COUNTIFS($A$1:A1741,"Câu "&amp;"*")-MID(A1741,5,FIND(".",A1741,1)-5),0)</f>
        <v>0</v>
      </c>
      <c r="C1741" t="b">
        <v>0</v>
      </c>
      <c r="E1741" t="str">
        <f t="shared" si="162"/>
        <v>Câu 421.</v>
      </c>
      <c r="F1741" t="str">
        <f t="shared" si="163"/>
        <v>1</v>
      </c>
      <c r="G1741" t="str">
        <f t="shared" si="164"/>
        <v>2</v>
      </c>
      <c r="H1741" t="str">
        <f t="shared" si="165"/>
        <v>3</v>
      </c>
      <c r="I1741" t="str">
        <f t="shared" si="166"/>
        <v/>
      </c>
      <c r="J1741" t="str">
        <f t="shared" ca="1" si="167"/>
        <v>3</v>
      </c>
    </row>
    <row r="1742" spans="1:10" ht="356.25" x14ac:dyDescent="0.25">
      <c r="A1742" s="3" t="s">
        <v>2689</v>
      </c>
      <c r="B1742">
        <f>IFERROR(COUNTIFS($A$1:A1742,"Câu "&amp;"*")-MID(A1742,5,FIND(".",A1742,1)-5),0)</f>
        <v>0</v>
      </c>
      <c r="C1742" t="b">
        <v>0</v>
      </c>
      <c r="E1742" t="str">
        <f t="shared" si="162"/>
        <v>1</v>
      </c>
      <c r="F1742" t="str">
        <f t="shared" si="163"/>
        <v>2</v>
      </c>
      <c r="G1742" t="str">
        <f t="shared" si="164"/>
        <v>3</v>
      </c>
      <c r="H1742" t="str">
        <f t="shared" si="165"/>
        <v/>
      </c>
      <c r="I1742" t="str">
        <f t="shared" si="166"/>
        <v>1</v>
      </c>
      <c r="J1742" t="str">
        <f t="shared" ca="1" si="167"/>
        <v/>
      </c>
    </row>
    <row r="1743" spans="1:10" ht="409.5" x14ac:dyDescent="0.25">
      <c r="A1743" s="3" t="s">
        <v>2690</v>
      </c>
      <c r="B1743">
        <f>IFERROR(COUNTIFS($A$1:A1743,"Câu "&amp;"*")-MID(A1743,5,FIND(".",A1743,1)-5),0)</f>
        <v>0</v>
      </c>
      <c r="C1743" t="b">
        <v>0</v>
      </c>
      <c r="E1743" t="str">
        <f t="shared" si="162"/>
        <v>2</v>
      </c>
      <c r="F1743" t="str">
        <f t="shared" si="163"/>
        <v>3</v>
      </c>
      <c r="G1743" t="str">
        <f t="shared" si="164"/>
        <v>Câu 422.</v>
      </c>
      <c r="H1743" t="str">
        <f t="shared" si="165"/>
        <v>1</v>
      </c>
      <c r="I1743" t="str">
        <f t="shared" si="166"/>
        <v>2</v>
      </c>
      <c r="J1743" t="str">
        <f t="shared" ca="1" si="167"/>
        <v/>
      </c>
    </row>
    <row r="1744" spans="1:10" ht="337.5" x14ac:dyDescent="0.25">
      <c r="A1744" s="3" t="s">
        <v>2691</v>
      </c>
      <c r="B1744">
        <f>IFERROR(COUNTIFS($A$1:A1744,"Câu "&amp;"*")-MID(A1744,5,FIND(".",A1744,1)-5),0)</f>
        <v>0</v>
      </c>
      <c r="C1744" t="b">
        <v>1</v>
      </c>
      <c r="E1744" t="str">
        <f t="shared" si="162"/>
        <v>3</v>
      </c>
      <c r="F1744" t="str">
        <f t="shared" si="163"/>
        <v>Câu 422.</v>
      </c>
      <c r="G1744" t="str">
        <f t="shared" si="164"/>
        <v>1</v>
      </c>
      <c r="H1744" t="str">
        <f t="shared" si="165"/>
        <v>2</v>
      </c>
      <c r="I1744" t="str">
        <f t="shared" si="166"/>
        <v>3</v>
      </c>
      <c r="J1744" t="str">
        <f t="shared" ca="1" si="167"/>
        <v/>
      </c>
    </row>
    <row r="1745" spans="1:10" ht="150" x14ac:dyDescent="0.25">
      <c r="A1745" s="4" t="s">
        <v>1260</v>
      </c>
      <c r="B1745">
        <f>IFERROR(COUNTIFS($A$1:A1745,"Câu "&amp;"*")-MID(A1745,5,FIND(".",A1745,1)-5),0)</f>
        <v>0</v>
      </c>
      <c r="C1745" t="b">
        <v>0</v>
      </c>
      <c r="E1745" t="str">
        <f t="shared" si="162"/>
        <v>Câu 422.</v>
      </c>
      <c r="F1745" t="str">
        <f t="shared" si="163"/>
        <v>1</v>
      </c>
      <c r="G1745" t="str">
        <f t="shared" si="164"/>
        <v>2</v>
      </c>
      <c r="H1745" t="str">
        <f t="shared" si="165"/>
        <v>3</v>
      </c>
      <c r="I1745" t="str">
        <f t="shared" si="166"/>
        <v/>
      </c>
      <c r="J1745" t="str">
        <f t="shared" ca="1" si="167"/>
        <v>1</v>
      </c>
    </row>
    <row r="1746" spans="1:10" ht="356.25" x14ac:dyDescent="0.25">
      <c r="A1746" s="3" t="s">
        <v>2692</v>
      </c>
      <c r="B1746">
        <f>IFERROR(COUNTIFS($A$1:A1746,"Câu "&amp;"*")-MID(A1746,5,FIND(".",A1746,1)-5),0)</f>
        <v>0</v>
      </c>
      <c r="C1746" t="b">
        <v>1</v>
      </c>
      <c r="E1746" t="str">
        <f t="shared" si="162"/>
        <v>1</v>
      </c>
      <c r="F1746" t="str">
        <f t="shared" si="163"/>
        <v>2</v>
      </c>
      <c r="G1746" t="str">
        <f t="shared" si="164"/>
        <v>3</v>
      </c>
      <c r="H1746" t="str">
        <f t="shared" si="165"/>
        <v/>
      </c>
      <c r="I1746" t="str">
        <f t="shared" si="166"/>
        <v>1</v>
      </c>
      <c r="J1746" t="str">
        <f t="shared" ca="1" si="167"/>
        <v/>
      </c>
    </row>
    <row r="1747" spans="1:10" ht="409.5" x14ac:dyDescent="0.25">
      <c r="A1747" s="3" t="s">
        <v>2690</v>
      </c>
      <c r="B1747">
        <f>IFERROR(COUNTIFS($A$1:A1747,"Câu "&amp;"*")-MID(A1747,5,FIND(".",A1747,1)-5),0)</f>
        <v>0</v>
      </c>
      <c r="C1747" t="b">
        <v>0</v>
      </c>
      <c r="E1747" t="str">
        <f t="shared" si="162"/>
        <v>2</v>
      </c>
      <c r="F1747" t="str">
        <f t="shared" si="163"/>
        <v>3</v>
      </c>
      <c r="G1747" t="str">
        <f t="shared" si="164"/>
        <v>Câu 423.</v>
      </c>
      <c r="H1747" t="str">
        <f t="shared" si="165"/>
        <v>1</v>
      </c>
      <c r="I1747" t="str">
        <f t="shared" si="166"/>
        <v>2</v>
      </c>
      <c r="J1747" t="str">
        <f t="shared" ca="1" si="167"/>
        <v/>
      </c>
    </row>
    <row r="1748" spans="1:10" ht="337.5" x14ac:dyDescent="0.25">
      <c r="A1748" s="3" t="s">
        <v>2693</v>
      </c>
      <c r="B1748">
        <f>IFERROR(COUNTIFS($A$1:A1748,"Câu "&amp;"*")-MID(A1748,5,FIND(".",A1748,1)-5),0)</f>
        <v>0</v>
      </c>
      <c r="C1748" t="b">
        <v>0</v>
      </c>
      <c r="E1748" t="str">
        <f t="shared" si="162"/>
        <v>3</v>
      </c>
      <c r="F1748" t="str">
        <f t="shared" si="163"/>
        <v>Câu 423.</v>
      </c>
      <c r="G1748" t="str">
        <f t="shared" si="164"/>
        <v>1</v>
      </c>
      <c r="H1748" t="str">
        <f t="shared" si="165"/>
        <v>2</v>
      </c>
      <c r="I1748" t="str">
        <f t="shared" si="166"/>
        <v>3</v>
      </c>
      <c r="J1748" t="str">
        <f t="shared" ca="1" si="167"/>
        <v/>
      </c>
    </row>
    <row r="1749" spans="1:10" ht="150" x14ac:dyDescent="0.25">
      <c r="A1749" s="4" t="s">
        <v>1263</v>
      </c>
      <c r="B1749">
        <f>IFERROR(COUNTIFS($A$1:A1749,"Câu "&amp;"*")-MID(A1749,5,FIND(".",A1749,1)-5),0)</f>
        <v>0</v>
      </c>
      <c r="C1749" t="b">
        <v>0</v>
      </c>
      <c r="E1749" t="str">
        <f t="shared" si="162"/>
        <v>Câu 423.</v>
      </c>
      <c r="F1749" t="str">
        <f t="shared" si="163"/>
        <v>1</v>
      </c>
      <c r="G1749" t="str">
        <f t="shared" si="164"/>
        <v>2</v>
      </c>
      <c r="H1749" t="str">
        <f t="shared" si="165"/>
        <v>3</v>
      </c>
      <c r="I1749" t="str">
        <f t="shared" si="166"/>
        <v/>
      </c>
      <c r="J1749" t="str">
        <f t="shared" ca="1" si="167"/>
        <v>2</v>
      </c>
    </row>
    <row r="1750" spans="1:10" ht="356.25" x14ac:dyDescent="0.25">
      <c r="A1750" s="3" t="s">
        <v>2689</v>
      </c>
      <c r="B1750">
        <f>IFERROR(COUNTIFS($A$1:A1750,"Câu "&amp;"*")-MID(A1750,5,FIND(".",A1750,1)-5),0)</f>
        <v>0</v>
      </c>
      <c r="C1750" t="b">
        <v>0</v>
      </c>
      <c r="E1750" t="str">
        <f t="shared" si="162"/>
        <v>1</v>
      </c>
      <c r="F1750" t="str">
        <f t="shared" si="163"/>
        <v>2</v>
      </c>
      <c r="G1750" t="str">
        <f t="shared" si="164"/>
        <v>3</v>
      </c>
      <c r="H1750" t="str">
        <f t="shared" si="165"/>
        <v/>
      </c>
      <c r="I1750" t="str">
        <f t="shared" si="166"/>
        <v>1</v>
      </c>
      <c r="J1750" t="str">
        <f t="shared" ca="1" si="167"/>
        <v/>
      </c>
    </row>
    <row r="1751" spans="1:10" ht="409.5" x14ac:dyDescent="0.25">
      <c r="A1751" s="3" t="s">
        <v>2694</v>
      </c>
      <c r="B1751">
        <f>IFERROR(COUNTIFS($A$1:A1751,"Câu "&amp;"*")-MID(A1751,5,FIND(".",A1751,1)-5),0)</f>
        <v>0</v>
      </c>
      <c r="C1751" t="b">
        <v>1</v>
      </c>
      <c r="E1751" t="str">
        <f t="shared" si="162"/>
        <v>2</v>
      </c>
      <c r="F1751" t="str">
        <f t="shared" si="163"/>
        <v>3</v>
      </c>
      <c r="G1751" t="str">
        <f t="shared" si="164"/>
        <v>Câu 424.</v>
      </c>
      <c r="H1751" t="str">
        <f t="shared" si="165"/>
        <v>1</v>
      </c>
      <c r="I1751" t="str">
        <f t="shared" si="166"/>
        <v>2</v>
      </c>
      <c r="J1751" t="str">
        <f t="shared" ca="1" si="167"/>
        <v/>
      </c>
    </row>
    <row r="1752" spans="1:10" ht="337.5" x14ac:dyDescent="0.25">
      <c r="A1752" s="3" t="s">
        <v>2693</v>
      </c>
      <c r="B1752">
        <f>IFERROR(COUNTIFS($A$1:A1752,"Câu "&amp;"*")-MID(A1752,5,FIND(".",A1752,1)-5),0)</f>
        <v>0</v>
      </c>
      <c r="C1752" t="b">
        <v>0</v>
      </c>
      <c r="E1752" t="str">
        <f t="shared" si="162"/>
        <v>3</v>
      </c>
      <c r="F1752" t="str">
        <f t="shared" si="163"/>
        <v>Câu 424.</v>
      </c>
      <c r="G1752" t="str">
        <f t="shared" si="164"/>
        <v>1</v>
      </c>
      <c r="H1752" t="str">
        <f t="shared" si="165"/>
        <v>2</v>
      </c>
      <c r="I1752" t="str">
        <f t="shared" si="166"/>
        <v/>
      </c>
      <c r="J1752" t="str">
        <f t="shared" ca="1" si="167"/>
        <v/>
      </c>
    </row>
    <row r="1753" spans="1:10" ht="187.5" x14ac:dyDescent="0.25">
      <c r="A1753" s="4" t="s">
        <v>1265</v>
      </c>
      <c r="B1753">
        <f>IFERROR(COUNTIFS($A$1:A1753,"Câu "&amp;"*")-MID(A1753,5,FIND(".",A1753,1)-5),0)</f>
        <v>0</v>
      </c>
      <c r="C1753" t="b">
        <v>0</v>
      </c>
      <c r="E1753" t="str">
        <f t="shared" si="162"/>
        <v>Câu 424.</v>
      </c>
      <c r="F1753" t="str">
        <f t="shared" si="163"/>
        <v>1</v>
      </c>
      <c r="G1753" t="str">
        <f t="shared" si="164"/>
        <v>2</v>
      </c>
      <c r="H1753" t="str">
        <f t="shared" si="165"/>
        <v/>
      </c>
      <c r="I1753" t="str">
        <f t="shared" si="166"/>
        <v>1</v>
      </c>
      <c r="J1753" t="str">
        <f t="shared" ca="1" si="167"/>
        <v>1</v>
      </c>
    </row>
    <row r="1754" spans="1:10" ht="150" x14ac:dyDescent="0.25">
      <c r="A1754" s="3" t="s">
        <v>2695</v>
      </c>
      <c r="B1754">
        <f>IFERROR(COUNTIFS($A$1:A1754,"Câu "&amp;"*")-MID(A1754,5,FIND(".",A1754,1)-5),0)</f>
        <v>0</v>
      </c>
      <c r="C1754" t="b">
        <v>1</v>
      </c>
      <c r="E1754" t="str">
        <f t="shared" si="162"/>
        <v>1</v>
      </c>
      <c r="F1754" t="str">
        <f t="shared" si="163"/>
        <v>2</v>
      </c>
      <c r="G1754" t="str">
        <f t="shared" si="164"/>
        <v>Câu 425.</v>
      </c>
      <c r="H1754" t="str">
        <f t="shared" si="165"/>
        <v>1</v>
      </c>
      <c r="I1754" t="str">
        <f t="shared" si="166"/>
        <v>2</v>
      </c>
      <c r="J1754" t="str">
        <f t="shared" ca="1" si="167"/>
        <v/>
      </c>
    </row>
    <row r="1755" spans="1:10" ht="225" x14ac:dyDescent="0.25">
      <c r="A1755" s="3" t="s">
        <v>2696</v>
      </c>
      <c r="B1755">
        <f>IFERROR(COUNTIFS($A$1:A1755,"Câu "&amp;"*")-MID(A1755,5,FIND(".",A1755,1)-5),0)</f>
        <v>0</v>
      </c>
      <c r="C1755" t="b">
        <v>0</v>
      </c>
      <c r="E1755" t="str">
        <f t="shared" si="162"/>
        <v>2</v>
      </c>
      <c r="F1755" t="str">
        <f t="shared" si="163"/>
        <v>Câu 425.</v>
      </c>
      <c r="G1755" t="str">
        <f t="shared" si="164"/>
        <v>1</v>
      </c>
      <c r="H1755" t="str">
        <f t="shared" si="165"/>
        <v>2</v>
      </c>
      <c r="I1755" t="str">
        <f t="shared" si="166"/>
        <v/>
      </c>
      <c r="J1755" t="str">
        <f t="shared" ca="1" si="167"/>
        <v/>
      </c>
    </row>
    <row r="1756" spans="1:10" ht="18.75" x14ac:dyDescent="0.25">
      <c r="A1756" s="10" t="s">
        <v>1268</v>
      </c>
      <c r="B1756">
        <f>IFERROR(COUNTIFS($A$1:A1756,"Câu "&amp;"*")-MID(A1756,5,FIND(".",A1756,1)-5),0)</f>
        <v>0</v>
      </c>
      <c r="C1756" t="b">
        <v>0</v>
      </c>
      <c r="E1756" t="str">
        <f t="shared" si="162"/>
        <v>Câu 425.</v>
      </c>
      <c r="F1756" t="str">
        <f t="shared" si="163"/>
        <v>1</v>
      </c>
      <c r="G1756" t="str">
        <f t="shared" si="164"/>
        <v>2</v>
      </c>
      <c r="H1756" t="str">
        <f t="shared" si="165"/>
        <v/>
      </c>
      <c r="I1756" t="str">
        <f t="shared" si="166"/>
        <v>1</v>
      </c>
      <c r="J1756" t="str">
        <f t="shared" ca="1" si="167"/>
        <v>2</v>
      </c>
    </row>
    <row r="1757" spans="1:10" ht="18.75" x14ac:dyDescent="0.25">
      <c r="A1757" s="11" t="s">
        <v>2697</v>
      </c>
      <c r="B1757">
        <f>IFERROR(COUNTIFS($A$1:A1757,"Câu "&amp;"*")-MID(A1757,5,FIND(".",A1757,1)-5),0)</f>
        <v>0</v>
      </c>
      <c r="C1757" t="b">
        <v>0</v>
      </c>
      <c r="E1757" t="str">
        <f t="shared" si="162"/>
        <v>1</v>
      </c>
      <c r="F1757" t="str">
        <f t="shared" si="163"/>
        <v>2</v>
      </c>
      <c r="G1757" t="str">
        <f t="shared" si="164"/>
        <v>Câu 426.</v>
      </c>
      <c r="H1757" t="str">
        <f t="shared" si="165"/>
        <v>1</v>
      </c>
      <c r="I1757" t="str">
        <f t="shared" si="166"/>
        <v>2</v>
      </c>
      <c r="J1757" t="str">
        <f t="shared" ca="1" si="167"/>
        <v/>
      </c>
    </row>
    <row r="1758" spans="1:10" ht="18.75" x14ac:dyDescent="0.25">
      <c r="A1758" s="11" t="s">
        <v>2698</v>
      </c>
      <c r="B1758">
        <f>IFERROR(COUNTIFS($A$1:A1758,"Câu "&amp;"*")-MID(A1758,5,FIND(".",A1758,1)-5),0)</f>
        <v>0</v>
      </c>
      <c r="C1758" t="b">
        <v>1</v>
      </c>
      <c r="E1758" t="str">
        <f t="shared" si="162"/>
        <v>2</v>
      </c>
      <c r="F1758" t="str">
        <f t="shared" si="163"/>
        <v>Câu 426.</v>
      </c>
      <c r="G1758" t="str">
        <f t="shared" si="164"/>
        <v>1</v>
      </c>
      <c r="H1758" t="str">
        <f t="shared" si="165"/>
        <v>2</v>
      </c>
      <c r="I1758" t="str">
        <f t="shared" si="166"/>
        <v>3</v>
      </c>
      <c r="J1758" t="str">
        <f t="shared" ca="1" si="167"/>
        <v/>
      </c>
    </row>
    <row r="1759" spans="1:10" ht="18.75" x14ac:dyDescent="0.25">
      <c r="A1759" s="10" t="s">
        <v>1271</v>
      </c>
      <c r="B1759">
        <f>IFERROR(COUNTIFS($A$1:A1759,"Câu "&amp;"*")-MID(A1759,5,FIND(".",A1759,1)-5),0)</f>
        <v>0</v>
      </c>
      <c r="C1759" t="b">
        <v>0</v>
      </c>
      <c r="E1759" t="str">
        <f t="shared" si="162"/>
        <v>Câu 426.</v>
      </c>
      <c r="F1759" t="str">
        <f t="shared" si="163"/>
        <v>1</v>
      </c>
      <c r="G1759" t="str">
        <f t="shared" si="164"/>
        <v>2</v>
      </c>
      <c r="H1759" t="str">
        <f t="shared" si="165"/>
        <v>3</v>
      </c>
      <c r="I1759" t="str">
        <f t="shared" si="166"/>
        <v/>
      </c>
      <c r="J1759" t="str">
        <f t="shared" ca="1" si="167"/>
        <v>2</v>
      </c>
    </row>
    <row r="1760" spans="1:10" ht="18.75" x14ac:dyDescent="0.25">
      <c r="A1760" s="11" t="s">
        <v>2603</v>
      </c>
      <c r="B1760">
        <f>IFERROR(COUNTIFS($A$1:A1760,"Câu "&amp;"*")-MID(A1760,5,FIND(".",A1760,1)-5),0)</f>
        <v>0</v>
      </c>
      <c r="C1760" t="b">
        <v>0</v>
      </c>
      <c r="E1760" t="str">
        <f t="shared" si="162"/>
        <v>1</v>
      </c>
      <c r="F1760" t="str">
        <f t="shared" si="163"/>
        <v>2</v>
      </c>
      <c r="G1760" t="str">
        <f t="shared" si="164"/>
        <v>3</v>
      </c>
      <c r="H1760" t="str">
        <f t="shared" si="165"/>
        <v/>
      </c>
      <c r="I1760" t="str">
        <f t="shared" si="166"/>
        <v>1</v>
      </c>
      <c r="J1760" t="str">
        <f t="shared" ca="1" si="167"/>
        <v/>
      </c>
    </row>
    <row r="1761" spans="1:10" ht="18.75" x14ac:dyDescent="0.25">
      <c r="A1761" s="11" t="s">
        <v>2618</v>
      </c>
      <c r="B1761">
        <f>IFERROR(COUNTIFS($A$1:A1761,"Câu "&amp;"*")-MID(A1761,5,FIND(".",A1761,1)-5),0)</f>
        <v>0</v>
      </c>
      <c r="C1761" t="b">
        <v>1</v>
      </c>
      <c r="E1761" t="str">
        <f t="shared" si="162"/>
        <v>2</v>
      </c>
      <c r="F1761" t="str">
        <f t="shared" si="163"/>
        <v>3</v>
      </c>
      <c r="G1761" t="str">
        <f t="shared" si="164"/>
        <v>Câu 427.</v>
      </c>
      <c r="H1761" t="str">
        <f t="shared" si="165"/>
        <v>1</v>
      </c>
      <c r="I1761" t="str">
        <f t="shared" si="166"/>
        <v>2</v>
      </c>
      <c r="J1761" t="str">
        <f t="shared" ca="1" si="167"/>
        <v/>
      </c>
    </row>
    <row r="1762" spans="1:10" ht="18.75" x14ac:dyDescent="0.25">
      <c r="A1762" s="11" t="s">
        <v>2622</v>
      </c>
      <c r="B1762">
        <f>IFERROR(COUNTIFS($A$1:A1762,"Câu "&amp;"*")-MID(A1762,5,FIND(".",A1762,1)-5),0)</f>
        <v>0</v>
      </c>
      <c r="C1762" t="b">
        <v>0</v>
      </c>
      <c r="E1762" t="str">
        <f t="shared" si="162"/>
        <v>3</v>
      </c>
      <c r="F1762" t="str">
        <f t="shared" si="163"/>
        <v>Câu 427.</v>
      </c>
      <c r="G1762" t="str">
        <f t="shared" si="164"/>
        <v>1</v>
      </c>
      <c r="H1762" t="str">
        <f t="shared" si="165"/>
        <v>2</v>
      </c>
      <c r="I1762" t="str">
        <f t="shared" si="166"/>
        <v>3</v>
      </c>
      <c r="J1762" t="str">
        <f t="shared" ca="1" si="167"/>
        <v/>
      </c>
    </row>
    <row r="1763" spans="1:10" ht="18.75" x14ac:dyDescent="0.25">
      <c r="A1763" s="10" t="s">
        <v>1272</v>
      </c>
      <c r="B1763">
        <f>IFERROR(COUNTIFS($A$1:A1763,"Câu "&amp;"*")-MID(A1763,5,FIND(".",A1763,1)-5),0)</f>
        <v>0</v>
      </c>
      <c r="C1763" t="b">
        <v>0</v>
      </c>
      <c r="E1763" t="str">
        <f t="shared" si="162"/>
        <v>Câu 427.</v>
      </c>
      <c r="F1763" t="str">
        <f t="shared" si="163"/>
        <v>1</v>
      </c>
      <c r="G1763" t="str">
        <f t="shared" si="164"/>
        <v>2</v>
      </c>
      <c r="H1763" t="str">
        <f t="shared" si="165"/>
        <v>3</v>
      </c>
      <c r="I1763" t="str">
        <f t="shared" si="166"/>
        <v/>
      </c>
      <c r="J1763" t="str">
        <f t="shared" ca="1" si="167"/>
        <v>3</v>
      </c>
    </row>
    <row r="1764" spans="1:10" ht="18.75" x14ac:dyDescent="0.25">
      <c r="A1764" s="11" t="s">
        <v>2603</v>
      </c>
      <c r="B1764">
        <f>IFERROR(COUNTIFS($A$1:A1764,"Câu "&amp;"*")-MID(A1764,5,FIND(".",A1764,1)-5),0)</f>
        <v>0</v>
      </c>
      <c r="C1764" t="b">
        <v>0</v>
      </c>
      <c r="E1764" t="str">
        <f t="shared" si="162"/>
        <v>1</v>
      </c>
      <c r="F1764" t="str">
        <f t="shared" si="163"/>
        <v>2</v>
      </c>
      <c r="G1764" t="str">
        <f t="shared" si="164"/>
        <v>3</v>
      </c>
      <c r="H1764" t="str">
        <f t="shared" si="165"/>
        <v/>
      </c>
      <c r="I1764" t="str">
        <f t="shared" si="166"/>
        <v>1</v>
      </c>
      <c r="J1764" t="str">
        <f t="shared" ca="1" si="167"/>
        <v/>
      </c>
    </row>
    <row r="1765" spans="1:10" ht="18.75" x14ac:dyDescent="0.25">
      <c r="A1765" s="11" t="s">
        <v>2600</v>
      </c>
      <c r="B1765">
        <f>IFERROR(COUNTIFS($A$1:A1765,"Câu "&amp;"*")-MID(A1765,5,FIND(".",A1765,1)-5),0)</f>
        <v>0</v>
      </c>
      <c r="C1765" t="b">
        <v>0</v>
      </c>
      <c r="E1765" t="str">
        <f t="shared" si="162"/>
        <v>2</v>
      </c>
      <c r="F1765" t="str">
        <f t="shared" si="163"/>
        <v>3</v>
      </c>
      <c r="G1765" t="str">
        <f t="shared" si="164"/>
        <v>Câu 428.</v>
      </c>
      <c r="H1765" t="str">
        <f t="shared" si="165"/>
        <v>1</v>
      </c>
      <c r="I1765" t="str">
        <f t="shared" si="166"/>
        <v>2</v>
      </c>
      <c r="J1765" t="str">
        <f t="shared" ca="1" si="167"/>
        <v/>
      </c>
    </row>
    <row r="1766" spans="1:10" ht="18.75" x14ac:dyDescent="0.25">
      <c r="A1766" s="11" t="s">
        <v>2610</v>
      </c>
      <c r="B1766">
        <f>IFERROR(COUNTIFS($A$1:A1766,"Câu "&amp;"*")-MID(A1766,5,FIND(".",A1766,1)-5),0)</f>
        <v>0</v>
      </c>
      <c r="C1766" t="b">
        <v>1</v>
      </c>
      <c r="E1766" t="str">
        <f t="shared" si="162"/>
        <v>3</v>
      </c>
      <c r="F1766" t="str">
        <f t="shared" si="163"/>
        <v>Câu 428.</v>
      </c>
      <c r="G1766" t="str">
        <f t="shared" si="164"/>
        <v>1</v>
      </c>
      <c r="H1766" t="str">
        <f t="shared" si="165"/>
        <v>2</v>
      </c>
      <c r="I1766" t="str">
        <f t="shared" si="166"/>
        <v/>
      </c>
      <c r="J1766" t="str">
        <f t="shared" ca="1" si="167"/>
        <v/>
      </c>
    </row>
    <row r="1767" spans="1:10" ht="18.75" x14ac:dyDescent="0.25">
      <c r="A1767" s="10" t="s">
        <v>1273</v>
      </c>
      <c r="B1767">
        <f>IFERROR(COUNTIFS($A$1:A1767,"Câu "&amp;"*")-MID(A1767,5,FIND(".",A1767,1)-5),0)</f>
        <v>0</v>
      </c>
      <c r="C1767" t="b">
        <v>0</v>
      </c>
      <c r="E1767" t="str">
        <f t="shared" si="162"/>
        <v>Câu 428.</v>
      </c>
      <c r="F1767" t="str">
        <f t="shared" si="163"/>
        <v>1</v>
      </c>
      <c r="G1767" t="str">
        <f t="shared" si="164"/>
        <v>2</v>
      </c>
      <c r="H1767" t="str">
        <f t="shared" si="165"/>
        <v/>
      </c>
      <c r="I1767" t="str">
        <f t="shared" si="166"/>
        <v>1</v>
      </c>
      <c r="J1767" t="str">
        <f t="shared" ca="1" si="167"/>
        <v>1</v>
      </c>
    </row>
    <row r="1768" spans="1:10" ht="18.75" x14ac:dyDescent="0.25">
      <c r="A1768" s="11" t="s">
        <v>2599</v>
      </c>
      <c r="B1768">
        <f>IFERROR(COUNTIFS($A$1:A1768,"Câu "&amp;"*")-MID(A1768,5,FIND(".",A1768,1)-5),0)</f>
        <v>0</v>
      </c>
      <c r="C1768" t="b">
        <v>1</v>
      </c>
      <c r="E1768" t="str">
        <f t="shared" si="162"/>
        <v>1</v>
      </c>
      <c r="F1768" t="str">
        <f t="shared" si="163"/>
        <v>2</v>
      </c>
      <c r="G1768" t="str">
        <f t="shared" si="164"/>
        <v>Câu 429.</v>
      </c>
      <c r="H1768" t="str">
        <f t="shared" si="165"/>
        <v>1</v>
      </c>
      <c r="I1768" t="str">
        <f t="shared" si="166"/>
        <v>2</v>
      </c>
      <c r="J1768" t="str">
        <f t="shared" ca="1" si="167"/>
        <v/>
      </c>
    </row>
    <row r="1769" spans="1:10" ht="18.75" x14ac:dyDescent="0.25">
      <c r="A1769" s="11" t="s">
        <v>2600</v>
      </c>
      <c r="B1769">
        <f>IFERROR(COUNTIFS($A$1:A1769,"Câu "&amp;"*")-MID(A1769,5,FIND(".",A1769,1)-5),0)</f>
        <v>0</v>
      </c>
      <c r="C1769" t="b">
        <v>0</v>
      </c>
      <c r="E1769" t="str">
        <f t="shared" si="162"/>
        <v>2</v>
      </c>
      <c r="F1769" t="str">
        <f t="shared" si="163"/>
        <v>Câu 429.</v>
      </c>
      <c r="G1769" t="str">
        <f t="shared" si="164"/>
        <v>1</v>
      </c>
      <c r="H1769" t="str">
        <f t="shared" si="165"/>
        <v>2</v>
      </c>
      <c r="I1769" t="str">
        <f t="shared" si="166"/>
        <v/>
      </c>
      <c r="J1769" t="str">
        <f t="shared" ca="1" si="167"/>
        <v/>
      </c>
    </row>
    <row r="1770" spans="1:10" ht="18.75" x14ac:dyDescent="0.25">
      <c r="A1770" s="10" t="s">
        <v>1274</v>
      </c>
      <c r="B1770">
        <f>IFERROR(COUNTIFS($A$1:A1770,"Câu "&amp;"*")-MID(A1770,5,FIND(".",A1770,1)-5),0)</f>
        <v>0</v>
      </c>
      <c r="C1770" t="b">
        <v>0</v>
      </c>
      <c r="E1770" t="str">
        <f t="shared" si="162"/>
        <v>Câu 429.</v>
      </c>
      <c r="F1770" t="str">
        <f t="shared" si="163"/>
        <v>1</v>
      </c>
      <c r="G1770" t="str">
        <f t="shared" si="164"/>
        <v>2</v>
      </c>
      <c r="H1770" t="str">
        <f t="shared" si="165"/>
        <v/>
      </c>
      <c r="I1770" t="str">
        <f t="shared" si="166"/>
        <v>1</v>
      </c>
      <c r="J1770" t="str">
        <f t="shared" ca="1" si="167"/>
        <v>2</v>
      </c>
    </row>
    <row r="1771" spans="1:10" ht="18.75" x14ac:dyDescent="0.25">
      <c r="A1771" s="11" t="s">
        <v>2603</v>
      </c>
      <c r="B1771">
        <f>IFERROR(COUNTIFS($A$1:A1771,"Câu "&amp;"*")-MID(A1771,5,FIND(".",A1771,1)-5),0)</f>
        <v>0</v>
      </c>
      <c r="C1771" t="b">
        <v>0</v>
      </c>
      <c r="E1771" t="str">
        <f t="shared" si="162"/>
        <v>1</v>
      </c>
      <c r="F1771" t="str">
        <f t="shared" si="163"/>
        <v>2</v>
      </c>
      <c r="G1771" t="str">
        <f t="shared" si="164"/>
        <v>Câu 430.</v>
      </c>
      <c r="H1771" t="str">
        <f t="shared" si="165"/>
        <v>1</v>
      </c>
      <c r="I1771" t="str">
        <f t="shared" si="166"/>
        <v>2</v>
      </c>
      <c r="J1771" t="str">
        <f t="shared" ca="1" si="167"/>
        <v/>
      </c>
    </row>
    <row r="1772" spans="1:10" ht="18.75" x14ac:dyDescent="0.25">
      <c r="A1772" s="11" t="s">
        <v>2618</v>
      </c>
      <c r="B1772">
        <f>IFERROR(COUNTIFS($A$1:A1772,"Câu "&amp;"*")-MID(A1772,5,FIND(".",A1772,1)-5),0)</f>
        <v>0</v>
      </c>
      <c r="C1772" t="b">
        <v>1</v>
      </c>
      <c r="E1772" t="str">
        <f t="shared" si="162"/>
        <v>2</v>
      </c>
      <c r="F1772" t="str">
        <f t="shared" si="163"/>
        <v>Câu 430.</v>
      </c>
      <c r="G1772" t="str">
        <f t="shared" si="164"/>
        <v>1</v>
      </c>
      <c r="H1772" t="str">
        <f t="shared" si="165"/>
        <v>2</v>
      </c>
      <c r="I1772" t="str">
        <f t="shared" si="166"/>
        <v/>
      </c>
      <c r="J1772" t="str">
        <f t="shared" ca="1" si="167"/>
        <v/>
      </c>
    </row>
    <row r="1773" spans="1:10" ht="18.75" x14ac:dyDescent="0.25">
      <c r="A1773" s="10" t="s">
        <v>1275</v>
      </c>
      <c r="B1773">
        <f>IFERROR(COUNTIFS($A$1:A1773,"Câu "&amp;"*")-MID(A1773,5,FIND(".",A1773,1)-5),0)</f>
        <v>0</v>
      </c>
      <c r="C1773" t="b">
        <v>0</v>
      </c>
      <c r="E1773" t="str">
        <f t="shared" si="162"/>
        <v>Câu 430.</v>
      </c>
      <c r="F1773" t="str">
        <f t="shared" si="163"/>
        <v>1</v>
      </c>
      <c r="G1773" t="str">
        <f t="shared" si="164"/>
        <v>2</v>
      </c>
      <c r="H1773" t="str">
        <f t="shared" si="165"/>
        <v/>
      </c>
      <c r="I1773" t="str">
        <f t="shared" si="166"/>
        <v>1</v>
      </c>
      <c r="J1773" t="str">
        <f t="shared" ca="1" si="167"/>
        <v>1</v>
      </c>
    </row>
    <row r="1774" spans="1:10" ht="18.75" x14ac:dyDescent="0.25">
      <c r="A1774" s="11" t="s">
        <v>2599</v>
      </c>
      <c r="B1774">
        <f>IFERROR(COUNTIFS($A$1:A1774,"Câu "&amp;"*")-MID(A1774,5,FIND(".",A1774,1)-5),0)</f>
        <v>0</v>
      </c>
      <c r="C1774" t="b">
        <v>1</v>
      </c>
      <c r="E1774" t="str">
        <f t="shared" si="162"/>
        <v>1</v>
      </c>
      <c r="F1774" t="str">
        <f t="shared" si="163"/>
        <v>2</v>
      </c>
      <c r="G1774" t="str">
        <f t="shared" si="164"/>
        <v>Câu 431.</v>
      </c>
      <c r="H1774" t="str">
        <f t="shared" si="165"/>
        <v>1</v>
      </c>
      <c r="I1774" t="str">
        <f t="shared" si="166"/>
        <v>2</v>
      </c>
      <c r="J1774" t="str">
        <f t="shared" ca="1" si="167"/>
        <v/>
      </c>
    </row>
    <row r="1775" spans="1:10" ht="18.75" x14ac:dyDescent="0.25">
      <c r="A1775" s="11" t="s">
        <v>2600</v>
      </c>
      <c r="B1775">
        <f>IFERROR(COUNTIFS($A$1:A1775,"Câu "&amp;"*")-MID(A1775,5,FIND(".",A1775,1)-5),0)</f>
        <v>0</v>
      </c>
      <c r="C1775" t="b">
        <v>0</v>
      </c>
      <c r="E1775" t="str">
        <f t="shared" si="162"/>
        <v>2</v>
      </c>
      <c r="F1775" t="str">
        <f t="shared" si="163"/>
        <v>Câu 431.</v>
      </c>
      <c r="G1775" t="str">
        <f t="shared" si="164"/>
        <v>1</v>
      </c>
      <c r="H1775" t="str">
        <f t="shared" si="165"/>
        <v>2</v>
      </c>
      <c r="I1775" t="str">
        <f t="shared" si="166"/>
        <v>3</v>
      </c>
      <c r="J1775" t="str">
        <f t="shared" ca="1" si="167"/>
        <v/>
      </c>
    </row>
    <row r="1776" spans="1:10" ht="18.75" x14ac:dyDescent="0.25">
      <c r="A1776" s="10" t="s">
        <v>1276</v>
      </c>
      <c r="B1776">
        <f>IFERROR(COUNTIFS($A$1:A1776,"Câu "&amp;"*")-MID(A1776,5,FIND(".",A1776,1)-5),0)</f>
        <v>0</v>
      </c>
      <c r="C1776" t="b">
        <v>0</v>
      </c>
      <c r="E1776" t="str">
        <f t="shared" si="162"/>
        <v>Câu 431.</v>
      </c>
      <c r="F1776" t="str">
        <f t="shared" si="163"/>
        <v>1</v>
      </c>
      <c r="G1776" t="str">
        <f t="shared" si="164"/>
        <v>2</v>
      </c>
      <c r="H1776" t="str">
        <f t="shared" si="165"/>
        <v>3</v>
      </c>
      <c r="I1776" t="str">
        <f t="shared" si="166"/>
        <v/>
      </c>
      <c r="J1776" t="str">
        <f t="shared" ca="1" si="167"/>
        <v>2</v>
      </c>
    </row>
    <row r="1777" spans="1:10" ht="18.75" x14ac:dyDescent="0.25">
      <c r="A1777" s="11" t="s">
        <v>2699</v>
      </c>
      <c r="B1777">
        <f>IFERROR(COUNTIFS($A$1:A1777,"Câu "&amp;"*")-MID(A1777,5,FIND(".",A1777,1)-5),0)</f>
        <v>0</v>
      </c>
      <c r="C1777" t="b">
        <v>0</v>
      </c>
      <c r="E1777" t="str">
        <f t="shared" si="162"/>
        <v>1</v>
      </c>
      <c r="F1777" t="str">
        <f t="shared" si="163"/>
        <v>2</v>
      </c>
      <c r="G1777" t="str">
        <f t="shared" si="164"/>
        <v>3</v>
      </c>
      <c r="H1777" t="str">
        <f t="shared" si="165"/>
        <v/>
      </c>
      <c r="I1777" t="str">
        <f t="shared" si="166"/>
        <v>1</v>
      </c>
      <c r="J1777" t="str">
        <f t="shared" ca="1" si="167"/>
        <v/>
      </c>
    </row>
    <row r="1778" spans="1:10" ht="18.75" x14ac:dyDescent="0.25">
      <c r="A1778" s="11" t="s">
        <v>2700</v>
      </c>
      <c r="B1778">
        <f>IFERROR(COUNTIFS($A$1:A1778,"Câu "&amp;"*")-MID(A1778,5,FIND(".",A1778,1)-5),0)</f>
        <v>0</v>
      </c>
      <c r="C1778" t="b">
        <v>1</v>
      </c>
      <c r="E1778" t="str">
        <f t="shared" si="162"/>
        <v>2</v>
      </c>
      <c r="F1778" t="str">
        <f t="shared" si="163"/>
        <v>3</v>
      </c>
      <c r="G1778" t="str">
        <f t="shared" si="164"/>
        <v>Câu 432.</v>
      </c>
      <c r="H1778" t="str">
        <f t="shared" si="165"/>
        <v>1</v>
      </c>
      <c r="I1778" t="str">
        <f t="shared" si="166"/>
        <v>2</v>
      </c>
      <c r="J1778" t="str">
        <f t="shared" ca="1" si="167"/>
        <v/>
      </c>
    </row>
    <row r="1779" spans="1:10" ht="18.75" x14ac:dyDescent="0.25">
      <c r="A1779" s="11" t="s">
        <v>2701</v>
      </c>
      <c r="B1779">
        <f>IFERROR(COUNTIFS($A$1:A1779,"Câu "&amp;"*")-MID(A1779,5,FIND(".",A1779,1)-5),0)</f>
        <v>0</v>
      </c>
      <c r="C1779" t="b">
        <v>0</v>
      </c>
      <c r="E1779" t="str">
        <f t="shared" si="162"/>
        <v>3</v>
      </c>
      <c r="F1779" t="str">
        <f t="shared" si="163"/>
        <v>Câu 432.</v>
      </c>
      <c r="G1779" t="str">
        <f t="shared" si="164"/>
        <v>1</v>
      </c>
      <c r="H1779" t="str">
        <f t="shared" si="165"/>
        <v>2</v>
      </c>
      <c r="I1779" t="str">
        <f t="shared" si="166"/>
        <v>3</v>
      </c>
      <c r="J1779" t="str">
        <f t="shared" ca="1" si="167"/>
        <v/>
      </c>
    </row>
    <row r="1780" spans="1:10" ht="18.75" x14ac:dyDescent="0.25">
      <c r="A1780" s="10" t="s">
        <v>1280</v>
      </c>
      <c r="B1780">
        <f>IFERROR(COUNTIFS($A$1:A1780,"Câu "&amp;"*")-MID(A1780,5,FIND(".",A1780,1)-5),0)</f>
        <v>0</v>
      </c>
      <c r="C1780" t="b">
        <v>0</v>
      </c>
      <c r="E1780" t="str">
        <f t="shared" si="162"/>
        <v>Câu 432.</v>
      </c>
      <c r="F1780" t="str">
        <f t="shared" si="163"/>
        <v>1</v>
      </c>
      <c r="G1780" t="str">
        <f t="shared" si="164"/>
        <v>2</v>
      </c>
      <c r="H1780" t="str">
        <f t="shared" si="165"/>
        <v>3</v>
      </c>
      <c r="I1780" t="str">
        <f t="shared" si="166"/>
        <v/>
      </c>
      <c r="J1780" t="str">
        <f t="shared" ca="1" si="167"/>
        <v>3</v>
      </c>
    </row>
    <row r="1781" spans="1:10" ht="18.75" x14ac:dyDescent="0.25">
      <c r="A1781" s="11" t="s">
        <v>2603</v>
      </c>
      <c r="B1781">
        <f>IFERROR(COUNTIFS($A$1:A1781,"Câu "&amp;"*")-MID(A1781,5,FIND(".",A1781,1)-5),0)</f>
        <v>0</v>
      </c>
      <c r="C1781" t="b">
        <v>0</v>
      </c>
      <c r="E1781" t="str">
        <f t="shared" si="162"/>
        <v>1</v>
      </c>
      <c r="F1781" t="str">
        <f t="shared" si="163"/>
        <v>2</v>
      </c>
      <c r="G1781" t="str">
        <f t="shared" si="164"/>
        <v>3</v>
      </c>
      <c r="H1781" t="str">
        <f t="shared" si="165"/>
        <v/>
      </c>
      <c r="I1781" t="str">
        <f t="shared" si="166"/>
        <v>1</v>
      </c>
      <c r="J1781" t="str">
        <f t="shared" ca="1" si="167"/>
        <v/>
      </c>
    </row>
    <row r="1782" spans="1:10" ht="18.75" x14ac:dyDescent="0.25">
      <c r="A1782" s="11" t="s">
        <v>2600</v>
      </c>
      <c r="B1782">
        <f>IFERROR(COUNTIFS($A$1:A1782,"Câu "&amp;"*")-MID(A1782,5,FIND(".",A1782,1)-5),0)</f>
        <v>0</v>
      </c>
      <c r="C1782" t="b">
        <v>0</v>
      </c>
      <c r="E1782" t="str">
        <f t="shared" si="162"/>
        <v>2</v>
      </c>
      <c r="F1782" t="str">
        <f t="shared" si="163"/>
        <v>3</v>
      </c>
      <c r="G1782" t="str">
        <f t="shared" si="164"/>
        <v>Câu 433.</v>
      </c>
      <c r="H1782" t="str">
        <f t="shared" si="165"/>
        <v>1</v>
      </c>
      <c r="I1782" t="str">
        <f t="shared" si="166"/>
        <v>2</v>
      </c>
      <c r="J1782" t="str">
        <f t="shared" ca="1" si="167"/>
        <v/>
      </c>
    </row>
    <row r="1783" spans="1:10" ht="18.75" x14ac:dyDescent="0.25">
      <c r="A1783" s="11" t="s">
        <v>2702</v>
      </c>
      <c r="B1783">
        <f>IFERROR(COUNTIFS($A$1:A1783,"Câu "&amp;"*")-MID(A1783,5,FIND(".",A1783,1)-5),0)</f>
        <v>0</v>
      </c>
      <c r="C1783" t="b">
        <v>1</v>
      </c>
      <c r="E1783" t="str">
        <f t="shared" si="162"/>
        <v>3</v>
      </c>
      <c r="F1783" t="str">
        <f t="shared" si="163"/>
        <v>Câu 433.</v>
      </c>
      <c r="G1783" t="str">
        <f t="shared" si="164"/>
        <v>1</v>
      </c>
      <c r="H1783" t="str">
        <f t="shared" si="165"/>
        <v>2</v>
      </c>
      <c r="I1783" t="str">
        <f t="shared" si="166"/>
        <v/>
      </c>
      <c r="J1783" t="str">
        <f t="shared" ca="1" si="167"/>
        <v/>
      </c>
    </row>
    <row r="1784" spans="1:10" ht="18.75" x14ac:dyDescent="0.25">
      <c r="A1784" s="10" t="s">
        <v>1282</v>
      </c>
      <c r="B1784">
        <f>IFERROR(COUNTIFS($A$1:A1784,"Câu "&amp;"*")-MID(A1784,5,FIND(".",A1784,1)-5),0)</f>
        <v>0</v>
      </c>
      <c r="C1784" t="b">
        <v>0</v>
      </c>
      <c r="E1784" t="str">
        <f t="shared" si="162"/>
        <v>Câu 433.</v>
      </c>
      <c r="F1784" t="str">
        <f t="shared" si="163"/>
        <v>1</v>
      </c>
      <c r="G1784" t="str">
        <f t="shared" si="164"/>
        <v>2</v>
      </c>
      <c r="H1784" t="str">
        <f t="shared" si="165"/>
        <v/>
      </c>
      <c r="I1784" t="str">
        <f t="shared" si="166"/>
        <v>1</v>
      </c>
      <c r="J1784" t="str">
        <f t="shared" ca="1" si="167"/>
        <v>1</v>
      </c>
    </row>
    <row r="1785" spans="1:10" ht="18.75" x14ac:dyDescent="0.25">
      <c r="A1785" s="11" t="s">
        <v>2599</v>
      </c>
      <c r="B1785">
        <f>IFERROR(COUNTIFS($A$1:A1785,"Câu "&amp;"*")-MID(A1785,5,FIND(".",A1785,1)-5),0)</f>
        <v>0</v>
      </c>
      <c r="C1785" t="b">
        <v>1</v>
      </c>
      <c r="E1785" t="str">
        <f t="shared" si="162"/>
        <v>1</v>
      </c>
      <c r="F1785" t="str">
        <f t="shared" si="163"/>
        <v>2</v>
      </c>
      <c r="G1785" t="str">
        <f t="shared" si="164"/>
        <v>Câu 434.</v>
      </c>
      <c r="H1785" t="str">
        <f t="shared" si="165"/>
        <v>1</v>
      </c>
      <c r="I1785" t="str">
        <f t="shared" si="166"/>
        <v>2</v>
      </c>
      <c r="J1785" t="str">
        <f t="shared" ca="1" si="167"/>
        <v/>
      </c>
    </row>
    <row r="1786" spans="1:10" ht="18.75" x14ac:dyDescent="0.25">
      <c r="A1786" s="11" t="s">
        <v>2600</v>
      </c>
      <c r="B1786">
        <f>IFERROR(COUNTIFS($A$1:A1786,"Câu "&amp;"*")-MID(A1786,5,FIND(".",A1786,1)-5),0)</f>
        <v>0</v>
      </c>
      <c r="C1786" t="b">
        <v>0</v>
      </c>
      <c r="E1786" t="str">
        <f t="shared" si="162"/>
        <v>2</v>
      </c>
      <c r="F1786" t="str">
        <f t="shared" si="163"/>
        <v>Câu 434.</v>
      </c>
      <c r="G1786" t="str">
        <f t="shared" si="164"/>
        <v>1</v>
      </c>
      <c r="H1786" t="str">
        <f t="shared" si="165"/>
        <v>2</v>
      </c>
      <c r="I1786" t="str">
        <f t="shared" si="166"/>
        <v>3</v>
      </c>
      <c r="J1786" t="str">
        <f t="shared" ca="1" si="167"/>
        <v/>
      </c>
    </row>
    <row r="1787" spans="1:10" ht="18.75" x14ac:dyDescent="0.25">
      <c r="A1787" s="10" t="s">
        <v>1283</v>
      </c>
      <c r="B1787">
        <f>IFERROR(COUNTIFS($A$1:A1787,"Câu "&amp;"*")-MID(A1787,5,FIND(".",A1787,1)-5),0)</f>
        <v>0</v>
      </c>
      <c r="C1787" t="b">
        <v>0</v>
      </c>
      <c r="E1787" t="str">
        <f t="shared" si="162"/>
        <v>Câu 434.</v>
      </c>
      <c r="F1787" t="str">
        <f t="shared" si="163"/>
        <v>1</v>
      </c>
      <c r="G1787" t="str">
        <f t="shared" si="164"/>
        <v>2</v>
      </c>
      <c r="H1787" t="str">
        <f t="shared" si="165"/>
        <v>3</v>
      </c>
      <c r="I1787" t="str">
        <f t="shared" si="166"/>
        <v/>
      </c>
      <c r="J1787" t="str">
        <f t="shared" ca="1" si="167"/>
        <v>2</v>
      </c>
    </row>
    <row r="1788" spans="1:10" ht="18.75" x14ac:dyDescent="0.25">
      <c r="A1788" s="11" t="s">
        <v>2603</v>
      </c>
      <c r="B1788">
        <f>IFERROR(COUNTIFS($A$1:A1788,"Câu "&amp;"*")-MID(A1788,5,FIND(".",A1788,1)-5),0)</f>
        <v>0</v>
      </c>
      <c r="C1788" t="b">
        <v>0</v>
      </c>
      <c r="E1788" t="str">
        <f t="shared" si="162"/>
        <v>1</v>
      </c>
      <c r="F1788" t="str">
        <f t="shared" si="163"/>
        <v>2</v>
      </c>
      <c r="G1788" t="str">
        <f t="shared" si="164"/>
        <v>3</v>
      </c>
      <c r="H1788" t="str">
        <f t="shared" si="165"/>
        <v/>
      </c>
      <c r="I1788" t="str">
        <f t="shared" si="166"/>
        <v>1</v>
      </c>
      <c r="J1788" t="str">
        <f t="shared" ca="1" si="167"/>
        <v/>
      </c>
    </row>
    <row r="1789" spans="1:10" ht="18.75" x14ac:dyDescent="0.25">
      <c r="A1789" s="11" t="s">
        <v>2618</v>
      </c>
      <c r="B1789">
        <f>IFERROR(COUNTIFS($A$1:A1789,"Câu "&amp;"*")-MID(A1789,5,FIND(".",A1789,1)-5),0)</f>
        <v>0</v>
      </c>
      <c r="C1789" t="b">
        <v>1</v>
      </c>
      <c r="E1789" t="str">
        <f t="shared" si="162"/>
        <v>2</v>
      </c>
      <c r="F1789" t="str">
        <f t="shared" si="163"/>
        <v>3</v>
      </c>
      <c r="G1789" t="str">
        <f t="shared" si="164"/>
        <v>Câu 435.</v>
      </c>
      <c r="H1789" t="str">
        <f t="shared" si="165"/>
        <v>1</v>
      </c>
      <c r="I1789" t="str">
        <f t="shared" si="166"/>
        <v>2</v>
      </c>
      <c r="J1789" t="str">
        <f t="shared" ca="1" si="167"/>
        <v/>
      </c>
    </row>
    <row r="1790" spans="1:10" ht="18.75" x14ac:dyDescent="0.25">
      <c r="A1790" s="11" t="s">
        <v>2622</v>
      </c>
      <c r="B1790">
        <f>IFERROR(COUNTIFS($A$1:A1790,"Câu "&amp;"*")-MID(A1790,5,FIND(".",A1790,1)-5),0)</f>
        <v>0</v>
      </c>
      <c r="C1790" t="b">
        <v>0</v>
      </c>
      <c r="E1790" t="str">
        <f t="shared" si="162"/>
        <v>3</v>
      </c>
      <c r="F1790" t="str">
        <f t="shared" si="163"/>
        <v>Câu 435.</v>
      </c>
      <c r="G1790" t="str">
        <f t="shared" si="164"/>
        <v>1</v>
      </c>
      <c r="H1790" t="str">
        <f t="shared" si="165"/>
        <v>2</v>
      </c>
      <c r="I1790" t="str">
        <f t="shared" si="166"/>
        <v>3</v>
      </c>
      <c r="J1790" t="str">
        <f t="shared" ca="1" si="167"/>
        <v/>
      </c>
    </row>
    <row r="1791" spans="1:10" ht="18.75" x14ac:dyDescent="0.25">
      <c r="A1791" s="10" t="s">
        <v>1284</v>
      </c>
      <c r="B1791">
        <f>IFERROR(COUNTIFS($A$1:A1791,"Câu "&amp;"*")-MID(A1791,5,FIND(".",A1791,1)-5),0)</f>
        <v>0</v>
      </c>
      <c r="C1791" t="b">
        <v>0</v>
      </c>
      <c r="E1791" t="str">
        <f t="shared" si="162"/>
        <v>Câu 435.</v>
      </c>
      <c r="F1791" t="str">
        <f t="shared" si="163"/>
        <v>1</v>
      </c>
      <c r="G1791" t="str">
        <f t="shared" si="164"/>
        <v>2</v>
      </c>
      <c r="H1791" t="str">
        <f t="shared" si="165"/>
        <v>3</v>
      </c>
      <c r="I1791" t="str">
        <f t="shared" si="166"/>
        <v>4</v>
      </c>
      <c r="J1791" t="str">
        <f t="shared" ca="1" si="167"/>
        <v>1</v>
      </c>
    </row>
    <row r="1792" spans="1:10" ht="18.75" x14ac:dyDescent="0.25">
      <c r="A1792" s="11" t="s">
        <v>2599</v>
      </c>
      <c r="B1792">
        <f>IFERROR(COUNTIFS($A$1:A1792,"Câu "&amp;"*")-MID(A1792,5,FIND(".",A1792,1)-5),0)</f>
        <v>0</v>
      </c>
      <c r="C1792" t="b">
        <v>1</v>
      </c>
      <c r="E1792" t="str">
        <f t="shared" si="162"/>
        <v>1</v>
      </c>
      <c r="F1792" t="str">
        <f t="shared" si="163"/>
        <v>2</v>
      </c>
      <c r="G1792" t="str">
        <f t="shared" si="164"/>
        <v>3</v>
      </c>
      <c r="H1792" t="str">
        <f t="shared" si="165"/>
        <v>4</v>
      </c>
      <c r="I1792" t="str">
        <f t="shared" si="166"/>
        <v/>
      </c>
      <c r="J1792" t="str">
        <f t="shared" ca="1" si="167"/>
        <v/>
      </c>
    </row>
    <row r="1793" spans="1:10" ht="18.75" x14ac:dyDescent="0.25">
      <c r="A1793" s="11" t="s">
        <v>2600</v>
      </c>
      <c r="B1793">
        <f>IFERROR(COUNTIFS($A$1:A1793,"Câu "&amp;"*")-MID(A1793,5,FIND(".",A1793,1)-5),0)</f>
        <v>0</v>
      </c>
      <c r="C1793" t="b">
        <v>0</v>
      </c>
      <c r="E1793" t="str">
        <f t="shared" si="162"/>
        <v>2</v>
      </c>
      <c r="F1793" t="str">
        <f t="shared" si="163"/>
        <v>3</v>
      </c>
      <c r="G1793" t="str">
        <f t="shared" si="164"/>
        <v>4</v>
      </c>
      <c r="H1793" t="str">
        <f t="shared" si="165"/>
        <v/>
      </c>
      <c r="I1793" t="str">
        <f t="shared" si="166"/>
        <v>1</v>
      </c>
      <c r="J1793" t="str">
        <f t="shared" ca="1" si="167"/>
        <v/>
      </c>
    </row>
    <row r="1794" spans="1:10" ht="18.75" x14ac:dyDescent="0.25">
      <c r="A1794" s="11" t="s">
        <v>2611</v>
      </c>
      <c r="B1794">
        <f>IFERROR(COUNTIFS($A$1:A1794,"Câu "&amp;"*")-MID(A1794,5,FIND(".",A1794,1)-5),0)</f>
        <v>0</v>
      </c>
      <c r="C1794" t="b">
        <v>0</v>
      </c>
      <c r="E1794" t="str">
        <f t="shared" si="162"/>
        <v>3</v>
      </c>
      <c r="F1794" t="str">
        <f t="shared" si="163"/>
        <v>4</v>
      </c>
      <c r="G1794" t="str">
        <f t="shared" si="164"/>
        <v>Câu 436.</v>
      </c>
      <c r="H1794" t="str">
        <f t="shared" si="165"/>
        <v>1</v>
      </c>
      <c r="I1794" t="str">
        <f t="shared" si="166"/>
        <v>2</v>
      </c>
      <c r="J1794" t="str">
        <f t="shared" ca="1" si="167"/>
        <v/>
      </c>
    </row>
    <row r="1795" spans="1:10" ht="18.75" x14ac:dyDescent="0.25">
      <c r="A1795" s="11" t="s">
        <v>2606</v>
      </c>
      <c r="B1795">
        <f>IFERROR(COUNTIFS($A$1:A1795,"Câu "&amp;"*")-MID(A1795,5,FIND(".",A1795,1)-5),0)</f>
        <v>0</v>
      </c>
      <c r="C1795" t="b">
        <v>0</v>
      </c>
      <c r="E1795" t="str">
        <f t="shared" ref="E1795:E1858" si="168">IF(LEFT(A1795,3)="Câu",LEFT(A1795,FIND(".",A1795,1)),LEFT(A1795,1))</f>
        <v>4</v>
      </c>
      <c r="F1795" t="str">
        <f t="shared" ref="F1795:F1858" si="169">IF(LEFT(A1796,3)="Câu",LEFT(A1796,FIND(".",A1796,1)),LEFT(A1796,1))</f>
        <v>Câu 436.</v>
      </c>
      <c r="G1795" t="str">
        <f t="shared" ref="G1795:G1858" si="170">IF(LEFT(A1797,3)="Câu",LEFT(A1797,FIND(".",A1797,1)),LEFT(A1797,1))</f>
        <v>1</v>
      </c>
      <c r="H1795" t="str">
        <f t="shared" ref="H1795:H1858" si="171">IF(LEFT(A1798,3)="Câu","",LEFT(A1798,1))</f>
        <v>2</v>
      </c>
      <c r="I1795" t="str">
        <f t="shared" ref="I1795:I1858" si="172">IF(LEFT(A1799,3)="Câu","",LEFT(A1799,1))</f>
        <v>3</v>
      </c>
      <c r="J1795" t="str">
        <f t="shared" ref="J1795:J1858" ca="1" si="173">IFERROR(VLOOKUP(TRUE,INDIRECT("C"&amp;MATCH(E1795,$E$1:$E$2471,0)&amp;":E"&amp;MATCH("Câu "&amp;VALUE(MID(E1795,5,LEN(E1795)-5))+1&amp;".",$E$1:$E$2471,0)),3,0),"")</f>
        <v/>
      </c>
    </row>
    <row r="1796" spans="1:10" ht="18.75" x14ac:dyDescent="0.25">
      <c r="A1796" s="10" t="s">
        <v>1285</v>
      </c>
      <c r="B1796">
        <f>IFERROR(COUNTIFS($A$1:A1796,"Câu "&amp;"*")-MID(A1796,5,FIND(".",A1796,1)-5),0)</f>
        <v>0</v>
      </c>
      <c r="C1796" t="b">
        <v>0</v>
      </c>
      <c r="E1796" t="str">
        <f t="shared" si="168"/>
        <v>Câu 436.</v>
      </c>
      <c r="F1796" t="str">
        <f t="shared" si="169"/>
        <v>1</v>
      </c>
      <c r="G1796" t="str">
        <f t="shared" si="170"/>
        <v>2</v>
      </c>
      <c r="H1796" t="str">
        <f t="shared" si="171"/>
        <v>3</v>
      </c>
      <c r="I1796" t="str">
        <f t="shared" si="172"/>
        <v>4</v>
      </c>
      <c r="J1796" t="str">
        <f t="shared" ca="1" si="173"/>
        <v>4</v>
      </c>
    </row>
    <row r="1797" spans="1:10" ht="18.75" x14ac:dyDescent="0.25">
      <c r="A1797" s="11" t="s">
        <v>2603</v>
      </c>
      <c r="B1797">
        <f>IFERROR(COUNTIFS($A$1:A1797,"Câu "&amp;"*")-MID(A1797,5,FIND(".",A1797,1)-5),0)</f>
        <v>0</v>
      </c>
      <c r="C1797" t="b">
        <v>0</v>
      </c>
      <c r="E1797" t="str">
        <f t="shared" si="168"/>
        <v>1</v>
      </c>
      <c r="F1797" t="str">
        <f t="shared" si="169"/>
        <v>2</v>
      </c>
      <c r="G1797" t="str">
        <f t="shared" si="170"/>
        <v>3</v>
      </c>
      <c r="H1797" t="str">
        <f t="shared" si="171"/>
        <v>4</v>
      </c>
      <c r="I1797" t="str">
        <f t="shared" si="172"/>
        <v/>
      </c>
      <c r="J1797" t="str">
        <f t="shared" ca="1" si="173"/>
        <v/>
      </c>
    </row>
    <row r="1798" spans="1:10" ht="18.75" x14ac:dyDescent="0.25">
      <c r="A1798" s="11" t="s">
        <v>2600</v>
      </c>
      <c r="B1798">
        <f>IFERROR(COUNTIFS($A$1:A1798,"Câu "&amp;"*")-MID(A1798,5,FIND(".",A1798,1)-5),0)</f>
        <v>0</v>
      </c>
      <c r="C1798" t="b">
        <v>0</v>
      </c>
      <c r="E1798" t="str">
        <f t="shared" si="168"/>
        <v>2</v>
      </c>
      <c r="F1798" t="str">
        <f t="shared" si="169"/>
        <v>3</v>
      </c>
      <c r="G1798" t="str">
        <f t="shared" si="170"/>
        <v>4</v>
      </c>
      <c r="H1798" t="str">
        <f t="shared" si="171"/>
        <v/>
      </c>
      <c r="I1798" t="str">
        <f t="shared" si="172"/>
        <v>1</v>
      </c>
      <c r="J1798" t="str">
        <f t="shared" ca="1" si="173"/>
        <v/>
      </c>
    </row>
    <row r="1799" spans="1:10" ht="18.75" x14ac:dyDescent="0.25">
      <c r="A1799" s="11" t="s">
        <v>2611</v>
      </c>
      <c r="B1799">
        <f>IFERROR(COUNTIFS($A$1:A1799,"Câu "&amp;"*")-MID(A1799,5,FIND(".",A1799,1)-5),0)</f>
        <v>0</v>
      </c>
      <c r="C1799" t="b">
        <v>0</v>
      </c>
      <c r="E1799" t="str">
        <f t="shared" si="168"/>
        <v>3</v>
      </c>
      <c r="F1799" t="str">
        <f t="shared" si="169"/>
        <v>4</v>
      </c>
      <c r="G1799" t="str">
        <f t="shared" si="170"/>
        <v>Câu 437.</v>
      </c>
      <c r="H1799" t="str">
        <f t="shared" si="171"/>
        <v>1</v>
      </c>
      <c r="I1799" t="str">
        <f t="shared" si="172"/>
        <v>2</v>
      </c>
      <c r="J1799" t="str">
        <f t="shared" ca="1" si="173"/>
        <v/>
      </c>
    </row>
    <row r="1800" spans="1:10" ht="18.75" x14ac:dyDescent="0.25">
      <c r="A1800" s="11" t="s">
        <v>2629</v>
      </c>
      <c r="B1800">
        <f>IFERROR(COUNTIFS($A$1:A1800,"Câu "&amp;"*")-MID(A1800,5,FIND(".",A1800,1)-5),0)</f>
        <v>0</v>
      </c>
      <c r="C1800" t="b">
        <v>1</v>
      </c>
      <c r="E1800" t="str">
        <f t="shared" si="168"/>
        <v>4</v>
      </c>
      <c r="F1800" t="str">
        <f t="shared" si="169"/>
        <v>Câu 437.</v>
      </c>
      <c r="G1800" t="str">
        <f t="shared" si="170"/>
        <v>1</v>
      </c>
      <c r="H1800" t="str">
        <f t="shared" si="171"/>
        <v>2</v>
      </c>
      <c r="I1800" t="str">
        <f t="shared" si="172"/>
        <v>3</v>
      </c>
      <c r="J1800" t="str">
        <f t="shared" ca="1" si="173"/>
        <v/>
      </c>
    </row>
    <row r="1801" spans="1:10" ht="18.75" x14ac:dyDescent="0.25">
      <c r="A1801" s="10" t="s">
        <v>1286</v>
      </c>
      <c r="B1801">
        <f>IFERROR(COUNTIFS($A$1:A1801,"Câu "&amp;"*")-MID(A1801,5,FIND(".",A1801,1)-5),0)</f>
        <v>0</v>
      </c>
      <c r="C1801" t="b">
        <v>0</v>
      </c>
      <c r="E1801" t="str">
        <f t="shared" si="168"/>
        <v>Câu 437.</v>
      </c>
      <c r="F1801" t="str">
        <f t="shared" si="169"/>
        <v>1</v>
      </c>
      <c r="G1801" t="str">
        <f t="shared" si="170"/>
        <v>2</v>
      </c>
      <c r="H1801" t="str">
        <f t="shared" si="171"/>
        <v>3</v>
      </c>
      <c r="I1801" t="str">
        <f t="shared" si="172"/>
        <v>4</v>
      </c>
      <c r="J1801" t="str">
        <f t="shared" ca="1" si="173"/>
        <v>3</v>
      </c>
    </row>
    <row r="1802" spans="1:10" ht="18.75" x14ac:dyDescent="0.25">
      <c r="A1802" s="11" t="s">
        <v>2603</v>
      </c>
      <c r="B1802">
        <f>IFERROR(COUNTIFS($A$1:A1802,"Câu "&amp;"*")-MID(A1802,5,FIND(".",A1802,1)-5),0)</f>
        <v>0</v>
      </c>
      <c r="C1802" t="b">
        <v>0</v>
      </c>
      <c r="E1802" t="str">
        <f t="shared" si="168"/>
        <v>1</v>
      </c>
      <c r="F1802" t="str">
        <f t="shared" si="169"/>
        <v>2</v>
      </c>
      <c r="G1802" t="str">
        <f t="shared" si="170"/>
        <v>3</v>
      </c>
      <c r="H1802" t="str">
        <f t="shared" si="171"/>
        <v>4</v>
      </c>
      <c r="I1802" t="str">
        <f t="shared" si="172"/>
        <v/>
      </c>
      <c r="J1802" t="str">
        <f t="shared" ca="1" si="173"/>
        <v/>
      </c>
    </row>
    <row r="1803" spans="1:10" ht="18.75" x14ac:dyDescent="0.25">
      <c r="A1803" s="11" t="s">
        <v>2600</v>
      </c>
      <c r="B1803">
        <f>IFERROR(COUNTIFS($A$1:A1803,"Câu "&amp;"*")-MID(A1803,5,FIND(".",A1803,1)-5),0)</f>
        <v>0</v>
      </c>
      <c r="C1803" t="b">
        <v>0</v>
      </c>
      <c r="E1803" t="str">
        <f t="shared" si="168"/>
        <v>2</v>
      </c>
      <c r="F1803" t="str">
        <f t="shared" si="169"/>
        <v>3</v>
      </c>
      <c r="G1803" t="str">
        <f t="shared" si="170"/>
        <v>4</v>
      </c>
      <c r="H1803" t="str">
        <f t="shared" si="171"/>
        <v/>
      </c>
      <c r="I1803" t="str">
        <f t="shared" si="172"/>
        <v>1</v>
      </c>
      <c r="J1803" t="str">
        <f t="shared" ca="1" si="173"/>
        <v/>
      </c>
    </row>
    <row r="1804" spans="1:10" ht="18.75" x14ac:dyDescent="0.25">
      <c r="A1804" s="11" t="s">
        <v>2628</v>
      </c>
      <c r="B1804">
        <f>IFERROR(COUNTIFS($A$1:A1804,"Câu "&amp;"*")-MID(A1804,5,FIND(".",A1804,1)-5),0)</f>
        <v>0</v>
      </c>
      <c r="C1804" t="b">
        <v>1</v>
      </c>
      <c r="E1804" t="str">
        <f t="shared" si="168"/>
        <v>3</v>
      </c>
      <c r="F1804" t="str">
        <f t="shared" si="169"/>
        <v>4</v>
      </c>
      <c r="G1804" t="str">
        <f t="shared" si="170"/>
        <v>Câu 438.</v>
      </c>
      <c r="H1804" t="str">
        <f t="shared" si="171"/>
        <v>1</v>
      </c>
      <c r="I1804" t="str">
        <f t="shared" si="172"/>
        <v>2</v>
      </c>
      <c r="J1804" t="str">
        <f t="shared" ca="1" si="173"/>
        <v/>
      </c>
    </row>
    <row r="1805" spans="1:10" ht="18.75" x14ac:dyDescent="0.25">
      <c r="A1805" s="11" t="s">
        <v>2606</v>
      </c>
      <c r="B1805">
        <f>IFERROR(COUNTIFS($A$1:A1805,"Câu "&amp;"*")-MID(A1805,5,FIND(".",A1805,1)-5),0)</f>
        <v>0</v>
      </c>
      <c r="C1805" t="b">
        <v>0</v>
      </c>
      <c r="E1805" t="str">
        <f t="shared" si="168"/>
        <v>4</v>
      </c>
      <c r="F1805" t="str">
        <f t="shared" si="169"/>
        <v>Câu 438.</v>
      </c>
      <c r="G1805" t="str">
        <f t="shared" si="170"/>
        <v>1</v>
      </c>
      <c r="H1805" t="str">
        <f t="shared" si="171"/>
        <v>2</v>
      </c>
      <c r="I1805" t="str">
        <f t="shared" si="172"/>
        <v>3</v>
      </c>
      <c r="J1805" t="str">
        <f t="shared" ca="1" si="173"/>
        <v/>
      </c>
    </row>
    <row r="1806" spans="1:10" ht="18.75" x14ac:dyDescent="0.25">
      <c r="A1806" s="10" t="s">
        <v>1287</v>
      </c>
      <c r="B1806">
        <f>IFERROR(COUNTIFS($A$1:A1806,"Câu "&amp;"*")-MID(A1806,5,FIND(".",A1806,1)-5),0)</f>
        <v>0</v>
      </c>
      <c r="C1806" t="b">
        <v>0</v>
      </c>
      <c r="E1806" t="str">
        <f t="shared" si="168"/>
        <v>Câu 438.</v>
      </c>
      <c r="F1806" t="str">
        <f t="shared" si="169"/>
        <v>1</v>
      </c>
      <c r="G1806" t="str">
        <f t="shared" si="170"/>
        <v>2</v>
      </c>
      <c r="H1806" t="str">
        <f t="shared" si="171"/>
        <v>3</v>
      </c>
      <c r="I1806" t="str">
        <f t="shared" si="172"/>
        <v>4</v>
      </c>
      <c r="J1806" t="str">
        <f t="shared" ca="1" si="173"/>
        <v>4</v>
      </c>
    </row>
    <row r="1807" spans="1:10" ht="18.75" x14ac:dyDescent="0.25">
      <c r="A1807" s="11" t="s">
        <v>2603</v>
      </c>
      <c r="B1807">
        <f>IFERROR(COUNTIFS($A$1:A1807,"Câu "&amp;"*")-MID(A1807,5,FIND(".",A1807,1)-5),0)</f>
        <v>0</v>
      </c>
      <c r="C1807" t="b">
        <v>0</v>
      </c>
      <c r="E1807" t="str">
        <f t="shared" si="168"/>
        <v>1</v>
      </c>
      <c r="F1807" t="str">
        <f t="shared" si="169"/>
        <v>2</v>
      </c>
      <c r="G1807" t="str">
        <f t="shared" si="170"/>
        <v>3</v>
      </c>
      <c r="H1807" t="str">
        <f t="shared" si="171"/>
        <v>4</v>
      </c>
      <c r="I1807" t="str">
        <f t="shared" si="172"/>
        <v/>
      </c>
      <c r="J1807" t="str">
        <f t="shared" ca="1" si="173"/>
        <v/>
      </c>
    </row>
    <row r="1808" spans="1:10" ht="18.75" x14ac:dyDescent="0.25">
      <c r="A1808" s="11" t="s">
        <v>2600</v>
      </c>
      <c r="B1808">
        <f>IFERROR(COUNTIFS($A$1:A1808,"Câu "&amp;"*")-MID(A1808,5,FIND(".",A1808,1)-5),0)</f>
        <v>0</v>
      </c>
      <c r="C1808" t="b">
        <v>0</v>
      </c>
      <c r="E1808" t="str">
        <f t="shared" si="168"/>
        <v>2</v>
      </c>
      <c r="F1808" t="str">
        <f t="shared" si="169"/>
        <v>3</v>
      </c>
      <c r="G1808" t="str">
        <f t="shared" si="170"/>
        <v>4</v>
      </c>
      <c r="H1808" t="str">
        <f t="shared" si="171"/>
        <v/>
      </c>
      <c r="I1808" t="str">
        <f t="shared" si="172"/>
        <v>1</v>
      </c>
      <c r="J1808" t="str">
        <f t="shared" ca="1" si="173"/>
        <v/>
      </c>
    </row>
    <row r="1809" spans="1:10" ht="18.75" x14ac:dyDescent="0.25">
      <c r="A1809" s="11" t="s">
        <v>2611</v>
      </c>
      <c r="B1809">
        <f>IFERROR(COUNTIFS($A$1:A1809,"Câu "&amp;"*")-MID(A1809,5,FIND(".",A1809,1)-5),0)</f>
        <v>0</v>
      </c>
      <c r="C1809" t="b">
        <v>0</v>
      </c>
      <c r="E1809" t="str">
        <f t="shared" si="168"/>
        <v>3</v>
      </c>
      <c r="F1809" t="str">
        <f t="shared" si="169"/>
        <v>4</v>
      </c>
      <c r="G1809" t="str">
        <f t="shared" si="170"/>
        <v>Câu 439.</v>
      </c>
      <c r="H1809" t="str">
        <f t="shared" si="171"/>
        <v>1</v>
      </c>
      <c r="I1809" t="str">
        <f t="shared" si="172"/>
        <v>2</v>
      </c>
      <c r="J1809" t="str">
        <f t="shared" ca="1" si="173"/>
        <v/>
      </c>
    </row>
    <row r="1810" spans="1:10" ht="18.75" x14ac:dyDescent="0.25">
      <c r="A1810" s="11" t="s">
        <v>2619</v>
      </c>
      <c r="B1810">
        <f>IFERROR(COUNTIFS($A$1:A1810,"Câu "&amp;"*")-MID(A1810,5,FIND(".",A1810,1)-5),0)</f>
        <v>0</v>
      </c>
      <c r="C1810" t="b">
        <v>1</v>
      </c>
      <c r="E1810" t="str">
        <f t="shared" si="168"/>
        <v>4</v>
      </c>
      <c r="F1810" t="str">
        <f t="shared" si="169"/>
        <v>Câu 439.</v>
      </c>
      <c r="G1810" t="str">
        <f t="shared" si="170"/>
        <v>1</v>
      </c>
      <c r="H1810" t="str">
        <f t="shared" si="171"/>
        <v>2</v>
      </c>
      <c r="I1810" t="str">
        <f t="shared" si="172"/>
        <v>3</v>
      </c>
      <c r="J1810" t="str">
        <f t="shared" ca="1" si="173"/>
        <v/>
      </c>
    </row>
    <row r="1811" spans="1:10" ht="18.75" x14ac:dyDescent="0.25">
      <c r="A1811" s="10" t="s">
        <v>1288</v>
      </c>
      <c r="B1811">
        <f>IFERROR(COUNTIFS($A$1:A1811,"Câu "&amp;"*")-MID(A1811,5,FIND(".",A1811,1)-5),0)</f>
        <v>0</v>
      </c>
      <c r="C1811" t="b">
        <v>0</v>
      </c>
      <c r="E1811" t="str">
        <f t="shared" si="168"/>
        <v>Câu 439.</v>
      </c>
      <c r="F1811" t="str">
        <f t="shared" si="169"/>
        <v>1</v>
      </c>
      <c r="G1811" t="str">
        <f t="shared" si="170"/>
        <v>2</v>
      </c>
      <c r="H1811" t="str">
        <f t="shared" si="171"/>
        <v>3</v>
      </c>
      <c r="I1811" t="str">
        <f t="shared" si="172"/>
        <v>4</v>
      </c>
      <c r="J1811" t="str">
        <f t="shared" ca="1" si="173"/>
        <v>2</v>
      </c>
    </row>
    <row r="1812" spans="1:10" ht="18.75" x14ac:dyDescent="0.25">
      <c r="A1812" s="11" t="s">
        <v>2603</v>
      </c>
      <c r="B1812">
        <f>IFERROR(COUNTIFS($A$1:A1812,"Câu "&amp;"*")-MID(A1812,5,FIND(".",A1812,1)-5),0)</f>
        <v>0</v>
      </c>
      <c r="C1812" t="b">
        <v>0</v>
      </c>
      <c r="E1812" t="str">
        <f t="shared" si="168"/>
        <v>1</v>
      </c>
      <c r="F1812" t="str">
        <f t="shared" si="169"/>
        <v>2</v>
      </c>
      <c r="G1812" t="str">
        <f t="shared" si="170"/>
        <v>3</v>
      </c>
      <c r="H1812" t="str">
        <f t="shared" si="171"/>
        <v>4</v>
      </c>
      <c r="I1812" t="str">
        <f t="shared" si="172"/>
        <v/>
      </c>
      <c r="J1812" t="str">
        <f t="shared" ca="1" si="173"/>
        <v/>
      </c>
    </row>
    <row r="1813" spans="1:10" ht="18.75" x14ac:dyDescent="0.25">
      <c r="A1813" s="11" t="s">
        <v>2618</v>
      </c>
      <c r="B1813">
        <f>IFERROR(COUNTIFS($A$1:A1813,"Câu "&amp;"*")-MID(A1813,5,FIND(".",A1813,1)-5),0)</f>
        <v>0</v>
      </c>
      <c r="C1813" t="b">
        <v>1</v>
      </c>
      <c r="E1813" t="str">
        <f t="shared" si="168"/>
        <v>2</v>
      </c>
      <c r="F1813" t="str">
        <f t="shared" si="169"/>
        <v>3</v>
      </c>
      <c r="G1813" t="str">
        <f t="shared" si="170"/>
        <v>4</v>
      </c>
      <c r="H1813" t="str">
        <f t="shared" si="171"/>
        <v/>
      </c>
      <c r="I1813" t="str">
        <f t="shared" si="172"/>
        <v>1</v>
      </c>
      <c r="J1813" t="str">
        <f t="shared" ca="1" si="173"/>
        <v/>
      </c>
    </row>
    <row r="1814" spans="1:10" ht="18.75" x14ac:dyDescent="0.25">
      <c r="A1814" s="11" t="s">
        <v>2611</v>
      </c>
      <c r="B1814">
        <f>IFERROR(COUNTIFS($A$1:A1814,"Câu "&amp;"*")-MID(A1814,5,FIND(".",A1814,1)-5),0)</f>
        <v>0</v>
      </c>
      <c r="C1814" t="b">
        <v>0</v>
      </c>
      <c r="E1814" t="str">
        <f t="shared" si="168"/>
        <v>3</v>
      </c>
      <c r="F1814" t="str">
        <f t="shared" si="169"/>
        <v>4</v>
      </c>
      <c r="G1814" t="str">
        <f t="shared" si="170"/>
        <v>Câu 440.</v>
      </c>
      <c r="H1814" t="str">
        <f t="shared" si="171"/>
        <v>1</v>
      </c>
      <c r="I1814" t="str">
        <f t="shared" si="172"/>
        <v>2</v>
      </c>
      <c r="J1814" t="str">
        <f t="shared" ca="1" si="173"/>
        <v/>
      </c>
    </row>
    <row r="1815" spans="1:10" ht="18.75" x14ac:dyDescent="0.25">
      <c r="A1815" s="11" t="s">
        <v>2606</v>
      </c>
      <c r="B1815">
        <f>IFERROR(COUNTIFS($A$1:A1815,"Câu "&amp;"*")-MID(A1815,5,FIND(".",A1815,1)-5),0)</f>
        <v>0</v>
      </c>
      <c r="C1815" t="b">
        <v>0</v>
      </c>
      <c r="E1815" t="str">
        <f t="shared" si="168"/>
        <v>4</v>
      </c>
      <c r="F1815" t="str">
        <f t="shared" si="169"/>
        <v>Câu 440.</v>
      </c>
      <c r="G1815" t="str">
        <f t="shared" si="170"/>
        <v>1</v>
      </c>
      <c r="H1815" t="str">
        <f t="shared" si="171"/>
        <v>2</v>
      </c>
      <c r="I1815" t="str">
        <f t="shared" si="172"/>
        <v>3</v>
      </c>
      <c r="J1815" t="str">
        <f t="shared" ca="1" si="173"/>
        <v/>
      </c>
    </row>
    <row r="1816" spans="1:10" ht="18.75" x14ac:dyDescent="0.25">
      <c r="A1816" s="10" t="s">
        <v>1289</v>
      </c>
      <c r="B1816">
        <f>IFERROR(COUNTIFS($A$1:A1816,"Câu "&amp;"*")-MID(A1816,5,FIND(".",A1816,1)-5),0)</f>
        <v>0</v>
      </c>
      <c r="C1816" t="b">
        <v>0</v>
      </c>
      <c r="E1816" t="str">
        <f t="shared" si="168"/>
        <v>Câu 440.</v>
      </c>
      <c r="F1816" t="str">
        <f t="shared" si="169"/>
        <v>1</v>
      </c>
      <c r="G1816" t="str">
        <f t="shared" si="170"/>
        <v>2</v>
      </c>
      <c r="H1816" t="str">
        <f t="shared" si="171"/>
        <v>3</v>
      </c>
      <c r="I1816" t="str">
        <f t="shared" si="172"/>
        <v>4</v>
      </c>
      <c r="J1816" t="str">
        <f t="shared" ca="1" si="173"/>
        <v>3</v>
      </c>
    </row>
    <row r="1817" spans="1:10" ht="18.75" x14ac:dyDescent="0.25">
      <c r="A1817" s="11" t="s">
        <v>2603</v>
      </c>
      <c r="B1817">
        <f>IFERROR(COUNTIFS($A$1:A1817,"Câu "&amp;"*")-MID(A1817,5,FIND(".",A1817,1)-5),0)</f>
        <v>0</v>
      </c>
      <c r="C1817" t="b">
        <v>0</v>
      </c>
      <c r="E1817" t="str">
        <f t="shared" si="168"/>
        <v>1</v>
      </c>
      <c r="F1817" t="str">
        <f t="shared" si="169"/>
        <v>2</v>
      </c>
      <c r="G1817" t="str">
        <f t="shared" si="170"/>
        <v>3</v>
      </c>
      <c r="H1817" t="str">
        <f t="shared" si="171"/>
        <v>4</v>
      </c>
      <c r="I1817" t="str">
        <f t="shared" si="172"/>
        <v/>
      </c>
      <c r="J1817" t="str">
        <f t="shared" ca="1" si="173"/>
        <v/>
      </c>
    </row>
    <row r="1818" spans="1:10" ht="18.75" x14ac:dyDescent="0.25">
      <c r="A1818" s="11" t="s">
        <v>2600</v>
      </c>
      <c r="B1818">
        <f>IFERROR(COUNTIFS($A$1:A1818,"Câu "&amp;"*")-MID(A1818,5,FIND(".",A1818,1)-5),0)</f>
        <v>0</v>
      </c>
      <c r="C1818" t="b">
        <v>0</v>
      </c>
      <c r="E1818" t="str">
        <f t="shared" si="168"/>
        <v>2</v>
      </c>
      <c r="F1818" t="str">
        <f t="shared" si="169"/>
        <v>3</v>
      </c>
      <c r="G1818" t="str">
        <f t="shared" si="170"/>
        <v>4</v>
      </c>
      <c r="H1818" t="str">
        <f t="shared" si="171"/>
        <v/>
      </c>
      <c r="I1818" t="str">
        <f t="shared" si="172"/>
        <v>1</v>
      </c>
      <c r="J1818" t="str">
        <f t="shared" ca="1" si="173"/>
        <v/>
      </c>
    </row>
    <row r="1819" spans="1:10" ht="18.75" x14ac:dyDescent="0.25">
      <c r="A1819" s="11" t="s">
        <v>2628</v>
      </c>
      <c r="B1819">
        <f>IFERROR(COUNTIFS($A$1:A1819,"Câu "&amp;"*")-MID(A1819,5,FIND(".",A1819,1)-5),0)</f>
        <v>0</v>
      </c>
      <c r="C1819" t="b">
        <v>1</v>
      </c>
      <c r="E1819" t="str">
        <f t="shared" si="168"/>
        <v>3</v>
      </c>
      <c r="F1819" t="str">
        <f t="shared" si="169"/>
        <v>4</v>
      </c>
      <c r="G1819" t="str">
        <f t="shared" si="170"/>
        <v>Câu 441.</v>
      </c>
      <c r="H1819" t="str">
        <f t="shared" si="171"/>
        <v>1</v>
      </c>
      <c r="I1819" t="str">
        <f t="shared" si="172"/>
        <v>2</v>
      </c>
      <c r="J1819" t="str">
        <f t="shared" ca="1" si="173"/>
        <v/>
      </c>
    </row>
    <row r="1820" spans="1:10" ht="18.75" x14ac:dyDescent="0.25">
      <c r="A1820" s="11" t="s">
        <v>2679</v>
      </c>
      <c r="B1820">
        <f>IFERROR(COUNTIFS($A$1:A1820,"Câu "&amp;"*")-MID(A1820,5,FIND(".",A1820,1)-5),0)</f>
        <v>0</v>
      </c>
      <c r="C1820" t="b">
        <v>0</v>
      </c>
      <c r="E1820" t="str">
        <f t="shared" si="168"/>
        <v>4</v>
      </c>
      <c r="F1820" t="str">
        <f t="shared" si="169"/>
        <v>Câu 441.</v>
      </c>
      <c r="G1820" t="str">
        <f t="shared" si="170"/>
        <v>1</v>
      </c>
      <c r="H1820" t="str">
        <f t="shared" si="171"/>
        <v>2</v>
      </c>
      <c r="I1820" t="str">
        <f t="shared" si="172"/>
        <v>3</v>
      </c>
      <c r="J1820" t="str">
        <f t="shared" ca="1" si="173"/>
        <v/>
      </c>
    </row>
    <row r="1821" spans="1:10" ht="18.75" x14ac:dyDescent="0.25">
      <c r="A1821" s="10" t="s">
        <v>1290</v>
      </c>
      <c r="B1821">
        <f>IFERROR(COUNTIFS($A$1:A1821,"Câu "&amp;"*")-MID(A1821,5,FIND(".",A1821,1)-5),0)</f>
        <v>0</v>
      </c>
      <c r="C1821" t="b">
        <v>0</v>
      </c>
      <c r="E1821" t="str">
        <f t="shared" si="168"/>
        <v>Câu 441.</v>
      </c>
      <c r="F1821" t="str">
        <f t="shared" si="169"/>
        <v>1</v>
      </c>
      <c r="G1821" t="str">
        <f t="shared" si="170"/>
        <v>2</v>
      </c>
      <c r="H1821" t="str">
        <f t="shared" si="171"/>
        <v>3</v>
      </c>
      <c r="I1821" t="str">
        <f t="shared" si="172"/>
        <v>4</v>
      </c>
      <c r="J1821" t="str">
        <f t="shared" ca="1" si="173"/>
        <v>1</v>
      </c>
    </row>
    <row r="1822" spans="1:10" ht="18.75" x14ac:dyDescent="0.25">
      <c r="A1822" s="11" t="s">
        <v>2599</v>
      </c>
      <c r="B1822">
        <f>IFERROR(COUNTIFS($A$1:A1822,"Câu "&amp;"*")-MID(A1822,5,FIND(".",A1822,1)-5),0)</f>
        <v>0</v>
      </c>
      <c r="C1822" t="b">
        <v>1</v>
      </c>
      <c r="E1822" t="str">
        <f t="shared" si="168"/>
        <v>1</v>
      </c>
      <c r="F1822" t="str">
        <f t="shared" si="169"/>
        <v>2</v>
      </c>
      <c r="G1822" t="str">
        <f t="shared" si="170"/>
        <v>3</v>
      </c>
      <c r="H1822" t="str">
        <f t="shared" si="171"/>
        <v>4</v>
      </c>
      <c r="I1822" t="str">
        <f t="shared" si="172"/>
        <v/>
      </c>
      <c r="J1822" t="str">
        <f t="shared" ca="1" si="173"/>
        <v/>
      </c>
    </row>
    <row r="1823" spans="1:10" ht="18.75" x14ac:dyDescent="0.25">
      <c r="A1823" s="11" t="s">
        <v>2600</v>
      </c>
      <c r="B1823">
        <f>IFERROR(COUNTIFS($A$1:A1823,"Câu "&amp;"*")-MID(A1823,5,FIND(".",A1823,1)-5),0)</f>
        <v>0</v>
      </c>
      <c r="C1823" t="b">
        <v>0</v>
      </c>
      <c r="E1823" t="str">
        <f t="shared" si="168"/>
        <v>2</v>
      </c>
      <c r="F1823" t="str">
        <f t="shared" si="169"/>
        <v>3</v>
      </c>
      <c r="G1823" t="str">
        <f t="shared" si="170"/>
        <v>4</v>
      </c>
      <c r="H1823" t="str">
        <f t="shared" si="171"/>
        <v/>
      </c>
      <c r="I1823" t="str">
        <f t="shared" si="172"/>
        <v>1</v>
      </c>
      <c r="J1823" t="str">
        <f t="shared" ca="1" si="173"/>
        <v/>
      </c>
    </row>
    <row r="1824" spans="1:10" ht="18.75" x14ac:dyDescent="0.25">
      <c r="A1824" s="11" t="s">
        <v>2611</v>
      </c>
      <c r="B1824">
        <f>IFERROR(COUNTIFS($A$1:A1824,"Câu "&amp;"*")-MID(A1824,5,FIND(".",A1824,1)-5),0)</f>
        <v>0</v>
      </c>
      <c r="C1824" t="b">
        <v>0</v>
      </c>
      <c r="E1824" t="str">
        <f t="shared" si="168"/>
        <v>3</v>
      </c>
      <c r="F1824" t="str">
        <f t="shared" si="169"/>
        <v>4</v>
      </c>
      <c r="G1824" t="str">
        <f t="shared" si="170"/>
        <v>Câu 442.</v>
      </c>
      <c r="H1824" t="str">
        <f t="shared" si="171"/>
        <v>1</v>
      </c>
      <c r="I1824" t="str">
        <f t="shared" si="172"/>
        <v>2</v>
      </c>
      <c r="J1824" t="str">
        <f t="shared" ca="1" si="173"/>
        <v/>
      </c>
    </row>
    <row r="1825" spans="1:10" ht="18.75" x14ac:dyDescent="0.25">
      <c r="A1825" s="11" t="s">
        <v>2623</v>
      </c>
      <c r="B1825">
        <f>IFERROR(COUNTIFS($A$1:A1825,"Câu "&amp;"*")-MID(A1825,5,FIND(".",A1825,1)-5),0)</f>
        <v>0</v>
      </c>
      <c r="C1825" t="b">
        <v>0</v>
      </c>
      <c r="E1825" t="str">
        <f t="shared" si="168"/>
        <v>4</v>
      </c>
      <c r="F1825" t="str">
        <f t="shared" si="169"/>
        <v>Câu 442.</v>
      </c>
      <c r="G1825" t="str">
        <f t="shared" si="170"/>
        <v>1</v>
      </c>
      <c r="H1825" t="str">
        <f t="shared" si="171"/>
        <v>2</v>
      </c>
      <c r="I1825" t="str">
        <f t="shared" si="172"/>
        <v>3</v>
      </c>
      <c r="J1825" t="str">
        <f t="shared" ca="1" si="173"/>
        <v/>
      </c>
    </row>
    <row r="1826" spans="1:10" ht="18.75" x14ac:dyDescent="0.25">
      <c r="A1826" s="10" t="s">
        <v>1291</v>
      </c>
      <c r="B1826">
        <f>IFERROR(COUNTIFS($A$1:A1826,"Câu "&amp;"*")-MID(A1826,5,FIND(".",A1826,1)-5),0)</f>
        <v>0</v>
      </c>
      <c r="C1826" t="b">
        <v>0</v>
      </c>
      <c r="E1826" t="str">
        <f t="shared" si="168"/>
        <v>Câu 442.</v>
      </c>
      <c r="F1826" t="str">
        <f t="shared" si="169"/>
        <v>1</v>
      </c>
      <c r="G1826" t="str">
        <f t="shared" si="170"/>
        <v>2</v>
      </c>
      <c r="H1826" t="str">
        <f t="shared" si="171"/>
        <v>3</v>
      </c>
      <c r="I1826" t="str">
        <f t="shared" si="172"/>
        <v>4</v>
      </c>
      <c r="J1826" t="str">
        <f t="shared" ca="1" si="173"/>
        <v>1</v>
      </c>
    </row>
    <row r="1827" spans="1:10" ht="18.75" x14ac:dyDescent="0.25">
      <c r="A1827" s="11" t="s">
        <v>2607</v>
      </c>
      <c r="B1827">
        <f>IFERROR(COUNTIFS($A$1:A1827,"Câu "&amp;"*")-MID(A1827,5,FIND(".",A1827,1)-5),0)</f>
        <v>0</v>
      </c>
      <c r="C1827" t="b">
        <v>1</v>
      </c>
      <c r="E1827" t="str">
        <f t="shared" si="168"/>
        <v>1</v>
      </c>
      <c r="F1827" t="str">
        <f t="shared" si="169"/>
        <v>2</v>
      </c>
      <c r="G1827" t="str">
        <f t="shared" si="170"/>
        <v>3</v>
      </c>
      <c r="H1827" t="str">
        <f t="shared" si="171"/>
        <v>4</v>
      </c>
      <c r="I1827" t="str">
        <f t="shared" si="172"/>
        <v/>
      </c>
      <c r="J1827" t="str">
        <f t="shared" ca="1" si="173"/>
        <v/>
      </c>
    </row>
    <row r="1828" spans="1:10" ht="18.75" x14ac:dyDescent="0.25">
      <c r="A1828" s="11" t="s">
        <v>2608</v>
      </c>
      <c r="B1828">
        <f>IFERROR(COUNTIFS($A$1:A1828,"Câu "&amp;"*")-MID(A1828,5,FIND(".",A1828,1)-5),0)</f>
        <v>0</v>
      </c>
      <c r="C1828" t="b">
        <v>0</v>
      </c>
      <c r="E1828" t="str">
        <f t="shared" si="168"/>
        <v>2</v>
      </c>
      <c r="F1828" t="str">
        <f t="shared" si="169"/>
        <v>3</v>
      </c>
      <c r="G1828" t="str">
        <f t="shared" si="170"/>
        <v>4</v>
      </c>
      <c r="H1828" t="str">
        <f t="shared" si="171"/>
        <v/>
      </c>
      <c r="I1828" t="str">
        <f t="shared" si="172"/>
        <v>1</v>
      </c>
      <c r="J1828" t="str">
        <f t="shared" ca="1" si="173"/>
        <v/>
      </c>
    </row>
    <row r="1829" spans="1:10" ht="18.75" x14ac:dyDescent="0.25">
      <c r="A1829" s="11" t="s">
        <v>2609</v>
      </c>
      <c r="B1829">
        <f>IFERROR(COUNTIFS($A$1:A1829,"Câu "&amp;"*")-MID(A1829,5,FIND(".",A1829,1)-5),0)</f>
        <v>0</v>
      </c>
      <c r="C1829" t="b">
        <v>0</v>
      </c>
      <c r="E1829" t="str">
        <f t="shared" si="168"/>
        <v>3</v>
      </c>
      <c r="F1829" t="str">
        <f t="shared" si="169"/>
        <v>4</v>
      </c>
      <c r="G1829" t="str">
        <f t="shared" si="170"/>
        <v>Câu 443.</v>
      </c>
      <c r="H1829" t="str">
        <f t="shared" si="171"/>
        <v>1</v>
      </c>
      <c r="I1829" t="str">
        <f t="shared" si="172"/>
        <v>2</v>
      </c>
      <c r="J1829" t="str">
        <f t="shared" ca="1" si="173"/>
        <v/>
      </c>
    </row>
    <row r="1830" spans="1:10" ht="18.75" x14ac:dyDescent="0.25">
      <c r="A1830" s="11" t="s">
        <v>2606</v>
      </c>
      <c r="B1830">
        <f>IFERROR(COUNTIFS($A$1:A1830,"Câu "&amp;"*")-MID(A1830,5,FIND(".",A1830,1)-5),0)</f>
        <v>0</v>
      </c>
      <c r="C1830" t="b">
        <v>0</v>
      </c>
      <c r="E1830" t="str">
        <f t="shared" si="168"/>
        <v>4</v>
      </c>
      <c r="F1830" t="str">
        <f t="shared" si="169"/>
        <v>Câu 443.</v>
      </c>
      <c r="G1830" t="str">
        <f t="shared" si="170"/>
        <v>1</v>
      </c>
      <c r="H1830" t="str">
        <f t="shared" si="171"/>
        <v>2</v>
      </c>
      <c r="I1830" t="str">
        <f t="shared" si="172"/>
        <v>3</v>
      </c>
      <c r="J1830" t="str">
        <f t="shared" ca="1" si="173"/>
        <v/>
      </c>
    </row>
    <row r="1831" spans="1:10" ht="18.75" x14ac:dyDescent="0.25">
      <c r="A1831" s="10" t="s">
        <v>1292</v>
      </c>
      <c r="B1831">
        <f>IFERROR(COUNTIFS($A$1:A1831,"Câu "&amp;"*")-MID(A1831,5,FIND(".",A1831,1)-5),0)</f>
        <v>0</v>
      </c>
      <c r="C1831" t="b">
        <v>0</v>
      </c>
      <c r="E1831" t="str">
        <f t="shared" si="168"/>
        <v>Câu 443.</v>
      </c>
      <c r="F1831" t="str">
        <f t="shared" si="169"/>
        <v>1</v>
      </c>
      <c r="G1831" t="str">
        <f t="shared" si="170"/>
        <v>2</v>
      </c>
      <c r="H1831" t="str">
        <f t="shared" si="171"/>
        <v>3</v>
      </c>
      <c r="I1831" t="str">
        <f t="shared" si="172"/>
        <v/>
      </c>
      <c r="J1831" t="str">
        <f t="shared" ca="1" si="173"/>
        <v>3</v>
      </c>
    </row>
    <row r="1832" spans="1:10" ht="18.75" x14ac:dyDescent="0.25">
      <c r="A1832" s="11" t="s">
        <v>2603</v>
      </c>
      <c r="B1832">
        <f>IFERROR(COUNTIFS($A$1:A1832,"Câu "&amp;"*")-MID(A1832,5,FIND(".",A1832,1)-5),0)</f>
        <v>0</v>
      </c>
      <c r="C1832" t="b">
        <v>0</v>
      </c>
      <c r="E1832" t="str">
        <f t="shared" si="168"/>
        <v>1</v>
      </c>
      <c r="F1832" t="str">
        <f t="shared" si="169"/>
        <v>2</v>
      </c>
      <c r="G1832" t="str">
        <f t="shared" si="170"/>
        <v>3</v>
      </c>
      <c r="H1832" t="str">
        <f t="shared" si="171"/>
        <v/>
      </c>
      <c r="I1832" t="str">
        <f t="shared" si="172"/>
        <v>1</v>
      </c>
      <c r="J1832" t="str">
        <f t="shared" ca="1" si="173"/>
        <v/>
      </c>
    </row>
    <row r="1833" spans="1:10" ht="18.75" x14ac:dyDescent="0.25">
      <c r="A1833" s="11" t="s">
        <v>2600</v>
      </c>
      <c r="B1833">
        <f>IFERROR(COUNTIFS($A$1:A1833,"Câu "&amp;"*")-MID(A1833,5,FIND(".",A1833,1)-5),0)</f>
        <v>0</v>
      </c>
      <c r="C1833" t="b">
        <v>0</v>
      </c>
      <c r="E1833" t="str">
        <f t="shared" si="168"/>
        <v>2</v>
      </c>
      <c r="F1833" t="str">
        <f t="shared" si="169"/>
        <v>3</v>
      </c>
      <c r="G1833" t="str">
        <f t="shared" si="170"/>
        <v>Câu 444.</v>
      </c>
      <c r="H1833" t="str">
        <f t="shared" si="171"/>
        <v>1</v>
      </c>
      <c r="I1833" t="str">
        <f t="shared" si="172"/>
        <v>2</v>
      </c>
      <c r="J1833" t="str">
        <f t="shared" ca="1" si="173"/>
        <v/>
      </c>
    </row>
    <row r="1834" spans="1:10" ht="18.75" x14ac:dyDescent="0.25">
      <c r="A1834" s="11" t="s">
        <v>2610</v>
      </c>
      <c r="B1834">
        <f>IFERROR(COUNTIFS($A$1:A1834,"Câu "&amp;"*")-MID(A1834,5,FIND(".",A1834,1)-5),0)</f>
        <v>0</v>
      </c>
      <c r="C1834" t="b">
        <v>1</v>
      </c>
      <c r="E1834" t="str">
        <f t="shared" si="168"/>
        <v>3</v>
      </c>
      <c r="F1834" t="str">
        <f t="shared" si="169"/>
        <v>Câu 444.</v>
      </c>
      <c r="G1834" t="str">
        <f t="shared" si="170"/>
        <v>1</v>
      </c>
      <c r="H1834" t="str">
        <f t="shared" si="171"/>
        <v>2</v>
      </c>
      <c r="I1834" t="str">
        <f t="shared" si="172"/>
        <v>3</v>
      </c>
      <c r="J1834" t="str">
        <f t="shared" ca="1" si="173"/>
        <v/>
      </c>
    </row>
    <row r="1835" spans="1:10" ht="18.75" x14ac:dyDescent="0.25">
      <c r="A1835" s="10" t="s">
        <v>1293</v>
      </c>
      <c r="B1835">
        <f>IFERROR(COUNTIFS($A$1:A1835,"Câu "&amp;"*")-MID(A1835,5,FIND(".",A1835,1)-5),0)</f>
        <v>0</v>
      </c>
      <c r="C1835" t="b">
        <v>0</v>
      </c>
      <c r="E1835" t="str">
        <f t="shared" si="168"/>
        <v>Câu 444.</v>
      </c>
      <c r="F1835" t="str">
        <f t="shared" si="169"/>
        <v>1</v>
      </c>
      <c r="G1835" t="str">
        <f t="shared" si="170"/>
        <v>2</v>
      </c>
      <c r="H1835" t="str">
        <f t="shared" si="171"/>
        <v>3</v>
      </c>
      <c r="I1835" t="str">
        <f t="shared" si="172"/>
        <v>4</v>
      </c>
      <c r="J1835" t="str">
        <f t="shared" ca="1" si="173"/>
        <v>3</v>
      </c>
    </row>
    <row r="1836" spans="1:10" ht="18.75" x14ac:dyDescent="0.25">
      <c r="A1836" s="11" t="s">
        <v>2603</v>
      </c>
      <c r="B1836">
        <f>IFERROR(COUNTIFS($A$1:A1836,"Câu "&amp;"*")-MID(A1836,5,FIND(".",A1836,1)-5),0)</f>
        <v>0</v>
      </c>
      <c r="C1836" t="b">
        <v>0</v>
      </c>
      <c r="E1836" t="str">
        <f t="shared" si="168"/>
        <v>1</v>
      </c>
      <c r="F1836" t="str">
        <f t="shared" si="169"/>
        <v>2</v>
      </c>
      <c r="G1836" t="str">
        <f t="shared" si="170"/>
        <v>3</v>
      </c>
      <c r="H1836" t="str">
        <f t="shared" si="171"/>
        <v>4</v>
      </c>
      <c r="I1836" t="str">
        <f t="shared" si="172"/>
        <v/>
      </c>
      <c r="J1836" t="str">
        <f t="shared" ca="1" si="173"/>
        <v/>
      </c>
    </row>
    <row r="1837" spans="1:10" ht="18.75" x14ac:dyDescent="0.25">
      <c r="A1837" s="11" t="s">
        <v>2600</v>
      </c>
      <c r="B1837">
        <f>IFERROR(COUNTIFS($A$1:A1837,"Câu "&amp;"*")-MID(A1837,5,FIND(".",A1837,1)-5),0)</f>
        <v>0</v>
      </c>
      <c r="C1837" t="b">
        <v>0</v>
      </c>
      <c r="E1837" t="str">
        <f t="shared" si="168"/>
        <v>2</v>
      </c>
      <c r="F1837" t="str">
        <f t="shared" si="169"/>
        <v>3</v>
      </c>
      <c r="G1837" t="str">
        <f t="shared" si="170"/>
        <v>4</v>
      </c>
      <c r="H1837" t="str">
        <f t="shared" si="171"/>
        <v/>
      </c>
      <c r="I1837" t="str">
        <f t="shared" si="172"/>
        <v>1</v>
      </c>
      <c r="J1837" t="str">
        <f t="shared" ca="1" si="173"/>
        <v/>
      </c>
    </row>
    <row r="1838" spans="1:10" ht="18.75" x14ac:dyDescent="0.25">
      <c r="A1838" s="11" t="s">
        <v>2628</v>
      </c>
      <c r="B1838">
        <f>IFERROR(COUNTIFS($A$1:A1838,"Câu "&amp;"*")-MID(A1838,5,FIND(".",A1838,1)-5),0)</f>
        <v>0</v>
      </c>
      <c r="C1838" t="b">
        <v>1</v>
      </c>
      <c r="E1838" t="str">
        <f t="shared" si="168"/>
        <v>3</v>
      </c>
      <c r="F1838" t="str">
        <f t="shared" si="169"/>
        <v>4</v>
      </c>
      <c r="G1838" t="str">
        <f t="shared" si="170"/>
        <v>Câu 445.</v>
      </c>
      <c r="H1838" t="str">
        <f t="shared" si="171"/>
        <v>1</v>
      </c>
      <c r="I1838" t="str">
        <f t="shared" si="172"/>
        <v>2</v>
      </c>
      <c r="J1838" t="str">
        <f t="shared" ca="1" si="173"/>
        <v/>
      </c>
    </row>
    <row r="1839" spans="1:10" ht="18.75" x14ac:dyDescent="0.25">
      <c r="A1839" s="11" t="s">
        <v>2678</v>
      </c>
      <c r="B1839">
        <f>IFERROR(COUNTIFS($A$1:A1839,"Câu "&amp;"*")-MID(A1839,5,FIND(".",A1839,1)-5),0)</f>
        <v>0</v>
      </c>
      <c r="C1839" t="b">
        <v>0</v>
      </c>
      <c r="E1839" t="str">
        <f t="shared" si="168"/>
        <v>4</v>
      </c>
      <c r="F1839" t="str">
        <f t="shared" si="169"/>
        <v>Câu 445.</v>
      </c>
      <c r="G1839" t="str">
        <f t="shared" si="170"/>
        <v>1</v>
      </c>
      <c r="H1839" t="str">
        <f t="shared" si="171"/>
        <v>2</v>
      </c>
      <c r="I1839" t="str">
        <f t="shared" si="172"/>
        <v>3</v>
      </c>
      <c r="J1839" t="str">
        <f t="shared" ca="1" si="173"/>
        <v/>
      </c>
    </row>
    <row r="1840" spans="1:10" ht="18.75" x14ac:dyDescent="0.25">
      <c r="A1840" s="10" t="s">
        <v>1294</v>
      </c>
      <c r="B1840">
        <f>IFERROR(COUNTIFS($A$1:A1840,"Câu "&amp;"*")-MID(A1840,5,FIND(".",A1840,1)-5),0)</f>
        <v>0</v>
      </c>
      <c r="C1840" t="b">
        <v>0</v>
      </c>
      <c r="E1840" t="str">
        <f t="shared" si="168"/>
        <v>Câu 445.</v>
      </c>
      <c r="F1840" t="str">
        <f t="shared" si="169"/>
        <v>1</v>
      </c>
      <c r="G1840" t="str">
        <f t="shared" si="170"/>
        <v>2</v>
      </c>
      <c r="H1840" t="str">
        <f t="shared" si="171"/>
        <v>3</v>
      </c>
      <c r="I1840" t="str">
        <f t="shared" si="172"/>
        <v/>
      </c>
      <c r="J1840" t="str">
        <f t="shared" ca="1" si="173"/>
        <v>1</v>
      </c>
    </row>
    <row r="1841" spans="1:10" ht="18.75" x14ac:dyDescent="0.25">
      <c r="A1841" s="11" t="s">
        <v>2703</v>
      </c>
      <c r="B1841">
        <f>IFERROR(COUNTIFS($A$1:A1841,"Câu "&amp;"*")-MID(A1841,5,FIND(".",A1841,1)-5),0)</f>
        <v>0</v>
      </c>
      <c r="C1841" t="b">
        <v>1</v>
      </c>
      <c r="E1841" t="str">
        <f t="shared" si="168"/>
        <v>1</v>
      </c>
      <c r="F1841" t="str">
        <f t="shared" si="169"/>
        <v>2</v>
      </c>
      <c r="G1841" t="str">
        <f t="shared" si="170"/>
        <v>3</v>
      </c>
      <c r="H1841" t="str">
        <f t="shared" si="171"/>
        <v/>
      </c>
      <c r="I1841" t="str">
        <f t="shared" si="172"/>
        <v>1</v>
      </c>
      <c r="J1841" t="str">
        <f t="shared" ca="1" si="173"/>
        <v/>
      </c>
    </row>
    <row r="1842" spans="1:10" ht="18.75" x14ac:dyDescent="0.25">
      <c r="A1842" s="11" t="s">
        <v>2704</v>
      </c>
      <c r="B1842">
        <f>IFERROR(COUNTIFS($A$1:A1842,"Câu "&amp;"*")-MID(A1842,5,FIND(".",A1842,1)-5),0)</f>
        <v>0</v>
      </c>
      <c r="C1842" t="b">
        <v>0</v>
      </c>
      <c r="E1842" t="str">
        <f t="shared" si="168"/>
        <v>2</v>
      </c>
      <c r="F1842" t="str">
        <f t="shared" si="169"/>
        <v>3</v>
      </c>
      <c r="G1842" t="str">
        <f t="shared" si="170"/>
        <v>Câu 446.</v>
      </c>
      <c r="H1842" t="str">
        <f t="shared" si="171"/>
        <v>1</v>
      </c>
      <c r="I1842" t="str">
        <f t="shared" si="172"/>
        <v>2</v>
      </c>
      <c r="J1842" t="str">
        <f t="shared" ca="1" si="173"/>
        <v/>
      </c>
    </row>
    <row r="1843" spans="1:10" ht="18.75" x14ac:dyDescent="0.25">
      <c r="A1843" s="11" t="s">
        <v>2705</v>
      </c>
      <c r="B1843">
        <f>IFERROR(COUNTIFS($A$1:A1843,"Câu "&amp;"*")-MID(A1843,5,FIND(".",A1843,1)-5),0)</f>
        <v>0</v>
      </c>
      <c r="C1843" t="b">
        <v>0</v>
      </c>
      <c r="E1843" t="str">
        <f t="shared" si="168"/>
        <v>3</v>
      </c>
      <c r="F1843" t="str">
        <f t="shared" si="169"/>
        <v>Câu 446.</v>
      </c>
      <c r="G1843" t="str">
        <f t="shared" si="170"/>
        <v>1</v>
      </c>
      <c r="H1843" t="str">
        <f t="shared" si="171"/>
        <v>2</v>
      </c>
      <c r="I1843" t="str">
        <f t="shared" si="172"/>
        <v>3</v>
      </c>
      <c r="J1843" t="str">
        <f t="shared" ca="1" si="173"/>
        <v/>
      </c>
    </row>
    <row r="1844" spans="1:10" ht="18.75" x14ac:dyDescent="0.25">
      <c r="A1844" s="10" t="s">
        <v>1298</v>
      </c>
      <c r="B1844">
        <f>IFERROR(COUNTIFS($A$1:A1844,"Câu "&amp;"*")-MID(A1844,5,FIND(".",A1844,1)-5),0)</f>
        <v>0</v>
      </c>
      <c r="C1844" t="b">
        <v>0</v>
      </c>
      <c r="E1844" t="str">
        <f t="shared" si="168"/>
        <v>Câu 446.</v>
      </c>
      <c r="F1844" t="str">
        <f t="shared" si="169"/>
        <v>1</v>
      </c>
      <c r="G1844" t="str">
        <f t="shared" si="170"/>
        <v>2</v>
      </c>
      <c r="H1844" t="str">
        <f t="shared" si="171"/>
        <v>3</v>
      </c>
      <c r="I1844" t="str">
        <f t="shared" si="172"/>
        <v>4</v>
      </c>
      <c r="J1844" t="str">
        <f t="shared" ca="1" si="173"/>
        <v>3</v>
      </c>
    </row>
    <row r="1845" spans="1:10" ht="18.75" x14ac:dyDescent="0.25">
      <c r="A1845" s="11" t="s">
        <v>2706</v>
      </c>
      <c r="B1845">
        <f>IFERROR(COUNTIFS($A$1:A1845,"Câu "&amp;"*")-MID(A1845,5,FIND(".",A1845,1)-5),0)</f>
        <v>0</v>
      </c>
      <c r="C1845" t="b">
        <v>0</v>
      </c>
      <c r="E1845" t="str">
        <f t="shared" si="168"/>
        <v>1</v>
      </c>
      <c r="F1845" t="str">
        <f t="shared" si="169"/>
        <v>2</v>
      </c>
      <c r="G1845" t="str">
        <f t="shared" si="170"/>
        <v>3</v>
      </c>
      <c r="H1845" t="str">
        <f t="shared" si="171"/>
        <v>4</v>
      </c>
      <c r="I1845" t="str">
        <f t="shared" si="172"/>
        <v/>
      </c>
      <c r="J1845" t="str">
        <f t="shared" ca="1" si="173"/>
        <v/>
      </c>
    </row>
    <row r="1846" spans="1:10" ht="18.75" x14ac:dyDescent="0.25">
      <c r="A1846" s="11" t="s">
        <v>2707</v>
      </c>
      <c r="B1846">
        <f>IFERROR(COUNTIFS($A$1:A1846,"Câu "&amp;"*")-MID(A1846,5,FIND(".",A1846,1)-5),0)</f>
        <v>0</v>
      </c>
      <c r="C1846" t="b">
        <v>0</v>
      </c>
      <c r="E1846" t="str">
        <f t="shared" si="168"/>
        <v>2</v>
      </c>
      <c r="F1846" t="str">
        <f t="shared" si="169"/>
        <v>3</v>
      </c>
      <c r="G1846" t="str">
        <f t="shared" si="170"/>
        <v>4</v>
      </c>
      <c r="H1846" t="str">
        <f t="shared" si="171"/>
        <v/>
      </c>
      <c r="I1846" t="str">
        <f t="shared" si="172"/>
        <v>1</v>
      </c>
      <c r="J1846" t="str">
        <f t="shared" ca="1" si="173"/>
        <v/>
      </c>
    </row>
    <row r="1847" spans="1:10" ht="18.75" x14ac:dyDescent="0.25">
      <c r="A1847" s="11" t="s">
        <v>2708</v>
      </c>
      <c r="B1847">
        <f>IFERROR(COUNTIFS($A$1:A1847,"Câu "&amp;"*")-MID(A1847,5,FIND(".",A1847,1)-5),0)</f>
        <v>0</v>
      </c>
      <c r="C1847" t="b">
        <v>1</v>
      </c>
      <c r="E1847" t="str">
        <f t="shared" si="168"/>
        <v>3</v>
      </c>
      <c r="F1847" t="str">
        <f t="shared" si="169"/>
        <v>4</v>
      </c>
      <c r="G1847" t="str">
        <f t="shared" si="170"/>
        <v>Câu 447.</v>
      </c>
      <c r="H1847" t="str">
        <f t="shared" si="171"/>
        <v>1</v>
      </c>
      <c r="I1847" t="str">
        <f t="shared" si="172"/>
        <v>2</v>
      </c>
      <c r="J1847" t="str">
        <f t="shared" ca="1" si="173"/>
        <v/>
      </c>
    </row>
    <row r="1848" spans="1:10" ht="18.75" x14ac:dyDescent="0.25">
      <c r="A1848" s="11" t="s">
        <v>2709</v>
      </c>
      <c r="B1848">
        <f>IFERROR(COUNTIFS($A$1:A1848,"Câu "&amp;"*")-MID(A1848,5,FIND(".",A1848,1)-5),0)</f>
        <v>0</v>
      </c>
      <c r="C1848" t="b">
        <v>0</v>
      </c>
      <c r="E1848" t="str">
        <f t="shared" si="168"/>
        <v>4</v>
      </c>
      <c r="F1848" t="str">
        <f t="shared" si="169"/>
        <v>Câu 447.</v>
      </c>
      <c r="G1848" t="str">
        <f t="shared" si="170"/>
        <v>1</v>
      </c>
      <c r="H1848" t="str">
        <f t="shared" si="171"/>
        <v>2</v>
      </c>
      <c r="I1848" t="str">
        <f t="shared" si="172"/>
        <v>3</v>
      </c>
      <c r="J1848" t="str">
        <f t="shared" ca="1" si="173"/>
        <v/>
      </c>
    </row>
    <row r="1849" spans="1:10" ht="18.75" x14ac:dyDescent="0.25">
      <c r="A1849" s="10" t="s">
        <v>1302</v>
      </c>
      <c r="B1849">
        <f>IFERROR(COUNTIFS($A$1:A1849,"Câu "&amp;"*")-MID(A1849,5,FIND(".",A1849,1)-5),0)</f>
        <v>0</v>
      </c>
      <c r="C1849" t="b">
        <v>0</v>
      </c>
      <c r="E1849" t="str">
        <f t="shared" si="168"/>
        <v>Câu 447.</v>
      </c>
      <c r="F1849" t="str">
        <f t="shared" si="169"/>
        <v>1</v>
      </c>
      <c r="G1849" t="str">
        <f t="shared" si="170"/>
        <v>2</v>
      </c>
      <c r="H1849" t="str">
        <f t="shared" si="171"/>
        <v>3</v>
      </c>
      <c r="I1849" t="str">
        <f t="shared" si="172"/>
        <v/>
      </c>
      <c r="J1849" t="str">
        <f t="shared" ca="1" si="173"/>
        <v>2</v>
      </c>
    </row>
    <row r="1850" spans="1:10" ht="18.75" x14ac:dyDescent="0.25">
      <c r="A1850" s="11" t="s">
        <v>2603</v>
      </c>
      <c r="B1850">
        <f>IFERROR(COUNTIFS($A$1:A1850,"Câu "&amp;"*")-MID(A1850,5,FIND(".",A1850,1)-5),0)</f>
        <v>0</v>
      </c>
      <c r="C1850" t="b">
        <v>0</v>
      </c>
      <c r="E1850" t="str">
        <f t="shared" si="168"/>
        <v>1</v>
      </c>
      <c r="F1850" t="str">
        <f t="shared" si="169"/>
        <v>2</v>
      </c>
      <c r="G1850" t="str">
        <f t="shared" si="170"/>
        <v>3</v>
      </c>
      <c r="H1850" t="str">
        <f t="shared" si="171"/>
        <v/>
      </c>
      <c r="I1850" t="str">
        <f t="shared" si="172"/>
        <v>1</v>
      </c>
      <c r="J1850" t="str">
        <f t="shared" ca="1" si="173"/>
        <v/>
      </c>
    </row>
    <row r="1851" spans="1:10" ht="18.75" x14ac:dyDescent="0.25">
      <c r="A1851" s="11" t="s">
        <v>2618</v>
      </c>
      <c r="B1851">
        <f>IFERROR(COUNTIFS($A$1:A1851,"Câu "&amp;"*")-MID(A1851,5,FIND(".",A1851,1)-5),0)</f>
        <v>0</v>
      </c>
      <c r="C1851" t="b">
        <v>1</v>
      </c>
      <c r="E1851" t="str">
        <f t="shared" si="168"/>
        <v>2</v>
      </c>
      <c r="F1851" t="str">
        <f t="shared" si="169"/>
        <v>3</v>
      </c>
      <c r="G1851" t="str">
        <f t="shared" si="170"/>
        <v>Câu 448.</v>
      </c>
      <c r="H1851" t="str">
        <f t="shared" si="171"/>
        <v>1</v>
      </c>
      <c r="I1851" t="str">
        <f t="shared" si="172"/>
        <v>2</v>
      </c>
      <c r="J1851" t="str">
        <f t="shared" ca="1" si="173"/>
        <v/>
      </c>
    </row>
    <row r="1852" spans="1:10" ht="18.75" x14ac:dyDescent="0.25">
      <c r="A1852" s="11" t="s">
        <v>2611</v>
      </c>
      <c r="B1852">
        <f>IFERROR(COUNTIFS($A$1:A1852,"Câu "&amp;"*")-MID(A1852,5,FIND(".",A1852,1)-5),0)</f>
        <v>0</v>
      </c>
      <c r="C1852" t="b">
        <v>0</v>
      </c>
      <c r="E1852" t="str">
        <f t="shared" si="168"/>
        <v>3</v>
      </c>
      <c r="F1852" t="str">
        <f t="shared" si="169"/>
        <v>Câu 448.</v>
      </c>
      <c r="G1852" t="str">
        <f t="shared" si="170"/>
        <v>1</v>
      </c>
      <c r="H1852" t="str">
        <f t="shared" si="171"/>
        <v>2</v>
      </c>
      <c r="I1852" t="str">
        <f t="shared" si="172"/>
        <v>3</v>
      </c>
      <c r="J1852" t="str">
        <f t="shared" ca="1" si="173"/>
        <v/>
      </c>
    </row>
    <row r="1853" spans="1:10" ht="18.75" x14ac:dyDescent="0.25">
      <c r="A1853" s="10" t="s">
        <v>1303</v>
      </c>
      <c r="B1853">
        <f>IFERROR(COUNTIFS($A$1:A1853,"Câu "&amp;"*")-MID(A1853,5,FIND(".",A1853,1)-5),0)</f>
        <v>0</v>
      </c>
      <c r="C1853" t="b">
        <v>0</v>
      </c>
      <c r="E1853" t="str">
        <f t="shared" si="168"/>
        <v>Câu 448.</v>
      </c>
      <c r="F1853" t="str">
        <f t="shared" si="169"/>
        <v>1</v>
      </c>
      <c r="G1853" t="str">
        <f t="shared" si="170"/>
        <v>2</v>
      </c>
      <c r="H1853" t="str">
        <f t="shared" si="171"/>
        <v>3</v>
      </c>
      <c r="I1853" t="str">
        <f t="shared" si="172"/>
        <v/>
      </c>
      <c r="J1853" t="str">
        <f t="shared" ca="1" si="173"/>
        <v>3</v>
      </c>
    </row>
    <row r="1854" spans="1:10" ht="18.75" x14ac:dyDescent="0.25">
      <c r="A1854" s="11" t="s">
        <v>2603</v>
      </c>
      <c r="B1854">
        <f>IFERROR(COUNTIFS($A$1:A1854,"Câu "&amp;"*")-MID(A1854,5,FIND(".",A1854,1)-5),0)</f>
        <v>0</v>
      </c>
      <c r="C1854" t="b">
        <v>0</v>
      </c>
      <c r="E1854" t="str">
        <f t="shared" si="168"/>
        <v>1</v>
      </c>
      <c r="F1854" t="str">
        <f t="shared" si="169"/>
        <v>2</v>
      </c>
      <c r="G1854" t="str">
        <f t="shared" si="170"/>
        <v>3</v>
      </c>
      <c r="H1854" t="str">
        <f t="shared" si="171"/>
        <v/>
      </c>
      <c r="I1854" t="str">
        <f t="shared" si="172"/>
        <v>1</v>
      </c>
      <c r="J1854" t="str">
        <f t="shared" ca="1" si="173"/>
        <v/>
      </c>
    </row>
    <row r="1855" spans="1:10" ht="18.75" x14ac:dyDescent="0.25">
      <c r="A1855" s="11" t="s">
        <v>2600</v>
      </c>
      <c r="B1855">
        <f>IFERROR(COUNTIFS($A$1:A1855,"Câu "&amp;"*")-MID(A1855,5,FIND(".",A1855,1)-5),0)</f>
        <v>0</v>
      </c>
      <c r="C1855" t="b">
        <v>0</v>
      </c>
      <c r="E1855" t="str">
        <f t="shared" si="168"/>
        <v>2</v>
      </c>
      <c r="F1855" t="str">
        <f t="shared" si="169"/>
        <v>3</v>
      </c>
      <c r="G1855" t="str">
        <f t="shared" si="170"/>
        <v>Câu 449.</v>
      </c>
      <c r="H1855" t="str">
        <f t="shared" si="171"/>
        <v>1</v>
      </c>
      <c r="I1855" t="str">
        <f t="shared" si="172"/>
        <v>2</v>
      </c>
      <c r="J1855" t="str">
        <f t="shared" ca="1" si="173"/>
        <v/>
      </c>
    </row>
    <row r="1856" spans="1:10" ht="18.75" x14ac:dyDescent="0.25">
      <c r="A1856" s="11" t="s">
        <v>2628</v>
      </c>
      <c r="B1856">
        <f>IFERROR(COUNTIFS($A$1:A1856,"Câu "&amp;"*")-MID(A1856,5,FIND(".",A1856,1)-5),0)</f>
        <v>0</v>
      </c>
      <c r="C1856" t="b">
        <v>1</v>
      </c>
      <c r="E1856" t="str">
        <f t="shared" si="168"/>
        <v>3</v>
      </c>
      <c r="F1856" t="str">
        <f t="shared" si="169"/>
        <v>Câu 449.</v>
      </c>
      <c r="G1856" t="str">
        <f t="shared" si="170"/>
        <v>1</v>
      </c>
      <c r="H1856" t="str">
        <f t="shared" si="171"/>
        <v>2</v>
      </c>
      <c r="I1856" t="str">
        <f t="shared" si="172"/>
        <v>3</v>
      </c>
      <c r="J1856" t="str">
        <f t="shared" ca="1" si="173"/>
        <v/>
      </c>
    </row>
    <row r="1857" spans="1:10" ht="18.75" x14ac:dyDescent="0.25">
      <c r="A1857" s="10" t="s">
        <v>1304</v>
      </c>
      <c r="B1857">
        <f>IFERROR(COUNTIFS($A$1:A1857,"Câu "&amp;"*")-MID(A1857,5,FIND(".",A1857,1)-5),0)</f>
        <v>0</v>
      </c>
      <c r="C1857" t="b">
        <v>0</v>
      </c>
      <c r="E1857" t="str">
        <f t="shared" si="168"/>
        <v>Câu 449.</v>
      </c>
      <c r="F1857" t="str">
        <f t="shared" si="169"/>
        <v>1</v>
      </c>
      <c r="G1857" t="str">
        <f t="shared" si="170"/>
        <v>2</v>
      </c>
      <c r="H1857" t="str">
        <f t="shared" si="171"/>
        <v>3</v>
      </c>
      <c r="I1857" t="str">
        <f t="shared" si="172"/>
        <v/>
      </c>
      <c r="J1857" t="str">
        <f t="shared" ca="1" si="173"/>
        <v>1</v>
      </c>
    </row>
    <row r="1858" spans="1:10" ht="18.75" x14ac:dyDescent="0.25">
      <c r="A1858" s="11" t="s">
        <v>2710</v>
      </c>
      <c r="B1858">
        <f>IFERROR(COUNTIFS($A$1:A1858,"Câu "&amp;"*")-MID(A1858,5,FIND(".",A1858,1)-5),0)</f>
        <v>0</v>
      </c>
      <c r="C1858" t="b">
        <v>1</v>
      </c>
      <c r="E1858" t="str">
        <f t="shared" si="168"/>
        <v>1</v>
      </c>
      <c r="F1858" t="str">
        <f t="shared" si="169"/>
        <v>2</v>
      </c>
      <c r="G1858" t="str">
        <f t="shared" si="170"/>
        <v>3</v>
      </c>
      <c r="H1858" t="str">
        <f t="shared" si="171"/>
        <v/>
      </c>
      <c r="I1858" t="str">
        <f t="shared" si="172"/>
        <v>1</v>
      </c>
      <c r="J1858" t="str">
        <f t="shared" ca="1" si="173"/>
        <v/>
      </c>
    </row>
    <row r="1859" spans="1:10" ht="18.75" x14ac:dyDescent="0.25">
      <c r="A1859" s="11" t="s">
        <v>2711</v>
      </c>
      <c r="B1859">
        <f>IFERROR(COUNTIFS($A$1:A1859,"Câu "&amp;"*")-MID(A1859,5,FIND(".",A1859,1)-5),0)</f>
        <v>0</v>
      </c>
      <c r="C1859" t="b">
        <v>0</v>
      </c>
      <c r="E1859" t="str">
        <f t="shared" ref="E1859:E1922" si="174">IF(LEFT(A1859,3)="Câu",LEFT(A1859,FIND(".",A1859,1)),LEFT(A1859,1))</f>
        <v>2</v>
      </c>
      <c r="F1859" t="str">
        <f t="shared" ref="F1859:F1922" si="175">IF(LEFT(A1860,3)="Câu",LEFT(A1860,FIND(".",A1860,1)),LEFT(A1860,1))</f>
        <v>3</v>
      </c>
      <c r="G1859" t="str">
        <f t="shared" ref="G1859:G1922" si="176">IF(LEFT(A1861,3)="Câu",LEFT(A1861,FIND(".",A1861,1)),LEFT(A1861,1))</f>
        <v>Câu 450.</v>
      </c>
      <c r="H1859" t="str">
        <f t="shared" ref="H1859:H1922" si="177">IF(LEFT(A1862,3)="Câu","",LEFT(A1862,1))</f>
        <v>1</v>
      </c>
      <c r="I1859" t="str">
        <f t="shared" ref="I1859:I1922" si="178">IF(LEFT(A1863,3)="Câu","",LEFT(A1863,1))</f>
        <v>2</v>
      </c>
      <c r="J1859" t="str">
        <f t="shared" ref="J1859:J1922" ca="1" si="179">IFERROR(VLOOKUP(TRUE,INDIRECT("C"&amp;MATCH(E1859,$E$1:$E$2471,0)&amp;":E"&amp;MATCH("Câu "&amp;VALUE(MID(E1859,5,LEN(E1859)-5))+1&amp;".",$E$1:$E$2471,0)),3,0),"")</f>
        <v/>
      </c>
    </row>
    <row r="1860" spans="1:10" ht="18.75" x14ac:dyDescent="0.25">
      <c r="A1860" s="11" t="s">
        <v>2620</v>
      </c>
      <c r="B1860">
        <f>IFERROR(COUNTIFS($A$1:A1860,"Câu "&amp;"*")-MID(A1860,5,FIND(".",A1860,1)-5),0)</f>
        <v>0</v>
      </c>
      <c r="C1860" t="b">
        <v>0</v>
      </c>
      <c r="E1860" t="str">
        <f t="shared" si="174"/>
        <v>3</v>
      </c>
      <c r="F1860" t="str">
        <f t="shared" si="175"/>
        <v>Câu 450.</v>
      </c>
      <c r="G1860" t="str">
        <f t="shared" si="176"/>
        <v>1</v>
      </c>
      <c r="H1860" t="str">
        <f t="shared" si="177"/>
        <v>2</v>
      </c>
      <c r="I1860" t="str">
        <f t="shared" si="178"/>
        <v>3</v>
      </c>
      <c r="J1860" t="str">
        <f t="shared" ca="1" si="179"/>
        <v/>
      </c>
    </row>
    <row r="1861" spans="1:10" ht="18.75" x14ac:dyDescent="0.25">
      <c r="A1861" s="10" t="s">
        <v>1306</v>
      </c>
      <c r="B1861">
        <f>IFERROR(COUNTIFS($A$1:A1861,"Câu "&amp;"*")-MID(A1861,5,FIND(".",A1861,1)-5),0)</f>
        <v>0</v>
      </c>
      <c r="C1861" t="b">
        <v>0</v>
      </c>
      <c r="E1861" t="str">
        <f t="shared" si="174"/>
        <v>Câu 450.</v>
      </c>
      <c r="F1861" t="str">
        <f t="shared" si="175"/>
        <v>1</v>
      </c>
      <c r="G1861" t="str">
        <f t="shared" si="176"/>
        <v>2</v>
      </c>
      <c r="H1861" t="str">
        <f t="shared" si="177"/>
        <v>3</v>
      </c>
      <c r="I1861" t="str">
        <f t="shared" si="178"/>
        <v>4</v>
      </c>
      <c r="J1861" t="str">
        <f t="shared" ca="1" si="179"/>
        <v>1</v>
      </c>
    </row>
    <row r="1862" spans="1:10" ht="18.75" x14ac:dyDescent="0.25">
      <c r="A1862" s="11" t="s">
        <v>2599</v>
      </c>
      <c r="B1862">
        <f>IFERROR(COUNTIFS($A$1:A1862,"Câu "&amp;"*")-MID(A1862,5,FIND(".",A1862,1)-5),0)</f>
        <v>0</v>
      </c>
      <c r="C1862" t="b">
        <v>1</v>
      </c>
      <c r="E1862" t="str">
        <f t="shared" si="174"/>
        <v>1</v>
      </c>
      <c r="F1862" t="str">
        <f t="shared" si="175"/>
        <v>2</v>
      </c>
      <c r="G1862" t="str">
        <f t="shared" si="176"/>
        <v>3</v>
      </c>
      <c r="H1862" t="str">
        <f t="shared" si="177"/>
        <v>4</v>
      </c>
      <c r="I1862" t="str">
        <f t="shared" si="178"/>
        <v/>
      </c>
      <c r="J1862" t="str">
        <f t="shared" ca="1" si="179"/>
        <v/>
      </c>
    </row>
    <row r="1863" spans="1:10" ht="18.75" x14ac:dyDescent="0.25">
      <c r="A1863" s="11" t="s">
        <v>2600</v>
      </c>
      <c r="B1863">
        <f>IFERROR(COUNTIFS($A$1:A1863,"Câu "&amp;"*")-MID(A1863,5,FIND(".",A1863,1)-5),0)</f>
        <v>0</v>
      </c>
      <c r="C1863" t="b">
        <v>0</v>
      </c>
      <c r="E1863" t="str">
        <f t="shared" si="174"/>
        <v>2</v>
      </c>
      <c r="F1863" t="str">
        <f t="shared" si="175"/>
        <v>3</v>
      </c>
      <c r="G1863" t="str">
        <f t="shared" si="176"/>
        <v>4</v>
      </c>
      <c r="H1863" t="str">
        <f t="shared" si="177"/>
        <v/>
      </c>
      <c r="I1863" t="str">
        <f t="shared" si="178"/>
        <v>1</v>
      </c>
      <c r="J1863" t="str">
        <f t="shared" ca="1" si="179"/>
        <v/>
      </c>
    </row>
    <row r="1864" spans="1:10" ht="18.75" x14ac:dyDescent="0.25">
      <c r="A1864" s="11" t="s">
        <v>2622</v>
      </c>
      <c r="B1864">
        <f>IFERROR(COUNTIFS($A$1:A1864,"Câu "&amp;"*")-MID(A1864,5,FIND(".",A1864,1)-5),0)</f>
        <v>0</v>
      </c>
      <c r="C1864" t="b">
        <v>0</v>
      </c>
      <c r="E1864" t="str">
        <f t="shared" si="174"/>
        <v>3</v>
      </c>
      <c r="F1864" t="str">
        <f t="shared" si="175"/>
        <v>4</v>
      </c>
      <c r="G1864" t="str">
        <f t="shared" si="176"/>
        <v>Câu 451.</v>
      </c>
      <c r="H1864" t="str">
        <f t="shared" si="177"/>
        <v>1</v>
      </c>
      <c r="I1864" t="str">
        <f t="shared" si="178"/>
        <v>2</v>
      </c>
      <c r="J1864" t="str">
        <f t="shared" ca="1" si="179"/>
        <v/>
      </c>
    </row>
    <row r="1865" spans="1:10" ht="18.75" x14ac:dyDescent="0.25">
      <c r="A1865" s="11" t="s">
        <v>2679</v>
      </c>
      <c r="B1865">
        <f>IFERROR(COUNTIFS($A$1:A1865,"Câu "&amp;"*")-MID(A1865,5,FIND(".",A1865,1)-5),0)</f>
        <v>0</v>
      </c>
      <c r="C1865" t="b">
        <v>0</v>
      </c>
      <c r="E1865" t="str">
        <f t="shared" si="174"/>
        <v>4</v>
      </c>
      <c r="F1865" t="str">
        <f t="shared" si="175"/>
        <v>Câu 451.</v>
      </c>
      <c r="G1865" t="str">
        <f t="shared" si="176"/>
        <v>1</v>
      </c>
      <c r="H1865" t="str">
        <f t="shared" si="177"/>
        <v>2</v>
      </c>
      <c r="I1865" t="str">
        <f t="shared" si="178"/>
        <v>3</v>
      </c>
      <c r="J1865" t="str">
        <f t="shared" ca="1" si="179"/>
        <v/>
      </c>
    </row>
    <row r="1866" spans="1:10" ht="18.75" x14ac:dyDescent="0.25">
      <c r="A1866" s="10" t="s">
        <v>1307</v>
      </c>
      <c r="B1866">
        <f>IFERROR(COUNTIFS($A$1:A1866,"Câu "&amp;"*")-MID(A1866,5,FIND(".",A1866,1)-5),0)</f>
        <v>0</v>
      </c>
      <c r="C1866" t="b">
        <v>0</v>
      </c>
      <c r="E1866" t="str">
        <f t="shared" si="174"/>
        <v>Câu 451.</v>
      </c>
      <c r="F1866" t="str">
        <f t="shared" si="175"/>
        <v>1</v>
      </c>
      <c r="G1866" t="str">
        <f t="shared" si="176"/>
        <v>2</v>
      </c>
      <c r="H1866" t="str">
        <f t="shared" si="177"/>
        <v>3</v>
      </c>
      <c r="I1866" t="str">
        <f t="shared" si="178"/>
        <v>4</v>
      </c>
      <c r="J1866" t="str">
        <f t="shared" ca="1" si="179"/>
        <v>2</v>
      </c>
    </row>
    <row r="1867" spans="1:10" ht="18.75" x14ac:dyDescent="0.25">
      <c r="A1867" s="11" t="s">
        <v>2603</v>
      </c>
      <c r="B1867">
        <f>IFERROR(COUNTIFS($A$1:A1867,"Câu "&amp;"*")-MID(A1867,5,FIND(".",A1867,1)-5),0)</f>
        <v>0</v>
      </c>
      <c r="C1867" t="b">
        <v>0</v>
      </c>
      <c r="E1867" t="str">
        <f t="shared" si="174"/>
        <v>1</v>
      </c>
      <c r="F1867" t="str">
        <f t="shared" si="175"/>
        <v>2</v>
      </c>
      <c r="G1867" t="str">
        <f t="shared" si="176"/>
        <v>3</v>
      </c>
      <c r="H1867" t="str">
        <f t="shared" si="177"/>
        <v>4</v>
      </c>
      <c r="I1867" t="str">
        <f t="shared" si="178"/>
        <v/>
      </c>
      <c r="J1867" t="str">
        <f t="shared" ca="1" si="179"/>
        <v/>
      </c>
    </row>
    <row r="1868" spans="1:10" ht="18.75" x14ac:dyDescent="0.25">
      <c r="A1868" s="11" t="s">
        <v>2618</v>
      </c>
      <c r="B1868">
        <f>IFERROR(COUNTIFS($A$1:A1868,"Câu "&amp;"*")-MID(A1868,5,FIND(".",A1868,1)-5),0)</f>
        <v>0</v>
      </c>
      <c r="C1868" t="b">
        <v>1</v>
      </c>
      <c r="E1868" t="str">
        <f t="shared" si="174"/>
        <v>2</v>
      </c>
      <c r="F1868" t="str">
        <f t="shared" si="175"/>
        <v>3</v>
      </c>
      <c r="G1868" t="str">
        <f t="shared" si="176"/>
        <v>4</v>
      </c>
      <c r="H1868" t="str">
        <f t="shared" si="177"/>
        <v/>
      </c>
      <c r="I1868" t="str">
        <f t="shared" si="178"/>
        <v>1</v>
      </c>
      <c r="J1868" t="str">
        <f t="shared" ca="1" si="179"/>
        <v/>
      </c>
    </row>
    <row r="1869" spans="1:10" ht="18.75" x14ac:dyDescent="0.25">
      <c r="A1869" s="11" t="s">
        <v>2622</v>
      </c>
      <c r="B1869">
        <f>IFERROR(COUNTIFS($A$1:A1869,"Câu "&amp;"*")-MID(A1869,5,FIND(".",A1869,1)-5),0)</f>
        <v>0</v>
      </c>
      <c r="C1869" t="b">
        <v>0</v>
      </c>
      <c r="E1869" t="str">
        <f t="shared" si="174"/>
        <v>3</v>
      </c>
      <c r="F1869" t="str">
        <f t="shared" si="175"/>
        <v>4</v>
      </c>
      <c r="G1869" t="str">
        <f t="shared" si="176"/>
        <v>Câu 452.</v>
      </c>
      <c r="H1869" t="str">
        <f t="shared" si="177"/>
        <v>1</v>
      </c>
      <c r="I1869" t="str">
        <f t="shared" si="178"/>
        <v>2</v>
      </c>
      <c r="J1869" t="str">
        <f t="shared" ca="1" si="179"/>
        <v/>
      </c>
    </row>
    <row r="1870" spans="1:10" ht="18.75" x14ac:dyDescent="0.25">
      <c r="A1870" s="11" t="s">
        <v>2679</v>
      </c>
      <c r="B1870">
        <f>IFERROR(COUNTIFS($A$1:A1870,"Câu "&amp;"*")-MID(A1870,5,FIND(".",A1870,1)-5),0)</f>
        <v>0</v>
      </c>
      <c r="C1870" t="b">
        <v>0</v>
      </c>
      <c r="E1870" t="str">
        <f t="shared" si="174"/>
        <v>4</v>
      </c>
      <c r="F1870" t="str">
        <f t="shared" si="175"/>
        <v>Câu 452.</v>
      </c>
      <c r="G1870" t="str">
        <f t="shared" si="176"/>
        <v>1</v>
      </c>
      <c r="H1870" t="str">
        <f t="shared" si="177"/>
        <v>2</v>
      </c>
      <c r="I1870" t="str">
        <f t="shared" si="178"/>
        <v>3</v>
      </c>
      <c r="J1870" t="str">
        <f t="shared" ca="1" si="179"/>
        <v/>
      </c>
    </row>
    <row r="1871" spans="1:10" ht="18.75" x14ac:dyDescent="0.25">
      <c r="A1871" s="10" t="s">
        <v>1308</v>
      </c>
      <c r="B1871">
        <f>IFERROR(COUNTIFS($A$1:A1871,"Câu "&amp;"*")-MID(A1871,5,FIND(".",A1871,1)-5),0)</f>
        <v>0</v>
      </c>
      <c r="C1871" t="b">
        <v>0</v>
      </c>
      <c r="E1871" t="str">
        <f t="shared" si="174"/>
        <v>Câu 452.</v>
      </c>
      <c r="F1871" t="str">
        <f t="shared" si="175"/>
        <v>1</v>
      </c>
      <c r="G1871" t="str">
        <f t="shared" si="176"/>
        <v>2</v>
      </c>
      <c r="H1871" t="str">
        <f t="shared" si="177"/>
        <v>3</v>
      </c>
      <c r="I1871" t="str">
        <f t="shared" si="178"/>
        <v/>
      </c>
      <c r="J1871" t="str">
        <f t="shared" ca="1" si="179"/>
        <v>2</v>
      </c>
    </row>
    <row r="1872" spans="1:10" ht="18.75" x14ac:dyDescent="0.25">
      <c r="A1872" s="11" t="s">
        <v>2603</v>
      </c>
      <c r="B1872">
        <f>IFERROR(COUNTIFS($A$1:A1872,"Câu "&amp;"*")-MID(A1872,5,FIND(".",A1872,1)-5),0)</f>
        <v>0</v>
      </c>
      <c r="C1872" t="b">
        <v>0</v>
      </c>
      <c r="E1872" t="str">
        <f t="shared" si="174"/>
        <v>1</v>
      </c>
      <c r="F1872" t="str">
        <f t="shared" si="175"/>
        <v>2</v>
      </c>
      <c r="G1872" t="str">
        <f t="shared" si="176"/>
        <v>3</v>
      </c>
      <c r="H1872" t="str">
        <f t="shared" si="177"/>
        <v/>
      </c>
      <c r="I1872" t="str">
        <f t="shared" si="178"/>
        <v>1</v>
      </c>
      <c r="J1872" t="str">
        <f t="shared" ca="1" si="179"/>
        <v/>
      </c>
    </row>
    <row r="1873" spans="1:10" ht="18.75" x14ac:dyDescent="0.25">
      <c r="A1873" s="11" t="s">
        <v>2618</v>
      </c>
      <c r="B1873">
        <f>IFERROR(COUNTIFS($A$1:A1873,"Câu "&amp;"*")-MID(A1873,5,FIND(".",A1873,1)-5),0)</f>
        <v>0</v>
      </c>
      <c r="C1873" t="b">
        <v>1</v>
      </c>
      <c r="E1873" t="str">
        <f t="shared" si="174"/>
        <v>2</v>
      </c>
      <c r="F1873" t="str">
        <f t="shared" si="175"/>
        <v>3</v>
      </c>
      <c r="G1873" t="str">
        <f t="shared" si="176"/>
        <v>Câu 453.</v>
      </c>
      <c r="H1873" t="str">
        <f t="shared" si="177"/>
        <v>1</v>
      </c>
      <c r="I1873" t="str">
        <f t="shared" si="178"/>
        <v>2</v>
      </c>
      <c r="J1873" t="str">
        <f t="shared" ca="1" si="179"/>
        <v/>
      </c>
    </row>
    <row r="1874" spans="1:10" ht="18.75" x14ac:dyDescent="0.25">
      <c r="A1874" s="11" t="s">
        <v>2611</v>
      </c>
      <c r="B1874">
        <f>IFERROR(COUNTIFS($A$1:A1874,"Câu "&amp;"*")-MID(A1874,5,FIND(".",A1874,1)-5),0)</f>
        <v>0</v>
      </c>
      <c r="C1874" t="b">
        <v>0</v>
      </c>
      <c r="E1874" t="str">
        <f t="shared" si="174"/>
        <v>3</v>
      </c>
      <c r="F1874" t="str">
        <f t="shared" si="175"/>
        <v>Câu 453.</v>
      </c>
      <c r="G1874" t="str">
        <f t="shared" si="176"/>
        <v>1</v>
      </c>
      <c r="H1874" t="str">
        <f t="shared" si="177"/>
        <v>2</v>
      </c>
      <c r="I1874" t="str">
        <f t="shared" si="178"/>
        <v>3</v>
      </c>
      <c r="J1874" t="str">
        <f t="shared" ca="1" si="179"/>
        <v/>
      </c>
    </row>
    <row r="1875" spans="1:10" ht="18.75" x14ac:dyDescent="0.25">
      <c r="A1875" s="10" t="s">
        <v>1309</v>
      </c>
      <c r="B1875">
        <f>IFERROR(COUNTIFS($A$1:A1875,"Câu "&amp;"*")-MID(A1875,5,FIND(".",A1875,1)-5),0)</f>
        <v>0</v>
      </c>
      <c r="C1875" t="b">
        <v>0</v>
      </c>
      <c r="E1875" t="str">
        <f t="shared" si="174"/>
        <v>Câu 453.</v>
      </c>
      <c r="F1875" t="str">
        <f t="shared" si="175"/>
        <v>1</v>
      </c>
      <c r="G1875" t="str">
        <f t="shared" si="176"/>
        <v>2</v>
      </c>
      <c r="H1875" t="str">
        <f t="shared" si="177"/>
        <v>3</v>
      </c>
      <c r="I1875" t="str">
        <f t="shared" si="178"/>
        <v/>
      </c>
      <c r="J1875" t="str">
        <f t="shared" ca="1" si="179"/>
        <v>3</v>
      </c>
    </row>
    <row r="1876" spans="1:10" ht="18.75" x14ac:dyDescent="0.25">
      <c r="A1876" s="11" t="s">
        <v>2712</v>
      </c>
      <c r="B1876">
        <f>IFERROR(COUNTIFS($A$1:A1876,"Câu "&amp;"*")-MID(A1876,5,FIND(".",A1876,1)-5),0)</f>
        <v>0</v>
      </c>
      <c r="C1876" t="b">
        <v>0</v>
      </c>
      <c r="E1876" t="str">
        <f t="shared" si="174"/>
        <v>1</v>
      </c>
      <c r="F1876" t="str">
        <f t="shared" si="175"/>
        <v>2</v>
      </c>
      <c r="G1876" t="str">
        <f t="shared" si="176"/>
        <v>3</v>
      </c>
      <c r="H1876" t="str">
        <f t="shared" si="177"/>
        <v/>
      </c>
      <c r="I1876" t="str">
        <f t="shared" si="178"/>
        <v>1</v>
      </c>
      <c r="J1876" t="str">
        <f t="shared" ca="1" si="179"/>
        <v/>
      </c>
    </row>
    <row r="1877" spans="1:10" ht="18.75" x14ac:dyDescent="0.25">
      <c r="A1877" s="11" t="s">
        <v>2713</v>
      </c>
      <c r="B1877">
        <f>IFERROR(COUNTIFS($A$1:A1877,"Câu "&amp;"*")-MID(A1877,5,FIND(".",A1877,1)-5),0)</f>
        <v>0</v>
      </c>
      <c r="C1877" t="b">
        <v>0</v>
      </c>
      <c r="E1877" t="str">
        <f t="shared" si="174"/>
        <v>2</v>
      </c>
      <c r="F1877" t="str">
        <f t="shared" si="175"/>
        <v>3</v>
      </c>
      <c r="G1877" t="str">
        <f t="shared" si="176"/>
        <v>Câu 454.</v>
      </c>
      <c r="H1877" t="str">
        <f t="shared" si="177"/>
        <v>1</v>
      </c>
      <c r="I1877" t="str">
        <f t="shared" si="178"/>
        <v>2</v>
      </c>
      <c r="J1877" t="str">
        <f t="shared" ca="1" si="179"/>
        <v/>
      </c>
    </row>
    <row r="1878" spans="1:10" ht="18.75" x14ac:dyDescent="0.25">
      <c r="A1878" s="11" t="s">
        <v>2714</v>
      </c>
      <c r="B1878">
        <f>IFERROR(COUNTIFS($A$1:A1878,"Câu "&amp;"*")-MID(A1878,5,FIND(".",A1878,1)-5),0)</f>
        <v>0</v>
      </c>
      <c r="C1878" t="b">
        <v>1</v>
      </c>
      <c r="E1878" t="str">
        <f t="shared" si="174"/>
        <v>3</v>
      </c>
      <c r="F1878" t="str">
        <f t="shared" si="175"/>
        <v>Câu 454.</v>
      </c>
      <c r="G1878" t="str">
        <f t="shared" si="176"/>
        <v>1</v>
      </c>
      <c r="H1878" t="str">
        <f t="shared" si="177"/>
        <v>2</v>
      </c>
      <c r="I1878" t="str">
        <f t="shared" si="178"/>
        <v>3</v>
      </c>
      <c r="J1878" t="str">
        <f t="shared" ca="1" si="179"/>
        <v/>
      </c>
    </row>
    <row r="1879" spans="1:10" ht="18.75" x14ac:dyDescent="0.25">
      <c r="A1879" s="10" t="s">
        <v>1313</v>
      </c>
      <c r="B1879">
        <f>IFERROR(COUNTIFS($A$1:A1879,"Câu "&amp;"*")-MID(A1879,5,FIND(".",A1879,1)-5),0)</f>
        <v>0</v>
      </c>
      <c r="C1879" t="b">
        <v>0</v>
      </c>
      <c r="E1879" t="str">
        <f t="shared" si="174"/>
        <v>Câu 454.</v>
      </c>
      <c r="F1879" t="str">
        <f t="shared" si="175"/>
        <v>1</v>
      </c>
      <c r="G1879" t="str">
        <f t="shared" si="176"/>
        <v>2</v>
      </c>
      <c r="H1879" t="str">
        <f t="shared" si="177"/>
        <v>3</v>
      </c>
      <c r="I1879" t="str">
        <f t="shared" si="178"/>
        <v/>
      </c>
      <c r="J1879" t="str">
        <f t="shared" ca="1" si="179"/>
        <v>3</v>
      </c>
    </row>
    <row r="1880" spans="1:10" ht="18.75" x14ac:dyDescent="0.25">
      <c r="A1880" s="11" t="s">
        <v>2715</v>
      </c>
      <c r="B1880">
        <f>IFERROR(COUNTIFS($A$1:A1880,"Câu "&amp;"*")-MID(A1880,5,FIND(".",A1880,1)-5),0)</f>
        <v>0</v>
      </c>
      <c r="C1880" t="b">
        <v>0</v>
      </c>
      <c r="E1880" t="str">
        <f t="shared" si="174"/>
        <v>1</v>
      </c>
      <c r="F1880" t="str">
        <f t="shared" si="175"/>
        <v>2</v>
      </c>
      <c r="G1880" t="str">
        <f t="shared" si="176"/>
        <v>3</v>
      </c>
      <c r="H1880" t="str">
        <f t="shared" si="177"/>
        <v/>
      </c>
      <c r="I1880" t="str">
        <f t="shared" si="178"/>
        <v>1</v>
      </c>
      <c r="J1880" t="str">
        <f t="shared" ca="1" si="179"/>
        <v/>
      </c>
    </row>
    <row r="1881" spans="1:10" ht="18.75" x14ac:dyDescent="0.25">
      <c r="A1881" s="11" t="s">
        <v>2716</v>
      </c>
      <c r="B1881">
        <f>IFERROR(COUNTIFS($A$1:A1881,"Câu "&amp;"*")-MID(A1881,5,FIND(".",A1881,1)-5),0)</f>
        <v>0</v>
      </c>
      <c r="C1881" t="b">
        <v>0</v>
      </c>
      <c r="E1881" t="str">
        <f t="shared" si="174"/>
        <v>2</v>
      </c>
      <c r="F1881" t="str">
        <f t="shared" si="175"/>
        <v>3</v>
      </c>
      <c r="G1881" t="str">
        <f t="shared" si="176"/>
        <v>Câu 455.</v>
      </c>
      <c r="H1881" t="str">
        <f t="shared" si="177"/>
        <v>1</v>
      </c>
      <c r="I1881" t="str">
        <f t="shared" si="178"/>
        <v>2</v>
      </c>
      <c r="J1881" t="str">
        <f t="shared" ca="1" si="179"/>
        <v/>
      </c>
    </row>
    <row r="1882" spans="1:10" ht="18.75" x14ac:dyDescent="0.25">
      <c r="A1882" s="11" t="s">
        <v>2717</v>
      </c>
      <c r="B1882">
        <f>IFERROR(COUNTIFS($A$1:A1882,"Câu "&amp;"*")-MID(A1882,5,FIND(".",A1882,1)-5),0)</f>
        <v>0</v>
      </c>
      <c r="C1882" t="b">
        <v>1</v>
      </c>
      <c r="E1882" t="str">
        <f t="shared" si="174"/>
        <v>3</v>
      </c>
      <c r="F1882" t="str">
        <f t="shared" si="175"/>
        <v>Câu 455.</v>
      </c>
      <c r="G1882" t="str">
        <f t="shared" si="176"/>
        <v>1</v>
      </c>
      <c r="H1882" t="str">
        <f t="shared" si="177"/>
        <v>2</v>
      </c>
      <c r="I1882" t="str">
        <f t="shared" si="178"/>
        <v/>
      </c>
      <c r="J1882" t="str">
        <f t="shared" ca="1" si="179"/>
        <v/>
      </c>
    </row>
    <row r="1883" spans="1:10" ht="18.75" x14ac:dyDescent="0.25">
      <c r="A1883" s="10" t="s">
        <v>1317</v>
      </c>
      <c r="B1883">
        <f>IFERROR(COUNTIFS($A$1:A1883,"Câu "&amp;"*")-MID(A1883,5,FIND(".",A1883,1)-5),0)</f>
        <v>0</v>
      </c>
      <c r="C1883" t="b">
        <v>0</v>
      </c>
      <c r="E1883" t="str">
        <f t="shared" si="174"/>
        <v>Câu 455.</v>
      </c>
      <c r="F1883" t="str">
        <f t="shared" si="175"/>
        <v>1</v>
      </c>
      <c r="G1883" t="str">
        <f t="shared" si="176"/>
        <v>2</v>
      </c>
      <c r="H1883" t="str">
        <f t="shared" si="177"/>
        <v/>
      </c>
      <c r="I1883" t="str">
        <f t="shared" si="178"/>
        <v>1</v>
      </c>
      <c r="J1883" t="str">
        <f t="shared" ca="1" si="179"/>
        <v>1</v>
      </c>
    </row>
    <row r="1884" spans="1:10" ht="18.75" x14ac:dyDescent="0.25">
      <c r="A1884" s="11" t="s">
        <v>2718</v>
      </c>
      <c r="B1884">
        <f>IFERROR(COUNTIFS($A$1:A1884,"Câu "&amp;"*")-MID(A1884,5,FIND(".",A1884,1)-5),0)</f>
        <v>0</v>
      </c>
      <c r="C1884" t="b">
        <v>1</v>
      </c>
      <c r="E1884" t="str">
        <f t="shared" si="174"/>
        <v>1</v>
      </c>
      <c r="F1884" t="str">
        <f t="shared" si="175"/>
        <v>2</v>
      </c>
      <c r="G1884" t="str">
        <f t="shared" si="176"/>
        <v>Câu 456.</v>
      </c>
      <c r="H1884" t="str">
        <f t="shared" si="177"/>
        <v>1</v>
      </c>
      <c r="I1884" t="str">
        <f t="shared" si="178"/>
        <v>2</v>
      </c>
      <c r="J1884" t="str">
        <f t="shared" ca="1" si="179"/>
        <v/>
      </c>
    </row>
    <row r="1885" spans="1:10" ht="18.75" x14ac:dyDescent="0.25">
      <c r="A1885" s="11" t="s">
        <v>2719</v>
      </c>
      <c r="B1885">
        <f>IFERROR(COUNTIFS($A$1:A1885,"Câu "&amp;"*")-MID(A1885,5,FIND(".",A1885,1)-5),0)</f>
        <v>0</v>
      </c>
      <c r="C1885" t="b">
        <v>0</v>
      </c>
      <c r="E1885" t="str">
        <f t="shared" si="174"/>
        <v>2</v>
      </c>
      <c r="F1885" t="str">
        <f t="shared" si="175"/>
        <v>Câu 456.</v>
      </c>
      <c r="G1885" t="str">
        <f t="shared" si="176"/>
        <v>1</v>
      </c>
      <c r="H1885" t="str">
        <f t="shared" si="177"/>
        <v>2</v>
      </c>
      <c r="I1885" t="str">
        <f t="shared" si="178"/>
        <v>3</v>
      </c>
      <c r="J1885" t="str">
        <f t="shared" ca="1" si="179"/>
        <v/>
      </c>
    </row>
    <row r="1886" spans="1:10" ht="18.75" x14ac:dyDescent="0.25">
      <c r="A1886" s="10" t="s">
        <v>1318</v>
      </c>
      <c r="B1886">
        <f>IFERROR(COUNTIFS($A$1:A1886,"Câu "&amp;"*")-MID(A1886,5,FIND(".",A1886,1)-5),0)</f>
        <v>0</v>
      </c>
      <c r="C1886" t="b">
        <v>0</v>
      </c>
      <c r="E1886" t="str">
        <f t="shared" si="174"/>
        <v>Câu 456.</v>
      </c>
      <c r="F1886" t="str">
        <f t="shared" si="175"/>
        <v>1</v>
      </c>
      <c r="G1886" t="str">
        <f t="shared" si="176"/>
        <v>2</v>
      </c>
      <c r="H1886" t="str">
        <f t="shared" si="177"/>
        <v>3</v>
      </c>
      <c r="I1886" t="str">
        <f t="shared" si="178"/>
        <v/>
      </c>
      <c r="J1886" t="str">
        <f t="shared" ca="1" si="179"/>
        <v>2</v>
      </c>
    </row>
    <row r="1887" spans="1:10" ht="18.75" x14ac:dyDescent="0.25">
      <c r="A1887" s="11" t="s">
        <v>2603</v>
      </c>
      <c r="B1887">
        <f>IFERROR(COUNTIFS($A$1:A1887,"Câu "&amp;"*")-MID(A1887,5,FIND(".",A1887,1)-5),0)</f>
        <v>0</v>
      </c>
      <c r="C1887" t="b">
        <v>0</v>
      </c>
      <c r="E1887" t="str">
        <f t="shared" si="174"/>
        <v>1</v>
      </c>
      <c r="F1887" t="str">
        <f t="shared" si="175"/>
        <v>2</v>
      </c>
      <c r="G1887" t="str">
        <f t="shared" si="176"/>
        <v>3</v>
      </c>
      <c r="H1887" t="str">
        <f t="shared" si="177"/>
        <v/>
      </c>
      <c r="I1887" t="str">
        <f t="shared" si="178"/>
        <v>1</v>
      </c>
      <c r="J1887" t="str">
        <f t="shared" ca="1" si="179"/>
        <v/>
      </c>
    </row>
    <row r="1888" spans="1:10" ht="18.75" x14ac:dyDescent="0.25">
      <c r="A1888" s="11" t="s">
        <v>2618</v>
      </c>
      <c r="B1888">
        <f>IFERROR(COUNTIFS($A$1:A1888,"Câu "&amp;"*")-MID(A1888,5,FIND(".",A1888,1)-5),0)</f>
        <v>0</v>
      </c>
      <c r="C1888" t="b">
        <v>1</v>
      </c>
      <c r="E1888" t="str">
        <f t="shared" si="174"/>
        <v>2</v>
      </c>
      <c r="F1888" t="str">
        <f t="shared" si="175"/>
        <v>3</v>
      </c>
      <c r="G1888" t="str">
        <f t="shared" si="176"/>
        <v>Câu 457.</v>
      </c>
      <c r="H1888" t="str">
        <f t="shared" si="177"/>
        <v>1</v>
      </c>
      <c r="I1888" t="str">
        <f t="shared" si="178"/>
        <v>2</v>
      </c>
      <c r="J1888" t="str">
        <f t="shared" ca="1" si="179"/>
        <v/>
      </c>
    </row>
    <row r="1889" spans="1:10" ht="18.75" x14ac:dyDescent="0.25">
      <c r="A1889" s="11" t="s">
        <v>2611</v>
      </c>
      <c r="B1889">
        <f>IFERROR(COUNTIFS($A$1:A1889,"Câu "&amp;"*")-MID(A1889,5,FIND(".",A1889,1)-5),0)</f>
        <v>0</v>
      </c>
      <c r="C1889" t="b">
        <v>0</v>
      </c>
      <c r="E1889" t="str">
        <f t="shared" si="174"/>
        <v>3</v>
      </c>
      <c r="F1889" t="str">
        <f t="shared" si="175"/>
        <v>Câu 457.</v>
      </c>
      <c r="G1889" t="str">
        <f t="shared" si="176"/>
        <v>1</v>
      </c>
      <c r="H1889" t="str">
        <f t="shared" si="177"/>
        <v>2</v>
      </c>
      <c r="I1889" t="str">
        <f t="shared" si="178"/>
        <v>3</v>
      </c>
      <c r="J1889" t="str">
        <f t="shared" ca="1" si="179"/>
        <v/>
      </c>
    </row>
    <row r="1890" spans="1:10" ht="18.75" x14ac:dyDescent="0.25">
      <c r="A1890" s="10" t="s">
        <v>1319</v>
      </c>
      <c r="B1890">
        <f>IFERROR(COUNTIFS($A$1:A1890,"Câu "&amp;"*")-MID(A1890,5,FIND(".",A1890,1)-5),0)</f>
        <v>0</v>
      </c>
      <c r="C1890" t="b">
        <v>0</v>
      </c>
      <c r="E1890" t="str">
        <f t="shared" si="174"/>
        <v>Câu 457.</v>
      </c>
      <c r="F1890" t="str">
        <f t="shared" si="175"/>
        <v>1</v>
      </c>
      <c r="G1890" t="str">
        <f t="shared" si="176"/>
        <v>2</v>
      </c>
      <c r="H1890" t="str">
        <f t="shared" si="177"/>
        <v>3</v>
      </c>
      <c r="I1890" t="str">
        <f t="shared" si="178"/>
        <v>4</v>
      </c>
      <c r="J1890" t="str">
        <f t="shared" ca="1" si="179"/>
        <v>3</v>
      </c>
    </row>
    <row r="1891" spans="1:10" ht="18.75" x14ac:dyDescent="0.25">
      <c r="A1891" s="11" t="s">
        <v>2720</v>
      </c>
      <c r="B1891">
        <f>IFERROR(COUNTIFS($A$1:A1891,"Câu "&amp;"*")-MID(A1891,5,FIND(".",A1891,1)-5),0)</f>
        <v>0</v>
      </c>
      <c r="C1891" t="b">
        <v>0</v>
      </c>
      <c r="E1891" t="str">
        <f t="shared" si="174"/>
        <v>1</v>
      </c>
      <c r="F1891" t="str">
        <f t="shared" si="175"/>
        <v>2</v>
      </c>
      <c r="G1891" t="str">
        <f t="shared" si="176"/>
        <v>3</v>
      </c>
      <c r="H1891" t="str">
        <f t="shared" si="177"/>
        <v>4</v>
      </c>
      <c r="I1891" t="str">
        <f t="shared" si="178"/>
        <v/>
      </c>
      <c r="J1891" t="str">
        <f t="shared" ca="1" si="179"/>
        <v/>
      </c>
    </row>
    <row r="1892" spans="1:10" ht="18.75" x14ac:dyDescent="0.25">
      <c r="A1892" s="11" t="s">
        <v>2613</v>
      </c>
      <c r="B1892">
        <f>IFERROR(COUNTIFS($A$1:A1892,"Câu "&amp;"*")-MID(A1892,5,FIND(".",A1892,1)-5),0)</f>
        <v>0</v>
      </c>
      <c r="C1892" t="b">
        <v>0</v>
      </c>
      <c r="E1892" t="str">
        <f t="shared" si="174"/>
        <v>2</v>
      </c>
      <c r="F1892" t="str">
        <f t="shared" si="175"/>
        <v>3</v>
      </c>
      <c r="G1892" t="str">
        <f t="shared" si="176"/>
        <v>4</v>
      </c>
      <c r="H1892" t="str">
        <f t="shared" si="177"/>
        <v/>
      </c>
      <c r="I1892" t="str">
        <f t="shared" si="178"/>
        <v>1</v>
      </c>
      <c r="J1892" t="str">
        <f t="shared" ca="1" si="179"/>
        <v/>
      </c>
    </row>
    <row r="1893" spans="1:10" ht="18.75" x14ac:dyDescent="0.25">
      <c r="A1893" s="11" t="s">
        <v>2616</v>
      </c>
      <c r="B1893">
        <f>IFERROR(COUNTIFS($A$1:A1893,"Câu "&amp;"*")-MID(A1893,5,FIND(".",A1893,1)-5),0)</f>
        <v>0</v>
      </c>
      <c r="C1893" t="b">
        <v>1</v>
      </c>
      <c r="E1893" t="str">
        <f t="shared" si="174"/>
        <v>3</v>
      </c>
      <c r="F1893" t="str">
        <f t="shared" si="175"/>
        <v>4</v>
      </c>
      <c r="G1893" t="str">
        <f t="shared" si="176"/>
        <v>Câu 458.</v>
      </c>
      <c r="H1893" t="str">
        <f t="shared" si="177"/>
        <v>1</v>
      </c>
      <c r="I1893" t="str">
        <f t="shared" si="178"/>
        <v>2</v>
      </c>
      <c r="J1893" t="str">
        <f t="shared" ca="1" si="179"/>
        <v/>
      </c>
    </row>
    <row r="1894" spans="1:10" ht="18.75" x14ac:dyDescent="0.25">
      <c r="A1894" s="11" t="s">
        <v>2606</v>
      </c>
      <c r="B1894">
        <f>IFERROR(COUNTIFS($A$1:A1894,"Câu "&amp;"*")-MID(A1894,5,FIND(".",A1894,1)-5),0)</f>
        <v>0</v>
      </c>
      <c r="C1894" t="b">
        <v>0</v>
      </c>
      <c r="E1894" t="str">
        <f t="shared" si="174"/>
        <v>4</v>
      </c>
      <c r="F1894" t="str">
        <f t="shared" si="175"/>
        <v>Câu 458.</v>
      </c>
      <c r="G1894" t="str">
        <f t="shared" si="176"/>
        <v>1</v>
      </c>
      <c r="H1894" t="str">
        <f t="shared" si="177"/>
        <v>2</v>
      </c>
      <c r="I1894" t="str">
        <f t="shared" si="178"/>
        <v>3</v>
      </c>
      <c r="J1894" t="str">
        <f t="shared" ca="1" si="179"/>
        <v/>
      </c>
    </row>
    <row r="1895" spans="1:10" ht="18.75" x14ac:dyDescent="0.25">
      <c r="A1895" s="10" t="s">
        <v>1320</v>
      </c>
      <c r="B1895">
        <f>IFERROR(COUNTIFS($A$1:A1895,"Câu "&amp;"*")-MID(A1895,5,FIND(".",A1895,1)-5),0)</f>
        <v>0</v>
      </c>
      <c r="C1895" t="b">
        <v>0</v>
      </c>
      <c r="E1895" t="str">
        <f t="shared" si="174"/>
        <v>Câu 458.</v>
      </c>
      <c r="F1895" t="str">
        <f t="shared" si="175"/>
        <v>1</v>
      </c>
      <c r="G1895" t="str">
        <f t="shared" si="176"/>
        <v>2</v>
      </c>
      <c r="H1895" t="str">
        <f t="shared" si="177"/>
        <v>3</v>
      </c>
      <c r="I1895" t="str">
        <f t="shared" si="178"/>
        <v/>
      </c>
      <c r="J1895" t="str">
        <f t="shared" ca="1" si="179"/>
        <v>3</v>
      </c>
    </row>
    <row r="1896" spans="1:10" ht="18.75" x14ac:dyDescent="0.25">
      <c r="A1896" s="11" t="s">
        <v>2721</v>
      </c>
      <c r="B1896">
        <f>IFERROR(COUNTIFS($A$1:A1896,"Câu "&amp;"*")-MID(A1896,5,FIND(".",A1896,1)-5),0)</f>
        <v>0</v>
      </c>
      <c r="C1896" t="b">
        <v>0</v>
      </c>
      <c r="E1896" t="str">
        <f t="shared" si="174"/>
        <v>1</v>
      </c>
      <c r="F1896" t="str">
        <f t="shared" si="175"/>
        <v>2</v>
      </c>
      <c r="G1896" t="str">
        <f t="shared" si="176"/>
        <v>3</v>
      </c>
      <c r="H1896" t="str">
        <f t="shared" si="177"/>
        <v/>
      </c>
      <c r="I1896" t="str">
        <f t="shared" si="178"/>
        <v>1</v>
      </c>
      <c r="J1896" t="str">
        <f t="shared" ca="1" si="179"/>
        <v/>
      </c>
    </row>
    <row r="1897" spans="1:10" ht="18.75" x14ac:dyDescent="0.25">
      <c r="A1897" s="11" t="s">
        <v>2722</v>
      </c>
      <c r="B1897">
        <f>IFERROR(COUNTIFS($A$1:A1897,"Câu "&amp;"*")-MID(A1897,5,FIND(".",A1897,1)-5),0)</f>
        <v>0</v>
      </c>
      <c r="C1897" t="b">
        <v>0</v>
      </c>
      <c r="E1897" t="str">
        <f t="shared" si="174"/>
        <v>2</v>
      </c>
      <c r="F1897" t="str">
        <f t="shared" si="175"/>
        <v>3</v>
      </c>
      <c r="G1897" t="str">
        <f t="shared" si="176"/>
        <v>Câu 459.</v>
      </c>
      <c r="H1897" t="str">
        <f t="shared" si="177"/>
        <v>1</v>
      </c>
      <c r="I1897" t="str">
        <f t="shared" si="178"/>
        <v>2</v>
      </c>
      <c r="J1897" t="str">
        <f t="shared" ca="1" si="179"/>
        <v/>
      </c>
    </row>
    <row r="1898" spans="1:10" ht="18.75" x14ac:dyDescent="0.25">
      <c r="A1898" s="11" t="s">
        <v>2723</v>
      </c>
      <c r="B1898">
        <f>IFERROR(COUNTIFS($A$1:A1898,"Câu "&amp;"*")-MID(A1898,5,FIND(".",A1898,1)-5),0)</f>
        <v>0</v>
      </c>
      <c r="C1898" t="b">
        <v>1</v>
      </c>
      <c r="E1898" t="str">
        <f t="shared" si="174"/>
        <v>3</v>
      </c>
      <c r="F1898" t="str">
        <f t="shared" si="175"/>
        <v>Câu 459.</v>
      </c>
      <c r="G1898" t="str">
        <f t="shared" si="176"/>
        <v>1</v>
      </c>
      <c r="H1898" t="str">
        <f t="shared" si="177"/>
        <v>2</v>
      </c>
      <c r="I1898" t="str">
        <f t="shared" si="178"/>
        <v>3</v>
      </c>
      <c r="J1898" t="str">
        <f t="shared" ca="1" si="179"/>
        <v/>
      </c>
    </row>
    <row r="1899" spans="1:10" ht="18.75" x14ac:dyDescent="0.25">
      <c r="A1899" s="10" t="s">
        <v>1324</v>
      </c>
      <c r="B1899">
        <f>IFERROR(COUNTIFS($A$1:A1899,"Câu "&amp;"*")-MID(A1899,5,FIND(".",A1899,1)-5),0)</f>
        <v>0</v>
      </c>
      <c r="C1899" t="b">
        <v>0</v>
      </c>
      <c r="E1899" t="str">
        <f t="shared" si="174"/>
        <v>Câu 459.</v>
      </c>
      <c r="F1899" t="str">
        <f t="shared" si="175"/>
        <v>1</v>
      </c>
      <c r="G1899" t="str">
        <f t="shared" si="176"/>
        <v>2</v>
      </c>
      <c r="H1899" t="str">
        <f t="shared" si="177"/>
        <v>3</v>
      </c>
      <c r="I1899" t="str">
        <f t="shared" si="178"/>
        <v/>
      </c>
      <c r="J1899" t="str">
        <f t="shared" ca="1" si="179"/>
        <v>1</v>
      </c>
    </row>
    <row r="1900" spans="1:10" ht="18.75" x14ac:dyDescent="0.25">
      <c r="A1900" s="11" t="s">
        <v>2607</v>
      </c>
      <c r="B1900">
        <f>IFERROR(COUNTIFS($A$1:A1900,"Câu "&amp;"*")-MID(A1900,5,FIND(".",A1900,1)-5),0)</f>
        <v>0</v>
      </c>
      <c r="C1900" t="b">
        <v>1</v>
      </c>
      <c r="E1900" t="str">
        <f t="shared" si="174"/>
        <v>1</v>
      </c>
      <c r="F1900" t="str">
        <f t="shared" si="175"/>
        <v>2</v>
      </c>
      <c r="G1900" t="str">
        <f t="shared" si="176"/>
        <v>3</v>
      </c>
      <c r="H1900" t="str">
        <f t="shared" si="177"/>
        <v/>
      </c>
      <c r="I1900" t="str">
        <f t="shared" si="178"/>
        <v>1</v>
      </c>
      <c r="J1900" t="str">
        <f t="shared" ca="1" si="179"/>
        <v/>
      </c>
    </row>
    <row r="1901" spans="1:10" ht="18.75" x14ac:dyDescent="0.25">
      <c r="A1901" s="11" t="s">
        <v>2608</v>
      </c>
      <c r="B1901">
        <f>IFERROR(COUNTIFS($A$1:A1901,"Câu "&amp;"*")-MID(A1901,5,FIND(".",A1901,1)-5),0)</f>
        <v>0</v>
      </c>
      <c r="C1901" t="b">
        <v>0</v>
      </c>
      <c r="E1901" t="str">
        <f t="shared" si="174"/>
        <v>2</v>
      </c>
      <c r="F1901" t="str">
        <f t="shared" si="175"/>
        <v>3</v>
      </c>
      <c r="G1901" t="str">
        <f t="shared" si="176"/>
        <v>Câu 460.</v>
      </c>
      <c r="H1901" t="str">
        <f t="shared" si="177"/>
        <v>1</v>
      </c>
      <c r="I1901" t="str">
        <f t="shared" si="178"/>
        <v>2</v>
      </c>
      <c r="J1901" t="str">
        <f t="shared" ca="1" si="179"/>
        <v/>
      </c>
    </row>
    <row r="1902" spans="1:10" ht="18.75" x14ac:dyDescent="0.25">
      <c r="A1902" s="11" t="s">
        <v>2609</v>
      </c>
      <c r="B1902">
        <f>IFERROR(COUNTIFS($A$1:A1902,"Câu "&amp;"*")-MID(A1902,5,FIND(".",A1902,1)-5),0)</f>
        <v>0</v>
      </c>
      <c r="C1902" t="b">
        <v>0</v>
      </c>
      <c r="E1902" t="str">
        <f t="shared" si="174"/>
        <v>3</v>
      </c>
      <c r="F1902" t="str">
        <f t="shared" si="175"/>
        <v>Câu 460.</v>
      </c>
      <c r="G1902" t="str">
        <f t="shared" si="176"/>
        <v>1</v>
      </c>
      <c r="H1902" t="str">
        <f t="shared" si="177"/>
        <v>2</v>
      </c>
      <c r="I1902" t="str">
        <f t="shared" si="178"/>
        <v>3</v>
      </c>
      <c r="J1902" t="str">
        <f t="shared" ca="1" si="179"/>
        <v/>
      </c>
    </row>
    <row r="1903" spans="1:10" ht="18.75" x14ac:dyDescent="0.25">
      <c r="A1903" s="10" t="s">
        <v>1325</v>
      </c>
      <c r="B1903">
        <f>IFERROR(COUNTIFS($A$1:A1903,"Câu "&amp;"*")-MID(A1903,5,FIND(".",A1903,1)-5),0)</f>
        <v>0</v>
      </c>
      <c r="C1903" t="b">
        <v>0</v>
      </c>
      <c r="E1903" t="str">
        <f t="shared" si="174"/>
        <v>Câu 460.</v>
      </c>
      <c r="F1903" t="str">
        <f t="shared" si="175"/>
        <v>1</v>
      </c>
      <c r="G1903" t="str">
        <f t="shared" si="176"/>
        <v>2</v>
      </c>
      <c r="H1903" t="str">
        <f t="shared" si="177"/>
        <v>3</v>
      </c>
      <c r="I1903" t="str">
        <f t="shared" si="178"/>
        <v>4</v>
      </c>
      <c r="J1903" t="str">
        <f t="shared" ca="1" si="179"/>
        <v>1</v>
      </c>
    </row>
    <row r="1904" spans="1:10" ht="18.75" x14ac:dyDescent="0.25">
      <c r="A1904" s="11" t="s">
        <v>2724</v>
      </c>
      <c r="B1904">
        <f>IFERROR(COUNTIFS($A$1:A1904,"Câu "&amp;"*")-MID(A1904,5,FIND(".",A1904,1)-5),0)</f>
        <v>0</v>
      </c>
      <c r="C1904" t="b">
        <v>1</v>
      </c>
      <c r="E1904" t="str">
        <f t="shared" si="174"/>
        <v>1</v>
      </c>
      <c r="F1904" t="str">
        <f t="shared" si="175"/>
        <v>2</v>
      </c>
      <c r="G1904" t="str">
        <f t="shared" si="176"/>
        <v>3</v>
      </c>
      <c r="H1904" t="str">
        <f t="shared" si="177"/>
        <v>4</v>
      </c>
      <c r="I1904" t="str">
        <f t="shared" si="178"/>
        <v/>
      </c>
      <c r="J1904" t="str">
        <f t="shared" ca="1" si="179"/>
        <v/>
      </c>
    </row>
    <row r="1905" spans="1:10" ht="18.75" x14ac:dyDescent="0.25">
      <c r="A1905" s="11" t="s">
        <v>2725</v>
      </c>
      <c r="B1905">
        <f>IFERROR(COUNTIFS($A$1:A1905,"Câu "&amp;"*")-MID(A1905,5,FIND(".",A1905,1)-5),0)</f>
        <v>0</v>
      </c>
      <c r="C1905" t="b">
        <v>0</v>
      </c>
      <c r="E1905" t="str">
        <f t="shared" si="174"/>
        <v>2</v>
      </c>
      <c r="F1905" t="str">
        <f t="shared" si="175"/>
        <v>3</v>
      </c>
      <c r="G1905" t="str">
        <f t="shared" si="176"/>
        <v>4</v>
      </c>
      <c r="H1905" t="str">
        <f t="shared" si="177"/>
        <v/>
      </c>
      <c r="I1905" t="str">
        <f t="shared" si="178"/>
        <v>1</v>
      </c>
      <c r="J1905" t="str">
        <f t="shared" ca="1" si="179"/>
        <v/>
      </c>
    </row>
    <row r="1906" spans="1:10" ht="18.75" x14ac:dyDescent="0.25">
      <c r="A1906" s="11" t="s">
        <v>2726</v>
      </c>
      <c r="B1906">
        <f>IFERROR(COUNTIFS($A$1:A1906,"Câu "&amp;"*")-MID(A1906,5,FIND(".",A1906,1)-5),0)</f>
        <v>0</v>
      </c>
      <c r="C1906" t="b">
        <v>0</v>
      </c>
      <c r="E1906" t="str">
        <f t="shared" si="174"/>
        <v>3</v>
      </c>
      <c r="F1906" t="str">
        <f t="shared" si="175"/>
        <v>4</v>
      </c>
      <c r="G1906" t="str">
        <f t="shared" si="176"/>
        <v>Câu 461.</v>
      </c>
      <c r="H1906" t="str">
        <f t="shared" si="177"/>
        <v>1</v>
      </c>
      <c r="I1906" t="str">
        <f t="shared" si="178"/>
        <v>2</v>
      </c>
      <c r="J1906" t="str">
        <f t="shared" ca="1" si="179"/>
        <v/>
      </c>
    </row>
    <row r="1907" spans="1:10" ht="18.75" x14ac:dyDescent="0.25">
      <c r="A1907" s="11" t="s">
        <v>2727</v>
      </c>
      <c r="B1907">
        <f>IFERROR(COUNTIFS($A$1:A1907,"Câu "&amp;"*")-MID(A1907,5,FIND(".",A1907,1)-5),0)</f>
        <v>0</v>
      </c>
      <c r="C1907" t="b">
        <v>0</v>
      </c>
      <c r="E1907" t="str">
        <f t="shared" si="174"/>
        <v>4</v>
      </c>
      <c r="F1907" t="str">
        <f t="shared" si="175"/>
        <v>Câu 461.</v>
      </c>
      <c r="G1907" t="str">
        <f t="shared" si="176"/>
        <v>1</v>
      </c>
      <c r="H1907" t="str">
        <f t="shared" si="177"/>
        <v>2</v>
      </c>
      <c r="I1907" t="str">
        <f t="shared" si="178"/>
        <v/>
      </c>
      <c r="J1907" t="str">
        <f t="shared" ca="1" si="179"/>
        <v/>
      </c>
    </row>
    <row r="1908" spans="1:10" ht="409.5" x14ac:dyDescent="0.25">
      <c r="A1908" s="4" t="s">
        <v>1330</v>
      </c>
      <c r="B1908">
        <f>IFERROR(COUNTIFS($A$1:A1908,"Câu "&amp;"*")-MID(A1908,5,FIND(".",A1908,1)-5),0)</f>
        <v>0</v>
      </c>
      <c r="C1908" t="b">
        <v>0</v>
      </c>
      <c r="E1908" t="str">
        <f t="shared" si="174"/>
        <v>Câu 461.</v>
      </c>
      <c r="F1908" t="str">
        <f t="shared" si="175"/>
        <v>1</v>
      </c>
      <c r="G1908" t="str">
        <f t="shared" si="176"/>
        <v>2</v>
      </c>
      <c r="H1908" t="str">
        <f t="shared" si="177"/>
        <v/>
      </c>
      <c r="I1908" t="str">
        <f t="shared" si="178"/>
        <v>1</v>
      </c>
      <c r="J1908" t="str">
        <f t="shared" ca="1" si="179"/>
        <v>1</v>
      </c>
    </row>
    <row r="1909" spans="1:10" ht="18.75" x14ac:dyDescent="0.25">
      <c r="A1909" s="11" t="s">
        <v>2728</v>
      </c>
      <c r="B1909">
        <f>IFERROR(COUNTIFS($A$1:A1909,"Câu "&amp;"*")-MID(A1909,5,FIND(".",A1909,1)-5),0)</f>
        <v>0</v>
      </c>
      <c r="C1909" t="b">
        <v>1</v>
      </c>
      <c r="E1909" t="str">
        <f t="shared" si="174"/>
        <v>1</v>
      </c>
      <c r="F1909" t="str">
        <f t="shared" si="175"/>
        <v>2</v>
      </c>
      <c r="G1909" t="str">
        <f t="shared" si="176"/>
        <v>Câu 462.</v>
      </c>
      <c r="H1909" t="str">
        <f t="shared" si="177"/>
        <v>1</v>
      </c>
      <c r="I1909" t="str">
        <f t="shared" si="178"/>
        <v>2</v>
      </c>
      <c r="J1909" t="str">
        <f t="shared" ca="1" si="179"/>
        <v/>
      </c>
    </row>
    <row r="1910" spans="1:10" ht="18.75" x14ac:dyDescent="0.25">
      <c r="A1910" s="11" t="s">
        <v>2729</v>
      </c>
      <c r="B1910">
        <f>IFERROR(COUNTIFS($A$1:A1910,"Câu "&amp;"*")-MID(A1910,5,FIND(".",A1910,1)-5),0)</f>
        <v>0</v>
      </c>
      <c r="C1910" t="b">
        <v>0</v>
      </c>
      <c r="E1910" t="str">
        <f t="shared" si="174"/>
        <v>2</v>
      </c>
      <c r="F1910" t="str">
        <f t="shared" si="175"/>
        <v>Câu 462.</v>
      </c>
      <c r="G1910" t="str">
        <f t="shared" si="176"/>
        <v>1</v>
      </c>
      <c r="H1910" t="str">
        <f t="shared" si="177"/>
        <v>2</v>
      </c>
      <c r="I1910" t="str">
        <f t="shared" si="178"/>
        <v/>
      </c>
      <c r="J1910" t="str">
        <f t="shared" ca="1" si="179"/>
        <v/>
      </c>
    </row>
    <row r="1911" spans="1:10" ht="18.75" x14ac:dyDescent="0.25">
      <c r="A1911" s="10" t="s">
        <v>1333</v>
      </c>
      <c r="B1911">
        <f>IFERROR(COUNTIFS($A$1:A1911,"Câu "&amp;"*")-MID(A1911,5,FIND(".",A1911,1)-5),0)</f>
        <v>0</v>
      </c>
      <c r="C1911" t="b">
        <v>0</v>
      </c>
      <c r="E1911" t="str">
        <f t="shared" si="174"/>
        <v>Câu 462.</v>
      </c>
      <c r="F1911" t="str">
        <f t="shared" si="175"/>
        <v>1</v>
      </c>
      <c r="G1911" t="str">
        <f t="shared" si="176"/>
        <v>2</v>
      </c>
      <c r="H1911" t="str">
        <f t="shared" si="177"/>
        <v/>
      </c>
      <c r="I1911" t="str">
        <f t="shared" si="178"/>
        <v>1</v>
      </c>
      <c r="J1911" t="str">
        <f t="shared" ca="1" si="179"/>
        <v>1</v>
      </c>
    </row>
    <row r="1912" spans="1:10" ht="18.75" x14ac:dyDescent="0.25">
      <c r="A1912" s="11" t="s">
        <v>2643</v>
      </c>
      <c r="B1912">
        <f>IFERROR(COUNTIFS($A$1:A1912,"Câu "&amp;"*")-MID(A1912,5,FIND(".",A1912,1)-5),0)</f>
        <v>0</v>
      </c>
      <c r="C1912" t="b">
        <v>1</v>
      </c>
      <c r="E1912" t="str">
        <f t="shared" si="174"/>
        <v>1</v>
      </c>
      <c r="F1912" t="str">
        <f t="shared" si="175"/>
        <v>2</v>
      </c>
      <c r="G1912" t="str">
        <f t="shared" si="176"/>
        <v>Câu 463.</v>
      </c>
      <c r="H1912" t="str">
        <f t="shared" si="177"/>
        <v>1</v>
      </c>
      <c r="I1912" t="str">
        <f t="shared" si="178"/>
        <v>2</v>
      </c>
      <c r="J1912" t="str">
        <f t="shared" ca="1" si="179"/>
        <v/>
      </c>
    </row>
    <row r="1913" spans="1:10" ht="18.75" x14ac:dyDescent="0.25">
      <c r="A1913" s="11" t="s">
        <v>2644</v>
      </c>
      <c r="B1913">
        <f>IFERROR(COUNTIFS($A$1:A1913,"Câu "&amp;"*")-MID(A1913,5,FIND(".",A1913,1)-5),0)</f>
        <v>0</v>
      </c>
      <c r="C1913" t="b">
        <v>0</v>
      </c>
      <c r="E1913" t="str">
        <f t="shared" si="174"/>
        <v>2</v>
      </c>
      <c r="F1913" t="str">
        <f t="shared" si="175"/>
        <v>Câu 463.</v>
      </c>
      <c r="G1913" t="str">
        <f t="shared" si="176"/>
        <v>1</v>
      </c>
      <c r="H1913" t="str">
        <f t="shared" si="177"/>
        <v>2</v>
      </c>
      <c r="I1913" t="str">
        <f t="shared" si="178"/>
        <v/>
      </c>
      <c r="J1913" t="str">
        <f t="shared" ca="1" si="179"/>
        <v/>
      </c>
    </row>
    <row r="1914" spans="1:10" ht="18.75" x14ac:dyDescent="0.25">
      <c r="A1914" s="10" t="s">
        <v>1334</v>
      </c>
      <c r="B1914">
        <f>IFERROR(COUNTIFS($A$1:A1914,"Câu "&amp;"*")-MID(A1914,5,FIND(".",A1914,1)-5),0)</f>
        <v>0</v>
      </c>
      <c r="C1914" t="b">
        <v>0</v>
      </c>
      <c r="E1914" t="str">
        <f t="shared" si="174"/>
        <v>Câu 463.</v>
      </c>
      <c r="F1914" t="str">
        <f t="shared" si="175"/>
        <v>1</v>
      </c>
      <c r="G1914" t="str">
        <f t="shared" si="176"/>
        <v>2</v>
      </c>
      <c r="H1914" t="str">
        <f t="shared" si="177"/>
        <v/>
      </c>
      <c r="I1914" t="str">
        <f t="shared" si="178"/>
        <v>1</v>
      </c>
      <c r="J1914" t="str">
        <f t="shared" ca="1" si="179"/>
        <v>2</v>
      </c>
    </row>
    <row r="1915" spans="1:10" ht="18.75" x14ac:dyDescent="0.25">
      <c r="A1915" s="11" t="s">
        <v>2123</v>
      </c>
      <c r="B1915">
        <f>IFERROR(COUNTIFS($A$1:A1915,"Câu "&amp;"*")-MID(A1915,5,FIND(".",A1915,1)-5),0)</f>
        <v>0</v>
      </c>
      <c r="C1915" t="b">
        <v>0</v>
      </c>
      <c r="E1915" t="str">
        <f t="shared" si="174"/>
        <v>1</v>
      </c>
      <c r="F1915" t="str">
        <f t="shared" si="175"/>
        <v>2</v>
      </c>
      <c r="G1915" t="str">
        <f t="shared" si="176"/>
        <v>Câu 464.</v>
      </c>
      <c r="H1915" t="str">
        <f t="shared" si="177"/>
        <v>1</v>
      </c>
      <c r="I1915" t="str">
        <f t="shared" si="178"/>
        <v>2</v>
      </c>
      <c r="J1915" t="str">
        <f t="shared" ca="1" si="179"/>
        <v/>
      </c>
    </row>
    <row r="1916" spans="1:10" ht="18.75" x14ac:dyDescent="0.25">
      <c r="A1916" s="11" t="s">
        <v>2124</v>
      </c>
      <c r="B1916">
        <f>IFERROR(COUNTIFS($A$1:A1916,"Câu "&amp;"*")-MID(A1916,5,FIND(".",A1916,1)-5),0)</f>
        <v>0</v>
      </c>
      <c r="C1916" t="b">
        <v>1</v>
      </c>
      <c r="E1916" t="str">
        <f t="shared" si="174"/>
        <v>2</v>
      </c>
      <c r="F1916" t="str">
        <f t="shared" si="175"/>
        <v>Câu 464.</v>
      </c>
      <c r="G1916" t="str">
        <f t="shared" si="176"/>
        <v>1</v>
      </c>
      <c r="H1916" t="str">
        <f t="shared" si="177"/>
        <v>2</v>
      </c>
      <c r="I1916" t="str">
        <f t="shared" si="178"/>
        <v>3</v>
      </c>
      <c r="J1916" t="str">
        <f t="shared" ca="1" si="179"/>
        <v/>
      </c>
    </row>
    <row r="1917" spans="1:10" ht="18.75" x14ac:dyDescent="0.25">
      <c r="A1917" s="10" t="s">
        <v>1335</v>
      </c>
      <c r="B1917">
        <f>IFERROR(COUNTIFS($A$1:A1917,"Câu "&amp;"*")-MID(A1917,5,FIND(".",A1917,1)-5),0)</f>
        <v>0</v>
      </c>
      <c r="C1917" t="b">
        <v>0</v>
      </c>
      <c r="E1917" t="str">
        <f t="shared" si="174"/>
        <v>Câu 464.</v>
      </c>
      <c r="F1917" t="str">
        <f t="shared" si="175"/>
        <v>1</v>
      </c>
      <c r="G1917" t="str">
        <f t="shared" si="176"/>
        <v>2</v>
      </c>
      <c r="H1917" t="str">
        <f t="shared" si="177"/>
        <v>3</v>
      </c>
      <c r="I1917" t="str">
        <f t="shared" si="178"/>
        <v/>
      </c>
      <c r="J1917" t="str">
        <f t="shared" ca="1" si="179"/>
        <v>2</v>
      </c>
    </row>
    <row r="1918" spans="1:10" ht="18.75" x14ac:dyDescent="0.25">
      <c r="A1918" s="11" t="s">
        <v>2603</v>
      </c>
      <c r="B1918">
        <f>IFERROR(COUNTIFS($A$1:A1918,"Câu "&amp;"*")-MID(A1918,5,FIND(".",A1918,1)-5),0)</f>
        <v>0</v>
      </c>
      <c r="C1918" t="b">
        <v>0</v>
      </c>
      <c r="E1918" t="str">
        <f t="shared" si="174"/>
        <v>1</v>
      </c>
      <c r="F1918" t="str">
        <f t="shared" si="175"/>
        <v>2</v>
      </c>
      <c r="G1918" t="str">
        <f t="shared" si="176"/>
        <v>3</v>
      </c>
      <c r="H1918" t="str">
        <f t="shared" si="177"/>
        <v/>
      </c>
      <c r="I1918" t="str">
        <f t="shared" si="178"/>
        <v>1</v>
      </c>
      <c r="J1918" t="str">
        <f t="shared" ca="1" si="179"/>
        <v/>
      </c>
    </row>
    <row r="1919" spans="1:10" ht="18.75" x14ac:dyDescent="0.25">
      <c r="A1919" s="11" t="s">
        <v>2618</v>
      </c>
      <c r="B1919">
        <f>IFERROR(COUNTIFS($A$1:A1919,"Câu "&amp;"*")-MID(A1919,5,FIND(".",A1919,1)-5),0)</f>
        <v>0</v>
      </c>
      <c r="C1919" t="b">
        <v>1</v>
      </c>
      <c r="E1919" t="str">
        <f t="shared" si="174"/>
        <v>2</v>
      </c>
      <c r="F1919" t="str">
        <f t="shared" si="175"/>
        <v>3</v>
      </c>
      <c r="G1919" t="str">
        <f t="shared" si="176"/>
        <v>Câu 465.</v>
      </c>
      <c r="H1919" t="str">
        <f t="shared" si="177"/>
        <v>1</v>
      </c>
      <c r="I1919" t="str">
        <f t="shared" si="178"/>
        <v>2</v>
      </c>
      <c r="J1919" t="str">
        <f t="shared" ca="1" si="179"/>
        <v/>
      </c>
    </row>
    <row r="1920" spans="1:10" ht="18.75" x14ac:dyDescent="0.25">
      <c r="A1920" s="11" t="s">
        <v>2611</v>
      </c>
      <c r="B1920">
        <f>IFERROR(COUNTIFS($A$1:A1920,"Câu "&amp;"*")-MID(A1920,5,FIND(".",A1920,1)-5),0)</f>
        <v>0</v>
      </c>
      <c r="C1920" t="b">
        <v>0</v>
      </c>
      <c r="E1920" t="str">
        <f t="shared" si="174"/>
        <v>3</v>
      </c>
      <c r="F1920" t="str">
        <f t="shared" si="175"/>
        <v>Câu 465.</v>
      </c>
      <c r="G1920" t="str">
        <f t="shared" si="176"/>
        <v>1</v>
      </c>
      <c r="H1920" t="str">
        <f t="shared" si="177"/>
        <v>2</v>
      </c>
      <c r="I1920" t="str">
        <f t="shared" si="178"/>
        <v>3</v>
      </c>
      <c r="J1920" t="str">
        <f t="shared" ca="1" si="179"/>
        <v/>
      </c>
    </row>
    <row r="1921" spans="1:10" ht="18.75" x14ac:dyDescent="0.25">
      <c r="A1921" s="10" t="s">
        <v>1336</v>
      </c>
      <c r="B1921">
        <f>IFERROR(COUNTIFS($A$1:A1921,"Câu "&amp;"*")-MID(A1921,5,FIND(".",A1921,1)-5),0)</f>
        <v>0</v>
      </c>
      <c r="C1921" t="b">
        <v>0</v>
      </c>
      <c r="E1921" t="str">
        <f t="shared" si="174"/>
        <v>Câu 465.</v>
      </c>
      <c r="F1921" t="str">
        <f t="shared" si="175"/>
        <v>1</v>
      </c>
      <c r="G1921" t="str">
        <f t="shared" si="176"/>
        <v>2</v>
      </c>
      <c r="H1921" t="str">
        <f t="shared" si="177"/>
        <v>3</v>
      </c>
      <c r="I1921" t="str">
        <f t="shared" si="178"/>
        <v/>
      </c>
      <c r="J1921" t="str">
        <f t="shared" ca="1" si="179"/>
        <v>2</v>
      </c>
    </row>
    <row r="1922" spans="1:10" ht="18.75" x14ac:dyDescent="0.25">
      <c r="A1922" s="11" t="s">
        <v>2730</v>
      </c>
      <c r="B1922">
        <f>IFERROR(COUNTIFS($A$1:A1922,"Câu "&amp;"*")-MID(A1922,5,FIND(".",A1922,1)-5),0)</f>
        <v>0</v>
      </c>
      <c r="C1922" t="b">
        <v>0</v>
      </c>
      <c r="E1922" t="str">
        <f t="shared" si="174"/>
        <v>1</v>
      </c>
      <c r="F1922" t="str">
        <f t="shared" si="175"/>
        <v>2</v>
      </c>
      <c r="G1922" t="str">
        <f t="shared" si="176"/>
        <v>3</v>
      </c>
      <c r="H1922" t="str">
        <f t="shared" si="177"/>
        <v/>
      </c>
      <c r="I1922" t="str">
        <f t="shared" si="178"/>
        <v>1</v>
      </c>
      <c r="J1922" t="str">
        <f t="shared" ca="1" si="179"/>
        <v/>
      </c>
    </row>
    <row r="1923" spans="1:10" ht="18.75" x14ac:dyDescent="0.25">
      <c r="A1923" s="11" t="s">
        <v>2731</v>
      </c>
      <c r="B1923">
        <f>IFERROR(COUNTIFS($A$1:A1923,"Câu "&amp;"*")-MID(A1923,5,FIND(".",A1923,1)-5),0)</f>
        <v>0</v>
      </c>
      <c r="C1923" t="b">
        <v>1</v>
      </c>
      <c r="E1923" t="str">
        <f t="shared" ref="E1923:E1986" si="180">IF(LEFT(A1923,3)="Câu",LEFT(A1923,FIND(".",A1923,1)),LEFT(A1923,1))</f>
        <v>2</v>
      </c>
      <c r="F1923" t="str">
        <f t="shared" ref="F1923:F1986" si="181">IF(LEFT(A1924,3)="Câu",LEFT(A1924,FIND(".",A1924,1)),LEFT(A1924,1))</f>
        <v>3</v>
      </c>
      <c r="G1923" t="str">
        <f t="shared" ref="G1923:G1986" si="182">IF(LEFT(A1925,3)="Câu",LEFT(A1925,FIND(".",A1925,1)),LEFT(A1925,1))</f>
        <v>Câu 466.</v>
      </c>
      <c r="H1923" t="str">
        <f t="shared" ref="H1923:H1986" si="183">IF(LEFT(A1926,3)="Câu","",LEFT(A1926,1))</f>
        <v>1</v>
      </c>
      <c r="I1923" t="str">
        <f t="shared" ref="I1923:I1986" si="184">IF(LEFT(A1927,3)="Câu","",LEFT(A1927,1))</f>
        <v>2</v>
      </c>
      <c r="J1923" t="str">
        <f t="shared" ref="J1923:J1986" ca="1" si="185">IFERROR(VLOOKUP(TRUE,INDIRECT("C"&amp;MATCH(E1923,$E$1:$E$2471,0)&amp;":E"&amp;MATCH("Câu "&amp;VALUE(MID(E1923,5,LEN(E1923)-5))+1&amp;".",$E$1:$E$2471,0)),3,0),"")</f>
        <v/>
      </c>
    </row>
    <row r="1924" spans="1:10" ht="18.75" x14ac:dyDescent="0.25">
      <c r="A1924" s="11" t="s">
        <v>2732</v>
      </c>
      <c r="B1924">
        <f>IFERROR(COUNTIFS($A$1:A1924,"Câu "&amp;"*")-MID(A1924,5,FIND(".",A1924,1)-5),0)</f>
        <v>0</v>
      </c>
      <c r="C1924" t="b">
        <v>0</v>
      </c>
      <c r="E1924" t="str">
        <f t="shared" si="180"/>
        <v>3</v>
      </c>
      <c r="F1924" t="str">
        <f t="shared" si="181"/>
        <v>Câu 466.</v>
      </c>
      <c r="G1924" t="str">
        <f t="shared" si="182"/>
        <v>1</v>
      </c>
      <c r="H1924" t="str">
        <f t="shared" si="183"/>
        <v>2</v>
      </c>
      <c r="I1924" t="str">
        <f t="shared" si="184"/>
        <v>3</v>
      </c>
      <c r="J1924" t="str">
        <f t="shared" ca="1" si="185"/>
        <v/>
      </c>
    </row>
    <row r="1925" spans="1:10" ht="18.75" x14ac:dyDescent="0.25">
      <c r="A1925" s="10" t="s">
        <v>1340</v>
      </c>
      <c r="B1925">
        <f>IFERROR(COUNTIFS($A$1:A1925,"Câu "&amp;"*")-MID(A1925,5,FIND(".",A1925,1)-5),0)</f>
        <v>0</v>
      </c>
      <c r="C1925" t="b">
        <v>0</v>
      </c>
      <c r="E1925" t="str">
        <f t="shared" si="180"/>
        <v>Câu 466.</v>
      </c>
      <c r="F1925" t="str">
        <f t="shared" si="181"/>
        <v>1</v>
      </c>
      <c r="G1925" t="str">
        <f t="shared" si="182"/>
        <v>2</v>
      </c>
      <c r="H1925" t="str">
        <f t="shared" si="183"/>
        <v>3</v>
      </c>
      <c r="I1925" t="str">
        <f t="shared" si="184"/>
        <v/>
      </c>
      <c r="J1925" t="str">
        <f t="shared" ca="1" si="185"/>
        <v>3</v>
      </c>
    </row>
    <row r="1926" spans="1:10" ht="18.75" x14ac:dyDescent="0.25">
      <c r="A1926" s="11" t="s">
        <v>2603</v>
      </c>
      <c r="B1926">
        <f>IFERROR(COUNTIFS($A$1:A1926,"Câu "&amp;"*")-MID(A1926,5,FIND(".",A1926,1)-5),0)</f>
        <v>0</v>
      </c>
      <c r="C1926" t="b">
        <v>0</v>
      </c>
      <c r="E1926" t="str">
        <f t="shared" si="180"/>
        <v>1</v>
      </c>
      <c r="F1926" t="str">
        <f t="shared" si="181"/>
        <v>2</v>
      </c>
      <c r="G1926" t="str">
        <f t="shared" si="182"/>
        <v>3</v>
      </c>
      <c r="H1926" t="str">
        <f t="shared" si="183"/>
        <v/>
      </c>
      <c r="I1926" t="str">
        <f t="shared" si="184"/>
        <v>1</v>
      </c>
      <c r="J1926" t="str">
        <f t="shared" ca="1" si="185"/>
        <v/>
      </c>
    </row>
    <row r="1927" spans="1:10" ht="18.75" x14ac:dyDescent="0.25">
      <c r="A1927" s="11" t="s">
        <v>2600</v>
      </c>
      <c r="B1927">
        <f>IFERROR(COUNTIFS($A$1:A1927,"Câu "&amp;"*")-MID(A1927,5,FIND(".",A1927,1)-5),0)</f>
        <v>0</v>
      </c>
      <c r="C1927" t="b">
        <v>0</v>
      </c>
      <c r="E1927" t="str">
        <f t="shared" si="180"/>
        <v>2</v>
      </c>
      <c r="F1927" t="str">
        <f t="shared" si="181"/>
        <v>3</v>
      </c>
      <c r="G1927" t="str">
        <f t="shared" si="182"/>
        <v>Câu 467.</v>
      </c>
      <c r="H1927" t="str">
        <f t="shared" si="183"/>
        <v>1</v>
      </c>
      <c r="I1927" t="str">
        <f t="shared" si="184"/>
        <v>2</v>
      </c>
      <c r="J1927" t="str">
        <f t="shared" ca="1" si="185"/>
        <v/>
      </c>
    </row>
    <row r="1928" spans="1:10" ht="18.75" x14ac:dyDescent="0.25">
      <c r="A1928" s="11" t="s">
        <v>2610</v>
      </c>
      <c r="B1928">
        <f>IFERROR(COUNTIFS($A$1:A1928,"Câu "&amp;"*")-MID(A1928,5,FIND(".",A1928,1)-5),0)</f>
        <v>0</v>
      </c>
      <c r="C1928" t="b">
        <v>1</v>
      </c>
      <c r="E1928" t="str">
        <f t="shared" si="180"/>
        <v>3</v>
      </c>
      <c r="F1928" t="str">
        <f t="shared" si="181"/>
        <v>Câu 467.</v>
      </c>
      <c r="G1928" t="str">
        <f t="shared" si="182"/>
        <v>1</v>
      </c>
      <c r="H1928" t="str">
        <f t="shared" si="183"/>
        <v>2</v>
      </c>
      <c r="I1928" t="str">
        <f t="shared" si="184"/>
        <v>3</v>
      </c>
      <c r="J1928" t="str">
        <f t="shared" ca="1" si="185"/>
        <v/>
      </c>
    </row>
    <row r="1929" spans="1:10" ht="18.75" x14ac:dyDescent="0.25">
      <c r="A1929" s="10" t="s">
        <v>1341</v>
      </c>
      <c r="B1929">
        <f>IFERROR(COUNTIFS($A$1:A1929,"Câu "&amp;"*")-MID(A1929,5,FIND(".",A1929,1)-5),0)</f>
        <v>0</v>
      </c>
      <c r="C1929" t="b">
        <v>0</v>
      </c>
      <c r="E1929" t="str">
        <f t="shared" si="180"/>
        <v>Câu 467.</v>
      </c>
      <c r="F1929" t="str">
        <f t="shared" si="181"/>
        <v>1</v>
      </c>
      <c r="G1929" t="str">
        <f t="shared" si="182"/>
        <v>2</v>
      </c>
      <c r="H1929" t="str">
        <f t="shared" si="183"/>
        <v>3</v>
      </c>
      <c r="I1929" t="str">
        <f t="shared" si="184"/>
        <v>4</v>
      </c>
      <c r="J1929" t="str">
        <f t="shared" ca="1" si="185"/>
        <v>4</v>
      </c>
    </row>
    <row r="1930" spans="1:10" ht="18.75" x14ac:dyDescent="0.25">
      <c r="A1930" s="11" t="s">
        <v>2733</v>
      </c>
      <c r="B1930">
        <f>IFERROR(COUNTIFS($A$1:A1930,"Câu "&amp;"*")-MID(A1930,5,FIND(".",A1930,1)-5),0)</f>
        <v>0</v>
      </c>
      <c r="C1930" t="b">
        <v>0</v>
      </c>
      <c r="E1930" t="str">
        <f t="shared" si="180"/>
        <v>1</v>
      </c>
      <c r="F1930" t="str">
        <f t="shared" si="181"/>
        <v>2</v>
      </c>
      <c r="G1930" t="str">
        <f t="shared" si="182"/>
        <v>3</v>
      </c>
      <c r="H1930" t="str">
        <f t="shared" si="183"/>
        <v>4</v>
      </c>
      <c r="I1930" t="str">
        <f t="shared" si="184"/>
        <v/>
      </c>
      <c r="J1930" t="str">
        <f t="shared" ca="1" si="185"/>
        <v/>
      </c>
    </row>
    <row r="1931" spans="1:10" ht="18.75" x14ac:dyDescent="0.25">
      <c r="A1931" s="11" t="s">
        <v>2734</v>
      </c>
      <c r="B1931">
        <f>IFERROR(COUNTIFS($A$1:A1931,"Câu "&amp;"*")-MID(A1931,5,FIND(".",A1931,1)-5),0)</f>
        <v>0</v>
      </c>
      <c r="C1931" t="b">
        <v>0</v>
      </c>
      <c r="E1931" t="str">
        <f t="shared" si="180"/>
        <v>2</v>
      </c>
      <c r="F1931" t="str">
        <f t="shared" si="181"/>
        <v>3</v>
      </c>
      <c r="G1931" t="str">
        <f t="shared" si="182"/>
        <v>4</v>
      </c>
      <c r="H1931" t="str">
        <f t="shared" si="183"/>
        <v/>
      </c>
      <c r="I1931" t="str">
        <f t="shared" si="184"/>
        <v>1</v>
      </c>
      <c r="J1931" t="str">
        <f t="shared" ca="1" si="185"/>
        <v/>
      </c>
    </row>
    <row r="1932" spans="1:10" ht="18.75" x14ac:dyDescent="0.25">
      <c r="A1932" s="11" t="s">
        <v>2735</v>
      </c>
      <c r="B1932">
        <f>IFERROR(COUNTIFS($A$1:A1932,"Câu "&amp;"*")-MID(A1932,5,FIND(".",A1932,1)-5),0)</f>
        <v>0</v>
      </c>
      <c r="C1932" t="b">
        <v>0</v>
      </c>
      <c r="E1932" t="str">
        <f t="shared" si="180"/>
        <v>3</v>
      </c>
      <c r="F1932" t="str">
        <f t="shared" si="181"/>
        <v>4</v>
      </c>
      <c r="G1932" t="str">
        <f t="shared" si="182"/>
        <v>Câu 468.</v>
      </c>
      <c r="H1932" t="str">
        <f t="shared" si="183"/>
        <v>1</v>
      </c>
      <c r="I1932" t="str">
        <f t="shared" si="184"/>
        <v>2</v>
      </c>
      <c r="J1932" t="str">
        <f t="shared" ca="1" si="185"/>
        <v/>
      </c>
    </row>
    <row r="1933" spans="1:10" ht="18.75" x14ac:dyDescent="0.25">
      <c r="A1933" s="11" t="s">
        <v>2382</v>
      </c>
      <c r="B1933">
        <f>IFERROR(COUNTIFS($A$1:A1933,"Câu "&amp;"*")-MID(A1933,5,FIND(".",A1933,1)-5),0)</f>
        <v>0</v>
      </c>
      <c r="C1933" t="b">
        <v>1</v>
      </c>
      <c r="E1933" t="str">
        <f t="shared" si="180"/>
        <v>4</v>
      </c>
      <c r="F1933" t="str">
        <f t="shared" si="181"/>
        <v>Câu 468.</v>
      </c>
      <c r="G1933" t="str">
        <f t="shared" si="182"/>
        <v>1</v>
      </c>
      <c r="H1933" t="str">
        <f t="shared" si="183"/>
        <v>2</v>
      </c>
      <c r="I1933" t="str">
        <f t="shared" si="184"/>
        <v>3</v>
      </c>
      <c r="J1933" t="str">
        <f t="shared" ca="1" si="185"/>
        <v/>
      </c>
    </row>
    <row r="1934" spans="1:10" ht="18.75" x14ac:dyDescent="0.25">
      <c r="A1934" s="10" t="s">
        <v>1345</v>
      </c>
      <c r="B1934">
        <f>IFERROR(COUNTIFS($A$1:A1934,"Câu "&amp;"*")-MID(A1934,5,FIND(".",A1934,1)-5),0)</f>
        <v>0</v>
      </c>
      <c r="C1934" t="b">
        <v>0</v>
      </c>
      <c r="E1934" t="str">
        <f t="shared" si="180"/>
        <v>Câu 468.</v>
      </c>
      <c r="F1934" t="str">
        <f t="shared" si="181"/>
        <v>1</v>
      </c>
      <c r="G1934" t="str">
        <f t="shared" si="182"/>
        <v>2</v>
      </c>
      <c r="H1934" t="str">
        <f t="shared" si="183"/>
        <v>3</v>
      </c>
      <c r="I1934" t="str">
        <f t="shared" si="184"/>
        <v/>
      </c>
      <c r="J1934" t="str">
        <f t="shared" ca="1" si="185"/>
        <v>1</v>
      </c>
    </row>
    <row r="1935" spans="1:10" ht="18.75" x14ac:dyDescent="0.25">
      <c r="A1935" s="11" t="s">
        <v>2736</v>
      </c>
      <c r="B1935">
        <f>IFERROR(COUNTIFS($A$1:A1935,"Câu "&amp;"*")-MID(A1935,5,FIND(".",A1935,1)-5),0)</f>
        <v>0</v>
      </c>
      <c r="C1935" t="b">
        <v>1</v>
      </c>
      <c r="E1935" t="str">
        <f t="shared" si="180"/>
        <v>1</v>
      </c>
      <c r="F1935" t="str">
        <f t="shared" si="181"/>
        <v>2</v>
      </c>
      <c r="G1935" t="str">
        <f t="shared" si="182"/>
        <v>3</v>
      </c>
      <c r="H1935" t="str">
        <f t="shared" si="183"/>
        <v/>
      </c>
      <c r="I1935" t="str">
        <f t="shared" si="184"/>
        <v>1</v>
      </c>
      <c r="J1935" t="str">
        <f t="shared" ca="1" si="185"/>
        <v/>
      </c>
    </row>
    <row r="1936" spans="1:10" ht="18.75" x14ac:dyDescent="0.25">
      <c r="A1936" s="11" t="s">
        <v>2737</v>
      </c>
      <c r="B1936">
        <f>IFERROR(COUNTIFS($A$1:A1936,"Câu "&amp;"*")-MID(A1936,5,FIND(".",A1936,1)-5),0)</f>
        <v>0</v>
      </c>
      <c r="C1936" t="b">
        <v>0</v>
      </c>
      <c r="E1936" t="str">
        <f t="shared" si="180"/>
        <v>2</v>
      </c>
      <c r="F1936" t="str">
        <f t="shared" si="181"/>
        <v>3</v>
      </c>
      <c r="G1936" t="str">
        <f t="shared" si="182"/>
        <v>Câu 469.</v>
      </c>
      <c r="H1936" t="str">
        <f t="shared" si="183"/>
        <v>1</v>
      </c>
      <c r="I1936" t="str">
        <f t="shared" si="184"/>
        <v>2</v>
      </c>
      <c r="J1936" t="str">
        <f t="shared" ca="1" si="185"/>
        <v/>
      </c>
    </row>
    <row r="1937" spans="1:10" ht="18.75" x14ac:dyDescent="0.25">
      <c r="A1937" s="11" t="s">
        <v>2738</v>
      </c>
      <c r="B1937">
        <f>IFERROR(COUNTIFS($A$1:A1937,"Câu "&amp;"*")-MID(A1937,5,FIND(".",A1937,1)-5),0)</f>
        <v>0</v>
      </c>
      <c r="C1937" t="b">
        <v>0</v>
      </c>
      <c r="E1937" t="str">
        <f t="shared" si="180"/>
        <v>3</v>
      </c>
      <c r="F1937" t="str">
        <f t="shared" si="181"/>
        <v>Câu 469.</v>
      </c>
      <c r="G1937" t="str">
        <f t="shared" si="182"/>
        <v>1</v>
      </c>
      <c r="H1937" t="str">
        <f t="shared" si="183"/>
        <v>2</v>
      </c>
      <c r="I1937" t="str">
        <f t="shared" si="184"/>
        <v>3</v>
      </c>
      <c r="J1937" t="str">
        <f t="shared" ca="1" si="185"/>
        <v/>
      </c>
    </row>
    <row r="1938" spans="1:10" ht="18.75" x14ac:dyDescent="0.25">
      <c r="A1938" s="10" t="s">
        <v>1349</v>
      </c>
      <c r="B1938">
        <f>IFERROR(COUNTIFS($A$1:A1938,"Câu "&amp;"*")-MID(A1938,5,FIND(".",A1938,1)-5),0)</f>
        <v>0</v>
      </c>
      <c r="C1938" t="b">
        <v>0</v>
      </c>
      <c r="E1938" t="str">
        <f t="shared" si="180"/>
        <v>Câu 469.</v>
      </c>
      <c r="F1938" t="str">
        <f t="shared" si="181"/>
        <v>1</v>
      </c>
      <c r="G1938" t="str">
        <f t="shared" si="182"/>
        <v>2</v>
      </c>
      <c r="H1938" t="str">
        <f t="shared" si="183"/>
        <v>3</v>
      </c>
      <c r="I1938" t="str">
        <f t="shared" si="184"/>
        <v/>
      </c>
      <c r="J1938" t="str">
        <f t="shared" ca="1" si="185"/>
        <v>3</v>
      </c>
    </row>
    <row r="1939" spans="1:10" ht="18.75" x14ac:dyDescent="0.25">
      <c r="A1939" s="11" t="s">
        <v>2739</v>
      </c>
      <c r="B1939">
        <f>IFERROR(COUNTIFS($A$1:A1939,"Câu "&amp;"*")-MID(A1939,5,FIND(".",A1939,1)-5),0)</f>
        <v>0</v>
      </c>
      <c r="C1939" t="b">
        <v>0</v>
      </c>
      <c r="E1939" t="str">
        <f t="shared" si="180"/>
        <v>1</v>
      </c>
      <c r="F1939" t="str">
        <f t="shared" si="181"/>
        <v>2</v>
      </c>
      <c r="G1939" t="str">
        <f t="shared" si="182"/>
        <v>3</v>
      </c>
      <c r="H1939" t="str">
        <f t="shared" si="183"/>
        <v/>
      </c>
      <c r="I1939" t="str">
        <f t="shared" si="184"/>
        <v>1</v>
      </c>
      <c r="J1939" t="str">
        <f t="shared" ca="1" si="185"/>
        <v/>
      </c>
    </row>
    <row r="1940" spans="1:10" ht="18.75" x14ac:dyDescent="0.25">
      <c r="A1940" s="11" t="s">
        <v>2740</v>
      </c>
      <c r="B1940">
        <f>IFERROR(COUNTIFS($A$1:A1940,"Câu "&amp;"*")-MID(A1940,5,FIND(".",A1940,1)-5),0)</f>
        <v>0</v>
      </c>
      <c r="C1940" t="b">
        <v>0</v>
      </c>
      <c r="E1940" t="str">
        <f t="shared" si="180"/>
        <v>2</v>
      </c>
      <c r="F1940" t="str">
        <f t="shared" si="181"/>
        <v>3</v>
      </c>
      <c r="G1940" t="str">
        <f t="shared" si="182"/>
        <v>Câu 470.</v>
      </c>
      <c r="H1940" t="str">
        <f t="shared" si="183"/>
        <v>1</v>
      </c>
      <c r="I1940" t="str">
        <f t="shared" si="184"/>
        <v>2</v>
      </c>
      <c r="J1940" t="str">
        <f t="shared" ca="1" si="185"/>
        <v/>
      </c>
    </row>
    <row r="1941" spans="1:10" ht="18.75" x14ac:dyDescent="0.25">
      <c r="A1941" s="11" t="s">
        <v>2741</v>
      </c>
      <c r="B1941">
        <f>IFERROR(COUNTIFS($A$1:A1941,"Câu "&amp;"*")-MID(A1941,5,FIND(".",A1941,1)-5),0)</f>
        <v>0</v>
      </c>
      <c r="C1941" t="b">
        <v>1</v>
      </c>
      <c r="E1941" t="str">
        <f t="shared" si="180"/>
        <v>3</v>
      </c>
      <c r="F1941" t="str">
        <f t="shared" si="181"/>
        <v>Câu 470.</v>
      </c>
      <c r="G1941" t="str">
        <f t="shared" si="182"/>
        <v>1</v>
      </c>
      <c r="H1941" t="str">
        <f t="shared" si="183"/>
        <v>2</v>
      </c>
      <c r="I1941" t="str">
        <f t="shared" si="184"/>
        <v>3</v>
      </c>
      <c r="J1941" t="str">
        <f t="shared" ca="1" si="185"/>
        <v/>
      </c>
    </row>
    <row r="1942" spans="1:10" ht="18.75" x14ac:dyDescent="0.25">
      <c r="A1942" s="10" t="s">
        <v>1353</v>
      </c>
      <c r="B1942">
        <f>IFERROR(COUNTIFS($A$1:A1942,"Câu "&amp;"*")-MID(A1942,5,FIND(".",A1942,1)-5),0)</f>
        <v>0</v>
      </c>
      <c r="C1942" t="b">
        <v>0</v>
      </c>
      <c r="E1942" t="str">
        <f t="shared" si="180"/>
        <v>Câu 470.</v>
      </c>
      <c r="F1942" t="str">
        <f t="shared" si="181"/>
        <v>1</v>
      </c>
      <c r="G1942" t="str">
        <f t="shared" si="182"/>
        <v>2</v>
      </c>
      <c r="H1942" t="str">
        <f t="shared" si="183"/>
        <v>3</v>
      </c>
      <c r="I1942" t="str">
        <f t="shared" si="184"/>
        <v/>
      </c>
      <c r="J1942" t="str">
        <f t="shared" ca="1" si="185"/>
        <v>1</v>
      </c>
    </row>
    <row r="1943" spans="1:10" ht="18.75" x14ac:dyDescent="0.25">
      <c r="A1943" s="11" t="s">
        <v>2599</v>
      </c>
      <c r="B1943">
        <f>IFERROR(COUNTIFS($A$1:A1943,"Câu "&amp;"*")-MID(A1943,5,FIND(".",A1943,1)-5),0)</f>
        <v>0</v>
      </c>
      <c r="C1943" t="b">
        <v>1</v>
      </c>
      <c r="E1943" t="str">
        <f t="shared" si="180"/>
        <v>1</v>
      </c>
      <c r="F1943" t="str">
        <f t="shared" si="181"/>
        <v>2</v>
      </c>
      <c r="G1943" t="str">
        <f t="shared" si="182"/>
        <v>3</v>
      </c>
      <c r="H1943" t="str">
        <f t="shared" si="183"/>
        <v/>
      </c>
      <c r="I1943" t="str">
        <f t="shared" si="184"/>
        <v>1</v>
      </c>
      <c r="J1943" t="str">
        <f t="shared" ca="1" si="185"/>
        <v/>
      </c>
    </row>
    <row r="1944" spans="1:10" ht="18.75" x14ac:dyDescent="0.25">
      <c r="A1944" s="11" t="s">
        <v>2600</v>
      </c>
      <c r="B1944">
        <f>IFERROR(COUNTIFS($A$1:A1944,"Câu "&amp;"*")-MID(A1944,5,FIND(".",A1944,1)-5),0)</f>
        <v>0</v>
      </c>
      <c r="C1944" t="b">
        <v>0</v>
      </c>
      <c r="E1944" t="str">
        <f t="shared" si="180"/>
        <v>2</v>
      </c>
      <c r="F1944" t="str">
        <f t="shared" si="181"/>
        <v>3</v>
      </c>
      <c r="G1944" t="str">
        <f t="shared" si="182"/>
        <v>Câu 471.</v>
      </c>
      <c r="H1944" t="str">
        <f t="shared" si="183"/>
        <v>1</v>
      </c>
      <c r="I1944" t="str">
        <f t="shared" si="184"/>
        <v>2</v>
      </c>
      <c r="J1944" t="str">
        <f t="shared" ca="1" si="185"/>
        <v/>
      </c>
    </row>
    <row r="1945" spans="1:10" ht="18.75" x14ac:dyDescent="0.25">
      <c r="A1945" s="11" t="s">
        <v>2611</v>
      </c>
      <c r="B1945">
        <f>IFERROR(COUNTIFS($A$1:A1945,"Câu "&amp;"*")-MID(A1945,5,FIND(".",A1945,1)-5),0)</f>
        <v>0</v>
      </c>
      <c r="C1945" t="b">
        <v>0</v>
      </c>
      <c r="E1945" t="str">
        <f t="shared" si="180"/>
        <v>3</v>
      </c>
      <c r="F1945" t="str">
        <f t="shared" si="181"/>
        <v>Câu 471.</v>
      </c>
      <c r="G1945" t="str">
        <f t="shared" si="182"/>
        <v>1</v>
      </c>
      <c r="H1945" t="str">
        <f t="shared" si="183"/>
        <v>2</v>
      </c>
      <c r="I1945" t="str">
        <f t="shared" si="184"/>
        <v>3</v>
      </c>
      <c r="J1945" t="str">
        <f t="shared" ca="1" si="185"/>
        <v/>
      </c>
    </row>
    <row r="1946" spans="1:10" ht="18.75" x14ac:dyDescent="0.25">
      <c r="A1946" s="10" t="s">
        <v>1354</v>
      </c>
      <c r="B1946">
        <f>IFERROR(COUNTIFS($A$1:A1946,"Câu "&amp;"*")-MID(A1946,5,FIND(".",A1946,1)-5),0)</f>
        <v>0</v>
      </c>
      <c r="C1946" t="b">
        <v>0</v>
      </c>
      <c r="E1946" t="str">
        <f t="shared" si="180"/>
        <v>Câu 471.</v>
      </c>
      <c r="F1946" t="str">
        <f t="shared" si="181"/>
        <v>1</v>
      </c>
      <c r="G1946" t="str">
        <f t="shared" si="182"/>
        <v>2</v>
      </c>
      <c r="H1946" t="str">
        <f t="shared" si="183"/>
        <v>3</v>
      </c>
      <c r="I1946" t="str">
        <f t="shared" si="184"/>
        <v/>
      </c>
      <c r="J1946" t="str">
        <f t="shared" ca="1" si="185"/>
        <v>3</v>
      </c>
    </row>
    <row r="1947" spans="1:10" ht="18.75" x14ac:dyDescent="0.25">
      <c r="A1947" s="11" t="s">
        <v>2603</v>
      </c>
      <c r="B1947">
        <f>IFERROR(COUNTIFS($A$1:A1947,"Câu "&amp;"*")-MID(A1947,5,FIND(".",A1947,1)-5),0)</f>
        <v>0</v>
      </c>
      <c r="C1947" t="b">
        <v>0</v>
      </c>
      <c r="E1947" t="str">
        <f t="shared" si="180"/>
        <v>1</v>
      </c>
      <c r="F1947" t="str">
        <f t="shared" si="181"/>
        <v>2</v>
      </c>
      <c r="G1947" t="str">
        <f t="shared" si="182"/>
        <v>3</v>
      </c>
      <c r="H1947" t="str">
        <f t="shared" si="183"/>
        <v/>
      </c>
      <c r="I1947" t="str">
        <f t="shared" si="184"/>
        <v>1</v>
      </c>
      <c r="J1947" t="str">
        <f t="shared" ca="1" si="185"/>
        <v/>
      </c>
    </row>
    <row r="1948" spans="1:10" ht="18.75" x14ac:dyDescent="0.25">
      <c r="A1948" s="11" t="s">
        <v>2600</v>
      </c>
      <c r="B1948">
        <f>IFERROR(COUNTIFS($A$1:A1948,"Câu "&amp;"*")-MID(A1948,5,FIND(".",A1948,1)-5),0)</f>
        <v>0</v>
      </c>
      <c r="C1948" t="b">
        <v>0</v>
      </c>
      <c r="E1948" t="str">
        <f t="shared" si="180"/>
        <v>2</v>
      </c>
      <c r="F1948" t="str">
        <f t="shared" si="181"/>
        <v>3</v>
      </c>
      <c r="G1948" t="str">
        <f t="shared" si="182"/>
        <v>Câu 472.</v>
      </c>
      <c r="H1948" t="str">
        <f t="shared" si="183"/>
        <v>1</v>
      </c>
      <c r="I1948" t="str">
        <f t="shared" si="184"/>
        <v>2</v>
      </c>
      <c r="J1948" t="str">
        <f t="shared" ca="1" si="185"/>
        <v/>
      </c>
    </row>
    <row r="1949" spans="1:10" ht="18.75" x14ac:dyDescent="0.25">
      <c r="A1949" s="11" t="s">
        <v>2628</v>
      </c>
      <c r="B1949">
        <f>IFERROR(COUNTIFS($A$1:A1949,"Câu "&amp;"*")-MID(A1949,5,FIND(".",A1949,1)-5),0)</f>
        <v>0</v>
      </c>
      <c r="C1949" t="b">
        <v>1</v>
      </c>
      <c r="E1949" t="str">
        <f t="shared" si="180"/>
        <v>3</v>
      </c>
      <c r="F1949" t="str">
        <f t="shared" si="181"/>
        <v>Câu 472.</v>
      </c>
      <c r="G1949" t="str">
        <f t="shared" si="182"/>
        <v>1</v>
      </c>
      <c r="H1949" t="str">
        <f t="shared" si="183"/>
        <v>2</v>
      </c>
      <c r="I1949" t="str">
        <f t="shared" si="184"/>
        <v>3</v>
      </c>
      <c r="J1949" t="str">
        <f t="shared" ca="1" si="185"/>
        <v/>
      </c>
    </row>
    <row r="1950" spans="1:10" ht="18.75" x14ac:dyDescent="0.25">
      <c r="A1950" s="10" t="s">
        <v>1355</v>
      </c>
      <c r="B1950">
        <f>IFERROR(COUNTIFS($A$1:A1950,"Câu "&amp;"*")-MID(A1950,5,FIND(".",A1950,1)-5),0)</f>
        <v>0</v>
      </c>
      <c r="C1950" t="b">
        <v>0</v>
      </c>
      <c r="E1950" t="str">
        <f t="shared" si="180"/>
        <v>Câu 472.</v>
      </c>
      <c r="F1950" t="str">
        <f t="shared" si="181"/>
        <v>1</v>
      </c>
      <c r="G1950" t="str">
        <f t="shared" si="182"/>
        <v>2</v>
      </c>
      <c r="H1950" t="str">
        <f t="shared" si="183"/>
        <v>3</v>
      </c>
      <c r="I1950" t="str">
        <f t="shared" si="184"/>
        <v/>
      </c>
      <c r="J1950" t="str">
        <f t="shared" ca="1" si="185"/>
        <v>2</v>
      </c>
    </row>
    <row r="1951" spans="1:10" ht="18.75" x14ac:dyDescent="0.25">
      <c r="A1951" s="11" t="s">
        <v>2603</v>
      </c>
      <c r="B1951">
        <f>IFERROR(COUNTIFS($A$1:A1951,"Câu "&amp;"*")-MID(A1951,5,FIND(".",A1951,1)-5),0)</f>
        <v>0</v>
      </c>
      <c r="C1951" t="b">
        <v>0</v>
      </c>
      <c r="E1951" t="str">
        <f t="shared" si="180"/>
        <v>1</v>
      </c>
      <c r="F1951" t="str">
        <f t="shared" si="181"/>
        <v>2</v>
      </c>
      <c r="G1951" t="str">
        <f t="shared" si="182"/>
        <v>3</v>
      </c>
      <c r="H1951" t="str">
        <f t="shared" si="183"/>
        <v/>
      </c>
      <c r="I1951" t="str">
        <f t="shared" si="184"/>
        <v>1</v>
      </c>
      <c r="J1951" t="str">
        <f t="shared" ca="1" si="185"/>
        <v/>
      </c>
    </row>
    <row r="1952" spans="1:10" ht="18.75" x14ac:dyDescent="0.25">
      <c r="A1952" s="11" t="s">
        <v>2618</v>
      </c>
      <c r="B1952">
        <f>IFERROR(COUNTIFS($A$1:A1952,"Câu "&amp;"*")-MID(A1952,5,FIND(".",A1952,1)-5),0)</f>
        <v>0</v>
      </c>
      <c r="C1952" t="b">
        <v>1</v>
      </c>
      <c r="E1952" t="str">
        <f t="shared" si="180"/>
        <v>2</v>
      </c>
      <c r="F1952" t="str">
        <f t="shared" si="181"/>
        <v>3</v>
      </c>
      <c r="G1952" t="str">
        <f t="shared" si="182"/>
        <v>Câu 473.</v>
      </c>
      <c r="H1952" t="str">
        <f t="shared" si="183"/>
        <v>1</v>
      </c>
      <c r="I1952" t="str">
        <f t="shared" si="184"/>
        <v>2</v>
      </c>
      <c r="J1952" t="str">
        <f t="shared" ca="1" si="185"/>
        <v/>
      </c>
    </row>
    <row r="1953" spans="1:10" ht="18.75" x14ac:dyDescent="0.25">
      <c r="A1953" s="11" t="s">
        <v>2611</v>
      </c>
      <c r="B1953">
        <f>IFERROR(COUNTIFS($A$1:A1953,"Câu "&amp;"*")-MID(A1953,5,FIND(".",A1953,1)-5),0)</f>
        <v>0</v>
      </c>
      <c r="C1953" t="b">
        <v>0</v>
      </c>
      <c r="E1953" t="str">
        <f t="shared" si="180"/>
        <v>3</v>
      </c>
      <c r="F1953" t="str">
        <f t="shared" si="181"/>
        <v>Câu 473.</v>
      </c>
      <c r="G1953" t="str">
        <f t="shared" si="182"/>
        <v>1</v>
      </c>
      <c r="H1953" t="str">
        <f t="shared" si="183"/>
        <v>2</v>
      </c>
      <c r="I1953" t="str">
        <f t="shared" si="184"/>
        <v>3</v>
      </c>
      <c r="J1953" t="str">
        <f t="shared" ca="1" si="185"/>
        <v/>
      </c>
    </row>
    <row r="1954" spans="1:10" ht="18.75" x14ac:dyDescent="0.25">
      <c r="A1954" s="10" t="s">
        <v>1356</v>
      </c>
      <c r="B1954">
        <f>IFERROR(COUNTIFS($A$1:A1954,"Câu "&amp;"*")-MID(A1954,5,FIND(".",A1954,1)-5),0)</f>
        <v>0</v>
      </c>
      <c r="C1954" t="b">
        <v>0</v>
      </c>
      <c r="E1954" t="str">
        <f t="shared" si="180"/>
        <v>Câu 473.</v>
      </c>
      <c r="F1954" t="str">
        <f t="shared" si="181"/>
        <v>1</v>
      </c>
      <c r="G1954" t="str">
        <f t="shared" si="182"/>
        <v>2</v>
      </c>
      <c r="H1954" t="str">
        <f t="shared" si="183"/>
        <v>3</v>
      </c>
      <c r="I1954" t="str">
        <f t="shared" si="184"/>
        <v>4</v>
      </c>
      <c r="J1954" t="str">
        <f t="shared" ca="1" si="185"/>
        <v>2</v>
      </c>
    </row>
    <row r="1955" spans="1:10" ht="18.75" x14ac:dyDescent="0.25">
      <c r="A1955" s="11" t="s">
        <v>2615</v>
      </c>
      <c r="B1955">
        <f>IFERROR(COUNTIFS($A$1:A1955,"Câu "&amp;"*")-MID(A1955,5,FIND(".",A1955,1)-5),0)</f>
        <v>0</v>
      </c>
      <c r="C1955" t="b">
        <v>0</v>
      </c>
      <c r="E1955" t="str">
        <f t="shared" si="180"/>
        <v>1</v>
      </c>
      <c r="F1955" t="str">
        <f t="shared" si="181"/>
        <v>2</v>
      </c>
      <c r="G1955" t="str">
        <f t="shared" si="182"/>
        <v>3</v>
      </c>
      <c r="H1955" t="str">
        <f t="shared" si="183"/>
        <v>4</v>
      </c>
      <c r="I1955" t="str">
        <f t="shared" si="184"/>
        <v/>
      </c>
      <c r="J1955" t="str">
        <f t="shared" ca="1" si="185"/>
        <v/>
      </c>
    </row>
    <row r="1956" spans="1:10" ht="18.75" x14ac:dyDescent="0.25">
      <c r="A1956" s="11" t="s">
        <v>2626</v>
      </c>
      <c r="B1956">
        <f>IFERROR(COUNTIFS($A$1:A1956,"Câu "&amp;"*")-MID(A1956,5,FIND(".",A1956,1)-5),0)</f>
        <v>0</v>
      </c>
      <c r="C1956" t="b">
        <v>1</v>
      </c>
      <c r="E1956" t="str">
        <f t="shared" si="180"/>
        <v>2</v>
      </c>
      <c r="F1956" t="str">
        <f t="shared" si="181"/>
        <v>3</v>
      </c>
      <c r="G1956" t="str">
        <f t="shared" si="182"/>
        <v>4</v>
      </c>
      <c r="H1956" t="str">
        <f t="shared" si="183"/>
        <v/>
      </c>
      <c r="I1956" t="str">
        <f t="shared" si="184"/>
        <v>1</v>
      </c>
      <c r="J1956" t="str">
        <f t="shared" ca="1" si="185"/>
        <v/>
      </c>
    </row>
    <row r="1957" spans="1:10" ht="18.75" x14ac:dyDescent="0.25">
      <c r="A1957" s="11" t="s">
        <v>2742</v>
      </c>
      <c r="B1957">
        <f>IFERROR(COUNTIFS($A$1:A1957,"Câu "&amp;"*")-MID(A1957,5,FIND(".",A1957,1)-5),0)</f>
        <v>0</v>
      </c>
      <c r="C1957" t="b">
        <v>0</v>
      </c>
      <c r="E1957" t="str">
        <f t="shared" si="180"/>
        <v>3</v>
      </c>
      <c r="F1957" t="str">
        <f t="shared" si="181"/>
        <v>4</v>
      </c>
      <c r="G1957" t="str">
        <f t="shared" si="182"/>
        <v>Câu 474.</v>
      </c>
      <c r="H1957" t="str">
        <f t="shared" si="183"/>
        <v>1</v>
      </c>
      <c r="I1957" t="str">
        <f t="shared" si="184"/>
        <v>2</v>
      </c>
      <c r="J1957" t="str">
        <f t="shared" ca="1" si="185"/>
        <v/>
      </c>
    </row>
    <row r="1958" spans="1:10" ht="18.75" x14ac:dyDescent="0.25">
      <c r="A1958" s="11" t="s">
        <v>2627</v>
      </c>
      <c r="B1958">
        <f>IFERROR(COUNTIFS($A$1:A1958,"Câu "&amp;"*")-MID(A1958,5,FIND(".",A1958,1)-5),0)</f>
        <v>0</v>
      </c>
      <c r="C1958" t="b">
        <v>0</v>
      </c>
      <c r="E1958" t="str">
        <f t="shared" si="180"/>
        <v>4</v>
      </c>
      <c r="F1958" t="str">
        <f t="shared" si="181"/>
        <v>Câu 474.</v>
      </c>
      <c r="G1958" t="str">
        <f t="shared" si="182"/>
        <v>1</v>
      </c>
      <c r="H1958" t="str">
        <f t="shared" si="183"/>
        <v>2</v>
      </c>
      <c r="I1958" t="str">
        <f t="shared" si="184"/>
        <v/>
      </c>
      <c r="J1958" t="str">
        <f t="shared" ca="1" si="185"/>
        <v/>
      </c>
    </row>
    <row r="1959" spans="1:10" ht="18.75" x14ac:dyDescent="0.25">
      <c r="A1959" s="10" t="s">
        <v>1357</v>
      </c>
      <c r="B1959">
        <f>IFERROR(COUNTIFS($A$1:A1959,"Câu "&amp;"*")-MID(A1959,5,FIND(".",A1959,1)-5),0)</f>
        <v>0</v>
      </c>
      <c r="C1959" t="b">
        <v>0</v>
      </c>
      <c r="E1959" t="str">
        <f t="shared" si="180"/>
        <v>Câu 474.</v>
      </c>
      <c r="F1959" t="str">
        <f t="shared" si="181"/>
        <v>1</v>
      </c>
      <c r="G1959" t="str">
        <f t="shared" si="182"/>
        <v>2</v>
      </c>
      <c r="H1959" t="str">
        <f t="shared" si="183"/>
        <v/>
      </c>
      <c r="I1959" t="str">
        <f t="shared" si="184"/>
        <v>1</v>
      </c>
      <c r="J1959" t="str">
        <f t="shared" ca="1" si="185"/>
        <v>2</v>
      </c>
    </row>
    <row r="1960" spans="1:10" ht="18.75" x14ac:dyDescent="0.25">
      <c r="A1960" s="11" t="s">
        <v>2603</v>
      </c>
      <c r="B1960">
        <f>IFERROR(COUNTIFS($A$1:A1960,"Câu "&amp;"*")-MID(A1960,5,FIND(".",A1960,1)-5),0)</f>
        <v>0</v>
      </c>
      <c r="C1960" t="b">
        <v>0</v>
      </c>
      <c r="E1960" t="str">
        <f t="shared" si="180"/>
        <v>1</v>
      </c>
      <c r="F1960" t="str">
        <f t="shared" si="181"/>
        <v>2</v>
      </c>
      <c r="G1960" t="str">
        <f t="shared" si="182"/>
        <v>Câu 475.</v>
      </c>
      <c r="H1960" t="str">
        <f t="shared" si="183"/>
        <v>1</v>
      </c>
      <c r="I1960" t="str">
        <f t="shared" si="184"/>
        <v>C</v>
      </c>
      <c r="J1960" t="str">
        <f t="shared" ca="1" si="185"/>
        <v/>
      </c>
    </row>
    <row r="1961" spans="1:10" ht="18.75" x14ac:dyDescent="0.25">
      <c r="A1961" s="11" t="s">
        <v>2618</v>
      </c>
      <c r="B1961">
        <f>IFERROR(COUNTIFS($A$1:A1961,"Câu "&amp;"*")-MID(A1961,5,FIND(".",A1961,1)-5),0)</f>
        <v>0</v>
      </c>
      <c r="C1961" t="b">
        <v>1</v>
      </c>
      <c r="E1961" t="str">
        <f t="shared" si="180"/>
        <v>2</v>
      </c>
      <c r="F1961" t="str">
        <f t="shared" si="181"/>
        <v>Câu 475.</v>
      </c>
      <c r="G1961" t="str">
        <f t="shared" si="182"/>
        <v>1</v>
      </c>
      <c r="H1961" t="str">
        <f t="shared" si="183"/>
        <v>C</v>
      </c>
      <c r="I1961" t="str">
        <f t="shared" si="184"/>
        <v>2</v>
      </c>
      <c r="J1961" t="str">
        <f t="shared" ca="1" si="185"/>
        <v/>
      </c>
    </row>
    <row r="1962" spans="1:10" ht="18.75" x14ac:dyDescent="0.25">
      <c r="A1962" s="10" t="s">
        <v>1358</v>
      </c>
      <c r="B1962">
        <f>IFERROR(COUNTIFS($A$1:A1962,"Câu "&amp;"*")-MID(A1962,5,FIND(".",A1962,1)-5),0)</f>
        <v>0</v>
      </c>
      <c r="C1962" t="b">
        <v>0</v>
      </c>
      <c r="E1962" t="str">
        <f t="shared" si="180"/>
        <v>Câu 475.</v>
      </c>
      <c r="F1962" t="str">
        <f t="shared" si="181"/>
        <v>1</v>
      </c>
      <c r="G1962" t="str">
        <f t="shared" si="182"/>
        <v>C</v>
      </c>
      <c r="H1962" t="str">
        <f t="shared" si="183"/>
        <v>2</v>
      </c>
      <c r="I1962" t="str">
        <f t="shared" si="184"/>
        <v/>
      </c>
      <c r="J1962" t="str">
        <f t="shared" ca="1" si="185"/>
        <v>2</v>
      </c>
    </row>
    <row r="1963" spans="1:10" ht="18.75" x14ac:dyDescent="0.25">
      <c r="A1963" s="3" t="s">
        <v>2743</v>
      </c>
      <c r="B1963">
        <f>IFERROR(COUNTIFS($A$1:A1963,"Câu "&amp;"*")-MID(A1963,5,FIND(".",A1963,1)-5),0)</f>
        <v>0</v>
      </c>
      <c r="C1963" t="b">
        <v>0</v>
      </c>
      <c r="E1963" t="str">
        <f t="shared" si="180"/>
        <v>1</v>
      </c>
      <c r="F1963" t="str">
        <f t="shared" si="181"/>
        <v>C</v>
      </c>
      <c r="G1963" t="str">
        <f t="shared" si="182"/>
        <v>2</v>
      </c>
      <c r="H1963" t="str">
        <f t="shared" si="183"/>
        <v/>
      </c>
      <c r="I1963" t="str">
        <f t="shared" si="184"/>
        <v>1</v>
      </c>
      <c r="J1963" t="str">
        <f t="shared" ca="1" si="185"/>
        <v/>
      </c>
    </row>
    <row r="1964" spans="1:10" ht="409.5" x14ac:dyDescent="0.25">
      <c r="A1964" s="3" t="s">
        <v>1359</v>
      </c>
      <c r="B1964">
        <f>IFERROR(COUNTIFS($A$1:A1964,"Câu "&amp;"*")-MID(A1964,5,FIND(".",A1964,1)-5),0)</f>
        <v>0</v>
      </c>
      <c r="C1964" t="b">
        <v>0</v>
      </c>
      <c r="E1964" t="str">
        <f t="shared" si="180"/>
        <v>C</v>
      </c>
      <c r="F1964" t="str">
        <f t="shared" si="181"/>
        <v>2</v>
      </c>
      <c r="G1964" t="str">
        <f t="shared" si="182"/>
        <v>Câu 476.</v>
      </c>
      <c r="H1964" t="str">
        <f t="shared" si="183"/>
        <v>1</v>
      </c>
      <c r="I1964" t="str">
        <f t="shared" si="184"/>
        <v>2</v>
      </c>
      <c r="J1964" t="str">
        <f t="shared" ca="1" si="185"/>
        <v/>
      </c>
    </row>
    <row r="1965" spans="1:10" ht="393.75" x14ac:dyDescent="0.25">
      <c r="A1965" s="3" t="s">
        <v>2744</v>
      </c>
      <c r="B1965">
        <f>IFERROR(COUNTIFS($A$1:A1965,"Câu "&amp;"*")-MID(A1965,5,FIND(".",A1965,1)-5),0)</f>
        <v>0</v>
      </c>
      <c r="C1965" t="b">
        <v>1</v>
      </c>
      <c r="E1965" t="str">
        <f t="shared" si="180"/>
        <v>2</v>
      </c>
      <c r="F1965" t="str">
        <f t="shared" si="181"/>
        <v>Câu 476.</v>
      </c>
      <c r="G1965" t="str">
        <f t="shared" si="182"/>
        <v>1</v>
      </c>
      <c r="H1965" t="str">
        <f t="shared" si="183"/>
        <v>2</v>
      </c>
      <c r="I1965" t="str">
        <f t="shared" si="184"/>
        <v>3</v>
      </c>
      <c r="J1965" t="str">
        <f t="shared" ca="1" si="185"/>
        <v/>
      </c>
    </row>
    <row r="1966" spans="1:10" ht="18.75" x14ac:dyDescent="0.25">
      <c r="A1966" s="10" t="s">
        <v>1361</v>
      </c>
      <c r="B1966">
        <f>IFERROR(COUNTIFS($A$1:A1966,"Câu "&amp;"*")-MID(A1966,5,FIND(".",A1966,1)-5),0)</f>
        <v>0</v>
      </c>
      <c r="C1966" t="b">
        <v>0</v>
      </c>
      <c r="E1966" t="str">
        <f t="shared" si="180"/>
        <v>Câu 476.</v>
      </c>
      <c r="F1966" t="str">
        <f t="shared" si="181"/>
        <v>1</v>
      </c>
      <c r="G1966" t="str">
        <f t="shared" si="182"/>
        <v>2</v>
      </c>
      <c r="H1966" t="str">
        <f t="shared" si="183"/>
        <v>3</v>
      </c>
      <c r="I1966" t="str">
        <f t="shared" si="184"/>
        <v>4</v>
      </c>
      <c r="J1966" t="str">
        <f t="shared" ca="1" si="185"/>
        <v>3</v>
      </c>
    </row>
    <row r="1967" spans="1:10" ht="18.75" x14ac:dyDescent="0.25">
      <c r="A1967" s="11" t="s">
        <v>2745</v>
      </c>
      <c r="B1967">
        <f>IFERROR(COUNTIFS($A$1:A1967,"Câu "&amp;"*")-MID(A1967,5,FIND(".",A1967,1)-5),0)</f>
        <v>0</v>
      </c>
      <c r="C1967" t="b">
        <v>0</v>
      </c>
      <c r="E1967" t="str">
        <f t="shared" si="180"/>
        <v>1</v>
      </c>
      <c r="F1967" t="str">
        <f t="shared" si="181"/>
        <v>2</v>
      </c>
      <c r="G1967" t="str">
        <f t="shared" si="182"/>
        <v>3</v>
      </c>
      <c r="H1967" t="str">
        <f t="shared" si="183"/>
        <v>4</v>
      </c>
      <c r="I1967" t="str">
        <f t="shared" si="184"/>
        <v/>
      </c>
      <c r="J1967" t="str">
        <f t="shared" ca="1" si="185"/>
        <v/>
      </c>
    </row>
    <row r="1968" spans="1:10" ht="18.75" x14ac:dyDescent="0.25">
      <c r="A1968" s="11" t="s">
        <v>2746</v>
      </c>
      <c r="B1968">
        <f>IFERROR(COUNTIFS($A$1:A1968,"Câu "&amp;"*")-MID(A1968,5,FIND(".",A1968,1)-5),0)</f>
        <v>0</v>
      </c>
      <c r="C1968" t="b">
        <v>0</v>
      </c>
      <c r="E1968" t="str">
        <f t="shared" si="180"/>
        <v>2</v>
      </c>
      <c r="F1968" t="str">
        <f t="shared" si="181"/>
        <v>3</v>
      </c>
      <c r="G1968" t="str">
        <f t="shared" si="182"/>
        <v>4</v>
      </c>
      <c r="H1968" t="str">
        <f t="shared" si="183"/>
        <v/>
      </c>
      <c r="I1968" t="str">
        <f t="shared" si="184"/>
        <v>1</v>
      </c>
      <c r="J1968" t="str">
        <f t="shared" ca="1" si="185"/>
        <v/>
      </c>
    </row>
    <row r="1969" spans="1:10" ht="18.75" x14ac:dyDescent="0.25">
      <c r="A1969" s="11" t="s">
        <v>2747</v>
      </c>
      <c r="B1969">
        <f>IFERROR(COUNTIFS($A$1:A1969,"Câu "&amp;"*")-MID(A1969,5,FIND(".",A1969,1)-5),0)</f>
        <v>0</v>
      </c>
      <c r="C1969" t="b">
        <v>1</v>
      </c>
      <c r="E1969" t="str">
        <f t="shared" si="180"/>
        <v>3</v>
      </c>
      <c r="F1969" t="str">
        <f t="shared" si="181"/>
        <v>4</v>
      </c>
      <c r="G1969" t="str">
        <f t="shared" si="182"/>
        <v>Câu 477.</v>
      </c>
      <c r="H1969" t="str">
        <f t="shared" si="183"/>
        <v>1</v>
      </c>
      <c r="I1969" t="str">
        <f t="shared" si="184"/>
        <v>2</v>
      </c>
      <c r="J1969" t="str">
        <f t="shared" ca="1" si="185"/>
        <v/>
      </c>
    </row>
    <row r="1970" spans="1:10" ht="18.75" x14ac:dyDescent="0.25">
      <c r="A1970" s="11" t="s">
        <v>2748</v>
      </c>
      <c r="B1970">
        <f>IFERROR(COUNTIFS($A$1:A1970,"Câu "&amp;"*")-MID(A1970,5,FIND(".",A1970,1)-5),0)</f>
        <v>0</v>
      </c>
      <c r="C1970" t="b">
        <v>0</v>
      </c>
      <c r="E1970" t="str">
        <f t="shared" si="180"/>
        <v>4</v>
      </c>
      <c r="F1970" t="str">
        <f t="shared" si="181"/>
        <v>Câu 477.</v>
      </c>
      <c r="G1970" t="str">
        <f t="shared" si="182"/>
        <v>1</v>
      </c>
      <c r="H1970" t="str">
        <f t="shared" si="183"/>
        <v>2</v>
      </c>
      <c r="I1970" t="str">
        <f t="shared" si="184"/>
        <v>3</v>
      </c>
      <c r="J1970" t="str">
        <f t="shared" ca="1" si="185"/>
        <v/>
      </c>
    </row>
    <row r="1971" spans="1:10" ht="18.75" x14ac:dyDescent="0.25">
      <c r="A1971" s="10" t="s">
        <v>1366</v>
      </c>
      <c r="B1971">
        <f>IFERROR(COUNTIFS($A$1:A1971,"Câu "&amp;"*")-MID(A1971,5,FIND(".",A1971,1)-5),0)</f>
        <v>0</v>
      </c>
      <c r="C1971" t="b">
        <v>0</v>
      </c>
      <c r="E1971" t="str">
        <f t="shared" si="180"/>
        <v>Câu 477.</v>
      </c>
      <c r="F1971" t="str">
        <f t="shared" si="181"/>
        <v>1</v>
      </c>
      <c r="G1971" t="str">
        <f t="shared" si="182"/>
        <v>2</v>
      </c>
      <c r="H1971" t="str">
        <f t="shared" si="183"/>
        <v>3</v>
      </c>
      <c r="I1971" t="str">
        <f t="shared" si="184"/>
        <v>4</v>
      </c>
      <c r="J1971" t="str">
        <f t="shared" ca="1" si="185"/>
        <v>4</v>
      </c>
    </row>
    <row r="1972" spans="1:10" ht="18.75" x14ac:dyDescent="0.25">
      <c r="A1972" s="11" t="s">
        <v>2745</v>
      </c>
      <c r="B1972">
        <f>IFERROR(COUNTIFS($A$1:A1972,"Câu "&amp;"*")-MID(A1972,5,FIND(".",A1972,1)-5),0)</f>
        <v>0</v>
      </c>
      <c r="C1972" t="b">
        <v>0</v>
      </c>
      <c r="E1972" t="str">
        <f t="shared" si="180"/>
        <v>1</v>
      </c>
      <c r="F1972" t="str">
        <f t="shared" si="181"/>
        <v>2</v>
      </c>
      <c r="G1972" t="str">
        <f t="shared" si="182"/>
        <v>3</v>
      </c>
      <c r="H1972" t="str">
        <f t="shared" si="183"/>
        <v>4</v>
      </c>
      <c r="I1972" t="str">
        <f t="shared" si="184"/>
        <v/>
      </c>
      <c r="J1972" t="str">
        <f t="shared" ca="1" si="185"/>
        <v/>
      </c>
    </row>
    <row r="1973" spans="1:10" ht="18.75" x14ac:dyDescent="0.25">
      <c r="A1973" s="11" t="s">
        <v>2749</v>
      </c>
      <c r="B1973">
        <f>IFERROR(COUNTIFS($A$1:A1973,"Câu "&amp;"*")-MID(A1973,5,FIND(".",A1973,1)-5),0)</f>
        <v>0</v>
      </c>
      <c r="C1973" t="b">
        <v>0</v>
      </c>
      <c r="E1973" t="str">
        <f t="shared" si="180"/>
        <v>2</v>
      </c>
      <c r="F1973" t="str">
        <f t="shared" si="181"/>
        <v>3</v>
      </c>
      <c r="G1973" t="str">
        <f t="shared" si="182"/>
        <v>4</v>
      </c>
      <c r="H1973" t="str">
        <f t="shared" si="183"/>
        <v/>
      </c>
      <c r="I1973" t="str">
        <f t="shared" si="184"/>
        <v>1</v>
      </c>
      <c r="J1973" t="str">
        <f t="shared" ca="1" si="185"/>
        <v/>
      </c>
    </row>
    <row r="1974" spans="1:10" ht="18.75" x14ac:dyDescent="0.25">
      <c r="A1974" s="11" t="s">
        <v>2750</v>
      </c>
      <c r="B1974">
        <f>IFERROR(COUNTIFS($A$1:A1974,"Câu "&amp;"*")-MID(A1974,5,FIND(".",A1974,1)-5),0)</f>
        <v>0</v>
      </c>
      <c r="C1974" t="b">
        <v>0</v>
      </c>
      <c r="E1974" t="str">
        <f t="shared" si="180"/>
        <v>3</v>
      </c>
      <c r="F1974" t="str">
        <f t="shared" si="181"/>
        <v>4</v>
      </c>
      <c r="G1974" t="str">
        <f t="shared" si="182"/>
        <v>Câu 478.</v>
      </c>
      <c r="H1974" t="str">
        <f t="shared" si="183"/>
        <v>1</v>
      </c>
      <c r="I1974" t="str">
        <f t="shared" si="184"/>
        <v>2</v>
      </c>
      <c r="J1974" t="str">
        <f t="shared" ca="1" si="185"/>
        <v/>
      </c>
    </row>
    <row r="1975" spans="1:10" ht="18.75" x14ac:dyDescent="0.25">
      <c r="A1975" s="11" t="s">
        <v>2751</v>
      </c>
      <c r="B1975">
        <f>IFERROR(COUNTIFS($A$1:A1975,"Câu "&amp;"*")-MID(A1975,5,FIND(".",A1975,1)-5),0)</f>
        <v>0</v>
      </c>
      <c r="C1975" t="b">
        <v>1</v>
      </c>
      <c r="E1975" t="str">
        <f t="shared" si="180"/>
        <v>4</v>
      </c>
      <c r="F1975" t="str">
        <f t="shared" si="181"/>
        <v>Câu 478.</v>
      </c>
      <c r="G1975" t="str">
        <f t="shared" si="182"/>
        <v>1</v>
      </c>
      <c r="H1975" t="str">
        <f t="shared" si="183"/>
        <v>2</v>
      </c>
      <c r="I1975" t="str">
        <f t="shared" si="184"/>
        <v>3</v>
      </c>
      <c r="J1975" t="str">
        <f t="shared" ca="1" si="185"/>
        <v/>
      </c>
    </row>
    <row r="1976" spans="1:10" ht="18.75" x14ac:dyDescent="0.25">
      <c r="A1976" s="10" t="s">
        <v>1370</v>
      </c>
      <c r="B1976">
        <f>IFERROR(COUNTIFS($A$1:A1976,"Câu "&amp;"*")-MID(A1976,5,FIND(".",A1976,1)-5),0)</f>
        <v>0</v>
      </c>
      <c r="C1976" t="b">
        <v>0</v>
      </c>
      <c r="E1976" t="str">
        <f t="shared" si="180"/>
        <v>Câu 478.</v>
      </c>
      <c r="F1976" t="str">
        <f t="shared" si="181"/>
        <v>1</v>
      </c>
      <c r="G1976" t="str">
        <f t="shared" si="182"/>
        <v>2</v>
      </c>
      <c r="H1976" t="str">
        <f t="shared" si="183"/>
        <v>3</v>
      </c>
      <c r="I1976" t="str">
        <f t="shared" si="184"/>
        <v>4</v>
      </c>
      <c r="J1976" t="str">
        <f t="shared" ca="1" si="185"/>
        <v>2</v>
      </c>
    </row>
    <row r="1977" spans="1:10" ht="18.75" x14ac:dyDescent="0.25">
      <c r="A1977" s="11" t="s">
        <v>2745</v>
      </c>
      <c r="B1977">
        <f>IFERROR(COUNTIFS($A$1:A1977,"Câu "&amp;"*")-MID(A1977,5,FIND(".",A1977,1)-5),0)</f>
        <v>0</v>
      </c>
      <c r="C1977" t="b">
        <v>0</v>
      </c>
      <c r="E1977" t="str">
        <f t="shared" si="180"/>
        <v>1</v>
      </c>
      <c r="F1977" t="str">
        <f t="shared" si="181"/>
        <v>2</v>
      </c>
      <c r="G1977" t="str">
        <f t="shared" si="182"/>
        <v>3</v>
      </c>
      <c r="H1977" t="str">
        <f t="shared" si="183"/>
        <v>4</v>
      </c>
      <c r="I1977" t="str">
        <f t="shared" si="184"/>
        <v/>
      </c>
      <c r="J1977" t="str">
        <f t="shared" ca="1" si="185"/>
        <v/>
      </c>
    </row>
    <row r="1978" spans="1:10" ht="18.75" x14ac:dyDescent="0.25">
      <c r="A1978" s="11" t="s">
        <v>2752</v>
      </c>
      <c r="B1978">
        <f>IFERROR(COUNTIFS($A$1:A1978,"Câu "&amp;"*")-MID(A1978,5,FIND(".",A1978,1)-5),0)</f>
        <v>0</v>
      </c>
      <c r="C1978" t="b">
        <v>1</v>
      </c>
      <c r="E1978" t="str">
        <f t="shared" si="180"/>
        <v>2</v>
      </c>
      <c r="F1978" t="str">
        <f t="shared" si="181"/>
        <v>3</v>
      </c>
      <c r="G1978" t="str">
        <f t="shared" si="182"/>
        <v>4</v>
      </c>
      <c r="H1978" t="str">
        <f t="shared" si="183"/>
        <v/>
      </c>
      <c r="I1978" t="str">
        <f t="shared" si="184"/>
        <v>1</v>
      </c>
      <c r="J1978" t="str">
        <f t="shared" ca="1" si="185"/>
        <v/>
      </c>
    </row>
    <row r="1979" spans="1:10" ht="18.75" x14ac:dyDescent="0.25">
      <c r="A1979" s="11" t="s">
        <v>2750</v>
      </c>
      <c r="B1979">
        <f>IFERROR(COUNTIFS($A$1:A1979,"Câu "&amp;"*")-MID(A1979,5,FIND(".",A1979,1)-5),0)</f>
        <v>0</v>
      </c>
      <c r="C1979" t="b">
        <v>0</v>
      </c>
      <c r="E1979" t="str">
        <f t="shared" si="180"/>
        <v>3</v>
      </c>
      <c r="F1979" t="str">
        <f t="shared" si="181"/>
        <v>4</v>
      </c>
      <c r="G1979" t="str">
        <f t="shared" si="182"/>
        <v>Câu 479.</v>
      </c>
      <c r="H1979" t="str">
        <f t="shared" si="183"/>
        <v>1</v>
      </c>
      <c r="I1979" t="str">
        <f t="shared" si="184"/>
        <v>2</v>
      </c>
      <c r="J1979" t="str">
        <f t="shared" ca="1" si="185"/>
        <v/>
      </c>
    </row>
    <row r="1980" spans="1:10" ht="18.75" x14ac:dyDescent="0.25">
      <c r="A1980" s="11" t="s">
        <v>2753</v>
      </c>
      <c r="B1980">
        <f>IFERROR(COUNTIFS($A$1:A1980,"Câu "&amp;"*")-MID(A1980,5,FIND(".",A1980,1)-5),0)</f>
        <v>0</v>
      </c>
      <c r="C1980" t="b">
        <v>0</v>
      </c>
      <c r="E1980" t="str">
        <f t="shared" si="180"/>
        <v>4</v>
      </c>
      <c r="F1980" t="str">
        <f t="shared" si="181"/>
        <v>Câu 479.</v>
      </c>
      <c r="G1980" t="str">
        <f t="shared" si="182"/>
        <v>1</v>
      </c>
      <c r="H1980" t="str">
        <f t="shared" si="183"/>
        <v>2</v>
      </c>
      <c r="I1980" t="str">
        <f t="shared" si="184"/>
        <v>3</v>
      </c>
      <c r="J1980" t="str">
        <f t="shared" ca="1" si="185"/>
        <v/>
      </c>
    </row>
    <row r="1981" spans="1:10" ht="18.75" x14ac:dyDescent="0.25">
      <c r="A1981" s="10" t="s">
        <v>1373</v>
      </c>
      <c r="B1981">
        <f>IFERROR(COUNTIFS($A$1:A1981,"Câu "&amp;"*")-MID(A1981,5,FIND(".",A1981,1)-5),0)</f>
        <v>0</v>
      </c>
      <c r="C1981" t="b">
        <v>0</v>
      </c>
      <c r="E1981" t="str">
        <f t="shared" si="180"/>
        <v>Câu 479.</v>
      </c>
      <c r="F1981" t="str">
        <f t="shared" si="181"/>
        <v>1</v>
      </c>
      <c r="G1981" t="str">
        <f t="shared" si="182"/>
        <v>2</v>
      </c>
      <c r="H1981" t="str">
        <f t="shared" si="183"/>
        <v>3</v>
      </c>
      <c r="I1981" t="str">
        <f t="shared" si="184"/>
        <v>4</v>
      </c>
      <c r="J1981" t="str">
        <f t="shared" ca="1" si="185"/>
        <v>4</v>
      </c>
    </row>
    <row r="1982" spans="1:10" ht="18.75" x14ac:dyDescent="0.25">
      <c r="A1982" s="11" t="s">
        <v>2745</v>
      </c>
      <c r="B1982">
        <f>IFERROR(COUNTIFS($A$1:A1982,"Câu "&amp;"*")-MID(A1982,5,FIND(".",A1982,1)-5),0)</f>
        <v>0</v>
      </c>
      <c r="C1982" t="b">
        <v>0</v>
      </c>
      <c r="E1982" t="str">
        <f t="shared" si="180"/>
        <v>1</v>
      </c>
      <c r="F1982" t="str">
        <f t="shared" si="181"/>
        <v>2</v>
      </c>
      <c r="G1982" t="str">
        <f t="shared" si="182"/>
        <v>3</v>
      </c>
      <c r="H1982" t="str">
        <f t="shared" si="183"/>
        <v>4</v>
      </c>
      <c r="I1982" t="str">
        <f t="shared" si="184"/>
        <v/>
      </c>
      <c r="J1982" t="str">
        <f t="shared" ca="1" si="185"/>
        <v/>
      </c>
    </row>
    <row r="1983" spans="1:10" ht="18.75" x14ac:dyDescent="0.25">
      <c r="A1983" s="11" t="s">
        <v>2749</v>
      </c>
      <c r="B1983">
        <f>IFERROR(COUNTIFS($A$1:A1983,"Câu "&amp;"*")-MID(A1983,5,FIND(".",A1983,1)-5),0)</f>
        <v>0</v>
      </c>
      <c r="C1983" t="b">
        <v>0</v>
      </c>
      <c r="E1983" t="str">
        <f t="shared" si="180"/>
        <v>2</v>
      </c>
      <c r="F1983" t="str">
        <f t="shared" si="181"/>
        <v>3</v>
      </c>
      <c r="G1983" t="str">
        <f t="shared" si="182"/>
        <v>4</v>
      </c>
      <c r="H1983" t="str">
        <f t="shared" si="183"/>
        <v/>
      </c>
      <c r="I1983" t="str">
        <f t="shared" si="184"/>
        <v>1</v>
      </c>
      <c r="J1983" t="str">
        <f t="shared" ca="1" si="185"/>
        <v/>
      </c>
    </row>
    <row r="1984" spans="1:10" ht="18.75" x14ac:dyDescent="0.25">
      <c r="A1984" s="11" t="s">
        <v>2750</v>
      </c>
      <c r="B1984">
        <f>IFERROR(COUNTIFS($A$1:A1984,"Câu "&amp;"*")-MID(A1984,5,FIND(".",A1984,1)-5),0)</f>
        <v>0</v>
      </c>
      <c r="C1984" t="b">
        <v>0</v>
      </c>
      <c r="E1984" t="str">
        <f t="shared" si="180"/>
        <v>3</v>
      </c>
      <c r="F1984" t="str">
        <f t="shared" si="181"/>
        <v>4</v>
      </c>
      <c r="G1984" t="str">
        <f t="shared" si="182"/>
        <v>Câu 480.</v>
      </c>
      <c r="H1984" t="str">
        <f t="shared" si="183"/>
        <v>1</v>
      </c>
      <c r="I1984" t="str">
        <f t="shared" si="184"/>
        <v>2</v>
      </c>
      <c r="J1984" t="str">
        <f t="shared" ca="1" si="185"/>
        <v/>
      </c>
    </row>
    <row r="1985" spans="1:10" ht="18.75" x14ac:dyDescent="0.25">
      <c r="A1985" s="11" t="s">
        <v>2754</v>
      </c>
      <c r="B1985">
        <f>IFERROR(COUNTIFS($A$1:A1985,"Câu "&amp;"*")-MID(A1985,5,FIND(".",A1985,1)-5),0)</f>
        <v>0</v>
      </c>
      <c r="C1985" t="b">
        <v>1</v>
      </c>
      <c r="E1985" t="str">
        <f t="shared" si="180"/>
        <v>4</v>
      </c>
      <c r="F1985" t="str">
        <f t="shared" si="181"/>
        <v>Câu 480.</v>
      </c>
      <c r="G1985" t="str">
        <f t="shared" si="182"/>
        <v>1</v>
      </c>
      <c r="H1985" t="str">
        <f t="shared" si="183"/>
        <v>2</v>
      </c>
      <c r="I1985" t="str">
        <f t="shared" si="184"/>
        <v/>
      </c>
      <c r="J1985" t="str">
        <f t="shared" ca="1" si="185"/>
        <v/>
      </c>
    </row>
    <row r="1986" spans="1:10" ht="18.75" x14ac:dyDescent="0.25">
      <c r="A1986" s="10" t="s">
        <v>1375</v>
      </c>
      <c r="B1986">
        <f>IFERROR(COUNTIFS($A$1:A1986,"Câu "&amp;"*")-MID(A1986,5,FIND(".",A1986,1)-5),0)</f>
        <v>0</v>
      </c>
      <c r="C1986" t="b">
        <v>0</v>
      </c>
      <c r="E1986" t="str">
        <f t="shared" si="180"/>
        <v>Câu 480.</v>
      </c>
      <c r="F1986" t="str">
        <f t="shared" si="181"/>
        <v>1</v>
      </c>
      <c r="G1986" t="str">
        <f t="shared" si="182"/>
        <v>2</v>
      </c>
      <c r="H1986" t="str">
        <f t="shared" si="183"/>
        <v/>
      </c>
      <c r="I1986" t="str">
        <f t="shared" si="184"/>
        <v>1</v>
      </c>
      <c r="J1986" t="str">
        <f t="shared" ca="1" si="185"/>
        <v>1</v>
      </c>
    </row>
    <row r="1987" spans="1:10" ht="18.75" x14ac:dyDescent="0.25">
      <c r="A1987" s="11" t="s">
        <v>2755</v>
      </c>
      <c r="B1987">
        <f>IFERROR(COUNTIFS($A$1:A1987,"Câu "&amp;"*")-MID(A1987,5,FIND(".",A1987,1)-5),0)</f>
        <v>0</v>
      </c>
      <c r="C1987" t="b">
        <v>1</v>
      </c>
      <c r="E1987" t="str">
        <f t="shared" ref="E1987:E2050" si="186">IF(LEFT(A1987,3)="Câu",LEFT(A1987,FIND(".",A1987,1)),LEFT(A1987,1))</f>
        <v>1</v>
      </c>
      <c r="F1987" t="str">
        <f t="shared" ref="F1987:F2050" si="187">IF(LEFT(A1988,3)="Câu",LEFT(A1988,FIND(".",A1988,1)),LEFT(A1988,1))</f>
        <v>2</v>
      </c>
      <c r="G1987" t="str">
        <f t="shared" ref="G1987:G2050" si="188">IF(LEFT(A1989,3)="Câu",LEFT(A1989,FIND(".",A1989,1)),LEFT(A1989,1))</f>
        <v>Câu 481.</v>
      </c>
      <c r="H1987" t="str">
        <f t="shared" ref="H1987:H2050" si="189">IF(LEFT(A1990,3)="Câu","",LEFT(A1990,1))</f>
        <v>1</v>
      </c>
      <c r="I1987" t="str">
        <f t="shared" ref="I1987:I2050" si="190">IF(LEFT(A1991,3)="Câu","",LEFT(A1991,1))</f>
        <v>2</v>
      </c>
      <c r="J1987" t="str">
        <f t="shared" ref="J1987:J2050" ca="1" si="191">IFERROR(VLOOKUP(TRUE,INDIRECT("C"&amp;MATCH(E1987,$E$1:$E$2471,0)&amp;":E"&amp;MATCH("Câu "&amp;VALUE(MID(E1987,5,LEN(E1987)-5))+1&amp;".",$E$1:$E$2471,0)),3,0),"")</f>
        <v/>
      </c>
    </row>
    <row r="1988" spans="1:10" ht="18.75" x14ac:dyDescent="0.25">
      <c r="A1988" s="11" t="s">
        <v>2756</v>
      </c>
      <c r="B1988">
        <f>IFERROR(COUNTIFS($A$1:A1988,"Câu "&amp;"*")-MID(A1988,5,FIND(".",A1988,1)-5),0)</f>
        <v>0</v>
      </c>
      <c r="C1988" t="b">
        <v>0</v>
      </c>
      <c r="E1988" t="str">
        <f t="shared" si="186"/>
        <v>2</v>
      </c>
      <c r="F1988" t="str">
        <f t="shared" si="187"/>
        <v>Câu 481.</v>
      </c>
      <c r="G1988" t="str">
        <f t="shared" si="188"/>
        <v>1</v>
      </c>
      <c r="H1988" t="str">
        <f t="shared" si="189"/>
        <v>2</v>
      </c>
      <c r="I1988" t="str">
        <f t="shared" si="190"/>
        <v/>
      </c>
      <c r="J1988" t="str">
        <f t="shared" ca="1" si="191"/>
        <v/>
      </c>
    </row>
    <row r="1989" spans="1:10" ht="18.75" x14ac:dyDescent="0.25">
      <c r="A1989" s="10" t="s">
        <v>1378</v>
      </c>
      <c r="B1989">
        <f>IFERROR(COUNTIFS($A$1:A1989,"Câu "&amp;"*")-MID(A1989,5,FIND(".",A1989,1)-5),0)</f>
        <v>0</v>
      </c>
      <c r="C1989" t="b">
        <v>0</v>
      </c>
      <c r="E1989" t="str">
        <f t="shared" si="186"/>
        <v>Câu 481.</v>
      </c>
      <c r="F1989" t="str">
        <f t="shared" si="187"/>
        <v>1</v>
      </c>
      <c r="G1989" t="str">
        <f t="shared" si="188"/>
        <v>2</v>
      </c>
      <c r="H1989" t="str">
        <f t="shared" si="189"/>
        <v/>
      </c>
      <c r="I1989" t="str">
        <f t="shared" si="190"/>
        <v>1</v>
      </c>
      <c r="J1989" t="str">
        <f t="shared" ca="1" si="191"/>
        <v>2</v>
      </c>
    </row>
    <row r="1990" spans="1:10" ht="18.75" x14ac:dyDescent="0.25">
      <c r="A1990" s="11" t="s">
        <v>2757</v>
      </c>
      <c r="B1990">
        <f>IFERROR(COUNTIFS($A$1:A1990,"Câu "&amp;"*")-MID(A1990,5,FIND(".",A1990,1)-5),0)</f>
        <v>0</v>
      </c>
      <c r="C1990" t="b">
        <v>0</v>
      </c>
      <c r="E1990" t="str">
        <f t="shared" si="186"/>
        <v>1</v>
      </c>
      <c r="F1990" t="str">
        <f t="shared" si="187"/>
        <v>2</v>
      </c>
      <c r="G1990" t="str">
        <f t="shared" si="188"/>
        <v>Câu 482.</v>
      </c>
      <c r="H1990" t="str">
        <f t="shared" si="189"/>
        <v>1</v>
      </c>
      <c r="I1990" t="str">
        <f t="shared" si="190"/>
        <v>2</v>
      </c>
      <c r="J1990" t="str">
        <f t="shared" ca="1" si="191"/>
        <v/>
      </c>
    </row>
    <row r="1991" spans="1:10" ht="18.75" x14ac:dyDescent="0.25">
      <c r="A1991" s="11" t="s">
        <v>2758</v>
      </c>
      <c r="B1991">
        <f>IFERROR(COUNTIFS($A$1:A1991,"Câu "&amp;"*")-MID(A1991,5,FIND(".",A1991,1)-5),0)</f>
        <v>0</v>
      </c>
      <c r="C1991" t="b">
        <v>1</v>
      </c>
      <c r="E1991" t="str">
        <f t="shared" si="186"/>
        <v>2</v>
      </c>
      <c r="F1991" t="str">
        <f t="shared" si="187"/>
        <v>Câu 482.</v>
      </c>
      <c r="G1991" t="str">
        <f t="shared" si="188"/>
        <v>1</v>
      </c>
      <c r="H1991" t="str">
        <f t="shared" si="189"/>
        <v>2</v>
      </c>
      <c r="I1991" t="str">
        <f t="shared" si="190"/>
        <v>3</v>
      </c>
      <c r="J1991" t="str">
        <f t="shared" ca="1" si="191"/>
        <v/>
      </c>
    </row>
    <row r="1992" spans="1:10" ht="18.75" x14ac:dyDescent="0.25">
      <c r="A1992" s="10" t="s">
        <v>1381</v>
      </c>
      <c r="B1992">
        <f>IFERROR(COUNTIFS($A$1:A1992,"Câu "&amp;"*")-MID(A1992,5,FIND(".",A1992,1)-5),0)</f>
        <v>0</v>
      </c>
      <c r="C1992" t="b">
        <v>0</v>
      </c>
      <c r="E1992" t="str">
        <f t="shared" si="186"/>
        <v>Câu 482.</v>
      </c>
      <c r="F1992" t="str">
        <f t="shared" si="187"/>
        <v>1</v>
      </c>
      <c r="G1992" t="str">
        <f t="shared" si="188"/>
        <v>2</v>
      </c>
      <c r="H1992" t="str">
        <f t="shared" si="189"/>
        <v>3</v>
      </c>
      <c r="I1992" t="str">
        <f t="shared" si="190"/>
        <v>4</v>
      </c>
      <c r="J1992" t="str">
        <f t="shared" ca="1" si="191"/>
        <v>4</v>
      </c>
    </row>
    <row r="1993" spans="1:10" ht="18.75" x14ac:dyDescent="0.25">
      <c r="A1993" s="11" t="s">
        <v>2745</v>
      </c>
      <c r="B1993">
        <f>IFERROR(COUNTIFS($A$1:A1993,"Câu "&amp;"*")-MID(A1993,5,FIND(".",A1993,1)-5),0)</f>
        <v>0</v>
      </c>
      <c r="C1993" t="b">
        <v>0</v>
      </c>
      <c r="E1993" t="str">
        <f t="shared" si="186"/>
        <v>1</v>
      </c>
      <c r="F1993" t="str">
        <f t="shared" si="187"/>
        <v>2</v>
      </c>
      <c r="G1993" t="str">
        <f t="shared" si="188"/>
        <v>3</v>
      </c>
      <c r="H1993" t="str">
        <f t="shared" si="189"/>
        <v>4</v>
      </c>
      <c r="I1993" t="str">
        <f t="shared" si="190"/>
        <v/>
      </c>
      <c r="J1993" t="str">
        <f t="shared" ca="1" si="191"/>
        <v/>
      </c>
    </row>
    <row r="1994" spans="1:10" ht="18.75" x14ac:dyDescent="0.25">
      <c r="A1994" s="11" t="s">
        <v>2749</v>
      </c>
      <c r="B1994">
        <f>IFERROR(COUNTIFS($A$1:A1994,"Câu "&amp;"*")-MID(A1994,5,FIND(".",A1994,1)-5),0)</f>
        <v>0</v>
      </c>
      <c r="C1994" t="b">
        <v>0</v>
      </c>
      <c r="E1994" t="str">
        <f t="shared" si="186"/>
        <v>2</v>
      </c>
      <c r="F1994" t="str">
        <f t="shared" si="187"/>
        <v>3</v>
      </c>
      <c r="G1994" t="str">
        <f t="shared" si="188"/>
        <v>4</v>
      </c>
      <c r="H1994" t="str">
        <f t="shared" si="189"/>
        <v/>
      </c>
      <c r="I1994" t="str">
        <f t="shared" si="190"/>
        <v>1</v>
      </c>
      <c r="J1994" t="str">
        <f t="shared" ca="1" si="191"/>
        <v/>
      </c>
    </row>
    <row r="1995" spans="1:10" ht="18.75" x14ac:dyDescent="0.25">
      <c r="A1995" s="11" t="s">
        <v>2750</v>
      </c>
      <c r="B1995">
        <f>IFERROR(COUNTIFS($A$1:A1995,"Câu "&amp;"*")-MID(A1995,5,FIND(".",A1995,1)-5),0)</f>
        <v>0</v>
      </c>
      <c r="C1995" t="b">
        <v>0</v>
      </c>
      <c r="E1995" t="str">
        <f t="shared" si="186"/>
        <v>3</v>
      </c>
      <c r="F1995" t="str">
        <f t="shared" si="187"/>
        <v>4</v>
      </c>
      <c r="G1995" t="str">
        <f t="shared" si="188"/>
        <v>Câu 483.</v>
      </c>
      <c r="H1995" t="str">
        <f t="shared" si="189"/>
        <v>1</v>
      </c>
      <c r="I1995" t="str">
        <f t="shared" si="190"/>
        <v>2</v>
      </c>
      <c r="J1995" t="str">
        <f t="shared" ca="1" si="191"/>
        <v/>
      </c>
    </row>
    <row r="1996" spans="1:10" ht="18.75" x14ac:dyDescent="0.25">
      <c r="A1996" s="11" t="s">
        <v>2754</v>
      </c>
      <c r="B1996">
        <f>IFERROR(COUNTIFS($A$1:A1996,"Câu "&amp;"*")-MID(A1996,5,FIND(".",A1996,1)-5),0)</f>
        <v>0</v>
      </c>
      <c r="C1996" t="b">
        <v>1</v>
      </c>
      <c r="E1996" t="str">
        <f t="shared" si="186"/>
        <v>4</v>
      </c>
      <c r="F1996" t="str">
        <f t="shared" si="187"/>
        <v>Câu 483.</v>
      </c>
      <c r="G1996" t="str">
        <f t="shared" si="188"/>
        <v>1</v>
      </c>
      <c r="H1996" t="str">
        <f t="shared" si="189"/>
        <v>2</v>
      </c>
      <c r="I1996" t="str">
        <f t="shared" si="190"/>
        <v>3</v>
      </c>
      <c r="J1996" t="str">
        <f t="shared" ca="1" si="191"/>
        <v/>
      </c>
    </row>
    <row r="1997" spans="1:10" ht="18.75" x14ac:dyDescent="0.25">
      <c r="A1997" s="10" t="s">
        <v>1382</v>
      </c>
      <c r="B1997">
        <f>IFERROR(COUNTIFS($A$1:A1997,"Câu "&amp;"*")-MID(A1997,5,FIND(".",A1997,1)-5),0)</f>
        <v>0</v>
      </c>
      <c r="C1997" t="b">
        <v>0</v>
      </c>
      <c r="E1997" t="str">
        <f t="shared" si="186"/>
        <v>Câu 483.</v>
      </c>
      <c r="F1997" t="str">
        <f t="shared" si="187"/>
        <v>1</v>
      </c>
      <c r="G1997" t="str">
        <f t="shared" si="188"/>
        <v>2</v>
      </c>
      <c r="H1997" t="str">
        <f t="shared" si="189"/>
        <v>3</v>
      </c>
      <c r="I1997" t="str">
        <f t="shared" si="190"/>
        <v/>
      </c>
      <c r="J1997" t="str">
        <f t="shared" ca="1" si="191"/>
        <v>3</v>
      </c>
    </row>
    <row r="1998" spans="1:10" ht="18.75" x14ac:dyDescent="0.25">
      <c r="A1998" s="11" t="s">
        <v>2759</v>
      </c>
      <c r="B1998">
        <f>IFERROR(COUNTIFS($A$1:A1998,"Câu "&amp;"*")-MID(A1998,5,FIND(".",A1998,1)-5),0)</f>
        <v>0</v>
      </c>
      <c r="C1998" t="b">
        <v>0</v>
      </c>
      <c r="E1998" t="str">
        <f t="shared" si="186"/>
        <v>1</v>
      </c>
      <c r="F1998" t="str">
        <f t="shared" si="187"/>
        <v>2</v>
      </c>
      <c r="G1998" t="str">
        <f t="shared" si="188"/>
        <v>3</v>
      </c>
      <c r="H1998" t="str">
        <f t="shared" si="189"/>
        <v/>
      </c>
      <c r="I1998" t="str">
        <f t="shared" si="190"/>
        <v>1</v>
      </c>
      <c r="J1998" t="str">
        <f t="shared" ca="1" si="191"/>
        <v/>
      </c>
    </row>
    <row r="1999" spans="1:10" ht="18.75" x14ac:dyDescent="0.25">
      <c r="A1999" s="11" t="s">
        <v>2760</v>
      </c>
      <c r="B1999">
        <f>IFERROR(COUNTIFS($A$1:A1999,"Câu "&amp;"*")-MID(A1999,5,FIND(".",A1999,1)-5),0)</f>
        <v>0</v>
      </c>
      <c r="C1999" t="b">
        <v>0</v>
      </c>
      <c r="E1999" t="str">
        <f t="shared" si="186"/>
        <v>2</v>
      </c>
      <c r="F1999" t="str">
        <f t="shared" si="187"/>
        <v>3</v>
      </c>
      <c r="G1999" t="str">
        <f t="shared" si="188"/>
        <v>Câu 484.</v>
      </c>
      <c r="H1999" t="str">
        <f t="shared" si="189"/>
        <v>1</v>
      </c>
      <c r="I1999" t="str">
        <f t="shared" si="190"/>
        <v>2</v>
      </c>
      <c r="J1999" t="str">
        <f t="shared" ca="1" si="191"/>
        <v/>
      </c>
    </row>
    <row r="2000" spans="1:10" ht="18.75" x14ac:dyDescent="0.25">
      <c r="A2000" s="11" t="s">
        <v>2761</v>
      </c>
      <c r="B2000">
        <f>IFERROR(COUNTIFS($A$1:A2000,"Câu "&amp;"*")-MID(A2000,5,FIND(".",A2000,1)-5),0)</f>
        <v>0</v>
      </c>
      <c r="C2000" t="b">
        <v>1</v>
      </c>
      <c r="E2000" t="str">
        <f t="shared" si="186"/>
        <v>3</v>
      </c>
      <c r="F2000" t="str">
        <f t="shared" si="187"/>
        <v>Câu 484.</v>
      </c>
      <c r="G2000" t="str">
        <f t="shared" si="188"/>
        <v>1</v>
      </c>
      <c r="H2000" t="str">
        <f t="shared" si="189"/>
        <v>2</v>
      </c>
      <c r="I2000" t="str">
        <f t="shared" si="190"/>
        <v>3</v>
      </c>
      <c r="J2000" t="str">
        <f t="shared" ca="1" si="191"/>
        <v/>
      </c>
    </row>
    <row r="2001" spans="1:10" ht="18.75" x14ac:dyDescent="0.25">
      <c r="A2001" s="10" t="s">
        <v>1386</v>
      </c>
      <c r="B2001">
        <f>IFERROR(COUNTIFS($A$1:A2001,"Câu "&amp;"*")-MID(A2001,5,FIND(".",A2001,1)-5),0)</f>
        <v>0</v>
      </c>
      <c r="C2001" t="b">
        <v>0</v>
      </c>
      <c r="E2001" t="str">
        <f t="shared" si="186"/>
        <v>Câu 484.</v>
      </c>
      <c r="F2001" t="str">
        <f t="shared" si="187"/>
        <v>1</v>
      </c>
      <c r="G2001" t="str">
        <f t="shared" si="188"/>
        <v>2</v>
      </c>
      <c r="H2001" t="str">
        <f t="shared" si="189"/>
        <v>3</v>
      </c>
      <c r="I2001" t="str">
        <f t="shared" si="190"/>
        <v/>
      </c>
      <c r="J2001" t="str">
        <f t="shared" ca="1" si="191"/>
        <v>2</v>
      </c>
    </row>
    <row r="2002" spans="1:10" ht="18.75" x14ac:dyDescent="0.25">
      <c r="A2002" s="11" t="s">
        <v>2762</v>
      </c>
      <c r="B2002">
        <f>IFERROR(COUNTIFS($A$1:A2002,"Câu "&amp;"*")-MID(A2002,5,FIND(".",A2002,1)-5),0)</f>
        <v>0</v>
      </c>
      <c r="C2002" t="b">
        <v>0</v>
      </c>
      <c r="E2002" t="str">
        <f t="shared" si="186"/>
        <v>1</v>
      </c>
      <c r="F2002" t="str">
        <f t="shared" si="187"/>
        <v>2</v>
      </c>
      <c r="G2002" t="str">
        <f t="shared" si="188"/>
        <v>3</v>
      </c>
      <c r="H2002" t="str">
        <f t="shared" si="189"/>
        <v/>
      </c>
      <c r="I2002" t="str">
        <f t="shared" si="190"/>
        <v>1</v>
      </c>
      <c r="J2002" t="str">
        <f t="shared" ca="1" si="191"/>
        <v/>
      </c>
    </row>
    <row r="2003" spans="1:10" ht="18.75" x14ac:dyDescent="0.25">
      <c r="A2003" s="11" t="s">
        <v>2763</v>
      </c>
      <c r="B2003">
        <f>IFERROR(COUNTIFS($A$1:A2003,"Câu "&amp;"*")-MID(A2003,5,FIND(".",A2003,1)-5),0)</f>
        <v>0</v>
      </c>
      <c r="C2003" t="b">
        <v>1</v>
      </c>
      <c r="E2003" t="str">
        <f t="shared" si="186"/>
        <v>2</v>
      </c>
      <c r="F2003" t="str">
        <f t="shared" si="187"/>
        <v>3</v>
      </c>
      <c r="G2003" t="str">
        <f t="shared" si="188"/>
        <v>Câu 485.</v>
      </c>
      <c r="H2003" t="str">
        <f t="shared" si="189"/>
        <v>1</v>
      </c>
      <c r="I2003" t="str">
        <f t="shared" si="190"/>
        <v>2</v>
      </c>
      <c r="J2003" t="str">
        <f t="shared" ca="1" si="191"/>
        <v/>
      </c>
    </row>
    <row r="2004" spans="1:10" ht="18.75" x14ac:dyDescent="0.25">
      <c r="A2004" s="11" t="s">
        <v>2764</v>
      </c>
      <c r="B2004">
        <f>IFERROR(COUNTIFS($A$1:A2004,"Câu "&amp;"*")-MID(A2004,5,FIND(".",A2004,1)-5),0)</f>
        <v>0</v>
      </c>
      <c r="C2004" t="b">
        <v>0</v>
      </c>
      <c r="E2004" t="str">
        <f t="shared" si="186"/>
        <v>3</v>
      </c>
      <c r="F2004" t="str">
        <f t="shared" si="187"/>
        <v>Câu 485.</v>
      </c>
      <c r="G2004" t="str">
        <f t="shared" si="188"/>
        <v>1</v>
      </c>
      <c r="H2004" t="str">
        <f t="shared" si="189"/>
        <v>2</v>
      </c>
      <c r="I2004" t="str">
        <f t="shared" si="190"/>
        <v>3</v>
      </c>
      <c r="J2004" t="str">
        <f t="shared" ca="1" si="191"/>
        <v/>
      </c>
    </row>
    <row r="2005" spans="1:10" ht="18.75" x14ac:dyDescent="0.25">
      <c r="A2005" s="10" t="s">
        <v>1390</v>
      </c>
      <c r="B2005">
        <f>IFERROR(COUNTIFS($A$1:A2005,"Câu "&amp;"*")-MID(A2005,5,FIND(".",A2005,1)-5),0)</f>
        <v>0</v>
      </c>
      <c r="C2005" t="b">
        <v>0</v>
      </c>
      <c r="E2005" t="str">
        <f t="shared" si="186"/>
        <v>Câu 485.</v>
      </c>
      <c r="F2005" t="str">
        <f t="shared" si="187"/>
        <v>1</v>
      </c>
      <c r="G2005" t="str">
        <f t="shared" si="188"/>
        <v>2</v>
      </c>
      <c r="H2005" t="str">
        <f t="shared" si="189"/>
        <v>3</v>
      </c>
      <c r="I2005" t="str">
        <f t="shared" si="190"/>
        <v>C</v>
      </c>
      <c r="J2005" t="str">
        <f t="shared" ca="1" si="191"/>
        <v>1</v>
      </c>
    </row>
    <row r="2006" spans="1:10" ht="18.75" x14ac:dyDescent="0.25">
      <c r="A2006" s="11" t="s">
        <v>2765</v>
      </c>
      <c r="B2006">
        <f>IFERROR(COUNTIFS($A$1:A2006,"Câu "&amp;"*")-MID(A2006,5,FIND(".",A2006,1)-5),0)</f>
        <v>0</v>
      </c>
      <c r="C2006" t="b">
        <v>1</v>
      </c>
      <c r="E2006" t="str">
        <f t="shared" si="186"/>
        <v>1</v>
      </c>
      <c r="F2006" t="str">
        <f t="shared" si="187"/>
        <v>2</v>
      </c>
      <c r="G2006" t="str">
        <f t="shared" si="188"/>
        <v>3</v>
      </c>
      <c r="H2006" t="str">
        <f t="shared" si="189"/>
        <v>C</v>
      </c>
      <c r="I2006" t="str">
        <f t="shared" si="190"/>
        <v/>
      </c>
      <c r="J2006" t="str">
        <f t="shared" ca="1" si="191"/>
        <v/>
      </c>
    </row>
    <row r="2007" spans="1:10" ht="18.75" x14ac:dyDescent="0.25">
      <c r="A2007" s="11" t="s">
        <v>2766</v>
      </c>
      <c r="B2007">
        <f>IFERROR(COUNTIFS($A$1:A2007,"Câu "&amp;"*")-MID(A2007,5,FIND(".",A2007,1)-5),0)</f>
        <v>0</v>
      </c>
      <c r="C2007" t="b">
        <v>0</v>
      </c>
      <c r="E2007" t="str">
        <f t="shared" si="186"/>
        <v>2</v>
      </c>
      <c r="F2007" t="str">
        <f t="shared" si="187"/>
        <v>3</v>
      </c>
      <c r="G2007" t="str">
        <f t="shared" si="188"/>
        <v>C</v>
      </c>
      <c r="H2007" t="str">
        <f t="shared" si="189"/>
        <v/>
      </c>
      <c r="I2007" t="str">
        <f t="shared" si="190"/>
        <v>1</v>
      </c>
      <c r="J2007" t="str">
        <f t="shared" ca="1" si="191"/>
        <v/>
      </c>
    </row>
    <row r="2008" spans="1:10" ht="18.75" x14ac:dyDescent="0.25">
      <c r="A2008" s="11" t="s">
        <v>2767</v>
      </c>
      <c r="B2008">
        <f>IFERROR(COUNTIFS($A$1:A2008,"Câu "&amp;"*")-MID(A2008,5,FIND(".",A2008,1)-5),0)</f>
        <v>0</v>
      </c>
      <c r="C2008" t="b">
        <v>0</v>
      </c>
      <c r="E2008" t="str">
        <f t="shared" si="186"/>
        <v>3</v>
      </c>
      <c r="F2008" t="str">
        <f t="shared" si="187"/>
        <v>C</v>
      </c>
      <c r="G2008" t="str">
        <f t="shared" si="188"/>
        <v>Câu 486.</v>
      </c>
      <c r="H2008" t="str">
        <f t="shared" si="189"/>
        <v>1</v>
      </c>
      <c r="I2008" t="str">
        <f t="shared" si="190"/>
        <v>2</v>
      </c>
      <c r="J2008" t="str">
        <f t="shared" ca="1" si="191"/>
        <v/>
      </c>
    </row>
    <row r="2009" spans="1:10" ht="18.75" x14ac:dyDescent="0.25">
      <c r="A2009" s="10" t="s">
        <v>1394</v>
      </c>
      <c r="B2009">
        <f>IFERROR(COUNTIFS($A$1:A2009,"Câu "&amp;"*")-MID(A2009,5,FIND(".",A2009,1)-5),0)</f>
        <v>0</v>
      </c>
      <c r="C2009" t="b">
        <v>0</v>
      </c>
      <c r="E2009" t="str">
        <f t="shared" si="186"/>
        <v>C</v>
      </c>
      <c r="F2009" t="str">
        <f t="shared" si="187"/>
        <v>Câu 486.</v>
      </c>
      <c r="G2009" t="str">
        <f t="shared" si="188"/>
        <v>1</v>
      </c>
      <c r="H2009" t="str">
        <f t="shared" si="189"/>
        <v>2</v>
      </c>
      <c r="I2009" t="str">
        <f t="shared" si="190"/>
        <v>3</v>
      </c>
      <c r="J2009" t="str">
        <f t="shared" ca="1" si="191"/>
        <v/>
      </c>
    </row>
    <row r="2010" spans="1:10" ht="18.75" x14ac:dyDescent="0.25">
      <c r="A2010" s="10" t="s">
        <v>1395</v>
      </c>
      <c r="B2010">
        <f>IFERROR(COUNTIFS($A$1:A2010,"Câu "&amp;"*")-MID(A2010,5,FIND(".",A2010,1)-5),0)</f>
        <v>0</v>
      </c>
      <c r="C2010" t="b">
        <v>0</v>
      </c>
      <c r="E2010" t="str">
        <f t="shared" si="186"/>
        <v>Câu 486.</v>
      </c>
      <c r="F2010" t="str">
        <f t="shared" si="187"/>
        <v>1</v>
      </c>
      <c r="G2010" t="str">
        <f t="shared" si="188"/>
        <v>2</v>
      </c>
      <c r="H2010" t="str">
        <f t="shared" si="189"/>
        <v>3</v>
      </c>
      <c r="I2010" t="str">
        <f t="shared" si="190"/>
        <v/>
      </c>
      <c r="J2010" t="str">
        <f t="shared" ca="1" si="191"/>
        <v>3</v>
      </c>
    </row>
    <row r="2011" spans="1:10" ht="18.75" x14ac:dyDescent="0.25">
      <c r="A2011" s="11" t="s">
        <v>2768</v>
      </c>
      <c r="B2011">
        <f>IFERROR(COUNTIFS($A$1:A2011,"Câu "&amp;"*")-MID(A2011,5,FIND(".",A2011,1)-5),0)</f>
        <v>0</v>
      </c>
      <c r="C2011" t="b">
        <v>0</v>
      </c>
      <c r="E2011" t="str">
        <f t="shared" si="186"/>
        <v>1</v>
      </c>
      <c r="F2011" t="str">
        <f t="shared" si="187"/>
        <v>2</v>
      </c>
      <c r="G2011" t="str">
        <f t="shared" si="188"/>
        <v>3</v>
      </c>
      <c r="H2011" t="str">
        <f t="shared" si="189"/>
        <v/>
      </c>
      <c r="I2011" t="str">
        <f t="shared" si="190"/>
        <v>1</v>
      </c>
      <c r="J2011" t="str">
        <f t="shared" ca="1" si="191"/>
        <v/>
      </c>
    </row>
    <row r="2012" spans="1:10" ht="18.75" x14ac:dyDescent="0.25">
      <c r="A2012" s="11" t="s">
        <v>2769</v>
      </c>
      <c r="B2012">
        <f>IFERROR(COUNTIFS($A$1:A2012,"Câu "&amp;"*")-MID(A2012,5,FIND(".",A2012,1)-5),0)</f>
        <v>0</v>
      </c>
      <c r="C2012" t="b">
        <v>0</v>
      </c>
      <c r="E2012" t="str">
        <f t="shared" si="186"/>
        <v>2</v>
      </c>
      <c r="F2012" t="str">
        <f t="shared" si="187"/>
        <v>3</v>
      </c>
      <c r="G2012" t="str">
        <f t="shared" si="188"/>
        <v>Câu 487.</v>
      </c>
      <c r="H2012" t="str">
        <f t="shared" si="189"/>
        <v>1</v>
      </c>
      <c r="I2012" t="str">
        <f t="shared" si="190"/>
        <v>2</v>
      </c>
      <c r="J2012" t="str">
        <f t="shared" ca="1" si="191"/>
        <v/>
      </c>
    </row>
    <row r="2013" spans="1:10" ht="18.75" x14ac:dyDescent="0.25">
      <c r="A2013" s="11" t="s">
        <v>2770</v>
      </c>
      <c r="B2013">
        <f>IFERROR(COUNTIFS($A$1:A2013,"Câu "&amp;"*")-MID(A2013,5,FIND(".",A2013,1)-5),0)</f>
        <v>0</v>
      </c>
      <c r="C2013" t="b">
        <v>1</v>
      </c>
      <c r="E2013" t="str">
        <f t="shared" si="186"/>
        <v>3</v>
      </c>
      <c r="F2013" t="str">
        <f t="shared" si="187"/>
        <v>Câu 487.</v>
      </c>
      <c r="G2013" t="str">
        <f t="shared" si="188"/>
        <v>1</v>
      </c>
      <c r="H2013" t="str">
        <f t="shared" si="189"/>
        <v>2</v>
      </c>
      <c r="I2013" t="str">
        <f t="shared" si="190"/>
        <v>3</v>
      </c>
      <c r="J2013" t="str">
        <f t="shared" ca="1" si="191"/>
        <v/>
      </c>
    </row>
    <row r="2014" spans="1:10" ht="18.75" x14ac:dyDescent="0.25">
      <c r="A2014" s="10" t="s">
        <v>1398</v>
      </c>
      <c r="B2014">
        <f>IFERROR(COUNTIFS($A$1:A2014,"Câu "&amp;"*")-MID(A2014,5,FIND(".",A2014,1)-5),0)</f>
        <v>0</v>
      </c>
      <c r="C2014" t="b">
        <v>0</v>
      </c>
      <c r="E2014" t="str">
        <f t="shared" si="186"/>
        <v>Câu 487.</v>
      </c>
      <c r="F2014" t="str">
        <f t="shared" si="187"/>
        <v>1</v>
      </c>
      <c r="G2014" t="str">
        <f t="shared" si="188"/>
        <v>2</v>
      </c>
      <c r="H2014" t="str">
        <f t="shared" si="189"/>
        <v>3</v>
      </c>
      <c r="I2014" t="str">
        <f t="shared" si="190"/>
        <v>4</v>
      </c>
      <c r="J2014" t="str">
        <f t="shared" ca="1" si="191"/>
        <v>2</v>
      </c>
    </row>
    <row r="2015" spans="1:10" ht="18.75" x14ac:dyDescent="0.25">
      <c r="A2015" s="11" t="s">
        <v>2771</v>
      </c>
      <c r="B2015">
        <f>IFERROR(COUNTIFS($A$1:A2015,"Câu "&amp;"*")-MID(A2015,5,FIND(".",A2015,1)-5),0)</f>
        <v>0</v>
      </c>
      <c r="C2015" t="b">
        <v>0</v>
      </c>
      <c r="E2015" t="str">
        <f t="shared" si="186"/>
        <v>1</v>
      </c>
      <c r="F2015" t="str">
        <f t="shared" si="187"/>
        <v>2</v>
      </c>
      <c r="G2015" t="str">
        <f t="shared" si="188"/>
        <v>3</v>
      </c>
      <c r="H2015" t="str">
        <f t="shared" si="189"/>
        <v>4</v>
      </c>
      <c r="I2015" t="str">
        <f t="shared" si="190"/>
        <v/>
      </c>
      <c r="J2015" t="str">
        <f t="shared" ca="1" si="191"/>
        <v/>
      </c>
    </row>
    <row r="2016" spans="1:10" ht="18.75" x14ac:dyDescent="0.25">
      <c r="A2016" s="11" t="s">
        <v>2772</v>
      </c>
      <c r="B2016">
        <f>IFERROR(COUNTIFS($A$1:A2016,"Câu "&amp;"*")-MID(A2016,5,FIND(".",A2016,1)-5),0)</f>
        <v>0</v>
      </c>
      <c r="C2016" t="b">
        <v>1</v>
      </c>
      <c r="E2016" t="str">
        <f t="shared" si="186"/>
        <v>2</v>
      </c>
      <c r="F2016" t="str">
        <f t="shared" si="187"/>
        <v>3</v>
      </c>
      <c r="G2016" t="str">
        <f t="shared" si="188"/>
        <v>4</v>
      </c>
      <c r="H2016" t="str">
        <f t="shared" si="189"/>
        <v/>
      </c>
      <c r="I2016" t="str">
        <f t="shared" si="190"/>
        <v>1</v>
      </c>
      <c r="J2016" t="str">
        <f t="shared" ca="1" si="191"/>
        <v/>
      </c>
    </row>
    <row r="2017" spans="1:10" ht="18.75" x14ac:dyDescent="0.25">
      <c r="A2017" s="11" t="s">
        <v>2773</v>
      </c>
      <c r="B2017">
        <f>IFERROR(COUNTIFS($A$1:A2017,"Câu "&amp;"*")-MID(A2017,5,FIND(".",A2017,1)-5),0)</f>
        <v>0</v>
      </c>
      <c r="C2017" t="b">
        <v>0</v>
      </c>
      <c r="E2017" t="str">
        <f t="shared" si="186"/>
        <v>3</v>
      </c>
      <c r="F2017" t="str">
        <f t="shared" si="187"/>
        <v>4</v>
      </c>
      <c r="G2017" t="str">
        <f t="shared" si="188"/>
        <v>Câu 488.</v>
      </c>
      <c r="H2017" t="str">
        <f t="shared" si="189"/>
        <v>1</v>
      </c>
      <c r="I2017" t="str">
        <f t="shared" si="190"/>
        <v>2</v>
      </c>
      <c r="J2017" t="str">
        <f t="shared" ca="1" si="191"/>
        <v/>
      </c>
    </row>
    <row r="2018" spans="1:10" ht="18.75" x14ac:dyDescent="0.25">
      <c r="A2018" s="11" t="s">
        <v>2774</v>
      </c>
      <c r="B2018">
        <f>IFERROR(COUNTIFS($A$1:A2018,"Câu "&amp;"*")-MID(A2018,5,FIND(".",A2018,1)-5),0)</f>
        <v>0</v>
      </c>
      <c r="C2018" t="b">
        <v>0</v>
      </c>
      <c r="E2018" t="str">
        <f t="shared" si="186"/>
        <v>4</v>
      </c>
      <c r="F2018" t="str">
        <f t="shared" si="187"/>
        <v>Câu 488.</v>
      </c>
      <c r="G2018" t="str">
        <f t="shared" si="188"/>
        <v>1</v>
      </c>
      <c r="H2018" t="str">
        <f t="shared" si="189"/>
        <v>2</v>
      </c>
      <c r="I2018" t="str">
        <f t="shared" si="190"/>
        <v>3</v>
      </c>
      <c r="J2018" t="str">
        <f t="shared" ca="1" si="191"/>
        <v/>
      </c>
    </row>
    <row r="2019" spans="1:10" ht="18.75" x14ac:dyDescent="0.25">
      <c r="A2019" s="10" t="s">
        <v>1403</v>
      </c>
      <c r="B2019">
        <f>IFERROR(COUNTIFS($A$1:A2019,"Câu "&amp;"*")-MID(A2019,5,FIND(".",A2019,1)-5),0)</f>
        <v>0</v>
      </c>
      <c r="C2019" t="b">
        <v>0</v>
      </c>
      <c r="E2019" t="str">
        <f t="shared" si="186"/>
        <v>Câu 488.</v>
      </c>
      <c r="F2019" t="str">
        <f t="shared" si="187"/>
        <v>1</v>
      </c>
      <c r="G2019" t="str">
        <f t="shared" si="188"/>
        <v>2</v>
      </c>
      <c r="H2019" t="str">
        <f t="shared" si="189"/>
        <v>3</v>
      </c>
      <c r="I2019" t="str">
        <f t="shared" si="190"/>
        <v>4</v>
      </c>
      <c r="J2019" t="str">
        <f t="shared" ca="1" si="191"/>
        <v>1</v>
      </c>
    </row>
    <row r="2020" spans="1:10" ht="18.75" x14ac:dyDescent="0.25">
      <c r="A2020" s="11" t="s">
        <v>2775</v>
      </c>
      <c r="B2020">
        <f>IFERROR(COUNTIFS($A$1:A2020,"Câu "&amp;"*")-MID(A2020,5,FIND(".",A2020,1)-5),0)</f>
        <v>0</v>
      </c>
      <c r="C2020" t="b">
        <v>1</v>
      </c>
      <c r="E2020" t="str">
        <f t="shared" si="186"/>
        <v>1</v>
      </c>
      <c r="F2020" t="str">
        <f t="shared" si="187"/>
        <v>2</v>
      </c>
      <c r="G2020" t="str">
        <f t="shared" si="188"/>
        <v>3</v>
      </c>
      <c r="H2020" t="str">
        <f t="shared" si="189"/>
        <v>4</v>
      </c>
      <c r="I2020" t="str">
        <f t="shared" si="190"/>
        <v/>
      </c>
      <c r="J2020" t="str">
        <f t="shared" ca="1" si="191"/>
        <v/>
      </c>
    </row>
    <row r="2021" spans="1:10" ht="18.75" x14ac:dyDescent="0.25">
      <c r="A2021" s="11" t="s">
        <v>2776</v>
      </c>
      <c r="B2021">
        <f>IFERROR(COUNTIFS($A$1:A2021,"Câu "&amp;"*")-MID(A2021,5,FIND(".",A2021,1)-5),0)</f>
        <v>0</v>
      </c>
      <c r="C2021" t="b">
        <v>0</v>
      </c>
      <c r="E2021" t="str">
        <f t="shared" si="186"/>
        <v>2</v>
      </c>
      <c r="F2021" t="str">
        <f t="shared" si="187"/>
        <v>3</v>
      </c>
      <c r="G2021" t="str">
        <f t="shared" si="188"/>
        <v>4</v>
      </c>
      <c r="H2021" t="str">
        <f t="shared" si="189"/>
        <v/>
      </c>
      <c r="I2021" t="str">
        <f t="shared" si="190"/>
        <v>1</v>
      </c>
      <c r="J2021" t="str">
        <f t="shared" ca="1" si="191"/>
        <v/>
      </c>
    </row>
    <row r="2022" spans="1:10" ht="18.75" x14ac:dyDescent="0.25">
      <c r="A2022" s="11" t="s">
        <v>2777</v>
      </c>
      <c r="B2022">
        <f>IFERROR(COUNTIFS($A$1:A2022,"Câu "&amp;"*")-MID(A2022,5,FIND(".",A2022,1)-5),0)</f>
        <v>0</v>
      </c>
      <c r="C2022" t="b">
        <v>0</v>
      </c>
      <c r="E2022" t="str">
        <f t="shared" si="186"/>
        <v>3</v>
      </c>
      <c r="F2022" t="str">
        <f t="shared" si="187"/>
        <v>4</v>
      </c>
      <c r="G2022" t="str">
        <f t="shared" si="188"/>
        <v>Câu 489.</v>
      </c>
      <c r="H2022" t="str">
        <f t="shared" si="189"/>
        <v>1</v>
      </c>
      <c r="I2022" t="str">
        <f t="shared" si="190"/>
        <v>2</v>
      </c>
      <c r="J2022" t="str">
        <f t="shared" ca="1" si="191"/>
        <v/>
      </c>
    </row>
    <row r="2023" spans="1:10" ht="18.75" x14ac:dyDescent="0.25">
      <c r="A2023" s="11" t="s">
        <v>2778</v>
      </c>
      <c r="B2023">
        <f>IFERROR(COUNTIFS($A$1:A2023,"Câu "&amp;"*")-MID(A2023,5,FIND(".",A2023,1)-5),0)</f>
        <v>0</v>
      </c>
      <c r="C2023" t="b">
        <v>0</v>
      </c>
      <c r="E2023" t="str">
        <f t="shared" si="186"/>
        <v>4</v>
      </c>
      <c r="F2023" t="str">
        <f t="shared" si="187"/>
        <v>Câu 489.</v>
      </c>
      <c r="G2023" t="str">
        <f t="shared" si="188"/>
        <v>1</v>
      </c>
      <c r="H2023" t="str">
        <f t="shared" si="189"/>
        <v>2</v>
      </c>
      <c r="I2023" t="str">
        <f t="shared" si="190"/>
        <v>3</v>
      </c>
      <c r="J2023" t="str">
        <f t="shared" ca="1" si="191"/>
        <v/>
      </c>
    </row>
    <row r="2024" spans="1:10" ht="18.75" x14ac:dyDescent="0.25">
      <c r="A2024" s="10" t="s">
        <v>1408</v>
      </c>
      <c r="B2024">
        <f>IFERROR(COUNTIFS($A$1:A2024,"Câu "&amp;"*")-MID(A2024,5,FIND(".",A2024,1)-5),0)</f>
        <v>0</v>
      </c>
      <c r="C2024" t="b">
        <v>0</v>
      </c>
      <c r="E2024" t="str">
        <f t="shared" si="186"/>
        <v>Câu 489.</v>
      </c>
      <c r="F2024" t="str">
        <f t="shared" si="187"/>
        <v>1</v>
      </c>
      <c r="G2024" t="str">
        <f t="shared" si="188"/>
        <v>2</v>
      </c>
      <c r="H2024" t="str">
        <f t="shared" si="189"/>
        <v>3</v>
      </c>
      <c r="I2024" t="str">
        <f t="shared" si="190"/>
        <v>4</v>
      </c>
      <c r="J2024" t="str">
        <f t="shared" ca="1" si="191"/>
        <v>4</v>
      </c>
    </row>
    <row r="2025" spans="1:10" ht="18.75" x14ac:dyDescent="0.25">
      <c r="A2025" s="11" t="s">
        <v>2779</v>
      </c>
      <c r="B2025">
        <f>IFERROR(COUNTIFS($A$1:A2025,"Câu "&amp;"*")-MID(A2025,5,FIND(".",A2025,1)-5),0)</f>
        <v>0</v>
      </c>
      <c r="C2025" t="b">
        <v>0</v>
      </c>
      <c r="E2025" t="str">
        <f t="shared" si="186"/>
        <v>1</v>
      </c>
      <c r="F2025" t="str">
        <f t="shared" si="187"/>
        <v>2</v>
      </c>
      <c r="G2025" t="str">
        <f t="shared" si="188"/>
        <v>3</v>
      </c>
      <c r="H2025" t="str">
        <f t="shared" si="189"/>
        <v>4</v>
      </c>
      <c r="I2025" t="str">
        <f t="shared" si="190"/>
        <v/>
      </c>
      <c r="J2025" t="str">
        <f t="shared" ca="1" si="191"/>
        <v/>
      </c>
    </row>
    <row r="2026" spans="1:10" ht="18.75" x14ac:dyDescent="0.25">
      <c r="A2026" s="11" t="s">
        <v>2776</v>
      </c>
      <c r="B2026">
        <f>IFERROR(COUNTIFS($A$1:A2026,"Câu "&amp;"*")-MID(A2026,5,FIND(".",A2026,1)-5),0)</f>
        <v>0</v>
      </c>
      <c r="C2026" t="b">
        <v>0</v>
      </c>
      <c r="E2026" t="str">
        <f t="shared" si="186"/>
        <v>2</v>
      </c>
      <c r="F2026" t="str">
        <f t="shared" si="187"/>
        <v>3</v>
      </c>
      <c r="G2026" t="str">
        <f t="shared" si="188"/>
        <v>4</v>
      </c>
      <c r="H2026" t="str">
        <f t="shared" si="189"/>
        <v/>
      </c>
      <c r="I2026" t="str">
        <f t="shared" si="190"/>
        <v>1</v>
      </c>
      <c r="J2026" t="str">
        <f t="shared" ca="1" si="191"/>
        <v/>
      </c>
    </row>
    <row r="2027" spans="1:10" ht="18.75" x14ac:dyDescent="0.25">
      <c r="A2027" s="11" t="s">
        <v>2780</v>
      </c>
      <c r="B2027">
        <f>IFERROR(COUNTIFS($A$1:A2027,"Câu "&amp;"*")-MID(A2027,5,FIND(".",A2027,1)-5),0)</f>
        <v>0</v>
      </c>
      <c r="C2027" t="b">
        <v>0</v>
      </c>
      <c r="E2027" t="str">
        <f t="shared" si="186"/>
        <v>3</v>
      </c>
      <c r="F2027" t="str">
        <f t="shared" si="187"/>
        <v>4</v>
      </c>
      <c r="G2027" t="str">
        <f t="shared" si="188"/>
        <v>Câu 490.</v>
      </c>
      <c r="H2027" t="str">
        <f t="shared" si="189"/>
        <v>1</v>
      </c>
      <c r="I2027" t="str">
        <f t="shared" si="190"/>
        <v>2</v>
      </c>
      <c r="J2027" t="str">
        <f t="shared" ca="1" si="191"/>
        <v/>
      </c>
    </row>
    <row r="2028" spans="1:10" ht="18.75" x14ac:dyDescent="0.25">
      <c r="A2028" s="11" t="s">
        <v>2781</v>
      </c>
      <c r="B2028">
        <f>IFERROR(COUNTIFS($A$1:A2028,"Câu "&amp;"*")-MID(A2028,5,FIND(".",A2028,1)-5),0)</f>
        <v>0</v>
      </c>
      <c r="C2028" t="b">
        <v>1</v>
      </c>
      <c r="E2028" t="str">
        <f t="shared" si="186"/>
        <v>4</v>
      </c>
      <c r="F2028" t="str">
        <f t="shared" si="187"/>
        <v>Câu 490.</v>
      </c>
      <c r="G2028" t="str">
        <f t="shared" si="188"/>
        <v>1</v>
      </c>
      <c r="H2028" t="str">
        <f t="shared" si="189"/>
        <v>2</v>
      </c>
      <c r="I2028" t="str">
        <f t="shared" si="190"/>
        <v>3</v>
      </c>
      <c r="J2028" t="str">
        <f t="shared" ca="1" si="191"/>
        <v/>
      </c>
    </row>
    <row r="2029" spans="1:10" ht="18.75" x14ac:dyDescent="0.25">
      <c r="A2029" s="10" t="s">
        <v>1412</v>
      </c>
      <c r="B2029">
        <f>IFERROR(COUNTIFS($A$1:A2029,"Câu "&amp;"*")-MID(A2029,5,FIND(".",A2029,1)-5),0)</f>
        <v>0</v>
      </c>
      <c r="C2029" t="b">
        <v>0</v>
      </c>
      <c r="E2029" t="str">
        <f t="shared" si="186"/>
        <v>Câu 490.</v>
      </c>
      <c r="F2029" t="str">
        <f t="shared" si="187"/>
        <v>1</v>
      </c>
      <c r="G2029" t="str">
        <f t="shared" si="188"/>
        <v>2</v>
      </c>
      <c r="H2029" t="str">
        <f t="shared" si="189"/>
        <v>3</v>
      </c>
      <c r="I2029" t="str">
        <f t="shared" si="190"/>
        <v>4</v>
      </c>
      <c r="J2029" t="str">
        <f t="shared" ca="1" si="191"/>
        <v>3</v>
      </c>
    </row>
    <row r="2030" spans="1:10" ht="18.75" x14ac:dyDescent="0.25">
      <c r="A2030" s="11" t="s">
        <v>2782</v>
      </c>
      <c r="B2030">
        <f>IFERROR(COUNTIFS($A$1:A2030,"Câu "&amp;"*")-MID(A2030,5,FIND(".",A2030,1)-5),0)</f>
        <v>0</v>
      </c>
      <c r="C2030" t="b">
        <v>0</v>
      </c>
      <c r="E2030" t="str">
        <f t="shared" si="186"/>
        <v>1</v>
      </c>
      <c r="F2030" t="str">
        <f t="shared" si="187"/>
        <v>2</v>
      </c>
      <c r="G2030" t="str">
        <f t="shared" si="188"/>
        <v>3</v>
      </c>
      <c r="H2030" t="str">
        <f t="shared" si="189"/>
        <v>4</v>
      </c>
      <c r="I2030" t="str">
        <f t="shared" si="190"/>
        <v/>
      </c>
      <c r="J2030" t="str">
        <f t="shared" ca="1" si="191"/>
        <v/>
      </c>
    </row>
    <row r="2031" spans="1:10" ht="18.75" x14ac:dyDescent="0.25">
      <c r="A2031" s="11" t="s">
        <v>2783</v>
      </c>
      <c r="B2031">
        <f>IFERROR(COUNTIFS($A$1:A2031,"Câu "&amp;"*")-MID(A2031,5,FIND(".",A2031,1)-5),0)</f>
        <v>0</v>
      </c>
      <c r="C2031" t="b">
        <v>0</v>
      </c>
      <c r="E2031" t="str">
        <f t="shared" si="186"/>
        <v>2</v>
      </c>
      <c r="F2031" t="str">
        <f t="shared" si="187"/>
        <v>3</v>
      </c>
      <c r="G2031" t="str">
        <f t="shared" si="188"/>
        <v>4</v>
      </c>
      <c r="H2031" t="str">
        <f t="shared" si="189"/>
        <v/>
      </c>
      <c r="I2031" t="str">
        <f t="shared" si="190"/>
        <v>1</v>
      </c>
      <c r="J2031" t="str">
        <f t="shared" ca="1" si="191"/>
        <v/>
      </c>
    </row>
    <row r="2032" spans="1:10" ht="18.75" x14ac:dyDescent="0.25">
      <c r="A2032" s="11" t="s">
        <v>2784</v>
      </c>
      <c r="B2032">
        <f>IFERROR(COUNTIFS($A$1:A2032,"Câu "&amp;"*")-MID(A2032,5,FIND(".",A2032,1)-5),0)</f>
        <v>0</v>
      </c>
      <c r="C2032" t="b">
        <v>1</v>
      </c>
      <c r="E2032" t="str">
        <f t="shared" si="186"/>
        <v>3</v>
      </c>
      <c r="F2032" t="str">
        <f t="shared" si="187"/>
        <v>4</v>
      </c>
      <c r="G2032" t="str">
        <f t="shared" si="188"/>
        <v>Câu 491.</v>
      </c>
      <c r="H2032" t="str">
        <f t="shared" si="189"/>
        <v>1</v>
      </c>
      <c r="I2032" t="str">
        <f t="shared" si="190"/>
        <v>2</v>
      </c>
      <c r="J2032" t="str">
        <f t="shared" ca="1" si="191"/>
        <v/>
      </c>
    </row>
    <row r="2033" spans="1:10" ht="18.75" x14ac:dyDescent="0.25">
      <c r="A2033" s="11" t="s">
        <v>2785</v>
      </c>
      <c r="B2033">
        <f>IFERROR(COUNTIFS($A$1:A2033,"Câu "&amp;"*")-MID(A2033,5,FIND(".",A2033,1)-5),0)</f>
        <v>0</v>
      </c>
      <c r="C2033" t="b">
        <v>0</v>
      </c>
      <c r="E2033" t="str">
        <f t="shared" si="186"/>
        <v>4</v>
      </c>
      <c r="F2033" t="str">
        <f t="shared" si="187"/>
        <v>Câu 491.</v>
      </c>
      <c r="G2033" t="str">
        <f t="shared" si="188"/>
        <v>1</v>
      </c>
      <c r="H2033" t="str">
        <f t="shared" si="189"/>
        <v>2</v>
      </c>
      <c r="I2033" t="str">
        <f t="shared" si="190"/>
        <v/>
      </c>
      <c r="J2033" t="str">
        <f t="shared" ca="1" si="191"/>
        <v/>
      </c>
    </row>
    <row r="2034" spans="1:10" ht="18.75" x14ac:dyDescent="0.25">
      <c r="A2034" s="10" t="s">
        <v>1417</v>
      </c>
      <c r="B2034">
        <f>IFERROR(COUNTIFS($A$1:A2034,"Câu "&amp;"*")-MID(A2034,5,FIND(".",A2034,1)-5),0)</f>
        <v>0</v>
      </c>
      <c r="C2034" t="b">
        <v>0</v>
      </c>
      <c r="E2034" t="str">
        <f t="shared" si="186"/>
        <v>Câu 491.</v>
      </c>
      <c r="F2034" t="str">
        <f t="shared" si="187"/>
        <v>1</v>
      </c>
      <c r="G2034" t="str">
        <f t="shared" si="188"/>
        <v>2</v>
      </c>
      <c r="H2034" t="str">
        <f t="shared" si="189"/>
        <v/>
      </c>
      <c r="I2034" t="str">
        <f t="shared" si="190"/>
        <v>1</v>
      </c>
      <c r="J2034" t="str">
        <f t="shared" ca="1" si="191"/>
        <v>1</v>
      </c>
    </row>
    <row r="2035" spans="1:10" ht="18.75" x14ac:dyDescent="0.25">
      <c r="A2035" s="11" t="s">
        <v>2786</v>
      </c>
      <c r="B2035">
        <f>IFERROR(COUNTIFS($A$1:A2035,"Câu "&amp;"*")-MID(A2035,5,FIND(".",A2035,1)-5),0)</f>
        <v>0</v>
      </c>
      <c r="C2035" t="b">
        <v>1</v>
      </c>
      <c r="E2035" t="str">
        <f t="shared" si="186"/>
        <v>1</v>
      </c>
      <c r="F2035" t="str">
        <f t="shared" si="187"/>
        <v>2</v>
      </c>
      <c r="G2035" t="str">
        <f t="shared" si="188"/>
        <v>Câu 492.</v>
      </c>
      <c r="H2035" t="str">
        <f t="shared" si="189"/>
        <v>1</v>
      </c>
      <c r="I2035" t="str">
        <f t="shared" si="190"/>
        <v>2</v>
      </c>
      <c r="J2035" t="str">
        <f t="shared" ca="1" si="191"/>
        <v/>
      </c>
    </row>
    <row r="2036" spans="1:10" ht="18.75" x14ac:dyDescent="0.25">
      <c r="A2036" s="11" t="s">
        <v>2787</v>
      </c>
      <c r="B2036">
        <f>IFERROR(COUNTIFS($A$1:A2036,"Câu "&amp;"*")-MID(A2036,5,FIND(".",A2036,1)-5),0)</f>
        <v>0</v>
      </c>
      <c r="C2036" t="b">
        <v>0</v>
      </c>
      <c r="E2036" t="str">
        <f t="shared" si="186"/>
        <v>2</v>
      </c>
      <c r="F2036" t="str">
        <f t="shared" si="187"/>
        <v>Câu 492.</v>
      </c>
      <c r="G2036" t="str">
        <f t="shared" si="188"/>
        <v>1</v>
      </c>
      <c r="H2036" t="str">
        <f t="shared" si="189"/>
        <v>2</v>
      </c>
      <c r="I2036" t="str">
        <f t="shared" si="190"/>
        <v/>
      </c>
      <c r="J2036" t="str">
        <f t="shared" ca="1" si="191"/>
        <v/>
      </c>
    </row>
    <row r="2037" spans="1:10" ht="18.75" x14ac:dyDescent="0.25">
      <c r="A2037" s="10" t="s">
        <v>1420</v>
      </c>
      <c r="B2037">
        <f>IFERROR(COUNTIFS($A$1:A2037,"Câu "&amp;"*")-MID(A2037,5,FIND(".",A2037,1)-5),0)</f>
        <v>0</v>
      </c>
      <c r="C2037" t="b">
        <v>0</v>
      </c>
      <c r="E2037" t="str">
        <f t="shared" si="186"/>
        <v>Câu 492.</v>
      </c>
      <c r="F2037" t="str">
        <f t="shared" si="187"/>
        <v>1</v>
      </c>
      <c r="G2037" t="str">
        <f t="shared" si="188"/>
        <v>2</v>
      </c>
      <c r="H2037" t="str">
        <f t="shared" si="189"/>
        <v/>
      </c>
      <c r="I2037" t="str">
        <f t="shared" si="190"/>
        <v>1</v>
      </c>
      <c r="J2037" t="str">
        <f t="shared" ca="1" si="191"/>
        <v>2</v>
      </c>
    </row>
    <row r="2038" spans="1:10" ht="18.75" x14ac:dyDescent="0.25">
      <c r="A2038" s="11" t="s">
        <v>2788</v>
      </c>
      <c r="B2038">
        <f>IFERROR(COUNTIFS($A$1:A2038,"Câu "&amp;"*")-MID(A2038,5,FIND(".",A2038,1)-5),0)</f>
        <v>0</v>
      </c>
      <c r="C2038" t="b">
        <v>0</v>
      </c>
      <c r="E2038" t="str">
        <f t="shared" si="186"/>
        <v>1</v>
      </c>
      <c r="F2038" t="str">
        <f t="shared" si="187"/>
        <v>2</v>
      </c>
      <c r="G2038" t="str">
        <f t="shared" si="188"/>
        <v>Câu 493.</v>
      </c>
      <c r="H2038" t="str">
        <f t="shared" si="189"/>
        <v>1</v>
      </c>
      <c r="I2038" t="str">
        <f t="shared" si="190"/>
        <v>2</v>
      </c>
      <c r="J2038" t="str">
        <f t="shared" ca="1" si="191"/>
        <v/>
      </c>
    </row>
    <row r="2039" spans="1:10" ht="18.75" x14ac:dyDescent="0.25">
      <c r="A2039" s="11" t="s">
        <v>2789</v>
      </c>
      <c r="B2039">
        <f>IFERROR(COUNTIFS($A$1:A2039,"Câu "&amp;"*")-MID(A2039,5,FIND(".",A2039,1)-5),0)</f>
        <v>0</v>
      </c>
      <c r="C2039" t="b">
        <v>1</v>
      </c>
      <c r="E2039" t="str">
        <f t="shared" si="186"/>
        <v>2</v>
      </c>
      <c r="F2039" t="str">
        <f t="shared" si="187"/>
        <v>Câu 493.</v>
      </c>
      <c r="G2039" t="str">
        <f t="shared" si="188"/>
        <v>1</v>
      </c>
      <c r="H2039" t="str">
        <f t="shared" si="189"/>
        <v>2</v>
      </c>
      <c r="I2039" t="str">
        <f t="shared" si="190"/>
        <v>3</v>
      </c>
      <c r="J2039" t="str">
        <f t="shared" ca="1" si="191"/>
        <v/>
      </c>
    </row>
    <row r="2040" spans="1:10" ht="18.75" x14ac:dyDescent="0.25">
      <c r="A2040" s="10" t="s">
        <v>1422</v>
      </c>
      <c r="B2040">
        <f>IFERROR(COUNTIFS($A$1:A2040,"Câu "&amp;"*")-MID(A2040,5,FIND(".",A2040,1)-5),0)</f>
        <v>0</v>
      </c>
      <c r="C2040" t="b">
        <v>0</v>
      </c>
      <c r="E2040" t="str">
        <f t="shared" si="186"/>
        <v>Câu 493.</v>
      </c>
      <c r="F2040" t="str">
        <f t="shared" si="187"/>
        <v>1</v>
      </c>
      <c r="G2040" t="str">
        <f t="shared" si="188"/>
        <v>2</v>
      </c>
      <c r="H2040" t="str">
        <f t="shared" si="189"/>
        <v>3</v>
      </c>
      <c r="I2040" t="str">
        <f t="shared" si="190"/>
        <v/>
      </c>
      <c r="J2040" t="str">
        <f t="shared" ca="1" si="191"/>
        <v>1</v>
      </c>
    </row>
    <row r="2041" spans="1:10" ht="18.75" x14ac:dyDescent="0.25">
      <c r="A2041" s="11" t="s">
        <v>2790</v>
      </c>
      <c r="B2041">
        <f>IFERROR(COUNTIFS($A$1:A2041,"Câu "&amp;"*")-MID(A2041,5,FIND(".",A2041,1)-5),0)</f>
        <v>0</v>
      </c>
      <c r="C2041" t="b">
        <v>1</v>
      </c>
      <c r="E2041" t="str">
        <f t="shared" si="186"/>
        <v>1</v>
      </c>
      <c r="F2041" t="str">
        <f t="shared" si="187"/>
        <v>2</v>
      </c>
      <c r="G2041" t="str">
        <f t="shared" si="188"/>
        <v>3</v>
      </c>
      <c r="H2041" t="str">
        <f t="shared" si="189"/>
        <v/>
      </c>
      <c r="I2041" t="str">
        <f t="shared" si="190"/>
        <v>1</v>
      </c>
      <c r="J2041" t="str">
        <f t="shared" ca="1" si="191"/>
        <v/>
      </c>
    </row>
    <row r="2042" spans="1:10" ht="18.75" x14ac:dyDescent="0.25">
      <c r="A2042" s="11" t="s">
        <v>2791</v>
      </c>
      <c r="B2042">
        <f>IFERROR(COUNTIFS($A$1:A2042,"Câu "&amp;"*")-MID(A2042,5,FIND(".",A2042,1)-5),0)</f>
        <v>0</v>
      </c>
      <c r="C2042" t="b">
        <v>0</v>
      </c>
      <c r="E2042" t="str">
        <f t="shared" si="186"/>
        <v>2</v>
      </c>
      <c r="F2042" t="str">
        <f t="shared" si="187"/>
        <v>3</v>
      </c>
      <c r="G2042" t="str">
        <f t="shared" si="188"/>
        <v>Câu 494.</v>
      </c>
      <c r="H2042" t="str">
        <f t="shared" si="189"/>
        <v>1</v>
      </c>
      <c r="I2042" t="str">
        <f t="shared" si="190"/>
        <v>2</v>
      </c>
      <c r="J2042" t="str">
        <f t="shared" ca="1" si="191"/>
        <v/>
      </c>
    </row>
    <row r="2043" spans="1:10" ht="18.75" x14ac:dyDescent="0.25">
      <c r="A2043" s="11" t="s">
        <v>2792</v>
      </c>
      <c r="B2043">
        <f>IFERROR(COUNTIFS($A$1:A2043,"Câu "&amp;"*")-MID(A2043,5,FIND(".",A2043,1)-5),0)</f>
        <v>0</v>
      </c>
      <c r="C2043" t="b">
        <v>0</v>
      </c>
      <c r="E2043" t="str">
        <f t="shared" si="186"/>
        <v>3</v>
      </c>
      <c r="F2043" t="str">
        <f t="shared" si="187"/>
        <v>Câu 494.</v>
      </c>
      <c r="G2043" t="str">
        <f t="shared" si="188"/>
        <v>1</v>
      </c>
      <c r="H2043" t="str">
        <f t="shared" si="189"/>
        <v>2</v>
      </c>
      <c r="I2043" t="str">
        <f t="shared" si="190"/>
        <v>3</v>
      </c>
      <c r="J2043" t="str">
        <f t="shared" ca="1" si="191"/>
        <v/>
      </c>
    </row>
    <row r="2044" spans="1:10" ht="18.75" x14ac:dyDescent="0.25">
      <c r="A2044" s="10" t="s">
        <v>1426</v>
      </c>
      <c r="B2044">
        <f>IFERROR(COUNTIFS($A$1:A2044,"Câu "&amp;"*")-MID(A2044,5,FIND(".",A2044,1)-5),0)</f>
        <v>0</v>
      </c>
      <c r="C2044" t="b">
        <v>0</v>
      </c>
      <c r="E2044" t="str">
        <f t="shared" si="186"/>
        <v>Câu 494.</v>
      </c>
      <c r="F2044" t="str">
        <f t="shared" si="187"/>
        <v>1</v>
      </c>
      <c r="G2044" t="str">
        <f t="shared" si="188"/>
        <v>2</v>
      </c>
      <c r="H2044" t="str">
        <f t="shared" si="189"/>
        <v>3</v>
      </c>
      <c r="I2044" t="str">
        <f t="shared" si="190"/>
        <v/>
      </c>
      <c r="J2044" t="str">
        <f t="shared" ca="1" si="191"/>
        <v>2</v>
      </c>
    </row>
    <row r="2045" spans="1:10" ht="18.75" x14ac:dyDescent="0.25">
      <c r="A2045" s="11" t="s">
        <v>2793</v>
      </c>
      <c r="B2045">
        <f>IFERROR(COUNTIFS($A$1:A2045,"Câu "&amp;"*")-MID(A2045,5,FIND(".",A2045,1)-5),0)</f>
        <v>0</v>
      </c>
      <c r="C2045" t="b">
        <v>0</v>
      </c>
      <c r="E2045" t="str">
        <f t="shared" si="186"/>
        <v>1</v>
      </c>
      <c r="F2045" t="str">
        <f t="shared" si="187"/>
        <v>2</v>
      </c>
      <c r="G2045" t="str">
        <f t="shared" si="188"/>
        <v>3</v>
      </c>
      <c r="H2045" t="str">
        <f t="shared" si="189"/>
        <v/>
      </c>
      <c r="I2045" t="str">
        <f t="shared" si="190"/>
        <v>1</v>
      </c>
      <c r="J2045" t="str">
        <f t="shared" ca="1" si="191"/>
        <v/>
      </c>
    </row>
    <row r="2046" spans="1:10" ht="18.75" x14ac:dyDescent="0.25">
      <c r="A2046" s="11" t="s">
        <v>2794</v>
      </c>
      <c r="B2046">
        <f>IFERROR(COUNTIFS($A$1:A2046,"Câu "&amp;"*")-MID(A2046,5,FIND(".",A2046,1)-5),0)</f>
        <v>0</v>
      </c>
      <c r="C2046" t="b">
        <v>1</v>
      </c>
      <c r="E2046" t="str">
        <f t="shared" si="186"/>
        <v>2</v>
      </c>
      <c r="F2046" t="str">
        <f t="shared" si="187"/>
        <v>3</v>
      </c>
      <c r="G2046" t="str">
        <f t="shared" si="188"/>
        <v>Câu 495.</v>
      </c>
      <c r="H2046" t="str">
        <f t="shared" si="189"/>
        <v>1</v>
      </c>
      <c r="I2046" t="str">
        <f t="shared" si="190"/>
        <v>2</v>
      </c>
      <c r="J2046" t="str">
        <f t="shared" ca="1" si="191"/>
        <v/>
      </c>
    </row>
    <row r="2047" spans="1:10" ht="18.75" x14ac:dyDescent="0.25">
      <c r="A2047" s="11" t="s">
        <v>2795</v>
      </c>
      <c r="B2047">
        <f>IFERROR(COUNTIFS($A$1:A2047,"Câu "&amp;"*")-MID(A2047,5,FIND(".",A2047,1)-5),0)</f>
        <v>0</v>
      </c>
      <c r="C2047" t="b">
        <v>0</v>
      </c>
      <c r="E2047" t="str">
        <f t="shared" si="186"/>
        <v>3</v>
      </c>
      <c r="F2047" t="str">
        <f t="shared" si="187"/>
        <v>Câu 495.</v>
      </c>
      <c r="G2047" t="str">
        <f t="shared" si="188"/>
        <v>1</v>
      </c>
      <c r="H2047" t="str">
        <f t="shared" si="189"/>
        <v>2</v>
      </c>
      <c r="I2047" t="str">
        <f t="shared" si="190"/>
        <v/>
      </c>
      <c r="J2047" t="str">
        <f t="shared" ca="1" si="191"/>
        <v/>
      </c>
    </row>
    <row r="2048" spans="1:10" ht="18.75" x14ac:dyDescent="0.25">
      <c r="A2048" s="10" t="s">
        <v>1430</v>
      </c>
      <c r="B2048">
        <f>IFERROR(COUNTIFS($A$1:A2048,"Câu "&amp;"*")-MID(A2048,5,FIND(".",A2048,1)-5),0)</f>
        <v>0</v>
      </c>
      <c r="C2048" t="b">
        <v>0</v>
      </c>
      <c r="E2048" t="str">
        <f t="shared" si="186"/>
        <v>Câu 495.</v>
      </c>
      <c r="F2048" t="str">
        <f t="shared" si="187"/>
        <v>1</v>
      </c>
      <c r="G2048" t="str">
        <f t="shared" si="188"/>
        <v>2</v>
      </c>
      <c r="H2048" t="str">
        <f t="shared" si="189"/>
        <v/>
      </c>
      <c r="I2048" t="str">
        <f t="shared" si="190"/>
        <v>1</v>
      </c>
      <c r="J2048" t="str">
        <f t="shared" ca="1" si="191"/>
        <v>2</v>
      </c>
    </row>
    <row r="2049" spans="1:10" ht="18.75" x14ac:dyDescent="0.25">
      <c r="A2049" s="11" t="s">
        <v>2788</v>
      </c>
      <c r="B2049">
        <f>IFERROR(COUNTIFS($A$1:A2049,"Câu "&amp;"*")-MID(A2049,5,FIND(".",A2049,1)-5),0)</f>
        <v>0</v>
      </c>
      <c r="C2049" t="b">
        <v>0</v>
      </c>
      <c r="E2049" t="str">
        <f t="shared" si="186"/>
        <v>1</v>
      </c>
      <c r="F2049" t="str">
        <f t="shared" si="187"/>
        <v>2</v>
      </c>
      <c r="G2049" t="str">
        <f t="shared" si="188"/>
        <v>Câu 496.</v>
      </c>
      <c r="H2049" t="str">
        <f t="shared" si="189"/>
        <v>1</v>
      </c>
      <c r="I2049" t="str">
        <f t="shared" si="190"/>
        <v>2</v>
      </c>
      <c r="J2049" t="str">
        <f t="shared" ca="1" si="191"/>
        <v/>
      </c>
    </row>
    <row r="2050" spans="1:10" ht="18.75" x14ac:dyDescent="0.25">
      <c r="A2050" s="11" t="s">
        <v>2796</v>
      </c>
      <c r="B2050">
        <f>IFERROR(COUNTIFS($A$1:A2050,"Câu "&amp;"*")-MID(A2050,5,FIND(".",A2050,1)-5),0)</f>
        <v>0</v>
      </c>
      <c r="C2050" t="b">
        <v>1</v>
      </c>
      <c r="E2050" t="str">
        <f t="shared" si="186"/>
        <v>2</v>
      </c>
      <c r="F2050" t="str">
        <f t="shared" si="187"/>
        <v>Câu 496.</v>
      </c>
      <c r="G2050" t="str">
        <f t="shared" si="188"/>
        <v>1</v>
      </c>
      <c r="H2050" t="str">
        <f t="shared" si="189"/>
        <v>2</v>
      </c>
      <c r="I2050" t="str">
        <f t="shared" si="190"/>
        <v>3</v>
      </c>
      <c r="J2050" t="str">
        <f t="shared" ca="1" si="191"/>
        <v/>
      </c>
    </row>
    <row r="2051" spans="1:10" ht="18.75" x14ac:dyDescent="0.25">
      <c r="A2051" s="10" t="s">
        <v>1432</v>
      </c>
      <c r="B2051">
        <f>IFERROR(COUNTIFS($A$1:A2051,"Câu "&amp;"*")-MID(A2051,5,FIND(".",A2051,1)-5),0)</f>
        <v>0</v>
      </c>
      <c r="C2051" t="b">
        <v>0</v>
      </c>
      <c r="E2051" t="str">
        <f t="shared" ref="E2051:E2114" si="192">IF(LEFT(A2051,3)="Câu",LEFT(A2051,FIND(".",A2051,1)),LEFT(A2051,1))</f>
        <v>Câu 496.</v>
      </c>
      <c r="F2051" t="str">
        <f t="shared" ref="F2051:F2114" si="193">IF(LEFT(A2052,3)="Câu",LEFT(A2052,FIND(".",A2052,1)),LEFT(A2052,1))</f>
        <v>1</v>
      </c>
      <c r="G2051" t="str">
        <f t="shared" ref="G2051:G2114" si="194">IF(LEFT(A2053,3)="Câu",LEFT(A2053,FIND(".",A2053,1)),LEFT(A2053,1))</f>
        <v>2</v>
      </c>
      <c r="H2051" t="str">
        <f t="shared" ref="H2051:H2114" si="195">IF(LEFT(A2054,3)="Câu","",LEFT(A2054,1))</f>
        <v>3</v>
      </c>
      <c r="I2051" t="str">
        <f t="shared" ref="I2051:I2114" si="196">IF(LEFT(A2055,3)="Câu","",LEFT(A2055,1))</f>
        <v/>
      </c>
      <c r="J2051" t="str">
        <f t="shared" ref="J2051:J2114" ca="1" si="197">IFERROR(VLOOKUP(TRUE,INDIRECT("C"&amp;MATCH(E2051,$E$1:$E$2471,0)&amp;":E"&amp;MATCH("Câu "&amp;VALUE(MID(E2051,5,LEN(E2051)-5))+1&amp;".",$E$1:$E$2471,0)),3,0),"")</f>
        <v>1</v>
      </c>
    </row>
    <row r="2052" spans="1:10" ht="18.75" x14ac:dyDescent="0.25">
      <c r="A2052" s="11" t="s">
        <v>2797</v>
      </c>
      <c r="B2052">
        <f>IFERROR(COUNTIFS($A$1:A2052,"Câu "&amp;"*")-MID(A2052,5,FIND(".",A2052,1)-5),0)</f>
        <v>0</v>
      </c>
      <c r="C2052" t="b">
        <v>1</v>
      </c>
      <c r="E2052" t="str">
        <f t="shared" si="192"/>
        <v>1</v>
      </c>
      <c r="F2052" t="str">
        <f t="shared" si="193"/>
        <v>2</v>
      </c>
      <c r="G2052" t="str">
        <f t="shared" si="194"/>
        <v>3</v>
      </c>
      <c r="H2052" t="str">
        <f t="shared" si="195"/>
        <v/>
      </c>
      <c r="I2052" t="str">
        <f t="shared" si="196"/>
        <v>1</v>
      </c>
      <c r="J2052" t="str">
        <f t="shared" ca="1" si="197"/>
        <v/>
      </c>
    </row>
    <row r="2053" spans="1:10" ht="18.75" x14ac:dyDescent="0.25">
      <c r="A2053" s="11" t="s">
        <v>2787</v>
      </c>
      <c r="B2053">
        <f>IFERROR(COUNTIFS($A$1:A2053,"Câu "&amp;"*")-MID(A2053,5,FIND(".",A2053,1)-5),0)</f>
        <v>0</v>
      </c>
      <c r="C2053" t="b">
        <v>0</v>
      </c>
      <c r="E2053" t="str">
        <f t="shared" si="192"/>
        <v>2</v>
      </c>
      <c r="F2053" t="str">
        <f t="shared" si="193"/>
        <v>3</v>
      </c>
      <c r="G2053" t="str">
        <f t="shared" si="194"/>
        <v>Câu 497.</v>
      </c>
      <c r="H2053" t="str">
        <f t="shared" si="195"/>
        <v>1</v>
      </c>
      <c r="I2053" t="str">
        <f t="shared" si="196"/>
        <v>2</v>
      </c>
      <c r="J2053" t="str">
        <f t="shared" ca="1" si="197"/>
        <v/>
      </c>
    </row>
    <row r="2054" spans="1:10" ht="18.75" x14ac:dyDescent="0.25">
      <c r="A2054" s="11" t="s">
        <v>2798</v>
      </c>
      <c r="B2054">
        <f>IFERROR(COUNTIFS($A$1:A2054,"Câu "&amp;"*")-MID(A2054,5,FIND(".",A2054,1)-5),0)</f>
        <v>0</v>
      </c>
      <c r="C2054" t="b">
        <v>0</v>
      </c>
      <c r="E2054" t="str">
        <f t="shared" si="192"/>
        <v>3</v>
      </c>
      <c r="F2054" t="str">
        <f t="shared" si="193"/>
        <v>Câu 497.</v>
      </c>
      <c r="G2054" t="str">
        <f t="shared" si="194"/>
        <v>1</v>
      </c>
      <c r="H2054" t="str">
        <f t="shared" si="195"/>
        <v>2</v>
      </c>
      <c r="I2054" t="str">
        <f t="shared" si="196"/>
        <v/>
      </c>
      <c r="J2054" t="str">
        <f t="shared" ca="1" si="197"/>
        <v/>
      </c>
    </row>
    <row r="2055" spans="1:10" ht="18.75" x14ac:dyDescent="0.25">
      <c r="A2055" s="10" t="s">
        <v>1435</v>
      </c>
      <c r="B2055">
        <f>IFERROR(COUNTIFS($A$1:A2055,"Câu "&amp;"*")-MID(A2055,5,FIND(".",A2055,1)-5),0)</f>
        <v>0</v>
      </c>
      <c r="C2055" t="b">
        <v>0</v>
      </c>
      <c r="E2055" t="str">
        <f t="shared" si="192"/>
        <v>Câu 497.</v>
      </c>
      <c r="F2055" t="str">
        <f t="shared" si="193"/>
        <v>1</v>
      </c>
      <c r="G2055" t="str">
        <f t="shared" si="194"/>
        <v>2</v>
      </c>
      <c r="H2055" t="str">
        <f t="shared" si="195"/>
        <v/>
      </c>
      <c r="I2055" t="str">
        <f t="shared" si="196"/>
        <v>1</v>
      </c>
      <c r="J2055" t="str">
        <f t="shared" ca="1" si="197"/>
        <v>1</v>
      </c>
    </row>
    <row r="2056" spans="1:10" ht="18.75" x14ac:dyDescent="0.25">
      <c r="A2056" s="11" t="s">
        <v>2786</v>
      </c>
      <c r="B2056">
        <f>IFERROR(COUNTIFS($A$1:A2056,"Câu "&amp;"*")-MID(A2056,5,FIND(".",A2056,1)-5),0)</f>
        <v>0</v>
      </c>
      <c r="C2056" t="b">
        <v>1</v>
      </c>
      <c r="E2056" t="str">
        <f t="shared" si="192"/>
        <v>1</v>
      </c>
      <c r="F2056" t="str">
        <f t="shared" si="193"/>
        <v>2</v>
      </c>
      <c r="G2056" t="str">
        <f t="shared" si="194"/>
        <v>Câu 498.</v>
      </c>
      <c r="H2056" t="str">
        <f t="shared" si="195"/>
        <v>1</v>
      </c>
      <c r="I2056" t="str">
        <f t="shared" si="196"/>
        <v>2</v>
      </c>
      <c r="J2056" t="str">
        <f t="shared" ca="1" si="197"/>
        <v/>
      </c>
    </row>
    <row r="2057" spans="1:10" ht="18.75" x14ac:dyDescent="0.25">
      <c r="A2057" s="11" t="s">
        <v>2787</v>
      </c>
      <c r="B2057">
        <f>IFERROR(COUNTIFS($A$1:A2057,"Câu "&amp;"*")-MID(A2057,5,FIND(".",A2057,1)-5),0)</f>
        <v>0</v>
      </c>
      <c r="C2057" t="b">
        <v>0</v>
      </c>
      <c r="E2057" t="str">
        <f t="shared" si="192"/>
        <v>2</v>
      </c>
      <c r="F2057" t="str">
        <f t="shared" si="193"/>
        <v>Câu 498.</v>
      </c>
      <c r="G2057" t="str">
        <f t="shared" si="194"/>
        <v>1</v>
      </c>
      <c r="H2057" t="str">
        <f t="shared" si="195"/>
        <v>2</v>
      </c>
      <c r="I2057" t="str">
        <f t="shared" si="196"/>
        <v/>
      </c>
      <c r="J2057" t="str">
        <f t="shared" ca="1" si="197"/>
        <v/>
      </c>
    </row>
    <row r="2058" spans="1:10" ht="18.75" x14ac:dyDescent="0.25">
      <c r="A2058" s="10" t="s">
        <v>1436</v>
      </c>
      <c r="B2058">
        <f>IFERROR(COUNTIFS($A$1:A2058,"Câu "&amp;"*")-MID(A2058,5,FIND(".",A2058,1)-5),0)</f>
        <v>0</v>
      </c>
      <c r="C2058" t="b">
        <v>0</v>
      </c>
      <c r="E2058" t="str">
        <f t="shared" si="192"/>
        <v>Câu 498.</v>
      </c>
      <c r="F2058" t="str">
        <f t="shared" si="193"/>
        <v>1</v>
      </c>
      <c r="G2058" t="str">
        <f t="shared" si="194"/>
        <v>2</v>
      </c>
      <c r="H2058" t="str">
        <f t="shared" si="195"/>
        <v/>
      </c>
      <c r="I2058" t="str">
        <f t="shared" si="196"/>
        <v>1</v>
      </c>
      <c r="J2058" t="str">
        <f t="shared" ca="1" si="197"/>
        <v>2</v>
      </c>
    </row>
    <row r="2059" spans="1:10" ht="18.75" x14ac:dyDescent="0.25">
      <c r="A2059" s="11" t="s">
        <v>2799</v>
      </c>
      <c r="B2059">
        <f>IFERROR(COUNTIFS($A$1:A2059,"Câu "&amp;"*")-MID(A2059,5,FIND(".",A2059,1)-5),0)</f>
        <v>0</v>
      </c>
      <c r="C2059" t="b">
        <v>0</v>
      </c>
      <c r="E2059" t="str">
        <f t="shared" si="192"/>
        <v>1</v>
      </c>
      <c r="F2059" t="str">
        <f t="shared" si="193"/>
        <v>2</v>
      </c>
      <c r="G2059" t="str">
        <f t="shared" si="194"/>
        <v>Câu 499.</v>
      </c>
      <c r="H2059" t="str">
        <f t="shared" si="195"/>
        <v>1</v>
      </c>
      <c r="I2059" t="str">
        <f t="shared" si="196"/>
        <v>2</v>
      </c>
      <c r="J2059" t="str">
        <f t="shared" ca="1" si="197"/>
        <v/>
      </c>
    </row>
    <row r="2060" spans="1:10" ht="18.75" x14ac:dyDescent="0.25">
      <c r="A2060" s="11" t="s">
        <v>2800</v>
      </c>
      <c r="B2060">
        <f>IFERROR(COUNTIFS($A$1:A2060,"Câu "&amp;"*")-MID(A2060,5,FIND(".",A2060,1)-5),0)</f>
        <v>0</v>
      </c>
      <c r="C2060" t="b">
        <v>1</v>
      </c>
      <c r="E2060" t="str">
        <f t="shared" si="192"/>
        <v>2</v>
      </c>
      <c r="F2060" t="str">
        <f t="shared" si="193"/>
        <v>Câu 499.</v>
      </c>
      <c r="G2060" t="str">
        <f t="shared" si="194"/>
        <v>1</v>
      </c>
      <c r="H2060" t="str">
        <f t="shared" si="195"/>
        <v>2</v>
      </c>
      <c r="I2060" t="str">
        <f t="shared" si="196"/>
        <v/>
      </c>
      <c r="J2060" t="str">
        <f t="shared" ca="1" si="197"/>
        <v/>
      </c>
    </row>
    <row r="2061" spans="1:10" ht="18.75" x14ac:dyDescent="0.25">
      <c r="A2061" s="10" t="s">
        <v>1439</v>
      </c>
      <c r="B2061">
        <f>IFERROR(COUNTIFS($A$1:A2061,"Câu "&amp;"*")-MID(A2061,5,FIND(".",A2061,1)-5),0)</f>
        <v>0</v>
      </c>
      <c r="C2061" t="b">
        <v>0</v>
      </c>
      <c r="E2061" t="str">
        <f t="shared" si="192"/>
        <v>Câu 499.</v>
      </c>
      <c r="F2061" t="str">
        <f t="shared" si="193"/>
        <v>1</v>
      </c>
      <c r="G2061" t="str">
        <f t="shared" si="194"/>
        <v>2</v>
      </c>
      <c r="H2061" t="str">
        <f t="shared" si="195"/>
        <v/>
      </c>
      <c r="I2061" t="str">
        <f t="shared" si="196"/>
        <v>1</v>
      </c>
      <c r="J2061" t="str">
        <f t="shared" ca="1" si="197"/>
        <v>1</v>
      </c>
    </row>
    <row r="2062" spans="1:10" ht="18.75" x14ac:dyDescent="0.25">
      <c r="A2062" s="11" t="s">
        <v>2801</v>
      </c>
      <c r="B2062">
        <f>IFERROR(COUNTIFS($A$1:A2062,"Câu "&amp;"*")-MID(A2062,5,FIND(".",A2062,1)-5),0)</f>
        <v>0</v>
      </c>
      <c r="C2062" t="b">
        <v>1</v>
      </c>
      <c r="E2062" t="str">
        <f t="shared" si="192"/>
        <v>1</v>
      </c>
      <c r="F2062" t="str">
        <f t="shared" si="193"/>
        <v>2</v>
      </c>
      <c r="G2062" t="str">
        <f t="shared" si="194"/>
        <v>Câu 500.</v>
      </c>
      <c r="H2062" t="str">
        <f t="shared" si="195"/>
        <v>1</v>
      </c>
      <c r="I2062" t="str">
        <f t="shared" si="196"/>
        <v>2</v>
      </c>
      <c r="J2062" t="str">
        <f t="shared" ca="1" si="197"/>
        <v/>
      </c>
    </row>
    <row r="2063" spans="1:10" ht="18.75" x14ac:dyDescent="0.25">
      <c r="A2063" s="11" t="s">
        <v>2802</v>
      </c>
      <c r="B2063">
        <f>IFERROR(COUNTIFS($A$1:A2063,"Câu "&amp;"*")-MID(A2063,5,FIND(".",A2063,1)-5),0)</f>
        <v>0</v>
      </c>
      <c r="C2063" t="b">
        <v>0</v>
      </c>
      <c r="E2063" t="str">
        <f t="shared" si="192"/>
        <v>2</v>
      </c>
      <c r="F2063" t="str">
        <f t="shared" si="193"/>
        <v>Câu 500.</v>
      </c>
      <c r="G2063" t="str">
        <f t="shared" si="194"/>
        <v>1</v>
      </c>
      <c r="H2063" t="str">
        <f t="shared" si="195"/>
        <v>2</v>
      </c>
      <c r="I2063" t="str">
        <f t="shared" si="196"/>
        <v>3</v>
      </c>
      <c r="J2063" t="str">
        <f t="shared" ca="1" si="197"/>
        <v/>
      </c>
    </row>
    <row r="2064" spans="1:10" ht="18.75" x14ac:dyDescent="0.25">
      <c r="A2064" s="10" t="s">
        <v>1441</v>
      </c>
      <c r="B2064">
        <f>IFERROR(COUNTIFS($A$1:A2064,"Câu "&amp;"*")-MID(A2064,5,FIND(".",A2064,1)-5),0)</f>
        <v>0</v>
      </c>
      <c r="C2064" t="b">
        <v>0</v>
      </c>
      <c r="E2064" t="str">
        <f t="shared" si="192"/>
        <v>Câu 500.</v>
      </c>
      <c r="F2064" t="str">
        <f t="shared" si="193"/>
        <v>1</v>
      </c>
      <c r="G2064" t="str">
        <f t="shared" si="194"/>
        <v>2</v>
      </c>
      <c r="H2064" t="str">
        <f t="shared" si="195"/>
        <v>3</v>
      </c>
      <c r="I2064" t="str">
        <f t="shared" si="196"/>
        <v/>
      </c>
      <c r="J2064" t="str">
        <f t="shared" ca="1" si="197"/>
        <v>2</v>
      </c>
    </row>
    <row r="2065" spans="1:10" ht="18.75" x14ac:dyDescent="0.25">
      <c r="A2065" s="11" t="s">
        <v>2803</v>
      </c>
      <c r="B2065">
        <f>IFERROR(COUNTIFS($A$1:A2065,"Câu "&amp;"*")-MID(A2065,5,FIND(".",A2065,1)-5),0)</f>
        <v>0</v>
      </c>
      <c r="C2065" t="b">
        <v>0</v>
      </c>
      <c r="E2065" t="str">
        <f t="shared" si="192"/>
        <v>1</v>
      </c>
      <c r="F2065" t="str">
        <f t="shared" si="193"/>
        <v>2</v>
      </c>
      <c r="G2065" t="str">
        <f t="shared" si="194"/>
        <v>3</v>
      </c>
      <c r="H2065" t="str">
        <f t="shared" si="195"/>
        <v/>
      </c>
      <c r="I2065" t="str">
        <f t="shared" si="196"/>
        <v>1</v>
      </c>
      <c r="J2065" t="str">
        <f t="shared" ca="1" si="197"/>
        <v/>
      </c>
    </row>
    <row r="2066" spans="1:10" ht="18.75" x14ac:dyDescent="0.25">
      <c r="A2066" s="11" t="s">
        <v>2804</v>
      </c>
      <c r="B2066">
        <f>IFERROR(COUNTIFS($A$1:A2066,"Câu "&amp;"*")-MID(A2066,5,FIND(".",A2066,1)-5),0)</f>
        <v>0</v>
      </c>
      <c r="C2066" t="b">
        <v>1</v>
      </c>
      <c r="E2066" t="str">
        <f t="shared" si="192"/>
        <v>2</v>
      </c>
      <c r="F2066" t="str">
        <f t="shared" si="193"/>
        <v>3</v>
      </c>
      <c r="G2066" t="str">
        <f t="shared" si="194"/>
        <v>Câu 501.</v>
      </c>
      <c r="H2066" t="str">
        <f t="shared" si="195"/>
        <v>1</v>
      </c>
      <c r="I2066" t="str">
        <f t="shared" si="196"/>
        <v>2</v>
      </c>
      <c r="J2066" t="str">
        <f t="shared" ca="1" si="197"/>
        <v/>
      </c>
    </row>
    <row r="2067" spans="1:10" ht="18.75" x14ac:dyDescent="0.25">
      <c r="A2067" s="11" t="s">
        <v>2805</v>
      </c>
      <c r="B2067">
        <f>IFERROR(COUNTIFS($A$1:A2067,"Câu "&amp;"*")-MID(A2067,5,FIND(".",A2067,1)-5),0)</f>
        <v>0</v>
      </c>
      <c r="C2067" t="b">
        <v>0</v>
      </c>
      <c r="E2067" t="str">
        <f t="shared" si="192"/>
        <v>3</v>
      </c>
      <c r="F2067" t="str">
        <f t="shared" si="193"/>
        <v>Câu 501.</v>
      </c>
      <c r="G2067" t="str">
        <f t="shared" si="194"/>
        <v>1</v>
      </c>
      <c r="H2067" t="str">
        <f t="shared" si="195"/>
        <v>2</v>
      </c>
      <c r="I2067" t="str">
        <f t="shared" si="196"/>
        <v/>
      </c>
      <c r="J2067" t="str">
        <f t="shared" ca="1" si="197"/>
        <v/>
      </c>
    </row>
    <row r="2068" spans="1:10" ht="18.75" x14ac:dyDescent="0.25">
      <c r="A2068" s="10" t="s">
        <v>1444</v>
      </c>
      <c r="B2068">
        <f>IFERROR(COUNTIFS($A$1:A2068,"Câu "&amp;"*")-MID(A2068,5,FIND(".",A2068,1)-5),0)</f>
        <v>0</v>
      </c>
      <c r="C2068" t="b">
        <v>0</v>
      </c>
      <c r="E2068" t="str">
        <f t="shared" si="192"/>
        <v>Câu 501.</v>
      </c>
      <c r="F2068" t="str">
        <f t="shared" si="193"/>
        <v>1</v>
      </c>
      <c r="G2068" t="str">
        <f t="shared" si="194"/>
        <v>2</v>
      </c>
      <c r="H2068" t="str">
        <f t="shared" si="195"/>
        <v/>
      </c>
      <c r="I2068" t="str">
        <f t="shared" si="196"/>
        <v>1</v>
      </c>
      <c r="J2068" t="str">
        <f t="shared" ca="1" si="197"/>
        <v>2</v>
      </c>
    </row>
    <row r="2069" spans="1:10" ht="18.75" x14ac:dyDescent="0.25">
      <c r="A2069" s="11" t="s">
        <v>2799</v>
      </c>
      <c r="B2069">
        <f>IFERROR(COUNTIFS($A$1:A2069,"Câu "&amp;"*")-MID(A2069,5,FIND(".",A2069,1)-5),0)</f>
        <v>0</v>
      </c>
      <c r="C2069" t="b">
        <v>0</v>
      </c>
      <c r="E2069" t="str">
        <f t="shared" si="192"/>
        <v>1</v>
      </c>
      <c r="F2069" t="str">
        <f t="shared" si="193"/>
        <v>2</v>
      </c>
      <c r="G2069" t="str">
        <f t="shared" si="194"/>
        <v>Câu 502.</v>
      </c>
      <c r="H2069" t="str">
        <f t="shared" si="195"/>
        <v>1</v>
      </c>
      <c r="I2069" t="str">
        <f t="shared" si="196"/>
        <v>2</v>
      </c>
      <c r="J2069" t="str">
        <f t="shared" ca="1" si="197"/>
        <v/>
      </c>
    </row>
    <row r="2070" spans="1:10" ht="18.75" x14ac:dyDescent="0.25">
      <c r="A2070" s="11" t="s">
        <v>2806</v>
      </c>
      <c r="B2070">
        <f>IFERROR(COUNTIFS($A$1:A2070,"Câu "&amp;"*")-MID(A2070,5,FIND(".",A2070,1)-5),0)</f>
        <v>0</v>
      </c>
      <c r="C2070" t="b">
        <v>1</v>
      </c>
      <c r="E2070" t="str">
        <f t="shared" si="192"/>
        <v>2</v>
      </c>
      <c r="F2070" t="str">
        <f t="shared" si="193"/>
        <v>Câu 502.</v>
      </c>
      <c r="G2070" t="str">
        <f t="shared" si="194"/>
        <v>1</v>
      </c>
      <c r="H2070" t="str">
        <f t="shared" si="195"/>
        <v>2</v>
      </c>
      <c r="I2070" t="str">
        <f t="shared" si="196"/>
        <v>3</v>
      </c>
      <c r="J2070" t="str">
        <f t="shared" ca="1" si="197"/>
        <v/>
      </c>
    </row>
    <row r="2071" spans="1:10" ht="18.75" x14ac:dyDescent="0.25">
      <c r="A2071" s="10" t="s">
        <v>1446</v>
      </c>
      <c r="B2071">
        <f>IFERROR(COUNTIFS($A$1:A2071,"Câu "&amp;"*")-MID(A2071,5,FIND(".",A2071,1)-5),0)</f>
        <v>0</v>
      </c>
      <c r="C2071" t="b">
        <v>0</v>
      </c>
      <c r="E2071" t="str">
        <f t="shared" si="192"/>
        <v>Câu 502.</v>
      </c>
      <c r="F2071" t="str">
        <f t="shared" si="193"/>
        <v>1</v>
      </c>
      <c r="G2071" t="str">
        <f t="shared" si="194"/>
        <v>2</v>
      </c>
      <c r="H2071" t="str">
        <f t="shared" si="195"/>
        <v>3</v>
      </c>
      <c r="I2071" t="str">
        <f t="shared" si="196"/>
        <v>4</v>
      </c>
      <c r="J2071" t="str">
        <f t="shared" ca="1" si="197"/>
        <v>2</v>
      </c>
    </row>
    <row r="2072" spans="1:10" ht="18.75" x14ac:dyDescent="0.25">
      <c r="A2072" s="11" t="s">
        <v>2807</v>
      </c>
      <c r="B2072">
        <f>IFERROR(COUNTIFS($A$1:A2072,"Câu "&amp;"*")-MID(A2072,5,FIND(".",A2072,1)-5),0)</f>
        <v>0</v>
      </c>
      <c r="C2072" t="b">
        <v>0</v>
      </c>
      <c r="E2072" t="str">
        <f t="shared" si="192"/>
        <v>1</v>
      </c>
      <c r="F2072" t="str">
        <f t="shared" si="193"/>
        <v>2</v>
      </c>
      <c r="G2072" t="str">
        <f t="shared" si="194"/>
        <v>3</v>
      </c>
      <c r="H2072" t="str">
        <f t="shared" si="195"/>
        <v>4</v>
      </c>
      <c r="I2072" t="str">
        <f t="shared" si="196"/>
        <v/>
      </c>
      <c r="J2072" t="str">
        <f t="shared" ca="1" si="197"/>
        <v/>
      </c>
    </row>
    <row r="2073" spans="1:10" ht="18.75" x14ac:dyDescent="0.25">
      <c r="A2073" s="11" t="s">
        <v>2808</v>
      </c>
      <c r="B2073">
        <f>IFERROR(COUNTIFS($A$1:A2073,"Câu "&amp;"*")-MID(A2073,5,FIND(".",A2073,1)-5),0)</f>
        <v>0</v>
      </c>
      <c r="C2073" t="b">
        <v>1</v>
      </c>
      <c r="E2073" t="str">
        <f t="shared" si="192"/>
        <v>2</v>
      </c>
      <c r="F2073" t="str">
        <f t="shared" si="193"/>
        <v>3</v>
      </c>
      <c r="G2073" t="str">
        <f t="shared" si="194"/>
        <v>4</v>
      </c>
      <c r="H2073" t="str">
        <f t="shared" si="195"/>
        <v/>
      </c>
      <c r="I2073" t="str">
        <f t="shared" si="196"/>
        <v>1</v>
      </c>
      <c r="J2073" t="str">
        <f t="shared" ca="1" si="197"/>
        <v/>
      </c>
    </row>
    <row r="2074" spans="1:10" ht="18.75" x14ac:dyDescent="0.25">
      <c r="A2074" s="11" t="s">
        <v>2809</v>
      </c>
      <c r="B2074">
        <f>IFERROR(COUNTIFS($A$1:A2074,"Câu "&amp;"*")-MID(A2074,5,FIND(".",A2074,1)-5),0)</f>
        <v>0</v>
      </c>
      <c r="C2074" t="b">
        <v>0</v>
      </c>
      <c r="E2074" t="str">
        <f t="shared" si="192"/>
        <v>3</v>
      </c>
      <c r="F2074" t="str">
        <f t="shared" si="193"/>
        <v>4</v>
      </c>
      <c r="G2074" t="str">
        <f t="shared" si="194"/>
        <v>Câu 503.</v>
      </c>
      <c r="H2074" t="str">
        <f t="shared" si="195"/>
        <v>1</v>
      </c>
      <c r="I2074" t="str">
        <f t="shared" si="196"/>
        <v>2</v>
      </c>
      <c r="J2074" t="str">
        <f t="shared" ca="1" si="197"/>
        <v/>
      </c>
    </row>
    <row r="2075" spans="1:10" ht="18.75" x14ac:dyDescent="0.25">
      <c r="A2075" s="11" t="s">
        <v>2810</v>
      </c>
      <c r="B2075">
        <f>IFERROR(COUNTIFS($A$1:A2075,"Câu "&amp;"*")-MID(A2075,5,FIND(".",A2075,1)-5),0)</f>
        <v>0</v>
      </c>
      <c r="C2075" t="b">
        <v>0</v>
      </c>
      <c r="E2075" t="str">
        <f t="shared" si="192"/>
        <v>4</v>
      </c>
      <c r="F2075" t="str">
        <f t="shared" si="193"/>
        <v>Câu 503.</v>
      </c>
      <c r="G2075" t="str">
        <f t="shared" si="194"/>
        <v>1</v>
      </c>
      <c r="H2075" t="str">
        <f t="shared" si="195"/>
        <v>2</v>
      </c>
      <c r="I2075" t="str">
        <f t="shared" si="196"/>
        <v>3</v>
      </c>
      <c r="J2075" t="str">
        <f t="shared" ca="1" si="197"/>
        <v/>
      </c>
    </row>
    <row r="2076" spans="1:10" ht="18.75" x14ac:dyDescent="0.25">
      <c r="A2076" s="10" t="s">
        <v>1451</v>
      </c>
      <c r="B2076">
        <f>IFERROR(COUNTIFS($A$1:A2076,"Câu "&amp;"*")-MID(A2076,5,FIND(".",A2076,1)-5),0)</f>
        <v>0</v>
      </c>
      <c r="C2076" t="b">
        <v>0</v>
      </c>
      <c r="E2076" t="str">
        <f t="shared" si="192"/>
        <v>Câu 503.</v>
      </c>
      <c r="F2076" t="str">
        <f t="shared" si="193"/>
        <v>1</v>
      </c>
      <c r="G2076" t="str">
        <f t="shared" si="194"/>
        <v>2</v>
      </c>
      <c r="H2076" t="str">
        <f t="shared" si="195"/>
        <v>3</v>
      </c>
      <c r="I2076" t="str">
        <f t="shared" si="196"/>
        <v/>
      </c>
      <c r="J2076" t="str">
        <f t="shared" ca="1" si="197"/>
        <v>1</v>
      </c>
    </row>
    <row r="2077" spans="1:10" ht="18.75" x14ac:dyDescent="0.25">
      <c r="A2077" s="11" t="s">
        <v>2811</v>
      </c>
      <c r="B2077">
        <f>IFERROR(COUNTIFS($A$1:A2077,"Câu "&amp;"*")-MID(A2077,5,FIND(".",A2077,1)-5),0)</f>
        <v>0</v>
      </c>
      <c r="C2077" t="b">
        <v>1</v>
      </c>
      <c r="E2077" t="str">
        <f t="shared" si="192"/>
        <v>1</v>
      </c>
      <c r="F2077" t="str">
        <f t="shared" si="193"/>
        <v>2</v>
      </c>
      <c r="G2077" t="str">
        <f t="shared" si="194"/>
        <v>3</v>
      </c>
      <c r="H2077" t="str">
        <f t="shared" si="195"/>
        <v/>
      </c>
      <c r="I2077" t="str">
        <f t="shared" si="196"/>
        <v>1</v>
      </c>
      <c r="J2077" t="str">
        <f t="shared" ca="1" si="197"/>
        <v/>
      </c>
    </row>
    <row r="2078" spans="1:10" ht="18.75" x14ac:dyDescent="0.25">
      <c r="A2078" s="11" t="s">
        <v>2812</v>
      </c>
      <c r="B2078">
        <f>IFERROR(COUNTIFS($A$1:A2078,"Câu "&amp;"*")-MID(A2078,5,FIND(".",A2078,1)-5),0)</f>
        <v>0</v>
      </c>
      <c r="C2078" t="b">
        <v>0</v>
      </c>
      <c r="E2078" t="str">
        <f t="shared" si="192"/>
        <v>2</v>
      </c>
      <c r="F2078" t="str">
        <f t="shared" si="193"/>
        <v>3</v>
      </c>
      <c r="G2078" t="str">
        <f t="shared" si="194"/>
        <v>Câu 504.</v>
      </c>
      <c r="H2078" t="str">
        <f t="shared" si="195"/>
        <v>1</v>
      </c>
      <c r="I2078" t="str">
        <f t="shared" si="196"/>
        <v>2</v>
      </c>
      <c r="J2078" t="str">
        <f t="shared" ca="1" si="197"/>
        <v/>
      </c>
    </row>
    <row r="2079" spans="1:10" ht="18.75" x14ac:dyDescent="0.25">
      <c r="A2079" s="11" t="s">
        <v>2813</v>
      </c>
      <c r="B2079">
        <f>IFERROR(COUNTIFS($A$1:A2079,"Câu "&amp;"*")-MID(A2079,5,FIND(".",A2079,1)-5),0)</f>
        <v>0</v>
      </c>
      <c r="C2079" t="b">
        <v>0</v>
      </c>
      <c r="E2079" t="str">
        <f t="shared" si="192"/>
        <v>3</v>
      </c>
      <c r="F2079" t="str">
        <f t="shared" si="193"/>
        <v>Câu 504.</v>
      </c>
      <c r="G2079" t="str">
        <f t="shared" si="194"/>
        <v>1</v>
      </c>
      <c r="H2079" t="str">
        <f t="shared" si="195"/>
        <v>2</v>
      </c>
      <c r="I2079" t="str">
        <f t="shared" si="196"/>
        <v>3</v>
      </c>
      <c r="J2079" t="str">
        <f t="shared" ca="1" si="197"/>
        <v/>
      </c>
    </row>
    <row r="2080" spans="1:10" ht="18.75" x14ac:dyDescent="0.25">
      <c r="A2080" s="10" t="s">
        <v>1454</v>
      </c>
      <c r="B2080">
        <f>IFERROR(COUNTIFS($A$1:A2080,"Câu "&amp;"*")-MID(A2080,5,FIND(".",A2080,1)-5),0)</f>
        <v>0</v>
      </c>
      <c r="C2080" t="b">
        <v>0</v>
      </c>
      <c r="E2080" t="str">
        <f t="shared" si="192"/>
        <v>Câu 504.</v>
      </c>
      <c r="F2080" t="str">
        <f t="shared" si="193"/>
        <v>1</v>
      </c>
      <c r="G2080" t="str">
        <f t="shared" si="194"/>
        <v>2</v>
      </c>
      <c r="H2080" t="str">
        <f t="shared" si="195"/>
        <v>3</v>
      </c>
      <c r="I2080" t="str">
        <f t="shared" si="196"/>
        <v>4</v>
      </c>
      <c r="J2080" t="str">
        <f t="shared" ca="1" si="197"/>
        <v>3</v>
      </c>
    </row>
    <row r="2081" spans="1:10" ht="18.75" x14ac:dyDescent="0.25">
      <c r="A2081" s="11" t="s">
        <v>2814</v>
      </c>
      <c r="B2081">
        <f>IFERROR(COUNTIFS($A$1:A2081,"Câu "&amp;"*")-MID(A2081,5,FIND(".",A2081,1)-5),0)</f>
        <v>0</v>
      </c>
      <c r="C2081" t="b">
        <v>0</v>
      </c>
      <c r="E2081" t="str">
        <f t="shared" si="192"/>
        <v>1</v>
      </c>
      <c r="F2081" t="str">
        <f t="shared" si="193"/>
        <v>2</v>
      </c>
      <c r="G2081" t="str">
        <f t="shared" si="194"/>
        <v>3</v>
      </c>
      <c r="H2081" t="str">
        <f t="shared" si="195"/>
        <v>4</v>
      </c>
      <c r="I2081" t="str">
        <f t="shared" si="196"/>
        <v/>
      </c>
      <c r="J2081" t="str">
        <f t="shared" ca="1" si="197"/>
        <v/>
      </c>
    </row>
    <row r="2082" spans="1:10" ht="18.75" x14ac:dyDescent="0.25">
      <c r="A2082" s="11" t="s">
        <v>2815</v>
      </c>
      <c r="B2082">
        <f>IFERROR(COUNTIFS($A$1:A2082,"Câu "&amp;"*")-MID(A2082,5,FIND(".",A2082,1)-5),0)</f>
        <v>0</v>
      </c>
      <c r="C2082" t="b">
        <v>0</v>
      </c>
      <c r="E2082" t="str">
        <f t="shared" si="192"/>
        <v>2</v>
      </c>
      <c r="F2082" t="str">
        <f t="shared" si="193"/>
        <v>3</v>
      </c>
      <c r="G2082" t="str">
        <f t="shared" si="194"/>
        <v>4</v>
      </c>
      <c r="H2082" t="str">
        <f t="shared" si="195"/>
        <v/>
      </c>
      <c r="I2082" t="str">
        <f t="shared" si="196"/>
        <v>1</v>
      </c>
      <c r="J2082" t="str">
        <f t="shared" ca="1" si="197"/>
        <v/>
      </c>
    </row>
    <row r="2083" spans="1:10" ht="18.75" x14ac:dyDescent="0.25">
      <c r="A2083" s="11" t="s">
        <v>2816</v>
      </c>
      <c r="B2083">
        <f>IFERROR(COUNTIFS($A$1:A2083,"Câu "&amp;"*")-MID(A2083,5,FIND(".",A2083,1)-5),0)</f>
        <v>0</v>
      </c>
      <c r="C2083" t="b">
        <v>1</v>
      </c>
      <c r="E2083" t="str">
        <f t="shared" si="192"/>
        <v>3</v>
      </c>
      <c r="F2083" t="str">
        <f t="shared" si="193"/>
        <v>4</v>
      </c>
      <c r="G2083" t="str">
        <f t="shared" si="194"/>
        <v>Câu 505.</v>
      </c>
      <c r="H2083" t="str">
        <f t="shared" si="195"/>
        <v>1</v>
      </c>
      <c r="I2083" t="str">
        <f t="shared" si="196"/>
        <v>2</v>
      </c>
      <c r="J2083" t="str">
        <f t="shared" ca="1" si="197"/>
        <v/>
      </c>
    </row>
    <row r="2084" spans="1:10" ht="18.75" x14ac:dyDescent="0.25">
      <c r="A2084" s="11" t="s">
        <v>2817</v>
      </c>
      <c r="B2084">
        <f>IFERROR(COUNTIFS($A$1:A2084,"Câu "&amp;"*")-MID(A2084,5,FIND(".",A2084,1)-5),0)</f>
        <v>0</v>
      </c>
      <c r="C2084" t="b">
        <v>0</v>
      </c>
      <c r="E2084" t="str">
        <f t="shared" si="192"/>
        <v>4</v>
      </c>
      <c r="F2084" t="str">
        <f t="shared" si="193"/>
        <v>Câu 505.</v>
      </c>
      <c r="G2084" t="str">
        <f t="shared" si="194"/>
        <v>1</v>
      </c>
      <c r="H2084" t="str">
        <f t="shared" si="195"/>
        <v>2</v>
      </c>
      <c r="I2084" t="str">
        <f t="shared" si="196"/>
        <v>3</v>
      </c>
      <c r="J2084" t="str">
        <f t="shared" ca="1" si="197"/>
        <v/>
      </c>
    </row>
    <row r="2085" spans="1:10" ht="18.75" x14ac:dyDescent="0.25">
      <c r="A2085" s="10" t="s">
        <v>1459</v>
      </c>
      <c r="B2085">
        <f>IFERROR(COUNTIFS($A$1:A2085,"Câu "&amp;"*")-MID(A2085,5,FIND(".",A2085,1)-5),0)</f>
        <v>0</v>
      </c>
      <c r="C2085" t="b">
        <v>0</v>
      </c>
      <c r="E2085" t="str">
        <f t="shared" si="192"/>
        <v>Câu 505.</v>
      </c>
      <c r="F2085" t="str">
        <f t="shared" si="193"/>
        <v>1</v>
      </c>
      <c r="G2085" t="str">
        <f t="shared" si="194"/>
        <v>2</v>
      </c>
      <c r="H2085" t="str">
        <f t="shared" si="195"/>
        <v>3</v>
      </c>
      <c r="I2085" t="str">
        <f t="shared" si="196"/>
        <v>4</v>
      </c>
      <c r="J2085" t="str">
        <f t="shared" ca="1" si="197"/>
        <v>1</v>
      </c>
    </row>
    <row r="2086" spans="1:10" ht="18.75" x14ac:dyDescent="0.25">
      <c r="A2086" s="11" t="s">
        <v>2818</v>
      </c>
      <c r="B2086">
        <f>IFERROR(COUNTIFS($A$1:A2086,"Câu "&amp;"*")-MID(A2086,5,FIND(".",A2086,1)-5),0)</f>
        <v>0</v>
      </c>
      <c r="C2086" t="b">
        <v>1</v>
      </c>
      <c r="E2086" t="str">
        <f t="shared" si="192"/>
        <v>1</v>
      </c>
      <c r="F2086" t="str">
        <f t="shared" si="193"/>
        <v>2</v>
      </c>
      <c r="G2086" t="str">
        <f t="shared" si="194"/>
        <v>3</v>
      </c>
      <c r="H2086" t="str">
        <f t="shared" si="195"/>
        <v>4</v>
      </c>
      <c r="I2086" t="str">
        <f t="shared" si="196"/>
        <v/>
      </c>
      <c r="J2086" t="str">
        <f t="shared" ca="1" si="197"/>
        <v/>
      </c>
    </row>
    <row r="2087" spans="1:10" ht="18.75" x14ac:dyDescent="0.25">
      <c r="A2087" s="11" t="s">
        <v>2819</v>
      </c>
      <c r="B2087">
        <f>IFERROR(COUNTIFS($A$1:A2087,"Câu "&amp;"*")-MID(A2087,5,FIND(".",A2087,1)-5),0)</f>
        <v>0</v>
      </c>
      <c r="C2087" t="b">
        <v>0</v>
      </c>
      <c r="E2087" t="str">
        <f t="shared" si="192"/>
        <v>2</v>
      </c>
      <c r="F2087" t="str">
        <f t="shared" si="193"/>
        <v>3</v>
      </c>
      <c r="G2087" t="str">
        <f t="shared" si="194"/>
        <v>4</v>
      </c>
      <c r="H2087" t="str">
        <f t="shared" si="195"/>
        <v/>
      </c>
      <c r="I2087" t="str">
        <f t="shared" si="196"/>
        <v>1</v>
      </c>
      <c r="J2087" t="str">
        <f t="shared" ca="1" si="197"/>
        <v/>
      </c>
    </row>
    <row r="2088" spans="1:10" ht="18.75" x14ac:dyDescent="0.25">
      <c r="A2088" s="11" t="s">
        <v>2820</v>
      </c>
      <c r="B2088">
        <f>IFERROR(COUNTIFS($A$1:A2088,"Câu "&amp;"*")-MID(A2088,5,FIND(".",A2088,1)-5),0)</f>
        <v>0</v>
      </c>
      <c r="C2088" t="b">
        <v>0</v>
      </c>
      <c r="E2088" t="str">
        <f t="shared" si="192"/>
        <v>3</v>
      </c>
      <c r="F2088" t="str">
        <f t="shared" si="193"/>
        <v>4</v>
      </c>
      <c r="G2088" t="str">
        <f t="shared" si="194"/>
        <v>Câu 506.</v>
      </c>
      <c r="H2088" t="str">
        <f t="shared" si="195"/>
        <v>1</v>
      </c>
      <c r="I2088" t="str">
        <f t="shared" si="196"/>
        <v>2</v>
      </c>
      <c r="J2088" t="str">
        <f t="shared" ca="1" si="197"/>
        <v/>
      </c>
    </row>
    <row r="2089" spans="1:10" ht="18.75" x14ac:dyDescent="0.25">
      <c r="A2089" s="11" t="s">
        <v>2821</v>
      </c>
      <c r="B2089">
        <f>IFERROR(COUNTIFS($A$1:A2089,"Câu "&amp;"*")-MID(A2089,5,FIND(".",A2089,1)-5),0)</f>
        <v>0</v>
      </c>
      <c r="C2089" t="b">
        <v>0</v>
      </c>
      <c r="E2089" t="str">
        <f t="shared" si="192"/>
        <v>4</v>
      </c>
      <c r="F2089" t="str">
        <f t="shared" si="193"/>
        <v>Câu 506.</v>
      </c>
      <c r="G2089" t="str">
        <f t="shared" si="194"/>
        <v>1</v>
      </c>
      <c r="H2089" t="str">
        <f t="shared" si="195"/>
        <v>2</v>
      </c>
      <c r="I2089" t="str">
        <f t="shared" si="196"/>
        <v>3</v>
      </c>
      <c r="J2089" t="str">
        <f t="shared" ca="1" si="197"/>
        <v/>
      </c>
    </row>
    <row r="2090" spans="1:10" ht="18.75" x14ac:dyDescent="0.25">
      <c r="A2090" s="10" t="s">
        <v>1464</v>
      </c>
      <c r="B2090">
        <f>IFERROR(COUNTIFS($A$1:A2090,"Câu "&amp;"*")-MID(A2090,5,FIND(".",A2090,1)-5),0)</f>
        <v>0</v>
      </c>
      <c r="C2090" t="b">
        <v>0</v>
      </c>
      <c r="E2090" t="str">
        <f t="shared" si="192"/>
        <v>Câu 506.</v>
      </c>
      <c r="F2090" t="str">
        <f t="shared" si="193"/>
        <v>1</v>
      </c>
      <c r="G2090" t="str">
        <f t="shared" si="194"/>
        <v>2</v>
      </c>
      <c r="H2090" t="str">
        <f t="shared" si="195"/>
        <v>3</v>
      </c>
      <c r="I2090" t="str">
        <f t="shared" si="196"/>
        <v/>
      </c>
      <c r="J2090" t="str">
        <f t="shared" ca="1" si="197"/>
        <v/>
      </c>
    </row>
    <row r="2091" spans="1:10" ht="18.75" x14ac:dyDescent="0.25">
      <c r="A2091" s="11" t="s">
        <v>2822</v>
      </c>
      <c r="B2091">
        <f>IFERROR(COUNTIFS($A$1:A2091,"Câu "&amp;"*")-MID(A2091,5,FIND(".",A2091,1)-5),0)</f>
        <v>0</v>
      </c>
      <c r="C2091" t="b">
        <v>0</v>
      </c>
      <c r="E2091" t="str">
        <f t="shared" si="192"/>
        <v>1</v>
      </c>
      <c r="F2091" t="str">
        <f t="shared" si="193"/>
        <v>2</v>
      </c>
      <c r="G2091" t="str">
        <f t="shared" si="194"/>
        <v>3</v>
      </c>
      <c r="H2091" t="str">
        <f t="shared" si="195"/>
        <v/>
      </c>
      <c r="I2091" t="str">
        <f t="shared" si="196"/>
        <v>1</v>
      </c>
      <c r="J2091" t="str">
        <f t="shared" ca="1" si="197"/>
        <v/>
      </c>
    </row>
    <row r="2092" spans="1:10" ht="18.75" x14ac:dyDescent="0.25">
      <c r="A2092" s="11" t="s">
        <v>2823</v>
      </c>
      <c r="B2092">
        <f>IFERROR(COUNTIFS($A$1:A2092,"Câu "&amp;"*")-MID(A2092,5,FIND(".",A2092,1)-5),0)</f>
        <v>0</v>
      </c>
      <c r="C2092" t="b">
        <v>1</v>
      </c>
      <c r="E2092" t="str">
        <f t="shared" si="192"/>
        <v>2</v>
      </c>
      <c r="F2092" t="str">
        <f t="shared" si="193"/>
        <v>3</v>
      </c>
      <c r="G2092" t="e">
        <f t="shared" si="194"/>
        <v>#VALUE!</v>
      </c>
      <c r="H2092" t="str">
        <f t="shared" si="195"/>
        <v>1</v>
      </c>
      <c r="I2092" t="str">
        <f t="shared" si="196"/>
        <v>2</v>
      </c>
      <c r="J2092" t="str">
        <f t="shared" ca="1" si="197"/>
        <v/>
      </c>
    </row>
    <row r="2093" spans="1:10" ht="18.75" x14ac:dyDescent="0.25">
      <c r="A2093" s="11" t="s">
        <v>2824</v>
      </c>
      <c r="B2093">
        <f>IFERROR(COUNTIFS($A$1:A2093,"Câu "&amp;"*")-MID(A2093,5,FIND(".",A2093,1)-5),0)</f>
        <v>0</v>
      </c>
      <c r="C2093" t="b">
        <v>0</v>
      </c>
      <c r="E2093" t="str">
        <f t="shared" si="192"/>
        <v>3</v>
      </c>
      <c r="F2093" t="e">
        <f t="shared" si="193"/>
        <v>#VALUE!</v>
      </c>
      <c r="G2093" t="str">
        <f t="shared" si="194"/>
        <v>1</v>
      </c>
      <c r="H2093" t="str">
        <f t="shared" si="195"/>
        <v>2</v>
      </c>
      <c r="I2093" t="str">
        <f t="shared" si="196"/>
        <v>3</v>
      </c>
      <c r="J2093" t="str">
        <f t="shared" ca="1" si="197"/>
        <v/>
      </c>
    </row>
    <row r="2094" spans="1:10" ht="18.75" x14ac:dyDescent="0.25">
      <c r="A2094" s="10" t="s">
        <v>1467</v>
      </c>
      <c r="B2094">
        <f>IFERROR(COUNTIFS($A$1:A2094,"Câu "&amp;"*")-MID(A2094,5,FIND(".",A2094,1)-5),0)</f>
        <v>0</v>
      </c>
      <c r="C2094" t="b">
        <v>0</v>
      </c>
      <c r="E2094" t="e">
        <f t="shared" si="192"/>
        <v>#VALUE!</v>
      </c>
      <c r="F2094" t="str">
        <f t="shared" si="193"/>
        <v>1</v>
      </c>
      <c r="G2094" t="str">
        <f t="shared" si="194"/>
        <v>2</v>
      </c>
      <c r="H2094" t="str">
        <f t="shared" si="195"/>
        <v>3</v>
      </c>
      <c r="I2094" t="str">
        <f t="shared" si="196"/>
        <v/>
      </c>
      <c r="J2094" t="str">
        <f t="shared" ca="1" si="197"/>
        <v/>
      </c>
    </row>
    <row r="2095" spans="1:10" ht="18.75" x14ac:dyDescent="0.25">
      <c r="A2095" s="11" t="s">
        <v>2825</v>
      </c>
      <c r="B2095">
        <f>IFERROR(COUNTIFS($A$1:A2095,"Câu "&amp;"*")-MID(A2095,5,FIND(".",A2095,1)-5),0)</f>
        <v>0</v>
      </c>
      <c r="C2095" t="b">
        <v>1</v>
      </c>
      <c r="E2095" t="str">
        <f t="shared" si="192"/>
        <v>1</v>
      </c>
      <c r="F2095" t="str">
        <f t="shared" si="193"/>
        <v>2</v>
      </c>
      <c r="G2095" t="str">
        <f t="shared" si="194"/>
        <v>3</v>
      </c>
      <c r="H2095" t="str">
        <f t="shared" si="195"/>
        <v/>
      </c>
      <c r="I2095" t="str">
        <f t="shared" si="196"/>
        <v>1</v>
      </c>
      <c r="J2095" t="str">
        <f t="shared" ca="1" si="197"/>
        <v/>
      </c>
    </row>
    <row r="2096" spans="1:10" ht="18.75" x14ac:dyDescent="0.25">
      <c r="A2096" s="11" t="s">
        <v>2826</v>
      </c>
      <c r="B2096">
        <f>IFERROR(COUNTIFS($A$1:A2096,"Câu "&amp;"*")-MID(A2096,5,FIND(".",A2096,1)-5),0)</f>
        <v>0</v>
      </c>
      <c r="C2096" t="b">
        <v>0</v>
      </c>
      <c r="E2096" t="str">
        <f t="shared" si="192"/>
        <v>2</v>
      </c>
      <c r="F2096" t="str">
        <f t="shared" si="193"/>
        <v>3</v>
      </c>
      <c r="G2096" t="str">
        <f t="shared" si="194"/>
        <v>Câu 508.</v>
      </c>
      <c r="H2096" t="str">
        <f t="shared" si="195"/>
        <v>1</v>
      </c>
      <c r="I2096" t="str">
        <f t="shared" si="196"/>
        <v>2</v>
      </c>
      <c r="J2096" t="str">
        <f t="shared" ca="1" si="197"/>
        <v/>
      </c>
    </row>
    <row r="2097" spans="1:10" ht="18.75" x14ac:dyDescent="0.25">
      <c r="A2097" s="11" t="s">
        <v>2827</v>
      </c>
      <c r="B2097">
        <f>IFERROR(COUNTIFS($A$1:A2097,"Câu "&amp;"*")-MID(A2097,5,FIND(".",A2097,1)-5),0)</f>
        <v>0</v>
      </c>
      <c r="C2097" t="b">
        <v>0</v>
      </c>
      <c r="E2097" t="str">
        <f t="shared" si="192"/>
        <v>3</v>
      </c>
      <c r="F2097" t="str">
        <f t="shared" si="193"/>
        <v>Câu 508.</v>
      </c>
      <c r="G2097" t="str">
        <f t="shared" si="194"/>
        <v>1</v>
      </c>
      <c r="H2097" t="str">
        <f t="shared" si="195"/>
        <v>2</v>
      </c>
      <c r="I2097" t="str">
        <f t="shared" si="196"/>
        <v>3</v>
      </c>
      <c r="J2097" t="str">
        <f t="shared" ca="1" si="197"/>
        <v/>
      </c>
    </row>
    <row r="2098" spans="1:10" ht="18.75" x14ac:dyDescent="0.25">
      <c r="A2098" s="10" t="s">
        <v>1471</v>
      </c>
      <c r="B2098">
        <f>IFERROR(COUNTIFS($A$1:A2098,"Câu "&amp;"*")-MID(A2098,5,FIND(".",A2098,1)-5),0)</f>
        <v>0</v>
      </c>
      <c r="C2098" t="b">
        <v>0</v>
      </c>
      <c r="E2098" t="str">
        <f t="shared" si="192"/>
        <v>Câu 508.</v>
      </c>
      <c r="F2098" t="str">
        <f t="shared" si="193"/>
        <v>1</v>
      </c>
      <c r="G2098" t="str">
        <f t="shared" si="194"/>
        <v>2</v>
      </c>
      <c r="H2098" t="str">
        <f t="shared" si="195"/>
        <v>3</v>
      </c>
      <c r="I2098" t="str">
        <f t="shared" si="196"/>
        <v>4</v>
      </c>
      <c r="J2098" t="str">
        <f t="shared" ca="1" si="197"/>
        <v>1</v>
      </c>
    </row>
    <row r="2099" spans="1:10" ht="18.75" x14ac:dyDescent="0.25">
      <c r="A2099" s="11" t="s">
        <v>2828</v>
      </c>
      <c r="B2099">
        <f>IFERROR(COUNTIFS($A$1:A2099,"Câu "&amp;"*")-MID(A2099,5,FIND(".",A2099,1)-5),0)</f>
        <v>0</v>
      </c>
      <c r="C2099" t="b">
        <v>1</v>
      </c>
      <c r="E2099" t="str">
        <f t="shared" si="192"/>
        <v>1</v>
      </c>
      <c r="F2099" t="str">
        <f t="shared" si="193"/>
        <v>2</v>
      </c>
      <c r="G2099" t="str">
        <f t="shared" si="194"/>
        <v>3</v>
      </c>
      <c r="H2099" t="str">
        <f t="shared" si="195"/>
        <v>4</v>
      </c>
      <c r="I2099" t="str">
        <f t="shared" si="196"/>
        <v/>
      </c>
      <c r="J2099" t="str">
        <f t="shared" ca="1" si="197"/>
        <v/>
      </c>
    </row>
    <row r="2100" spans="1:10" ht="18.75" x14ac:dyDescent="0.25">
      <c r="A2100" s="11" t="s">
        <v>2829</v>
      </c>
      <c r="B2100">
        <f>IFERROR(COUNTIFS($A$1:A2100,"Câu "&amp;"*")-MID(A2100,5,FIND(".",A2100,1)-5),0)</f>
        <v>0</v>
      </c>
      <c r="C2100" t="b">
        <v>0</v>
      </c>
      <c r="E2100" t="str">
        <f t="shared" si="192"/>
        <v>2</v>
      </c>
      <c r="F2100" t="str">
        <f t="shared" si="193"/>
        <v>3</v>
      </c>
      <c r="G2100" t="str">
        <f t="shared" si="194"/>
        <v>4</v>
      </c>
      <c r="H2100" t="str">
        <f t="shared" si="195"/>
        <v/>
      </c>
      <c r="I2100" t="str">
        <f t="shared" si="196"/>
        <v>1</v>
      </c>
      <c r="J2100" t="str">
        <f t="shared" ca="1" si="197"/>
        <v/>
      </c>
    </row>
    <row r="2101" spans="1:10" ht="18.75" x14ac:dyDescent="0.25">
      <c r="A2101" s="11" t="s">
        <v>2830</v>
      </c>
      <c r="B2101">
        <f>IFERROR(COUNTIFS($A$1:A2101,"Câu "&amp;"*")-MID(A2101,5,FIND(".",A2101,1)-5),0)</f>
        <v>0</v>
      </c>
      <c r="C2101" t="b">
        <v>0</v>
      </c>
      <c r="E2101" t="str">
        <f t="shared" si="192"/>
        <v>3</v>
      </c>
      <c r="F2101" t="str">
        <f t="shared" si="193"/>
        <v>4</v>
      </c>
      <c r="G2101" t="str">
        <f t="shared" si="194"/>
        <v>Câu 509.</v>
      </c>
      <c r="H2101" t="str">
        <f t="shared" si="195"/>
        <v>1</v>
      </c>
      <c r="I2101" t="str">
        <f t="shared" si="196"/>
        <v>2</v>
      </c>
      <c r="J2101" t="str">
        <f t="shared" ca="1" si="197"/>
        <v/>
      </c>
    </row>
    <row r="2102" spans="1:10" ht="18.75" x14ac:dyDescent="0.25">
      <c r="A2102" s="11" t="s">
        <v>2831</v>
      </c>
      <c r="B2102">
        <f>IFERROR(COUNTIFS($A$1:A2102,"Câu "&amp;"*")-MID(A2102,5,FIND(".",A2102,1)-5),0)</f>
        <v>0</v>
      </c>
      <c r="C2102" t="b">
        <v>0</v>
      </c>
      <c r="E2102" t="str">
        <f t="shared" si="192"/>
        <v>4</v>
      </c>
      <c r="F2102" t="str">
        <f t="shared" si="193"/>
        <v>Câu 509.</v>
      </c>
      <c r="G2102" t="str">
        <f t="shared" si="194"/>
        <v>1</v>
      </c>
      <c r="H2102" t="str">
        <f t="shared" si="195"/>
        <v>2</v>
      </c>
      <c r="I2102" t="str">
        <f t="shared" si="196"/>
        <v>3</v>
      </c>
      <c r="J2102" t="str">
        <f t="shared" ca="1" si="197"/>
        <v/>
      </c>
    </row>
    <row r="2103" spans="1:10" ht="18.75" x14ac:dyDescent="0.25">
      <c r="A2103" s="10" t="s">
        <v>1476</v>
      </c>
      <c r="B2103">
        <f>IFERROR(COUNTIFS($A$1:A2103,"Câu "&amp;"*")-MID(A2103,5,FIND(".",A2103,1)-5),0)</f>
        <v>0</v>
      </c>
      <c r="C2103" t="b">
        <v>0</v>
      </c>
      <c r="E2103" t="str">
        <f t="shared" si="192"/>
        <v>Câu 509.</v>
      </c>
      <c r="F2103" t="str">
        <f t="shared" si="193"/>
        <v>1</v>
      </c>
      <c r="G2103" t="str">
        <f t="shared" si="194"/>
        <v>2</v>
      </c>
      <c r="H2103" t="str">
        <f t="shared" si="195"/>
        <v>3</v>
      </c>
      <c r="I2103" t="str">
        <f t="shared" si="196"/>
        <v>4</v>
      </c>
      <c r="J2103" t="str">
        <f t="shared" ca="1" si="197"/>
        <v>3</v>
      </c>
    </row>
    <row r="2104" spans="1:10" ht="18.75" x14ac:dyDescent="0.25">
      <c r="A2104" s="11" t="s">
        <v>2832</v>
      </c>
      <c r="B2104">
        <f>IFERROR(COUNTIFS($A$1:A2104,"Câu "&amp;"*")-MID(A2104,5,FIND(".",A2104,1)-5),0)</f>
        <v>0</v>
      </c>
      <c r="C2104" t="b">
        <v>0</v>
      </c>
      <c r="E2104" t="str">
        <f t="shared" si="192"/>
        <v>1</v>
      </c>
      <c r="F2104" t="str">
        <f t="shared" si="193"/>
        <v>2</v>
      </c>
      <c r="G2104" t="str">
        <f t="shared" si="194"/>
        <v>3</v>
      </c>
      <c r="H2104" t="str">
        <f t="shared" si="195"/>
        <v>4</v>
      </c>
      <c r="I2104" t="str">
        <f t="shared" si="196"/>
        <v/>
      </c>
      <c r="J2104" t="str">
        <f t="shared" ca="1" si="197"/>
        <v/>
      </c>
    </row>
    <row r="2105" spans="1:10" ht="18.75" x14ac:dyDescent="0.25">
      <c r="A2105" s="11" t="s">
        <v>2833</v>
      </c>
      <c r="B2105">
        <f>IFERROR(COUNTIFS($A$1:A2105,"Câu "&amp;"*")-MID(A2105,5,FIND(".",A2105,1)-5),0)</f>
        <v>0</v>
      </c>
      <c r="C2105" t="b">
        <v>0</v>
      </c>
      <c r="E2105" t="str">
        <f t="shared" si="192"/>
        <v>2</v>
      </c>
      <c r="F2105" t="str">
        <f t="shared" si="193"/>
        <v>3</v>
      </c>
      <c r="G2105" t="str">
        <f t="shared" si="194"/>
        <v>4</v>
      </c>
      <c r="H2105" t="str">
        <f t="shared" si="195"/>
        <v/>
      </c>
      <c r="I2105" t="str">
        <f t="shared" si="196"/>
        <v>1</v>
      </c>
      <c r="J2105" t="str">
        <f t="shared" ca="1" si="197"/>
        <v/>
      </c>
    </row>
    <row r="2106" spans="1:10" ht="18.75" x14ac:dyDescent="0.25">
      <c r="A2106" s="11" t="s">
        <v>2834</v>
      </c>
      <c r="B2106">
        <f>IFERROR(COUNTIFS($A$1:A2106,"Câu "&amp;"*")-MID(A2106,5,FIND(".",A2106,1)-5),0)</f>
        <v>0</v>
      </c>
      <c r="C2106" t="b">
        <v>1</v>
      </c>
      <c r="E2106" t="str">
        <f t="shared" si="192"/>
        <v>3</v>
      </c>
      <c r="F2106" t="str">
        <f t="shared" si="193"/>
        <v>4</v>
      </c>
      <c r="G2106" t="str">
        <f t="shared" si="194"/>
        <v>Câu 510.</v>
      </c>
      <c r="H2106" t="str">
        <f t="shared" si="195"/>
        <v>1</v>
      </c>
      <c r="I2106" t="str">
        <f t="shared" si="196"/>
        <v>2</v>
      </c>
      <c r="J2106" t="str">
        <f t="shared" ca="1" si="197"/>
        <v/>
      </c>
    </row>
    <row r="2107" spans="1:10" ht="18.75" x14ac:dyDescent="0.25">
      <c r="A2107" s="11" t="s">
        <v>2835</v>
      </c>
      <c r="B2107">
        <f>IFERROR(COUNTIFS($A$1:A2107,"Câu "&amp;"*")-MID(A2107,5,FIND(".",A2107,1)-5),0)</f>
        <v>0</v>
      </c>
      <c r="C2107" t="b">
        <v>0</v>
      </c>
      <c r="E2107" t="str">
        <f t="shared" si="192"/>
        <v>4</v>
      </c>
      <c r="F2107" t="str">
        <f t="shared" si="193"/>
        <v>Câu 510.</v>
      </c>
      <c r="G2107" t="str">
        <f t="shared" si="194"/>
        <v>1</v>
      </c>
      <c r="H2107" t="str">
        <f t="shared" si="195"/>
        <v>2</v>
      </c>
      <c r="I2107" t="str">
        <f t="shared" si="196"/>
        <v/>
      </c>
      <c r="J2107" t="str">
        <f t="shared" ca="1" si="197"/>
        <v/>
      </c>
    </row>
    <row r="2108" spans="1:10" ht="18.75" x14ac:dyDescent="0.25">
      <c r="A2108" s="10" t="s">
        <v>1481</v>
      </c>
      <c r="B2108">
        <f>IFERROR(COUNTIFS($A$1:A2108,"Câu "&amp;"*")-MID(A2108,5,FIND(".",A2108,1)-5),0)</f>
        <v>0</v>
      </c>
      <c r="C2108" t="b">
        <v>0</v>
      </c>
      <c r="E2108" t="str">
        <f t="shared" si="192"/>
        <v>Câu 510.</v>
      </c>
      <c r="F2108" t="str">
        <f t="shared" si="193"/>
        <v>1</v>
      </c>
      <c r="G2108" t="str">
        <f t="shared" si="194"/>
        <v>2</v>
      </c>
      <c r="H2108" t="str">
        <f t="shared" si="195"/>
        <v/>
      </c>
      <c r="I2108" t="str">
        <f t="shared" si="196"/>
        <v>1</v>
      </c>
      <c r="J2108" t="str">
        <f t="shared" ca="1" si="197"/>
        <v>2</v>
      </c>
    </row>
    <row r="2109" spans="1:10" ht="18.75" x14ac:dyDescent="0.25">
      <c r="A2109" s="11" t="s">
        <v>2836</v>
      </c>
      <c r="B2109">
        <f>IFERROR(COUNTIFS($A$1:A2109,"Câu "&amp;"*")-MID(A2109,5,FIND(".",A2109,1)-5),0)</f>
        <v>0</v>
      </c>
      <c r="C2109" t="b">
        <v>0</v>
      </c>
      <c r="E2109" t="str">
        <f t="shared" si="192"/>
        <v>1</v>
      </c>
      <c r="F2109" t="str">
        <f t="shared" si="193"/>
        <v>2</v>
      </c>
      <c r="G2109" t="str">
        <f t="shared" si="194"/>
        <v>Câu 511.</v>
      </c>
      <c r="H2109" t="str">
        <f t="shared" si="195"/>
        <v>1</v>
      </c>
      <c r="I2109" t="str">
        <f t="shared" si="196"/>
        <v>2</v>
      </c>
      <c r="J2109" t="str">
        <f t="shared" ca="1" si="197"/>
        <v/>
      </c>
    </row>
    <row r="2110" spans="1:10" ht="18.75" x14ac:dyDescent="0.25">
      <c r="A2110" s="11" t="s">
        <v>2837</v>
      </c>
      <c r="B2110">
        <f>IFERROR(COUNTIFS($A$1:A2110,"Câu "&amp;"*")-MID(A2110,5,FIND(".",A2110,1)-5),0)</f>
        <v>0</v>
      </c>
      <c r="C2110" t="b">
        <v>1</v>
      </c>
      <c r="E2110" t="str">
        <f t="shared" si="192"/>
        <v>2</v>
      </c>
      <c r="F2110" t="str">
        <f t="shared" si="193"/>
        <v>Câu 511.</v>
      </c>
      <c r="G2110" t="str">
        <f t="shared" si="194"/>
        <v>1</v>
      </c>
      <c r="H2110" t="str">
        <f t="shared" si="195"/>
        <v>2</v>
      </c>
      <c r="I2110" t="str">
        <f t="shared" si="196"/>
        <v/>
      </c>
      <c r="J2110" t="str">
        <f t="shared" ca="1" si="197"/>
        <v/>
      </c>
    </row>
    <row r="2111" spans="1:10" ht="18.75" x14ac:dyDescent="0.25">
      <c r="A2111" s="10" t="s">
        <v>1484</v>
      </c>
      <c r="B2111">
        <f>IFERROR(COUNTIFS($A$1:A2111,"Câu "&amp;"*")-MID(A2111,5,FIND(".",A2111,1)-5),0)</f>
        <v>0</v>
      </c>
      <c r="C2111" t="b">
        <v>0</v>
      </c>
      <c r="E2111" t="str">
        <f t="shared" si="192"/>
        <v>Câu 511.</v>
      </c>
      <c r="F2111" t="str">
        <f t="shared" si="193"/>
        <v>1</v>
      </c>
      <c r="G2111" t="str">
        <f t="shared" si="194"/>
        <v>2</v>
      </c>
      <c r="H2111" t="str">
        <f t="shared" si="195"/>
        <v/>
      </c>
      <c r="I2111" t="str">
        <f t="shared" si="196"/>
        <v>1</v>
      </c>
      <c r="J2111" t="str">
        <f t="shared" ca="1" si="197"/>
        <v>2</v>
      </c>
    </row>
    <row r="2112" spans="1:10" ht="18.75" x14ac:dyDescent="0.25">
      <c r="A2112" s="11" t="s">
        <v>2838</v>
      </c>
      <c r="B2112">
        <f>IFERROR(COUNTIFS($A$1:A2112,"Câu "&amp;"*")-MID(A2112,5,FIND(".",A2112,1)-5),0)</f>
        <v>0</v>
      </c>
      <c r="C2112" t="b">
        <v>0</v>
      </c>
      <c r="E2112" t="str">
        <f t="shared" si="192"/>
        <v>1</v>
      </c>
      <c r="F2112" t="str">
        <f t="shared" si="193"/>
        <v>2</v>
      </c>
      <c r="G2112" t="str">
        <f t="shared" si="194"/>
        <v>Câu 512.</v>
      </c>
      <c r="H2112" t="str">
        <f t="shared" si="195"/>
        <v>1</v>
      </c>
      <c r="I2112" t="str">
        <f t="shared" si="196"/>
        <v>2</v>
      </c>
      <c r="J2112" t="str">
        <f t="shared" ca="1" si="197"/>
        <v/>
      </c>
    </row>
    <row r="2113" spans="1:10" ht="18.75" x14ac:dyDescent="0.25">
      <c r="A2113" s="11" t="s">
        <v>2839</v>
      </c>
      <c r="B2113">
        <f>IFERROR(COUNTIFS($A$1:A2113,"Câu "&amp;"*")-MID(A2113,5,FIND(".",A2113,1)-5),0)</f>
        <v>0</v>
      </c>
      <c r="C2113" t="b">
        <v>1</v>
      </c>
      <c r="E2113" t="str">
        <f t="shared" si="192"/>
        <v>2</v>
      </c>
      <c r="F2113" t="str">
        <f t="shared" si="193"/>
        <v>Câu 512.</v>
      </c>
      <c r="G2113" t="str">
        <f t="shared" si="194"/>
        <v>1</v>
      </c>
      <c r="H2113" t="str">
        <f t="shared" si="195"/>
        <v>2</v>
      </c>
      <c r="I2113" t="str">
        <f t="shared" si="196"/>
        <v>3</v>
      </c>
      <c r="J2113" t="str">
        <f t="shared" ca="1" si="197"/>
        <v/>
      </c>
    </row>
    <row r="2114" spans="1:10" ht="18.75" x14ac:dyDescent="0.25">
      <c r="A2114" s="10" t="s">
        <v>1486</v>
      </c>
      <c r="B2114">
        <f>IFERROR(COUNTIFS($A$1:A2114,"Câu "&amp;"*")-MID(A2114,5,FIND(".",A2114,1)-5),0)</f>
        <v>0</v>
      </c>
      <c r="C2114" t="b">
        <v>0</v>
      </c>
      <c r="E2114" t="str">
        <f t="shared" si="192"/>
        <v>Câu 512.</v>
      </c>
      <c r="F2114" t="str">
        <f t="shared" si="193"/>
        <v>1</v>
      </c>
      <c r="G2114" t="str">
        <f t="shared" si="194"/>
        <v>2</v>
      </c>
      <c r="H2114" t="str">
        <f t="shared" si="195"/>
        <v>3</v>
      </c>
      <c r="I2114" t="str">
        <f t="shared" si="196"/>
        <v>4</v>
      </c>
      <c r="J2114" t="str">
        <f t="shared" ca="1" si="197"/>
        <v>2</v>
      </c>
    </row>
    <row r="2115" spans="1:10" ht="18.75" x14ac:dyDescent="0.25">
      <c r="A2115" s="11" t="s">
        <v>2840</v>
      </c>
      <c r="B2115">
        <f>IFERROR(COUNTIFS($A$1:A2115,"Câu "&amp;"*")-MID(A2115,5,FIND(".",A2115,1)-5),0)</f>
        <v>0</v>
      </c>
      <c r="C2115" t="b">
        <v>0</v>
      </c>
      <c r="E2115" t="str">
        <f t="shared" ref="E2115:E2178" si="198">IF(LEFT(A2115,3)="Câu",LEFT(A2115,FIND(".",A2115,1)),LEFT(A2115,1))</f>
        <v>1</v>
      </c>
      <c r="F2115" t="str">
        <f t="shared" ref="F2115:F2178" si="199">IF(LEFT(A2116,3)="Câu",LEFT(A2116,FIND(".",A2116,1)),LEFT(A2116,1))</f>
        <v>2</v>
      </c>
      <c r="G2115" t="str">
        <f t="shared" ref="G2115:G2178" si="200">IF(LEFT(A2117,3)="Câu",LEFT(A2117,FIND(".",A2117,1)),LEFT(A2117,1))</f>
        <v>3</v>
      </c>
      <c r="H2115" t="str">
        <f t="shared" ref="H2115:H2178" si="201">IF(LEFT(A2118,3)="Câu","",LEFT(A2118,1))</f>
        <v>4</v>
      </c>
      <c r="I2115" t="str">
        <f t="shared" ref="I2115:I2178" si="202">IF(LEFT(A2119,3)="Câu","",LEFT(A2119,1))</f>
        <v/>
      </c>
      <c r="J2115" t="str">
        <f t="shared" ref="J2115:J2178" ca="1" si="203">IFERROR(VLOOKUP(TRUE,INDIRECT("C"&amp;MATCH(E2115,$E$1:$E$2471,0)&amp;":E"&amp;MATCH("Câu "&amp;VALUE(MID(E2115,5,LEN(E2115)-5))+1&amp;".",$E$1:$E$2471,0)),3,0),"")</f>
        <v/>
      </c>
    </row>
    <row r="2116" spans="1:10" ht="18.75" x14ac:dyDescent="0.25">
      <c r="A2116" s="11" t="s">
        <v>2841</v>
      </c>
      <c r="B2116">
        <f>IFERROR(COUNTIFS($A$1:A2116,"Câu "&amp;"*")-MID(A2116,5,FIND(".",A2116,1)-5),0)</f>
        <v>0</v>
      </c>
      <c r="C2116" t="b">
        <v>1</v>
      </c>
      <c r="E2116" t="str">
        <f t="shared" si="198"/>
        <v>2</v>
      </c>
      <c r="F2116" t="str">
        <f t="shared" si="199"/>
        <v>3</v>
      </c>
      <c r="G2116" t="str">
        <f t="shared" si="200"/>
        <v>4</v>
      </c>
      <c r="H2116" t="str">
        <f t="shared" si="201"/>
        <v/>
      </c>
      <c r="I2116" t="str">
        <f t="shared" si="202"/>
        <v>1</v>
      </c>
      <c r="J2116" t="str">
        <f t="shared" ca="1" si="203"/>
        <v/>
      </c>
    </row>
    <row r="2117" spans="1:10" ht="18.75" x14ac:dyDescent="0.25">
      <c r="A2117" s="11" t="s">
        <v>2842</v>
      </c>
      <c r="B2117">
        <f>IFERROR(COUNTIFS($A$1:A2117,"Câu "&amp;"*")-MID(A2117,5,FIND(".",A2117,1)-5),0)</f>
        <v>0</v>
      </c>
      <c r="C2117" t="b">
        <v>0</v>
      </c>
      <c r="E2117" t="str">
        <f t="shared" si="198"/>
        <v>3</v>
      </c>
      <c r="F2117" t="str">
        <f t="shared" si="199"/>
        <v>4</v>
      </c>
      <c r="G2117" t="str">
        <f t="shared" si="200"/>
        <v>Câu 513.</v>
      </c>
      <c r="H2117" t="str">
        <f t="shared" si="201"/>
        <v>1</v>
      </c>
      <c r="I2117" t="str">
        <f t="shared" si="202"/>
        <v>2</v>
      </c>
      <c r="J2117" t="str">
        <f t="shared" ca="1" si="203"/>
        <v/>
      </c>
    </row>
    <row r="2118" spans="1:10" ht="18.75" x14ac:dyDescent="0.25">
      <c r="A2118" s="11" t="s">
        <v>2843</v>
      </c>
      <c r="B2118">
        <f>IFERROR(COUNTIFS($A$1:A2118,"Câu "&amp;"*")-MID(A2118,5,FIND(".",A2118,1)-5),0)</f>
        <v>0</v>
      </c>
      <c r="C2118" t="b">
        <v>0</v>
      </c>
      <c r="E2118" t="str">
        <f t="shared" si="198"/>
        <v>4</v>
      </c>
      <c r="F2118" t="str">
        <f t="shared" si="199"/>
        <v>Câu 513.</v>
      </c>
      <c r="G2118" t="str">
        <f t="shared" si="200"/>
        <v>1</v>
      </c>
      <c r="H2118" t="str">
        <f t="shared" si="201"/>
        <v>2</v>
      </c>
      <c r="I2118" t="str">
        <f t="shared" si="202"/>
        <v>3</v>
      </c>
      <c r="J2118" t="str">
        <f t="shared" ca="1" si="203"/>
        <v/>
      </c>
    </row>
    <row r="2119" spans="1:10" ht="18.75" x14ac:dyDescent="0.25">
      <c r="A2119" s="10" t="s">
        <v>1490</v>
      </c>
      <c r="B2119">
        <f>IFERROR(COUNTIFS($A$1:A2119,"Câu "&amp;"*")-MID(A2119,5,FIND(".",A2119,1)-5),0)</f>
        <v>0</v>
      </c>
      <c r="C2119" t="b">
        <v>0</v>
      </c>
      <c r="E2119" t="str">
        <f t="shared" si="198"/>
        <v>Câu 513.</v>
      </c>
      <c r="F2119" t="str">
        <f t="shared" si="199"/>
        <v>1</v>
      </c>
      <c r="G2119" t="str">
        <f t="shared" si="200"/>
        <v>2</v>
      </c>
      <c r="H2119" t="str">
        <f t="shared" si="201"/>
        <v>3</v>
      </c>
      <c r="I2119" t="str">
        <f t="shared" si="202"/>
        <v/>
      </c>
      <c r="J2119" t="str">
        <f t="shared" ca="1" si="203"/>
        <v>1</v>
      </c>
    </row>
    <row r="2120" spans="1:10" ht="18.75" x14ac:dyDescent="0.25">
      <c r="A2120" s="11" t="s">
        <v>2844</v>
      </c>
      <c r="B2120">
        <f>IFERROR(COUNTIFS($A$1:A2120,"Câu "&amp;"*")-MID(A2120,5,FIND(".",A2120,1)-5),0)</f>
        <v>0</v>
      </c>
      <c r="C2120" t="b">
        <v>1</v>
      </c>
      <c r="E2120" t="str">
        <f t="shared" si="198"/>
        <v>1</v>
      </c>
      <c r="F2120" t="str">
        <f t="shared" si="199"/>
        <v>2</v>
      </c>
      <c r="G2120" t="str">
        <f t="shared" si="200"/>
        <v>3</v>
      </c>
      <c r="H2120" t="str">
        <f t="shared" si="201"/>
        <v/>
      </c>
      <c r="I2120" t="str">
        <f t="shared" si="202"/>
        <v>1</v>
      </c>
      <c r="J2120" t="str">
        <f t="shared" ca="1" si="203"/>
        <v/>
      </c>
    </row>
    <row r="2121" spans="1:10" ht="18.75" x14ac:dyDescent="0.25">
      <c r="A2121" s="11" t="s">
        <v>2845</v>
      </c>
      <c r="B2121">
        <f>IFERROR(COUNTIFS($A$1:A2121,"Câu "&amp;"*")-MID(A2121,5,FIND(".",A2121,1)-5),0)</f>
        <v>0</v>
      </c>
      <c r="C2121" t="b">
        <v>0</v>
      </c>
      <c r="E2121" t="str">
        <f t="shared" si="198"/>
        <v>2</v>
      </c>
      <c r="F2121" t="str">
        <f t="shared" si="199"/>
        <v>3</v>
      </c>
      <c r="G2121" t="str">
        <f t="shared" si="200"/>
        <v>Câu 514.</v>
      </c>
      <c r="H2121" t="str">
        <f t="shared" si="201"/>
        <v>1</v>
      </c>
      <c r="I2121" t="str">
        <f t="shared" si="202"/>
        <v>2</v>
      </c>
      <c r="J2121" t="str">
        <f t="shared" ca="1" si="203"/>
        <v/>
      </c>
    </row>
    <row r="2122" spans="1:10" ht="18.75" x14ac:dyDescent="0.25">
      <c r="A2122" s="11" t="s">
        <v>2846</v>
      </c>
      <c r="B2122">
        <f>IFERROR(COUNTIFS($A$1:A2122,"Câu "&amp;"*")-MID(A2122,5,FIND(".",A2122,1)-5),0)</f>
        <v>0</v>
      </c>
      <c r="C2122" t="b">
        <v>0</v>
      </c>
      <c r="E2122" t="str">
        <f t="shared" si="198"/>
        <v>3</v>
      </c>
      <c r="F2122" t="str">
        <f t="shared" si="199"/>
        <v>Câu 514.</v>
      </c>
      <c r="G2122" t="str">
        <f t="shared" si="200"/>
        <v>1</v>
      </c>
      <c r="H2122" t="str">
        <f t="shared" si="201"/>
        <v>2</v>
      </c>
      <c r="I2122" t="str">
        <f t="shared" si="202"/>
        <v>3</v>
      </c>
      <c r="J2122" t="str">
        <f t="shared" ca="1" si="203"/>
        <v/>
      </c>
    </row>
    <row r="2123" spans="1:10" ht="18.75" x14ac:dyDescent="0.25">
      <c r="A2123" s="10" t="s">
        <v>1493</v>
      </c>
      <c r="B2123">
        <f>IFERROR(COUNTIFS($A$1:A2123,"Câu "&amp;"*")-MID(A2123,5,FIND(".",A2123,1)-5),0)</f>
        <v>0</v>
      </c>
      <c r="C2123" t="b">
        <v>0</v>
      </c>
      <c r="E2123" t="str">
        <f t="shared" si="198"/>
        <v>Câu 514.</v>
      </c>
      <c r="F2123" t="str">
        <f t="shared" si="199"/>
        <v>1</v>
      </c>
      <c r="G2123" t="str">
        <f t="shared" si="200"/>
        <v>2</v>
      </c>
      <c r="H2123" t="str">
        <f t="shared" si="201"/>
        <v>3</v>
      </c>
      <c r="I2123" t="str">
        <f t="shared" si="202"/>
        <v/>
      </c>
      <c r="J2123" t="str">
        <f t="shared" ca="1" si="203"/>
        <v>1</v>
      </c>
    </row>
    <row r="2124" spans="1:10" ht="18.75" x14ac:dyDescent="0.25">
      <c r="A2124" s="11" t="s">
        <v>2847</v>
      </c>
      <c r="B2124">
        <f>IFERROR(COUNTIFS($A$1:A2124,"Câu "&amp;"*")-MID(A2124,5,FIND(".",A2124,1)-5),0)</f>
        <v>0</v>
      </c>
      <c r="C2124" t="b">
        <v>1</v>
      </c>
      <c r="E2124" t="str">
        <f t="shared" si="198"/>
        <v>1</v>
      </c>
      <c r="F2124" t="str">
        <f t="shared" si="199"/>
        <v>2</v>
      </c>
      <c r="G2124" t="str">
        <f t="shared" si="200"/>
        <v>3</v>
      </c>
      <c r="H2124" t="str">
        <f t="shared" si="201"/>
        <v/>
      </c>
      <c r="I2124" t="str">
        <f t="shared" si="202"/>
        <v>1</v>
      </c>
      <c r="J2124" t="str">
        <f t="shared" ca="1" si="203"/>
        <v/>
      </c>
    </row>
    <row r="2125" spans="1:10" ht="18.75" x14ac:dyDescent="0.25">
      <c r="A2125" s="11" t="s">
        <v>2848</v>
      </c>
      <c r="B2125">
        <f>IFERROR(COUNTIFS($A$1:A2125,"Câu "&amp;"*")-MID(A2125,5,FIND(".",A2125,1)-5),0)</f>
        <v>0</v>
      </c>
      <c r="C2125" t="b">
        <v>0</v>
      </c>
      <c r="E2125" t="str">
        <f t="shared" si="198"/>
        <v>2</v>
      </c>
      <c r="F2125" t="str">
        <f t="shared" si="199"/>
        <v>3</v>
      </c>
      <c r="G2125" t="str">
        <f t="shared" si="200"/>
        <v>Câu 515.</v>
      </c>
      <c r="H2125" t="str">
        <f t="shared" si="201"/>
        <v>1</v>
      </c>
      <c r="I2125" t="str">
        <f t="shared" si="202"/>
        <v>2</v>
      </c>
      <c r="J2125" t="str">
        <f t="shared" ca="1" si="203"/>
        <v/>
      </c>
    </row>
    <row r="2126" spans="1:10" ht="18.75" x14ac:dyDescent="0.25">
      <c r="A2126" s="11" t="s">
        <v>2849</v>
      </c>
      <c r="B2126">
        <f>IFERROR(COUNTIFS($A$1:A2126,"Câu "&amp;"*")-MID(A2126,5,FIND(".",A2126,1)-5),0)</f>
        <v>0</v>
      </c>
      <c r="C2126" t="b">
        <v>0</v>
      </c>
      <c r="E2126" t="str">
        <f t="shared" si="198"/>
        <v>3</v>
      </c>
      <c r="F2126" t="str">
        <f t="shared" si="199"/>
        <v>Câu 515.</v>
      </c>
      <c r="G2126" t="str">
        <f t="shared" si="200"/>
        <v>1</v>
      </c>
      <c r="H2126" t="str">
        <f t="shared" si="201"/>
        <v>2</v>
      </c>
      <c r="I2126" t="str">
        <f t="shared" si="202"/>
        <v/>
      </c>
      <c r="J2126" t="str">
        <f t="shared" ca="1" si="203"/>
        <v/>
      </c>
    </row>
    <row r="2127" spans="1:10" ht="18.75" x14ac:dyDescent="0.25">
      <c r="A2127" s="10" t="s">
        <v>1497</v>
      </c>
      <c r="B2127">
        <f>IFERROR(COUNTIFS($A$1:A2127,"Câu "&amp;"*")-MID(A2127,5,FIND(".",A2127,1)-5),0)</f>
        <v>0</v>
      </c>
      <c r="C2127" t="b">
        <v>0</v>
      </c>
      <c r="E2127" t="str">
        <f t="shared" si="198"/>
        <v>Câu 515.</v>
      </c>
      <c r="F2127" t="str">
        <f t="shared" si="199"/>
        <v>1</v>
      </c>
      <c r="G2127" t="str">
        <f t="shared" si="200"/>
        <v>2</v>
      </c>
      <c r="H2127" t="str">
        <f t="shared" si="201"/>
        <v/>
      </c>
      <c r="I2127" t="str">
        <f t="shared" si="202"/>
        <v>1</v>
      </c>
      <c r="J2127" t="str">
        <f t="shared" ca="1" si="203"/>
        <v>2</v>
      </c>
    </row>
    <row r="2128" spans="1:10" ht="18.75" x14ac:dyDescent="0.25">
      <c r="A2128" s="11" t="s">
        <v>2850</v>
      </c>
      <c r="B2128">
        <f>IFERROR(COUNTIFS($A$1:A2128,"Câu "&amp;"*")-MID(A2128,5,FIND(".",A2128,1)-5),0)</f>
        <v>0</v>
      </c>
      <c r="C2128" t="b">
        <v>0</v>
      </c>
      <c r="E2128" t="str">
        <f t="shared" si="198"/>
        <v>1</v>
      </c>
      <c r="F2128" t="str">
        <f t="shared" si="199"/>
        <v>2</v>
      </c>
      <c r="G2128" t="str">
        <f t="shared" si="200"/>
        <v>Câu 516.</v>
      </c>
      <c r="H2128" t="str">
        <f t="shared" si="201"/>
        <v>1</v>
      </c>
      <c r="I2128" t="str">
        <f t="shared" si="202"/>
        <v>2</v>
      </c>
      <c r="J2128" t="str">
        <f t="shared" ca="1" si="203"/>
        <v/>
      </c>
    </row>
    <row r="2129" spans="1:10" ht="18.75" x14ac:dyDescent="0.25">
      <c r="A2129" s="11" t="s">
        <v>2851</v>
      </c>
      <c r="B2129">
        <f>IFERROR(COUNTIFS($A$1:A2129,"Câu "&amp;"*")-MID(A2129,5,FIND(".",A2129,1)-5),0)</f>
        <v>0</v>
      </c>
      <c r="C2129" t="b">
        <v>1</v>
      </c>
      <c r="E2129" t="str">
        <f t="shared" si="198"/>
        <v>2</v>
      </c>
      <c r="F2129" t="str">
        <f t="shared" si="199"/>
        <v>Câu 516.</v>
      </c>
      <c r="G2129" t="str">
        <f t="shared" si="200"/>
        <v>1</v>
      </c>
      <c r="H2129" t="str">
        <f t="shared" si="201"/>
        <v>2</v>
      </c>
      <c r="I2129" t="str">
        <f t="shared" si="202"/>
        <v/>
      </c>
      <c r="J2129" t="str">
        <f t="shared" ca="1" si="203"/>
        <v/>
      </c>
    </row>
    <row r="2130" spans="1:10" ht="18.75" x14ac:dyDescent="0.25">
      <c r="A2130" s="10" t="s">
        <v>1499</v>
      </c>
      <c r="B2130">
        <f>IFERROR(COUNTIFS($A$1:A2130,"Câu "&amp;"*")-MID(A2130,5,FIND(".",A2130,1)-5),0)</f>
        <v>0</v>
      </c>
      <c r="C2130" t="b">
        <v>0</v>
      </c>
      <c r="E2130" t="str">
        <f t="shared" si="198"/>
        <v>Câu 516.</v>
      </c>
      <c r="F2130" t="str">
        <f t="shared" si="199"/>
        <v>1</v>
      </c>
      <c r="G2130" t="str">
        <f t="shared" si="200"/>
        <v>2</v>
      </c>
      <c r="H2130" t="str">
        <f t="shared" si="201"/>
        <v/>
      </c>
      <c r="I2130" t="str">
        <f t="shared" si="202"/>
        <v>1</v>
      </c>
      <c r="J2130" t="str">
        <f t="shared" ca="1" si="203"/>
        <v>1</v>
      </c>
    </row>
    <row r="2131" spans="1:10" ht="18.75" x14ac:dyDescent="0.25">
      <c r="A2131" s="11" t="s">
        <v>2797</v>
      </c>
      <c r="B2131">
        <f>IFERROR(COUNTIFS($A$1:A2131,"Câu "&amp;"*")-MID(A2131,5,FIND(".",A2131,1)-5),0)</f>
        <v>0</v>
      </c>
      <c r="C2131" t="b">
        <v>1</v>
      </c>
      <c r="E2131" t="str">
        <f t="shared" si="198"/>
        <v>1</v>
      </c>
      <c r="F2131" t="str">
        <f t="shared" si="199"/>
        <v>2</v>
      </c>
      <c r="G2131" t="str">
        <f t="shared" si="200"/>
        <v>Câu 517.</v>
      </c>
      <c r="H2131" t="str">
        <f t="shared" si="201"/>
        <v>1</v>
      </c>
      <c r="I2131" t="str">
        <f t="shared" si="202"/>
        <v>2</v>
      </c>
      <c r="J2131" t="str">
        <f t="shared" ca="1" si="203"/>
        <v/>
      </c>
    </row>
    <row r="2132" spans="1:10" ht="18.75" x14ac:dyDescent="0.25">
      <c r="A2132" s="11" t="s">
        <v>2787</v>
      </c>
      <c r="B2132">
        <f>IFERROR(COUNTIFS($A$1:A2132,"Câu "&amp;"*")-MID(A2132,5,FIND(".",A2132,1)-5),0)</f>
        <v>0</v>
      </c>
      <c r="C2132" t="b">
        <v>0</v>
      </c>
      <c r="E2132" t="str">
        <f t="shared" si="198"/>
        <v>2</v>
      </c>
      <c r="F2132" t="str">
        <f t="shared" si="199"/>
        <v>Câu 517.</v>
      </c>
      <c r="G2132" t="str">
        <f t="shared" si="200"/>
        <v>1</v>
      </c>
      <c r="H2132" t="str">
        <f t="shared" si="201"/>
        <v>2</v>
      </c>
      <c r="I2132" t="str">
        <f t="shared" si="202"/>
        <v/>
      </c>
      <c r="J2132" t="str">
        <f t="shared" ca="1" si="203"/>
        <v/>
      </c>
    </row>
    <row r="2133" spans="1:10" ht="18.75" x14ac:dyDescent="0.25">
      <c r="A2133" s="10" t="s">
        <v>1500</v>
      </c>
      <c r="B2133">
        <f>IFERROR(COUNTIFS($A$1:A2133,"Câu "&amp;"*")-MID(A2133,5,FIND(".",A2133,1)-5),0)</f>
        <v>0</v>
      </c>
      <c r="C2133" t="b">
        <v>0</v>
      </c>
      <c r="E2133" t="str">
        <f t="shared" si="198"/>
        <v>Câu 517.</v>
      </c>
      <c r="F2133" t="str">
        <f t="shared" si="199"/>
        <v>1</v>
      </c>
      <c r="G2133" t="str">
        <f t="shared" si="200"/>
        <v>2</v>
      </c>
      <c r="H2133" t="str">
        <f t="shared" si="201"/>
        <v/>
      </c>
      <c r="I2133" t="str">
        <f t="shared" si="202"/>
        <v>1</v>
      </c>
      <c r="J2133" t="str">
        <f t="shared" ca="1" si="203"/>
        <v>2</v>
      </c>
    </row>
    <row r="2134" spans="1:10" ht="18.75" x14ac:dyDescent="0.25">
      <c r="A2134" s="11" t="s">
        <v>2852</v>
      </c>
      <c r="B2134">
        <f>IFERROR(COUNTIFS($A$1:A2134,"Câu "&amp;"*")-MID(A2134,5,FIND(".",A2134,1)-5),0)</f>
        <v>0</v>
      </c>
      <c r="C2134" t="b">
        <v>0</v>
      </c>
      <c r="E2134" t="str">
        <f t="shared" si="198"/>
        <v>1</v>
      </c>
      <c r="F2134" t="str">
        <f t="shared" si="199"/>
        <v>2</v>
      </c>
      <c r="G2134" t="str">
        <f t="shared" si="200"/>
        <v>Câu 518.</v>
      </c>
      <c r="H2134" t="str">
        <f t="shared" si="201"/>
        <v>1</v>
      </c>
      <c r="I2134" t="str">
        <f t="shared" si="202"/>
        <v>2</v>
      </c>
      <c r="J2134" t="str">
        <f t="shared" ca="1" si="203"/>
        <v/>
      </c>
    </row>
    <row r="2135" spans="1:10" ht="18.75" x14ac:dyDescent="0.25">
      <c r="A2135" s="11" t="s">
        <v>2853</v>
      </c>
      <c r="B2135">
        <f>IFERROR(COUNTIFS($A$1:A2135,"Câu "&amp;"*")-MID(A2135,5,FIND(".",A2135,1)-5),0)</f>
        <v>0</v>
      </c>
      <c r="C2135" t="b">
        <v>1</v>
      </c>
      <c r="E2135" t="str">
        <f t="shared" si="198"/>
        <v>2</v>
      </c>
      <c r="F2135" t="str">
        <f t="shared" si="199"/>
        <v>Câu 518.</v>
      </c>
      <c r="G2135" t="str">
        <f t="shared" si="200"/>
        <v>1</v>
      </c>
      <c r="H2135" t="str">
        <f t="shared" si="201"/>
        <v>2</v>
      </c>
      <c r="I2135" t="str">
        <f t="shared" si="202"/>
        <v/>
      </c>
      <c r="J2135" t="str">
        <f t="shared" ca="1" si="203"/>
        <v/>
      </c>
    </row>
    <row r="2136" spans="1:10" ht="18.75" x14ac:dyDescent="0.25">
      <c r="A2136" s="10" t="s">
        <v>1502</v>
      </c>
      <c r="B2136">
        <f>IFERROR(COUNTIFS($A$1:A2136,"Câu "&amp;"*")-MID(A2136,5,FIND(".",A2136,1)-5),0)</f>
        <v>0</v>
      </c>
      <c r="C2136" t="b">
        <v>0</v>
      </c>
      <c r="E2136" t="str">
        <f t="shared" si="198"/>
        <v>Câu 518.</v>
      </c>
      <c r="F2136" t="str">
        <f t="shared" si="199"/>
        <v>1</v>
      </c>
      <c r="G2136" t="str">
        <f t="shared" si="200"/>
        <v>2</v>
      </c>
      <c r="H2136" t="str">
        <f t="shared" si="201"/>
        <v/>
      </c>
      <c r="I2136" t="str">
        <f t="shared" si="202"/>
        <v>1</v>
      </c>
      <c r="J2136" t="str">
        <f t="shared" ca="1" si="203"/>
        <v>1</v>
      </c>
    </row>
    <row r="2137" spans="1:10" ht="18.75" x14ac:dyDescent="0.25">
      <c r="A2137" s="11" t="s">
        <v>2854</v>
      </c>
      <c r="B2137">
        <f>IFERROR(COUNTIFS($A$1:A2137,"Câu "&amp;"*")-MID(A2137,5,FIND(".",A2137,1)-5),0)</f>
        <v>0</v>
      </c>
      <c r="C2137" t="b">
        <v>1</v>
      </c>
      <c r="E2137" t="str">
        <f t="shared" si="198"/>
        <v>1</v>
      </c>
      <c r="F2137" t="str">
        <f t="shared" si="199"/>
        <v>2</v>
      </c>
      <c r="G2137" t="str">
        <f t="shared" si="200"/>
        <v>Câu 519.</v>
      </c>
      <c r="H2137" t="str">
        <f t="shared" si="201"/>
        <v>1</v>
      </c>
      <c r="I2137" t="str">
        <f t="shared" si="202"/>
        <v>2</v>
      </c>
      <c r="J2137" t="str">
        <f t="shared" ca="1" si="203"/>
        <v/>
      </c>
    </row>
    <row r="2138" spans="1:10" ht="18.75" x14ac:dyDescent="0.25">
      <c r="A2138" s="11" t="s">
        <v>2855</v>
      </c>
      <c r="B2138">
        <f>IFERROR(COUNTIFS($A$1:A2138,"Câu "&amp;"*")-MID(A2138,5,FIND(".",A2138,1)-5),0)</f>
        <v>0</v>
      </c>
      <c r="C2138" t="b">
        <v>0</v>
      </c>
      <c r="E2138" t="str">
        <f t="shared" si="198"/>
        <v>2</v>
      </c>
      <c r="F2138" t="str">
        <f t="shared" si="199"/>
        <v>Câu 519.</v>
      </c>
      <c r="G2138" t="str">
        <f t="shared" si="200"/>
        <v>1</v>
      </c>
      <c r="H2138" t="str">
        <f t="shared" si="201"/>
        <v>2</v>
      </c>
      <c r="I2138" t="str">
        <f t="shared" si="202"/>
        <v>3</v>
      </c>
      <c r="J2138" t="str">
        <f t="shared" ca="1" si="203"/>
        <v/>
      </c>
    </row>
    <row r="2139" spans="1:10" ht="18.75" x14ac:dyDescent="0.25">
      <c r="A2139" s="10" t="s">
        <v>1503</v>
      </c>
      <c r="B2139">
        <f>IFERROR(COUNTIFS($A$1:A2139,"Câu "&amp;"*")-MID(A2139,5,FIND(".",A2139,1)-5),0)</f>
        <v>0</v>
      </c>
      <c r="C2139" t="b">
        <v>0</v>
      </c>
      <c r="E2139" t="str">
        <f t="shared" si="198"/>
        <v>Câu 519.</v>
      </c>
      <c r="F2139" t="str">
        <f t="shared" si="199"/>
        <v>1</v>
      </c>
      <c r="G2139" t="str">
        <f t="shared" si="200"/>
        <v>2</v>
      </c>
      <c r="H2139" t="str">
        <f t="shared" si="201"/>
        <v>3</v>
      </c>
      <c r="I2139" t="str">
        <f t="shared" si="202"/>
        <v>4</v>
      </c>
      <c r="J2139" t="str">
        <f t="shared" ca="1" si="203"/>
        <v>2</v>
      </c>
    </row>
    <row r="2140" spans="1:10" ht="18.75" x14ac:dyDescent="0.25">
      <c r="A2140" s="11" t="s">
        <v>2856</v>
      </c>
      <c r="B2140">
        <f>IFERROR(COUNTIFS($A$1:A2140,"Câu "&amp;"*")-MID(A2140,5,FIND(".",A2140,1)-5),0)</f>
        <v>0</v>
      </c>
      <c r="C2140" t="b">
        <v>0</v>
      </c>
      <c r="E2140" t="str">
        <f t="shared" si="198"/>
        <v>1</v>
      </c>
      <c r="F2140" t="str">
        <f t="shared" si="199"/>
        <v>2</v>
      </c>
      <c r="G2140" t="str">
        <f t="shared" si="200"/>
        <v>3</v>
      </c>
      <c r="H2140" t="str">
        <f t="shared" si="201"/>
        <v>4</v>
      </c>
      <c r="I2140" t="str">
        <f t="shared" si="202"/>
        <v/>
      </c>
      <c r="J2140" t="str">
        <f t="shared" ca="1" si="203"/>
        <v/>
      </c>
    </row>
    <row r="2141" spans="1:10" ht="18.75" x14ac:dyDescent="0.25">
      <c r="A2141" s="11" t="s">
        <v>2857</v>
      </c>
      <c r="B2141">
        <f>IFERROR(COUNTIFS($A$1:A2141,"Câu "&amp;"*")-MID(A2141,5,FIND(".",A2141,1)-5),0)</f>
        <v>0</v>
      </c>
      <c r="C2141" t="b">
        <v>1</v>
      </c>
      <c r="E2141" t="str">
        <f t="shared" si="198"/>
        <v>2</v>
      </c>
      <c r="F2141" t="str">
        <f t="shared" si="199"/>
        <v>3</v>
      </c>
      <c r="G2141" t="str">
        <f t="shared" si="200"/>
        <v>4</v>
      </c>
      <c r="H2141" t="str">
        <f t="shared" si="201"/>
        <v/>
      </c>
      <c r="I2141" t="str">
        <f t="shared" si="202"/>
        <v>1</v>
      </c>
      <c r="J2141" t="str">
        <f t="shared" ca="1" si="203"/>
        <v/>
      </c>
    </row>
    <row r="2142" spans="1:10" ht="18.75" x14ac:dyDescent="0.25">
      <c r="A2142" s="11" t="s">
        <v>2858</v>
      </c>
      <c r="B2142">
        <f>IFERROR(COUNTIFS($A$1:A2142,"Câu "&amp;"*")-MID(A2142,5,FIND(".",A2142,1)-5),0)</f>
        <v>0</v>
      </c>
      <c r="C2142" t="b">
        <v>0</v>
      </c>
      <c r="E2142" t="str">
        <f t="shared" si="198"/>
        <v>3</v>
      </c>
      <c r="F2142" t="str">
        <f t="shared" si="199"/>
        <v>4</v>
      </c>
      <c r="G2142" t="str">
        <f t="shared" si="200"/>
        <v>Câu 520.</v>
      </c>
      <c r="H2142" t="str">
        <f t="shared" si="201"/>
        <v>1</v>
      </c>
      <c r="I2142" t="str">
        <f t="shared" si="202"/>
        <v>2</v>
      </c>
      <c r="J2142" t="str">
        <f t="shared" ca="1" si="203"/>
        <v/>
      </c>
    </row>
    <row r="2143" spans="1:10" ht="18.75" x14ac:dyDescent="0.25">
      <c r="A2143" s="11" t="s">
        <v>2859</v>
      </c>
      <c r="B2143">
        <f>IFERROR(COUNTIFS($A$1:A2143,"Câu "&amp;"*")-MID(A2143,5,FIND(".",A2143,1)-5),0)</f>
        <v>0</v>
      </c>
      <c r="C2143" t="b">
        <v>0</v>
      </c>
      <c r="E2143" t="str">
        <f t="shared" si="198"/>
        <v>4</v>
      </c>
      <c r="F2143" t="str">
        <f t="shared" si="199"/>
        <v>Câu 520.</v>
      </c>
      <c r="G2143" t="str">
        <f t="shared" si="200"/>
        <v>1</v>
      </c>
      <c r="H2143" t="str">
        <f t="shared" si="201"/>
        <v>2</v>
      </c>
      <c r="I2143" t="str">
        <f t="shared" si="202"/>
        <v>3</v>
      </c>
      <c r="J2143" t="str">
        <f t="shared" ca="1" si="203"/>
        <v/>
      </c>
    </row>
    <row r="2144" spans="1:10" ht="18.75" x14ac:dyDescent="0.25">
      <c r="A2144" s="10" t="s">
        <v>1508</v>
      </c>
      <c r="B2144">
        <f>IFERROR(COUNTIFS($A$1:A2144,"Câu "&amp;"*")-MID(A2144,5,FIND(".",A2144,1)-5),0)</f>
        <v>0</v>
      </c>
      <c r="C2144" t="b">
        <v>0</v>
      </c>
      <c r="E2144" t="str">
        <f t="shared" si="198"/>
        <v>Câu 520.</v>
      </c>
      <c r="F2144" t="str">
        <f t="shared" si="199"/>
        <v>1</v>
      </c>
      <c r="G2144" t="str">
        <f t="shared" si="200"/>
        <v>2</v>
      </c>
      <c r="H2144" t="str">
        <f t="shared" si="201"/>
        <v>3</v>
      </c>
      <c r="I2144" t="str">
        <f t="shared" si="202"/>
        <v>4</v>
      </c>
      <c r="J2144" t="str">
        <f t="shared" ca="1" si="203"/>
        <v>4</v>
      </c>
    </row>
    <row r="2145" spans="1:10" ht="18.75" x14ac:dyDescent="0.25">
      <c r="A2145" s="11" t="s">
        <v>2860</v>
      </c>
      <c r="B2145">
        <f>IFERROR(COUNTIFS($A$1:A2145,"Câu "&amp;"*")-MID(A2145,5,FIND(".",A2145,1)-5),0)</f>
        <v>0</v>
      </c>
      <c r="C2145" t="b">
        <v>0</v>
      </c>
      <c r="E2145" t="str">
        <f t="shared" si="198"/>
        <v>1</v>
      </c>
      <c r="F2145" t="str">
        <f t="shared" si="199"/>
        <v>2</v>
      </c>
      <c r="G2145" t="str">
        <f t="shared" si="200"/>
        <v>3</v>
      </c>
      <c r="H2145" t="str">
        <f t="shared" si="201"/>
        <v>4</v>
      </c>
      <c r="I2145" t="str">
        <f t="shared" si="202"/>
        <v/>
      </c>
      <c r="J2145" t="str">
        <f t="shared" ca="1" si="203"/>
        <v/>
      </c>
    </row>
    <row r="2146" spans="1:10" ht="18.75" x14ac:dyDescent="0.25">
      <c r="A2146" s="11" t="s">
        <v>2861</v>
      </c>
      <c r="B2146">
        <f>IFERROR(COUNTIFS($A$1:A2146,"Câu "&amp;"*")-MID(A2146,5,FIND(".",A2146,1)-5),0)</f>
        <v>0</v>
      </c>
      <c r="C2146" t="b">
        <v>0</v>
      </c>
      <c r="E2146" t="str">
        <f t="shared" si="198"/>
        <v>2</v>
      </c>
      <c r="F2146" t="str">
        <f t="shared" si="199"/>
        <v>3</v>
      </c>
      <c r="G2146" t="str">
        <f t="shared" si="200"/>
        <v>4</v>
      </c>
      <c r="H2146" t="str">
        <f t="shared" si="201"/>
        <v/>
      </c>
      <c r="I2146" t="str">
        <f t="shared" si="202"/>
        <v>1</v>
      </c>
      <c r="J2146" t="str">
        <f t="shared" ca="1" si="203"/>
        <v/>
      </c>
    </row>
    <row r="2147" spans="1:10" ht="18.75" x14ac:dyDescent="0.25">
      <c r="A2147" s="11" t="s">
        <v>2862</v>
      </c>
      <c r="B2147">
        <f>IFERROR(COUNTIFS($A$1:A2147,"Câu "&amp;"*")-MID(A2147,5,FIND(".",A2147,1)-5),0)</f>
        <v>0</v>
      </c>
      <c r="C2147" t="b">
        <v>0</v>
      </c>
      <c r="E2147" t="str">
        <f t="shared" si="198"/>
        <v>3</v>
      </c>
      <c r="F2147" t="str">
        <f t="shared" si="199"/>
        <v>4</v>
      </c>
      <c r="G2147" t="str">
        <f t="shared" si="200"/>
        <v>Câu 521.</v>
      </c>
      <c r="H2147" t="str">
        <f t="shared" si="201"/>
        <v>1</v>
      </c>
      <c r="I2147" t="str">
        <f t="shared" si="202"/>
        <v>2</v>
      </c>
      <c r="J2147" t="str">
        <f t="shared" ca="1" si="203"/>
        <v/>
      </c>
    </row>
    <row r="2148" spans="1:10" ht="18.75" x14ac:dyDescent="0.25">
      <c r="A2148" s="11" t="s">
        <v>2863</v>
      </c>
      <c r="B2148">
        <f>IFERROR(COUNTIFS($A$1:A2148,"Câu "&amp;"*")-MID(A2148,5,FIND(".",A2148,1)-5),0)</f>
        <v>0</v>
      </c>
      <c r="C2148" t="b">
        <v>1</v>
      </c>
      <c r="E2148" t="str">
        <f t="shared" si="198"/>
        <v>4</v>
      </c>
      <c r="F2148" t="str">
        <f t="shared" si="199"/>
        <v>Câu 521.</v>
      </c>
      <c r="G2148" t="str">
        <f t="shared" si="200"/>
        <v>1</v>
      </c>
      <c r="H2148" t="str">
        <f t="shared" si="201"/>
        <v>2</v>
      </c>
      <c r="I2148" t="str">
        <f t="shared" si="202"/>
        <v>3</v>
      </c>
      <c r="J2148" t="str">
        <f t="shared" ca="1" si="203"/>
        <v/>
      </c>
    </row>
    <row r="2149" spans="1:10" ht="18.75" x14ac:dyDescent="0.25">
      <c r="A2149" s="10" t="s">
        <v>1513</v>
      </c>
      <c r="B2149">
        <f>IFERROR(COUNTIFS($A$1:A2149,"Câu "&amp;"*")-MID(A2149,5,FIND(".",A2149,1)-5),0)</f>
        <v>0</v>
      </c>
      <c r="C2149" t="b">
        <v>0</v>
      </c>
      <c r="E2149" t="str">
        <f t="shared" si="198"/>
        <v>Câu 521.</v>
      </c>
      <c r="F2149" t="str">
        <f t="shared" si="199"/>
        <v>1</v>
      </c>
      <c r="G2149" t="str">
        <f t="shared" si="200"/>
        <v>2</v>
      </c>
      <c r="H2149" t="str">
        <f t="shared" si="201"/>
        <v>3</v>
      </c>
      <c r="I2149" t="str">
        <f t="shared" si="202"/>
        <v>4</v>
      </c>
      <c r="J2149" t="str">
        <f t="shared" ca="1" si="203"/>
        <v>1</v>
      </c>
    </row>
    <row r="2150" spans="1:10" ht="18.75" x14ac:dyDescent="0.25">
      <c r="A2150" s="11" t="s">
        <v>2864</v>
      </c>
      <c r="B2150">
        <f>IFERROR(COUNTIFS($A$1:A2150,"Câu "&amp;"*")-MID(A2150,5,FIND(".",A2150,1)-5),0)</f>
        <v>0</v>
      </c>
      <c r="C2150" t="b">
        <v>1</v>
      </c>
      <c r="E2150" t="str">
        <f t="shared" si="198"/>
        <v>1</v>
      </c>
      <c r="F2150" t="str">
        <f t="shared" si="199"/>
        <v>2</v>
      </c>
      <c r="G2150" t="str">
        <f t="shared" si="200"/>
        <v>3</v>
      </c>
      <c r="H2150" t="str">
        <f t="shared" si="201"/>
        <v>4</v>
      </c>
      <c r="I2150" t="str">
        <f t="shared" si="202"/>
        <v/>
      </c>
      <c r="J2150" t="str">
        <f t="shared" ca="1" si="203"/>
        <v/>
      </c>
    </row>
    <row r="2151" spans="1:10" ht="18.75" x14ac:dyDescent="0.25">
      <c r="A2151" s="11" t="s">
        <v>2865</v>
      </c>
      <c r="B2151">
        <f>IFERROR(COUNTIFS($A$1:A2151,"Câu "&amp;"*")-MID(A2151,5,FIND(".",A2151,1)-5),0)</f>
        <v>0</v>
      </c>
      <c r="C2151" t="b">
        <v>0</v>
      </c>
      <c r="E2151" t="str">
        <f t="shared" si="198"/>
        <v>2</v>
      </c>
      <c r="F2151" t="str">
        <f t="shared" si="199"/>
        <v>3</v>
      </c>
      <c r="G2151" t="str">
        <f t="shared" si="200"/>
        <v>4</v>
      </c>
      <c r="H2151" t="str">
        <f t="shared" si="201"/>
        <v/>
      </c>
      <c r="I2151" t="str">
        <f t="shared" si="202"/>
        <v>1</v>
      </c>
      <c r="J2151" t="str">
        <f t="shared" ca="1" si="203"/>
        <v/>
      </c>
    </row>
    <row r="2152" spans="1:10" ht="18.75" x14ac:dyDescent="0.25">
      <c r="A2152" s="11" t="s">
        <v>2866</v>
      </c>
      <c r="B2152">
        <f>IFERROR(COUNTIFS($A$1:A2152,"Câu "&amp;"*")-MID(A2152,5,FIND(".",A2152,1)-5),0)</f>
        <v>0</v>
      </c>
      <c r="C2152" t="b">
        <v>0</v>
      </c>
      <c r="E2152" t="str">
        <f t="shared" si="198"/>
        <v>3</v>
      </c>
      <c r="F2152" t="str">
        <f t="shared" si="199"/>
        <v>4</v>
      </c>
      <c r="G2152" t="str">
        <f t="shared" si="200"/>
        <v>Câu 522.</v>
      </c>
      <c r="H2152" t="str">
        <f t="shared" si="201"/>
        <v>1</v>
      </c>
      <c r="I2152" t="str">
        <f t="shared" si="202"/>
        <v>2</v>
      </c>
      <c r="J2152" t="str">
        <f t="shared" ca="1" si="203"/>
        <v/>
      </c>
    </row>
    <row r="2153" spans="1:10" ht="18.75" x14ac:dyDescent="0.25">
      <c r="A2153" s="11" t="s">
        <v>2859</v>
      </c>
      <c r="B2153">
        <f>IFERROR(COUNTIFS($A$1:A2153,"Câu "&amp;"*")-MID(A2153,5,FIND(".",A2153,1)-5),0)</f>
        <v>0</v>
      </c>
      <c r="C2153" t="b">
        <v>0</v>
      </c>
      <c r="E2153" t="str">
        <f t="shared" si="198"/>
        <v>4</v>
      </c>
      <c r="F2153" t="str">
        <f t="shared" si="199"/>
        <v>Câu 522.</v>
      </c>
      <c r="G2153" t="str">
        <f t="shared" si="200"/>
        <v>1</v>
      </c>
      <c r="H2153" t="str">
        <f t="shared" si="201"/>
        <v>2</v>
      </c>
      <c r="I2153" t="str">
        <f t="shared" si="202"/>
        <v/>
      </c>
      <c r="J2153" t="str">
        <f t="shared" ca="1" si="203"/>
        <v/>
      </c>
    </row>
    <row r="2154" spans="1:10" ht="18.75" x14ac:dyDescent="0.25">
      <c r="A2154" s="10" t="s">
        <v>1515</v>
      </c>
      <c r="B2154">
        <f>IFERROR(COUNTIFS($A$1:A2154,"Câu "&amp;"*")-MID(A2154,5,FIND(".",A2154,1)-5),0)</f>
        <v>0</v>
      </c>
      <c r="C2154" t="b">
        <v>0</v>
      </c>
      <c r="E2154" t="str">
        <f t="shared" si="198"/>
        <v>Câu 522.</v>
      </c>
      <c r="F2154" t="str">
        <f t="shared" si="199"/>
        <v>1</v>
      </c>
      <c r="G2154" t="str">
        <f t="shared" si="200"/>
        <v>2</v>
      </c>
      <c r="H2154" t="str">
        <f t="shared" si="201"/>
        <v/>
      </c>
      <c r="I2154" t="str">
        <f t="shared" si="202"/>
        <v>1</v>
      </c>
      <c r="J2154" t="str">
        <f t="shared" ca="1" si="203"/>
        <v>2</v>
      </c>
    </row>
    <row r="2155" spans="1:10" ht="18.75" x14ac:dyDescent="0.25">
      <c r="A2155" s="11" t="s">
        <v>2867</v>
      </c>
      <c r="B2155">
        <f>IFERROR(COUNTIFS($A$1:A2155,"Câu "&amp;"*")-MID(A2155,5,FIND(".",A2155,1)-5),0)</f>
        <v>0</v>
      </c>
      <c r="C2155" t="b">
        <v>0</v>
      </c>
      <c r="E2155" t="str">
        <f t="shared" si="198"/>
        <v>1</v>
      </c>
      <c r="F2155" t="str">
        <f t="shared" si="199"/>
        <v>2</v>
      </c>
      <c r="G2155" t="str">
        <f t="shared" si="200"/>
        <v>Câu 523.</v>
      </c>
      <c r="H2155" t="str">
        <f t="shared" si="201"/>
        <v>1</v>
      </c>
      <c r="I2155" t="str">
        <f t="shared" si="202"/>
        <v>2</v>
      </c>
      <c r="J2155" t="str">
        <f t="shared" ca="1" si="203"/>
        <v/>
      </c>
    </row>
    <row r="2156" spans="1:10" ht="18.75" x14ac:dyDescent="0.25">
      <c r="A2156" s="11" t="s">
        <v>2868</v>
      </c>
      <c r="B2156">
        <f>IFERROR(COUNTIFS($A$1:A2156,"Câu "&amp;"*")-MID(A2156,5,FIND(".",A2156,1)-5),0)</f>
        <v>0</v>
      </c>
      <c r="C2156" t="b">
        <v>1</v>
      </c>
      <c r="E2156" t="str">
        <f t="shared" si="198"/>
        <v>2</v>
      </c>
      <c r="F2156" t="str">
        <f t="shared" si="199"/>
        <v>Câu 523.</v>
      </c>
      <c r="G2156" t="str">
        <f t="shared" si="200"/>
        <v>1</v>
      </c>
      <c r="H2156" t="str">
        <f t="shared" si="201"/>
        <v>2</v>
      </c>
      <c r="I2156" t="str">
        <f t="shared" si="202"/>
        <v>3</v>
      </c>
      <c r="J2156" t="str">
        <f t="shared" ca="1" si="203"/>
        <v/>
      </c>
    </row>
    <row r="2157" spans="1:10" ht="18.75" x14ac:dyDescent="0.25">
      <c r="A2157" s="10" t="s">
        <v>1517</v>
      </c>
      <c r="B2157">
        <f>IFERROR(COUNTIFS($A$1:A2157,"Câu "&amp;"*")-MID(A2157,5,FIND(".",A2157,1)-5),0)</f>
        <v>0</v>
      </c>
      <c r="C2157" t="b">
        <v>0</v>
      </c>
      <c r="E2157" t="str">
        <f t="shared" si="198"/>
        <v>Câu 523.</v>
      </c>
      <c r="F2157" t="str">
        <f t="shared" si="199"/>
        <v>1</v>
      </c>
      <c r="G2157" t="str">
        <f t="shared" si="200"/>
        <v>2</v>
      </c>
      <c r="H2157" t="str">
        <f t="shared" si="201"/>
        <v>3</v>
      </c>
      <c r="I2157" t="str">
        <f t="shared" si="202"/>
        <v>4</v>
      </c>
      <c r="J2157" t="str">
        <f t="shared" ca="1" si="203"/>
        <v>3</v>
      </c>
    </row>
    <row r="2158" spans="1:10" ht="18.75" x14ac:dyDescent="0.25">
      <c r="A2158" s="11" t="s">
        <v>2869</v>
      </c>
      <c r="B2158">
        <f>IFERROR(COUNTIFS($A$1:A2158,"Câu "&amp;"*")-MID(A2158,5,FIND(".",A2158,1)-5),0)</f>
        <v>0</v>
      </c>
      <c r="C2158" t="b">
        <v>0</v>
      </c>
      <c r="E2158" t="str">
        <f t="shared" si="198"/>
        <v>1</v>
      </c>
      <c r="F2158" t="str">
        <f t="shared" si="199"/>
        <v>2</v>
      </c>
      <c r="G2158" t="str">
        <f t="shared" si="200"/>
        <v>3</v>
      </c>
      <c r="H2158" t="str">
        <f t="shared" si="201"/>
        <v>4</v>
      </c>
      <c r="I2158" t="str">
        <f t="shared" si="202"/>
        <v/>
      </c>
      <c r="J2158" t="str">
        <f t="shared" ca="1" si="203"/>
        <v/>
      </c>
    </row>
    <row r="2159" spans="1:10" ht="18.75" x14ac:dyDescent="0.25">
      <c r="A2159" s="11" t="s">
        <v>2870</v>
      </c>
      <c r="B2159">
        <f>IFERROR(COUNTIFS($A$1:A2159,"Câu "&amp;"*")-MID(A2159,5,FIND(".",A2159,1)-5),0)</f>
        <v>0</v>
      </c>
      <c r="C2159" t="b">
        <v>0</v>
      </c>
      <c r="E2159" t="str">
        <f t="shared" si="198"/>
        <v>2</v>
      </c>
      <c r="F2159" t="str">
        <f t="shared" si="199"/>
        <v>3</v>
      </c>
      <c r="G2159" t="str">
        <f t="shared" si="200"/>
        <v>4</v>
      </c>
      <c r="H2159" t="str">
        <f t="shared" si="201"/>
        <v/>
      </c>
      <c r="I2159" t="str">
        <f t="shared" si="202"/>
        <v>1</v>
      </c>
      <c r="J2159" t="str">
        <f t="shared" ca="1" si="203"/>
        <v/>
      </c>
    </row>
    <row r="2160" spans="1:10" ht="18.75" x14ac:dyDescent="0.25">
      <c r="A2160" s="11" t="s">
        <v>2871</v>
      </c>
      <c r="B2160">
        <f>IFERROR(COUNTIFS($A$1:A2160,"Câu "&amp;"*")-MID(A2160,5,FIND(".",A2160,1)-5),0)</f>
        <v>0</v>
      </c>
      <c r="C2160" t="b">
        <v>1</v>
      </c>
      <c r="E2160" t="str">
        <f t="shared" si="198"/>
        <v>3</v>
      </c>
      <c r="F2160" t="str">
        <f t="shared" si="199"/>
        <v>4</v>
      </c>
      <c r="G2160" t="str">
        <f t="shared" si="200"/>
        <v>Câu 524.</v>
      </c>
      <c r="H2160" t="str">
        <f t="shared" si="201"/>
        <v>1</v>
      </c>
      <c r="I2160" t="str">
        <f t="shared" si="202"/>
        <v>2</v>
      </c>
      <c r="J2160" t="str">
        <f t="shared" ca="1" si="203"/>
        <v/>
      </c>
    </row>
    <row r="2161" spans="1:10" ht="18.75" x14ac:dyDescent="0.25">
      <c r="A2161" s="11" t="s">
        <v>2872</v>
      </c>
      <c r="B2161">
        <f>IFERROR(COUNTIFS($A$1:A2161,"Câu "&amp;"*")-MID(A2161,5,FIND(".",A2161,1)-5),0)</f>
        <v>0</v>
      </c>
      <c r="C2161" t="b">
        <v>0</v>
      </c>
      <c r="E2161" t="str">
        <f t="shared" si="198"/>
        <v>4</v>
      </c>
      <c r="F2161" t="str">
        <f t="shared" si="199"/>
        <v>Câu 524.</v>
      </c>
      <c r="G2161" t="str">
        <f t="shared" si="200"/>
        <v>1</v>
      </c>
      <c r="H2161" t="str">
        <f t="shared" si="201"/>
        <v>2</v>
      </c>
      <c r="I2161" t="str">
        <f t="shared" si="202"/>
        <v>3</v>
      </c>
      <c r="J2161" t="str">
        <f t="shared" ca="1" si="203"/>
        <v/>
      </c>
    </row>
    <row r="2162" spans="1:10" ht="18.75" x14ac:dyDescent="0.25">
      <c r="A2162" s="10" t="s">
        <v>1520</v>
      </c>
      <c r="B2162">
        <f>IFERROR(COUNTIFS($A$1:A2162,"Câu "&amp;"*")-MID(A2162,5,FIND(".",A2162,1)-5),0)</f>
        <v>0</v>
      </c>
      <c r="C2162" t="b">
        <v>0</v>
      </c>
      <c r="E2162" t="str">
        <f t="shared" si="198"/>
        <v>Câu 524.</v>
      </c>
      <c r="F2162" t="str">
        <f t="shared" si="199"/>
        <v>1</v>
      </c>
      <c r="G2162" t="str">
        <f t="shared" si="200"/>
        <v>2</v>
      </c>
      <c r="H2162" t="str">
        <f t="shared" si="201"/>
        <v>3</v>
      </c>
      <c r="I2162" t="str">
        <f t="shared" si="202"/>
        <v>4</v>
      </c>
      <c r="J2162" t="str">
        <f t="shared" ca="1" si="203"/>
        <v>2</v>
      </c>
    </row>
    <row r="2163" spans="1:10" ht="18.75" x14ac:dyDescent="0.25">
      <c r="A2163" s="11" t="s">
        <v>2873</v>
      </c>
      <c r="B2163">
        <f>IFERROR(COUNTIFS($A$1:A2163,"Câu "&amp;"*")-MID(A2163,5,FIND(".",A2163,1)-5),0)</f>
        <v>0</v>
      </c>
      <c r="C2163" t="b">
        <v>0</v>
      </c>
      <c r="E2163" t="str">
        <f t="shared" si="198"/>
        <v>1</v>
      </c>
      <c r="F2163" t="str">
        <f t="shared" si="199"/>
        <v>2</v>
      </c>
      <c r="G2163" t="str">
        <f t="shared" si="200"/>
        <v>3</v>
      </c>
      <c r="H2163" t="str">
        <f t="shared" si="201"/>
        <v>4</v>
      </c>
      <c r="I2163" t="str">
        <f t="shared" si="202"/>
        <v/>
      </c>
      <c r="J2163" t="str">
        <f t="shared" ca="1" si="203"/>
        <v/>
      </c>
    </row>
    <row r="2164" spans="1:10" ht="18.75" x14ac:dyDescent="0.25">
      <c r="A2164" s="11" t="s">
        <v>2874</v>
      </c>
      <c r="B2164">
        <f>IFERROR(COUNTIFS($A$1:A2164,"Câu "&amp;"*")-MID(A2164,5,FIND(".",A2164,1)-5),0)</f>
        <v>0</v>
      </c>
      <c r="C2164" t="b">
        <v>1</v>
      </c>
      <c r="E2164" t="str">
        <f t="shared" si="198"/>
        <v>2</v>
      </c>
      <c r="F2164" t="str">
        <f t="shared" si="199"/>
        <v>3</v>
      </c>
      <c r="G2164" t="str">
        <f t="shared" si="200"/>
        <v>4</v>
      </c>
      <c r="H2164" t="str">
        <f t="shared" si="201"/>
        <v/>
      </c>
      <c r="I2164" t="str">
        <f t="shared" si="202"/>
        <v>1</v>
      </c>
      <c r="J2164" t="str">
        <f t="shared" ca="1" si="203"/>
        <v/>
      </c>
    </row>
    <row r="2165" spans="1:10" ht="18.75" x14ac:dyDescent="0.25">
      <c r="A2165" s="11" t="s">
        <v>2858</v>
      </c>
      <c r="B2165">
        <f>IFERROR(COUNTIFS($A$1:A2165,"Câu "&amp;"*")-MID(A2165,5,FIND(".",A2165,1)-5),0)</f>
        <v>0</v>
      </c>
      <c r="C2165" t="b">
        <v>0</v>
      </c>
      <c r="E2165" t="str">
        <f t="shared" si="198"/>
        <v>3</v>
      </c>
      <c r="F2165" t="str">
        <f t="shared" si="199"/>
        <v>4</v>
      </c>
      <c r="G2165" t="str">
        <f t="shared" si="200"/>
        <v>Câu 525.</v>
      </c>
      <c r="H2165" t="str">
        <f t="shared" si="201"/>
        <v>1</v>
      </c>
      <c r="I2165" t="str">
        <f t="shared" si="202"/>
        <v>2</v>
      </c>
      <c r="J2165" t="str">
        <f t="shared" ca="1" si="203"/>
        <v/>
      </c>
    </row>
    <row r="2166" spans="1:10" ht="18.75" x14ac:dyDescent="0.25">
      <c r="A2166" s="11" t="s">
        <v>2875</v>
      </c>
      <c r="B2166">
        <f>IFERROR(COUNTIFS($A$1:A2166,"Câu "&amp;"*")-MID(A2166,5,FIND(".",A2166,1)-5),0)</f>
        <v>0</v>
      </c>
      <c r="C2166" t="b">
        <v>0</v>
      </c>
      <c r="E2166" t="str">
        <f t="shared" si="198"/>
        <v>4</v>
      </c>
      <c r="F2166" t="str">
        <f t="shared" si="199"/>
        <v>Câu 525.</v>
      </c>
      <c r="G2166" t="str">
        <f t="shared" si="200"/>
        <v>1</v>
      </c>
      <c r="H2166" t="str">
        <f t="shared" si="201"/>
        <v>2</v>
      </c>
      <c r="I2166" t="str">
        <f t="shared" si="202"/>
        <v/>
      </c>
      <c r="J2166" t="str">
        <f t="shared" ca="1" si="203"/>
        <v/>
      </c>
    </row>
    <row r="2167" spans="1:10" ht="18.75" x14ac:dyDescent="0.25">
      <c r="A2167" s="10" t="s">
        <v>1523</v>
      </c>
      <c r="B2167">
        <f>IFERROR(COUNTIFS($A$1:A2167,"Câu "&amp;"*")-MID(A2167,5,FIND(".",A2167,1)-5),0)</f>
        <v>0</v>
      </c>
      <c r="C2167" t="b">
        <v>0</v>
      </c>
      <c r="E2167" t="str">
        <f t="shared" si="198"/>
        <v>Câu 525.</v>
      </c>
      <c r="F2167" t="str">
        <f t="shared" si="199"/>
        <v>1</v>
      </c>
      <c r="G2167" t="str">
        <f t="shared" si="200"/>
        <v>2</v>
      </c>
      <c r="H2167" t="str">
        <f t="shared" si="201"/>
        <v/>
      </c>
      <c r="I2167" t="str">
        <f t="shared" si="202"/>
        <v>1</v>
      </c>
      <c r="J2167" t="str">
        <f t="shared" ca="1" si="203"/>
        <v>1</v>
      </c>
    </row>
    <row r="2168" spans="1:10" ht="18.75" x14ac:dyDescent="0.25">
      <c r="A2168" s="11" t="s">
        <v>2876</v>
      </c>
      <c r="B2168">
        <f>IFERROR(COUNTIFS($A$1:A2168,"Câu "&amp;"*")-MID(A2168,5,FIND(".",A2168,1)-5),0)</f>
        <v>0</v>
      </c>
      <c r="C2168" t="b">
        <v>1</v>
      </c>
      <c r="E2168" t="str">
        <f t="shared" si="198"/>
        <v>1</v>
      </c>
      <c r="F2168" t="str">
        <f t="shared" si="199"/>
        <v>2</v>
      </c>
      <c r="G2168" t="str">
        <f t="shared" si="200"/>
        <v>Câu 526.</v>
      </c>
      <c r="H2168" t="str">
        <f t="shared" si="201"/>
        <v>1</v>
      </c>
      <c r="I2168" t="str">
        <f t="shared" si="202"/>
        <v>2</v>
      </c>
      <c r="J2168" t="str">
        <f t="shared" ca="1" si="203"/>
        <v/>
      </c>
    </row>
    <row r="2169" spans="1:10" ht="18.75" x14ac:dyDescent="0.25">
      <c r="A2169" s="11" t="s">
        <v>2845</v>
      </c>
      <c r="B2169">
        <f>IFERROR(COUNTIFS($A$1:A2169,"Câu "&amp;"*")-MID(A2169,5,FIND(".",A2169,1)-5),0)</f>
        <v>0</v>
      </c>
      <c r="C2169" t="b">
        <v>0</v>
      </c>
      <c r="E2169" t="str">
        <f t="shared" si="198"/>
        <v>2</v>
      </c>
      <c r="F2169" t="str">
        <f t="shared" si="199"/>
        <v>Câu 526.</v>
      </c>
      <c r="G2169" t="str">
        <f t="shared" si="200"/>
        <v>1</v>
      </c>
      <c r="H2169" t="str">
        <f t="shared" si="201"/>
        <v>2</v>
      </c>
      <c r="I2169" t="str">
        <f t="shared" si="202"/>
        <v/>
      </c>
      <c r="J2169" t="str">
        <f t="shared" ca="1" si="203"/>
        <v/>
      </c>
    </row>
    <row r="2170" spans="1:10" ht="18.75" x14ac:dyDescent="0.25">
      <c r="A2170" s="10" t="s">
        <v>1524</v>
      </c>
      <c r="B2170">
        <f>IFERROR(COUNTIFS($A$1:A2170,"Câu "&amp;"*")-MID(A2170,5,FIND(".",A2170,1)-5),0)</f>
        <v>0</v>
      </c>
      <c r="C2170" t="b">
        <v>0</v>
      </c>
      <c r="E2170" t="str">
        <f t="shared" si="198"/>
        <v>Câu 526.</v>
      </c>
      <c r="F2170" t="str">
        <f t="shared" si="199"/>
        <v>1</v>
      </c>
      <c r="G2170" t="str">
        <f t="shared" si="200"/>
        <v>2</v>
      </c>
      <c r="H2170" t="str">
        <f t="shared" si="201"/>
        <v/>
      </c>
      <c r="I2170" t="str">
        <f t="shared" si="202"/>
        <v>1</v>
      </c>
      <c r="J2170" t="str">
        <f t="shared" ca="1" si="203"/>
        <v>2</v>
      </c>
    </row>
    <row r="2171" spans="1:10" ht="18.75" x14ac:dyDescent="0.25">
      <c r="A2171" s="11" t="s">
        <v>2877</v>
      </c>
      <c r="B2171">
        <f>IFERROR(COUNTIFS($A$1:A2171,"Câu "&amp;"*")-MID(A2171,5,FIND(".",A2171,1)-5),0)</f>
        <v>0</v>
      </c>
      <c r="C2171" t="b">
        <v>0</v>
      </c>
      <c r="E2171" t="str">
        <f t="shared" si="198"/>
        <v>1</v>
      </c>
      <c r="F2171" t="str">
        <f t="shared" si="199"/>
        <v>2</v>
      </c>
      <c r="G2171" t="str">
        <f t="shared" si="200"/>
        <v>Câu 527.</v>
      </c>
      <c r="H2171" t="str">
        <f t="shared" si="201"/>
        <v>1</v>
      </c>
      <c r="I2171" t="str">
        <f t="shared" si="202"/>
        <v>2</v>
      </c>
      <c r="J2171" t="str">
        <f t="shared" ca="1" si="203"/>
        <v/>
      </c>
    </row>
    <row r="2172" spans="1:10" ht="18.75" x14ac:dyDescent="0.25">
      <c r="A2172" s="11" t="s">
        <v>2851</v>
      </c>
      <c r="B2172">
        <f>IFERROR(COUNTIFS($A$1:A2172,"Câu "&amp;"*")-MID(A2172,5,FIND(".",A2172,1)-5),0)</f>
        <v>0</v>
      </c>
      <c r="C2172" t="b">
        <v>1</v>
      </c>
      <c r="E2172" t="str">
        <f t="shared" si="198"/>
        <v>2</v>
      </c>
      <c r="F2172" t="str">
        <f t="shared" si="199"/>
        <v>Câu 527.</v>
      </c>
      <c r="G2172" t="str">
        <f t="shared" si="200"/>
        <v>1</v>
      </c>
      <c r="H2172" t="str">
        <f t="shared" si="201"/>
        <v>2</v>
      </c>
      <c r="I2172" t="str">
        <f t="shared" si="202"/>
        <v>3</v>
      </c>
      <c r="J2172" t="str">
        <f t="shared" ca="1" si="203"/>
        <v/>
      </c>
    </row>
    <row r="2173" spans="1:10" ht="18.75" x14ac:dyDescent="0.25">
      <c r="A2173" s="10" t="s">
        <v>1526</v>
      </c>
      <c r="B2173">
        <f>IFERROR(COUNTIFS($A$1:A2173,"Câu "&amp;"*")-MID(A2173,5,FIND(".",A2173,1)-5),0)</f>
        <v>0</v>
      </c>
      <c r="C2173" t="b">
        <v>0</v>
      </c>
      <c r="E2173" t="str">
        <f t="shared" si="198"/>
        <v>Câu 527.</v>
      </c>
      <c r="F2173" t="str">
        <f t="shared" si="199"/>
        <v>1</v>
      </c>
      <c r="G2173" t="str">
        <f t="shared" si="200"/>
        <v>2</v>
      </c>
      <c r="H2173" t="str">
        <f t="shared" si="201"/>
        <v>3</v>
      </c>
      <c r="I2173" t="str">
        <f t="shared" si="202"/>
        <v>4</v>
      </c>
      <c r="J2173" t="str">
        <f t="shared" ca="1" si="203"/>
        <v>3</v>
      </c>
    </row>
    <row r="2174" spans="1:10" ht="18.75" x14ac:dyDescent="0.25">
      <c r="A2174" s="11" t="s">
        <v>2878</v>
      </c>
      <c r="B2174">
        <f>IFERROR(COUNTIFS($A$1:A2174,"Câu "&amp;"*")-MID(A2174,5,FIND(".",A2174,1)-5),0)</f>
        <v>0</v>
      </c>
      <c r="C2174" t="b">
        <v>0</v>
      </c>
      <c r="E2174" t="str">
        <f t="shared" si="198"/>
        <v>1</v>
      </c>
      <c r="F2174" t="str">
        <f t="shared" si="199"/>
        <v>2</v>
      </c>
      <c r="G2174" t="str">
        <f t="shared" si="200"/>
        <v>3</v>
      </c>
      <c r="H2174" t="str">
        <f t="shared" si="201"/>
        <v>4</v>
      </c>
      <c r="I2174" t="str">
        <f t="shared" si="202"/>
        <v/>
      </c>
      <c r="J2174" t="str">
        <f t="shared" ca="1" si="203"/>
        <v/>
      </c>
    </row>
    <row r="2175" spans="1:10" ht="18.75" x14ac:dyDescent="0.25">
      <c r="A2175" s="11" t="s">
        <v>2802</v>
      </c>
      <c r="B2175">
        <f>IFERROR(COUNTIFS($A$1:A2175,"Câu "&amp;"*")-MID(A2175,5,FIND(".",A2175,1)-5),0)</f>
        <v>0</v>
      </c>
      <c r="C2175" t="b">
        <v>0</v>
      </c>
      <c r="E2175" t="str">
        <f t="shared" si="198"/>
        <v>2</v>
      </c>
      <c r="F2175" t="str">
        <f t="shared" si="199"/>
        <v>3</v>
      </c>
      <c r="G2175" t="str">
        <f t="shared" si="200"/>
        <v>4</v>
      </c>
      <c r="H2175" t="str">
        <f t="shared" si="201"/>
        <v/>
      </c>
      <c r="I2175" t="str">
        <f t="shared" si="202"/>
        <v>1</v>
      </c>
      <c r="J2175" t="str">
        <f t="shared" ca="1" si="203"/>
        <v/>
      </c>
    </row>
    <row r="2176" spans="1:10" ht="18.75" x14ac:dyDescent="0.25">
      <c r="A2176" s="11" t="s">
        <v>2879</v>
      </c>
      <c r="B2176">
        <f>IFERROR(COUNTIFS($A$1:A2176,"Câu "&amp;"*")-MID(A2176,5,FIND(".",A2176,1)-5),0)</f>
        <v>0</v>
      </c>
      <c r="C2176" t="b">
        <v>1</v>
      </c>
      <c r="E2176" t="str">
        <f t="shared" si="198"/>
        <v>3</v>
      </c>
      <c r="F2176" t="str">
        <f t="shared" si="199"/>
        <v>4</v>
      </c>
      <c r="G2176" t="str">
        <f t="shared" si="200"/>
        <v>Câu 528.</v>
      </c>
      <c r="H2176" t="str">
        <f t="shared" si="201"/>
        <v>1</v>
      </c>
      <c r="I2176" t="str">
        <f t="shared" si="202"/>
        <v>2</v>
      </c>
      <c r="J2176" t="str">
        <f t="shared" ca="1" si="203"/>
        <v/>
      </c>
    </row>
    <row r="2177" spans="1:10" ht="18.75" x14ac:dyDescent="0.25">
      <c r="A2177" s="11" t="s">
        <v>2880</v>
      </c>
      <c r="B2177">
        <f>IFERROR(COUNTIFS($A$1:A2177,"Câu "&amp;"*")-MID(A2177,5,FIND(".",A2177,1)-5),0)</f>
        <v>0</v>
      </c>
      <c r="C2177" t="b">
        <v>0</v>
      </c>
      <c r="E2177" t="str">
        <f t="shared" si="198"/>
        <v>4</v>
      </c>
      <c r="F2177" t="str">
        <f t="shared" si="199"/>
        <v>Câu 528.</v>
      </c>
      <c r="G2177" t="str">
        <f t="shared" si="200"/>
        <v>1</v>
      </c>
      <c r="H2177" t="str">
        <f t="shared" si="201"/>
        <v>2</v>
      </c>
      <c r="I2177" t="str">
        <f t="shared" si="202"/>
        <v>3</v>
      </c>
      <c r="J2177" t="str">
        <f t="shared" ca="1" si="203"/>
        <v/>
      </c>
    </row>
    <row r="2178" spans="1:10" ht="18.75" x14ac:dyDescent="0.25">
      <c r="A2178" s="10" t="s">
        <v>1528</v>
      </c>
      <c r="B2178">
        <f>IFERROR(COUNTIFS($A$1:A2178,"Câu "&amp;"*")-MID(A2178,5,FIND(".",A2178,1)-5),0)</f>
        <v>0</v>
      </c>
      <c r="C2178" t="b">
        <v>0</v>
      </c>
      <c r="E2178" t="str">
        <f t="shared" si="198"/>
        <v>Câu 528.</v>
      </c>
      <c r="F2178" t="str">
        <f t="shared" si="199"/>
        <v>1</v>
      </c>
      <c r="G2178" t="str">
        <f t="shared" si="200"/>
        <v>2</v>
      </c>
      <c r="H2178" t="str">
        <f t="shared" si="201"/>
        <v>3</v>
      </c>
      <c r="I2178" t="str">
        <f t="shared" si="202"/>
        <v/>
      </c>
      <c r="J2178" t="str">
        <f t="shared" ca="1" si="203"/>
        <v>3</v>
      </c>
    </row>
    <row r="2179" spans="1:10" ht="18.75" x14ac:dyDescent="0.25">
      <c r="A2179" s="11" t="s">
        <v>2881</v>
      </c>
      <c r="B2179">
        <f>IFERROR(COUNTIFS($A$1:A2179,"Câu "&amp;"*")-MID(A2179,5,FIND(".",A2179,1)-5),0)</f>
        <v>0</v>
      </c>
      <c r="C2179" t="b">
        <v>0</v>
      </c>
      <c r="E2179" t="str">
        <f t="shared" ref="E2179:E2242" si="204">IF(LEFT(A2179,3)="Câu",LEFT(A2179,FIND(".",A2179,1)),LEFT(A2179,1))</f>
        <v>1</v>
      </c>
      <c r="F2179" t="str">
        <f t="shared" ref="F2179:F2242" si="205">IF(LEFT(A2180,3)="Câu",LEFT(A2180,FIND(".",A2180,1)),LEFT(A2180,1))</f>
        <v>2</v>
      </c>
      <c r="G2179" t="str">
        <f t="shared" ref="G2179:G2242" si="206">IF(LEFT(A2181,3)="Câu",LEFT(A2181,FIND(".",A2181,1)),LEFT(A2181,1))</f>
        <v>3</v>
      </c>
      <c r="H2179" t="str">
        <f t="shared" ref="H2179:H2242" si="207">IF(LEFT(A2182,3)="Câu","",LEFT(A2182,1))</f>
        <v/>
      </c>
      <c r="I2179" t="str">
        <f t="shared" ref="I2179:I2242" si="208">IF(LEFT(A2183,3)="Câu","",LEFT(A2183,1))</f>
        <v>1</v>
      </c>
      <c r="J2179" t="str">
        <f t="shared" ref="J2179:J2242" ca="1" si="209">IFERROR(VLOOKUP(TRUE,INDIRECT("C"&amp;MATCH(E2179,$E$1:$E$2471,0)&amp;":E"&amp;MATCH("Câu "&amp;VALUE(MID(E2179,5,LEN(E2179)-5))+1&amp;".",$E$1:$E$2471,0)),3,0),"")</f>
        <v/>
      </c>
    </row>
    <row r="2180" spans="1:10" ht="18.75" x14ac:dyDescent="0.25">
      <c r="A2180" s="11" t="s">
        <v>2882</v>
      </c>
      <c r="B2180">
        <f>IFERROR(COUNTIFS($A$1:A2180,"Câu "&amp;"*")-MID(A2180,5,FIND(".",A2180,1)-5),0)</f>
        <v>0</v>
      </c>
      <c r="C2180" t="b">
        <v>0</v>
      </c>
      <c r="E2180" t="str">
        <f t="shared" si="204"/>
        <v>2</v>
      </c>
      <c r="F2180" t="str">
        <f t="shared" si="205"/>
        <v>3</v>
      </c>
      <c r="G2180" t="str">
        <f t="shared" si="206"/>
        <v>Câu 529.</v>
      </c>
      <c r="H2180" t="str">
        <f t="shared" si="207"/>
        <v>1</v>
      </c>
      <c r="I2180" t="str">
        <f t="shared" si="208"/>
        <v>2</v>
      </c>
      <c r="J2180" t="str">
        <f t="shared" ca="1" si="209"/>
        <v/>
      </c>
    </row>
    <row r="2181" spans="1:10" ht="18.75" x14ac:dyDescent="0.25">
      <c r="A2181" s="11" t="s">
        <v>2883</v>
      </c>
      <c r="B2181">
        <f>IFERROR(COUNTIFS($A$1:A2181,"Câu "&amp;"*")-MID(A2181,5,FIND(".",A2181,1)-5),0)</f>
        <v>0</v>
      </c>
      <c r="C2181" t="b">
        <v>1</v>
      </c>
      <c r="E2181" t="str">
        <f t="shared" si="204"/>
        <v>3</v>
      </c>
      <c r="F2181" t="str">
        <f t="shared" si="205"/>
        <v>Câu 529.</v>
      </c>
      <c r="G2181" t="str">
        <f t="shared" si="206"/>
        <v>1</v>
      </c>
      <c r="H2181" t="str">
        <f t="shared" si="207"/>
        <v>2</v>
      </c>
      <c r="I2181" t="str">
        <f t="shared" si="208"/>
        <v>3</v>
      </c>
      <c r="J2181" t="str">
        <f t="shared" ca="1" si="209"/>
        <v/>
      </c>
    </row>
    <row r="2182" spans="1:10" ht="18.75" x14ac:dyDescent="0.25">
      <c r="A2182" s="10" t="s">
        <v>1532</v>
      </c>
      <c r="B2182">
        <f>IFERROR(COUNTIFS($A$1:A2182,"Câu "&amp;"*")-MID(A2182,5,FIND(".",A2182,1)-5),0)</f>
        <v>0</v>
      </c>
      <c r="C2182" t="b">
        <v>0</v>
      </c>
      <c r="E2182" t="str">
        <f t="shared" si="204"/>
        <v>Câu 529.</v>
      </c>
      <c r="F2182" t="str">
        <f t="shared" si="205"/>
        <v>1</v>
      </c>
      <c r="G2182" t="str">
        <f t="shared" si="206"/>
        <v>2</v>
      </c>
      <c r="H2182" t="str">
        <f t="shared" si="207"/>
        <v>3</v>
      </c>
      <c r="I2182" t="str">
        <f t="shared" si="208"/>
        <v>4</v>
      </c>
      <c r="J2182" t="str">
        <f t="shared" ca="1" si="209"/>
        <v>3</v>
      </c>
    </row>
    <row r="2183" spans="1:10" ht="18.75" x14ac:dyDescent="0.25">
      <c r="A2183" s="11" t="s">
        <v>2884</v>
      </c>
      <c r="B2183">
        <f>IFERROR(COUNTIFS($A$1:A2183,"Câu "&amp;"*")-MID(A2183,5,FIND(".",A2183,1)-5),0)</f>
        <v>0</v>
      </c>
      <c r="C2183" t="b">
        <v>0</v>
      </c>
      <c r="E2183" t="str">
        <f t="shared" si="204"/>
        <v>1</v>
      </c>
      <c r="F2183" t="str">
        <f t="shared" si="205"/>
        <v>2</v>
      </c>
      <c r="G2183" t="str">
        <f t="shared" si="206"/>
        <v>3</v>
      </c>
      <c r="H2183" t="str">
        <f t="shared" si="207"/>
        <v>4</v>
      </c>
      <c r="I2183" t="str">
        <f t="shared" si="208"/>
        <v/>
      </c>
      <c r="J2183" t="str">
        <f t="shared" ca="1" si="209"/>
        <v/>
      </c>
    </row>
    <row r="2184" spans="1:10" ht="18.75" x14ac:dyDescent="0.25">
      <c r="A2184" s="11" t="s">
        <v>2885</v>
      </c>
      <c r="B2184">
        <f>IFERROR(COUNTIFS($A$1:A2184,"Câu "&amp;"*")-MID(A2184,5,FIND(".",A2184,1)-5),0)</f>
        <v>0</v>
      </c>
      <c r="C2184" t="b">
        <v>0</v>
      </c>
      <c r="E2184" t="str">
        <f t="shared" si="204"/>
        <v>2</v>
      </c>
      <c r="F2184" t="str">
        <f t="shared" si="205"/>
        <v>3</v>
      </c>
      <c r="G2184" t="str">
        <f t="shared" si="206"/>
        <v>4</v>
      </c>
      <c r="H2184" t="str">
        <f t="shared" si="207"/>
        <v/>
      </c>
      <c r="I2184" t="str">
        <f t="shared" si="208"/>
        <v>1</v>
      </c>
      <c r="J2184" t="str">
        <f t="shared" ca="1" si="209"/>
        <v/>
      </c>
    </row>
    <row r="2185" spans="1:10" ht="18.75" x14ac:dyDescent="0.25">
      <c r="A2185" s="11" t="s">
        <v>2886</v>
      </c>
      <c r="B2185">
        <f>IFERROR(COUNTIFS($A$1:A2185,"Câu "&amp;"*")-MID(A2185,5,FIND(".",A2185,1)-5),0)</f>
        <v>0</v>
      </c>
      <c r="C2185" t="b">
        <v>1</v>
      </c>
      <c r="E2185" t="str">
        <f t="shared" si="204"/>
        <v>3</v>
      </c>
      <c r="F2185" t="str">
        <f t="shared" si="205"/>
        <v>4</v>
      </c>
      <c r="G2185" t="str">
        <f t="shared" si="206"/>
        <v>Câu 530.</v>
      </c>
      <c r="H2185" t="str">
        <f t="shared" si="207"/>
        <v>1</v>
      </c>
      <c r="I2185" t="str">
        <f t="shared" si="208"/>
        <v>2</v>
      </c>
      <c r="J2185" t="str">
        <f t="shared" ca="1" si="209"/>
        <v/>
      </c>
    </row>
    <row r="2186" spans="1:10" ht="18.75" x14ac:dyDescent="0.25">
      <c r="A2186" s="11" t="s">
        <v>2887</v>
      </c>
      <c r="B2186">
        <f>IFERROR(COUNTIFS($A$1:A2186,"Câu "&amp;"*")-MID(A2186,5,FIND(".",A2186,1)-5),0)</f>
        <v>0</v>
      </c>
      <c r="C2186" t="b">
        <v>0</v>
      </c>
      <c r="E2186" t="str">
        <f t="shared" si="204"/>
        <v>4</v>
      </c>
      <c r="F2186" t="str">
        <f t="shared" si="205"/>
        <v>Câu 530.</v>
      </c>
      <c r="G2186" t="str">
        <f t="shared" si="206"/>
        <v>1</v>
      </c>
      <c r="H2186" t="str">
        <f t="shared" si="207"/>
        <v>2</v>
      </c>
      <c r="I2186" t="str">
        <f t="shared" si="208"/>
        <v/>
      </c>
      <c r="J2186" t="str">
        <f t="shared" ca="1" si="209"/>
        <v/>
      </c>
    </row>
    <row r="2187" spans="1:10" ht="18.75" x14ac:dyDescent="0.25">
      <c r="A2187" s="10" t="s">
        <v>1536</v>
      </c>
      <c r="B2187">
        <f>IFERROR(COUNTIFS($A$1:A2187,"Câu "&amp;"*")-MID(A2187,5,FIND(".",A2187,1)-5),0)</f>
        <v>0</v>
      </c>
      <c r="C2187" t="b">
        <v>0</v>
      </c>
      <c r="E2187" t="str">
        <f t="shared" si="204"/>
        <v>Câu 530.</v>
      </c>
      <c r="F2187" t="str">
        <f t="shared" si="205"/>
        <v>1</v>
      </c>
      <c r="G2187" t="str">
        <f t="shared" si="206"/>
        <v>2</v>
      </c>
      <c r="H2187" t="str">
        <f t="shared" si="207"/>
        <v/>
      </c>
      <c r="I2187" t="str">
        <f t="shared" si="208"/>
        <v>1</v>
      </c>
      <c r="J2187" t="str">
        <f t="shared" ca="1" si="209"/>
        <v>1</v>
      </c>
    </row>
    <row r="2188" spans="1:10" ht="18.75" x14ac:dyDescent="0.25">
      <c r="A2188" s="11" t="s">
        <v>2888</v>
      </c>
      <c r="B2188">
        <f>IFERROR(COUNTIFS($A$1:A2188,"Câu "&amp;"*")-MID(A2188,5,FIND(".",A2188,1)-5),0)</f>
        <v>0</v>
      </c>
      <c r="C2188" t="b">
        <v>1</v>
      </c>
      <c r="E2188" t="str">
        <f t="shared" si="204"/>
        <v>1</v>
      </c>
      <c r="F2188" t="str">
        <f t="shared" si="205"/>
        <v>2</v>
      </c>
      <c r="G2188" t="str">
        <f t="shared" si="206"/>
        <v>Câu 531.</v>
      </c>
      <c r="H2188" t="str">
        <f t="shared" si="207"/>
        <v>1</v>
      </c>
      <c r="I2188" t="str">
        <f t="shared" si="208"/>
        <v>2</v>
      </c>
      <c r="J2188" t="str">
        <f t="shared" ca="1" si="209"/>
        <v/>
      </c>
    </row>
    <row r="2189" spans="1:10" ht="18.75" x14ac:dyDescent="0.25">
      <c r="A2189" s="11" t="s">
        <v>2889</v>
      </c>
      <c r="B2189">
        <f>IFERROR(COUNTIFS($A$1:A2189,"Câu "&amp;"*")-MID(A2189,5,FIND(".",A2189,1)-5),0)</f>
        <v>0</v>
      </c>
      <c r="C2189" t="b">
        <v>0</v>
      </c>
      <c r="E2189" t="str">
        <f t="shared" si="204"/>
        <v>2</v>
      </c>
      <c r="F2189" t="str">
        <f t="shared" si="205"/>
        <v>Câu 531.</v>
      </c>
      <c r="G2189" t="str">
        <f t="shared" si="206"/>
        <v>1</v>
      </c>
      <c r="H2189" t="str">
        <f t="shared" si="207"/>
        <v>2</v>
      </c>
      <c r="I2189" t="str">
        <f t="shared" si="208"/>
        <v>3</v>
      </c>
      <c r="J2189" t="str">
        <f t="shared" ca="1" si="209"/>
        <v/>
      </c>
    </row>
    <row r="2190" spans="1:10" ht="18.75" x14ac:dyDescent="0.25">
      <c r="A2190" s="10" t="s">
        <v>1537</v>
      </c>
      <c r="B2190">
        <f>IFERROR(COUNTIFS($A$1:A2190,"Câu "&amp;"*")-MID(A2190,5,FIND(".",A2190,1)-5),0)</f>
        <v>0</v>
      </c>
      <c r="C2190" t="b">
        <v>0</v>
      </c>
      <c r="E2190" t="str">
        <f t="shared" si="204"/>
        <v>Câu 531.</v>
      </c>
      <c r="F2190" t="str">
        <f t="shared" si="205"/>
        <v>1</v>
      </c>
      <c r="G2190" t="str">
        <f t="shared" si="206"/>
        <v>2</v>
      </c>
      <c r="H2190" t="str">
        <f t="shared" si="207"/>
        <v>3</v>
      </c>
      <c r="I2190" t="str">
        <f t="shared" si="208"/>
        <v/>
      </c>
      <c r="J2190" t="str">
        <f t="shared" ca="1" si="209"/>
        <v>3</v>
      </c>
    </row>
    <row r="2191" spans="1:10" ht="18.75" x14ac:dyDescent="0.25">
      <c r="A2191" s="11" t="s">
        <v>2822</v>
      </c>
      <c r="B2191">
        <f>IFERROR(COUNTIFS($A$1:A2191,"Câu "&amp;"*")-MID(A2191,5,FIND(".",A2191,1)-5),0)</f>
        <v>0</v>
      </c>
      <c r="C2191" t="b">
        <v>0</v>
      </c>
      <c r="E2191" t="str">
        <f t="shared" si="204"/>
        <v>1</v>
      </c>
      <c r="F2191" t="str">
        <f t="shared" si="205"/>
        <v>2</v>
      </c>
      <c r="G2191" t="str">
        <f t="shared" si="206"/>
        <v>3</v>
      </c>
      <c r="H2191" t="str">
        <f t="shared" si="207"/>
        <v/>
      </c>
      <c r="I2191" t="str">
        <f t="shared" si="208"/>
        <v>1</v>
      </c>
      <c r="J2191" t="str">
        <f t="shared" ca="1" si="209"/>
        <v/>
      </c>
    </row>
    <row r="2192" spans="1:10" ht="18.75" x14ac:dyDescent="0.25">
      <c r="A2192" s="11" t="s">
        <v>2890</v>
      </c>
      <c r="B2192">
        <f>IFERROR(COUNTIFS($A$1:A2192,"Câu "&amp;"*")-MID(A2192,5,FIND(".",A2192,1)-5),0)</f>
        <v>0</v>
      </c>
      <c r="C2192" t="b">
        <v>0</v>
      </c>
      <c r="E2192" t="str">
        <f t="shared" si="204"/>
        <v>2</v>
      </c>
      <c r="F2192" t="str">
        <f t="shared" si="205"/>
        <v>3</v>
      </c>
      <c r="G2192" t="str">
        <f t="shared" si="206"/>
        <v>Câu 532.</v>
      </c>
      <c r="H2192" t="str">
        <f t="shared" si="207"/>
        <v>1</v>
      </c>
      <c r="I2192" t="str">
        <f t="shared" si="208"/>
        <v>2</v>
      </c>
      <c r="J2192" t="str">
        <f t="shared" ca="1" si="209"/>
        <v/>
      </c>
    </row>
    <row r="2193" spans="1:10" ht="18.75" x14ac:dyDescent="0.25">
      <c r="A2193" s="11" t="s">
        <v>2879</v>
      </c>
      <c r="B2193">
        <f>IFERROR(COUNTIFS($A$1:A2193,"Câu "&amp;"*")-MID(A2193,5,FIND(".",A2193,1)-5),0)</f>
        <v>0</v>
      </c>
      <c r="C2193" t="b">
        <v>1</v>
      </c>
      <c r="E2193" t="str">
        <f t="shared" si="204"/>
        <v>3</v>
      </c>
      <c r="F2193" t="str">
        <f t="shared" si="205"/>
        <v>Câu 532.</v>
      </c>
      <c r="G2193" t="str">
        <f t="shared" si="206"/>
        <v>1</v>
      </c>
      <c r="H2193" t="str">
        <f t="shared" si="207"/>
        <v>2</v>
      </c>
      <c r="I2193" t="str">
        <f t="shared" si="208"/>
        <v>3</v>
      </c>
      <c r="J2193" t="str">
        <f t="shared" ca="1" si="209"/>
        <v/>
      </c>
    </row>
    <row r="2194" spans="1:10" ht="18.75" x14ac:dyDescent="0.25">
      <c r="A2194" s="10" t="s">
        <v>1539</v>
      </c>
      <c r="B2194">
        <f>IFERROR(COUNTIFS($A$1:A2194,"Câu "&amp;"*")-MID(A2194,5,FIND(".",A2194,1)-5),0)</f>
        <v>0</v>
      </c>
      <c r="C2194" t="b">
        <v>0</v>
      </c>
      <c r="E2194" t="str">
        <f t="shared" si="204"/>
        <v>Câu 532.</v>
      </c>
      <c r="F2194" t="str">
        <f t="shared" si="205"/>
        <v>1</v>
      </c>
      <c r="G2194" t="str">
        <f t="shared" si="206"/>
        <v>2</v>
      </c>
      <c r="H2194" t="str">
        <f t="shared" si="207"/>
        <v>3</v>
      </c>
      <c r="I2194" t="str">
        <f t="shared" si="208"/>
        <v/>
      </c>
      <c r="J2194" t="str">
        <f t="shared" ca="1" si="209"/>
        <v>2</v>
      </c>
    </row>
    <row r="2195" spans="1:10" ht="18.75" x14ac:dyDescent="0.25">
      <c r="A2195" s="11" t="s">
        <v>2891</v>
      </c>
      <c r="B2195">
        <f>IFERROR(COUNTIFS($A$1:A2195,"Câu "&amp;"*")-MID(A2195,5,FIND(".",A2195,1)-5),0)</f>
        <v>0</v>
      </c>
      <c r="C2195" t="b">
        <v>0</v>
      </c>
      <c r="E2195" t="str">
        <f t="shared" si="204"/>
        <v>1</v>
      </c>
      <c r="F2195" t="str">
        <f t="shared" si="205"/>
        <v>2</v>
      </c>
      <c r="G2195" t="str">
        <f t="shared" si="206"/>
        <v>3</v>
      </c>
      <c r="H2195" t="str">
        <f t="shared" si="207"/>
        <v/>
      </c>
      <c r="I2195" t="str">
        <f t="shared" si="208"/>
        <v>1</v>
      </c>
      <c r="J2195" t="str">
        <f t="shared" ca="1" si="209"/>
        <v/>
      </c>
    </row>
    <row r="2196" spans="1:10" ht="18.75" x14ac:dyDescent="0.25">
      <c r="A2196" s="11" t="s">
        <v>2892</v>
      </c>
      <c r="B2196">
        <f>IFERROR(COUNTIFS($A$1:A2196,"Câu "&amp;"*")-MID(A2196,5,FIND(".",A2196,1)-5),0)</f>
        <v>0</v>
      </c>
      <c r="C2196" t="b">
        <v>1</v>
      </c>
      <c r="E2196" t="str">
        <f t="shared" si="204"/>
        <v>2</v>
      </c>
      <c r="F2196" t="str">
        <f t="shared" si="205"/>
        <v>3</v>
      </c>
      <c r="G2196" t="str">
        <f t="shared" si="206"/>
        <v>Câu 533.</v>
      </c>
      <c r="H2196" t="str">
        <f t="shared" si="207"/>
        <v>1</v>
      </c>
      <c r="I2196" t="str">
        <f t="shared" si="208"/>
        <v>2</v>
      </c>
      <c r="J2196" t="str">
        <f t="shared" ca="1" si="209"/>
        <v/>
      </c>
    </row>
    <row r="2197" spans="1:10" ht="18.75" x14ac:dyDescent="0.25">
      <c r="A2197" s="11" t="s">
        <v>2893</v>
      </c>
      <c r="B2197">
        <f>IFERROR(COUNTIFS($A$1:A2197,"Câu "&amp;"*")-MID(A2197,5,FIND(".",A2197,1)-5),0)</f>
        <v>0</v>
      </c>
      <c r="C2197" t="b">
        <v>0</v>
      </c>
      <c r="E2197" t="str">
        <f t="shared" si="204"/>
        <v>3</v>
      </c>
      <c r="F2197" t="str">
        <f t="shared" si="205"/>
        <v>Câu 533.</v>
      </c>
      <c r="G2197" t="str">
        <f t="shared" si="206"/>
        <v>1</v>
      </c>
      <c r="H2197" t="str">
        <f t="shared" si="207"/>
        <v>2</v>
      </c>
      <c r="I2197" t="str">
        <f t="shared" si="208"/>
        <v>3</v>
      </c>
      <c r="J2197" t="str">
        <f t="shared" ca="1" si="209"/>
        <v/>
      </c>
    </row>
    <row r="2198" spans="1:10" ht="18.75" x14ac:dyDescent="0.25">
      <c r="A2198" s="10" t="s">
        <v>1541</v>
      </c>
      <c r="B2198">
        <f>IFERROR(COUNTIFS($A$1:A2198,"Câu "&amp;"*")-MID(A2198,5,FIND(".",A2198,1)-5),0)</f>
        <v>0</v>
      </c>
      <c r="C2198" t="b">
        <v>0</v>
      </c>
      <c r="E2198" t="str">
        <f t="shared" si="204"/>
        <v>Câu 533.</v>
      </c>
      <c r="F2198" t="str">
        <f t="shared" si="205"/>
        <v>1</v>
      </c>
      <c r="G2198" t="str">
        <f t="shared" si="206"/>
        <v>2</v>
      </c>
      <c r="H2198" t="str">
        <f t="shared" si="207"/>
        <v>3</v>
      </c>
      <c r="I2198" t="str">
        <f t="shared" si="208"/>
        <v/>
      </c>
      <c r="J2198" t="str">
        <f t="shared" ca="1" si="209"/>
        <v>3</v>
      </c>
    </row>
    <row r="2199" spans="1:10" ht="18.75" x14ac:dyDescent="0.25">
      <c r="A2199" s="11" t="s">
        <v>2894</v>
      </c>
      <c r="B2199">
        <f>IFERROR(COUNTIFS($A$1:A2199,"Câu "&amp;"*")-MID(A2199,5,FIND(".",A2199,1)-5),0)</f>
        <v>0</v>
      </c>
      <c r="C2199" t="b">
        <v>0</v>
      </c>
      <c r="E2199" t="str">
        <f t="shared" si="204"/>
        <v>1</v>
      </c>
      <c r="F2199" t="str">
        <f t="shared" si="205"/>
        <v>2</v>
      </c>
      <c r="G2199" t="str">
        <f t="shared" si="206"/>
        <v>3</v>
      </c>
      <c r="H2199" t="str">
        <f t="shared" si="207"/>
        <v/>
      </c>
      <c r="I2199" t="str">
        <f t="shared" si="208"/>
        <v>1</v>
      </c>
      <c r="J2199" t="str">
        <f t="shared" ca="1" si="209"/>
        <v/>
      </c>
    </row>
    <row r="2200" spans="1:10" ht="18.75" x14ac:dyDescent="0.25">
      <c r="A2200" s="11" t="s">
        <v>2895</v>
      </c>
      <c r="B2200">
        <f>IFERROR(COUNTIFS($A$1:A2200,"Câu "&amp;"*")-MID(A2200,5,FIND(".",A2200,1)-5),0)</f>
        <v>0</v>
      </c>
      <c r="C2200" t="b">
        <v>0</v>
      </c>
      <c r="E2200" t="str">
        <f t="shared" si="204"/>
        <v>2</v>
      </c>
      <c r="F2200" t="str">
        <f t="shared" si="205"/>
        <v>3</v>
      </c>
      <c r="G2200" t="str">
        <f t="shared" si="206"/>
        <v>Câu 534.</v>
      </c>
      <c r="H2200" t="str">
        <f t="shared" si="207"/>
        <v>1</v>
      </c>
      <c r="I2200" t="str">
        <f t="shared" si="208"/>
        <v>2</v>
      </c>
      <c r="J2200" t="str">
        <f t="shared" ca="1" si="209"/>
        <v/>
      </c>
    </row>
    <row r="2201" spans="1:10" ht="18.75" x14ac:dyDescent="0.25">
      <c r="A2201" s="11" t="s">
        <v>2896</v>
      </c>
      <c r="B2201">
        <f>IFERROR(COUNTIFS($A$1:A2201,"Câu "&amp;"*")-MID(A2201,5,FIND(".",A2201,1)-5),0)</f>
        <v>0</v>
      </c>
      <c r="C2201" t="b">
        <v>1</v>
      </c>
      <c r="E2201" t="str">
        <f t="shared" si="204"/>
        <v>3</v>
      </c>
      <c r="F2201" t="str">
        <f t="shared" si="205"/>
        <v>Câu 534.</v>
      </c>
      <c r="G2201" t="str">
        <f t="shared" si="206"/>
        <v>1</v>
      </c>
      <c r="H2201" t="str">
        <f t="shared" si="207"/>
        <v>2</v>
      </c>
      <c r="I2201" t="str">
        <f t="shared" si="208"/>
        <v>3</v>
      </c>
      <c r="J2201" t="str">
        <f t="shared" ca="1" si="209"/>
        <v/>
      </c>
    </row>
    <row r="2202" spans="1:10" ht="18.75" x14ac:dyDescent="0.25">
      <c r="A2202" s="10" t="s">
        <v>1545</v>
      </c>
      <c r="B2202">
        <f>IFERROR(COUNTIFS($A$1:A2202,"Câu "&amp;"*")-MID(A2202,5,FIND(".",A2202,1)-5),0)</f>
        <v>0</v>
      </c>
      <c r="C2202" t="b">
        <v>0</v>
      </c>
      <c r="E2202" t="str">
        <f t="shared" si="204"/>
        <v>Câu 534.</v>
      </c>
      <c r="F2202" t="str">
        <f t="shared" si="205"/>
        <v>1</v>
      </c>
      <c r="G2202" t="str">
        <f t="shared" si="206"/>
        <v>2</v>
      </c>
      <c r="H2202" t="str">
        <f t="shared" si="207"/>
        <v>3</v>
      </c>
      <c r="I2202" t="str">
        <f t="shared" si="208"/>
        <v/>
      </c>
      <c r="J2202" t="str">
        <f t="shared" ca="1" si="209"/>
        <v>1</v>
      </c>
    </row>
    <row r="2203" spans="1:10" ht="18.75" x14ac:dyDescent="0.25">
      <c r="A2203" s="11" t="s">
        <v>2897</v>
      </c>
      <c r="B2203">
        <f>IFERROR(COUNTIFS($A$1:A2203,"Câu "&amp;"*")-MID(A2203,5,FIND(".",A2203,1)-5),0)</f>
        <v>0</v>
      </c>
      <c r="C2203" t="b">
        <v>1</v>
      </c>
      <c r="E2203" t="str">
        <f t="shared" si="204"/>
        <v>1</v>
      </c>
      <c r="F2203" t="str">
        <f t="shared" si="205"/>
        <v>2</v>
      </c>
      <c r="G2203" t="str">
        <f t="shared" si="206"/>
        <v>3</v>
      </c>
      <c r="H2203" t="str">
        <f t="shared" si="207"/>
        <v/>
      </c>
      <c r="I2203" t="str">
        <f t="shared" si="208"/>
        <v>1</v>
      </c>
      <c r="J2203" t="str">
        <f t="shared" ca="1" si="209"/>
        <v/>
      </c>
    </row>
    <row r="2204" spans="1:10" ht="18.75" x14ac:dyDescent="0.25">
      <c r="A2204" s="11" t="s">
        <v>2898</v>
      </c>
      <c r="B2204">
        <f>IFERROR(COUNTIFS($A$1:A2204,"Câu "&amp;"*")-MID(A2204,5,FIND(".",A2204,1)-5),0)</f>
        <v>0</v>
      </c>
      <c r="C2204" t="b">
        <v>0</v>
      </c>
      <c r="E2204" t="str">
        <f t="shared" si="204"/>
        <v>2</v>
      </c>
      <c r="F2204" t="str">
        <f t="shared" si="205"/>
        <v>3</v>
      </c>
      <c r="G2204" t="str">
        <f t="shared" si="206"/>
        <v>Câu 535.</v>
      </c>
      <c r="H2204" t="str">
        <f t="shared" si="207"/>
        <v>1</v>
      </c>
      <c r="I2204" t="str">
        <f t="shared" si="208"/>
        <v>2</v>
      </c>
      <c r="J2204" t="str">
        <f t="shared" ca="1" si="209"/>
        <v/>
      </c>
    </row>
    <row r="2205" spans="1:10" ht="18.75" x14ac:dyDescent="0.25">
      <c r="A2205" s="11" t="s">
        <v>2899</v>
      </c>
      <c r="B2205">
        <f>IFERROR(COUNTIFS($A$1:A2205,"Câu "&amp;"*")-MID(A2205,5,FIND(".",A2205,1)-5),0)</f>
        <v>0</v>
      </c>
      <c r="C2205" t="b">
        <v>0</v>
      </c>
      <c r="E2205" t="str">
        <f t="shared" si="204"/>
        <v>3</v>
      </c>
      <c r="F2205" t="str">
        <f t="shared" si="205"/>
        <v>Câu 535.</v>
      </c>
      <c r="G2205" t="str">
        <f t="shared" si="206"/>
        <v>1</v>
      </c>
      <c r="H2205" t="str">
        <f t="shared" si="207"/>
        <v>2</v>
      </c>
      <c r="I2205" t="str">
        <f t="shared" si="208"/>
        <v>3</v>
      </c>
      <c r="J2205" t="str">
        <f t="shared" ca="1" si="209"/>
        <v/>
      </c>
    </row>
    <row r="2206" spans="1:10" ht="18.75" x14ac:dyDescent="0.25">
      <c r="A2206" s="10" t="s">
        <v>1549</v>
      </c>
      <c r="B2206">
        <f>IFERROR(COUNTIFS($A$1:A2206,"Câu "&amp;"*")-MID(A2206,5,FIND(".",A2206,1)-5),0)</f>
        <v>0</v>
      </c>
      <c r="C2206" t="b">
        <v>0</v>
      </c>
      <c r="E2206" t="str">
        <f t="shared" si="204"/>
        <v>Câu 535.</v>
      </c>
      <c r="F2206" t="str">
        <f t="shared" si="205"/>
        <v>1</v>
      </c>
      <c r="G2206" t="str">
        <f t="shared" si="206"/>
        <v>2</v>
      </c>
      <c r="H2206" t="str">
        <f t="shared" si="207"/>
        <v>3</v>
      </c>
      <c r="I2206" t="str">
        <f t="shared" si="208"/>
        <v/>
      </c>
      <c r="J2206" t="str">
        <f t="shared" ca="1" si="209"/>
        <v>3</v>
      </c>
    </row>
    <row r="2207" spans="1:10" ht="18.75" x14ac:dyDescent="0.25">
      <c r="A2207" s="11" t="s">
        <v>2873</v>
      </c>
      <c r="B2207">
        <f>IFERROR(COUNTIFS($A$1:A2207,"Câu "&amp;"*")-MID(A2207,5,FIND(".",A2207,1)-5),0)</f>
        <v>0</v>
      </c>
      <c r="C2207" t="b">
        <v>0</v>
      </c>
      <c r="E2207" t="str">
        <f t="shared" si="204"/>
        <v>1</v>
      </c>
      <c r="F2207" t="str">
        <f t="shared" si="205"/>
        <v>2</v>
      </c>
      <c r="G2207" t="str">
        <f t="shared" si="206"/>
        <v>3</v>
      </c>
      <c r="H2207" t="str">
        <f t="shared" si="207"/>
        <v/>
      </c>
      <c r="I2207" t="str">
        <f t="shared" si="208"/>
        <v>1</v>
      </c>
      <c r="J2207" t="str">
        <f t="shared" ca="1" si="209"/>
        <v/>
      </c>
    </row>
    <row r="2208" spans="1:10" ht="18.75" x14ac:dyDescent="0.25">
      <c r="A2208" s="11" t="s">
        <v>2900</v>
      </c>
      <c r="B2208">
        <f>IFERROR(COUNTIFS($A$1:A2208,"Câu "&amp;"*")-MID(A2208,5,FIND(".",A2208,1)-5),0)</f>
        <v>0</v>
      </c>
      <c r="C2208" t="b">
        <v>0</v>
      </c>
      <c r="E2208" t="str">
        <f t="shared" si="204"/>
        <v>2</v>
      </c>
      <c r="F2208" t="str">
        <f t="shared" si="205"/>
        <v>3</v>
      </c>
      <c r="G2208" t="str">
        <f t="shared" si="206"/>
        <v>Câu 536.</v>
      </c>
      <c r="H2208" t="str">
        <f t="shared" si="207"/>
        <v>1</v>
      </c>
      <c r="I2208" t="str">
        <f t="shared" si="208"/>
        <v>2</v>
      </c>
      <c r="J2208" t="str">
        <f t="shared" ca="1" si="209"/>
        <v/>
      </c>
    </row>
    <row r="2209" spans="1:10" ht="18.75" x14ac:dyDescent="0.25">
      <c r="A2209" s="11" t="s">
        <v>2901</v>
      </c>
      <c r="B2209">
        <f>IFERROR(COUNTIFS($A$1:A2209,"Câu "&amp;"*")-MID(A2209,5,FIND(".",A2209,1)-5),0)</f>
        <v>0</v>
      </c>
      <c r="C2209" t="b">
        <v>1</v>
      </c>
      <c r="E2209" t="str">
        <f t="shared" si="204"/>
        <v>3</v>
      </c>
      <c r="F2209" t="str">
        <f t="shared" si="205"/>
        <v>Câu 536.</v>
      </c>
      <c r="G2209" t="str">
        <f t="shared" si="206"/>
        <v>1</v>
      </c>
      <c r="H2209" t="str">
        <f t="shared" si="207"/>
        <v>2</v>
      </c>
      <c r="I2209" t="str">
        <f t="shared" si="208"/>
        <v>3</v>
      </c>
      <c r="J2209" t="str">
        <f t="shared" ca="1" si="209"/>
        <v/>
      </c>
    </row>
    <row r="2210" spans="1:10" ht="18.75" x14ac:dyDescent="0.25">
      <c r="A2210" s="10" t="s">
        <v>1552</v>
      </c>
      <c r="B2210">
        <f>IFERROR(COUNTIFS($A$1:A2210,"Câu "&amp;"*")-MID(A2210,5,FIND(".",A2210,1)-5),0)</f>
        <v>0</v>
      </c>
      <c r="C2210" t="b">
        <v>0</v>
      </c>
      <c r="E2210" t="str">
        <f t="shared" si="204"/>
        <v>Câu 536.</v>
      </c>
      <c r="F2210" t="str">
        <f t="shared" si="205"/>
        <v>1</v>
      </c>
      <c r="G2210" t="str">
        <f t="shared" si="206"/>
        <v>2</v>
      </c>
      <c r="H2210" t="str">
        <f t="shared" si="207"/>
        <v>3</v>
      </c>
      <c r="I2210" t="str">
        <f t="shared" si="208"/>
        <v>4</v>
      </c>
      <c r="J2210" t="str">
        <f t="shared" ca="1" si="209"/>
        <v>1</v>
      </c>
    </row>
    <row r="2211" spans="1:10" ht="18.75" x14ac:dyDescent="0.25">
      <c r="A2211" s="11" t="s">
        <v>2775</v>
      </c>
      <c r="B2211">
        <f>IFERROR(COUNTIFS($A$1:A2211,"Câu "&amp;"*")-MID(A2211,5,FIND(".",A2211,1)-5),0)</f>
        <v>0</v>
      </c>
      <c r="C2211" t="b">
        <v>1</v>
      </c>
      <c r="E2211" t="str">
        <f t="shared" si="204"/>
        <v>1</v>
      </c>
      <c r="F2211" t="str">
        <f t="shared" si="205"/>
        <v>2</v>
      </c>
      <c r="G2211" t="str">
        <f t="shared" si="206"/>
        <v>3</v>
      </c>
      <c r="H2211" t="str">
        <f t="shared" si="207"/>
        <v>4</v>
      </c>
      <c r="I2211" t="str">
        <f t="shared" si="208"/>
        <v/>
      </c>
      <c r="J2211" t="str">
        <f t="shared" ca="1" si="209"/>
        <v/>
      </c>
    </row>
    <row r="2212" spans="1:10" ht="18.75" x14ac:dyDescent="0.25">
      <c r="A2212" s="11" t="s">
        <v>2902</v>
      </c>
      <c r="B2212">
        <f>IFERROR(COUNTIFS($A$1:A2212,"Câu "&amp;"*")-MID(A2212,5,FIND(".",A2212,1)-5),0)</f>
        <v>0</v>
      </c>
      <c r="C2212" t="b">
        <v>0</v>
      </c>
      <c r="E2212" t="str">
        <f t="shared" si="204"/>
        <v>2</v>
      </c>
      <c r="F2212" t="str">
        <f t="shared" si="205"/>
        <v>3</v>
      </c>
      <c r="G2212" t="str">
        <f t="shared" si="206"/>
        <v>4</v>
      </c>
      <c r="H2212" t="str">
        <f t="shared" si="207"/>
        <v/>
      </c>
      <c r="I2212" t="str">
        <f t="shared" si="208"/>
        <v>1</v>
      </c>
      <c r="J2212" t="str">
        <f t="shared" ca="1" si="209"/>
        <v/>
      </c>
    </row>
    <row r="2213" spans="1:10" ht="18.75" x14ac:dyDescent="0.25">
      <c r="A2213" s="11" t="s">
        <v>2903</v>
      </c>
      <c r="B2213">
        <f>IFERROR(COUNTIFS($A$1:A2213,"Câu "&amp;"*")-MID(A2213,5,FIND(".",A2213,1)-5),0)</f>
        <v>0</v>
      </c>
      <c r="C2213" t="b">
        <v>0</v>
      </c>
      <c r="E2213" t="str">
        <f t="shared" si="204"/>
        <v>3</v>
      </c>
      <c r="F2213" t="str">
        <f t="shared" si="205"/>
        <v>4</v>
      </c>
      <c r="G2213" t="str">
        <f t="shared" si="206"/>
        <v>Câu 537.</v>
      </c>
      <c r="H2213" t="str">
        <f t="shared" si="207"/>
        <v>1</v>
      </c>
      <c r="I2213" t="str">
        <f t="shared" si="208"/>
        <v>2</v>
      </c>
      <c r="J2213" t="str">
        <f t="shared" ca="1" si="209"/>
        <v/>
      </c>
    </row>
    <row r="2214" spans="1:10" ht="18.75" x14ac:dyDescent="0.25">
      <c r="A2214" s="11" t="s">
        <v>2904</v>
      </c>
      <c r="B2214">
        <f>IFERROR(COUNTIFS($A$1:A2214,"Câu "&amp;"*")-MID(A2214,5,FIND(".",A2214,1)-5),0)</f>
        <v>0</v>
      </c>
      <c r="C2214" t="b">
        <v>0</v>
      </c>
      <c r="E2214" t="str">
        <f t="shared" si="204"/>
        <v>4</v>
      </c>
      <c r="F2214" t="str">
        <f t="shared" si="205"/>
        <v>Câu 537.</v>
      </c>
      <c r="G2214" t="str">
        <f t="shared" si="206"/>
        <v>1</v>
      </c>
      <c r="H2214" t="str">
        <f t="shared" si="207"/>
        <v>2</v>
      </c>
      <c r="I2214" t="str">
        <f t="shared" si="208"/>
        <v>3</v>
      </c>
      <c r="J2214" t="str">
        <f t="shared" ca="1" si="209"/>
        <v/>
      </c>
    </row>
    <row r="2215" spans="1:10" ht="18.75" x14ac:dyDescent="0.25">
      <c r="A2215" s="10" t="s">
        <v>1556</v>
      </c>
      <c r="B2215">
        <f>IFERROR(COUNTIFS($A$1:A2215,"Câu "&amp;"*")-MID(A2215,5,FIND(".",A2215,1)-5),0)</f>
        <v>0</v>
      </c>
      <c r="C2215" t="b">
        <v>0</v>
      </c>
      <c r="E2215" t="str">
        <f t="shared" si="204"/>
        <v>Câu 537.</v>
      </c>
      <c r="F2215" t="str">
        <f t="shared" si="205"/>
        <v>1</v>
      </c>
      <c r="G2215" t="str">
        <f t="shared" si="206"/>
        <v>2</v>
      </c>
      <c r="H2215" t="str">
        <f t="shared" si="207"/>
        <v>3</v>
      </c>
      <c r="I2215" t="str">
        <f t="shared" si="208"/>
        <v>4</v>
      </c>
      <c r="J2215" t="str">
        <f t="shared" ca="1" si="209"/>
        <v>4</v>
      </c>
    </row>
    <row r="2216" spans="1:10" ht="18.75" x14ac:dyDescent="0.25">
      <c r="A2216" s="11" t="s">
        <v>2873</v>
      </c>
      <c r="B2216">
        <f>IFERROR(COUNTIFS($A$1:A2216,"Câu "&amp;"*")-MID(A2216,5,FIND(".",A2216,1)-5),0)</f>
        <v>0</v>
      </c>
      <c r="C2216" t="b">
        <v>0</v>
      </c>
      <c r="E2216" t="str">
        <f t="shared" si="204"/>
        <v>1</v>
      </c>
      <c r="F2216" t="str">
        <f t="shared" si="205"/>
        <v>2</v>
      </c>
      <c r="G2216" t="str">
        <f t="shared" si="206"/>
        <v>3</v>
      </c>
      <c r="H2216" t="str">
        <f t="shared" si="207"/>
        <v>4</v>
      </c>
      <c r="I2216" t="str">
        <f t="shared" si="208"/>
        <v/>
      </c>
      <c r="J2216" t="str">
        <f t="shared" ca="1" si="209"/>
        <v/>
      </c>
    </row>
    <row r="2217" spans="1:10" ht="18.75" x14ac:dyDescent="0.25">
      <c r="A2217" s="11" t="s">
        <v>2848</v>
      </c>
      <c r="B2217">
        <f>IFERROR(COUNTIFS($A$1:A2217,"Câu "&amp;"*")-MID(A2217,5,FIND(".",A2217,1)-5),0)</f>
        <v>0</v>
      </c>
      <c r="C2217" t="b">
        <v>0</v>
      </c>
      <c r="E2217" t="str">
        <f t="shared" si="204"/>
        <v>2</v>
      </c>
      <c r="F2217" t="str">
        <f t="shared" si="205"/>
        <v>3</v>
      </c>
      <c r="G2217" t="str">
        <f t="shared" si="206"/>
        <v>4</v>
      </c>
      <c r="H2217" t="str">
        <f t="shared" si="207"/>
        <v/>
      </c>
      <c r="I2217" t="str">
        <f t="shared" si="208"/>
        <v>1</v>
      </c>
      <c r="J2217" t="str">
        <f t="shared" ca="1" si="209"/>
        <v/>
      </c>
    </row>
    <row r="2218" spans="1:10" ht="18.75" x14ac:dyDescent="0.25">
      <c r="A2218" s="11" t="s">
        <v>2842</v>
      </c>
      <c r="B2218">
        <f>IFERROR(COUNTIFS($A$1:A2218,"Câu "&amp;"*")-MID(A2218,5,FIND(".",A2218,1)-5),0)</f>
        <v>0</v>
      </c>
      <c r="C2218" t="b">
        <v>0</v>
      </c>
      <c r="E2218" t="str">
        <f t="shared" si="204"/>
        <v>3</v>
      </c>
      <c r="F2218" t="str">
        <f t="shared" si="205"/>
        <v>4</v>
      </c>
      <c r="G2218" t="str">
        <f t="shared" si="206"/>
        <v>Câu 538.</v>
      </c>
      <c r="H2218" t="str">
        <f t="shared" si="207"/>
        <v>1</v>
      </c>
      <c r="I2218" t="str">
        <f t="shared" si="208"/>
        <v>2</v>
      </c>
      <c r="J2218" t="str">
        <f t="shared" ca="1" si="209"/>
        <v/>
      </c>
    </row>
    <row r="2219" spans="1:10" ht="18.75" x14ac:dyDescent="0.25">
      <c r="A2219" s="11" t="s">
        <v>2905</v>
      </c>
      <c r="B2219">
        <f>IFERROR(COUNTIFS($A$1:A2219,"Câu "&amp;"*")-MID(A2219,5,FIND(".",A2219,1)-5),0)</f>
        <v>0</v>
      </c>
      <c r="C2219" t="b">
        <v>1</v>
      </c>
      <c r="E2219" t="str">
        <f t="shared" si="204"/>
        <v>4</v>
      </c>
      <c r="F2219" t="str">
        <f t="shared" si="205"/>
        <v>Câu 538.</v>
      </c>
      <c r="G2219" t="str">
        <f t="shared" si="206"/>
        <v>1</v>
      </c>
      <c r="H2219" t="str">
        <f t="shared" si="207"/>
        <v>2</v>
      </c>
      <c r="I2219" t="str">
        <f t="shared" si="208"/>
        <v>3</v>
      </c>
      <c r="J2219" t="str">
        <f t="shared" ca="1" si="209"/>
        <v/>
      </c>
    </row>
    <row r="2220" spans="1:10" ht="18.75" x14ac:dyDescent="0.25">
      <c r="A2220" s="10" t="s">
        <v>1557</v>
      </c>
      <c r="B2220">
        <f>IFERROR(COUNTIFS($A$1:A2220,"Câu "&amp;"*")-MID(A2220,5,FIND(".",A2220,1)-5),0)</f>
        <v>0</v>
      </c>
      <c r="C2220" t="b">
        <v>0</v>
      </c>
      <c r="E2220" t="str">
        <f t="shared" si="204"/>
        <v>Câu 538.</v>
      </c>
      <c r="F2220" t="str">
        <f t="shared" si="205"/>
        <v>1</v>
      </c>
      <c r="G2220" t="str">
        <f t="shared" si="206"/>
        <v>2</v>
      </c>
      <c r="H2220" t="str">
        <f t="shared" si="207"/>
        <v>3</v>
      </c>
      <c r="I2220" t="str">
        <f t="shared" si="208"/>
        <v/>
      </c>
      <c r="J2220" t="str">
        <f t="shared" ca="1" si="209"/>
        <v>2</v>
      </c>
    </row>
    <row r="2221" spans="1:10" ht="18.75" x14ac:dyDescent="0.25">
      <c r="A2221" s="11" t="s">
        <v>2906</v>
      </c>
      <c r="B2221">
        <f>IFERROR(COUNTIFS($A$1:A2221,"Câu "&amp;"*")-MID(A2221,5,FIND(".",A2221,1)-5),0)</f>
        <v>0</v>
      </c>
      <c r="C2221" t="b">
        <v>0</v>
      </c>
      <c r="E2221" t="str">
        <f t="shared" si="204"/>
        <v>1</v>
      </c>
      <c r="F2221" t="str">
        <f t="shared" si="205"/>
        <v>2</v>
      </c>
      <c r="G2221" t="str">
        <f t="shared" si="206"/>
        <v>3</v>
      </c>
      <c r="H2221" t="str">
        <f t="shared" si="207"/>
        <v/>
      </c>
      <c r="I2221" t="str">
        <f t="shared" si="208"/>
        <v>1</v>
      </c>
      <c r="J2221" t="str">
        <f t="shared" ca="1" si="209"/>
        <v/>
      </c>
    </row>
    <row r="2222" spans="1:10" ht="18.75" x14ac:dyDescent="0.25">
      <c r="A2222" s="11" t="s">
        <v>2907</v>
      </c>
      <c r="B2222">
        <f>IFERROR(COUNTIFS($A$1:A2222,"Câu "&amp;"*")-MID(A2222,5,FIND(".",A2222,1)-5),0)</f>
        <v>0</v>
      </c>
      <c r="C2222" t="b">
        <v>1</v>
      </c>
      <c r="E2222" t="str">
        <f t="shared" si="204"/>
        <v>2</v>
      </c>
      <c r="F2222" t="str">
        <f t="shared" si="205"/>
        <v>3</v>
      </c>
      <c r="G2222" t="str">
        <f t="shared" si="206"/>
        <v>Câu 539.</v>
      </c>
      <c r="H2222" t="str">
        <f t="shared" si="207"/>
        <v>1</v>
      </c>
      <c r="I2222" t="str">
        <f t="shared" si="208"/>
        <v>2</v>
      </c>
      <c r="J2222" t="str">
        <f t="shared" ca="1" si="209"/>
        <v/>
      </c>
    </row>
    <row r="2223" spans="1:10" ht="18.75" x14ac:dyDescent="0.25">
      <c r="A2223" s="11" t="s">
        <v>2908</v>
      </c>
      <c r="B2223">
        <f>IFERROR(COUNTIFS($A$1:A2223,"Câu "&amp;"*")-MID(A2223,5,FIND(".",A2223,1)-5),0)</f>
        <v>0</v>
      </c>
      <c r="C2223" t="b">
        <v>0</v>
      </c>
      <c r="E2223" t="str">
        <f t="shared" si="204"/>
        <v>3</v>
      </c>
      <c r="F2223" t="str">
        <f t="shared" si="205"/>
        <v>Câu 539.</v>
      </c>
      <c r="G2223" t="str">
        <f t="shared" si="206"/>
        <v>1</v>
      </c>
      <c r="H2223" t="str">
        <f t="shared" si="207"/>
        <v>2</v>
      </c>
      <c r="I2223" t="str">
        <f t="shared" si="208"/>
        <v>3</v>
      </c>
      <c r="J2223" t="str">
        <f t="shared" ca="1" si="209"/>
        <v/>
      </c>
    </row>
    <row r="2224" spans="1:10" ht="18.75" x14ac:dyDescent="0.25">
      <c r="A2224" s="10" t="s">
        <v>1561</v>
      </c>
      <c r="B2224">
        <f>IFERROR(COUNTIFS($A$1:A2224,"Câu "&amp;"*")-MID(A2224,5,FIND(".",A2224,1)-5),0)</f>
        <v>0</v>
      </c>
      <c r="C2224" t="b">
        <v>0</v>
      </c>
      <c r="E2224" t="str">
        <f t="shared" si="204"/>
        <v>Câu 539.</v>
      </c>
      <c r="F2224" t="str">
        <f t="shared" si="205"/>
        <v>1</v>
      </c>
      <c r="G2224" t="str">
        <f t="shared" si="206"/>
        <v>2</v>
      </c>
      <c r="H2224" t="str">
        <f t="shared" si="207"/>
        <v>3</v>
      </c>
      <c r="I2224" t="str">
        <f t="shared" si="208"/>
        <v>4</v>
      </c>
      <c r="J2224" t="str">
        <f t="shared" ca="1" si="209"/>
        <v>3</v>
      </c>
    </row>
    <row r="2225" spans="1:10" ht="18.75" x14ac:dyDescent="0.25">
      <c r="A2225" s="11" t="s">
        <v>2867</v>
      </c>
      <c r="B2225">
        <f>IFERROR(COUNTIFS($A$1:A2225,"Câu "&amp;"*")-MID(A2225,5,FIND(".",A2225,1)-5),0)</f>
        <v>0</v>
      </c>
      <c r="C2225" t="b">
        <v>0</v>
      </c>
      <c r="E2225" t="str">
        <f t="shared" si="204"/>
        <v>1</v>
      </c>
      <c r="F2225" t="str">
        <f t="shared" si="205"/>
        <v>2</v>
      </c>
      <c r="G2225" t="str">
        <f t="shared" si="206"/>
        <v>3</v>
      </c>
      <c r="H2225" t="str">
        <f t="shared" si="207"/>
        <v>4</v>
      </c>
      <c r="I2225" t="str">
        <f t="shared" si="208"/>
        <v/>
      </c>
      <c r="J2225" t="str">
        <f t="shared" ca="1" si="209"/>
        <v/>
      </c>
    </row>
    <row r="2226" spans="1:10" ht="18.75" x14ac:dyDescent="0.25">
      <c r="A2226" s="11" t="s">
        <v>2909</v>
      </c>
      <c r="B2226">
        <f>IFERROR(COUNTIFS($A$1:A2226,"Câu "&amp;"*")-MID(A2226,5,FIND(".",A2226,1)-5),0)</f>
        <v>0</v>
      </c>
      <c r="C2226" t="b">
        <v>0</v>
      </c>
      <c r="E2226" t="str">
        <f t="shared" si="204"/>
        <v>2</v>
      </c>
      <c r="F2226" t="str">
        <f t="shared" si="205"/>
        <v>3</v>
      </c>
      <c r="G2226" t="str">
        <f t="shared" si="206"/>
        <v>4</v>
      </c>
      <c r="H2226" t="str">
        <f t="shared" si="207"/>
        <v/>
      </c>
      <c r="I2226" t="str">
        <f t="shared" si="208"/>
        <v>1</v>
      </c>
      <c r="J2226" t="str">
        <f t="shared" ca="1" si="209"/>
        <v/>
      </c>
    </row>
    <row r="2227" spans="1:10" ht="18.75" x14ac:dyDescent="0.25">
      <c r="A2227" s="11" t="s">
        <v>2910</v>
      </c>
      <c r="B2227">
        <f>IFERROR(COUNTIFS($A$1:A2227,"Câu "&amp;"*")-MID(A2227,5,FIND(".",A2227,1)-5),0)</f>
        <v>0</v>
      </c>
      <c r="C2227" t="b">
        <v>1</v>
      </c>
      <c r="E2227" t="str">
        <f t="shared" si="204"/>
        <v>3</v>
      </c>
      <c r="F2227" t="str">
        <f t="shared" si="205"/>
        <v>4</v>
      </c>
      <c r="G2227" t="str">
        <f t="shared" si="206"/>
        <v>Câu 540.</v>
      </c>
      <c r="H2227" t="str">
        <f t="shared" si="207"/>
        <v>1</v>
      </c>
      <c r="I2227" t="str">
        <f t="shared" si="208"/>
        <v>2</v>
      </c>
      <c r="J2227" t="str">
        <f t="shared" ca="1" si="209"/>
        <v/>
      </c>
    </row>
    <row r="2228" spans="1:10" ht="18.75" x14ac:dyDescent="0.25">
      <c r="A2228" s="11" t="s">
        <v>2843</v>
      </c>
      <c r="B2228">
        <f>IFERROR(COUNTIFS($A$1:A2228,"Câu "&amp;"*")-MID(A2228,5,FIND(".",A2228,1)-5),0)</f>
        <v>0</v>
      </c>
      <c r="C2228" t="b">
        <v>0</v>
      </c>
      <c r="E2228" t="str">
        <f t="shared" si="204"/>
        <v>4</v>
      </c>
      <c r="F2228" t="str">
        <f t="shared" si="205"/>
        <v>Câu 540.</v>
      </c>
      <c r="G2228" t="str">
        <f t="shared" si="206"/>
        <v>1</v>
      </c>
      <c r="H2228" t="str">
        <f t="shared" si="207"/>
        <v>2</v>
      </c>
      <c r="I2228" t="str">
        <f t="shared" si="208"/>
        <v>3</v>
      </c>
      <c r="J2228" t="str">
        <f t="shared" ca="1" si="209"/>
        <v/>
      </c>
    </row>
    <row r="2229" spans="1:10" ht="18.75" x14ac:dyDescent="0.25">
      <c r="A2229" s="10" t="s">
        <v>1563</v>
      </c>
      <c r="B2229">
        <f>IFERROR(COUNTIFS($A$1:A2229,"Câu "&amp;"*")-MID(A2229,5,FIND(".",A2229,1)-5),0)</f>
        <v>0</v>
      </c>
      <c r="C2229" t="b">
        <v>0</v>
      </c>
      <c r="E2229" t="str">
        <f t="shared" si="204"/>
        <v>Câu 540.</v>
      </c>
      <c r="F2229" t="str">
        <f t="shared" si="205"/>
        <v>1</v>
      </c>
      <c r="G2229" t="str">
        <f t="shared" si="206"/>
        <v>2</v>
      </c>
      <c r="H2229" t="str">
        <f t="shared" si="207"/>
        <v>3</v>
      </c>
      <c r="I2229" t="str">
        <f t="shared" si="208"/>
        <v/>
      </c>
      <c r="J2229" t="str">
        <f t="shared" ca="1" si="209"/>
        <v>2</v>
      </c>
    </row>
    <row r="2230" spans="1:10" ht="18.75" x14ac:dyDescent="0.25">
      <c r="A2230" s="11" t="s">
        <v>2911</v>
      </c>
      <c r="B2230">
        <f>IFERROR(COUNTIFS($A$1:A2230,"Câu "&amp;"*")-MID(A2230,5,FIND(".",A2230,1)-5),0)</f>
        <v>0</v>
      </c>
      <c r="C2230" t="b">
        <v>0</v>
      </c>
      <c r="E2230" t="str">
        <f t="shared" si="204"/>
        <v>1</v>
      </c>
      <c r="F2230" t="str">
        <f t="shared" si="205"/>
        <v>2</v>
      </c>
      <c r="G2230" t="str">
        <f t="shared" si="206"/>
        <v>3</v>
      </c>
      <c r="H2230" t="str">
        <f t="shared" si="207"/>
        <v/>
      </c>
      <c r="I2230" t="str">
        <f t="shared" si="208"/>
        <v>1</v>
      </c>
      <c r="J2230" t="str">
        <f t="shared" ca="1" si="209"/>
        <v/>
      </c>
    </row>
    <row r="2231" spans="1:10" ht="18.75" x14ac:dyDescent="0.25">
      <c r="A2231" s="11" t="s">
        <v>2912</v>
      </c>
      <c r="B2231">
        <f>IFERROR(COUNTIFS($A$1:A2231,"Câu "&amp;"*")-MID(A2231,5,FIND(".",A2231,1)-5),0)</f>
        <v>0</v>
      </c>
      <c r="C2231" t="b">
        <v>1</v>
      </c>
      <c r="E2231" t="str">
        <f t="shared" si="204"/>
        <v>2</v>
      </c>
      <c r="F2231" t="str">
        <f t="shared" si="205"/>
        <v>3</v>
      </c>
      <c r="G2231" t="str">
        <f t="shared" si="206"/>
        <v>Câu 541.</v>
      </c>
      <c r="H2231" t="str">
        <f t="shared" si="207"/>
        <v>1</v>
      </c>
      <c r="I2231" t="str">
        <f t="shared" si="208"/>
        <v>2</v>
      </c>
      <c r="J2231" t="str">
        <f t="shared" ca="1" si="209"/>
        <v/>
      </c>
    </row>
    <row r="2232" spans="1:10" ht="18.75" x14ac:dyDescent="0.25">
      <c r="A2232" s="11" t="s">
        <v>2913</v>
      </c>
      <c r="B2232">
        <f>IFERROR(COUNTIFS($A$1:A2232,"Câu "&amp;"*")-MID(A2232,5,FIND(".",A2232,1)-5),0)</f>
        <v>0</v>
      </c>
      <c r="C2232" t="b">
        <v>0</v>
      </c>
      <c r="E2232" t="str">
        <f t="shared" si="204"/>
        <v>3</v>
      </c>
      <c r="F2232" t="str">
        <f t="shared" si="205"/>
        <v>Câu 541.</v>
      </c>
      <c r="G2232" t="str">
        <f t="shared" si="206"/>
        <v>1</v>
      </c>
      <c r="H2232" t="str">
        <f t="shared" si="207"/>
        <v>2</v>
      </c>
      <c r="I2232" t="str">
        <f t="shared" si="208"/>
        <v/>
      </c>
      <c r="J2232" t="str">
        <f t="shared" ca="1" si="209"/>
        <v/>
      </c>
    </row>
    <row r="2233" spans="1:10" ht="18.75" x14ac:dyDescent="0.25">
      <c r="A2233" s="10" t="s">
        <v>1567</v>
      </c>
      <c r="B2233">
        <f>IFERROR(COUNTIFS($A$1:A2233,"Câu "&amp;"*")-MID(A2233,5,FIND(".",A2233,1)-5),0)</f>
        <v>0</v>
      </c>
      <c r="C2233" t="b">
        <v>0</v>
      </c>
      <c r="E2233" t="str">
        <f t="shared" si="204"/>
        <v>Câu 541.</v>
      </c>
      <c r="F2233" t="str">
        <f t="shared" si="205"/>
        <v>1</v>
      </c>
      <c r="G2233" t="str">
        <f t="shared" si="206"/>
        <v>2</v>
      </c>
      <c r="H2233" t="str">
        <f t="shared" si="207"/>
        <v/>
      </c>
      <c r="I2233" t="str">
        <f t="shared" si="208"/>
        <v>1</v>
      </c>
      <c r="J2233" t="str">
        <f t="shared" ca="1" si="209"/>
        <v>1</v>
      </c>
    </row>
    <row r="2234" spans="1:10" ht="18.75" x14ac:dyDescent="0.25">
      <c r="A2234" s="11" t="s">
        <v>2914</v>
      </c>
      <c r="B2234">
        <f>IFERROR(COUNTIFS($A$1:A2234,"Câu "&amp;"*")-MID(A2234,5,FIND(".",A2234,1)-5),0)</f>
        <v>0</v>
      </c>
      <c r="C2234" t="b">
        <v>1</v>
      </c>
      <c r="E2234" t="str">
        <f t="shared" si="204"/>
        <v>1</v>
      </c>
      <c r="F2234" t="str">
        <f t="shared" si="205"/>
        <v>2</v>
      </c>
      <c r="G2234" t="str">
        <f t="shared" si="206"/>
        <v>Câu 542.</v>
      </c>
      <c r="H2234" t="str">
        <f t="shared" si="207"/>
        <v>1</v>
      </c>
      <c r="I2234" t="str">
        <f t="shared" si="208"/>
        <v>2</v>
      </c>
      <c r="J2234" t="str">
        <f t="shared" ca="1" si="209"/>
        <v/>
      </c>
    </row>
    <row r="2235" spans="1:10" ht="18.75" x14ac:dyDescent="0.25">
      <c r="A2235" s="11" t="s">
        <v>2915</v>
      </c>
      <c r="B2235">
        <f>IFERROR(COUNTIFS($A$1:A2235,"Câu "&amp;"*")-MID(A2235,5,FIND(".",A2235,1)-5),0)</f>
        <v>0</v>
      </c>
      <c r="C2235" t="b">
        <v>0</v>
      </c>
      <c r="E2235" t="str">
        <f t="shared" si="204"/>
        <v>2</v>
      </c>
      <c r="F2235" t="str">
        <f t="shared" si="205"/>
        <v>Câu 542.</v>
      </c>
      <c r="G2235" t="str">
        <f t="shared" si="206"/>
        <v>1</v>
      </c>
      <c r="H2235" t="str">
        <f t="shared" si="207"/>
        <v>2</v>
      </c>
      <c r="I2235" t="str">
        <f t="shared" si="208"/>
        <v/>
      </c>
      <c r="J2235" t="str">
        <f t="shared" ca="1" si="209"/>
        <v/>
      </c>
    </row>
    <row r="2236" spans="1:10" ht="18.75" x14ac:dyDescent="0.25">
      <c r="A2236" s="10" t="s">
        <v>1570</v>
      </c>
      <c r="B2236">
        <f>IFERROR(COUNTIFS($A$1:A2236,"Câu "&amp;"*")-MID(A2236,5,FIND(".",A2236,1)-5),0)</f>
        <v>0</v>
      </c>
      <c r="C2236" t="b">
        <v>0</v>
      </c>
      <c r="E2236" t="str">
        <f t="shared" si="204"/>
        <v>Câu 542.</v>
      </c>
      <c r="F2236" t="str">
        <f t="shared" si="205"/>
        <v>1</v>
      </c>
      <c r="G2236" t="str">
        <f t="shared" si="206"/>
        <v>2</v>
      </c>
      <c r="H2236" t="str">
        <f t="shared" si="207"/>
        <v/>
      </c>
      <c r="I2236" t="str">
        <f t="shared" si="208"/>
        <v>1</v>
      </c>
      <c r="J2236" t="str">
        <f t="shared" ca="1" si="209"/>
        <v>2</v>
      </c>
    </row>
    <row r="2237" spans="1:10" ht="18.75" x14ac:dyDescent="0.25">
      <c r="A2237" s="11" t="s">
        <v>2877</v>
      </c>
      <c r="B2237">
        <f>IFERROR(COUNTIFS($A$1:A2237,"Câu "&amp;"*")-MID(A2237,5,FIND(".",A2237,1)-5),0)</f>
        <v>0</v>
      </c>
      <c r="C2237" t="b">
        <v>0</v>
      </c>
      <c r="E2237" t="str">
        <f t="shared" si="204"/>
        <v>1</v>
      </c>
      <c r="F2237" t="str">
        <f t="shared" si="205"/>
        <v>2</v>
      </c>
      <c r="G2237" t="str">
        <f t="shared" si="206"/>
        <v>Câu 543.</v>
      </c>
      <c r="H2237" t="str">
        <f t="shared" si="207"/>
        <v>1</v>
      </c>
      <c r="I2237" t="str">
        <f t="shared" si="208"/>
        <v>2</v>
      </c>
      <c r="J2237" t="str">
        <f t="shared" ca="1" si="209"/>
        <v/>
      </c>
    </row>
    <row r="2238" spans="1:10" ht="18.75" x14ac:dyDescent="0.25">
      <c r="A2238" s="11" t="s">
        <v>2851</v>
      </c>
      <c r="B2238">
        <f>IFERROR(COUNTIFS($A$1:A2238,"Câu "&amp;"*")-MID(A2238,5,FIND(".",A2238,1)-5),0)</f>
        <v>0</v>
      </c>
      <c r="C2238" t="b">
        <v>1</v>
      </c>
      <c r="E2238" t="str">
        <f t="shared" si="204"/>
        <v>2</v>
      </c>
      <c r="F2238" t="str">
        <f t="shared" si="205"/>
        <v>Câu 543.</v>
      </c>
      <c r="G2238" t="str">
        <f t="shared" si="206"/>
        <v>1</v>
      </c>
      <c r="H2238" t="str">
        <f t="shared" si="207"/>
        <v>2</v>
      </c>
      <c r="I2238" t="str">
        <f t="shared" si="208"/>
        <v>3</v>
      </c>
      <c r="J2238" t="str">
        <f t="shared" ca="1" si="209"/>
        <v/>
      </c>
    </row>
    <row r="2239" spans="1:10" ht="18.75" x14ac:dyDescent="0.25">
      <c r="A2239" s="10" t="s">
        <v>1571</v>
      </c>
      <c r="B2239">
        <f>IFERROR(COUNTIFS($A$1:A2239,"Câu "&amp;"*")-MID(A2239,5,FIND(".",A2239,1)-5),0)</f>
        <v>0</v>
      </c>
      <c r="C2239" t="b">
        <v>0</v>
      </c>
      <c r="E2239" t="str">
        <f t="shared" si="204"/>
        <v>Câu 543.</v>
      </c>
      <c r="F2239" t="str">
        <f t="shared" si="205"/>
        <v>1</v>
      </c>
      <c r="G2239" t="str">
        <f t="shared" si="206"/>
        <v>2</v>
      </c>
      <c r="H2239" t="str">
        <f t="shared" si="207"/>
        <v>3</v>
      </c>
      <c r="I2239" t="str">
        <f t="shared" si="208"/>
        <v>4</v>
      </c>
      <c r="J2239" t="str">
        <f t="shared" ca="1" si="209"/>
        <v>1</v>
      </c>
    </row>
    <row r="2240" spans="1:10" ht="18.75" x14ac:dyDescent="0.25">
      <c r="A2240" s="11" t="s">
        <v>2916</v>
      </c>
      <c r="B2240">
        <f>IFERROR(COUNTIFS($A$1:A2240,"Câu "&amp;"*")-MID(A2240,5,FIND(".",A2240,1)-5),0)</f>
        <v>0</v>
      </c>
      <c r="C2240" t="b">
        <v>1</v>
      </c>
      <c r="E2240" t="str">
        <f t="shared" si="204"/>
        <v>1</v>
      </c>
      <c r="F2240" t="str">
        <f t="shared" si="205"/>
        <v>2</v>
      </c>
      <c r="G2240" t="str">
        <f t="shared" si="206"/>
        <v>3</v>
      </c>
      <c r="H2240" t="str">
        <f t="shared" si="207"/>
        <v>4</v>
      </c>
      <c r="I2240" t="str">
        <f t="shared" si="208"/>
        <v/>
      </c>
      <c r="J2240" t="str">
        <f t="shared" ca="1" si="209"/>
        <v/>
      </c>
    </row>
    <row r="2241" spans="1:10" ht="18.75" x14ac:dyDescent="0.25">
      <c r="A2241" s="11" t="s">
        <v>2917</v>
      </c>
      <c r="B2241">
        <f>IFERROR(COUNTIFS($A$1:A2241,"Câu "&amp;"*")-MID(A2241,5,FIND(".",A2241,1)-5),0)</f>
        <v>0</v>
      </c>
      <c r="C2241" t="b">
        <v>0</v>
      </c>
      <c r="E2241" t="str">
        <f t="shared" si="204"/>
        <v>2</v>
      </c>
      <c r="F2241" t="str">
        <f t="shared" si="205"/>
        <v>3</v>
      </c>
      <c r="G2241" t="str">
        <f t="shared" si="206"/>
        <v>4</v>
      </c>
      <c r="H2241" t="str">
        <f t="shared" si="207"/>
        <v/>
      </c>
      <c r="I2241" t="str">
        <f t="shared" si="208"/>
        <v>1</v>
      </c>
      <c r="J2241" t="str">
        <f t="shared" ca="1" si="209"/>
        <v/>
      </c>
    </row>
    <row r="2242" spans="1:10" ht="18.75" x14ac:dyDescent="0.25">
      <c r="A2242" s="11" t="s">
        <v>2918</v>
      </c>
      <c r="B2242">
        <f>IFERROR(COUNTIFS($A$1:A2242,"Câu "&amp;"*")-MID(A2242,5,FIND(".",A2242,1)-5),0)</f>
        <v>0</v>
      </c>
      <c r="C2242" t="b">
        <v>0</v>
      </c>
      <c r="E2242" t="str">
        <f t="shared" si="204"/>
        <v>3</v>
      </c>
      <c r="F2242" t="str">
        <f t="shared" si="205"/>
        <v>4</v>
      </c>
      <c r="G2242" t="str">
        <f t="shared" si="206"/>
        <v>Câu 544.</v>
      </c>
      <c r="H2242" t="str">
        <f t="shared" si="207"/>
        <v>1</v>
      </c>
      <c r="I2242" t="str">
        <f t="shared" si="208"/>
        <v>2</v>
      </c>
      <c r="J2242" t="str">
        <f t="shared" ca="1" si="209"/>
        <v/>
      </c>
    </row>
    <row r="2243" spans="1:10" ht="18.75" x14ac:dyDescent="0.25">
      <c r="A2243" s="11" t="s">
        <v>2919</v>
      </c>
      <c r="B2243">
        <f>IFERROR(COUNTIFS($A$1:A2243,"Câu "&amp;"*")-MID(A2243,5,FIND(".",A2243,1)-5),0)</f>
        <v>0</v>
      </c>
      <c r="C2243" t="b">
        <v>0</v>
      </c>
      <c r="E2243" t="str">
        <f t="shared" ref="E2243:E2306" si="210">IF(LEFT(A2243,3)="Câu",LEFT(A2243,FIND(".",A2243,1)),LEFT(A2243,1))</f>
        <v>4</v>
      </c>
      <c r="F2243" t="str">
        <f t="shared" ref="F2243:F2306" si="211">IF(LEFT(A2244,3)="Câu",LEFT(A2244,FIND(".",A2244,1)),LEFT(A2244,1))</f>
        <v>Câu 544.</v>
      </c>
      <c r="G2243" t="str">
        <f t="shared" ref="G2243:G2306" si="212">IF(LEFT(A2245,3)="Câu",LEFT(A2245,FIND(".",A2245,1)),LEFT(A2245,1))</f>
        <v>1</v>
      </c>
      <c r="H2243" t="str">
        <f t="shared" ref="H2243:H2306" si="213">IF(LEFT(A2246,3)="Câu","",LEFT(A2246,1))</f>
        <v>2</v>
      </c>
      <c r="I2243" t="str">
        <f t="shared" ref="I2243:I2306" si="214">IF(LEFT(A2247,3)="Câu","",LEFT(A2247,1))</f>
        <v/>
      </c>
      <c r="J2243" t="str">
        <f t="shared" ref="J2243:J2306" ca="1" si="215">IFERROR(VLOOKUP(TRUE,INDIRECT("C"&amp;MATCH(E2243,$E$1:$E$2471,0)&amp;":E"&amp;MATCH("Câu "&amp;VALUE(MID(E2243,5,LEN(E2243)-5))+1&amp;".",$E$1:$E$2471,0)),3,0),"")</f>
        <v/>
      </c>
    </row>
    <row r="2244" spans="1:10" ht="18.75" x14ac:dyDescent="0.25">
      <c r="A2244" s="10" t="s">
        <v>1576</v>
      </c>
      <c r="B2244">
        <f>IFERROR(COUNTIFS($A$1:A2244,"Câu "&amp;"*")-MID(A2244,5,FIND(".",A2244,1)-5),0)</f>
        <v>0</v>
      </c>
      <c r="C2244" t="b">
        <v>0</v>
      </c>
      <c r="E2244" t="str">
        <f t="shared" si="210"/>
        <v>Câu 544.</v>
      </c>
      <c r="F2244" t="str">
        <f t="shared" si="211"/>
        <v>1</v>
      </c>
      <c r="G2244" t="str">
        <f t="shared" si="212"/>
        <v>2</v>
      </c>
      <c r="H2244" t="str">
        <f t="shared" si="213"/>
        <v/>
      </c>
      <c r="I2244" t="str">
        <f t="shared" si="214"/>
        <v>1</v>
      </c>
      <c r="J2244" t="str">
        <f t="shared" ca="1" si="215"/>
        <v>1</v>
      </c>
    </row>
    <row r="2245" spans="1:10" ht="18.75" x14ac:dyDescent="0.25">
      <c r="A2245" s="11" t="s">
        <v>2920</v>
      </c>
      <c r="B2245">
        <f>IFERROR(COUNTIFS($A$1:A2245,"Câu "&amp;"*")-MID(A2245,5,FIND(".",A2245,1)-5),0)</f>
        <v>0</v>
      </c>
      <c r="C2245" t="b">
        <v>1</v>
      </c>
      <c r="E2245" t="str">
        <f t="shared" si="210"/>
        <v>1</v>
      </c>
      <c r="F2245" t="str">
        <f t="shared" si="211"/>
        <v>2</v>
      </c>
      <c r="G2245" t="str">
        <f t="shared" si="212"/>
        <v>Câu 545.</v>
      </c>
      <c r="H2245" t="str">
        <f t="shared" si="213"/>
        <v>1</v>
      </c>
      <c r="I2245" t="str">
        <f t="shared" si="214"/>
        <v>2</v>
      </c>
      <c r="J2245" t="str">
        <f t="shared" ca="1" si="215"/>
        <v/>
      </c>
    </row>
    <row r="2246" spans="1:10" ht="18.75" x14ac:dyDescent="0.25">
      <c r="A2246" s="11" t="s">
        <v>2921</v>
      </c>
      <c r="B2246">
        <f>IFERROR(COUNTIFS($A$1:A2246,"Câu "&amp;"*")-MID(A2246,5,FIND(".",A2246,1)-5),0)</f>
        <v>0</v>
      </c>
      <c r="C2246" t="b">
        <v>0</v>
      </c>
      <c r="E2246" t="str">
        <f t="shared" si="210"/>
        <v>2</v>
      </c>
      <c r="F2246" t="str">
        <f t="shared" si="211"/>
        <v>Câu 545.</v>
      </c>
      <c r="G2246" t="str">
        <f t="shared" si="212"/>
        <v>1</v>
      </c>
      <c r="H2246" t="str">
        <f t="shared" si="213"/>
        <v>2</v>
      </c>
      <c r="I2246" t="str">
        <f t="shared" si="214"/>
        <v>3</v>
      </c>
      <c r="J2246" t="str">
        <f t="shared" ca="1" si="215"/>
        <v/>
      </c>
    </row>
    <row r="2247" spans="1:10" ht="18.75" x14ac:dyDescent="0.25">
      <c r="A2247" s="10" t="s">
        <v>1579</v>
      </c>
      <c r="B2247">
        <f>IFERROR(COUNTIFS($A$1:A2247,"Câu "&amp;"*")-MID(A2247,5,FIND(".",A2247,1)-5),0)</f>
        <v>0</v>
      </c>
      <c r="C2247" t="b">
        <v>0</v>
      </c>
      <c r="E2247" t="str">
        <f t="shared" si="210"/>
        <v>Câu 545.</v>
      </c>
      <c r="F2247" t="str">
        <f t="shared" si="211"/>
        <v>1</v>
      </c>
      <c r="G2247" t="str">
        <f t="shared" si="212"/>
        <v>2</v>
      </c>
      <c r="H2247" t="str">
        <f t="shared" si="213"/>
        <v>3</v>
      </c>
      <c r="I2247" t="str">
        <f t="shared" si="214"/>
        <v>4</v>
      </c>
      <c r="J2247" t="str">
        <f t="shared" ca="1" si="215"/>
        <v>2</v>
      </c>
    </row>
    <row r="2248" spans="1:10" ht="18.75" x14ac:dyDescent="0.25">
      <c r="A2248" s="11" t="s">
        <v>2922</v>
      </c>
      <c r="B2248">
        <f>IFERROR(COUNTIFS($A$1:A2248,"Câu "&amp;"*")-MID(A2248,5,FIND(".",A2248,1)-5),0)</f>
        <v>0</v>
      </c>
      <c r="C2248" t="b">
        <v>0</v>
      </c>
      <c r="E2248" t="str">
        <f t="shared" si="210"/>
        <v>1</v>
      </c>
      <c r="F2248" t="str">
        <f t="shared" si="211"/>
        <v>2</v>
      </c>
      <c r="G2248" t="str">
        <f t="shared" si="212"/>
        <v>3</v>
      </c>
      <c r="H2248" t="str">
        <f t="shared" si="213"/>
        <v>4</v>
      </c>
      <c r="I2248" t="str">
        <f t="shared" si="214"/>
        <v/>
      </c>
      <c r="J2248" t="str">
        <f t="shared" ca="1" si="215"/>
        <v/>
      </c>
    </row>
    <row r="2249" spans="1:10" ht="18.75" x14ac:dyDescent="0.25">
      <c r="A2249" s="11" t="s">
        <v>2923</v>
      </c>
      <c r="B2249">
        <f>IFERROR(COUNTIFS($A$1:A2249,"Câu "&amp;"*")-MID(A2249,5,FIND(".",A2249,1)-5),0)</f>
        <v>0</v>
      </c>
      <c r="C2249" t="b">
        <v>1</v>
      </c>
      <c r="E2249" t="str">
        <f t="shared" si="210"/>
        <v>2</v>
      </c>
      <c r="F2249" t="str">
        <f t="shared" si="211"/>
        <v>3</v>
      </c>
      <c r="G2249" t="str">
        <f t="shared" si="212"/>
        <v>4</v>
      </c>
      <c r="H2249" t="str">
        <f t="shared" si="213"/>
        <v/>
      </c>
      <c r="I2249" t="str">
        <f t="shared" si="214"/>
        <v>1</v>
      </c>
      <c r="J2249" t="str">
        <f t="shared" ca="1" si="215"/>
        <v/>
      </c>
    </row>
    <row r="2250" spans="1:10" ht="18.75" x14ac:dyDescent="0.25">
      <c r="A2250" s="11" t="s">
        <v>2924</v>
      </c>
      <c r="B2250">
        <f>IFERROR(COUNTIFS($A$1:A2250,"Câu "&amp;"*")-MID(A2250,5,FIND(".",A2250,1)-5),0)</f>
        <v>0</v>
      </c>
      <c r="C2250" t="b">
        <v>0</v>
      </c>
      <c r="E2250" t="str">
        <f t="shared" si="210"/>
        <v>3</v>
      </c>
      <c r="F2250" t="str">
        <f t="shared" si="211"/>
        <v>4</v>
      </c>
      <c r="G2250" t="str">
        <f t="shared" si="212"/>
        <v>Câu 546.</v>
      </c>
      <c r="H2250" t="str">
        <f t="shared" si="213"/>
        <v>1</v>
      </c>
      <c r="I2250" t="str">
        <f t="shared" si="214"/>
        <v>2</v>
      </c>
      <c r="J2250" t="str">
        <f t="shared" ca="1" si="215"/>
        <v/>
      </c>
    </row>
    <row r="2251" spans="1:10" ht="18.75" x14ac:dyDescent="0.25">
      <c r="A2251" s="11" t="s">
        <v>2925</v>
      </c>
      <c r="B2251">
        <f>IFERROR(COUNTIFS($A$1:A2251,"Câu "&amp;"*")-MID(A2251,5,FIND(".",A2251,1)-5),0)</f>
        <v>0</v>
      </c>
      <c r="C2251" t="b">
        <v>0</v>
      </c>
      <c r="E2251" t="str">
        <f t="shared" si="210"/>
        <v>4</v>
      </c>
      <c r="F2251" t="str">
        <f t="shared" si="211"/>
        <v>Câu 546.</v>
      </c>
      <c r="G2251" t="str">
        <f t="shared" si="212"/>
        <v>1</v>
      </c>
      <c r="H2251" t="str">
        <f t="shared" si="213"/>
        <v>2</v>
      </c>
      <c r="I2251" t="str">
        <f t="shared" si="214"/>
        <v/>
      </c>
      <c r="J2251" t="str">
        <f t="shared" ca="1" si="215"/>
        <v/>
      </c>
    </row>
    <row r="2252" spans="1:10" ht="18.75" x14ac:dyDescent="0.25">
      <c r="A2252" s="10" t="s">
        <v>1584</v>
      </c>
      <c r="B2252">
        <f>IFERROR(COUNTIFS($A$1:A2252,"Câu "&amp;"*")-MID(A2252,5,FIND(".",A2252,1)-5),0)</f>
        <v>0</v>
      </c>
      <c r="C2252" t="b">
        <v>0</v>
      </c>
      <c r="E2252" t="str">
        <f t="shared" si="210"/>
        <v>Câu 546.</v>
      </c>
      <c r="F2252" t="str">
        <f t="shared" si="211"/>
        <v>1</v>
      </c>
      <c r="G2252" t="str">
        <f t="shared" si="212"/>
        <v>2</v>
      </c>
      <c r="H2252" t="str">
        <f t="shared" si="213"/>
        <v/>
      </c>
      <c r="I2252" t="str">
        <f t="shared" si="214"/>
        <v>1</v>
      </c>
      <c r="J2252" t="str">
        <f t="shared" ca="1" si="215"/>
        <v>2</v>
      </c>
    </row>
    <row r="2253" spans="1:10" ht="18.75" x14ac:dyDescent="0.25">
      <c r="A2253" s="11" t="s">
        <v>2926</v>
      </c>
      <c r="B2253">
        <f>IFERROR(COUNTIFS($A$1:A2253,"Câu "&amp;"*")-MID(A2253,5,FIND(".",A2253,1)-5),0)</f>
        <v>0</v>
      </c>
      <c r="C2253" t="b">
        <v>0</v>
      </c>
      <c r="E2253" t="str">
        <f t="shared" si="210"/>
        <v>1</v>
      </c>
      <c r="F2253" t="str">
        <f t="shared" si="211"/>
        <v>2</v>
      </c>
      <c r="G2253" t="str">
        <f t="shared" si="212"/>
        <v>Câu 547.</v>
      </c>
      <c r="H2253" t="str">
        <f t="shared" si="213"/>
        <v>1</v>
      </c>
      <c r="I2253" t="str">
        <f t="shared" si="214"/>
        <v>2</v>
      </c>
      <c r="J2253" t="str">
        <f t="shared" ca="1" si="215"/>
        <v/>
      </c>
    </row>
    <row r="2254" spans="1:10" ht="18.75" x14ac:dyDescent="0.25">
      <c r="A2254" s="11" t="s">
        <v>2823</v>
      </c>
      <c r="B2254">
        <f>IFERROR(COUNTIFS($A$1:A2254,"Câu "&amp;"*")-MID(A2254,5,FIND(".",A2254,1)-5),0)</f>
        <v>0</v>
      </c>
      <c r="C2254" t="b">
        <v>1</v>
      </c>
      <c r="E2254" t="str">
        <f t="shared" si="210"/>
        <v>2</v>
      </c>
      <c r="F2254" t="str">
        <f t="shared" si="211"/>
        <v>Câu 547.</v>
      </c>
      <c r="G2254" t="str">
        <f t="shared" si="212"/>
        <v>1</v>
      </c>
      <c r="H2254" t="str">
        <f t="shared" si="213"/>
        <v>2</v>
      </c>
      <c r="I2254" t="str">
        <f t="shared" si="214"/>
        <v>3</v>
      </c>
      <c r="J2254" t="str">
        <f t="shared" ca="1" si="215"/>
        <v/>
      </c>
    </row>
    <row r="2255" spans="1:10" ht="18.75" x14ac:dyDescent="0.25">
      <c r="A2255" s="10" t="s">
        <v>1585</v>
      </c>
      <c r="B2255">
        <f>IFERROR(COUNTIFS($A$1:A2255,"Câu "&amp;"*")-MID(A2255,5,FIND(".",A2255,1)-5),0)</f>
        <v>0</v>
      </c>
      <c r="C2255" t="b">
        <v>0</v>
      </c>
      <c r="E2255" t="str">
        <f t="shared" si="210"/>
        <v>Câu 547.</v>
      </c>
      <c r="F2255" t="str">
        <f t="shared" si="211"/>
        <v>1</v>
      </c>
      <c r="G2255" t="str">
        <f t="shared" si="212"/>
        <v>2</v>
      </c>
      <c r="H2255" t="str">
        <f t="shared" si="213"/>
        <v>3</v>
      </c>
      <c r="I2255" t="str">
        <f t="shared" si="214"/>
        <v/>
      </c>
      <c r="J2255" t="str">
        <f t="shared" ca="1" si="215"/>
        <v>3</v>
      </c>
    </row>
    <row r="2256" spans="1:10" ht="18.75" x14ac:dyDescent="0.25">
      <c r="A2256" s="11" t="s">
        <v>2927</v>
      </c>
      <c r="B2256">
        <f>IFERROR(COUNTIFS($A$1:A2256,"Câu "&amp;"*")-MID(A2256,5,FIND(".",A2256,1)-5),0)</f>
        <v>0</v>
      </c>
      <c r="C2256" t="b">
        <v>0</v>
      </c>
      <c r="E2256" t="str">
        <f t="shared" si="210"/>
        <v>1</v>
      </c>
      <c r="F2256" t="str">
        <f t="shared" si="211"/>
        <v>2</v>
      </c>
      <c r="G2256" t="str">
        <f t="shared" si="212"/>
        <v>3</v>
      </c>
      <c r="H2256" t="str">
        <f t="shared" si="213"/>
        <v/>
      </c>
      <c r="I2256" t="str">
        <f t="shared" si="214"/>
        <v>1</v>
      </c>
      <c r="J2256" t="str">
        <f t="shared" ca="1" si="215"/>
        <v/>
      </c>
    </row>
    <row r="2257" spans="1:10" ht="18.75" x14ac:dyDescent="0.25">
      <c r="A2257" s="11" t="s">
        <v>2928</v>
      </c>
      <c r="B2257">
        <f>IFERROR(COUNTIFS($A$1:A2257,"Câu "&amp;"*")-MID(A2257,5,FIND(".",A2257,1)-5),0)</f>
        <v>0</v>
      </c>
      <c r="C2257" t="b">
        <v>0</v>
      </c>
      <c r="E2257" t="str">
        <f t="shared" si="210"/>
        <v>2</v>
      </c>
      <c r="F2257" t="str">
        <f t="shared" si="211"/>
        <v>3</v>
      </c>
      <c r="G2257" t="str">
        <f t="shared" si="212"/>
        <v>Câu 548.</v>
      </c>
      <c r="H2257" t="str">
        <f t="shared" si="213"/>
        <v>1</v>
      </c>
      <c r="I2257" t="str">
        <f t="shared" si="214"/>
        <v>2</v>
      </c>
      <c r="J2257" t="str">
        <f t="shared" ca="1" si="215"/>
        <v/>
      </c>
    </row>
    <row r="2258" spans="1:10" ht="18.75" x14ac:dyDescent="0.25">
      <c r="A2258" s="11" t="s">
        <v>2929</v>
      </c>
      <c r="B2258">
        <f>IFERROR(COUNTIFS($A$1:A2258,"Câu "&amp;"*")-MID(A2258,5,FIND(".",A2258,1)-5),0)</f>
        <v>0</v>
      </c>
      <c r="C2258" t="b">
        <v>1</v>
      </c>
      <c r="E2258" t="str">
        <f t="shared" si="210"/>
        <v>3</v>
      </c>
      <c r="F2258" t="str">
        <f t="shared" si="211"/>
        <v>Câu 548.</v>
      </c>
      <c r="G2258" t="str">
        <f t="shared" si="212"/>
        <v>1</v>
      </c>
      <c r="H2258" t="str">
        <f t="shared" si="213"/>
        <v>2</v>
      </c>
      <c r="I2258" t="str">
        <f t="shared" si="214"/>
        <v>3</v>
      </c>
      <c r="J2258" t="str">
        <f t="shared" ca="1" si="215"/>
        <v/>
      </c>
    </row>
    <row r="2259" spans="1:10" ht="18.75" x14ac:dyDescent="0.25">
      <c r="A2259" s="10" t="s">
        <v>1589</v>
      </c>
      <c r="B2259">
        <f>IFERROR(COUNTIFS($A$1:A2259,"Câu "&amp;"*")-MID(A2259,5,FIND(".",A2259,1)-5),0)</f>
        <v>0</v>
      </c>
      <c r="C2259" t="b">
        <v>0</v>
      </c>
      <c r="E2259" t="str">
        <f t="shared" si="210"/>
        <v>Câu 548.</v>
      </c>
      <c r="F2259" t="str">
        <f t="shared" si="211"/>
        <v>1</v>
      </c>
      <c r="G2259" t="str">
        <f t="shared" si="212"/>
        <v>2</v>
      </c>
      <c r="H2259" t="str">
        <f t="shared" si="213"/>
        <v>3</v>
      </c>
      <c r="I2259" t="str">
        <f t="shared" si="214"/>
        <v>4</v>
      </c>
      <c r="J2259" t="str">
        <f t="shared" ca="1" si="215"/>
        <v>3</v>
      </c>
    </row>
    <row r="2260" spans="1:10" ht="18.75" x14ac:dyDescent="0.25">
      <c r="A2260" s="11" t="s">
        <v>2930</v>
      </c>
      <c r="B2260">
        <f>IFERROR(COUNTIFS($A$1:A2260,"Câu "&amp;"*")-MID(A2260,5,FIND(".",A2260,1)-5),0)</f>
        <v>0</v>
      </c>
      <c r="C2260" t="b">
        <v>0</v>
      </c>
      <c r="E2260" t="str">
        <f t="shared" si="210"/>
        <v>1</v>
      </c>
      <c r="F2260" t="str">
        <f t="shared" si="211"/>
        <v>2</v>
      </c>
      <c r="G2260" t="str">
        <f t="shared" si="212"/>
        <v>3</v>
      </c>
      <c r="H2260" t="str">
        <f t="shared" si="213"/>
        <v>4</v>
      </c>
      <c r="I2260" t="str">
        <f t="shared" si="214"/>
        <v/>
      </c>
      <c r="J2260" t="str">
        <f t="shared" ca="1" si="215"/>
        <v/>
      </c>
    </row>
    <row r="2261" spans="1:10" ht="18.75" x14ac:dyDescent="0.25">
      <c r="A2261" s="11" t="s">
        <v>2931</v>
      </c>
      <c r="B2261">
        <f>IFERROR(COUNTIFS($A$1:A2261,"Câu "&amp;"*")-MID(A2261,5,FIND(".",A2261,1)-5),0)</f>
        <v>0</v>
      </c>
      <c r="C2261" t="b">
        <v>0</v>
      </c>
      <c r="E2261" t="str">
        <f t="shared" si="210"/>
        <v>2</v>
      </c>
      <c r="F2261" t="str">
        <f t="shared" si="211"/>
        <v>3</v>
      </c>
      <c r="G2261" t="str">
        <f t="shared" si="212"/>
        <v>4</v>
      </c>
      <c r="H2261" t="str">
        <f t="shared" si="213"/>
        <v/>
      </c>
      <c r="I2261" t="str">
        <f t="shared" si="214"/>
        <v>1</v>
      </c>
      <c r="J2261" t="str">
        <f t="shared" ca="1" si="215"/>
        <v/>
      </c>
    </row>
    <row r="2262" spans="1:10" ht="18.75" x14ac:dyDescent="0.25">
      <c r="A2262" s="11" t="s">
        <v>2932</v>
      </c>
      <c r="B2262">
        <f>IFERROR(COUNTIFS($A$1:A2262,"Câu "&amp;"*")-MID(A2262,5,FIND(".",A2262,1)-5),0)</f>
        <v>0</v>
      </c>
      <c r="C2262" t="b">
        <v>1</v>
      </c>
      <c r="E2262" t="str">
        <f t="shared" si="210"/>
        <v>3</v>
      </c>
      <c r="F2262" t="str">
        <f t="shared" si="211"/>
        <v>4</v>
      </c>
      <c r="G2262" t="str">
        <f t="shared" si="212"/>
        <v>Câu 549.</v>
      </c>
      <c r="H2262" t="str">
        <f t="shared" si="213"/>
        <v>1</v>
      </c>
      <c r="I2262" t="str">
        <f t="shared" si="214"/>
        <v>2</v>
      </c>
      <c r="J2262" t="str">
        <f t="shared" ca="1" si="215"/>
        <v/>
      </c>
    </row>
    <row r="2263" spans="1:10" ht="18.75" x14ac:dyDescent="0.25">
      <c r="A2263" s="11" t="s">
        <v>2933</v>
      </c>
      <c r="B2263">
        <f>IFERROR(COUNTIFS($A$1:A2263,"Câu "&amp;"*")-MID(A2263,5,FIND(".",A2263,1)-5),0)</f>
        <v>0</v>
      </c>
      <c r="C2263" t="b">
        <v>0</v>
      </c>
      <c r="E2263" t="str">
        <f t="shared" si="210"/>
        <v>4</v>
      </c>
      <c r="F2263" t="str">
        <f t="shared" si="211"/>
        <v>Câu 549.</v>
      </c>
      <c r="G2263" t="str">
        <f t="shared" si="212"/>
        <v>1</v>
      </c>
      <c r="H2263" t="str">
        <f t="shared" si="213"/>
        <v>2</v>
      </c>
      <c r="I2263" t="str">
        <f t="shared" si="214"/>
        <v/>
      </c>
      <c r="J2263" t="str">
        <f t="shared" ca="1" si="215"/>
        <v/>
      </c>
    </row>
    <row r="2264" spans="1:10" ht="18.75" x14ac:dyDescent="0.25">
      <c r="A2264" s="10" t="s">
        <v>1594</v>
      </c>
      <c r="B2264">
        <f>IFERROR(COUNTIFS($A$1:A2264,"Câu "&amp;"*")-MID(A2264,5,FIND(".",A2264,1)-5),0)</f>
        <v>0</v>
      </c>
      <c r="C2264" t="b">
        <v>0</v>
      </c>
      <c r="E2264" t="str">
        <f t="shared" si="210"/>
        <v>Câu 549.</v>
      </c>
      <c r="F2264" t="str">
        <f t="shared" si="211"/>
        <v>1</v>
      </c>
      <c r="G2264" t="str">
        <f t="shared" si="212"/>
        <v>2</v>
      </c>
      <c r="H2264" t="str">
        <f t="shared" si="213"/>
        <v/>
      </c>
      <c r="I2264" t="str">
        <f t="shared" si="214"/>
        <v>1</v>
      </c>
      <c r="J2264" t="str">
        <f t="shared" ca="1" si="215"/>
        <v>2</v>
      </c>
    </row>
    <row r="2265" spans="1:10" ht="18.75" x14ac:dyDescent="0.25">
      <c r="A2265" s="11" t="s">
        <v>2934</v>
      </c>
      <c r="B2265">
        <f>IFERROR(COUNTIFS($A$1:A2265,"Câu "&amp;"*")-MID(A2265,5,FIND(".",A2265,1)-5),0)</f>
        <v>0</v>
      </c>
      <c r="C2265" t="b">
        <v>0</v>
      </c>
      <c r="E2265" t="str">
        <f t="shared" si="210"/>
        <v>1</v>
      </c>
      <c r="F2265" t="str">
        <f t="shared" si="211"/>
        <v>2</v>
      </c>
      <c r="G2265" t="str">
        <f t="shared" si="212"/>
        <v>Câu 550.</v>
      </c>
      <c r="H2265" t="str">
        <f t="shared" si="213"/>
        <v>1</v>
      </c>
      <c r="I2265" t="str">
        <f t="shared" si="214"/>
        <v>2</v>
      </c>
      <c r="J2265" t="str">
        <f t="shared" ca="1" si="215"/>
        <v/>
      </c>
    </row>
    <row r="2266" spans="1:10" ht="18.75" x14ac:dyDescent="0.25">
      <c r="A2266" s="11" t="s">
        <v>2892</v>
      </c>
      <c r="B2266">
        <f>IFERROR(COUNTIFS($A$1:A2266,"Câu "&amp;"*")-MID(A2266,5,FIND(".",A2266,1)-5),0)</f>
        <v>0</v>
      </c>
      <c r="C2266" t="b">
        <v>1</v>
      </c>
      <c r="E2266" t="str">
        <f t="shared" si="210"/>
        <v>2</v>
      </c>
      <c r="F2266" t="str">
        <f t="shared" si="211"/>
        <v>Câu 550.</v>
      </c>
      <c r="G2266" t="str">
        <f t="shared" si="212"/>
        <v>1</v>
      </c>
      <c r="H2266" t="str">
        <f t="shared" si="213"/>
        <v>2</v>
      </c>
      <c r="I2266" t="str">
        <f t="shared" si="214"/>
        <v>3</v>
      </c>
      <c r="J2266" t="str">
        <f t="shared" ca="1" si="215"/>
        <v/>
      </c>
    </row>
    <row r="2267" spans="1:10" ht="18.75" x14ac:dyDescent="0.25">
      <c r="A2267" s="10" t="s">
        <v>1596</v>
      </c>
      <c r="B2267">
        <f>IFERROR(COUNTIFS($A$1:A2267,"Câu "&amp;"*")-MID(A2267,5,FIND(".",A2267,1)-5),0)</f>
        <v>0</v>
      </c>
      <c r="C2267" t="b">
        <v>0</v>
      </c>
      <c r="E2267" t="str">
        <f t="shared" si="210"/>
        <v>Câu 550.</v>
      </c>
      <c r="F2267" t="str">
        <f t="shared" si="211"/>
        <v>1</v>
      </c>
      <c r="G2267" t="str">
        <f t="shared" si="212"/>
        <v>2</v>
      </c>
      <c r="H2267" t="str">
        <f t="shared" si="213"/>
        <v>3</v>
      </c>
      <c r="I2267" t="str">
        <f t="shared" si="214"/>
        <v/>
      </c>
      <c r="J2267" t="str">
        <f t="shared" ca="1" si="215"/>
        <v>1</v>
      </c>
    </row>
    <row r="2268" spans="1:10" ht="18.75" x14ac:dyDescent="0.25">
      <c r="A2268" s="11" t="s">
        <v>2935</v>
      </c>
      <c r="B2268">
        <f>IFERROR(COUNTIFS($A$1:A2268,"Câu "&amp;"*")-MID(A2268,5,FIND(".",A2268,1)-5),0)</f>
        <v>0</v>
      </c>
      <c r="C2268" t="b">
        <v>1</v>
      </c>
      <c r="E2268" t="str">
        <f t="shared" si="210"/>
        <v>1</v>
      </c>
      <c r="F2268" t="str">
        <f t="shared" si="211"/>
        <v>2</v>
      </c>
      <c r="G2268" t="str">
        <f t="shared" si="212"/>
        <v>3</v>
      </c>
      <c r="H2268" t="str">
        <f t="shared" si="213"/>
        <v/>
      </c>
      <c r="I2268" t="str">
        <f t="shared" si="214"/>
        <v>1</v>
      </c>
      <c r="J2268" t="str">
        <f t="shared" ca="1" si="215"/>
        <v/>
      </c>
    </row>
    <row r="2269" spans="1:10" ht="18.75" x14ac:dyDescent="0.25">
      <c r="A2269" s="11" t="s">
        <v>2936</v>
      </c>
      <c r="B2269">
        <f>IFERROR(COUNTIFS($A$1:A2269,"Câu "&amp;"*")-MID(A2269,5,FIND(".",A2269,1)-5),0)</f>
        <v>0</v>
      </c>
      <c r="C2269" t="b">
        <v>0</v>
      </c>
      <c r="E2269" t="str">
        <f t="shared" si="210"/>
        <v>2</v>
      </c>
      <c r="F2269" t="str">
        <f t="shared" si="211"/>
        <v>3</v>
      </c>
      <c r="G2269" t="str">
        <f t="shared" si="212"/>
        <v>Câu 551.</v>
      </c>
      <c r="H2269" t="str">
        <f t="shared" si="213"/>
        <v>1</v>
      </c>
      <c r="I2269" t="str">
        <f t="shared" si="214"/>
        <v>2</v>
      </c>
      <c r="J2269" t="str">
        <f t="shared" ca="1" si="215"/>
        <v/>
      </c>
    </row>
    <row r="2270" spans="1:10" ht="18.75" x14ac:dyDescent="0.25">
      <c r="A2270" s="11" t="s">
        <v>2937</v>
      </c>
      <c r="B2270">
        <f>IFERROR(COUNTIFS($A$1:A2270,"Câu "&amp;"*")-MID(A2270,5,FIND(".",A2270,1)-5),0)</f>
        <v>0</v>
      </c>
      <c r="C2270" t="b">
        <v>0</v>
      </c>
      <c r="E2270" t="str">
        <f t="shared" si="210"/>
        <v>3</v>
      </c>
      <c r="F2270" t="str">
        <f t="shared" si="211"/>
        <v>Câu 551.</v>
      </c>
      <c r="G2270" t="str">
        <f t="shared" si="212"/>
        <v>1</v>
      </c>
      <c r="H2270" t="str">
        <f t="shared" si="213"/>
        <v>2</v>
      </c>
      <c r="I2270" t="str">
        <f t="shared" si="214"/>
        <v>3</v>
      </c>
      <c r="J2270" t="str">
        <f t="shared" ca="1" si="215"/>
        <v/>
      </c>
    </row>
    <row r="2271" spans="1:10" ht="18.75" x14ac:dyDescent="0.25">
      <c r="A2271" s="10" t="s">
        <v>1600</v>
      </c>
      <c r="B2271">
        <f>IFERROR(COUNTIFS($A$1:A2271,"Câu "&amp;"*")-MID(A2271,5,FIND(".",A2271,1)-5),0)</f>
        <v>0</v>
      </c>
      <c r="C2271" t="b">
        <v>0</v>
      </c>
      <c r="E2271" t="str">
        <f t="shared" si="210"/>
        <v>Câu 551.</v>
      </c>
      <c r="F2271" t="str">
        <f t="shared" si="211"/>
        <v>1</v>
      </c>
      <c r="G2271" t="str">
        <f t="shared" si="212"/>
        <v>2</v>
      </c>
      <c r="H2271" t="str">
        <f t="shared" si="213"/>
        <v>3</v>
      </c>
      <c r="I2271" t="str">
        <f t="shared" si="214"/>
        <v>4</v>
      </c>
      <c r="J2271" t="str">
        <f t="shared" ca="1" si="215"/>
        <v>3</v>
      </c>
    </row>
    <row r="2272" spans="1:10" ht="18.75" x14ac:dyDescent="0.25">
      <c r="A2272" s="11" t="s">
        <v>2938</v>
      </c>
      <c r="B2272">
        <f>IFERROR(COUNTIFS($A$1:A2272,"Câu "&amp;"*")-MID(A2272,5,FIND(".",A2272,1)-5),0)</f>
        <v>0</v>
      </c>
      <c r="C2272" t="b">
        <v>0</v>
      </c>
      <c r="E2272" t="str">
        <f t="shared" si="210"/>
        <v>1</v>
      </c>
      <c r="F2272" t="str">
        <f t="shared" si="211"/>
        <v>2</v>
      </c>
      <c r="G2272" t="str">
        <f t="shared" si="212"/>
        <v>3</v>
      </c>
      <c r="H2272" t="str">
        <f t="shared" si="213"/>
        <v>4</v>
      </c>
      <c r="I2272" t="str">
        <f t="shared" si="214"/>
        <v/>
      </c>
      <c r="J2272" t="str">
        <f t="shared" ca="1" si="215"/>
        <v/>
      </c>
    </row>
    <row r="2273" spans="1:10" ht="18.75" x14ac:dyDescent="0.25">
      <c r="A2273" s="11" t="s">
        <v>2939</v>
      </c>
      <c r="B2273">
        <f>IFERROR(COUNTIFS($A$1:A2273,"Câu "&amp;"*")-MID(A2273,5,FIND(".",A2273,1)-5),0)</f>
        <v>0</v>
      </c>
      <c r="C2273" t="b">
        <v>0</v>
      </c>
      <c r="E2273" t="str">
        <f t="shared" si="210"/>
        <v>2</v>
      </c>
      <c r="F2273" t="str">
        <f t="shared" si="211"/>
        <v>3</v>
      </c>
      <c r="G2273" t="str">
        <f t="shared" si="212"/>
        <v>4</v>
      </c>
      <c r="H2273" t="str">
        <f t="shared" si="213"/>
        <v/>
      </c>
      <c r="I2273" t="str">
        <f t="shared" si="214"/>
        <v>1</v>
      </c>
      <c r="J2273" t="str">
        <f t="shared" ca="1" si="215"/>
        <v/>
      </c>
    </row>
    <row r="2274" spans="1:10" ht="18.75" x14ac:dyDescent="0.25">
      <c r="A2274" s="11" t="s">
        <v>2940</v>
      </c>
      <c r="B2274">
        <f>IFERROR(COUNTIFS($A$1:A2274,"Câu "&amp;"*")-MID(A2274,5,FIND(".",A2274,1)-5),0)</f>
        <v>0</v>
      </c>
      <c r="C2274" t="b">
        <v>1</v>
      </c>
      <c r="E2274" t="str">
        <f t="shared" si="210"/>
        <v>3</v>
      </c>
      <c r="F2274" t="str">
        <f t="shared" si="211"/>
        <v>4</v>
      </c>
      <c r="G2274" t="str">
        <f t="shared" si="212"/>
        <v>Câu 552.</v>
      </c>
      <c r="H2274" t="str">
        <f t="shared" si="213"/>
        <v>1</v>
      </c>
      <c r="I2274" t="str">
        <f t="shared" si="214"/>
        <v>2</v>
      </c>
      <c r="J2274" t="str">
        <f t="shared" ca="1" si="215"/>
        <v/>
      </c>
    </row>
    <row r="2275" spans="1:10" ht="18.75" x14ac:dyDescent="0.25">
      <c r="A2275" s="11" t="s">
        <v>2941</v>
      </c>
      <c r="B2275">
        <f>IFERROR(COUNTIFS($A$1:A2275,"Câu "&amp;"*")-MID(A2275,5,FIND(".",A2275,1)-5),0)</f>
        <v>0</v>
      </c>
      <c r="C2275" t="b">
        <v>0</v>
      </c>
      <c r="E2275" t="str">
        <f t="shared" si="210"/>
        <v>4</v>
      </c>
      <c r="F2275" t="str">
        <f t="shared" si="211"/>
        <v>Câu 552.</v>
      </c>
      <c r="G2275" t="str">
        <f t="shared" si="212"/>
        <v>1</v>
      </c>
      <c r="H2275" t="str">
        <f t="shared" si="213"/>
        <v>2</v>
      </c>
      <c r="I2275" t="str">
        <f t="shared" si="214"/>
        <v>3</v>
      </c>
      <c r="J2275" t="str">
        <f t="shared" ca="1" si="215"/>
        <v/>
      </c>
    </row>
    <row r="2276" spans="1:10" ht="18.75" x14ac:dyDescent="0.25">
      <c r="A2276" s="10" t="s">
        <v>1769</v>
      </c>
      <c r="B2276">
        <f>IFERROR(COUNTIFS($A$1:A2276,"Câu "&amp;"*")-MID(A2276,5,FIND(".",A2276,1)-5),0)</f>
        <v>0</v>
      </c>
      <c r="C2276" t="b">
        <v>0</v>
      </c>
      <c r="E2276" t="str">
        <f t="shared" si="210"/>
        <v>Câu 552.</v>
      </c>
      <c r="F2276" t="str">
        <f t="shared" si="211"/>
        <v>1</v>
      </c>
      <c r="G2276" t="str">
        <f t="shared" si="212"/>
        <v>2</v>
      </c>
      <c r="H2276" t="str">
        <f t="shared" si="213"/>
        <v>3</v>
      </c>
      <c r="I2276" t="str">
        <f t="shared" si="214"/>
        <v/>
      </c>
      <c r="J2276" t="str">
        <f t="shared" ca="1" si="215"/>
        <v>2</v>
      </c>
    </row>
    <row r="2277" spans="1:10" ht="18.75" x14ac:dyDescent="0.25">
      <c r="A2277" s="11" t="s">
        <v>2942</v>
      </c>
      <c r="B2277">
        <f>IFERROR(COUNTIFS($A$1:A2277,"Câu "&amp;"*")-MID(A2277,5,FIND(".",A2277,1)-5),0)</f>
        <v>0</v>
      </c>
      <c r="C2277" t="b">
        <v>0</v>
      </c>
      <c r="E2277" t="str">
        <f t="shared" si="210"/>
        <v>1</v>
      </c>
      <c r="F2277" t="str">
        <f t="shared" si="211"/>
        <v>2</v>
      </c>
      <c r="G2277" t="str">
        <f t="shared" si="212"/>
        <v>3</v>
      </c>
      <c r="H2277" t="str">
        <f t="shared" si="213"/>
        <v/>
      </c>
      <c r="I2277" t="str">
        <f t="shared" si="214"/>
        <v>1</v>
      </c>
      <c r="J2277" t="str">
        <f t="shared" ca="1" si="215"/>
        <v/>
      </c>
    </row>
    <row r="2278" spans="1:10" ht="18.75" x14ac:dyDescent="0.25">
      <c r="A2278" s="11" t="s">
        <v>2943</v>
      </c>
      <c r="B2278">
        <f>IFERROR(COUNTIFS($A$1:A2278,"Câu "&amp;"*")-MID(A2278,5,FIND(".",A2278,1)-5),0)</f>
        <v>0</v>
      </c>
      <c r="C2278" t="b">
        <v>1</v>
      </c>
      <c r="E2278" t="str">
        <f t="shared" si="210"/>
        <v>2</v>
      </c>
      <c r="F2278" t="str">
        <f t="shared" si="211"/>
        <v>3</v>
      </c>
      <c r="G2278" t="str">
        <f t="shared" si="212"/>
        <v>Câu 553.</v>
      </c>
      <c r="H2278" t="str">
        <f t="shared" si="213"/>
        <v>1</v>
      </c>
      <c r="I2278" t="str">
        <f t="shared" si="214"/>
        <v>2</v>
      </c>
      <c r="J2278" t="str">
        <f t="shared" ca="1" si="215"/>
        <v/>
      </c>
    </row>
    <row r="2279" spans="1:10" ht="18.75" x14ac:dyDescent="0.25">
      <c r="A2279" s="11" t="s">
        <v>2944</v>
      </c>
      <c r="B2279">
        <f>IFERROR(COUNTIFS($A$1:A2279,"Câu "&amp;"*")-MID(A2279,5,FIND(".",A2279,1)-5),0)</f>
        <v>0</v>
      </c>
      <c r="C2279" t="b">
        <v>0</v>
      </c>
      <c r="E2279" t="str">
        <f t="shared" si="210"/>
        <v>3</v>
      </c>
      <c r="F2279" t="str">
        <f t="shared" si="211"/>
        <v>Câu 553.</v>
      </c>
      <c r="G2279" t="str">
        <f t="shared" si="212"/>
        <v>1</v>
      </c>
      <c r="H2279" t="str">
        <f t="shared" si="213"/>
        <v>2</v>
      </c>
      <c r="I2279" t="str">
        <f t="shared" si="214"/>
        <v>3</v>
      </c>
      <c r="J2279" t="str">
        <f t="shared" ca="1" si="215"/>
        <v/>
      </c>
    </row>
    <row r="2280" spans="1:10" ht="18.75" x14ac:dyDescent="0.25">
      <c r="A2280" s="10" t="s">
        <v>1608</v>
      </c>
      <c r="B2280">
        <f>IFERROR(COUNTIFS($A$1:A2280,"Câu "&amp;"*")-MID(A2280,5,FIND(".",A2280,1)-5),0)</f>
        <v>0</v>
      </c>
      <c r="C2280" t="b">
        <v>0</v>
      </c>
      <c r="E2280" t="str">
        <f t="shared" si="210"/>
        <v>Câu 553.</v>
      </c>
      <c r="F2280" t="str">
        <f t="shared" si="211"/>
        <v>1</v>
      </c>
      <c r="G2280" t="str">
        <f t="shared" si="212"/>
        <v>2</v>
      </c>
      <c r="H2280" t="str">
        <f t="shared" si="213"/>
        <v>3</v>
      </c>
      <c r="I2280" t="str">
        <f t="shared" si="214"/>
        <v/>
      </c>
      <c r="J2280" t="str">
        <f t="shared" ca="1" si="215"/>
        <v>3</v>
      </c>
    </row>
    <row r="2281" spans="1:10" ht="18.75" x14ac:dyDescent="0.25">
      <c r="A2281" s="11" t="s">
        <v>2803</v>
      </c>
      <c r="B2281">
        <f>IFERROR(COUNTIFS($A$1:A2281,"Câu "&amp;"*")-MID(A2281,5,FIND(".",A2281,1)-5),0)</f>
        <v>0</v>
      </c>
      <c r="C2281" t="b">
        <v>0</v>
      </c>
      <c r="E2281" t="str">
        <f t="shared" si="210"/>
        <v>1</v>
      </c>
      <c r="F2281" t="str">
        <f t="shared" si="211"/>
        <v>2</v>
      </c>
      <c r="G2281" t="str">
        <f t="shared" si="212"/>
        <v>3</v>
      </c>
      <c r="H2281" t="str">
        <f t="shared" si="213"/>
        <v/>
      </c>
      <c r="I2281" t="str">
        <f t="shared" si="214"/>
        <v>1</v>
      </c>
      <c r="J2281" t="str">
        <f t="shared" ca="1" si="215"/>
        <v/>
      </c>
    </row>
    <row r="2282" spans="1:10" ht="18.75" x14ac:dyDescent="0.25">
      <c r="A2282" s="11" t="s">
        <v>2769</v>
      </c>
      <c r="B2282">
        <f>IFERROR(COUNTIFS($A$1:A2282,"Câu "&amp;"*")-MID(A2282,5,FIND(".",A2282,1)-5),0)</f>
        <v>0</v>
      </c>
      <c r="C2282" t="b">
        <v>0</v>
      </c>
      <c r="E2282" t="str">
        <f t="shared" si="210"/>
        <v>2</v>
      </c>
      <c r="F2282" t="str">
        <f t="shared" si="211"/>
        <v>3</v>
      </c>
      <c r="G2282" t="str">
        <f t="shared" si="212"/>
        <v>Câu 554.</v>
      </c>
      <c r="H2282" t="str">
        <f t="shared" si="213"/>
        <v>1</v>
      </c>
      <c r="I2282" t="str">
        <f t="shared" si="214"/>
        <v>2</v>
      </c>
      <c r="J2282" t="str">
        <f t="shared" ca="1" si="215"/>
        <v/>
      </c>
    </row>
    <row r="2283" spans="1:10" ht="18.75" x14ac:dyDescent="0.25">
      <c r="A2283" s="11" t="s">
        <v>2945</v>
      </c>
      <c r="B2283">
        <f>IFERROR(COUNTIFS($A$1:A2283,"Câu "&amp;"*")-MID(A2283,5,FIND(".",A2283,1)-5),0)</f>
        <v>0</v>
      </c>
      <c r="C2283" t="b">
        <v>1</v>
      </c>
      <c r="E2283" t="str">
        <f t="shared" si="210"/>
        <v>3</v>
      </c>
      <c r="F2283" t="str">
        <f t="shared" si="211"/>
        <v>Câu 554.</v>
      </c>
      <c r="G2283" t="str">
        <f t="shared" si="212"/>
        <v>1</v>
      </c>
      <c r="H2283" t="str">
        <f t="shared" si="213"/>
        <v>2</v>
      </c>
      <c r="I2283" t="str">
        <f t="shared" si="214"/>
        <v>3</v>
      </c>
      <c r="J2283" t="str">
        <f t="shared" ca="1" si="215"/>
        <v/>
      </c>
    </row>
    <row r="2284" spans="1:10" ht="18.75" x14ac:dyDescent="0.25">
      <c r="A2284" s="10" t="s">
        <v>1770</v>
      </c>
      <c r="B2284">
        <f>IFERROR(COUNTIFS($A$1:A2284,"Câu "&amp;"*")-MID(A2284,5,FIND(".",A2284,1)-5),0)</f>
        <v>0</v>
      </c>
      <c r="C2284" t="b">
        <v>0</v>
      </c>
      <c r="E2284" t="str">
        <f t="shared" si="210"/>
        <v>Câu 554.</v>
      </c>
      <c r="F2284" t="str">
        <f t="shared" si="211"/>
        <v>1</v>
      </c>
      <c r="G2284" t="str">
        <f t="shared" si="212"/>
        <v>2</v>
      </c>
      <c r="H2284" t="str">
        <f t="shared" si="213"/>
        <v>3</v>
      </c>
      <c r="I2284" t="str">
        <f t="shared" si="214"/>
        <v/>
      </c>
      <c r="J2284" t="str">
        <f t="shared" ca="1" si="215"/>
        <v>2</v>
      </c>
    </row>
    <row r="2285" spans="1:10" ht="18.75" x14ac:dyDescent="0.25">
      <c r="A2285" s="11" t="s">
        <v>2946</v>
      </c>
      <c r="B2285">
        <f>IFERROR(COUNTIFS($A$1:A2285,"Câu "&amp;"*")-MID(A2285,5,FIND(".",A2285,1)-5),0)</f>
        <v>0</v>
      </c>
      <c r="C2285" t="b">
        <v>0</v>
      </c>
      <c r="E2285" t="str">
        <f t="shared" si="210"/>
        <v>1</v>
      </c>
      <c r="F2285" t="str">
        <f t="shared" si="211"/>
        <v>2</v>
      </c>
      <c r="G2285" t="str">
        <f t="shared" si="212"/>
        <v>3</v>
      </c>
      <c r="H2285" t="str">
        <f t="shared" si="213"/>
        <v/>
      </c>
      <c r="I2285" t="str">
        <f t="shared" si="214"/>
        <v>1</v>
      </c>
      <c r="J2285" t="str">
        <f t="shared" ca="1" si="215"/>
        <v/>
      </c>
    </row>
    <row r="2286" spans="1:10" ht="18.75" x14ac:dyDescent="0.25">
      <c r="A2286" s="11" t="s">
        <v>2947</v>
      </c>
      <c r="B2286">
        <f>IFERROR(COUNTIFS($A$1:A2286,"Câu "&amp;"*")-MID(A2286,5,FIND(".",A2286,1)-5),0)</f>
        <v>0</v>
      </c>
      <c r="C2286" t="b">
        <v>1</v>
      </c>
      <c r="E2286" t="str">
        <f t="shared" si="210"/>
        <v>2</v>
      </c>
      <c r="F2286" t="str">
        <f t="shared" si="211"/>
        <v>3</v>
      </c>
      <c r="G2286" t="str">
        <f t="shared" si="212"/>
        <v>Câu 555.</v>
      </c>
      <c r="H2286" t="str">
        <f t="shared" si="213"/>
        <v>1</v>
      </c>
      <c r="I2286" t="str">
        <f t="shared" si="214"/>
        <v>2</v>
      </c>
      <c r="J2286" t="str">
        <f t="shared" ca="1" si="215"/>
        <v/>
      </c>
    </row>
    <row r="2287" spans="1:10" ht="18.75" x14ac:dyDescent="0.25">
      <c r="A2287" s="11" t="s">
        <v>2948</v>
      </c>
      <c r="B2287">
        <f>IFERROR(COUNTIFS($A$1:A2287,"Câu "&amp;"*")-MID(A2287,5,FIND(".",A2287,1)-5),0)</f>
        <v>0</v>
      </c>
      <c r="C2287" t="b">
        <v>0</v>
      </c>
      <c r="E2287" t="str">
        <f t="shared" si="210"/>
        <v>3</v>
      </c>
      <c r="F2287" t="str">
        <f t="shared" si="211"/>
        <v>Câu 555.</v>
      </c>
      <c r="G2287" t="str">
        <f t="shared" si="212"/>
        <v>1</v>
      </c>
      <c r="H2287" t="str">
        <f t="shared" si="213"/>
        <v>2</v>
      </c>
      <c r="I2287" t="str">
        <f t="shared" si="214"/>
        <v/>
      </c>
      <c r="J2287" t="str">
        <f t="shared" ca="1" si="215"/>
        <v/>
      </c>
    </row>
    <row r="2288" spans="1:10" ht="18.75" x14ac:dyDescent="0.25">
      <c r="A2288" s="10" t="s">
        <v>1612</v>
      </c>
      <c r="B2288">
        <f>IFERROR(COUNTIFS($A$1:A2288,"Câu "&amp;"*")-MID(A2288,5,FIND(".",A2288,1)-5),0)</f>
        <v>0</v>
      </c>
      <c r="C2288" t="b">
        <v>0</v>
      </c>
      <c r="E2288" t="str">
        <f t="shared" si="210"/>
        <v>Câu 555.</v>
      </c>
      <c r="F2288" t="str">
        <f t="shared" si="211"/>
        <v>1</v>
      </c>
      <c r="G2288" t="str">
        <f t="shared" si="212"/>
        <v>2</v>
      </c>
      <c r="H2288" t="str">
        <f t="shared" si="213"/>
        <v/>
      </c>
      <c r="I2288" t="str">
        <f t="shared" si="214"/>
        <v>1</v>
      </c>
      <c r="J2288" t="str">
        <f t="shared" ca="1" si="215"/>
        <v>2</v>
      </c>
    </row>
    <row r="2289" spans="1:10" ht="18.75" x14ac:dyDescent="0.25">
      <c r="A2289" s="11" t="s">
        <v>2949</v>
      </c>
      <c r="B2289">
        <f>IFERROR(COUNTIFS($A$1:A2289,"Câu "&amp;"*")-MID(A2289,5,FIND(".",A2289,1)-5),0)</f>
        <v>0</v>
      </c>
      <c r="C2289" t="b">
        <v>0</v>
      </c>
      <c r="E2289" t="str">
        <f t="shared" si="210"/>
        <v>1</v>
      </c>
      <c r="F2289" t="str">
        <f t="shared" si="211"/>
        <v>2</v>
      </c>
      <c r="G2289" t="str">
        <f t="shared" si="212"/>
        <v>Câu 556.</v>
      </c>
      <c r="H2289" t="str">
        <f t="shared" si="213"/>
        <v>1</v>
      </c>
      <c r="I2289" t="str">
        <f t="shared" si="214"/>
        <v>2</v>
      </c>
      <c r="J2289" t="str">
        <f t="shared" ca="1" si="215"/>
        <v/>
      </c>
    </row>
    <row r="2290" spans="1:10" ht="18.75" x14ac:dyDescent="0.25">
      <c r="A2290" s="11" t="s">
        <v>2950</v>
      </c>
      <c r="B2290">
        <f>IFERROR(COUNTIFS($A$1:A2290,"Câu "&amp;"*")-MID(A2290,5,FIND(".",A2290,1)-5),0)</f>
        <v>0</v>
      </c>
      <c r="C2290" t="b">
        <v>1</v>
      </c>
      <c r="E2290" t="str">
        <f t="shared" si="210"/>
        <v>2</v>
      </c>
      <c r="F2290" t="str">
        <f t="shared" si="211"/>
        <v>Câu 556.</v>
      </c>
      <c r="G2290" t="str">
        <f t="shared" si="212"/>
        <v>1</v>
      </c>
      <c r="H2290" t="str">
        <f t="shared" si="213"/>
        <v>2</v>
      </c>
      <c r="I2290" t="str">
        <f t="shared" si="214"/>
        <v/>
      </c>
      <c r="J2290" t="str">
        <f t="shared" ca="1" si="215"/>
        <v/>
      </c>
    </row>
    <row r="2291" spans="1:10" ht="18.75" x14ac:dyDescent="0.25">
      <c r="A2291" s="10" t="s">
        <v>1771</v>
      </c>
      <c r="B2291">
        <f>IFERROR(COUNTIFS($A$1:A2291,"Câu "&amp;"*")-MID(A2291,5,FIND(".",A2291,1)-5),0)</f>
        <v>0</v>
      </c>
      <c r="C2291" t="b">
        <v>0</v>
      </c>
      <c r="E2291" t="str">
        <f t="shared" si="210"/>
        <v>Câu 556.</v>
      </c>
      <c r="F2291" t="str">
        <f t="shared" si="211"/>
        <v>1</v>
      </c>
      <c r="G2291" t="str">
        <f t="shared" si="212"/>
        <v>2</v>
      </c>
      <c r="H2291" t="str">
        <f t="shared" si="213"/>
        <v/>
      </c>
      <c r="I2291" t="str">
        <f t="shared" si="214"/>
        <v>1</v>
      </c>
      <c r="J2291" t="str">
        <f t="shared" ca="1" si="215"/>
        <v>2</v>
      </c>
    </row>
    <row r="2292" spans="1:10" ht="18.75" x14ac:dyDescent="0.25">
      <c r="A2292" s="11" t="s">
        <v>2951</v>
      </c>
      <c r="B2292">
        <f>IFERROR(COUNTIFS($A$1:A2292,"Câu "&amp;"*")-MID(A2292,5,FIND(".",A2292,1)-5),0)</f>
        <v>0</v>
      </c>
      <c r="C2292" t="b">
        <v>0</v>
      </c>
      <c r="E2292" t="str">
        <f t="shared" si="210"/>
        <v>1</v>
      </c>
      <c r="F2292" t="str">
        <f t="shared" si="211"/>
        <v>2</v>
      </c>
      <c r="G2292" t="str">
        <f t="shared" si="212"/>
        <v>Câu 557.</v>
      </c>
      <c r="H2292" t="str">
        <f t="shared" si="213"/>
        <v>1</v>
      </c>
      <c r="I2292" t="str">
        <f t="shared" si="214"/>
        <v>2</v>
      </c>
      <c r="J2292" t="str">
        <f t="shared" ca="1" si="215"/>
        <v/>
      </c>
    </row>
    <row r="2293" spans="1:10" ht="18.75" x14ac:dyDescent="0.25">
      <c r="A2293" s="11" t="s">
        <v>2952</v>
      </c>
      <c r="B2293">
        <f>IFERROR(COUNTIFS($A$1:A2293,"Câu "&amp;"*")-MID(A2293,5,FIND(".",A2293,1)-5),0)</f>
        <v>0</v>
      </c>
      <c r="C2293" t="b">
        <v>1</v>
      </c>
      <c r="E2293" t="str">
        <f t="shared" si="210"/>
        <v>2</v>
      </c>
      <c r="F2293" t="str">
        <f t="shared" si="211"/>
        <v>Câu 557.</v>
      </c>
      <c r="G2293" t="str">
        <f t="shared" si="212"/>
        <v>1</v>
      </c>
      <c r="H2293" t="str">
        <f t="shared" si="213"/>
        <v>2</v>
      </c>
      <c r="I2293" t="str">
        <f t="shared" si="214"/>
        <v>3</v>
      </c>
      <c r="J2293" t="str">
        <f t="shared" ca="1" si="215"/>
        <v/>
      </c>
    </row>
    <row r="2294" spans="1:10" ht="18.75" x14ac:dyDescent="0.25">
      <c r="A2294" s="10" t="s">
        <v>1616</v>
      </c>
      <c r="B2294">
        <f>IFERROR(COUNTIFS($A$1:A2294,"Câu "&amp;"*")-MID(A2294,5,FIND(".",A2294,1)-5),0)</f>
        <v>0</v>
      </c>
      <c r="C2294" t="b">
        <v>0</v>
      </c>
      <c r="E2294" t="str">
        <f t="shared" si="210"/>
        <v>Câu 557.</v>
      </c>
      <c r="F2294" t="str">
        <f t="shared" si="211"/>
        <v>1</v>
      </c>
      <c r="G2294" t="str">
        <f t="shared" si="212"/>
        <v>2</v>
      </c>
      <c r="H2294" t="str">
        <f t="shared" si="213"/>
        <v>3</v>
      </c>
      <c r="I2294" t="str">
        <f t="shared" si="214"/>
        <v>4</v>
      </c>
      <c r="J2294" t="str">
        <f t="shared" ca="1" si="215"/>
        <v>3</v>
      </c>
    </row>
    <row r="2295" spans="1:10" ht="18.75" x14ac:dyDescent="0.25">
      <c r="A2295" s="11" t="s">
        <v>2953</v>
      </c>
      <c r="B2295">
        <f>IFERROR(COUNTIFS($A$1:A2295,"Câu "&amp;"*")-MID(A2295,5,FIND(".",A2295,1)-5),0)</f>
        <v>0</v>
      </c>
      <c r="C2295" t="b">
        <v>0</v>
      </c>
      <c r="E2295" t="str">
        <f t="shared" si="210"/>
        <v>1</v>
      </c>
      <c r="F2295" t="str">
        <f t="shared" si="211"/>
        <v>2</v>
      </c>
      <c r="G2295" t="str">
        <f t="shared" si="212"/>
        <v>3</v>
      </c>
      <c r="H2295" t="str">
        <f t="shared" si="213"/>
        <v>4</v>
      </c>
      <c r="I2295" t="str">
        <f t="shared" si="214"/>
        <v/>
      </c>
      <c r="J2295" t="str">
        <f t="shared" ca="1" si="215"/>
        <v/>
      </c>
    </row>
    <row r="2296" spans="1:10" ht="18.75" x14ac:dyDescent="0.25">
      <c r="A2296" s="11" t="s">
        <v>2954</v>
      </c>
      <c r="B2296">
        <f>IFERROR(COUNTIFS($A$1:A2296,"Câu "&amp;"*")-MID(A2296,5,FIND(".",A2296,1)-5),0)</f>
        <v>0</v>
      </c>
      <c r="C2296" t="b">
        <v>0</v>
      </c>
      <c r="E2296" t="str">
        <f t="shared" si="210"/>
        <v>2</v>
      </c>
      <c r="F2296" t="str">
        <f t="shared" si="211"/>
        <v>3</v>
      </c>
      <c r="G2296" t="str">
        <f t="shared" si="212"/>
        <v>4</v>
      </c>
      <c r="H2296" t="str">
        <f t="shared" si="213"/>
        <v/>
      </c>
      <c r="I2296" t="str">
        <f t="shared" si="214"/>
        <v>1</v>
      </c>
      <c r="J2296" t="str">
        <f t="shared" ca="1" si="215"/>
        <v/>
      </c>
    </row>
    <row r="2297" spans="1:10" ht="18.75" x14ac:dyDescent="0.25">
      <c r="A2297" s="11" t="s">
        <v>2955</v>
      </c>
      <c r="B2297">
        <f>IFERROR(COUNTIFS($A$1:A2297,"Câu "&amp;"*")-MID(A2297,5,FIND(".",A2297,1)-5),0)</f>
        <v>0</v>
      </c>
      <c r="C2297" t="b">
        <v>1</v>
      </c>
      <c r="E2297" t="str">
        <f t="shared" si="210"/>
        <v>3</v>
      </c>
      <c r="F2297" t="str">
        <f t="shared" si="211"/>
        <v>4</v>
      </c>
      <c r="G2297" t="str">
        <f t="shared" si="212"/>
        <v>Câu 558.</v>
      </c>
      <c r="H2297" t="str">
        <f t="shared" si="213"/>
        <v>1</v>
      </c>
      <c r="I2297" t="str">
        <f t="shared" si="214"/>
        <v>2</v>
      </c>
      <c r="J2297" t="str">
        <f t="shared" ca="1" si="215"/>
        <v/>
      </c>
    </row>
    <row r="2298" spans="1:10" ht="18.75" x14ac:dyDescent="0.25">
      <c r="A2298" s="11" t="s">
        <v>2956</v>
      </c>
      <c r="B2298">
        <f>IFERROR(COUNTIFS($A$1:A2298,"Câu "&amp;"*")-MID(A2298,5,FIND(".",A2298,1)-5),0)</f>
        <v>0</v>
      </c>
      <c r="C2298" t="b">
        <v>0</v>
      </c>
      <c r="E2298" t="str">
        <f t="shared" si="210"/>
        <v>4</v>
      </c>
      <c r="F2298" t="str">
        <f t="shared" si="211"/>
        <v>Câu 558.</v>
      </c>
      <c r="G2298" t="str">
        <f t="shared" si="212"/>
        <v>1</v>
      </c>
      <c r="H2298" t="str">
        <f t="shared" si="213"/>
        <v>2</v>
      </c>
      <c r="I2298" t="str">
        <f t="shared" si="214"/>
        <v>3</v>
      </c>
      <c r="J2298" t="str">
        <f t="shared" ca="1" si="215"/>
        <v/>
      </c>
    </row>
    <row r="2299" spans="1:10" ht="18.75" x14ac:dyDescent="0.25">
      <c r="A2299" s="10" t="s">
        <v>1772</v>
      </c>
      <c r="B2299">
        <f>IFERROR(COUNTIFS($A$1:A2299,"Câu "&amp;"*")-MID(A2299,5,FIND(".",A2299,1)-5),0)</f>
        <v>0</v>
      </c>
      <c r="C2299" t="b">
        <v>0</v>
      </c>
      <c r="E2299" t="str">
        <f t="shared" si="210"/>
        <v>Câu 558.</v>
      </c>
      <c r="F2299" t="str">
        <f t="shared" si="211"/>
        <v>1</v>
      </c>
      <c r="G2299" t="str">
        <f t="shared" si="212"/>
        <v>2</v>
      </c>
      <c r="H2299" t="str">
        <f t="shared" si="213"/>
        <v>3</v>
      </c>
      <c r="I2299" t="str">
        <f t="shared" si="214"/>
        <v>4</v>
      </c>
      <c r="J2299" t="str">
        <f t="shared" ca="1" si="215"/>
        <v>4</v>
      </c>
    </row>
    <row r="2300" spans="1:10" ht="18.75" x14ac:dyDescent="0.25">
      <c r="A2300" s="11" t="s">
        <v>2957</v>
      </c>
      <c r="B2300">
        <f>IFERROR(COUNTIFS($A$1:A2300,"Câu "&amp;"*")-MID(A2300,5,FIND(".",A2300,1)-5),0)</f>
        <v>0</v>
      </c>
      <c r="C2300" t="b">
        <v>0</v>
      </c>
      <c r="E2300" t="str">
        <f t="shared" si="210"/>
        <v>1</v>
      </c>
      <c r="F2300" t="str">
        <f t="shared" si="211"/>
        <v>2</v>
      </c>
      <c r="G2300" t="str">
        <f t="shared" si="212"/>
        <v>3</v>
      </c>
      <c r="H2300" t="str">
        <f t="shared" si="213"/>
        <v>4</v>
      </c>
      <c r="I2300" t="str">
        <f t="shared" si="214"/>
        <v/>
      </c>
      <c r="J2300" t="str">
        <f t="shared" ca="1" si="215"/>
        <v/>
      </c>
    </row>
    <row r="2301" spans="1:10" ht="18.75" x14ac:dyDescent="0.25">
      <c r="A2301" s="11" t="s">
        <v>2958</v>
      </c>
      <c r="B2301">
        <f>IFERROR(COUNTIFS($A$1:A2301,"Câu "&amp;"*")-MID(A2301,5,FIND(".",A2301,1)-5),0)</f>
        <v>0</v>
      </c>
      <c r="C2301" t="b">
        <v>0</v>
      </c>
      <c r="E2301" t="str">
        <f t="shared" si="210"/>
        <v>2</v>
      </c>
      <c r="F2301" t="str">
        <f t="shared" si="211"/>
        <v>3</v>
      </c>
      <c r="G2301" t="str">
        <f t="shared" si="212"/>
        <v>4</v>
      </c>
      <c r="H2301" t="str">
        <f t="shared" si="213"/>
        <v/>
      </c>
      <c r="I2301" t="str">
        <f t="shared" si="214"/>
        <v>1</v>
      </c>
      <c r="J2301" t="str">
        <f t="shared" ca="1" si="215"/>
        <v/>
      </c>
    </row>
    <row r="2302" spans="1:10" ht="18.75" x14ac:dyDescent="0.25">
      <c r="A2302" s="11" t="s">
        <v>2959</v>
      </c>
      <c r="B2302">
        <f>IFERROR(COUNTIFS($A$1:A2302,"Câu "&amp;"*")-MID(A2302,5,FIND(".",A2302,1)-5),0)</f>
        <v>0</v>
      </c>
      <c r="C2302" t="b">
        <v>0</v>
      </c>
      <c r="E2302" t="str">
        <f t="shared" si="210"/>
        <v>3</v>
      </c>
      <c r="F2302" t="str">
        <f t="shared" si="211"/>
        <v>4</v>
      </c>
      <c r="G2302" t="str">
        <f t="shared" si="212"/>
        <v>Câu 559.</v>
      </c>
      <c r="H2302" t="str">
        <f t="shared" si="213"/>
        <v>1</v>
      </c>
      <c r="I2302" t="str">
        <f t="shared" si="214"/>
        <v>2</v>
      </c>
      <c r="J2302" t="str">
        <f t="shared" ca="1" si="215"/>
        <v/>
      </c>
    </row>
    <row r="2303" spans="1:10" ht="18.75" x14ac:dyDescent="0.25">
      <c r="A2303" s="11" t="s">
        <v>2960</v>
      </c>
      <c r="B2303">
        <f>IFERROR(COUNTIFS($A$1:A2303,"Câu "&amp;"*")-MID(A2303,5,FIND(".",A2303,1)-5),0)</f>
        <v>0</v>
      </c>
      <c r="C2303" t="b">
        <v>1</v>
      </c>
      <c r="E2303" t="str">
        <f t="shared" si="210"/>
        <v>4</v>
      </c>
      <c r="F2303" t="str">
        <f t="shared" si="211"/>
        <v>Câu 559.</v>
      </c>
      <c r="G2303" t="str">
        <f t="shared" si="212"/>
        <v>1</v>
      </c>
      <c r="H2303" t="str">
        <f t="shared" si="213"/>
        <v>2</v>
      </c>
      <c r="I2303" t="str">
        <f t="shared" si="214"/>
        <v>3</v>
      </c>
      <c r="J2303" t="str">
        <f t="shared" ca="1" si="215"/>
        <v/>
      </c>
    </row>
    <row r="2304" spans="1:10" ht="18.75" x14ac:dyDescent="0.25">
      <c r="A2304" s="10" t="s">
        <v>1625</v>
      </c>
      <c r="B2304">
        <f>IFERROR(COUNTIFS($A$1:A2304,"Câu "&amp;"*")-MID(A2304,5,FIND(".",A2304,1)-5),0)</f>
        <v>0</v>
      </c>
      <c r="C2304" t="b">
        <v>0</v>
      </c>
      <c r="E2304" t="str">
        <f t="shared" si="210"/>
        <v>Câu 559.</v>
      </c>
      <c r="F2304" t="str">
        <f t="shared" si="211"/>
        <v>1</v>
      </c>
      <c r="G2304" t="str">
        <f t="shared" si="212"/>
        <v>2</v>
      </c>
      <c r="H2304" t="str">
        <f t="shared" si="213"/>
        <v>3</v>
      </c>
      <c r="I2304" t="str">
        <f t="shared" si="214"/>
        <v>4</v>
      </c>
      <c r="J2304" t="str">
        <f t="shared" ca="1" si="215"/>
        <v>4</v>
      </c>
    </row>
    <row r="2305" spans="1:10" ht="18.75" x14ac:dyDescent="0.25">
      <c r="A2305" s="11" t="s">
        <v>2788</v>
      </c>
      <c r="B2305">
        <f>IFERROR(COUNTIFS($A$1:A2305,"Câu "&amp;"*")-MID(A2305,5,FIND(".",A2305,1)-5),0)</f>
        <v>0</v>
      </c>
      <c r="C2305" t="b">
        <v>0</v>
      </c>
      <c r="E2305" t="str">
        <f t="shared" si="210"/>
        <v>1</v>
      </c>
      <c r="F2305" t="str">
        <f t="shared" si="211"/>
        <v>2</v>
      </c>
      <c r="G2305" t="str">
        <f t="shared" si="212"/>
        <v>3</v>
      </c>
      <c r="H2305" t="str">
        <f t="shared" si="213"/>
        <v>4</v>
      </c>
      <c r="I2305" t="str">
        <f t="shared" si="214"/>
        <v/>
      </c>
      <c r="J2305" t="str">
        <f t="shared" ca="1" si="215"/>
        <v/>
      </c>
    </row>
    <row r="2306" spans="1:10" ht="18.75" x14ac:dyDescent="0.25">
      <c r="A2306" s="11" t="s">
        <v>2961</v>
      </c>
      <c r="B2306">
        <f>IFERROR(COUNTIFS($A$1:A2306,"Câu "&amp;"*")-MID(A2306,5,FIND(".",A2306,1)-5),0)</f>
        <v>0</v>
      </c>
      <c r="C2306" t="b">
        <v>0</v>
      </c>
      <c r="E2306" t="str">
        <f t="shared" si="210"/>
        <v>2</v>
      </c>
      <c r="F2306" t="str">
        <f t="shared" si="211"/>
        <v>3</v>
      </c>
      <c r="G2306" t="str">
        <f t="shared" si="212"/>
        <v>4</v>
      </c>
      <c r="H2306" t="str">
        <f t="shared" si="213"/>
        <v/>
      </c>
      <c r="I2306" t="str">
        <f t="shared" si="214"/>
        <v>1</v>
      </c>
      <c r="J2306" t="str">
        <f t="shared" ca="1" si="215"/>
        <v/>
      </c>
    </row>
    <row r="2307" spans="1:10" ht="18.75" x14ac:dyDescent="0.25">
      <c r="A2307" s="11" t="s">
        <v>2962</v>
      </c>
      <c r="B2307">
        <f>IFERROR(COUNTIFS($A$1:A2307,"Câu "&amp;"*")-MID(A2307,5,FIND(".",A2307,1)-5),0)</f>
        <v>0</v>
      </c>
      <c r="C2307" t="b">
        <v>0</v>
      </c>
      <c r="E2307" t="str">
        <f t="shared" ref="E2307:E2370" si="216">IF(LEFT(A2307,3)="Câu",LEFT(A2307,FIND(".",A2307,1)),LEFT(A2307,1))</f>
        <v>3</v>
      </c>
      <c r="F2307" t="str">
        <f t="shared" ref="F2307:F2370" si="217">IF(LEFT(A2308,3)="Câu",LEFT(A2308,FIND(".",A2308,1)),LEFT(A2308,1))</f>
        <v>4</v>
      </c>
      <c r="G2307" t="str">
        <f t="shared" ref="G2307:G2370" si="218">IF(LEFT(A2309,3)="Câu",LEFT(A2309,FIND(".",A2309,1)),LEFT(A2309,1))</f>
        <v>Câu 560.</v>
      </c>
      <c r="H2307" t="str">
        <f t="shared" ref="H2307:H2370" si="219">IF(LEFT(A2310,3)="Câu","",LEFT(A2310,1))</f>
        <v>1</v>
      </c>
      <c r="I2307" t="str">
        <f t="shared" ref="I2307:I2370" si="220">IF(LEFT(A2311,3)="Câu","",LEFT(A2311,1))</f>
        <v>2</v>
      </c>
      <c r="J2307" t="str">
        <f t="shared" ref="J2307:J2370" ca="1" si="221">IFERROR(VLOOKUP(TRUE,INDIRECT("C"&amp;MATCH(E2307,$E$1:$E$2471,0)&amp;":E"&amp;MATCH("Câu "&amp;VALUE(MID(E2307,5,LEN(E2307)-5))+1&amp;".",$E$1:$E$2471,0)),3,0),"")</f>
        <v/>
      </c>
    </row>
    <row r="2308" spans="1:10" ht="18.75" x14ac:dyDescent="0.25">
      <c r="A2308" s="11" t="s">
        <v>2963</v>
      </c>
      <c r="B2308">
        <f>IFERROR(COUNTIFS($A$1:A2308,"Câu "&amp;"*")-MID(A2308,5,FIND(".",A2308,1)-5),0)</f>
        <v>0</v>
      </c>
      <c r="C2308" t="b">
        <v>1</v>
      </c>
      <c r="E2308" t="str">
        <f t="shared" si="216"/>
        <v>4</v>
      </c>
      <c r="F2308" t="str">
        <f t="shared" si="217"/>
        <v>Câu 560.</v>
      </c>
      <c r="G2308" t="str">
        <f t="shared" si="218"/>
        <v>1</v>
      </c>
      <c r="H2308" t="str">
        <f t="shared" si="219"/>
        <v>2</v>
      </c>
      <c r="I2308" t="str">
        <f t="shared" si="220"/>
        <v>3</v>
      </c>
      <c r="J2308" t="str">
        <f t="shared" ca="1" si="221"/>
        <v/>
      </c>
    </row>
    <row r="2309" spans="1:10" ht="18.75" x14ac:dyDescent="0.25">
      <c r="A2309" s="10" t="s">
        <v>1773</v>
      </c>
      <c r="B2309">
        <f>IFERROR(COUNTIFS($A$1:A2309,"Câu "&amp;"*")-MID(A2309,5,FIND(".",A2309,1)-5),0)</f>
        <v>0</v>
      </c>
      <c r="C2309" t="b">
        <v>0</v>
      </c>
      <c r="E2309" t="str">
        <f t="shared" si="216"/>
        <v>Câu 560.</v>
      </c>
      <c r="F2309" t="str">
        <f t="shared" si="217"/>
        <v>1</v>
      </c>
      <c r="G2309" t="str">
        <f t="shared" si="218"/>
        <v>2</v>
      </c>
      <c r="H2309" t="str">
        <f t="shared" si="219"/>
        <v>3</v>
      </c>
      <c r="I2309" t="str">
        <f t="shared" si="220"/>
        <v/>
      </c>
      <c r="J2309" t="str">
        <f t="shared" ca="1" si="221"/>
        <v>2</v>
      </c>
    </row>
    <row r="2310" spans="1:10" ht="18.75" x14ac:dyDescent="0.25">
      <c r="A2310" s="11" t="s">
        <v>2852</v>
      </c>
      <c r="B2310">
        <f>IFERROR(COUNTIFS($A$1:A2310,"Câu "&amp;"*")-MID(A2310,5,FIND(".",A2310,1)-5),0)</f>
        <v>0</v>
      </c>
      <c r="C2310" t="b">
        <v>0</v>
      </c>
      <c r="E2310" t="str">
        <f t="shared" si="216"/>
        <v>1</v>
      </c>
      <c r="F2310" t="str">
        <f t="shared" si="217"/>
        <v>2</v>
      </c>
      <c r="G2310" t="str">
        <f t="shared" si="218"/>
        <v>3</v>
      </c>
      <c r="H2310" t="str">
        <f t="shared" si="219"/>
        <v/>
      </c>
      <c r="I2310" t="str">
        <f t="shared" si="220"/>
        <v>1</v>
      </c>
      <c r="J2310" t="str">
        <f t="shared" ca="1" si="221"/>
        <v/>
      </c>
    </row>
    <row r="2311" spans="1:10" ht="18.75" x14ac:dyDescent="0.25">
      <c r="A2311" s="11" t="s">
        <v>2892</v>
      </c>
      <c r="B2311">
        <f>IFERROR(COUNTIFS($A$1:A2311,"Câu "&amp;"*")-MID(A2311,5,FIND(".",A2311,1)-5),0)</f>
        <v>0</v>
      </c>
      <c r="C2311" t="b">
        <v>1</v>
      </c>
      <c r="E2311" t="str">
        <f t="shared" si="216"/>
        <v>2</v>
      </c>
      <c r="F2311" t="str">
        <f t="shared" si="217"/>
        <v>3</v>
      </c>
      <c r="G2311" t="str">
        <f t="shared" si="218"/>
        <v>Câu 561.</v>
      </c>
      <c r="H2311" t="str">
        <f t="shared" si="219"/>
        <v>1</v>
      </c>
      <c r="I2311" t="str">
        <f t="shared" si="220"/>
        <v>2</v>
      </c>
      <c r="J2311" t="str">
        <f t="shared" ca="1" si="221"/>
        <v/>
      </c>
    </row>
    <row r="2312" spans="1:10" ht="18.75" x14ac:dyDescent="0.25">
      <c r="A2312" s="11" t="s">
        <v>2964</v>
      </c>
      <c r="B2312">
        <f>IFERROR(COUNTIFS($A$1:A2312,"Câu "&amp;"*")-MID(A2312,5,FIND(".",A2312,1)-5),0)</f>
        <v>0</v>
      </c>
      <c r="C2312" t="b">
        <v>0</v>
      </c>
      <c r="E2312" t="str">
        <f t="shared" si="216"/>
        <v>3</v>
      </c>
      <c r="F2312" t="str">
        <f t="shared" si="217"/>
        <v>Câu 561.</v>
      </c>
      <c r="G2312" t="str">
        <f t="shared" si="218"/>
        <v>1</v>
      </c>
      <c r="H2312" t="str">
        <f t="shared" si="219"/>
        <v>2</v>
      </c>
      <c r="I2312" t="str">
        <f t="shared" si="220"/>
        <v>3</v>
      </c>
      <c r="J2312" t="str">
        <f t="shared" ca="1" si="221"/>
        <v/>
      </c>
    </row>
    <row r="2313" spans="1:10" ht="18.75" x14ac:dyDescent="0.25">
      <c r="A2313" s="10" t="s">
        <v>1627</v>
      </c>
      <c r="B2313">
        <f>IFERROR(COUNTIFS($A$1:A2313,"Câu "&amp;"*")-MID(A2313,5,FIND(".",A2313,1)-5),0)</f>
        <v>0</v>
      </c>
      <c r="C2313" t="b">
        <v>0</v>
      </c>
      <c r="E2313" t="str">
        <f t="shared" si="216"/>
        <v>Câu 561.</v>
      </c>
      <c r="F2313" t="str">
        <f t="shared" si="217"/>
        <v>1</v>
      </c>
      <c r="G2313" t="str">
        <f t="shared" si="218"/>
        <v>2</v>
      </c>
      <c r="H2313" t="str">
        <f t="shared" si="219"/>
        <v>3</v>
      </c>
      <c r="I2313" t="str">
        <f t="shared" si="220"/>
        <v/>
      </c>
      <c r="J2313" t="str">
        <f t="shared" ca="1" si="221"/>
        <v>3</v>
      </c>
    </row>
    <row r="2314" spans="1:10" ht="18.75" x14ac:dyDescent="0.25">
      <c r="A2314" s="11" t="s">
        <v>2965</v>
      </c>
      <c r="B2314">
        <f>IFERROR(COUNTIFS($A$1:A2314,"Câu "&amp;"*")-MID(A2314,5,FIND(".",A2314,1)-5),0)</f>
        <v>0</v>
      </c>
      <c r="C2314" t="b">
        <v>0</v>
      </c>
      <c r="E2314" t="str">
        <f t="shared" si="216"/>
        <v>1</v>
      </c>
      <c r="F2314" t="str">
        <f t="shared" si="217"/>
        <v>2</v>
      </c>
      <c r="G2314" t="str">
        <f t="shared" si="218"/>
        <v>3</v>
      </c>
      <c r="H2314" t="str">
        <f t="shared" si="219"/>
        <v/>
      </c>
      <c r="I2314" t="str">
        <f t="shared" si="220"/>
        <v>1</v>
      </c>
      <c r="J2314" t="str">
        <f t="shared" ca="1" si="221"/>
        <v/>
      </c>
    </row>
    <row r="2315" spans="1:10" ht="18.75" x14ac:dyDescent="0.25">
      <c r="A2315" s="11" t="s">
        <v>2966</v>
      </c>
      <c r="B2315">
        <f>IFERROR(COUNTIFS($A$1:A2315,"Câu "&amp;"*")-MID(A2315,5,FIND(".",A2315,1)-5),0)</f>
        <v>0</v>
      </c>
      <c r="C2315" t="b">
        <v>0</v>
      </c>
      <c r="E2315" t="str">
        <f t="shared" si="216"/>
        <v>2</v>
      </c>
      <c r="F2315" t="str">
        <f t="shared" si="217"/>
        <v>3</v>
      </c>
      <c r="G2315" t="str">
        <f t="shared" si="218"/>
        <v>Câu 562.</v>
      </c>
      <c r="H2315" t="str">
        <f t="shared" si="219"/>
        <v>1</v>
      </c>
      <c r="I2315" t="str">
        <f t="shared" si="220"/>
        <v>2</v>
      </c>
      <c r="J2315" t="str">
        <f t="shared" ca="1" si="221"/>
        <v/>
      </c>
    </row>
    <row r="2316" spans="1:10" ht="18.75" x14ac:dyDescent="0.25">
      <c r="A2316" s="11" t="s">
        <v>2967</v>
      </c>
      <c r="B2316">
        <f>IFERROR(COUNTIFS($A$1:A2316,"Câu "&amp;"*")-MID(A2316,5,FIND(".",A2316,1)-5),0)</f>
        <v>0</v>
      </c>
      <c r="C2316" t="b">
        <v>1</v>
      </c>
      <c r="E2316" t="str">
        <f t="shared" si="216"/>
        <v>3</v>
      </c>
      <c r="F2316" t="str">
        <f t="shared" si="217"/>
        <v>Câu 562.</v>
      </c>
      <c r="G2316" t="str">
        <f t="shared" si="218"/>
        <v>1</v>
      </c>
      <c r="H2316" t="str">
        <f t="shared" si="219"/>
        <v>2</v>
      </c>
      <c r="I2316" t="str">
        <f t="shared" si="220"/>
        <v>3</v>
      </c>
      <c r="J2316" t="str">
        <f t="shared" ca="1" si="221"/>
        <v/>
      </c>
    </row>
    <row r="2317" spans="1:10" ht="18.75" x14ac:dyDescent="0.25">
      <c r="A2317" s="10" t="s">
        <v>1631</v>
      </c>
      <c r="B2317">
        <f>IFERROR(COUNTIFS($A$1:A2317,"Câu "&amp;"*")-MID(A2317,5,FIND(".",A2317,1)-5),0)</f>
        <v>0</v>
      </c>
      <c r="C2317" t="b">
        <v>0</v>
      </c>
      <c r="E2317" t="str">
        <f t="shared" si="216"/>
        <v>Câu 562.</v>
      </c>
      <c r="F2317" t="str">
        <f t="shared" si="217"/>
        <v>1</v>
      </c>
      <c r="G2317" t="str">
        <f t="shared" si="218"/>
        <v>2</v>
      </c>
      <c r="H2317" t="str">
        <f t="shared" si="219"/>
        <v>3</v>
      </c>
      <c r="I2317" t="str">
        <f t="shared" si="220"/>
        <v>4</v>
      </c>
      <c r="J2317" t="str">
        <f t="shared" ca="1" si="221"/>
        <v>2</v>
      </c>
    </row>
    <row r="2318" spans="1:10" ht="18.75" x14ac:dyDescent="0.25">
      <c r="A2318" s="11" t="s">
        <v>2968</v>
      </c>
      <c r="B2318">
        <f>IFERROR(COUNTIFS($A$1:A2318,"Câu "&amp;"*")-MID(A2318,5,FIND(".",A2318,1)-5),0)</f>
        <v>0</v>
      </c>
      <c r="C2318" t="b">
        <v>0</v>
      </c>
      <c r="E2318" t="str">
        <f t="shared" si="216"/>
        <v>1</v>
      </c>
      <c r="F2318" t="str">
        <f t="shared" si="217"/>
        <v>2</v>
      </c>
      <c r="G2318" t="str">
        <f t="shared" si="218"/>
        <v>3</v>
      </c>
      <c r="H2318" t="str">
        <f t="shared" si="219"/>
        <v>4</v>
      </c>
      <c r="I2318" t="str">
        <f t="shared" si="220"/>
        <v/>
      </c>
      <c r="J2318" t="str">
        <f t="shared" ca="1" si="221"/>
        <v/>
      </c>
    </row>
    <row r="2319" spans="1:10" ht="18.75" x14ac:dyDescent="0.25">
      <c r="A2319" s="11" t="s">
        <v>2969</v>
      </c>
      <c r="B2319">
        <f>IFERROR(COUNTIFS($A$1:A2319,"Câu "&amp;"*")-MID(A2319,5,FIND(".",A2319,1)-5),0)</f>
        <v>0</v>
      </c>
      <c r="C2319" t="b">
        <v>1</v>
      </c>
      <c r="E2319" t="str">
        <f t="shared" si="216"/>
        <v>2</v>
      </c>
      <c r="F2319" t="str">
        <f t="shared" si="217"/>
        <v>3</v>
      </c>
      <c r="G2319" t="str">
        <f t="shared" si="218"/>
        <v>4</v>
      </c>
      <c r="H2319" t="str">
        <f t="shared" si="219"/>
        <v/>
      </c>
      <c r="I2319" t="str">
        <f t="shared" si="220"/>
        <v>1</v>
      </c>
      <c r="J2319" t="str">
        <f t="shared" ca="1" si="221"/>
        <v/>
      </c>
    </row>
    <row r="2320" spans="1:10" ht="18.75" x14ac:dyDescent="0.25">
      <c r="A2320" s="11" t="s">
        <v>2970</v>
      </c>
      <c r="B2320">
        <f>IFERROR(COUNTIFS($A$1:A2320,"Câu "&amp;"*")-MID(A2320,5,FIND(".",A2320,1)-5),0)</f>
        <v>0</v>
      </c>
      <c r="C2320" t="b">
        <v>0</v>
      </c>
      <c r="E2320" t="str">
        <f t="shared" si="216"/>
        <v>3</v>
      </c>
      <c r="F2320" t="str">
        <f t="shared" si="217"/>
        <v>4</v>
      </c>
      <c r="G2320" t="str">
        <f t="shared" si="218"/>
        <v>Câu 563.</v>
      </c>
      <c r="H2320" t="str">
        <f t="shared" si="219"/>
        <v>1</v>
      </c>
      <c r="I2320" t="str">
        <f t="shared" si="220"/>
        <v>2</v>
      </c>
      <c r="J2320" t="str">
        <f t="shared" ca="1" si="221"/>
        <v/>
      </c>
    </row>
    <row r="2321" spans="1:10" ht="18.75" x14ac:dyDescent="0.25">
      <c r="A2321" s="11" t="s">
        <v>2971</v>
      </c>
      <c r="B2321">
        <f>IFERROR(COUNTIFS($A$1:A2321,"Câu "&amp;"*")-MID(A2321,5,FIND(".",A2321,1)-5),0)</f>
        <v>0</v>
      </c>
      <c r="C2321" t="b">
        <v>0</v>
      </c>
      <c r="E2321" t="str">
        <f t="shared" si="216"/>
        <v>4</v>
      </c>
      <c r="F2321" t="str">
        <f t="shared" si="217"/>
        <v>Câu 563.</v>
      </c>
      <c r="G2321" t="str">
        <f t="shared" si="218"/>
        <v>1</v>
      </c>
      <c r="H2321" t="str">
        <f t="shared" si="219"/>
        <v>2</v>
      </c>
      <c r="I2321" t="str">
        <f t="shared" si="220"/>
        <v>3</v>
      </c>
      <c r="J2321" t="str">
        <f t="shared" ca="1" si="221"/>
        <v/>
      </c>
    </row>
    <row r="2322" spans="1:10" ht="18.75" x14ac:dyDescent="0.25">
      <c r="A2322" s="10" t="s">
        <v>1635</v>
      </c>
      <c r="B2322">
        <f>IFERROR(COUNTIFS($A$1:A2322,"Câu "&amp;"*")-MID(A2322,5,FIND(".",A2322,1)-5),0)</f>
        <v>0</v>
      </c>
      <c r="C2322" t="b">
        <v>0</v>
      </c>
      <c r="E2322" t="str">
        <f t="shared" si="216"/>
        <v>Câu 563.</v>
      </c>
      <c r="F2322" t="str">
        <f t="shared" si="217"/>
        <v>1</v>
      </c>
      <c r="G2322" t="str">
        <f t="shared" si="218"/>
        <v>2</v>
      </c>
      <c r="H2322" t="str">
        <f t="shared" si="219"/>
        <v>3</v>
      </c>
      <c r="I2322" t="str">
        <f t="shared" si="220"/>
        <v>4</v>
      </c>
      <c r="J2322" t="str">
        <f t="shared" ca="1" si="221"/>
        <v>1</v>
      </c>
    </row>
    <row r="2323" spans="1:10" ht="18.75" x14ac:dyDescent="0.25">
      <c r="A2323" s="11" t="s">
        <v>2972</v>
      </c>
      <c r="B2323">
        <f>IFERROR(COUNTIFS($A$1:A2323,"Câu "&amp;"*")-MID(A2323,5,FIND(".",A2323,1)-5),0)</f>
        <v>0</v>
      </c>
      <c r="C2323" t="b">
        <v>1</v>
      </c>
      <c r="E2323" t="str">
        <f t="shared" si="216"/>
        <v>1</v>
      </c>
      <c r="F2323" t="str">
        <f t="shared" si="217"/>
        <v>2</v>
      </c>
      <c r="G2323" t="str">
        <f t="shared" si="218"/>
        <v>3</v>
      </c>
      <c r="H2323" t="str">
        <f t="shared" si="219"/>
        <v>4</v>
      </c>
      <c r="I2323" t="str">
        <f t="shared" si="220"/>
        <v/>
      </c>
      <c r="J2323" t="str">
        <f t="shared" ca="1" si="221"/>
        <v/>
      </c>
    </row>
    <row r="2324" spans="1:10" ht="18.75" x14ac:dyDescent="0.25">
      <c r="A2324" s="11" t="s">
        <v>2966</v>
      </c>
      <c r="B2324">
        <f>IFERROR(COUNTIFS($A$1:A2324,"Câu "&amp;"*")-MID(A2324,5,FIND(".",A2324,1)-5),0)</f>
        <v>0</v>
      </c>
      <c r="C2324" t="b">
        <v>0</v>
      </c>
      <c r="E2324" t="str">
        <f t="shared" si="216"/>
        <v>2</v>
      </c>
      <c r="F2324" t="str">
        <f t="shared" si="217"/>
        <v>3</v>
      </c>
      <c r="G2324" t="str">
        <f t="shared" si="218"/>
        <v>4</v>
      </c>
      <c r="H2324" t="str">
        <f t="shared" si="219"/>
        <v/>
      </c>
      <c r="I2324" t="str">
        <f t="shared" si="220"/>
        <v>1</v>
      </c>
      <c r="J2324" t="str">
        <f t="shared" ca="1" si="221"/>
        <v/>
      </c>
    </row>
    <row r="2325" spans="1:10" ht="18.75" x14ac:dyDescent="0.25">
      <c r="A2325" s="11" t="s">
        <v>2964</v>
      </c>
      <c r="B2325">
        <f>IFERROR(COUNTIFS($A$1:A2325,"Câu "&amp;"*")-MID(A2325,5,FIND(".",A2325,1)-5),0)</f>
        <v>0</v>
      </c>
      <c r="C2325" t="b">
        <v>0</v>
      </c>
      <c r="E2325" t="str">
        <f t="shared" si="216"/>
        <v>3</v>
      </c>
      <c r="F2325" t="str">
        <f t="shared" si="217"/>
        <v>4</v>
      </c>
      <c r="G2325" t="str">
        <f t="shared" si="218"/>
        <v>Câu 564.</v>
      </c>
      <c r="H2325" t="str">
        <f t="shared" si="219"/>
        <v>1</v>
      </c>
      <c r="I2325" t="str">
        <f t="shared" si="220"/>
        <v>2</v>
      </c>
      <c r="J2325" t="str">
        <f t="shared" ca="1" si="221"/>
        <v/>
      </c>
    </row>
    <row r="2326" spans="1:10" ht="18.75" x14ac:dyDescent="0.25">
      <c r="A2326" s="11" t="s">
        <v>2973</v>
      </c>
      <c r="B2326">
        <f>IFERROR(COUNTIFS($A$1:A2326,"Câu "&amp;"*")-MID(A2326,5,FIND(".",A2326,1)-5),0)</f>
        <v>0</v>
      </c>
      <c r="C2326" t="b">
        <v>0</v>
      </c>
      <c r="E2326" t="str">
        <f t="shared" si="216"/>
        <v>4</v>
      </c>
      <c r="F2326" t="str">
        <f t="shared" si="217"/>
        <v>Câu 564.</v>
      </c>
      <c r="G2326" t="str">
        <f t="shared" si="218"/>
        <v>1</v>
      </c>
      <c r="H2326" t="str">
        <f t="shared" si="219"/>
        <v>2</v>
      </c>
      <c r="I2326" t="str">
        <f t="shared" si="220"/>
        <v>3</v>
      </c>
      <c r="J2326" t="str">
        <f t="shared" ca="1" si="221"/>
        <v/>
      </c>
    </row>
    <row r="2327" spans="1:10" ht="18.75" x14ac:dyDescent="0.25">
      <c r="A2327" s="10" t="s">
        <v>1636</v>
      </c>
      <c r="B2327">
        <f>IFERROR(COUNTIFS($A$1:A2327,"Câu "&amp;"*")-MID(A2327,5,FIND(".",A2327,1)-5),0)</f>
        <v>0</v>
      </c>
      <c r="C2327" t="b">
        <v>0</v>
      </c>
      <c r="E2327" t="str">
        <f t="shared" si="216"/>
        <v>Câu 564.</v>
      </c>
      <c r="F2327" t="str">
        <f t="shared" si="217"/>
        <v>1</v>
      </c>
      <c r="G2327" t="str">
        <f t="shared" si="218"/>
        <v>2</v>
      </c>
      <c r="H2327" t="str">
        <f t="shared" si="219"/>
        <v>3</v>
      </c>
      <c r="I2327" t="str">
        <f t="shared" si="220"/>
        <v/>
      </c>
      <c r="J2327" t="str">
        <f t="shared" ca="1" si="221"/>
        <v>2</v>
      </c>
    </row>
    <row r="2328" spans="1:10" ht="18.75" x14ac:dyDescent="0.25">
      <c r="A2328" s="11" t="s">
        <v>2974</v>
      </c>
      <c r="B2328">
        <f>IFERROR(COUNTIFS($A$1:A2328,"Câu "&amp;"*")-MID(A2328,5,FIND(".",A2328,1)-5),0)</f>
        <v>0</v>
      </c>
      <c r="C2328" t="b">
        <v>0</v>
      </c>
      <c r="E2328" t="str">
        <f t="shared" si="216"/>
        <v>1</v>
      </c>
      <c r="F2328" t="str">
        <f t="shared" si="217"/>
        <v>2</v>
      </c>
      <c r="G2328" t="str">
        <f t="shared" si="218"/>
        <v>3</v>
      </c>
      <c r="H2328" t="str">
        <f t="shared" si="219"/>
        <v/>
      </c>
      <c r="I2328" t="str">
        <f t="shared" si="220"/>
        <v>1</v>
      </c>
      <c r="J2328" t="str">
        <f t="shared" ca="1" si="221"/>
        <v/>
      </c>
    </row>
    <row r="2329" spans="1:10" ht="18.75" x14ac:dyDescent="0.25">
      <c r="A2329" s="11" t="s">
        <v>2975</v>
      </c>
      <c r="B2329">
        <f>IFERROR(COUNTIFS($A$1:A2329,"Câu "&amp;"*")-MID(A2329,5,FIND(".",A2329,1)-5),0)</f>
        <v>0</v>
      </c>
      <c r="C2329" t="b">
        <v>1</v>
      </c>
      <c r="E2329" t="str">
        <f t="shared" si="216"/>
        <v>2</v>
      </c>
      <c r="F2329" t="str">
        <f t="shared" si="217"/>
        <v>3</v>
      </c>
      <c r="G2329" t="str">
        <f t="shared" si="218"/>
        <v>Câu 565.</v>
      </c>
      <c r="H2329" t="str">
        <f t="shared" si="219"/>
        <v>1</v>
      </c>
      <c r="I2329" t="str">
        <f t="shared" si="220"/>
        <v>2</v>
      </c>
      <c r="J2329" t="str">
        <f t="shared" ca="1" si="221"/>
        <v/>
      </c>
    </row>
    <row r="2330" spans="1:10" ht="18.75" x14ac:dyDescent="0.25">
      <c r="A2330" s="11" t="s">
        <v>2976</v>
      </c>
      <c r="B2330">
        <f>IFERROR(COUNTIFS($A$1:A2330,"Câu "&amp;"*")-MID(A2330,5,FIND(".",A2330,1)-5),0)</f>
        <v>0</v>
      </c>
      <c r="C2330" t="b">
        <v>0</v>
      </c>
      <c r="E2330" t="str">
        <f t="shared" si="216"/>
        <v>3</v>
      </c>
      <c r="F2330" t="str">
        <f t="shared" si="217"/>
        <v>Câu 565.</v>
      </c>
      <c r="G2330" t="str">
        <f t="shared" si="218"/>
        <v>1</v>
      </c>
      <c r="H2330" t="str">
        <f t="shared" si="219"/>
        <v>2</v>
      </c>
      <c r="I2330" t="str">
        <f t="shared" si="220"/>
        <v>3</v>
      </c>
      <c r="J2330" t="str">
        <f t="shared" ca="1" si="221"/>
        <v/>
      </c>
    </row>
    <row r="2331" spans="1:10" ht="18.75" x14ac:dyDescent="0.25">
      <c r="A2331" s="10" t="s">
        <v>1640</v>
      </c>
      <c r="B2331">
        <f>IFERROR(COUNTIFS($A$1:A2331,"Câu "&amp;"*")-MID(A2331,5,FIND(".",A2331,1)-5),0)</f>
        <v>0</v>
      </c>
      <c r="C2331" t="b">
        <v>0</v>
      </c>
      <c r="E2331" t="str">
        <f t="shared" si="216"/>
        <v>Câu 565.</v>
      </c>
      <c r="F2331" t="str">
        <f t="shared" si="217"/>
        <v>1</v>
      </c>
      <c r="G2331" t="str">
        <f t="shared" si="218"/>
        <v>2</v>
      </c>
      <c r="H2331" t="str">
        <f t="shared" si="219"/>
        <v>3</v>
      </c>
      <c r="I2331" t="str">
        <f t="shared" si="220"/>
        <v>4</v>
      </c>
      <c r="J2331" t="str">
        <f t="shared" ca="1" si="221"/>
        <v>2</v>
      </c>
    </row>
    <row r="2332" spans="1:10" ht="18.75" x14ac:dyDescent="0.25">
      <c r="A2332" s="11" t="s">
        <v>2977</v>
      </c>
      <c r="B2332">
        <f>IFERROR(COUNTIFS($A$1:A2332,"Câu "&amp;"*")-MID(A2332,5,FIND(".",A2332,1)-5),0)</f>
        <v>0</v>
      </c>
      <c r="C2332" t="b">
        <v>0</v>
      </c>
      <c r="E2332" t="str">
        <f t="shared" si="216"/>
        <v>1</v>
      </c>
      <c r="F2332" t="str">
        <f t="shared" si="217"/>
        <v>2</v>
      </c>
      <c r="G2332" t="str">
        <f t="shared" si="218"/>
        <v>3</v>
      </c>
      <c r="H2332" t="str">
        <f t="shared" si="219"/>
        <v>4</v>
      </c>
      <c r="I2332" t="str">
        <f t="shared" si="220"/>
        <v/>
      </c>
      <c r="J2332" t="str">
        <f t="shared" ca="1" si="221"/>
        <v/>
      </c>
    </row>
    <row r="2333" spans="1:10" ht="18.75" x14ac:dyDescent="0.25">
      <c r="A2333" s="11" t="s">
        <v>2978</v>
      </c>
      <c r="B2333">
        <f>IFERROR(COUNTIFS($A$1:A2333,"Câu "&amp;"*")-MID(A2333,5,FIND(".",A2333,1)-5),0)</f>
        <v>0</v>
      </c>
      <c r="C2333" t="b">
        <v>1</v>
      </c>
      <c r="E2333" t="str">
        <f t="shared" si="216"/>
        <v>2</v>
      </c>
      <c r="F2333" t="str">
        <f t="shared" si="217"/>
        <v>3</v>
      </c>
      <c r="G2333" t="str">
        <f t="shared" si="218"/>
        <v>4</v>
      </c>
      <c r="H2333" t="str">
        <f t="shared" si="219"/>
        <v/>
      </c>
      <c r="I2333" t="str">
        <f t="shared" si="220"/>
        <v>1</v>
      </c>
      <c r="J2333" t="str">
        <f t="shared" ca="1" si="221"/>
        <v/>
      </c>
    </row>
    <row r="2334" spans="1:10" ht="18.75" x14ac:dyDescent="0.25">
      <c r="A2334" s="11" t="s">
        <v>2979</v>
      </c>
      <c r="B2334">
        <f>IFERROR(COUNTIFS($A$1:A2334,"Câu "&amp;"*")-MID(A2334,5,FIND(".",A2334,1)-5),0)</f>
        <v>0</v>
      </c>
      <c r="C2334" t="b">
        <v>0</v>
      </c>
      <c r="E2334" t="str">
        <f t="shared" si="216"/>
        <v>3</v>
      </c>
      <c r="F2334" t="str">
        <f t="shared" si="217"/>
        <v>4</v>
      </c>
      <c r="G2334" t="str">
        <f t="shared" si="218"/>
        <v>Câu 566.</v>
      </c>
      <c r="H2334" t="str">
        <f t="shared" si="219"/>
        <v>1</v>
      </c>
      <c r="I2334" t="str">
        <f t="shared" si="220"/>
        <v>2</v>
      </c>
      <c r="J2334" t="str">
        <f t="shared" ca="1" si="221"/>
        <v/>
      </c>
    </row>
    <row r="2335" spans="1:10" ht="18.75" x14ac:dyDescent="0.25">
      <c r="A2335" s="11" t="s">
        <v>2980</v>
      </c>
      <c r="B2335">
        <f>IFERROR(COUNTIFS($A$1:A2335,"Câu "&amp;"*")-MID(A2335,5,FIND(".",A2335,1)-5),0)</f>
        <v>0</v>
      </c>
      <c r="C2335" t="b">
        <v>0</v>
      </c>
      <c r="E2335" t="str">
        <f t="shared" si="216"/>
        <v>4</v>
      </c>
      <c r="F2335" t="str">
        <f t="shared" si="217"/>
        <v>Câu 566.</v>
      </c>
      <c r="G2335" t="str">
        <f t="shared" si="218"/>
        <v>1</v>
      </c>
      <c r="H2335" t="str">
        <f t="shared" si="219"/>
        <v>2</v>
      </c>
      <c r="I2335" t="str">
        <f t="shared" si="220"/>
        <v>3</v>
      </c>
      <c r="J2335" t="str">
        <f t="shared" ca="1" si="221"/>
        <v/>
      </c>
    </row>
    <row r="2336" spans="1:10" ht="18.75" x14ac:dyDescent="0.25">
      <c r="A2336" s="10" t="s">
        <v>1642</v>
      </c>
      <c r="B2336">
        <f>IFERROR(COUNTIFS($A$1:A2336,"Câu "&amp;"*")-MID(A2336,5,FIND(".",A2336,1)-5),0)</f>
        <v>0</v>
      </c>
      <c r="C2336" t="b">
        <v>0</v>
      </c>
      <c r="E2336" t="str">
        <f t="shared" si="216"/>
        <v>Câu 566.</v>
      </c>
      <c r="F2336" t="str">
        <f t="shared" si="217"/>
        <v>1</v>
      </c>
      <c r="G2336" t="str">
        <f t="shared" si="218"/>
        <v>2</v>
      </c>
      <c r="H2336" t="str">
        <f t="shared" si="219"/>
        <v>3</v>
      </c>
      <c r="I2336" t="str">
        <f t="shared" si="220"/>
        <v>4</v>
      </c>
      <c r="J2336" t="str">
        <f t="shared" ca="1" si="221"/>
        <v>3</v>
      </c>
    </row>
    <row r="2337" spans="1:10" ht="18.75" x14ac:dyDescent="0.25">
      <c r="A2337" s="11" t="s">
        <v>2981</v>
      </c>
      <c r="B2337">
        <f>IFERROR(COUNTIFS($A$1:A2337,"Câu "&amp;"*")-MID(A2337,5,FIND(".",A2337,1)-5),0)</f>
        <v>0</v>
      </c>
      <c r="C2337" t="b">
        <v>0</v>
      </c>
      <c r="E2337" t="str">
        <f t="shared" si="216"/>
        <v>1</v>
      </c>
      <c r="F2337" t="str">
        <f t="shared" si="217"/>
        <v>2</v>
      </c>
      <c r="G2337" t="str">
        <f t="shared" si="218"/>
        <v>3</v>
      </c>
      <c r="H2337" t="str">
        <f t="shared" si="219"/>
        <v>4</v>
      </c>
      <c r="I2337" t="str">
        <f t="shared" si="220"/>
        <v/>
      </c>
      <c r="J2337" t="str">
        <f t="shared" ca="1" si="221"/>
        <v/>
      </c>
    </row>
    <row r="2338" spans="1:10" ht="18.75" x14ac:dyDescent="0.25">
      <c r="A2338" s="11" t="s">
        <v>2982</v>
      </c>
      <c r="B2338">
        <f>IFERROR(COUNTIFS($A$1:A2338,"Câu "&amp;"*")-MID(A2338,5,FIND(".",A2338,1)-5),0)</f>
        <v>0</v>
      </c>
      <c r="C2338" t="b">
        <v>0</v>
      </c>
      <c r="E2338" t="str">
        <f t="shared" si="216"/>
        <v>2</v>
      </c>
      <c r="F2338" t="str">
        <f t="shared" si="217"/>
        <v>3</v>
      </c>
      <c r="G2338" t="str">
        <f t="shared" si="218"/>
        <v>4</v>
      </c>
      <c r="H2338" t="str">
        <f t="shared" si="219"/>
        <v/>
      </c>
      <c r="I2338" t="str">
        <f t="shared" si="220"/>
        <v>1</v>
      </c>
      <c r="J2338" t="str">
        <f t="shared" ca="1" si="221"/>
        <v/>
      </c>
    </row>
    <row r="2339" spans="1:10" ht="18.75" x14ac:dyDescent="0.25">
      <c r="A2339" s="11" t="s">
        <v>2983</v>
      </c>
      <c r="B2339">
        <f>IFERROR(COUNTIFS($A$1:A2339,"Câu "&amp;"*")-MID(A2339,5,FIND(".",A2339,1)-5),0)</f>
        <v>0</v>
      </c>
      <c r="C2339" t="b">
        <v>1</v>
      </c>
      <c r="E2339" t="str">
        <f t="shared" si="216"/>
        <v>3</v>
      </c>
      <c r="F2339" t="str">
        <f t="shared" si="217"/>
        <v>4</v>
      </c>
      <c r="G2339" t="str">
        <f t="shared" si="218"/>
        <v>Câu 567.</v>
      </c>
      <c r="H2339" t="str">
        <f t="shared" si="219"/>
        <v>1</v>
      </c>
      <c r="I2339" t="str">
        <f t="shared" si="220"/>
        <v>2</v>
      </c>
      <c r="J2339" t="str">
        <f t="shared" ca="1" si="221"/>
        <v/>
      </c>
    </row>
    <row r="2340" spans="1:10" ht="18.75" x14ac:dyDescent="0.25">
      <c r="A2340" s="11" t="s">
        <v>2984</v>
      </c>
      <c r="B2340">
        <f>IFERROR(COUNTIFS($A$1:A2340,"Câu "&amp;"*")-MID(A2340,5,FIND(".",A2340,1)-5),0)</f>
        <v>0</v>
      </c>
      <c r="C2340" t="b">
        <v>0</v>
      </c>
      <c r="E2340" t="str">
        <f t="shared" si="216"/>
        <v>4</v>
      </c>
      <c r="F2340" t="str">
        <f t="shared" si="217"/>
        <v>Câu 567.</v>
      </c>
      <c r="G2340" t="str">
        <f t="shared" si="218"/>
        <v>1</v>
      </c>
      <c r="H2340" t="str">
        <f t="shared" si="219"/>
        <v>2</v>
      </c>
      <c r="I2340" t="str">
        <f t="shared" si="220"/>
        <v>3</v>
      </c>
      <c r="J2340" t="str">
        <f t="shared" ca="1" si="221"/>
        <v/>
      </c>
    </row>
    <row r="2341" spans="1:10" ht="18.75" x14ac:dyDescent="0.25">
      <c r="A2341" s="10" t="s">
        <v>1646</v>
      </c>
      <c r="B2341">
        <f>IFERROR(COUNTIFS($A$1:A2341,"Câu "&amp;"*")-MID(A2341,5,FIND(".",A2341,1)-5),0)</f>
        <v>0</v>
      </c>
      <c r="C2341" t="b">
        <v>0</v>
      </c>
      <c r="E2341" t="str">
        <f t="shared" si="216"/>
        <v>Câu 567.</v>
      </c>
      <c r="F2341" t="str">
        <f t="shared" si="217"/>
        <v>1</v>
      </c>
      <c r="G2341" t="str">
        <f t="shared" si="218"/>
        <v>2</v>
      </c>
      <c r="H2341" t="str">
        <f t="shared" si="219"/>
        <v>3</v>
      </c>
      <c r="I2341" t="str">
        <f t="shared" si="220"/>
        <v/>
      </c>
      <c r="J2341" t="str">
        <f t="shared" ca="1" si="221"/>
        <v>3</v>
      </c>
    </row>
    <row r="2342" spans="1:10" ht="18.75" x14ac:dyDescent="0.25">
      <c r="A2342" s="11" t="s">
        <v>2985</v>
      </c>
      <c r="B2342">
        <f>IFERROR(COUNTIFS($A$1:A2342,"Câu "&amp;"*")-MID(A2342,5,FIND(".",A2342,1)-5),0)</f>
        <v>0</v>
      </c>
      <c r="C2342" t="b">
        <v>0</v>
      </c>
      <c r="E2342" t="str">
        <f t="shared" si="216"/>
        <v>1</v>
      </c>
      <c r="F2342" t="str">
        <f t="shared" si="217"/>
        <v>2</v>
      </c>
      <c r="G2342" t="str">
        <f t="shared" si="218"/>
        <v>3</v>
      </c>
      <c r="H2342" t="str">
        <f t="shared" si="219"/>
        <v/>
      </c>
      <c r="I2342" t="str">
        <f t="shared" si="220"/>
        <v>1</v>
      </c>
      <c r="J2342" t="str">
        <f t="shared" ca="1" si="221"/>
        <v/>
      </c>
    </row>
    <row r="2343" spans="1:10" ht="18.75" x14ac:dyDescent="0.25">
      <c r="A2343" s="11" t="s">
        <v>2986</v>
      </c>
      <c r="B2343">
        <f>IFERROR(COUNTIFS($A$1:A2343,"Câu "&amp;"*")-MID(A2343,5,FIND(".",A2343,1)-5),0)</f>
        <v>0</v>
      </c>
      <c r="C2343" t="b">
        <v>0</v>
      </c>
      <c r="E2343" t="str">
        <f t="shared" si="216"/>
        <v>2</v>
      </c>
      <c r="F2343" t="str">
        <f t="shared" si="217"/>
        <v>3</v>
      </c>
      <c r="G2343" t="str">
        <f t="shared" si="218"/>
        <v>Câu 568.</v>
      </c>
      <c r="H2343" t="str">
        <f t="shared" si="219"/>
        <v>1</v>
      </c>
      <c r="I2343" t="str">
        <f t="shared" si="220"/>
        <v>2</v>
      </c>
      <c r="J2343" t="str">
        <f t="shared" ca="1" si="221"/>
        <v/>
      </c>
    </row>
    <row r="2344" spans="1:10" ht="18.75" x14ac:dyDescent="0.25">
      <c r="A2344" s="11" t="s">
        <v>2987</v>
      </c>
      <c r="B2344">
        <f>IFERROR(COUNTIFS($A$1:A2344,"Câu "&amp;"*")-MID(A2344,5,FIND(".",A2344,1)-5),0)</f>
        <v>0</v>
      </c>
      <c r="C2344" t="b">
        <v>1</v>
      </c>
      <c r="E2344" t="str">
        <f t="shared" si="216"/>
        <v>3</v>
      </c>
      <c r="F2344" t="str">
        <f t="shared" si="217"/>
        <v>Câu 568.</v>
      </c>
      <c r="G2344" t="str">
        <f t="shared" si="218"/>
        <v>1</v>
      </c>
      <c r="H2344" t="str">
        <f t="shared" si="219"/>
        <v>2</v>
      </c>
      <c r="I2344" t="str">
        <f t="shared" si="220"/>
        <v>3</v>
      </c>
      <c r="J2344" t="str">
        <f t="shared" ca="1" si="221"/>
        <v/>
      </c>
    </row>
    <row r="2345" spans="1:10" ht="18.75" x14ac:dyDescent="0.25">
      <c r="A2345" s="10" t="s">
        <v>1650</v>
      </c>
      <c r="B2345">
        <f>IFERROR(COUNTIFS($A$1:A2345,"Câu "&amp;"*")-MID(A2345,5,FIND(".",A2345,1)-5),0)</f>
        <v>0</v>
      </c>
      <c r="C2345" t="b">
        <v>0</v>
      </c>
      <c r="E2345" t="str">
        <f t="shared" si="216"/>
        <v>Câu 568.</v>
      </c>
      <c r="F2345" t="str">
        <f t="shared" si="217"/>
        <v>1</v>
      </c>
      <c r="G2345" t="str">
        <f t="shared" si="218"/>
        <v>2</v>
      </c>
      <c r="H2345" t="str">
        <f t="shared" si="219"/>
        <v>3</v>
      </c>
      <c r="I2345" t="str">
        <f t="shared" si="220"/>
        <v/>
      </c>
      <c r="J2345" t="str">
        <f t="shared" ca="1" si="221"/>
        <v>2</v>
      </c>
    </row>
    <row r="2346" spans="1:10" ht="18.75" x14ac:dyDescent="0.25">
      <c r="A2346" s="11" t="s">
        <v>2985</v>
      </c>
      <c r="B2346">
        <f>IFERROR(COUNTIFS($A$1:A2346,"Câu "&amp;"*")-MID(A2346,5,FIND(".",A2346,1)-5),0)</f>
        <v>0</v>
      </c>
      <c r="C2346" t="b">
        <v>0</v>
      </c>
      <c r="E2346" t="str">
        <f t="shared" si="216"/>
        <v>1</v>
      </c>
      <c r="F2346" t="str">
        <f t="shared" si="217"/>
        <v>2</v>
      </c>
      <c r="G2346" t="str">
        <f t="shared" si="218"/>
        <v>3</v>
      </c>
      <c r="H2346" t="str">
        <f t="shared" si="219"/>
        <v/>
      </c>
      <c r="I2346" t="str">
        <f t="shared" si="220"/>
        <v>1</v>
      </c>
      <c r="J2346" t="str">
        <f t="shared" ca="1" si="221"/>
        <v/>
      </c>
    </row>
    <row r="2347" spans="1:10" ht="18.75" x14ac:dyDescent="0.25">
      <c r="A2347" s="11" t="s">
        <v>2988</v>
      </c>
      <c r="B2347">
        <f>IFERROR(COUNTIFS($A$1:A2347,"Câu "&amp;"*")-MID(A2347,5,FIND(".",A2347,1)-5),0)</f>
        <v>0</v>
      </c>
      <c r="C2347" t="b">
        <v>1</v>
      </c>
      <c r="E2347" t="str">
        <f t="shared" si="216"/>
        <v>2</v>
      </c>
      <c r="F2347" t="str">
        <f t="shared" si="217"/>
        <v>3</v>
      </c>
      <c r="G2347" t="str">
        <f t="shared" si="218"/>
        <v>Câu 569.</v>
      </c>
      <c r="H2347" t="str">
        <f t="shared" si="219"/>
        <v>1</v>
      </c>
      <c r="I2347" t="str">
        <f t="shared" si="220"/>
        <v>2</v>
      </c>
      <c r="J2347" t="str">
        <f t="shared" ca="1" si="221"/>
        <v/>
      </c>
    </row>
    <row r="2348" spans="1:10" ht="18.75" x14ac:dyDescent="0.25">
      <c r="A2348" s="11" t="s">
        <v>2989</v>
      </c>
      <c r="B2348">
        <f>IFERROR(COUNTIFS($A$1:A2348,"Câu "&amp;"*")-MID(A2348,5,FIND(".",A2348,1)-5),0)</f>
        <v>0</v>
      </c>
      <c r="C2348" t="b">
        <v>0</v>
      </c>
      <c r="E2348" t="str">
        <f t="shared" si="216"/>
        <v>3</v>
      </c>
      <c r="F2348" t="str">
        <f t="shared" si="217"/>
        <v>Câu 569.</v>
      </c>
      <c r="G2348" t="str">
        <f t="shared" si="218"/>
        <v>1</v>
      </c>
      <c r="H2348" t="str">
        <f t="shared" si="219"/>
        <v>2</v>
      </c>
      <c r="I2348" t="str">
        <f t="shared" si="220"/>
        <v>3</v>
      </c>
      <c r="J2348" t="str">
        <f t="shared" ca="1" si="221"/>
        <v/>
      </c>
    </row>
    <row r="2349" spans="1:10" ht="18.75" x14ac:dyDescent="0.25">
      <c r="A2349" s="10" t="s">
        <v>1653</v>
      </c>
      <c r="B2349">
        <f>IFERROR(COUNTIFS($A$1:A2349,"Câu "&amp;"*")-MID(A2349,5,FIND(".",A2349,1)-5),0)</f>
        <v>0</v>
      </c>
      <c r="C2349" t="b">
        <v>0</v>
      </c>
      <c r="E2349" t="str">
        <f t="shared" si="216"/>
        <v>Câu 569.</v>
      </c>
      <c r="F2349" t="str">
        <f t="shared" si="217"/>
        <v>1</v>
      </c>
      <c r="G2349" t="str">
        <f t="shared" si="218"/>
        <v>2</v>
      </c>
      <c r="H2349" t="str">
        <f t="shared" si="219"/>
        <v>3</v>
      </c>
      <c r="I2349" t="str">
        <f t="shared" si="220"/>
        <v/>
      </c>
      <c r="J2349" t="str">
        <f t="shared" ca="1" si="221"/>
        <v>1</v>
      </c>
    </row>
    <row r="2350" spans="1:10" ht="18.75" x14ac:dyDescent="0.25">
      <c r="A2350" s="11" t="s">
        <v>2786</v>
      </c>
      <c r="B2350">
        <f>IFERROR(COUNTIFS($A$1:A2350,"Câu "&amp;"*")-MID(A2350,5,FIND(".",A2350,1)-5),0)</f>
        <v>0</v>
      </c>
      <c r="C2350" t="b">
        <v>1</v>
      </c>
      <c r="E2350" t="str">
        <f t="shared" si="216"/>
        <v>1</v>
      </c>
      <c r="F2350" t="str">
        <f t="shared" si="217"/>
        <v>2</v>
      </c>
      <c r="G2350" t="str">
        <f t="shared" si="218"/>
        <v>3</v>
      </c>
      <c r="H2350" t="str">
        <f t="shared" si="219"/>
        <v/>
      </c>
      <c r="I2350" t="str">
        <f t="shared" si="220"/>
        <v>1</v>
      </c>
      <c r="J2350" t="str">
        <f t="shared" ca="1" si="221"/>
        <v/>
      </c>
    </row>
    <row r="2351" spans="1:10" ht="18.75" x14ac:dyDescent="0.25">
      <c r="A2351" s="11" t="s">
        <v>2990</v>
      </c>
      <c r="B2351">
        <f>IFERROR(COUNTIFS($A$1:A2351,"Câu "&amp;"*")-MID(A2351,5,FIND(".",A2351,1)-5),0)</f>
        <v>0</v>
      </c>
      <c r="C2351" t="b">
        <v>0</v>
      </c>
      <c r="E2351" t="str">
        <f t="shared" si="216"/>
        <v>2</v>
      </c>
      <c r="F2351" t="str">
        <f t="shared" si="217"/>
        <v>3</v>
      </c>
      <c r="G2351" t="str">
        <f t="shared" si="218"/>
        <v>Câu 570.</v>
      </c>
      <c r="H2351" t="str">
        <f t="shared" si="219"/>
        <v>1</v>
      </c>
      <c r="I2351" t="str">
        <f t="shared" si="220"/>
        <v>2</v>
      </c>
      <c r="J2351" t="str">
        <f t="shared" ca="1" si="221"/>
        <v/>
      </c>
    </row>
    <row r="2352" spans="1:10" ht="18.75" x14ac:dyDescent="0.25">
      <c r="A2352" s="11" t="s">
        <v>2893</v>
      </c>
      <c r="B2352">
        <f>IFERROR(COUNTIFS($A$1:A2352,"Câu "&amp;"*")-MID(A2352,5,FIND(".",A2352,1)-5),0)</f>
        <v>0</v>
      </c>
      <c r="C2352" t="b">
        <v>0</v>
      </c>
      <c r="E2352" t="str">
        <f t="shared" si="216"/>
        <v>3</v>
      </c>
      <c r="F2352" t="str">
        <f t="shared" si="217"/>
        <v>Câu 570.</v>
      </c>
      <c r="G2352" t="str">
        <f t="shared" si="218"/>
        <v>1</v>
      </c>
      <c r="H2352" t="str">
        <f t="shared" si="219"/>
        <v>2</v>
      </c>
      <c r="I2352" t="str">
        <f t="shared" si="220"/>
        <v>3</v>
      </c>
      <c r="J2352" t="str">
        <f t="shared" ca="1" si="221"/>
        <v/>
      </c>
    </row>
    <row r="2353" spans="1:10" ht="18.75" x14ac:dyDescent="0.25">
      <c r="A2353" s="10" t="s">
        <v>1654</v>
      </c>
      <c r="B2353">
        <f>IFERROR(COUNTIFS($A$1:A2353,"Câu "&amp;"*")-MID(A2353,5,FIND(".",A2353,1)-5),0)</f>
        <v>0</v>
      </c>
      <c r="C2353" t="b">
        <v>0</v>
      </c>
      <c r="E2353" t="str">
        <f t="shared" si="216"/>
        <v>Câu 570.</v>
      </c>
      <c r="F2353" t="str">
        <f t="shared" si="217"/>
        <v>1</v>
      </c>
      <c r="G2353" t="str">
        <f t="shared" si="218"/>
        <v>2</v>
      </c>
      <c r="H2353" t="str">
        <f t="shared" si="219"/>
        <v>3</v>
      </c>
      <c r="I2353" t="str">
        <f t="shared" si="220"/>
        <v>4</v>
      </c>
      <c r="J2353" t="str">
        <f t="shared" ca="1" si="221"/>
        <v>1</v>
      </c>
    </row>
    <row r="2354" spans="1:10" ht="18.75" x14ac:dyDescent="0.25">
      <c r="A2354" s="11" t="s">
        <v>2991</v>
      </c>
      <c r="B2354">
        <f>IFERROR(COUNTIFS($A$1:A2354,"Câu "&amp;"*")-MID(A2354,5,FIND(".",A2354,1)-5),0)</f>
        <v>0</v>
      </c>
      <c r="C2354" t="b">
        <v>1</v>
      </c>
      <c r="E2354" t="str">
        <f t="shared" si="216"/>
        <v>1</v>
      </c>
      <c r="F2354" t="str">
        <f t="shared" si="217"/>
        <v>2</v>
      </c>
      <c r="G2354" t="str">
        <f t="shared" si="218"/>
        <v>3</v>
      </c>
      <c r="H2354" t="str">
        <f t="shared" si="219"/>
        <v>4</v>
      </c>
      <c r="I2354" t="str">
        <f t="shared" si="220"/>
        <v/>
      </c>
      <c r="J2354" t="str">
        <f t="shared" ca="1" si="221"/>
        <v/>
      </c>
    </row>
    <row r="2355" spans="1:10" ht="18.75" x14ac:dyDescent="0.25">
      <c r="A2355" s="11" t="s">
        <v>2992</v>
      </c>
      <c r="B2355">
        <f>IFERROR(COUNTIFS($A$1:A2355,"Câu "&amp;"*")-MID(A2355,5,FIND(".",A2355,1)-5),0)</f>
        <v>0</v>
      </c>
      <c r="C2355" t="b">
        <v>0</v>
      </c>
      <c r="E2355" t="str">
        <f t="shared" si="216"/>
        <v>2</v>
      </c>
      <c r="F2355" t="str">
        <f t="shared" si="217"/>
        <v>3</v>
      </c>
      <c r="G2355" t="str">
        <f t="shared" si="218"/>
        <v>4</v>
      </c>
      <c r="H2355" t="str">
        <f t="shared" si="219"/>
        <v/>
      </c>
      <c r="I2355" t="str">
        <f t="shared" si="220"/>
        <v>1</v>
      </c>
      <c r="J2355" t="str">
        <f t="shared" ca="1" si="221"/>
        <v/>
      </c>
    </row>
    <row r="2356" spans="1:10" ht="18.75" x14ac:dyDescent="0.25">
      <c r="A2356" s="11" t="s">
        <v>2993</v>
      </c>
      <c r="B2356">
        <f>IFERROR(COUNTIFS($A$1:A2356,"Câu "&amp;"*")-MID(A2356,5,FIND(".",A2356,1)-5),0)</f>
        <v>0</v>
      </c>
      <c r="C2356" t="b">
        <v>0</v>
      </c>
      <c r="E2356" t="str">
        <f t="shared" si="216"/>
        <v>3</v>
      </c>
      <c r="F2356" t="str">
        <f t="shared" si="217"/>
        <v>4</v>
      </c>
      <c r="G2356" t="str">
        <f t="shared" si="218"/>
        <v>Câu 571.</v>
      </c>
      <c r="H2356" t="str">
        <f t="shared" si="219"/>
        <v>1</v>
      </c>
      <c r="I2356" t="str">
        <f t="shared" si="220"/>
        <v>2</v>
      </c>
      <c r="J2356" t="str">
        <f t="shared" ca="1" si="221"/>
        <v/>
      </c>
    </row>
    <row r="2357" spans="1:10" ht="18.75" x14ac:dyDescent="0.25">
      <c r="A2357" s="11" t="s">
        <v>2994</v>
      </c>
      <c r="B2357">
        <f>IFERROR(COUNTIFS($A$1:A2357,"Câu "&amp;"*")-MID(A2357,5,FIND(".",A2357,1)-5),0)</f>
        <v>0</v>
      </c>
      <c r="C2357" t="b">
        <v>0</v>
      </c>
      <c r="E2357" t="str">
        <f t="shared" si="216"/>
        <v>4</v>
      </c>
      <c r="F2357" t="str">
        <f t="shared" si="217"/>
        <v>Câu 571.</v>
      </c>
      <c r="G2357" t="str">
        <f t="shared" si="218"/>
        <v>1</v>
      </c>
      <c r="H2357" t="str">
        <f t="shared" si="219"/>
        <v>2</v>
      </c>
      <c r="I2357" t="str">
        <f t="shared" si="220"/>
        <v>3</v>
      </c>
      <c r="J2357" t="str">
        <f t="shared" ca="1" si="221"/>
        <v/>
      </c>
    </row>
    <row r="2358" spans="1:10" ht="18.75" x14ac:dyDescent="0.25">
      <c r="A2358" s="10" t="s">
        <v>1659</v>
      </c>
      <c r="B2358">
        <f>IFERROR(COUNTIFS($A$1:A2358,"Câu "&amp;"*")-MID(A2358,5,FIND(".",A2358,1)-5),0)</f>
        <v>0</v>
      </c>
      <c r="C2358" t="b">
        <v>0</v>
      </c>
      <c r="E2358" t="str">
        <f t="shared" si="216"/>
        <v>Câu 571.</v>
      </c>
      <c r="F2358" t="str">
        <f t="shared" si="217"/>
        <v>1</v>
      </c>
      <c r="G2358" t="str">
        <f t="shared" si="218"/>
        <v>2</v>
      </c>
      <c r="H2358" t="str">
        <f t="shared" si="219"/>
        <v>3</v>
      </c>
      <c r="I2358" t="str">
        <f t="shared" si="220"/>
        <v/>
      </c>
      <c r="J2358" t="str">
        <f t="shared" ca="1" si="221"/>
        <v>3</v>
      </c>
    </row>
    <row r="2359" spans="1:10" ht="18.75" x14ac:dyDescent="0.25">
      <c r="A2359" s="11" t="s">
        <v>2995</v>
      </c>
      <c r="B2359">
        <f>IFERROR(COUNTIFS($A$1:A2359,"Câu "&amp;"*")-MID(A2359,5,FIND(".",A2359,1)-5),0)</f>
        <v>0</v>
      </c>
      <c r="C2359" t="b">
        <v>0</v>
      </c>
      <c r="E2359" t="str">
        <f t="shared" si="216"/>
        <v>1</v>
      </c>
      <c r="F2359" t="str">
        <f t="shared" si="217"/>
        <v>2</v>
      </c>
      <c r="G2359" t="str">
        <f t="shared" si="218"/>
        <v>3</v>
      </c>
      <c r="H2359" t="str">
        <f t="shared" si="219"/>
        <v/>
      </c>
      <c r="I2359" t="str">
        <f t="shared" si="220"/>
        <v>1</v>
      </c>
      <c r="J2359" t="str">
        <f t="shared" ca="1" si="221"/>
        <v/>
      </c>
    </row>
    <row r="2360" spans="1:10" ht="18.75" x14ac:dyDescent="0.25">
      <c r="A2360" s="11" t="s">
        <v>2996</v>
      </c>
      <c r="B2360">
        <f>IFERROR(COUNTIFS($A$1:A2360,"Câu "&amp;"*")-MID(A2360,5,FIND(".",A2360,1)-5),0)</f>
        <v>0</v>
      </c>
      <c r="C2360" t="b">
        <v>0</v>
      </c>
      <c r="E2360" t="str">
        <f t="shared" si="216"/>
        <v>2</v>
      </c>
      <c r="F2360" t="str">
        <f t="shared" si="217"/>
        <v>3</v>
      </c>
      <c r="G2360" t="str">
        <f t="shared" si="218"/>
        <v>Câu 572.</v>
      </c>
      <c r="H2360" t="str">
        <f t="shared" si="219"/>
        <v>1</v>
      </c>
      <c r="I2360" t="str">
        <f t="shared" si="220"/>
        <v>2</v>
      </c>
      <c r="J2360" t="str">
        <f t="shared" ca="1" si="221"/>
        <v/>
      </c>
    </row>
    <row r="2361" spans="1:10" ht="18.75" x14ac:dyDescent="0.25">
      <c r="A2361" s="11" t="s">
        <v>2997</v>
      </c>
      <c r="B2361">
        <f>IFERROR(COUNTIFS($A$1:A2361,"Câu "&amp;"*")-MID(A2361,5,FIND(".",A2361,1)-5),0)</f>
        <v>0</v>
      </c>
      <c r="C2361" t="b">
        <v>1</v>
      </c>
      <c r="E2361" t="str">
        <f t="shared" si="216"/>
        <v>3</v>
      </c>
      <c r="F2361" t="str">
        <f t="shared" si="217"/>
        <v>Câu 572.</v>
      </c>
      <c r="G2361" t="str">
        <f t="shared" si="218"/>
        <v>1</v>
      </c>
      <c r="H2361" t="str">
        <f t="shared" si="219"/>
        <v>2</v>
      </c>
      <c r="I2361" t="str">
        <f t="shared" si="220"/>
        <v>3</v>
      </c>
      <c r="J2361" t="str">
        <f t="shared" ca="1" si="221"/>
        <v/>
      </c>
    </row>
    <row r="2362" spans="1:10" ht="18.75" x14ac:dyDescent="0.25">
      <c r="A2362" s="10" t="s">
        <v>1663</v>
      </c>
      <c r="B2362">
        <f>IFERROR(COUNTIFS($A$1:A2362,"Câu "&amp;"*")-MID(A2362,5,FIND(".",A2362,1)-5),0)</f>
        <v>0</v>
      </c>
      <c r="C2362" t="b">
        <v>0</v>
      </c>
      <c r="E2362" t="str">
        <f t="shared" si="216"/>
        <v>Câu 572.</v>
      </c>
      <c r="F2362" t="str">
        <f t="shared" si="217"/>
        <v>1</v>
      </c>
      <c r="G2362" t="str">
        <f t="shared" si="218"/>
        <v>2</v>
      </c>
      <c r="H2362" t="str">
        <f t="shared" si="219"/>
        <v>3</v>
      </c>
      <c r="I2362" t="str">
        <f t="shared" si="220"/>
        <v/>
      </c>
      <c r="J2362" t="str">
        <f t="shared" ca="1" si="221"/>
        <v>2</v>
      </c>
    </row>
    <row r="2363" spans="1:10" ht="18.75" x14ac:dyDescent="0.25">
      <c r="A2363" s="11" t="s">
        <v>2998</v>
      </c>
      <c r="B2363">
        <f>IFERROR(COUNTIFS($A$1:A2363,"Câu "&amp;"*")-MID(A2363,5,FIND(".",A2363,1)-5),0)</f>
        <v>0</v>
      </c>
      <c r="C2363" t="b">
        <v>0</v>
      </c>
      <c r="E2363" t="str">
        <f t="shared" si="216"/>
        <v>1</v>
      </c>
      <c r="F2363" t="str">
        <f t="shared" si="217"/>
        <v>2</v>
      </c>
      <c r="G2363" t="str">
        <f t="shared" si="218"/>
        <v>3</v>
      </c>
      <c r="H2363" t="str">
        <f t="shared" si="219"/>
        <v/>
      </c>
      <c r="I2363" t="str">
        <f t="shared" si="220"/>
        <v>1</v>
      </c>
      <c r="J2363" t="str">
        <f t="shared" ca="1" si="221"/>
        <v/>
      </c>
    </row>
    <row r="2364" spans="1:10" ht="18.75" x14ac:dyDescent="0.25">
      <c r="A2364" s="11" t="s">
        <v>2999</v>
      </c>
      <c r="B2364">
        <f>IFERROR(COUNTIFS($A$1:A2364,"Câu "&amp;"*")-MID(A2364,5,FIND(".",A2364,1)-5),0)</f>
        <v>0</v>
      </c>
      <c r="C2364" t="b">
        <v>1</v>
      </c>
      <c r="E2364" t="str">
        <f t="shared" si="216"/>
        <v>2</v>
      </c>
      <c r="F2364" t="str">
        <f t="shared" si="217"/>
        <v>3</v>
      </c>
      <c r="G2364" t="str">
        <f t="shared" si="218"/>
        <v>Câu 573.</v>
      </c>
      <c r="H2364" t="str">
        <f t="shared" si="219"/>
        <v>1</v>
      </c>
      <c r="I2364" t="str">
        <f t="shared" si="220"/>
        <v>2</v>
      </c>
      <c r="J2364" t="str">
        <f t="shared" ca="1" si="221"/>
        <v/>
      </c>
    </row>
    <row r="2365" spans="1:10" ht="18.75" x14ac:dyDescent="0.25">
      <c r="A2365" s="11" t="s">
        <v>3000</v>
      </c>
      <c r="B2365">
        <f>IFERROR(COUNTIFS($A$1:A2365,"Câu "&amp;"*")-MID(A2365,5,FIND(".",A2365,1)-5),0)</f>
        <v>0</v>
      </c>
      <c r="C2365" t="b">
        <v>0</v>
      </c>
      <c r="E2365" t="str">
        <f t="shared" si="216"/>
        <v>3</v>
      </c>
      <c r="F2365" t="str">
        <f t="shared" si="217"/>
        <v>Câu 573.</v>
      </c>
      <c r="G2365" t="str">
        <f t="shared" si="218"/>
        <v>1</v>
      </c>
      <c r="H2365" t="str">
        <f t="shared" si="219"/>
        <v>2</v>
      </c>
      <c r="I2365" t="str">
        <f t="shared" si="220"/>
        <v>3</v>
      </c>
      <c r="J2365" t="str">
        <f t="shared" ca="1" si="221"/>
        <v/>
      </c>
    </row>
    <row r="2366" spans="1:10" ht="18.75" x14ac:dyDescent="0.25">
      <c r="A2366" s="10" t="s">
        <v>1667</v>
      </c>
      <c r="B2366">
        <f>IFERROR(COUNTIFS($A$1:A2366,"Câu "&amp;"*")-MID(A2366,5,FIND(".",A2366,1)-5),0)</f>
        <v>0</v>
      </c>
      <c r="C2366" t="b">
        <v>0</v>
      </c>
      <c r="E2366" t="str">
        <f t="shared" si="216"/>
        <v>Câu 573.</v>
      </c>
      <c r="F2366" t="str">
        <f t="shared" si="217"/>
        <v>1</v>
      </c>
      <c r="G2366" t="str">
        <f t="shared" si="218"/>
        <v>2</v>
      </c>
      <c r="H2366" t="str">
        <f t="shared" si="219"/>
        <v>3</v>
      </c>
      <c r="I2366" t="str">
        <f t="shared" si="220"/>
        <v/>
      </c>
      <c r="J2366" t="str">
        <f t="shared" ca="1" si="221"/>
        <v>3</v>
      </c>
    </row>
    <row r="2367" spans="1:10" ht="18.75" x14ac:dyDescent="0.25">
      <c r="A2367" s="11" t="s">
        <v>3001</v>
      </c>
      <c r="B2367">
        <f>IFERROR(COUNTIFS($A$1:A2367,"Câu "&amp;"*")-MID(A2367,5,FIND(".",A2367,1)-5),0)</f>
        <v>0</v>
      </c>
      <c r="C2367" t="b">
        <v>0</v>
      </c>
      <c r="E2367" t="str">
        <f t="shared" si="216"/>
        <v>1</v>
      </c>
      <c r="F2367" t="str">
        <f t="shared" si="217"/>
        <v>2</v>
      </c>
      <c r="G2367" t="str">
        <f t="shared" si="218"/>
        <v>3</v>
      </c>
      <c r="H2367" t="str">
        <f t="shared" si="219"/>
        <v/>
      </c>
      <c r="I2367" t="str">
        <f t="shared" si="220"/>
        <v>1</v>
      </c>
      <c r="J2367" t="str">
        <f t="shared" ca="1" si="221"/>
        <v/>
      </c>
    </row>
    <row r="2368" spans="1:10" ht="18.75" x14ac:dyDescent="0.25">
      <c r="A2368" s="11" t="s">
        <v>3002</v>
      </c>
      <c r="B2368">
        <f>IFERROR(COUNTIFS($A$1:A2368,"Câu "&amp;"*")-MID(A2368,5,FIND(".",A2368,1)-5),0)</f>
        <v>0</v>
      </c>
      <c r="C2368" t="b">
        <v>0</v>
      </c>
      <c r="E2368" t="str">
        <f t="shared" si="216"/>
        <v>2</v>
      </c>
      <c r="F2368" t="str">
        <f t="shared" si="217"/>
        <v>3</v>
      </c>
      <c r="G2368" t="str">
        <f t="shared" si="218"/>
        <v>Câu 574.</v>
      </c>
      <c r="H2368" t="str">
        <f t="shared" si="219"/>
        <v>1</v>
      </c>
      <c r="I2368" t="str">
        <f t="shared" si="220"/>
        <v>2</v>
      </c>
      <c r="J2368" t="str">
        <f t="shared" ca="1" si="221"/>
        <v/>
      </c>
    </row>
    <row r="2369" spans="1:10" ht="18.75" x14ac:dyDescent="0.25">
      <c r="A2369" s="11" t="s">
        <v>3003</v>
      </c>
      <c r="B2369">
        <f>IFERROR(COUNTIFS($A$1:A2369,"Câu "&amp;"*")-MID(A2369,5,FIND(".",A2369,1)-5),0)</f>
        <v>0</v>
      </c>
      <c r="C2369" t="b">
        <v>1</v>
      </c>
      <c r="E2369" t="str">
        <f t="shared" si="216"/>
        <v>3</v>
      </c>
      <c r="F2369" t="str">
        <f t="shared" si="217"/>
        <v>Câu 574.</v>
      </c>
      <c r="G2369" t="str">
        <f t="shared" si="218"/>
        <v>1</v>
      </c>
      <c r="H2369" t="str">
        <f t="shared" si="219"/>
        <v>2</v>
      </c>
      <c r="I2369" t="str">
        <f t="shared" si="220"/>
        <v>3</v>
      </c>
      <c r="J2369" t="str">
        <f t="shared" ca="1" si="221"/>
        <v/>
      </c>
    </row>
    <row r="2370" spans="1:10" ht="18.75" x14ac:dyDescent="0.25">
      <c r="A2370" s="10" t="s">
        <v>1774</v>
      </c>
      <c r="B2370">
        <f>IFERROR(COUNTIFS($A$1:A2370,"Câu "&amp;"*")-MID(A2370,5,FIND(".",A2370,1)-5),0)</f>
        <v>0</v>
      </c>
      <c r="C2370" t="b">
        <v>0</v>
      </c>
      <c r="E2370" t="str">
        <f t="shared" si="216"/>
        <v>Câu 574.</v>
      </c>
      <c r="F2370" t="str">
        <f t="shared" si="217"/>
        <v>1</v>
      </c>
      <c r="G2370" t="str">
        <f t="shared" si="218"/>
        <v>2</v>
      </c>
      <c r="H2370" t="str">
        <f t="shared" si="219"/>
        <v>3</v>
      </c>
      <c r="I2370" t="str">
        <f t="shared" si="220"/>
        <v/>
      </c>
      <c r="J2370" t="str">
        <f t="shared" ca="1" si="221"/>
        <v>3</v>
      </c>
    </row>
    <row r="2371" spans="1:10" ht="18.75" x14ac:dyDescent="0.25">
      <c r="A2371" s="11" t="s">
        <v>3004</v>
      </c>
      <c r="B2371">
        <f>IFERROR(COUNTIFS($A$1:A2371,"Câu "&amp;"*")-MID(A2371,5,FIND(".",A2371,1)-5),0)</f>
        <v>0</v>
      </c>
      <c r="C2371" t="b">
        <v>0</v>
      </c>
      <c r="E2371" t="str">
        <f t="shared" ref="E2371:E2434" si="222">IF(LEFT(A2371,3)="Câu",LEFT(A2371,FIND(".",A2371,1)),LEFT(A2371,1))</f>
        <v>1</v>
      </c>
      <c r="F2371" t="str">
        <f t="shared" ref="F2371:F2434" si="223">IF(LEFT(A2372,3)="Câu",LEFT(A2372,FIND(".",A2372,1)),LEFT(A2372,1))</f>
        <v>2</v>
      </c>
      <c r="G2371" t="str">
        <f t="shared" ref="G2371:G2434" si="224">IF(LEFT(A2373,3)="Câu",LEFT(A2373,FIND(".",A2373,1)),LEFT(A2373,1))</f>
        <v>3</v>
      </c>
      <c r="H2371" t="str">
        <f t="shared" ref="H2371:H2434" si="225">IF(LEFT(A2374,3)="Câu","",LEFT(A2374,1))</f>
        <v/>
      </c>
      <c r="I2371" t="str">
        <f t="shared" ref="I2371:I2434" si="226">IF(LEFT(A2375,3)="Câu","",LEFT(A2375,1))</f>
        <v>1</v>
      </c>
      <c r="J2371" t="str">
        <f t="shared" ref="J2371:J2434" ca="1" si="227">IFERROR(VLOOKUP(TRUE,INDIRECT("C"&amp;MATCH(E2371,$E$1:$E$2471,0)&amp;":E"&amp;MATCH("Câu "&amp;VALUE(MID(E2371,5,LEN(E2371)-5))+1&amp;".",$E$1:$E$2471,0)),3,0),"")</f>
        <v/>
      </c>
    </row>
    <row r="2372" spans="1:10" ht="18.75" x14ac:dyDescent="0.25">
      <c r="A2372" s="11" t="s">
        <v>3005</v>
      </c>
      <c r="B2372">
        <f>IFERROR(COUNTIFS($A$1:A2372,"Câu "&amp;"*")-MID(A2372,5,FIND(".",A2372,1)-5),0)</f>
        <v>0</v>
      </c>
      <c r="C2372" t="b">
        <v>0</v>
      </c>
      <c r="E2372" t="str">
        <f t="shared" si="222"/>
        <v>2</v>
      </c>
      <c r="F2372" t="str">
        <f t="shared" si="223"/>
        <v>3</v>
      </c>
      <c r="G2372" t="str">
        <f t="shared" si="224"/>
        <v>Câu 575.</v>
      </c>
      <c r="H2372" t="str">
        <f t="shared" si="225"/>
        <v>1</v>
      </c>
      <c r="I2372" t="str">
        <f t="shared" si="226"/>
        <v>2</v>
      </c>
      <c r="J2372" t="str">
        <f t="shared" ca="1" si="227"/>
        <v/>
      </c>
    </row>
    <row r="2373" spans="1:10" ht="18.75" x14ac:dyDescent="0.25">
      <c r="A2373" s="11" t="s">
        <v>3006</v>
      </c>
      <c r="B2373">
        <f>IFERROR(COUNTIFS($A$1:A2373,"Câu "&amp;"*")-MID(A2373,5,FIND(".",A2373,1)-5),0)</f>
        <v>0</v>
      </c>
      <c r="C2373" t="b">
        <v>1</v>
      </c>
      <c r="E2373" t="str">
        <f t="shared" si="222"/>
        <v>3</v>
      </c>
      <c r="F2373" t="str">
        <f t="shared" si="223"/>
        <v>Câu 575.</v>
      </c>
      <c r="G2373" t="str">
        <f t="shared" si="224"/>
        <v>1</v>
      </c>
      <c r="H2373" t="str">
        <f t="shared" si="225"/>
        <v>2</v>
      </c>
      <c r="I2373" t="str">
        <f t="shared" si="226"/>
        <v>3</v>
      </c>
      <c r="J2373" t="str">
        <f t="shared" ca="1" si="227"/>
        <v/>
      </c>
    </row>
    <row r="2374" spans="1:10" ht="18.75" x14ac:dyDescent="0.25">
      <c r="A2374" s="10" t="s">
        <v>1674</v>
      </c>
      <c r="B2374">
        <f>IFERROR(COUNTIFS($A$1:A2374,"Câu "&amp;"*")-MID(A2374,5,FIND(".",A2374,1)-5),0)</f>
        <v>0</v>
      </c>
      <c r="C2374" t="b">
        <v>0</v>
      </c>
      <c r="E2374" t="str">
        <f t="shared" si="222"/>
        <v>Câu 575.</v>
      </c>
      <c r="F2374" t="str">
        <f t="shared" si="223"/>
        <v>1</v>
      </c>
      <c r="G2374" t="str">
        <f t="shared" si="224"/>
        <v>2</v>
      </c>
      <c r="H2374" t="str">
        <f t="shared" si="225"/>
        <v>3</v>
      </c>
      <c r="I2374" t="str">
        <f t="shared" si="226"/>
        <v/>
      </c>
      <c r="J2374" t="str">
        <f t="shared" ca="1" si="227"/>
        <v>2</v>
      </c>
    </row>
    <row r="2375" spans="1:10" ht="18.75" x14ac:dyDescent="0.25">
      <c r="A2375" s="11" t="s">
        <v>2852</v>
      </c>
      <c r="B2375">
        <f>IFERROR(COUNTIFS($A$1:A2375,"Câu "&amp;"*")-MID(A2375,5,FIND(".",A2375,1)-5),0)</f>
        <v>0</v>
      </c>
      <c r="C2375" t="b">
        <v>0</v>
      </c>
      <c r="E2375" t="str">
        <f t="shared" si="222"/>
        <v>1</v>
      </c>
      <c r="F2375" t="str">
        <f t="shared" si="223"/>
        <v>2</v>
      </c>
      <c r="G2375" t="str">
        <f t="shared" si="224"/>
        <v>3</v>
      </c>
      <c r="H2375" t="str">
        <f t="shared" si="225"/>
        <v/>
      </c>
      <c r="I2375" t="str">
        <f t="shared" si="226"/>
        <v>1</v>
      </c>
      <c r="J2375" t="str">
        <f t="shared" ca="1" si="227"/>
        <v/>
      </c>
    </row>
    <row r="2376" spans="1:10" ht="18.75" x14ac:dyDescent="0.25">
      <c r="A2376" s="11" t="s">
        <v>2892</v>
      </c>
      <c r="B2376">
        <f>IFERROR(COUNTIFS($A$1:A2376,"Câu "&amp;"*")-MID(A2376,5,FIND(".",A2376,1)-5),0)</f>
        <v>0</v>
      </c>
      <c r="C2376" t="b">
        <v>1</v>
      </c>
      <c r="E2376" t="str">
        <f t="shared" si="222"/>
        <v>2</v>
      </c>
      <c r="F2376" t="str">
        <f t="shared" si="223"/>
        <v>3</v>
      </c>
      <c r="G2376" t="str">
        <f t="shared" si="224"/>
        <v>Câu 576.</v>
      </c>
      <c r="H2376" t="str">
        <f t="shared" si="225"/>
        <v>1</v>
      </c>
      <c r="I2376" t="str">
        <f t="shared" si="226"/>
        <v>2</v>
      </c>
      <c r="J2376" t="str">
        <f t="shared" ca="1" si="227"/>
        <v/>
      </c>
    </row>
    <row r="2377" spans="1:10" ht="18.75" x14ac:dyDescent="0.25">
      <c r="A2377" s="11" t="s">
        <v>3007</v>
      </c>
      <c r="B2377">
        <f>IFERROR(COUNTIFS($A$1:A2377,"Câu "&amp;"*")-MID(A2377,5,FIND(".",A2377,1)-5),0)</f>
        <v>0</v>
      </c>
      <c r="C2377" t="b">
        <v>0</v>
      </c>
      <c r="E2377" t="str">
        <f t="shared" si="222"/>
        <v>3</v>
      </c>
      <c r="F2377" t="str">
        <f t="shared" si="223"/>
        <v>Câu 576.</v>
      </c>
      <c r="G2377" t="str">
        <f t="shared" si="224"/>
        <v>1</v>
      </c>
      <c r="H2377" t="str">
        <f t="shared" si="225"/>
        <v>2</v>
      </c>
      <c r="I2377" t="str">
        <f t="shared" si="226"/>
        <v/>
      </c>
      <c r="J2377" t="str">
        <f t="shared" ca="1" si="227"/>
        <v/>
      </c>
    </row>
    <row r="2378" spans="1:10" ht="18.75" x14ac:dyDescent="0.25">
      <c r="A2378" s="10" t="s">
        <v>1675</v>
      </c>
      <c r="B2378">
        <f>IFERROR(COUNTIFS($A$1:A2378,"Câu "&amp;"*")-MID(A2378,5,FIND(".",A2378,1)-5),0)</f>
        <v>0</v>
      </c>
      <c r="C2378" t="b">
        <v>0</v>
      </c>
      <c r="E2378" t="str">
        <f t="shared" si="222"/>
        <v>Câu 576.</v>
      </c>
      <c r="F2378" t="str">
        <f t="shared" si="223"/>
        <v>1</v>
      </c>
      <c r="G2378" t="str">
        <f t="shared" si="224"/>
        <v>2</v>
      </c>
      <c r="H2378" t="str">
        <f t="shared" si="225"/>
        <v/>
      </c>
      <c r="I2378" t="str">
        <f t="shared" si="226"/>
        <v>1</v>
      </c>
      <c r="J2378" t="str">
        <f t="shared" ca="1" si="227"/>
        <v>2</v>
      </c>
    </row>
    <row r="2379" spans="1:10" ht="18.75" x14ac:dyDescent="0.25">
      <c r="A2379" s="11" t="s">
        <v>3008</v>
      </c>
      <c r="B2379">
        <f>IFERROR(COUNTIFS($A$1:A2379,"Câu "&amp;"*")-MID(A2379,5,FIND(".",A2379,1)-5),0)</f>
        <v>0</v>
      </c>
      <c r="C2379" t="b">
        <v>0</v>
      </c>
      <c r="E2379" t="str">
        <f t="shared" si="222"/>
        <v>1</v>
      </c>
      <c r="F2379" t="str">
        <f t="shared" si="223"/>
        <v>2</v>
      </c>
      <c r="G2379" t="str">
        <f t="shared" si="224"/>
        <v>Câu 577.</v>
      </c>
      <c r="H2379" t="str">
        <f t="shared" si="225"/>
        <v>1</v>
      </c>
      <c r="I2379" t="str">
        <f t="shared" si="226"/>
        <v>2</v>
      </c>
      <c r="J2379" t="str">
        <f t="shared" ca="1" si="227"/>
        <v/>
      </c>
    </row>
    <row r="2380" spans="1:10" ht="18.75" x14ac:dyDescent="0.25">
      <c r="A2380" s="11" t="s">
        <v>3009</v>
      </c>
      <c r="B2380">
        <f>IFERROR(COUNTIFS($A$1:A2380,"Câu "&amp;"*")-MID(A2380,5,FIND(".",A2380,1)-5),0)</f>
        <v>0</v>
      </c>
      <c r="C2380" t="b">
        <v>1</v>
      </c>
      <c r="E2380" t="str">
        <f t="shared" si="222"/>
        <v>2</v>
      </c>
      <c r="F2380" t="str">
        <f t="shared" si="223"/>
        <v>Câu 577.</v>
      </c>
      <c r="G2380" t="str">
        <f t="shared" si="224"/>
        <v>1</v>
      </c>
      <c r="H2380" t="str">
        <f t="shared" si="225"/>
        <v>2</v>
      </c>
      <c r="I2380" t="str">
        <f t="shared" si="226"/>
        <v/>
      </c>
      <c r="J2380" t="str">
        <f t="shared" ca="1" si="227"/>
        <v/>
      </c>
    </row>
    <row r="2381" spans="1:10" ht="18.75" x14ac:dyDescent="0.25">
      <c r="A2381" s="10" t="s">
        <v>1678</v>
      </c>
      <c r="B2381">
        <f>IFERROR(COUNTIFS($A$1:A2381,"Câu "&amp;"*")-MID(A2381,5,FIND(".",A2381,1)-5),0)</f>
        <v>0</v>
      </c>
      <c r="C2381" t="b">
        <v>0</v>
      </c>
      <c r="E2381" t="str">
        <f t="shared" si="222"/>
        <v>Câu 577.</v>
      </c>
      <c r="F2381" t="str">
        <f t="shared" si="223"/>
        <v>1</v>
      </c>
      <c r="G2381" t="str">
        <f t="shared" si="224"/>
        <v>2</v>
      </c>
      <c r="H2381" t="str">
        <f t="shared" si="225"/>
        <v/>
      </c>
      <c r="I2381" t="str">
        <f t="shared" si="226"/>
        <v>1</v>
      </c>
      <c r="J2381" t="str">
        <f t="shared" ca="1" si="227"/>
        <v>2</v>
      </c>
    </row>
    <row r="2382" spans="1:10" ht="18.75" x14ac:dyDescent="0.25">
      <c r="A2382" s="11" t="s">
        <v>3010</v>
      </c>
      <c r="B2382">
        <f>IFERROR(COUNTIFS($A$1:A2382,"Câu "&amp;"*")-MID(A2382,5,FIND(".",A2382,1)-5),0)</f>
        <v>0</v>
      </c>
      <c r="C2382" t="b">
        <v>0</v>
      </c>
      <c r="E2382" t="str">
        <f t="shared" si="222"/>
        <v>1</v>
      </c>
      <c r="F2382" t="str">
        <f t="shared" si="223"/>
        <v>2</v>
      </c>
      <c r="G2382" t="str">
        <f t="shared" si="224"/>
        <v>Câu 578.</v>
      </c>
      <c r="H2382" t="str">
        <f t="shared" si="225"/>
        <v>1</v>
      </c>
      <c r="I2382" t="str">
        <f t="shared" si="226"/>
        <v>2</v>
      </c>
      <c r="J2382" t="str">
        <f t="shared" ca="1" si="227"/>
        <v/>
      </c>
    </row>
    <row r="2383" spans="1:10" ht="18.75" x14ac:dyDescent="0.25">
      <c r="A2383" s="11" t="s">
        <v>3011</v>
      </c>
      <c r="B2383">
        <f>IFERROR(COUNTIFS($A$1:A2383,"Câu "&amp;"*")-MID(A2383,5,FIND(".",A2383,1)-5),0)</f>
        <v>0</v>
      </c>
      <c r="C2383" t="b">
        <v>1</v>
      </c>
      <c r="E2383" t="str">
        <f t="shared" si="222"/>
        <v>2</v>
      </c>
      <c r="F2383" t="str">
        <f t="shared" si="223"/>
        <v>Câu 578.</v>
      </c>
      <c r="G2383" t="str">
        <f t="shared" si="224"/>
        <v>1</v>
      </c>
      <c r="H2383" t="str">
        <f t="shared" si="225"/>
        <v>2</v>
      </c>
      <c r="I2383" t="str">
        <f t="shared" si="226"/>
        <v>3</v>
      </c>
      <c r="J2383" t="str">
        <f t="shared" ca="1" si="227"/>
        <v/>
      </c>
    </row>
    <row r="2384" spans="1:10" ht="409.5" x14ac:dyDescent="0.25">
      <c r="A2384" s="4" t="s">
        <v>1681</v>
      </c>
      <c r="B2384">
        <f>IFERROR(COUNTIFS($A$1:A2384,"Câu "&amp;"*")-MID(A2384,5,FIND(".",A2384,1)-5),0)</f>
        <v>0</v>
      </c>
      <c r="C2384" t="b">
        <v>0</v>
      </c>
      <c r="E2384" t="str">
        <f t="shared" si="222"/>
        <v>Câu 578.</v>
      </c>
      <c r="F2384" t="str">
        <f t="shared" si="223"/>
        <v>1</v>
      </c>
      <c r="G2384" t="str">
        <f t="shared" si="224"/>
        <v>2</v>
      </c>
      <c r="H2384" t="str">
        <f t="shared" si="225"/>
        <v>3</v>
      </c>
      <c r="I2384" t="str">
        <f t="shared" si="226"/>
        <v>4</v>
      </c>
      <c r="J2384" t="str">
        <f t="shared" ca="1" si="227"/>
        <v>4</v>
      </c>
    </row>
    <row r="2385" spans="1:10" ht="18.75" x14ac:dyDescent="0.25">
      <c r="A2385" s="11" t="s">
        <v>3012</v>
      </c>
      <c r="B2385">
        <f>IFERROR(COUNTIFS($A$1:A2385,"Câu "&amp;"*")-MID(A2385,5,FIND(".",A2385,1)-5),0)</f>
        <v>0</v>
      </c>
      <c r="C2385" t="b">
        <v>0</v>
      </c>
      <c r="E2385" t="str">
        <f t="shared" si="222"/>
        <v>1</v>
      </c>
      <c r="F2385" t="str">
        <f t="shared" si="223"/>
        <v>2</v>
      </c>
      <c r="G2385" t="str">
        <f t="shared" si="224"/>
        <v>3</v>
      </c>
      <c r="H2385" t="str">
        <f t="shared" si="225"/>
        <v>4</v>
      </c>
      <c r="I2385" t="str">
        <f t="shared" si="226"/>
        <v/>
      </c>
      <c r="J2385" t="str">
        <f t="shared" ca="1" si="227"/>
        <v/>
      </c>
    </row>
    <row r="2386" spans="1:10" ht="18.75" x14ac:dyDescent="0.25">
      <c r="A2386" s="11" t="s">
        <v>3013</v>
      </c>
      <c r="B2386">
        <f>IFERROR(COUNTIFS($A$1:A2386,"Câu "&amp;"*")-MID(A2386,5,FIND(".",A2386,1)-5),0)</f>
        <v>0</v>
      </c>
      <c r="C2386" t="b">
        <v>0</v>
      </c>
      <c r="E2386" t="str">
        <f t="shared" si="222"/>
        <v>2</v>
      </c>
      <c r="F2386" t="str">
        <f t="shared" si="223"/>
        <v>3</v>
      </c>
      <c r="G2386" t="str">
        <f t="shared" si="224"/>
        <v>4</v>
      </c>
      <c r="H2386" t="str">
        <f t="shared" si="225"/>
        <v/>
      </c>
      <c r="I2386" t="str">
        <f t="shared" si="226"/>
        <v>1</v>
      </c>
      <c r="J2386" t="str">
        <f t="shared" ca="1" si="227"/>
        <v/>
      </c>
    </row>
    <row r="2387" spans="1:10" ht="18.75" x14ac:dyDescent="0.25">
      <c r="A2387" s="11" t="s">
        <v>3014</v>
      </c>
      <c r="B2387">
        <f>IFERROR(COUNTIFS($A$1:A2387,"Câu "&amp;"*")-MID(A2387,5,FIND(".",A2387,1)-5),0)</f>
        <v>0</v>
      </c>
      <c r="C2387" t="b">
        <v>0</v>
      </c>
      <c r="E2387" t="str">
        <f t="shared" si="222"/>
        <v>3</v>
      </c>
      <c r="F2387" t="str">
        <f t="shared" si="223"/>
        <v>4</v>
      </c>
      <c r="G2387" t="str">
        <f t="shared" si="224"/>
        <v>Câu 579.</v>
      </c>
      <c r="H2387" t="str">
        <f t="shared" si="225"/>
        <v>1</v>
      </c>
      <c r="I2387" t="str">
        <f t="shared" si="226"/>
        <v>2</v>
      </c>
      <c r="J2387" t="str">
        <f t="shared" ca="1" si="227"/>
        <v/>
      </c>
    </row>
    <row r="2388" spans="1:10" ht="18.75" x14ac:dyDescent="0.25">
      <c r="A2388" s="11" t="s">
        <v>1978</v>
      </c>
      <c r="B2388">
        <f>IFERROR(COUNTIFS($A$1:A2388,"Câu "&amp;"*")-MID(A2388,5,FIND(".",A2388,1)-5),0)</f>
        <v>0</v>
      </c>
      <c r="C2388" t="b">
        <v>1</v>
      </c>
      <c r="E2388" t="str">
        <f t="shared" si="222"/>
        <v>4</v>
      </c>
      <c r="F2388" t="str">
        <f t="shared" si="223"/>
        <v>Câu 579.</v>
      </c>
      <c r="G2388" t="str">
        <f t="shared" si="224"/>
        <v>1</v>
      </c>
      <c r="H2388" t="str">
        <f t="shared" si="225"/>
        <v>2</v>
      </c>
      <c r="I2388" t="str">
        <f t="shared" si="226"/>
        <v>3</v>
      </c>
      <c r="J2388" t="str">
        <f t="shared" ca="1" si="227"/>
        <v/>
      </c>
    </row>
    <row r="2389" spans="1:10" ht="206.25" x14ac:dyDescent="0.25">
      <c r="A2389" s="4" t="s">
        <v>1685</v>
      </c>
      <c r="B2389">
        <f>IFERROR(COUNTIFS($A$1:A2389,"Câu "&amp;"*")-MID(A2389,5,FIND(".",A2389,1)-5),0)</f>
        <v>0</v>
      </c>
      <c r="C2389" t="b">
        <v>0</v>
      </c>
      <c r="E2389" t="str">
        <f t="shared" si="222"/>
        <v>Câu 579.</v>
      </c>
      <c r="F2389" t="str">
        <f t="shared" si="223"/>
        <v>1</v>
      </c>
      <c r="G2389" t="str">
        <f t="shared" si="224"/>
        <v>2</v>
      </c>
      <c r="H2389" t="str">
        <f t="shared" si="225"/>
        <v>3</v>
      </c>
      <c r="I2389" t="str">
        <f t="shared" si="226"/>
        <v/>
      </c>
      <c r="J2389" t="str">
        <f t="shared" ca="1" si="227"/>
        <v>3</v>
      </c>
    </row>
    <row r="2390" spans="1:10" ht="18.75" x14ac:dyDescent="0.25">
      <c r="A2390" s="11" t="s">
        <v>3015</v>
      </c>
      <c r="B2390">
        <f>IFERROR(COUNTIFS($A$1:A2390,"Câu "&amp;"*")-MID(A2390,5,FIND(".",A2390,1)-5),0)</f>
        <v>0</v>
      </c>
      <c r="C2390" t="b">
        <v>0</v>
      </c>
      <c r="E2390" t="str">
        <f t="shared" si="222"/>
        <v>1</v>
      </c>
      <c r="F2390" t="str">
        <f t="shared" si="223"/>
        <v>2</v>
      </c>
      <c r="G2390" t="str">
        <f t="shared" si="224"/>
        <v>3</v>
      </c>
      <c r="H2390" t="str">
        <f t="shared" si="225"/>
        <v/>
      </c>
      <c r="I2390" t="str">
        <f t="shared" si="226"/>
        <v>1</v>
      </c>
      <c r="J2390" t="str">
        <f t="shared" ca="1" si="227"/>
        <v/>
      </c>
    </row>
    <row r="2391" spans="1:10" ht="18.75" x14ac:dyDescent="0.25">
      <c r="A2391" s="11" t="s">
        <v>3016</v>
      </c>
      <c r="B2391">
        <f>IFERROR(COUNTIFS($A$1:A2391,"Câu "&amp;"*")-MID(A2391,5,FIND(".",A2391,1)-5),0)</f>
        <v>0</v>
      </c>
      <c r="C2391" t="b">
        <v>0</v>
      </c>
      <c r="E2391" t="str">
        <f t="shared" si="222"/>
        <v>2</v>
      </c>
      <c r="F2391" t="str">
        <f t="shared" si="223"/>
        <v>3</v>
      </c>
      <c r="G2391" t="str">
        <f t="shared" si="224"/>
        <v>Câu 580.</v>
      </c>
      <c r="H2391" t="str">
        <f t="shared" si="225"/>
        <v>1</v>
      </c>
      <c r="I2391" t="str">
        <f t="shared" si="226"/>
        <v>2</v>
      </c>
      <c r="J2391" t="str">
        <f t="shared" ca="1" si="227"/>
        <v/>
      </c>
    </row>
    <row r="2392" spans="1:10" ht="18.75" x14ac:dyDescent="0.25">
      <c r="A2392" s="11" t="s">
        <v>3017</v>
      </c>
      <c r="B2392">
        <f>IFERROR(COUNTIFS($A$1:A2392,"Câu "&amp;"*")-MID(A2392,5,FIND(".",A2392,1)-5),0)</f>
        <v>0</v>
      </c>
      <c r="C2392" t="b">
        <v>1</v>
      </c>
      <c r="E2392" t="str">
        <f t="shared" si="222"/>
        <v>3</v>
      </c>
      <c r="F2392" t="str">
        <f t="shared" si="223"/>
        <v>Câu 580.</v>
      </c>
      <c r="G2392" t="str">
        <f t="shared" si="224"/>
        <v>1</v>
      </c>
      <c r="H2392" t="str">
        <f t="shared" si="225"/>
        <v>2</v>
      </c>
      <c r="I2392" t="str">
        <f t="shared" si="226"/>
        <v>3</v>
      </c>
      <c r="J2392" t="str">
        <f t="shared" ca="1" si="227"/>
        <v/>
      </c>
    </row>
    <row r="2393" spans="1:10" ht="18.75" x14ac:dyDescent="0.25">
      <c r="A2393" s="10" t="s">
        <v>1689</v>
      </c>
      <c r="B2393">
        <f>IFERROR(COUNTIFS($A$1:A2393,"Câu "&amp;"*")-MID(A2393,5,FIND(".",A2393,1)-5),0)</f>
        <v>0</v>
      </c>
      <c r="C2393" t="b">
        <v>0</v>
      </c>
      <c r="E2393" t="str">
        <f t="shared" si="222"/>
        <v>Câu 580.</v>
      </c>
      <c r="F2393" t="str">
        <f t="shared" si="223"/>
        <v>1</v>
      </c>
      <c r="G2393" t="str">
        <f t="shared" si="224"/>
        <v>2</v>
      </c>
      <c r="H2393" t="str">
        <f t="shared" si="225"/>
        <v>3</v>
      </c>
      <c r="I2393" t="str">
        <f t="shared" si="226"/>
        <v/>
      </c>
      <c r="J2393" t="str">
        <f t="shared" ca="1" si="227"/>
        <v>1</v>
      </c>
    </row>
    <row r="2394" spans="1:10" ht="18.75" x14ac:dyDescent="0.25">
      <c r="A2394" s="11" t="s">
        <v>3018</v>
      </c>
      <c r="B2394">
        <f>IFERROR(COUNTIFS($A$1:A2394,"Câu "&amp;"*")-MID(A2394,5,FIND(".",A2394,1)-5),0)</f>
        <v>0</v>
      </c>
      <c r="C2394" t="b">
        <v>1</v>
      </c>
      <c r="E2394" t="str">
        <f t="shared" si="222"/>
        <v>1</v>
      </c>
      <c r="F2394" t="str">
        <f t="shared" si="223"/>
        <v>2</v>
      </c>
      <c r="G2394" t="str">
        <f t="shared" si="224"/>
        <v>3</v>
      </c>
      <c r="H2394" t="str">
        <f t="shared" si="225"/>
        <v/>
      </c>
      <c r="I2394" t="str">
        <f t="shared" si="226"/>
        <v>1</v>
      </c>
      <c r="J2394" t="str">
        <f t="shared" ca="1" si="227"/>
        <v/>
      </c>
    </row>
    <row r="2395" spans="1:10" ht="18.75" x14ac:dyDescent="0.25">
      <c r="A2395" s="11" t="s">
        <v>3019</v>
      </c>
      <c r="B2395">
        <f>IFERROR(COUNTIFS($A$1:A2395,"Câu "&amp;"*")-MID(A2395,5,FIND(".",A2395,1)-5),0)</f>
        <v>0</v>
      </c>
      <c r="C2395" t="b">
        <v>0</v>
      </c>
      <c r="E2395" t="str">
        <f t="shared" si="222"/>
        <v>2</v>
      </c>
      <c r="F2395" t="str">
        <f t="shared" si="223"/>
        <v>3</v>
      </c>
      <c r="G2395" t="str">
        <f t="shared" si="224"/>
        <v>Câu 581.</v>
      </c>
      <c r="H2395" t="str">
        <f t="shared" si="225"/>
        <v>1</v>
      </c>
      <c r="I2395" t="str">
        <f t="shared" si="226"/>
        <v>2</v>
      </c>
      <c r="J2395" t="str">
        <f t="shared" ca="1" si="227"/>
        <v/>
      </c>
    </row>
    <row r="2396" spans="1:10" ht="18.75" x14ac:dyDescent="0.25">
      <c r="A2396" s="11" t="s">
        <v>3020</v>
      </c>
      <c r="B2396">
        <f>IFERROR(COUNTIFS($A$1:A2396,"Câu "&amp;"*")-MID(A2396,5,FIND(".",A2396,1)-5),0)</f>
        <v>0</v>
      </c>
      <c r="C2396" t="b">
        <v>0</v>
      </c>
      <c r="E2396" t="str">
        <f t="shared" si="222"/>
        <v>3</v>
      </c>
      <c r="F2396" t="str">
        <f t="shared" si="223"/>
        <v>Câu 581.</v>
      </c>
      <c r="G2396" t="str">
        <f t="shared" si="224"/>
        <v>1</v>
      </c>
      <c r="H2396" t="str">
        <f t="shared" si="225"/>
        <v>2</v>
      </c>
      <c r="I2396" t="str">
        <f t="shared" si="226"/>
        <v>3</v>
      </c>
      <c r="J2396" t="str">
        <f t="shared" ca="1" si="227"/>
        <v/>
      </c>
    </row>
    <row r="2397" spans="1:10" ht="18.75" x14ac:dyDescent="0.25">
      <c r="A2397" s="10" t="s">
        <v>1693</v>
      </c>
      <c r="B2397">
        <f>IFERROR(COUNTIFS($A$1:A2397,"Câu "&amp;"*")-MID(A2397,5,FIND(".",A2397,1)-5),0)</f>
        <v>0</v>
      </c>
      <c r="C2397" t="b">
        <v>0</v>
      </c>
      <c r="E2397" t="str">
        <f t="shared" si="222"/>
        <v>Câu 581.</v>
      </c>
      <c r="F2397" t="str">
        <f t="shared" si="223"/>
        <v>1</v>
      </c>
      <c r="G2397" t="str">
        <f t="shared" si="224"/>
        <v>2</v>
      </c>
      <c r="H2397" t="str">
        <f t="shared" si="225"/>
        <v>3</v>
      </c>
      <c r="I2397" t="str">
        <f t="shared" si="226"/>
        <v/>
      </c>
      <c r="J2397" t="str">
        <f t="shared" ca="1" si="227"/>
        <v>2</v>
      </c>
    </row>
    <row r="2398" spans="1:10" ht="18.75" x14ac:dyDescent="0.25">
      <c r="A2398" s="11" t="s">
        <v>3021</v>
      </c>
      <c r="B2398">
        <f>IFERROR(COUNTIFS($A$1:A2398,"Câu "&amp;"*")-MID(A2398,5,FIND(".",A2398,1)-5),0)</f>
        <v>0</v>
      </c>
      <c r="C2398" t="b">
        <v>0</v>
      </c>
      <c r="E2398" t="str">
        <f t="shared" si="222"/>
        <v>1</v>
      </c>
      <c r="F2398" t="str">
        <f t="shared" si="223"/>
        <v>2</v>
      </c>
      <c r="G2398" t="str">
        <f t="shared" si="224"/>
        <v>3</v>
      </c>
      <c r="H2398" t="str">
        <f t="shared" si="225"/>
        <v/>
      </c>
      <c r="I2398" t="str">
        <f t="shared" si="226"/>
        <v>1</v>
      </c>
      <c r="J2398" t="str">
        <f t="shared" ca="1" si="227"/>
        <v/>
      </c>
    </row>
    <row r="2399" spans="1:10" ht="18.75" x14ac:dyDescent="0.25">
      <c r="A2399" s="11" t="s">
        <v>3022</v>
      </c>
      <c r="B2399">
        <f>IFERROR(COUNTIFS($A$1:A2399,"Câu "&amp;"*")-MID(A2399,5,FIND(".",A2399,1)-5),0)</f>
        <v>0</v>
      </c>
      <c r="C2399" t="b">
        <v>1</v>
      </c>
      <c r="E2399" t="str">
        <f t="shared" si="222"/>
        <v>2</v>
      </c>
      <c r="F2399" t="str">
        <f t="shared" si="223"/>
        <v>3</v>
      </c>
      <c r="G2399" t="str">
        <f t="shared" si="224"/>
        <v>Câu 582.</v>
      </c>
      <c r="H2399" t="str">
        <f t="shared" si="225"/>
        <v>1</v>
      </c>
      <c r="I2399" t="str">
        <f t="shared" si="226"/>
        <v>2</v>
      </c>
      <c r="J2399" t="str">
        <f t="shared" ca="1" si="227"/>
        <v/>
      </c>
    </row>
    <row r="2400" spans="1:10" ht="18.75" x14ac:dyDescent="0.25">
      <c r="A2400" s="11" t="s">
        <v>3023</v>
      </c>
      <c r="B2400">
        <f>IFERROR(COUNTIFS($A$1:A2400,"Câu "&amp;"*")-MID(A2400,5,FIND(".",A2400,1)-5),0)</f>
        <v>0</v>
      </c>
      <c r="C2400" t="b">
        <v>0</v>
      </c>
      <c r="E2400" t="str">
        <f t="shared" si="222"/>
        <v>3</v>
      </c>
      <c r="F2400" t="str">
        <f t="shared" si="223"/>
        <v>Câu 582.</v>
      </c>
      <c r="G2400" t="str">
        <f t="shared" si="224"/>
        <v>1</v>
      </c>
      <c r="H2400" t="str">
        <f t="shared" si="225"/>
        <v>2</v>
      </c>
      <c r="I2400" t="str">
        <f t="shared" si="226"/>
        <v>3</v>
      </c>
      <c r="J2400" t="str">
        <f t="shared" ca="1" si="227"/>
        <v/>
      </c>
    </row>
    <row r="2401" spans="1:10" ht="18.75" x14ac:dyDescent="0.25">
      <c r="A2401" s="10" t="s">
        <v>1697</v>
      </c>
      <c r="B2401">
        <f>IFERROR(COUNTIFS($A$1:A2401,"Câu "&amp;"*")-MID(A2401,5,FIND(".",A2401,1)-5),0)</f>
        <v>0</v>
      </c>
      <c r="C2401" t="b">
        <v>0</v>
      </c>
      <c r="E2401" t="str">
        <f t="shared" si="222"/>
        <v>Câu 582.</v>
      </c>
      <c r="F2401" t="str">
        <f t="shared" si="223"/>
        <v>1</v>
      </c>
      <c r="G2401" t="str">
        <f t="shared" si="224"/>
        <v>2</v>
      </c>
      <c r="H2401" t="str">
        <f t="shared" si="225"/>
        <v>3</v>
      </c>
      <c r="I2401" t="str">
        <f t="shared" si="226"/>
        <v/>
      </c>
      <c r="J2401" t="str">
        <f t="shared" ca="1" si="227"/>
        <v>3</v>
      </c>
    </row>
    <row r="2402" spans="1:10" ht="18.75" x14ac:dyDescent="0.25">
      <c r="A2402" s="11" t="s">
        <v>3024</v>
      </c>
      <c r="B2402">
        <f>IFERROR(COUNTIFS($A$1:A2402,"Câu "&amp;"*")-MID(A2402,5,FIND(".",A2402,1)-5),0)</f>
        <v>0</v>
      </c>
      <c r="C2402" t="b">
        <v>0</v>
      </c>
      <c r="E2402" t="str">
        <f t="shared" si="222"/>
        <v>1</v>
      </c>
      <c r="F2402" t="str">
        <f t="shared" si="223"/>
        <v>2</v>
      </c>
      <c r="G2402" t="str">
        <f t="shared" si="224"/>
        <v>3</v>
      </c>
      <c r="H2402" t="str">
        <f t="shared" si="225"/>
        <v/>
      </c>
      <c r="I2402" t="str">
        <f t="shared" si="226"/>
        <v>1</v>
      </c>
      <c r="J2402" t="str">
        <f t="shared" ca="1" si="227"/>
        <v/>
      </c>
    </row>
    <row r="2403" spans="1:10" ht="18.75" x14ac:dyDescent="0.25">
      <c r="A2403" s="11" t="s">
        <v>3025</v>
      </c>
      <c r="B2403">
        <f>IFERROR(COUNTIFS($A$1:A2403,"Câu "&amp;"*")-MID(A2403,5,FIND(".",A2403,1)-5),0)</f>
        <v>0</v>
      </c>
      <c r="C2403" t="b">
        <v>0</v>
      </c>
      <c r="E2403" t="str">
        <f t="shared" si="222"/>
        <v>2</v>
      </c>
      <c r="F2403" t="str">
        <f t="shared" si="223"/>
        <v>3</v>
      </c>
      <c r="G2403" t="str">
        <f t="shared" si="224"/>
        <v>Câu 583.</v>
      </c>
      <c r="H2403" t="str">
        <f t="shared" si="225"/>
        <v>1</v>
      </c>
      <c r="I2403" t="str">
        <f t="shared" si="226"/>
        <v>2</v>
      </c>
      <c r="J2403" t="str">
        <f t="shared" ca="1" si="227"/>
        <v/>
      </c>
    </row>
    <row r="2404" spans="1:10" ht="18.75" x14ac:dyDescent="0.25">
      <c r="A2404" s="11" t="s">
        <v>3026</v>
      </c>
      <c r="B2404">
        <f>IFERROR(COUNTIFS($A$1:A2404,"Câu "&amp;"*")-MID(A2404,5,FIND(".",A2404,1)-5),0)</f>
        <v>0</v>
      </c>
      <c r="C2404" t="b">
        <v>1</v>
      </c>
      <c r="E2404" t="str">
        <f t="shared" si="222"/>
        <v>3</v>
      </c>
      <c r="F2404" t="str">
        <f t="shared" si="223"/>
        <v>Câu 583.</v>
      </c>
      <c r="G2404" t="str">
        <f t="shared" si="224"/>
        <v>1</v>
      </c>
      <c r="H2404" t="str">
        <f t="shared" si="225"/>
        <v>2</v>
      </c>
      <c r="I2404" t="str">
        <f t="shared" si="226"/>
        <v>3</v>
      </c>
      <c r="J2404" t="str">
        <f t="shared" ca="1" si="227"/>
        <v/>
      </c>
    </row>
    <row r="2405" spans="1:10" ht="18.75" x14ac:dyDescent="0.25">
      <c r="A2405" s="10" t="s">
        <v>1701</v>
      </c>
      <c r="B2405">
        <f>IFERROR(COUNTIFS($A$1:A2405,"Câu "&amp;"*")-MID(A2405,5,FIND(".",A2405,1)-5),0)</f>
        <v>0</v>
      </c>
      <c r="C2405" t="b">
        <v>0</v>
      </c>
      <c r="E2405" t="str">
        <f t="shared" si="222"/>
        <v>Câu 583.</v>
      </c>
      <c r="F2405" t="str">
        <f t="shared" si="223"/>
        <v>1</v>
      </c>
      <c r="G2405" t="str">
        <f t="shared" si="224"/>
        <v>2</v>
      </c>
      <c r="H2405" t="str">
        <f t="shared" si="225"/>
        <v>3</v>
      </c>
      <c r="I2405" t="str">
        <f t="shared" si="226"/>
        <v/>
      </c>
      <c r="J2405" t="str">
        <f t="shared" ca="1" si="227"/>
        <v>3</v>
      </c>
    </row>
    <row r="2406" spans="1:10" ht="18.75" x14ac:dyDescent="0.25">
      <c r="A2406" s="11" t="s">
        <v>3027</v>
      </c>
      <c r="B2406">
        <f>IFERROR(COUNTIFS($A$1:A2406,"Câu "&amp;"*")-MID(A2406,5,FIND(".",A2406,1)-5),0)</f>
        <v>0</v>
      </c>
      <c r="C2406" t="b">
        <v>0</v>
      </c>
      <c r="E2406" t="str">
        <f t="shared" si="222"/>
        <v>1</v>
      </c>
      <c r="F2406" t="str">
        <f t="shared" si="223"/>
        <v>2</v>
      </c>
      <c r="G2406" t="str">
        <f t="shared" si="224"/>
        <v>3</v>
      </c>
      <c r="H2406" t="str">
        <f t="shared" si="225"/>
        <v/>
      </c>
      <c r="I2406" t="str">
        <f t="shared" si="226"/>
        <v>1</v>
      </c>
      <c r="J2406" t="str">
        <f t="shared" ca="1" si="227"/>
        <v/>
      </c>
    </row>
    <row r="2407" spans="1:10" ht="18.75" x14ac:dyDescent="0.25">
      <c r="A2407" s="11" t="s">
        <v>3028</v>
      </c>
      <c r="B2407">
        <f>IFERROR(COUNTIFS($A$1:A2407,"Câu "&amp;"*")-MID(A2407,5,FIND(".",A2407,1)-5),0)</f>
        <v>0</v>
      </c>
      <c r="C2407" t="b">
        <v>0</v>
      </c>
      <c r="E2407" t="str">
        <f t="shared" si="222"/>
        <v>2</v>
      </c>
      <c r="F2407" t="str">
        <f t="shared" si="223"/>
        <v>3</v>
      </c>
      <c r="G2407" t="str">
        <f t="shared" si="224"/>
        <v>Câu 584.</v>
      </c>
      <c r="H2407" t="str">
        <f t="shared" si="225"/>
        <v>1</v>
      </c>
      <c r="I2407" t="str">
        <f t="shared" si="226"/>
        <v>2</v>
      </c>
      <c r="J2407" t="str">
        <f t="shared" ca="1" si="227"/>
        <v/>
      </c>
    </row>
    <row r="2408" spans="1:10" ht="18.75" x14ac:dyDescent="0.25">
      <c r="A2408" s="11" t="s">
        <v>3029</v>
      </c>
      <c r="B2408">
        <f>IFERROR(COUNTIFS($A$1:A2408,"Câu "&amp;"*")-MID(A2408,5,FIND(".",A2408,1)-5),0)</f>
        <v>0</v>
      </c>
      <c r="C2408" t="b">
        <v>1</v>
      </c>
      <c r="E2408" t="str">
        <f t="shared" si="222"/>
        <v>3</v>
      </c>
      <c r="F2408" t="str">
        <f t="shared" si="223"/>
        <v>Câu 584.</v>
      </c>
      <c r="G2408" t="str">
        <f t="shared" si="224"/>
        <v>1</v>
      </c>
      <c r="H2408" t="str">
        <f t="shared" si="225"/>
        <v>2</v>
      </c>
      <c r="I2408" t="str">
        <f t="shared" si="226"/>
        <v>3</v>
      </c>
      <c r="J2408" t="str">
        <f t="shared" ca="1" si="227"/>
        <v/>
      </c>
    </row>
    <row r="2409" spans="1:10" ht="18.75" x14ac:dyDescent="0.25">
      <c r="A2409" s="10" t="s">
        <v>1705</v>
      </c>
      <c r="B2409">
        <f>IFERROR(COUNTIFS($A$1:A2409,"Câu "&amp;"*")-MID(A2409,5,FIND(".",A2409,1)-5),0)</f>
        <v>0</v>
      </c>
      <c r="C2409" t="b">
        <v>0</v>
      </c>
      <c r="E2409" t="str">
        <f t="shared" si="222"/>
        <v>Câu 584.</v>
      </c>
      <c r="F2409" t="str">
        <f t="shared" si="223"/>
        <v>1</v>
      </c>
      <c r="G2409" t="str">
        <f t="shared" si="224"/>
        <v>2</v>
      </c>
      <c r="H2409" t="str">
        <f t="shared" si="225"/>
        <v>3</v>
      </c>
      <c r="I2409" t="str">
        <f t="shared" si="226"/>
        <v>4</v>
      </c>
      <c r="J2409" t="str">
        <f t="shared" ca="1" si="227"/>
        <v>4</v>
      </c>
    </row>
    <row r="2410" spans="1:10" ht="18.75" x14ac:dyDescent="0.25">
      <c r="A2410" s="11" t="s">
        <v>3030</v>
      </c>
      <c r="B2410">
        <f>IFERROR(COUNTIFS($A$1:A2410,"Câu "&amp;"*")-MID(A2410,5,FIND(".",A2410,1)-5),0)</f>
        <v>0</v>
      </c>
      <c r="C2410" t="b">
        <v>0</v>
      </c>
      <c r="E2410" t="str">
        <f t="shared" si="222"/>
        <v>1</v>
      </c>
      <c r="F2410" t="str">
        <f t="shared" si="223"/>
        <v>2</v>
      </c>
      <c r="G2410" t="str">
        <f t="shared" si="224"/>
        <v>3</v>
      </c>
      <c r="H2410" t="str">
        <f t="shared" si="225"/>
        <v>4</v>
      </c>
      <c r="I2410" t="str">
        <f t="shared" si="226"/>
        <v/>
      </c>
      <c r="J2410" t="str">
        <f t="shared" ca="1" si="227"/>
        <v/>
      </c>
    </row>
    <row r="2411" spans="1:10" ht="18.75" x14ac:dyDescent="0.25">
      <c r="A2411" s="11" t="s">
        <v>3031</v>
      </c>
      <c r="B2411">
        <f>IFERROR(COUNTIFS($A$1:A2411,"Câu "&amp;"*")-MID(A2411,5,FIND(".",A2411,1)-5),0)</f>
        <v>0</v>
      </c>
      <c r="C2411" t="b">
        <v>0</v>
      </c>
      <c r="E2411" t="str">
        <f t="shared" si="222"/>
        <v>2</v>
      </c>
      <c r="F2411" t="str">
        <f t="shared" si="223"/>
        <v>3</v>
      </c>
      <c r="G2411" t="str">
        <f t="shared" si="224"/>
        <v>4</v>
      </c>
      <c r="H2411" t="str">
        <f t="shared" si="225"/>
        <v/>
      </c>
      <c r="I2411" t="str">
        <f t="shared" si="226"/>
        <v>1</v>
      </c>
      <c r="J2411" t="str">
        <f t="shared" ca="1" si="227"/>
        <v/>
      </c>
    </row>
    <row r="2412" spans="1:10" ht="18.75" x14ac:dyDescent="0.25">
      <c r="A2412" s="11" t="s">
        <v>3032</v>
      </c>
      <c r="B2412">
        <f>IFERROR(COUNTIFS($A$1:A2412,"Câu "&amp;"*")-MID(A2412,5,FIND(".",A2412,1)-5),0)</f>
        <v>0</v>
      </c>
      <c r="C2412" t="b">
        <v>0</v>
      </c>
      <c r="E2412" t="str">
        <f t="shared" si="222"/>
        <v>3</v>
      </c>
      <c r="F2412" t="str">
        <f t="shared" si="223"/>
        <v>4</v>
      </c>
      <c r="G2412" t="str">
        <f t="shared" si="224"/>
        <v>Câu 585.</v>
      </c>
      <c r="H2412" t="str">
        <f t="shared" si="225"/>
        <v>1</v>
      </c>
      <c r="I2412" t="str">
        <f t="shared" si="226"/>
        <v>2</v>
      </c>
      <c r="J2412" t="str">
        <f t="shared" ca="1" si="227"/>
        <v/>
      </c>
    </row>
    <row r="2413" spans="1:10" ht="18.75" x14ac:dyDescent="0.25">
      <c r="A2413" s="11" t="s">
        <v>3033</v>
      </c>
      <c r="B2413">
        <f>IFERROR(COUNTIFS($A$1:A2413,"Câu "&amp;"*")-MID(A2413,5,FIND(".",A2413,1)-5),0)</f>
        <v>0</v>
      </c>
      <c r="C2413" t="b">
        <v>1</v>
      </c>
      <c r="E2413" t="str">
        <f t="shared" si="222"/>
        <v>4</v>
      </c>
      <c r="F2413" t="str">
        <f t="shared" si="223"/>
        <v>Câu 585.</v>
      </c>
      <c r="G2413" t="str">
        <f t="shared" si="224"/>
        <v>1</v>
      </c>
      <c r="H2413" t="str">
        <f t="shared" si="225"/>
        <v>2</v>
      </c>
      <c r="I2413" t="str">
        <f t="shared" si="226"/>
        <v/>
      </c>
      <c r="J2413" t="str">
        <f t="shared" ca="1" si="227"/>
        <v/>
      </c>
    </row>
    <row r="2414" spans="1:10" ht="18.75" x14ac:dyDescent="0.25">
      <c r="A2414" s="10" t="s">
        <v>1709</v>
      </c>
      <c r="B2414">
        <f>IFERROR(COUNTIFS($A$1:A2414,"Câu "&amp;"*")-MID(A2414,5,FIND(".",A2414,1)-5),0)</f>
        <v>0</v>
      </c>
      <c r="C2414" t="b">
        <v>0</v>
      </c>
      <c r="E2414" t="str">
        <f t="shared" si="222"/>
        <v>Câu 585.</v>
      </c>
      <c r="F2414" t="str">
        <f t="shared" si="223"/>
        <v>1</v>
      </c>
      <c r="G2414" t="str">
        <f t="shared" si="224"/>
        <v>2</v>
      </c>
      <c r="H2414" t="str">
        <f t="shared" si="225"/>
        <v/>
      </c>
      <c r="I2414" t="str">
        <f t="shared" si="226"/>
        <v>1</v>
      </c>
      <c r="J2414" t="str">
        <f t="shared" ca="1" si="227"/>
        <v>1</v>
      </c>
    </row>
    <row r="2415" spans="1:10" ht="18.75" x14ac:dyDescent="0.25">
      <c r="A2415" s="11" t="s">
        <v>3034</v>
      </c>
      <c r="B2415">
        <f>IFERROR(COUNTIFS($A$1:A2415,"Câu "&amp;"*")-MID(A2415,5,FIND(".",A2415,1)-5),0)</f>
        <v>0</v>
      </c>
      <c r="C2415" t="b">
        <v>1</v>
      </c>
      <c r="E2415" t="str">
        <f t="shared" si="222"/>
        <v>1</v>
      </c>
      <c r="F2415" t="str">
        <f t="shared" si="223"/>
        <v>2</v>
      </c>
      <c r="G2415" t="str">
        <f t="shared" si="224"/>
        <v>Câu 586.</v>
      </c>
      <c r="H2415" t="str">
        <f t="shared" si="225"/>
        <v>1</v>
      </c>
      <c r="I2415" t="str">
        <f t="shared" si="226"/>
        <v>2</v>
      </c>
      <c r="J2415" t="str">
        <f t="shared" ca="1" si="227"/>
        <v/>
      </c>
    </row>
    <row r="2416" spans="1:10" ht="18.75" x14ac:dyDescent="0.25">
      <c r="A2416" s="11" t="s">
        <v>2845</v>
      </c>
      <c r="B2416">
        <f>IFERROR(COUNTIFS($A$1:A2416,"Câu "&amp;"*")-MID(A2416,5,FIND(".",A2416,1)-5),0)</f>
        <v>0</v>
      </c>
      <c r="C2416" t="b">
        <v>0</v>
      </c>
      <c r="E2416" t="str">
        <f t="shared" si="222"/>
        <v>2</v>
      </c>
      <c r="F2416" t="str">
        <f t="shared" si="223"/>
        <v>Câu 586.</v>
      </c>
      <c r="G2416" t="str">
        <f t="shared" si="224"/>
        <v>1</v>
      </c>
      <c r="H2416" t="str">
        <f t="shared" si="225"/>
        <v>2</v>
      </c>
      <c r="I2416" t="str">
        <f t="shared" si="226"/>
        <v/>
      </c>
      <c r="J2416" t="str">
        <f t="shared" ca="1" si="227"/>
        <v/>
      </c>
    </row>
    <row r="2417" spans="1:10" ht="18.75" x14ac:dyDescent="0.25">
      <c r="A2417" s="10" t="s">
        <v>1710</v>
      </c>
      <c r="B2417">
        <f>IFERROR(COUNTIFS($A$1:A2417,"Câu "&amp;"*")-MID(A2417,5,FIND(".",A2417,1)-5),0)</f>
        <v>0</v>
      </c>
      <c r="C2417" t="b">
        <v>0</v>
      </c>
      <c r="E2417" t="str">
        <f t="shared" si="222"/>
        <v>Câu 586.</v>
      </c>
      <c r="F2417" t="str">
        <f t="shared" si="223"/>
        <v>1</v>
      </c>
      <c r="G2417" t="str">
        <f t="shared" si="224"/>
        <v>2</v>
      </c>
      <c r="H2417" t="str">
        <f t="shared" si="225"/>
        <v/>
      </c>
      <c r="I2417" t="str">
        <f t="shared" si="226"/>
        <v>1</v>
      </c>
      <c r="J2417" t="str">
        <f t="shared" ca="1" si="227"/>
        <v>2</v>
      </c>
    </row>
    <row r="2418" spans="1:10" ht="18.75" x14ac:dyDescent="0.25">
      <c r="A2418" s="11" t="s">
        <v>2852</v>
      </c>
      <c r="B2418">
        <f>IFERROR(COUNTIFS($A$1:A2418,"Câu "&amp;"*")-MID(A2418,5,FIND(".",A2418,1)-5),0)</f>
        <v>0</v>
      </c>
      <c r="C2418" t="b">
        <v>0</v>
      </c>
      <c r="E2418" t="str">
        <f t="shared" si="222"/>
        <v>1</v>
      </c>
      <c r="F2418" t="str">
        <f t="shared" si="223"/>
        <v>2</v>
      </c>
      <c r="G2418" t="str">
        <f t="shared" si="224"/>
        <v>Câu 587.</v>
      </c>
      <c r="H2418" t="str">
        <f t="shared" si="225"/>
        <v>1</v>
      </c>
      <c r="I2418" t="str">
        <f t="shared" si="226"/>
        <v>2</v>
      </c>
      <c r="J2418" t="str">
        <f t="shared" ca="1" si="227"/>
        <v/>
      </c>
    </row>
    <row r="2419" spans="1:10" ht="18.75" x14ac:dyDescent="0.25">
      <c r="A2419" s="11" t="s">
        <v>3009</v>
      </c>
      <c r="B2419">
        <f>IFERROR(COUNTIFS($A$1:A2419,"Câu "&amp;"*")-MID(A2419,5,FIND(".",A2419,1)-5),0)</f>
        <v>0</v>
      </c>
      <c r="C2419" t="b">
        <v>1</v>
      </c>
      <c r="E2419" t="str">
        <f t="shared" si="222"/>
        <v>2</v>
      </c>
      <c r="F2419" t="str">
        <f t="shared" si="223"/>
        <v>Câu 587.</v>
      </c>
      <c r="G2419" t="str">
        <f t="shared" si="224"/>
        <v>1</v>
      </c>
      <c r="H2419" t="str">
        <f t="shared" si="225"/>
        <v>2</v>
      </c>
      <c r="I2419" t="str">
        <f t="shared" si="226"/>
        <v>3</v>
      </c>
      <c r="J2419" t="str">
        <f t="shared" ca="1" si="227"/>
        <v/>
      </c>
    </row>
    <row r="2420" spans="1:10" ht="18.75" x14ac:dyDescent="0.25">
      <c r="A2420" s="10" t="s">
        <v>1711</v>
      </c>
      <c r="B2420">
        <f>IFERROR(COUNTIFS($A$1:A2420,"Câu "&amp;"*")-MID(A2420,5,FIND(".",A2420,1)-5),0)</f>
        <v>0</v>
      </c>
      <c r="C2420" t="b">
        <v>0</v>
      </c>
      <c r="E2420" t="str">
        <f t="shared" si="222"/>
        <v>Câu 587.</v>
      </c>
      <c r="F2420" t="str">
        <f t="shared" si="223"/>
        <v>1</v>
      </c>
      <c r="G2420" t="str">
        <f t="shared" si="224"/>
        <v>2</v>
      </c>
      <c r="H2420" t="str">
        <f t="shared" si="225"/>
        <v>3</v>
      </c>
      <c r="I2420" t="str">
        <f t="shared" si="226"/>
        <v/>
      </c>
      <c r="J2420" t="str">
        <f t="shared" ca="1" si="227"/>
        <v>3</v>
      </c>
    </row>
    <row r="2421" spans="1:10" ht="18.75" x14ac:dyDescent="0.25">
      <c r="A2421" s="11" t="s">
        <v>3035</v>
      </c>
      <c r="B2421">
        <f>IFERROR(COUNTIFS($A$1:A2421,"Câu "&amp;"*")-MID(A2421,5,FIND(".",A2421,1)-5),0)</f>
        <v>0</v>
      </c>
      <c r="C2421" t="b">
        <v>0</v>
      </c>
      <c r="E2421" t="str">
        <f t="shared" si="222"/>
        <v>1</v>
      </c>
      <c r="F2421" t="str">
        <f t="shared" si="223"/>
        <v>2</v>
      </c>
      <c r="G2421" t="str">
        <f t="shared" si="224"/>
        <v>3</v>
      </c>
      <c r="H2421" t="str">
        <f t="shared" si="225"/>
        <v/>
      </c>
      <c r="I2421" t="str">
        <f t="shared" si="226"/>
        <v>1</v>
      </c>
      <c r="J2421" t="str">
        <f t="shared" ca="1" si="227"/>
        <v/>
      </c>
    </row>
    <row r="2422" spans="1:10" ht="18.75" x14ac:dyDescent="0.25">
      <c r="A2422" s="11" t="s">
        <v>3036</v>
      </c>
      <c r="B2422">
        <f>IFERROR(COUNTIFS($A$1:A2422,"Câu "&amp;"*")-MID(A2422,5,FIND(".",A2422,1)-5),0)</f>
        <v>0</v>
      </c>
      <c r="C2422" t="b">
        <v>0</v>
      </c>
      <c r="E2422" t="str">
        <f t="shared" si="222"/>
        <v>2</v>
      </c>
      <c r="F2422" t="str">
        <f t="shared" si="223"/>
        <v>3</v>
      </c>
      <c r="G2422" t="str">
        <f t="shared" si="224"/>
        <v>Câu 588.</v>
      </c>
      <c r="H2422" t="str">
        <f t="shared" si="225"/>
        <v>1</v>
      </c>
      <c r="I2422" t="str">
        <f t="shared" si="226"/>
        <v>2</v>
      </c>
      <c r="J2422" t="str">
        <f t="shared" ca="1" si="227"/>
        <v/>
      </c>
    </row>
    <row r="2423" spans="1:10" ht="18.75" x14ac:dyDescent="0.25">
      <c r="A2423" s="11" t="s">
        <v>3037</v>
      </c>
      <c r="B2423">
        <f>IFERROR(COUNTIFS($A$1:A2423,"Câu "&amp;"*")-MID(A2423,5,FIND(".",A2423,1)-5),0)</f>
        <v>0</v>
      </c>
      <c r="C2423" t="b">
        <v>1</v>
      </c>
      <c r="E2423" t="str">
        <f t="shared" si="222"/>
        <v>3</v>
      </c>
      <c r="F2423" t="str">
        <f t="shared" si="223"/>
        <v>Câu 588.</v>
      </c>
      <c r="G2423" t="str">
        <f t="shared" si="224"/>
        <v>1</v>
      </c>
      <c r="H2423" t="str">
        <f t="shared" si="225"/>
        <v>2</v>
      </c>
      <c r="I2423" t="str">
        <f t="shared" si="226"/>
        <v/>
      </c>
      <c r="J2423" t="str">
        <f t="shared" ca="1" si="227"/>
        <v/>
      </c>
    </row>
    <row r="2424" spans="1:10" ht="18.75" x14ac:dyDescent="0.25">
      <c r="A2424" s="10" t="s">
        <v>1714</v>
      </c>
      <c r="B2424">
        <f>IFERROR(COUNTIFS($A$1:A2424,"Câu "&amp;"*")-MID(A2424,5,FIND(".",A2424,1)-5),0)</f>
        <v>0</v>
      </c>
      <c r="C2424" t="b">
        <v>0</v>
      </c>
      <c r="E2424" t="str">
        <f t="shared" si="222"/>
        <v>Câu 588.</v>
      </c>
      <c r="F2424" t="str">
        <f t="shared" si="223"/>
        <v>1</v>
      </c>
      <c r="G2424" t="str">
        <f t="shared" si="224"/>
        <v>2</v>
      </c>
      <c r="H2424" t="str">
        <f t="shared" si="225"/>
        <v/>
      </c>
      <c r="I2424" t="str">
        <f t="shared" si="226"/>
        <v>1</v>
      </c>
      <c r="J2424" t="str">
        <f t="shared" ca="1" si="227"/>
        <v>2</v>
      </c>
    </row>
    <row r="2425" spans="1:10" ht="18.75" x14ac:dyDescent="0.25">
      <c r="A2425" s="11" t="s">
        <v>2852</v>
      </c>
      <c r="B2425">
        <f>IFERROR(COUNTIFS($A$1:A2425,"Câu "&amp;"*")-MID(A2425,5,FIND(".",A2425,1)-5),0)</f>
        <v>0</v>
      </c>
      <c r="C2425" t="b">
        <v>0</v>
      </c>
      <c r="E2425" t="str">
        <f t="shared" si="222"/>
        <v>1</v>
      </c>
      <c r="F2425" t="str">
        <f t="shared" si="223"/>
        <v>2</v>
      </c>
      <c r="G2425" t="str">
        <f t="shared" si="224"/>
        <v>Câu 589.</v>
      </c>
      <c r="H2425" t="str">
        <f t="shared" si="225"/>
        <v>1</v>
      </c>
      <c r="I2425" t="str">
        <f t="shared" si="226"/>
        <v>2</v>
      </c>
      <c r="J2425" t="str">
        <f t="shared" ca="1" si="227"/>
        <v/>
      </c>
    </row>
    <row r="2426" spans="1:10" ht="18.75" x14ac:dyDescent="0.25">
      <c r="A2426" s="11" t="s">
        <v>3009</v>
      </c>
      <c r="B2426">
        <f>IFERROR(COUNTIFS($A$1:A2426,"Câu "&amp;"*")-MID(A2426,5,FIND(".",A2426,1)-5),0)</f>
        <v>0</v>
      </c>
      <c r="C2426" t="b">
        <v>1</v>
      </c>
      <c r="E2426" t="str">
        <f t="shared" si="222"/>
        <v>2</v>
      </c>
      <c r="F2426" t="str">
        <f t="shared" si="223"/>
        <v>Câu 589.</v>
      </c>
      <c r="G2426" t="str">
        <f t="shared" si="224"/>
        <v>1</v>
      </c>
      <c r="H2426" t="str">
        <f t="shared" si="225"/>
        <v>2</v>
      </c>
      <c r="I2426" t="str">
        <f t="shared" si="226"/>
        <v>3</v>
      </c>
      <c r="J2426" t="str">
        <f t="shared" ca="1" si="227"/>
        <v/>
      </c>
    </row>
    <row r="2427" spans="1:10" ht="18.75" x14ac:dyDescent="0.25">
      <c r="A2427" s="10" t="s">
        <v>1715</v>
      </c>
      <c r="B2427">
        <f>IFERROR(COUNTIFS($A$1:A2427,"Câu "&amp;"*")-MID(A2427,5,FIND(".",A2427,1)-5),0)</f>
        <v>0</v>
      </c>
      <c r="C2427" t="b">
        <v>0</v>
      </c>
      <c r="E2427" t="str">
        <f t="shared" si="222"/>
        <v>Câu 589.</v>
      </c>
      <c r="F2427" t="str">
        <f t="shared" si="223"/>
        <v>1</v>
      </c>
      <c r="G2427" t="str">
        <f t="shared" si="224"/>
        <v>2</v>
      </c>
      <c r="H2427" t="str">
        <f t="shared" si="225"/>
        <v>3</v>
      </c>
      <c r="I2427" t="str">
        <f t="shared" si="226"/>
        <v/>
      </c>
      <c r="J2427" t="str">
        <f t="shared" ca="1" si="227"/>
        <v>2</v>
      </c>
    </row>
    <row r="2428" spans="1:10" ht="18.75" x14ac:dyDescent="0.25">
      <c r="A2428" s="11" t="s">
        <v>3038</v>
      </c>
      <c r="B2428">
        <f>IFERROR(COUNTIFS($A$1:A2428,"Câu "&amp;"*")-MID(A2428,5,FIND(".",A2428,1)-5),0)</f>
        <v>0</v>
      </c>
      <c r="C2428" t="b">
        <v>0</v>
      </c>
      <c r="E2428" t="str">
        <f t="shared" si="222"/>
        <v>1</v>
      </c>
      <c r="F2428" t="str">
        <f t="shared" si="223"/>
        <v>2</v>
      </c>
      <c r="G2428" t="str">
        <f t="shared" si="224"/>
        <v>3</v>
      </c>
      <c r="H2428" t="str">
        <f t="shared" si="225"/>
        <v/>
      </c>
      <c r="I2428" t="str">
        <f t="shared" si="226"/>
        <v>1</v>
      </c>
      <c r="J2428" t="str">
        <f t="shared" ca="1" si="227"/>
        <v/>
      </c>
    </row>
    <row r="2429" spans="1:10" ht="18.75" x14ac:dyDescent="0.25">
      <c r="A2429" s="11" t="s">
        <v>3039</v>
      </c>
      <c r="B2429">
        <f>IFERROR(COUNTIFS($A$1:A2429,"Câu "&amp;"*")-MID(A2429,5,FIND(".",A2429,1)-5),0)</f>
        <v>0</v>
      </c>
      <c r="C2429" t="b">
        <v>1</v>
      </c>
      <c r="E2429" t="str">
        <f t="shared" si="222"/>
        <v>2</v>
      </c>
      <c r="F2429" t="str">
        <f t="shared" si="223"/>
        <v>3</v>
      </c>
      <c r="G2429" t="str">
        <f t="shared" si="224"/>
        <v>Câu 590.</v>
      </c>
      <c r="H2429" t="str">
        <f t="shared" si="225"/>
        <v>1</v>
      </c>
      <c r="I2429" t="str">
        <f t="shared" si="226"/>
        <v>2</v>
      </c>
      <c r="J2429" t="str">
        <f t="shared" ca="1" si="227"/>
        <v/>
      </c>
    </row>
    <row r="2430" spans="1:10" ht="18.75" x14ac:dyDescent="0.25">
      <c r="A2430" s="11" t="s">
        <v>3032</v>
      </c>
      <c r="B2430">
        <f>IFERROR(COUNTIFS($A$1:A2430,"Câu "&amp;"*")-MID(A2430,5,FIND(".",A2430,1)-5),0)</f>
        <v>0</v>
      </c>
      <c r="C2430" t="b">
        <v>0</v>
      </c>
      <c r="E2430" t="str">
        <f t="shared" si="222"/>
        <v>3</v>
      </c>
      <c r="F2430" t="str">
        <f t="shared" si="223"/>
        <v>Câu 590.</v>
      </c>
      <c r="G2430" t="str">
        <f t="shared" si="224"/>
        <v>1</v>
      </c>
      <c r="H2430" t="str">
        <f t="shared" si="225"/>
        <v>2</v>
      </c>
      <c r="I2430" t="str">
        <f t="shared" si="226"/>
        <v>3</v>
      </c>
      <c r="J2430" t="str">
        <f t="shared" ca="1" si="227"/>
        <v/>
      </c>
    </row>
    <row r="2431" spans="1:10" ht="18.75" x14ac:dyDescent="0.25">
      <c r="A2431" s="10" t="s">
        <v>1717</v>
      </c>
      <c r="B2431">
        <f>IFERROR(COUNTIFS($A$1:A2431,"Câu "&amp;"*")-MID(A2431,5,FIND(".",A2431,1)-5),0)</f>
        <v>0</v>
      </c>
      <c r="C2431" t="b">
        <v>0</v>
      </c>
      <c r="E2431" t="str">
        <f t="shared" si="222"/>
        <v>Câu 590.</v>
      </c>
      <c r="F2431" t="str">
        <f t="shared" si="223"/>
        <v>1</v>
      </c>
      <c r="G2431" t="str">
        <f t="shared" si="224"/>
        <v>2</v>
      </c>
      <c r="H2431" t="str">
        <f t="shared" si="225"/>
        <v>3</v>
      </c>
      <c r="I2431" t="str">
        <f t="shared" si="226"/>
        <v/>
      </c>
      <c r="J2431" t="str">
        <f t="shared" ca="1" si="227"/>
        <v>3</v>
      </c>
    </row>
    <row r="2432" spans="1:10" ht="18.75" x14ac:dyDescent="0.25">
      <c r="A2432" s="11" t="s">
        <v>3040</v>
      </c>
      <c r="B2432">
        <f>IFERROR(COUNTIFS($A$1:A2432,"Câu "&amp;"*")-MID(A2432,5,FIND(".",A2432,1)-5),0)</f>
        <v>0</v>
      </c>
      <c r="C2432" t="b">
        <v>0</v>
      </c>
      <c r="E2432" t="str">
        <f t="shared" si="222"/>
        <v>1</v>
      </c>
      <c r="F2432" t="str">
        <f t="shared" si="223"/>
        <v>2</v>
      </c>
      <c r="G2432" t="str">
        <f t="shared" si="224"/>
        <v>3</v>
      </c>
      <c r="H2432" t="str">
        <f t="shared" si="225"/>
        <v/>
      </c>
      <c r="I2432" t="str">
        <f t="shared" si="226"/>
        <v>1</v>
      </c>
      <c r="J2432" t="str">
        <f t="shared" ca="1" si="227"/>
        <v/>
      </c>
    </row>
    <row r="2433" spans="1:10" ht="18.75" x14ac:dyDescent="0.25">
      <c r="A2433" s="11" t="s">
        <v>3041</v>
      </c>
      <c r="B2433">
        <f>IFERROR(COUNTIFS($A$1:A2433,"Câu "&amp;"*")-MID(A2433,5,FIND(".",A2433,1)-5),0)</f>
        <v>0</v>
      </c>
      <c r="C2433" t="b">
        <v>0</v>
      </c>
      <c r="E2433" t="str">
        <f t="shared" si="222"/>
        <v>2</v>
      </c>
      <c r="F2433" t="str">
        <f t="shared" si="223"/>
        <v>3</v>
      </c>
      <c r="G2433" t="str">
        <f t="shared" si="224"/>
        <v>Câu 591.</v>
      </c>
      <c r="H2433" t="str">
        <f t="shared" si="225"/>
        <v>1</v>
      </c>
      <c r="I2433" t="str">
        <f t="shared" si="226"/>
        <v>2</v>
      </c>
      <c r="J2433" t="str">
        <f t="shared" ca="1" si="227"/>
        <v/>
      </c>
    </row>
    <row r="2434" spans="1:10" ht="18.75" x14ac:dyDescent="0.25">
      <c r="A2434" s="11" t="s">
        <v>3042</v>
      </c>
      <c r="B2434">
        <f>IFERROR(COUNTIFS($A$1:A2434,"Câu "&amp;"*")-MID(A2434,5,FIND(".",A2434,1)-5),0)</f>
        <v>0</v>
      </c>
      <c r="C2434" t="b">
        <v>1</v>
      </c>
      <c r="E2434" t="str">
        <f t="shared" si="222"/>
        <v>3</v>
      </c>
      <c r="F2434" t="str">
        <f t="shared" si="223"/>
        <v>Câu 591.</v>
      </c>
      <c r="G2434" t="str">
        <f t="shared" si="224"/>
        <v>1</v>
      </c>
      <c r="H2434" t="str">
        <f t="shared" si="225"/>
        <v>2</v>
      </c>
      <c r="I2434" t="str">
        <f t="shared" si="226"/>
        <v/>
      </c>
      <c r="J2434" t="str">
        <f t="shared" ca="1" si="227"/>
        <v/>
      </c>
    </row>
    <row r="2435" spans="1:10" ht="18.75" x14ac:dyDescent="0.25">
      <c r="A2435" s="10" t="s">
        <v>1721</v>
      </c>
      <c r="B2435">
        <f>IFERROR(COUNTIFS($A$1:A2435,"Câu "&amp;"*")-MID(A2435,5,FIND(".",A2435,1)-5),0)</f>
        <v>0</v>
      </c>
      <c r="C2435" t="b">
        <v>0</v>
      </c>
      <c r="E2435" t="str">
        <f t="shared" ref="E2435:E2461" si="228">IF(LEFT(A2435,3)="Câu",LEFT(A2435,FIND(".",A2435,1)),LEFT(A2435,1))</f>
        <v>Câu 591.</v>
      </c>
      <c r="F2435" t="str">
        <f t="shared" ref="F2435:F2461" si="229">IF(LEFT(A2436,3)="Câu",LEFT(A2436,FIND(".",A2436,1)),LEFT(A2436,1))</f>
        <v>1</v>
      </c>
      <c r="G2435" t="str">
        <f t="shared" ref="G2435:G2461" si="230">IF(LEFT(A2437,3)="Câu",LEFT(A2437,FIND(".",A2437,1)),LEFT(A2437,1))</f>
        <v>2</v>
      </c>
      <c r="H2435" t="str">
        <f t="shared" ref="H2435:H2461" si="231">IF(LEFT(A2438,3)="Câu","",LEFT(A2438,1))</f>
        <v/>
      </c>
      <c r="I2435" t="str">
        <f t="shared" ref="I2435:I2461" si="232">IF(LEFT(A2439,3)="Câu","",LEFT(A2439,1))</f>
        <v>1</v>
      </c>
      <c r="J2435" t="str">
        <f t="shared" ref="J2435:J2471" ca="1" si="233">IFERROR(VLOOKUP(TRUE,INDIRECT("C"&amp;MATCH(E2435,$E$1:$E$2471,0)&amp;":E"&amp;MATCH("Câu "&amp;VALUE(MID(E2435,5,LEN(E2435)-5))+1&amp;".",$E$1:$E$2471,0)),3,0),"")</f>
        <v>1</v>
      </c>
    </row>
    <row r="2436" spans="1:10" ht="18.75" x14ac:dyDescent="0.25">
      <c r="A2436" s="11" t="s">
        <v>2818</v>
      </c>
      <c r="B2436">
        <f>IFERROR(COUNTIFS($A$1:A2436,"Câu "&amp;"*")-MID(A2436,5,FIND(".",A2436,1)-5),0)</f>
        <v>0</v>
      </c>
      <c r="C2436" t="b">
        <v>1</v>
      </c>
      <c r="E2436" t="str">
        <f t="shared" si="228"/>
        <v>1</v>
      </c>
      <c r="F2436" t="str">
        <f t="shared" si="229"/>
        <v>2</v>
      </c>
      <c r="G2436" t="str">
        <f t="shared" si="230"/>
        <v>Câu 592.</v>
      </c>
      <c r="H2436" t="str">
        <f t="shared" si="231"/>
        <v>1</v>
      </c>
      <c r="I2436" t="str">
        <f t="shared" si="232"/>
        <v>2</v>
      </c>
      <c r="J2436" t="str">
        <f t="shared" ca="1" si="233"/>
        <v/>
      </c>
    </row>
    <row r="2437" spans="1:10" ht="18.75" x14ac:dyDescent="0.25">
      <c r="A2437" s="11" t="s">
        <v>2990</v>
      </c>
      <c r="B2437">
        <f>IFERROR(COUNTIFS($A$1:A2437,"Câu "&amp;"*")-MID(A2437,5,FIND(".",A2437,1)-5),0)</f>
        <v>0</v>
      </c>
      <c r="C2437" t="b">
        <v>0</v>
      </c>
      <c r="E2437" t="str">
        <f t="shared" si="228"/>
        <v>2</v>
      </c>
      <c r="F2437" t="str">
        <f t="shared" si="229"/>
        <v>Câu 592.</v>
      </c>
      <c r="G2437" t="str">
        <f t="shared" si="230"/>
        <v>1</v>
      </c>
      <c r="H2437" t="str">
        <f t="shared" si="231"/>
        <v>2</v>
      </c>
      <c r="I2437" t="str">
        <f t="shared" si="232"/>
        <v>3</v>
      </c>
      <c r="J2437" t="str">
        <f t="shared" ca="1" si="233"/>
        <v/>
      </c>
    </row>
    <row r="2438" spans="1:10" ht="18.75" x14ac:dyDescent="0.25">
      <c r="A2438" s="10" t="s">
        <v>1722</v>
      </c>
      <c r="B2438">
        <f>IFERROR(COUNTIFS($A$1:A2438,"Câu "&amp;"*")-MID(A2438,5,FIND(".",A2438,1)-5),0)</f>
        <v>0</v>
      </c>
      <c r="C2438" t="b">
        <v>0</v>
      </c>
      <c r="E2438" t="str">
        <f t="shared" si="228"/>
        <v>Câu 592.</v>
      </c>
      <c r="F2438" t="str">
        <f t="shared" si="229"/>
        <v>1</v>
      </c>
      <c r="G2438" t="str">
        <f t="shared" si="230"/>
        <v>2</v>
      </c>
      <c r="H2438" t="str">
        <f t="shared" si="231"/>
        <v>3</v>
      </c>
      <c r="I2438" t="str">
        <f t="shared" si="232"/>
        <v/>
      </c>
      <c r="J2438" t="str">
        <f t="shared" ca="1" si="233"/>
        <v>1</v>
      </c>
    </row>
    <row r="2439" spans="1:10" ht="18.75" x14ac:dyDescent="0.25">
      <c r="A2439" s="11" t="s">
        <v>2786</v>
      </c>
      <c r="B2439">
        <f>IFERROR(COUNTIFS($A$1:A2439,"Câu "&amp;"*")-MID(A2439,5,FIND(".",A2439,1)-5),0)</f>
        <v>0</v>
      </c>
      <c r="C2439" t="b">
        <v>1</v>
      </c>
      <c r="E2439" t="str">
        <f t="shared" si="228"/>
        <v>1</v>
      </c>
      <c r="F2439" t="str">
        <f t="shared" si="229"/>
        <v>2</v>
      </c>
      <c r="G2439" t="str">
        <f t="shared" si="230"/>
        <v>3</v>
      </c>
      <c r="H2439" t="str">
        <f t="shared" si="231"/>
        <v/>
      </c>
      <c r="I2439" t="str">
        <f t="shared" si="232"/>
        <v>1</v>
      </c>
      <c r="J2439" t="str">
        <f t="shared" ca="1" si="233"/>
        <v/>
      </c>
    </row>
    <row r="2440" spans="1:10" ht="18.75" x14ac:dyDescent="0.25">
      <c r="A2440" s="11" t="s">
        <v>2802</v>
      </c>
      <c r="B2440">
        <f>IFERROR(COUNTIFS($A$1:A2440,"Câu "&amp;"*")-MID(A2440,5,FIND(".",A2440,1)-5),0)</f>
        <v>0</v>
      </c>
      <c r="C2440" t="b">
        <v>0</v>
      </c>
      <c r="E2440" t="str">
        <f t="shared" si="228"/>
        <v>2</v>
      </c>
      <c r="F2440" t="str">
        <f t="shared" si="229"/>
        <v>3</v>
      </c>
      <c r="G2440" t="str">
        <f t="shared" si="230"/>
        <v>Câu 593.</v>
      </c>
      <c r="H2440" t="str">
        <f t="shared" si="231"/>
        <v>1</v>
      </c>
      <c r="I2440" t="str">
        <f t="shared" si="232"/>
        <v>2</v>
      </c>
      <c r="J2440" t="str">
        <f t="shared" ca="1" si="233"/>
        <v/>
      </c>
    </row>
    <row r="2441" spans="1:10" ht="18.75" x14ac:dyDescent="0.25">
      <c r="A2441" s="11" t="s">
        <v>3043</v>
      </c>
      <c r="B2441">
        <f>IFERROR(COUNTIFS($A$1:A2441,"Câu "&amp;"*")-MID(A2441,5,FIND(".",A2441,1)-5),0)</f>
        <v>0</v>
      </c>
      <c r="C2441" t="b">
        <v>0</v>
      </c>
      <c r="E2441" t="str">
        <f t="shared" si="228"/>
        <v>3</v>
      </c>
      <c r="F2441" t="str">
        <f t="shared" si="229"/>
        <v>Câu 593.</v>
      </c>
      <c r="G2441" t="str">
        <f t="shared" si="230"/>
        <v>1</v>
      </c>
      <c r="H2441" t="str">
        <f t="shared" si="231"/>
        <v>2</v>
      </c>
      <c r="I2441" t="str">
        <f t="shared" si="232"/>
        <v>3</v>
      </c>
      <c r="J2441" t="str">
        <f t="shared" ca="1" si="233"/>
        <v/>
      </c>
    </row>
    <row r="2442" spans="1:10" ht="18.75" x14ac:dyDescent="0.25">
      <c r="A2442" s="10" t="s">
        <v>1724</v>
      </c>
      <c r="B2442">
        <f>IFERROR(COUNTIFS($A$1:A2442,"Câu "&amp;"*")-MID(A2442,5,FIND(".",A2442,1)-5),0)</f>
        <v>0</v>
      </c>
      <c r="C2442" t="b">
        <v>0</v>
      </c>
      <c r="E2442" t="str">
        <f t="shared" si="228"/>
        <v>Câu 593.</v>
      </c>
      <c r="F2442" t="str">
        <f t="shared" si="229"/>
        <v>1</v>
      </c>
      <c r="G2442" t="str">
        <f t="shared" si="230"/>
        <v>2</v>
      </c>
      <c r="H2442" t="str">
        <f t="shared" si="231"/>
        <v>3</v>
      </c>
      <c r="I2442" t="str">
        <f t="shared" si="232"/>
        <v/>
      </c>
      <c r="J2442" t="str">
        <f t="shared" ca="1" si="233"/>
        <v>3</v>
      </c>
    </row>
    <row r="2443" spans="1:10" ht="18.75" x14ac:dyDescent="0.25">
      <c r="A2443" s="11" t="s">
        <v>3044</v>
      </c>
      <c r="B2443">
        <f>IFERROR(COUNTIFS($A$1:A2443,"Câu "&amp;"*")-MID(A2443,5,FIND(".",A2443,1)-5),0)</f>
        <v>0</v>
      </c>
      <c r="C2443" t="b">
        <v>0</v>
      </c>
      <c r="E2443" t="str">
        <f t="shared" si="228"/>
        <v>1</v>
      </c>
      <c r="F2443" t="str">
        <f t="shared" si="229"/>
        <v>2</v>
      </c>
      <c r="G2443" t="str">
        <f t="shared" si="230"/>
        <v>3</v>
      </c>
      <c r="H2443" t="str">
        <f t="shared" si="231"/>
        <v/>
      </c>
      <c r="I2443" t="str">
        <f t="shared" si="232"/>
        <v>1</v>
      </c>
      <c r="J2443" t="str">
        <f t="shared" ca="1" si="233"/>
        <v/>
      </c>
    </row>
    <row r="2444" spans="1:10" ht="18.75" x14ac:dyDescent="0.25">
      <c r="A2444" s="11" t="s">
        <v>3045</v>
      </c>
      <c r="B2444">
        <f>IFERROR(COUNTIFS($A$1:A2444,"Câu "&amp;"*")-MID(A2444,5,FIND(".",A2444,1)-5),0)</f>
        <v>0</v>
      </c>
      <c r="C2444" t="b">
        <v>0</v>
      </c>
      <c r="E2444" t="str">
        <f t="shared" si="228"/>
        <v>2</v>
      </c>
      <c r="F2444" t="str">
        <f t="shared" si="229"/>
        <v>3</v>
      </c>
      <c r="G2444" t="str">
        <f t="shared" si="230"/>
        <v>Câu 594.</v>
      </c>
      <c r="H2444" t="str">
        <f t="shared" si="231"/>
        <v>1</v>
      </c>
      <c r="I2444" t="str">
        <f t="shared" si="232"/>
        <v>2</v>
      </c>
      <c r="J2444" t="str">
        <f t="shared" ca="1" si="233"/>
        <v/>
      </c>
    </row>
    <row r="2445" spans="1:10" ht="18.75" x14ac:dyDescent="0.25">
      <c r="A2445" s="11" t="s">
        <v>3046</v>
      </c>
      <c r="B2445">
        <f>IFERROR(COUNTIFS($A$1:A2445,"Câu "&amp;"*")-MID(A2445,5,FIND(".",A2445,1)-5),0)</f>
        <v>0</v>
      </c>
      <c r="C2445" t="b">
        <v>1</v>
      </c>
      <c r="E2445" t="str">
        <f t="shared" si="228"/>
        <v>3</v>
      </c>
      <c r="F2445" t="str">
        <f t="shared" si="229"/>
        <v>Câu 594.</v>
      </c>
      <c r="G2445" t="str">
        <f t="shared" si="230"/>
        <v>1</v>
      </c>
      <c r="H2445" t="str">
        <f t="shared" si="231"/>
        <v>2</v>
      </c>
      <c r="I2445" t="str">
        <f t="shared" si="232"/>
        <v>3</v>
      </c>
      <c r="J2445" t="str">
        <f t="shared" ca="1" si="233"/>
        <v/>
      </c>
    </row>
    <row r="2446" spans="1:10" ht="18.75" x14ac:dyDescent="0.25">
      <c r="A2446" s="10" t="s">
        <v>1728</v>
      </c>
      <c r="B2446">
        <f>IFERROR(COUNTIFS($A$1:A2446,"Câu "&amp;"*")-MID(A2446,5,FIND(".",A2446,1)-5),0)</f>
        <v>0</v>
      </c>
      <c r="C2446" t="b">
        <v>0</v>
      </c>
      <c r="E2446" t="str">
        <f t="shared" si="228"/>
        <v>Câu 594.</v>
      </c>
      <c r="F2446" t="str">
        <f t="shared" si="229"/>
        <v>1</v>
      </c>
      <c r="G2446" t="str">
        <f t="shared" si="230"/>
        <v>2</v>
      </c>
      <c r="H2446" t="str">
        <f t="shared" si="231"/>
        <v>3</v>
      </c>
      <c r="I2446" t="str">
        <f t="shared" si="232"/>
        <v/>
      </c>
      <c r="J2446" t="str">
        <f t="shared" ca="1" si="233"/>
        <v>1</v>
      </c>
    </row>
    <row r="2447" spans="1:10" ht="18.75" x14ac:dyDescent="0.25">
      <c r="A2447" s="11" t="s">
        <v>3047</v>
      </c>
      <c r="B2447">
        <f>IFERROR(COUNTIFS($A$1:A2447,"Câu "&amp;"*")-MID(A2447,5,FIND(".",A2447,1)-5),0)</f>
        <v>0</v>
      </c>
      <c r="C2447" t="b">
        <v>1</v>
      </c>
      <c r="E2447" t="str">
        <f t="shared" si="228"/>
        <v>1</v>
      </c>
      <c r="F2447" t="str">
        <f t="shared" si="229"/>
        <v>2</v>
      </c>
      <c r="G2447" t="str">
        <f t="shared" si="230"/>
        <v>3</v>
      </c>
      <c r="H2447" t="str">
        <f t="shared" si="231"/>
        <v/>
      </c>
      <c r="I2447" t="str">
        <f t="shared" si="232"/>
        <v>1</v>
      </c>
      <c r="J2447" t="str">
        <f t="shared" ca="1" si="233"/>
        <v/>
      </c>
    </row>
    <row r="2448" spans="1:10" ht="18.75" x14ac:dyDescent="0.25">
      <c r="A2448" s="11" t="s">
        <v>3048</v>
      </c>
      <c r="B2448">
        <f>IFERROR(COUNTIFS($A$1:A2448,"Câu "&amp;"*")-MID(A2448,5,FIND(".",A2448,1)-5),0)</f>
        <v>0</v>
      </c>
      <c r="C2448" t="b">
        <v>0</v>
      </c>
      <c r="E2448" t="str">
        <f t="shared" si="228"/>
        <v>2</v>
      </c>
      <c r="F2448" t="str">
        <f t="shared" si="229"/>
        <v>3</v>
      </c>
      <c r="G2448" t="str">
        <f t="shared" si="230"/>
        <v>Câu 595.</v>
      </c>
      <c r="H2448" t="str">
        <f t="shared" si="231"/>
        <v>1</v>
      </c>
      <c r="I2448" t="str">
        <f t="shared" si="232"/>
        <v>2</v>
      </c>
      <c r="J2448" t="str">
        <f t="shared" ca="1" si="233"/>
        <v/>
      </c>
    </row>
    <row r="2449" spans="1:10" ht="18.75" x14ac:dyDescent="0.25">
      <c r="A2449" s="11" t="s">
        <v>3049</v>
      </c>
      <c r="B2449">
        <f>IFERROR(COUNTIFS($A$1:A2449,"Câu "&amp;"*")-MID(A2449,5,FIND(".",A2449,1)-5),0)</f>
        <v>0</v>
      </c>
      <c r="C2449" t="b">
        <v>0</v>
      </c>
      <c r="E2449" t="str">
        <f t="shared" si="228"/>
        <v>3</v>
      </c>
      <c r="F2449" t="str">
        <f t="shared" si="229"/>
        <v>Câu 595.</v>
      </c>
      <c r="G2449" t="str">
        <f t="shared" si="230"/>
        <v>1</v>
      </c>
      <c r="H2449" t="str">
        <f t="shared" si="231"/>
        <v>2</v>
      </c>
      <c r="I2449" t="str">
        <f t="shared" si="232"/>
        <v>3</v>
      </c>
      <c r="J2449" t="str">
        <f t="shared" ca="1" si="233"/>
        <v/>
      </c>
    </row>
    <row r="2450" spans="1:10" ht="18.75" x14ac:dyDescent="0.25">
      <c r="A2450" s="10" t="s">
        <v>1732</v>
      </c>
      <c r="B2450">
        <f>IFERROR(COUNTIFS($A$1:A2450,"Câu "&amp;"*")-MID(A2450,5,FIND(".",A2450,1)-5),0)</f>
        <v>0</v>
      </c>
      <c r="C2450" t="b">
        <v>0</v>
      </c>
      <c r="E2450" t="str">
        <f t="shared" si="228"/>
        <v>Câu 595.</v>
      </c>
      <c r="F2450" t="str">
        <f t="shared" si="229"/>
        <v>1</v>
      </c>
      <c r="G2450" t="str">
        <f t="shared" si="230"/>
        <v>2</v>
      </c>
      <c r="H2450" t="str">
        <f t="shared" si="231"/>
        <v>3</v>
      </c>
      <c r="I2450" t="str">
        <f t="shared" si="232"/>
        <v/>
      </c>
      <c r="J2450" t="str">
        <f t="shared" ca="1" si="233"/>
        <v>2</v>
      </c>
    </row>
    <row r="2451" spans="1:10" ht="18.75" x14ac:dyDescent="0.25">
      <c r="A2451" s="11" t="s">
        <v>3050</v>
      </c>
      <c r="B2451">
        <f>IFERROR(COUNTIFS($A$1:A2451,"Câu "&amp;"*")-MID(A2451,5,FIND(".",A2451,1)-5),0)</f>
        <v>0</v>
      </c>
      <c r="C2451" t="b">
        <v>0</v>
      </c>
      <c r="E2451" t="str">
        <f t="shared" si="228"/>
        <v>1</v>
      </c>
      <c r="F2451" t="str">
        <f t="shared" si="229"/>
        <v>2</v>
      </c>
      <c r="G2451" t="str">
        <f t="shared" si="230"/>
        <v>3</v>
      </c>
      <c r="H2451" t="str">
        <f t="shared" si="231"/>
        <v/>
      </c>
      <c r="I2451" t="str">
        <f t="shared" si="232"/>
        <v>1</v>
      </c>
      <c r="J2451" t="str">
        <f t="shared" ca="1" si="233"/>
        <v/>
      </c>
    </row>
    <row r="2452" spans="1:10" ht="18.75" x14ac:dyDescent="0.25">
      <c r="A2452" s="11" t="s">
        <v>3051</v>
      </c>
      <c r="B2452">
        <f>IFERROR(COUNTIFS($A$1:A2452,"Câu "&amp;"*")-MID(A2452,5,FIND(".",A2452,1)-5),0)</f>
        <v>0</v>
      </c>
      <c r="C2452" t="b">
        <v>1</v>
      </c>
      <c r="E2452" t="str">
        <f t="shared" si="228"/>
        <v>2</v>
      </c>
      <c r="F2452" t="str">
        <f t="shared" si="229"/>
        <v>3</v>
      </c>
      <c r="G2452" t="str">
        <f t="shared" si="230"/>
        <v>Câu 596.</v>
      </c>
      <c r="H2452" t="str">
        <f t="shared" si="231"/>
        <v>1</v>
      </c>
      <c r="I2452" t="str">
        <f t="shared" si="232"/>
        <v>2</v>
      </c>
      <c r="J2452" t="str">
        <f t="shared" ca="1" si="233"/>
        <v/>
      </c>
    </row>
    <row r="2453" spans="1:10" ht="18.75" x14ac:dyDescent="0.25">
      <c r="A2453" s="11" t="s">
        <v>3052</v>
      </c>
      <c r="B2453">
        <f>IFERROR(COUNTIFS($A$1:A2453,"Câu "&amp;"*")-MID(A2453,5,FIND(".",A2453,1)-5),0)</f>
        <v>0</v>
      </c>
      <c r="C2453" t="b">
        <v>0</v>
      </c>
      <c r="E2453" t="str">
        <f t="shared" si="228"/>
        <v>3</v>
      </c>
      <c r="F2453" t="str">
        <f t="shared" si="229"/>
        <v>Câu 596.</v>
      </c>
      <c r="G2453" t="str">
        <f t="shared" si="230"/>
        <v>1</v>
      </c>
      <c r="H2453" t="str">
        <f t="shared" si="231"/>
        <v>2</v>
      </c>
      <c r="I2453" t="str">
        <f t="shared" si="232"/>
        <v>3</v>
      </c>
      <c r="J2453" t="str">
        <f t="shared" ca="1" si="233"/>
        <v/>
      </c>
    </row>
    <row r="2454" spans="1:10" ht="409.5" x14ac:dyDescent="0.25">
      <c r="A2454" s="4" t="s">
        <v>1736</v>
      </c>
      <c r="B2454">
        <f>IFERROR(COUNTIFS($A$1:A2454,"Câu "&amp;"*")-MID(A2454,5,FIND(".",A2454,1)-5),0)</f>
        <v>0</v>
      </c>
      <c r="C2454" t="b">
        <v>0</v>
      </c>
      <c r="E2454" t="str">
        <f t="shared" si="228"/>
        <v>Câu 596.</v>
      </c>
      <c r="F2454" t="str">
        <f t="shared" si="229"/>
        <v>1</v>
      </c>
      <c r="G2454" t="str">
        <f t="shared" si="230"/>
        <v>2</v>
      </c>
      <c r="H2454" t="str">
        <f t="shared" si="231"/>
        <v>3</v>
      </c>
      <c r="I2454" t="str">
        <f t="shared" si="232"/>
        <v/>
      </c>
      <c r="J2454" t="str">
        <f t="shared" ca="1" si="233"/>
        <v>2</v>
      </c>
    </row>
    <row r="2455" spans="1:10" ht="18.75" x14ac:dyDescent="0.25">
      <c r="A2455" s="11" t="s">
        <v>3053</v>
      </c>
      <c r="B2455">
        <f>IFERROR(COUNTIFS($A$1:A2455,"Câu "&amp;"*")-MID(A2455,5,FIND(".",A2455,1)-5),0)</f>
        <v>0</v>
      </c>
      <c r="C2455" t="b">
        <v>0</v>
      </c>
      <c r="E2455" t="str">
        <f t="shared" si="228"/>
        <v>1</v>
      </c>
      <c r="F2455" t="str">
        <f t="shared" si="229"/>
        <v>2</v>
      </c>
      <c r="G2455" t="str">
        <f t="shared" si="230"/>
        <v>3</v>
      </c>
      <c r="H2455" t="str">
        <f t="shared" si="231"/>
        <v/>
      </c>
      <c r="I2455" t="str">
        <f t="shared" si="232"/>
        <v>1</v>
      </c>
      <c r="J2455" t="str">
        <f t="shared" ca="1" si="233"/>
        <v/>
      </c>
    </row>
    <row r="2456" spans="1:10" ht="18.75" x14ac:dyDescent="0.25">
      <c r="A2456" s="11" t="s">
        <v>3054</v>
      </c>
      <c r="B2456">
        <f>IFERROR(COUNTIFS($A$1:A2456,"Câu "&amp;"*")-MID(A2456,5,FIND(".",A2456,1)-5),0)</f>
        <v>0</v>
      </c>
      <c r="C2456" t="b">
        <v>1</v>
      </c>
      <c r="E2456" t="str">
        <f t="shared" si="228"/>
        <v>2</v>
      </c>
      <c r="F2456" t="str">
        <f t="shared" si="229"/>
        <v>3</v>
      </c>
      <c r="G2456" t="str">
        <f t="shared" si="230"/>
        <v>Câu 597.</v>
      </c>
      <c r="H2456" t="str">
        <f t="shared" si="231"/>
        <v>1</v>
      </c>
      <c r="I2456" t="str">
        <f t="shared" si="232"/>
        <v>2</v>
      </c>
      <c r="J2456" t="str">
        <f t="shared" ca="1" si="233"/>
        <v/>
      </c>
    </row>
    <row r="2457" spans="1:10" ht="18.75" x14ac:dyDescent="0.25">
      <c r="A2457" s="11" t="s">
        <v>3055</v>
      </c>
      <c r="B2457">
        <f>IFERROR(COUNTIFS($A$1:A2457,"Câu "&amp;"*")-MID(A2457,5,FIND(".",A2457,1)-5),0)</f>
        <v>0</v>
      </c>
      <c r="C2457" t="b">
        <v>0</v>
      </c>
      <c r="E2457" t="str">
        <f t="shared" si="228"/>
        <v>3</v>
      </c>
      <c r="F2457" t="str">
        <f t="shared" si="229"/>
        <v>Câu 597.</v>
      </c>
      <c r="G2457" t="str">
        <f t="shared" si="230"/>
        <v>1</v>
      </c>
      <c r="H2457" t="str">
        <f t="shared" si="231"/>
        <v>2</v>
      </c>
      <c r="I2457" t="str">
        <f t="shared" si="232"/>
        <v/>
      </c>
      <c r="J2457" t="str">
        <f t="shared" ca="1" si="233"/>
        <v/>
      </c>
    </row>
    <row r="2458" spans="1:10" ht="18.75" x14ac:dyDescent="0.25">
      <c r="A2458" s="10" t="s">
        <v>1740</v>
      </c>
      <c r="B2458">
        <f>IFERROR(COUNTIFS($A$1:A2458,"Câu "&amp;"*")-MID(A2458,5,FIND(".",A2458,1)-5),0)</f>
        <v>0</v>
      </c>
      <c r="C2458" t="b">
        <v>0</v>
      </c>
      <c r="E2458" t="str">
        <f t="shared" si="228"/>
        <v>Câu 597.</v>
      </c>
      <c r="F2458" t="str">
        <f t="shared" si="229"/>
        <v>1</v>
      </c>
      <c r="G2458" t="str">
        <f t="shared" si="230"/>
        <v>2</v>
      </c>
      <c r="H2458" t="str">
        <f t="shared" si="231"/>
        <v/>
      </c>
      <c r="I2458" t="str">
        <f t="shared" si="232"/>
        <v>1</v>
      </c>
      <c r="J2458" t="str">
        <f t="shared" ca="1" si="233"/>
        <v>2</v>
      </c>
    </row>
    <row r="2459" spans="1:10" ht="18.75" x14ac:dyDescent="0.25">
      <c r="A2459" s="11" t="s">
        <v>2836</v>
      </c>
      <c r="B2459">
        <f>IFERROR(COUNTIFS($A$1:A2459,"Câu "&amp;"*")-MID(A2459,5,FIND(".",A2459,1)-5),0)</f>
        <v>0</v>
      </c>
      <c r="C2459" t="b">
        <v>0</v>
      </c>
      <c r="E2459" t="str">
        <f t="shared" si="228"/>
        <v>1</v>
      </c>
      <c r="F2459" t="str">
        <f t="shared" si="229"/>
        <v>2</v>
      </c>
      <c r="G2459" t="str">
        <f t="shared" si="230"/>
        <v>Câu 598.</v>
      </c>
      <c r="H2459" t="str">
        <f t="shared" si="231"/>
        <v>1</v>
      </c>
      <c r="I2459" t="str">
        <f t="shared" si="232"/>
        <v>2</v>
      </c>
      <c r="J2459" t="str">
        <f t="shared" ca="1" si="233"/>
        <v/>
      </c>
    </row>
    <row r="2460" spans="1:10" ht="18.75" x14ac:dyDescent="0.25">
      <c r="A2460" s="11" t="s">
        <v>3056</v>
      </c>
      <c r="B2460">
        <f>IFERROR(COUNTIFS($A$1:A2460,"Câu "&amp;"*")-MID(A2460,5,FIND(".",A2460,1)-5),0)</f>
        <v>0</v>
      </c>
      <c r="C2460" t="b">
        <v>1</v>
      </c>
      <c r="E2460" t="str">
        <f t="shared" si="228"/>
        <v>2</v>
      </c>
      <c r="F2460" t="str">
        <f t="shared" si="229"/>
        <v>Câu 598.</v>
      </c>
      <c r="G2460" t="str">
        <f t="shared" si="230"/>
        <v>1</v>
      </c>
      <c r="H2460" t="str">
        <f t="shared" si="231"/>
        <v>2</v>
      </c>
      <c r="I2460" t="str">
        <f t="shared" si="232"/>
        <v/>
      </c>
      <c r="J2460" t="str">
        <f t="shared" ca="1" si="233"/>
        <v/>
      </c>
    </row>
    <row r="2461" spans="1:10" ht="18.75" x14ac:dyDescent="0.25">
      <c r="A2461" s="10" t="s">
        <v>1742</v>
      </c>
      <c r="B2461">
        <f>IFERROR(COUNTIFS($A$1:A2461,"Câu "&amp;"*")-MID(A2461,5,FIND(".",A2461,1)-5),0)</f>
        <v>0</v>
      </c>
      <c r="C2461" t="b">
        <v>0</v>
      </c>
      <c r="E2461" t="str">
        <f t="shared" si="228"/>
        <v>Câu 598.</v>
      </c>
      <c r="F2461" t="str">
        <f t="shared" si="229"/>
        <v>1</v>
      </c>
      <c r="G2461" t="str">
        <f t="shared" si="230"/>
        <v>2</v>
      </c>
      <c r="H2461" t="str">
        <f t="shared" si="231"/>
        <v/>
      </c>
      <c r="I2461" t="str">
        <f t="shared" si="232"/>
        <v>1</v>
      </c>
      <c r="J2461" t="str">
        <f t="shared" ca="1" si="233"/>
        <v>2</v>
      </c>
    </row>
    <row r="2462" spans="1:10" ht="18.75" x14ac:dyDescent="0.25">
      <c r="A2462" s="11" t="s">
        <v>2949</v>
      </c>
      <c r="B2462">
        <f>IFERROR(COUNTIFS($A$1:A2462,"Câu "&amp;"*")-MID(A2462,5,FIND(".",A2462,1)-5),0)</f>
        <v>0</v>
      </c>
      <c r="C2462" t="b">
        <v>0</v>
      </c>
      <c r="E2462" t="str">
        <f t="shared" ref="E2462:E2470" si="234">IF(LEFT(A2462,3)="Câu",LEFT(A2462,FIND(".",A2462,1)),LEFT(A2462,1))</f>
        <v>1</v>
      </c>
      <c r="F2462" t="str">
        <f t="shared" ref="F2462:F2470" si="235">IF(LEFT(A2463,3)="Câu",LEFT(A2463,FIND(".",A2463,1)),LEFT(A2463,1))</f>
        <v>2</v>
      </c>
      <c r="G2462" t="str">
        <f t="shared" ref="G2462:G2470" si="236">IF(LEFT(A2464,3)="Câu",LEFT(A2464,FIND(".",A2464,1)),LEFT(A2464,1))</f>
        <v>Câu 599.</v>
      </c>
      <c r="H2462" t="str">
        <f t="shared" ref="H2462:H2470" si="237">IF(LEFT(A2465,3)="Câu","",LEFT(A2465,1))</f>
        <v>1</v>
      </c>
      <c r="I2462" t="str">
        <f t="shared" ref="I2462:I2470" si="238">IF(LEFT(A2466,3)="Câu","",LEFT(A2466,1))</f>
        <v>2</v>
      </c>
      <c r="J2462" t="str">
        <f t="shared" ca="1" si="233"/>
        <v/>
      </c>
    </row>
    <row r="2463" spans="1:10" ht="18.75" x14ac:dyDescent="0.25">
      <c r="A2463" s="11" t="s">
        <v>2952</v>
      </c>
      <c r="B2463">
        <f>IFERROR(COUNTIFS($A$1:A2463,"Câu "&amp;"*")-MID(A2463,5,FIND(".",A2463,1)-5),0)</f>
        <v>0</v>
      </c>
      <c r="C2463" t="b">
        <v>1</v>
      </c>
      <c r="E2463" t="str">
        <f t="shared" si="234"/>
        <v>2</v>
      </c>
      <c r="F2463" t="str">
        <f t="shared" si="235"/>
        <v>Câu 599.</v>
      </c>
      <c r="G2463" t="str">
        <f t="shared" si="236"/>
        <v>1</v>
      </c>
      <c r="H2463" t="str">
        <f t="shared" si="237"/>
        <v>2</v>
      </c>
      <c r="I2463" t="str">
        <f t="shared" si="238"/>
        <v/>
      </c>
      <c r="J2463" t="str">
        <f t="shared" ca="1" si="233"/>
        <v/>
      </c>
    </row>
    <row r="2464" spans="1:10" ht="18.75" x14ac:dyDescent="0.25">
      <c r="A2464" s="10" t="s">
        <v>3057</v>
      </c>
      <c r="B2464">
        <f>IFERROR(COUNTIFS($A$1:A2464,"Câu "&amp;"*")-MID(A2464,5,FIND(".",A2464,1)-5),0)</f>
        <v>0</v>
      </c>
      <c r="C2464" t="b">
        <v>0</v>
      </c>
      <c r="E2464" t="str">
        <f t="shared" si="234"/>
        <v>Câu 599.</v>
      </c>
      <c r="F2464" t="str">
        <f t="shared" si="235"/>
        <v>1</v>
      </c>
      <c r="G2464" t="str">
        <f t="shared" si="236"/>
        <v>2</v>
      </c>
      <c r="H2464" t="str">
        <f t="shared" si="237"/>
        <v/>
      </c>
      <c r="I2464" t="str">
        <f t="shared" si="238"/>
        <v>1</v>
      </c>
      <c r="J2464" t="str">
        <f t="shared" ca="1" si="233"/>
        <v>1</v>
      </c>
    </row>
    <row r="2465" spans="1:10" ht="18.75" x14ac:dyDescent="0.25">
      <c r="A2465" s="11" t="s">
        <v>2888</v>
      </c>
      <c r="B2465">
        <f>IFERROR(COUNTIFS($A$1:A2465,"Câu "&amp;"*")-MID(A2465,5,FIND(".",A2465,1)-5),0)</f>
        <v>0</v>
      </c>
      <c r="C2465" t="b">
        <v>1</v>
      </c>
      <c r="E2465" t="str">
        <f t="shared" si="234"/>
        <v>1</v>
      </c>
      <c r="F2465" t="str">
        <f t="shared" si="235"/>
        <v>2</v>
      </c>
      <c r="G2465" t="str">
        <f t="shared" si="236"/>
        <v>Câu 600.</v>
      </c>
      <c r="H2465" t="str">
        <f t="shared" si="237"/>
        <v>1</v>
      </c>
      <c r="I2465" t="str">
        <f t="shared" si="238"/>
        <v>2</v>
      </c>
      <c r="J2465" t="str">
        <f t="shared" ca="1" si="233"/>
        <v/>
      </c>
    </row>
    <row r="2466" spans="1:10" ht="18.75" x14ac:dyDescent="0.25">
      <c r="A2466" s="11" t="s">
        <v>2889</v>
      </c>
      <c r="B2466">
        <f>IFERROR(COUNTIFS($A$1:A2466,"Câu "&amp;"*")-MID(A2466,5,FIND(".",A2466,1)-5),0)</f>
        <v>0</v>
      </c>
      <c r="C2466" t="b">
        <v>0</v>
      </c>
      <c r="E2466" t="str">
        <f t="shared" si="234"/>
        <v>2</v>
      </c>
      <c r="F2466" t="str">
        <f t="shared" si="235"/>
        <v>Câu 600.</v>
      </c>
      <c r="G2466" t="str">
        <f t="shared" si="236"/>
        <v>1</v>
      </c>
      <c r="H2466" t="str">
        <f t="shared" si="237"/>
        <v>2</v>
      </c>
      <c r="I2466" t="str">
        <f t="shared" si="238"/>
        <v>3</v>
      </c>
      <c r="J2466" t="str">
        <f t="shared" ca="1" si="233"/>
        <v/>
      </c>
    </row>
    <row r="2467" spans="1:10" ht="409.5" x14ac:dyDescent="0.25">
      <c r="A2467" s="4" t="s">
        <v>1744</v>
      </c>
      <c r="B2467">
        <f>IFERROR(COUNTIFS($A$1:A2467,"Câu "&amp;"*")-MID(A2467,5,FIND(".",A2467,1)-5),0)</f>
        <v>0</v>
      </c>
      <c r="C2467" t="b">
        <v>0</v>
      </c>
      <c r="E2467" t="str">
        <f t="shared" si="234"/>
        <v>Câu 600.</v>
      </c>
      <c r="F2467" t="str">
        <f t="shared" si="235"/>
        <v>1</v>
      </c>
      <c r="G2467" t="str">
        <f t="shared" si="236"/>
        <v>2</v>
      </c>
      <c r="H2467" t="str">
        <f t="shared" si="237"/>
        <v>3</v>
      </c>
      <c r="I2467" t="str">
        <f t="shared" si="238"/>
        <v/>
      </c>
      <c r="J2467" t="str">
        <f t="shared" ca="1" si="233"/>
        <v>2</v>
      </c>
    </row>
    <row r="2468" spans="1:10" ht="18.75" x14ac:dyDescent="0.25">
      <c r="A2468" s="11" t="s">
        <v>3058</v>
      </c>
      <c r="B2468">
        <f>IFERROR(COUNTIFS($A$1:A2468,"Câu "&amp;"*")-MID(A2468,5,FIND(".",A2468,1)-5),0)</f>
        <v>0</v>
      </c>
      <c r="C2468" t="b">
        <v>0</v>
      </c>
      <c r="E2468" t="str">
        <f t="shared" si="234"/>
        <v>1</v>
      </c>
      <c r="F2468" t="str">
        <f t="shared" si="235"/>
        <v>2</v>
      </c>
      <c r="G2468" t="str">
        <f t="shared" si="236"/>
        <v>3</v>
      </c>
      <c r="H2468" t="str">
        <f t="shared" si="237"/>
        <v/>
      </c>
      <c r="I2468" t="str">
        <f t="shared" si="238"/>
        <v/>
      </c>
      <c r="J2468" t="str">
        <f t="shared" ca="1" si="233"/>
        <v/>
      </c>
    </row>
    <row r="2469" spans="1:10" ht="18.75" x14ac:dyDescent="0.25">
      <c r="A2469" s="11" t="s">
        <v>3059</v>
      </c>
      <c r="B2469">
        <f>IFERROR(COUNTIFS($A$1:A2469,"Câu "&amp;"*")-MID(A2469,5,FIND(".",A2469,1)-5),0)</f>
        <v>0</v>
      </c>
      <c r="C2469" t="b">
        <v>1</v>
      </c>
      <c r="E2469" t="str">
        <f t="shared" si="234"/>
        <v>2</v>
      </c>
      <c r="F2469" t="str">
        <f t="shared" si="235"/>
        <v>3</v>
      </c>
      <c r="G2469" t="str">
        <f t="shared" si="236"/>
        <v>Câu 601.</v>
      </c>
      <c r="H2469" t="str">
        <f t="shared" si="237"/>
        <v/>
      </c>
      <c r="I2469" t="str">
        <f t="shared" si="238"/>
        <v/>
      </c>
      <c r="J2469" t="str">
        <f t="shared" ca="1" si="233"/>
        <v/>
      </c>
    </row>
    <row r="2470" spans="1:10" ht="18.75" x14ac:dyDescent="0.25">
      <c r="A2470" s="11" t="s">
        <v>3060</v>
      </c>
      <c r="B2470">
        <f>IFERROR(COUNTIFS($A$1:A2470,"Câu "&amp;"*")-MID(A2470,5,FIND(".",A2470,1)-5),0)</f>
        <v>0</v>
      </c>
      <c r="C2470" t="b">
        <v>0</v>
      </c>
      <c r="E2470" t="str">
        <f t="shared" si="234"/>
        <v>3</v>
      </c>
      <c r="F2470" t="str">
        <f t="shared" si="235"/>
        <v>Câu 601.</v>
      </c>
      <c r="G2470" t="str">
        <f t="shared" si="236"/>
        <v/>
      </c>
      <c r="H2470" t="str">
        <f t="shared" si="237"/>
        <v/>
      </c>
      <c r="I2470" t="str">
        <f t="shared" si="238"/>
        <v/>
      </c>
      <c r="J2470" t="str">
        <f t="shared" ca="1" si="233"/>
        <v/>
      </c>
    </row>
    <row r="2471" spans="1:10" ht="18.75" x14ac:dyDescent="0.25">
      <c r="A2471" s="11" t="s">
        <v>3079</v>
      </c>
      <c r="E2471" t="str">
        <f t="shared" ref="E2471" si="239">IF(LEFT(A2471,3)="Câu",LEFT(A2471,FIND(".",A2471,1)),LEFT(A2471,1))</f>
        <v>Câu 601.</v>
      </c>
      <c r="F2471" t="str">
        <f t="shared" ref="F2471" si="240">IF(LEFT(A2472,3)="Câu",LEFT(A2472,FIND(".",A2472,1)),LEFT(A2472,1))</f>
        <v/>
      </c>
      <c r="G2471" t="str">
        <f t="shared" ref="G2471" si="241">IF(LEFT(A2473,3)="Câu",LEFT(A2473,FIND(".",A2473,1)),LEFT(A2473,1))</f>
        <v/>
      </c>
      <c r="H2471" t="str">
        <f t="shared" ref="H2471" si="242">IF(LEFT(A2474,3)="Câu","",LEFT(A2474,1))</f>
        <v/>
      </c>
      <c r="I2471" t="str">
        <f t="shared" ref="I2471" si="243">IF(LEFT(A2475,3)="Câu","",LEFT(A2475,1))</f>
        <v/>
      </c>
      <c r="J2471" t="str">
        <f t="shared" ca="1" si="233"/>
        <v/>
      </c>
    </row>
  </sheetData>
  <autoFilter ref="A1:B2470" xr:uid="{00000000-0009-0000-0000-000001000000}"/>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A26"/>
  <sheetViews>
    <sheetView workbookViewId="0">
      <selection activeCell="A10" sqref="A10:A23"/>
    </sheetView>
  </sheetViews>
  <sheetFormatPr defaultRowHeight="15" x14ac:dyDescent="0.25"/>
  <cols>
    <col min="1" max="1" width="150.28515625" customWidth="1"/>
  </cols>
  <sheetData>
    <row r="1" spans="1:1" x14ac:dyDescent="0.25">
      <c r="A1" t="s">
        <v>1775</v>
      </c>
    </row>
    <row r="2" spans="1:1" x14ac:dyDescent="0.25">
      <c r="A2" t="s">
        <v>1776</v>
      </c>
    </row>
    <row r="3" spans="1:1" x14ac:dyDescent="0.25">
      <c r="A3" s="2" t="s">
        <v>1778</v>
      </c>
    </row>
    <row r="4" spans="1:1" x14ac:dyDescent="0.25">
      <c r="A4" s="2" t="s">
        <v>1777</v>
      </c>
    </row>
    <row r="5" spans="1:1" x14ac:dyDescent="0.25">
      <c r="A5" s="2" t="s">
        <v>1779</v>
      </c>
    </row>
    <row r="6" spans="1:1" x14ac:dyDescent="0.25">
      <c r="A6" s="2" t="s">
        <v>1780</v>
      </c>
    </row>
    <row r="9" spans="1:1" x14ac:dyDescent="0.25">
      <c r="A9" t="s">
        <v>1781</v>
      </c>
    </row>
    <row r="10" spans="1:1" x14ac:dyDescent="0.25">
      <c r="A10" t="s">
        <v>1782</v>
      </c>
    </row>
    <row r="11" spans="1:1" x14ac:dyDescent="0.25">
      <c r="A11" t="s">
        <v>1783</v>
      </c>
    </row>
    <row r="12" spans="1:1" x14ac:dyDescent="0.25">
      <c r="A12" t="s">
        <v>1784</v>
      </c>
    </row>
    <row r="13" spans="1:1" x14ac:dyDescent="0.25">
      <c r="A13" t="s">
        <v>1785</v>
      </c>
    </row>
    <row r="14" spans="1:1" x14ac:dyDescent="0.25">
      <c r="A14" t="s">
        <v>1786</v>
      </c>
    </row>
    <row r="15" spans="1:1" x14ac:dyDescent="0.25">
      <c r="A15" t="s">
        <v>1787</v>
      </c>
    </row>
    <row r="16" spans="1:1" x14ac:dyDescent="0.25">
      <c r="A16" t="s">
        <v>1788</v>
      </c>
    </row>
    <row r="17" spans="1:1" x14ac:dyDescent="0.25">
      <c r="A17" t="s">
        <v>1789</v>
      </c>
    </row>
    <row r="18" spans="1:1" x14ac:dyDescent="0.25">
      <c r="A18" t="s">
        <v>1790</v>
      </c>
    </row>
    <row r="19" spans="1:1" x14ac:dyDescent="0.25">
      <c r="A19" t="s">
        <v>1791</v>
      </c>
    </row>
    <row r="20" spans="1:1" x14ac:dyDescent="0.25">
      <c r="A20" t="s">
        <v>1792</v>
      </c>
    </row>
    <row r="21" spans="1:1" x14ac:dyDescent="0.25">
      <c r="A21" t="s">
        <v>1793</v>
      </c>
    </row>
    <row r="22" spans="1:1" x14ac:dyDescent="0.25">
      <c r="A22" t="s">
        <v>1794</v>
      </c>
    </row>
    <row r="23" spans="1:1" x14ac:dyDescent="0.25">
      <c r="A23" t="s">
        <v>1795</v>
      </c>
    </row>
    <row r="24" spans="1:1" x14ac:dyDescent="0.25">
      <c r="A24" t="s">
        <v>1796</v>
      </c>
    </row>
    <row r="25" spans="1:1" ht="97.5" customHeight="1" x14ac:dyDescent="0.25">
      <c r="A25" s="1" t="s">
        <v>3062</v>
      </c>
    </row>
    <row r="26" spans="1:1" ht="330" x14ac:dyDescent="0.25">
      <c r="A26" s="13" t="s">
        <v>3061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upload</vt:lpstr>
      <vt:lpstr>dapan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Cong Man Ho</dc:creator>
  <cp:lastModifiedBy>Mai AAH</cp:lastModifiedBy>
  <dcterms:created xsi:type="dcterms:W3CDTF">2026-07-08T01:41:34Z</dcterms:created>
  <dcterms:modified xsi:type="dcterms:W3CDTF">2026-07-08T23:27:39Z</dcterms:modified>
</cp:coreProperties>
</file>